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i336543/PycharmProjects/lixinren/allindex/"/>
    </mc:Choice>
  </mc:AlternateContent>
  <xr:revisionPtr revIDLastSave="0" documentId="13_ncr:1_{4631F621-9E60-B04B-95B0-96BCD352FA5F}" xr6:coauthVersionLast="47" xr6:coauthVersionMax="47" xr10:uidLastSave="{00000000-0000-0000-0000-000000000000}"/>
  <bookViews>
    <workbookView xWindow="240" yWindow="500" windowWidth="34920" windowHeight="1946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T2" i="1"/>
  <c r="T4" i="1"/>
  <c r="T5" i="1"/>
  <c r="T17" i="1"/>
  <c r="T15" i="1"/>
  <c r="T7" i="1"/>
  <c r="T10" i="1"/>
  <c r="T6" i="1"/>
  <c r="T9" i="1"/>
  <c r="T11" i="1"/>
  <c r="T21" i="1"/>
  <c r="T24" i="1"/>
  <c r="T19" i="1"/>
  <c r="T16" i="1"/>
  <c r="T20" i="1"/>
  <c r="T13" i="1"/>
  <c r="T18" i="1"/>
  <c r="T29" i="1"/>
  <c r="T14" i="1"/>
  <c r="T12" i="1"/>
  <c r="T28" i="1"/>
  <c r="T27" i="1"/>
  <c r="T22" i="1"/>
  <c r="T32" i="1"/>
  <c r="T43" i="1"/>
  <c r="T33" i="1"/>
  <c r="T30" i="1"/>
  <c r="T26" i="1"/>
  <c r="T23" i="1"/>
  <c r="T31" i="1"/>
  <c r="T41" i="1"/>
  <c r="T34" i="1"/>
  <c r="T36" i="1"/>
  <c r="T42" i="1"/>
  <c r="T50" i="1"/>
  <c r="T61" i="1"/>
  <c r="T78" i="1"/>
  <c r="T67" i="1"/>
  <c r="T38" i="1"/>
  <c r="T65" i="1"/>
  <c r="T68" i="1"/>
  <c r="T39" i="1"/>
  <c r="T74" i="1"/>
  <c r="T46" i="1"/>
  <c r="T48" i="1"/>
  <c r="T47" i="1"/>
  <c r="T44" i="1"/>
  <c r="T51" i="1"/>
  <c r="T37" i="1"/>
  <c r="T35" i="1"/>
  <c r="T45" i="1"/>
  <c r="T25" i="1"/>
  <c r="T49" i="1"/>
  <c r="T40" i="1"/>
  <c r="T52" i="1"/>
  <c r="T53" i="1"/>
  <c r="T76" i="1"/>
  <c r="T69" i="1"/>
  <c r="T75" i="1"/>
  <c r="T79" i="1"/>
  <c r="T55" i="1"/>
  <c r="T57" i="1"/>
  <c r="T56" i="1"/>
  <c r="T77" i="1"/>
  <c r="T60" i="1"/>
  <c r="T82" i="1"/>
  <c r="T62" i="1"/>
  <c r="T73" i="1"/>
  <c r="T84" i="1"/>
  <c r="T90" i="1"/>
  <c r="T83" i="1"/>
  <c r="T93" i="1"/>
  <c r="T87" i="1"/>
  <c r="T63" i="1"/>
  <c r="T59" i="1"/>
  <c r="T119" i="1"/>
  <c r="T64" i="1"/>
  <c r="T66" i="1"/>
  <c r="T85" i="1"/>
  <c r="T97" i="1"/>
  <c r="T81" i="1"/>
  <c r="T101" i="1"/>
  <c r="T80" i="1"/>
  <c r="T88" i="1"/>
  <c r="T71" i="1"/>
  <c r="T72" i="1"/>
  <c r="T94" i="1"/>
  <c r="T98" i="1"/>
  <c r="T96" i="1"/>
  <c r="T110" i="1"/>
  <c r="T86" i="1"/>
  <c r="T91" i="1"/>
  <c r="T70" i="1"/>
  <c r="T54" i="1"/>
  <c r="T100" i="1"/>
  <c r="T132" i="1"/>
  <c r="T112" i="1"/>
  <c r="T92" i="1"/>
  <c r="T102" i="1"/>
  <c r="T89" i="1"/>
  <c r="T170" i="1"/>
  <c r="T113" i="1"/>
  <c r="T58" i="1"/>
  <c r="T103" i="1"/>
  <c r="T126" i="1"/>
  <c r="T115" i="1"/>
  <c r="T107" i="1"/>
  <c r="T122" i="1"/>
  <c r="T127" i="1"/>
  <c r="T124" i="1"/>
  <c r="T105" i="1"/>
  <c r="T118" i="1"/>
  <c r="T138" i="1"/>
  <c r="T117" i="1"/>
  <c r="T130" i="1"/>
  <c r="T95" i="1"/>
  <c r="T106" i="1"/>
  <c r="T111" i="1"/>
  <c r="T131" i="1"/>
  <c r="T108" i="1"/>
  <c r="T134" i="1"/>
  <c r="T129" i="1"/>
  <c r="T123" i="1"/>
  <c r="T137" i="1"/>
  <c r="T99" i="1"/>
  <c r="T161" i="1"/>
  <c r="T121" i="1"/>
  <c r="T142" i="1"/>
  <c r="T104" i="1"/>
  <c r="T153" i="1"/>
  <c r="T145" i="1"/>
  <c r="T150" i="1"/>
  <c r="T155" i="1"/>
  <c r="T192" i="1"/>
  <c r="T148" i="1"/>
  <c r="T116" i="1"/>
  <c r="T139" i="1"/>
  <c r="T182" i="1"/>
  <c r="T163" i="1"/>
  <c r="T147" i="1"/>
  <c r="T125" i="1"/>
  <c r="T158" i="1"/>
  <c r="T114" i="1"/>
  <c r="T157" i="1"/>
  <c r="T128" i="1"/>
  <c r="T143" i="1"/>
  <c r="T149" i="1"/>
  <c r="T168" i="1"/>
  <c r="T162" i="1"/>
  <c r="T169" i="1"/>
  <c r="T151" i="1"/>
  <c r="T159" i="1"/>
  <c r="T154" i="1"/>
  <c r="T165" i="1"/>
  <c r="T175" i="1"/>
  <c r="T141" i="1"/>
  <c r="T152" i="1"/>
  <c r="T179" i="1"/>
  <c r="T171" i="1"/>
  <c r="T144" i="1"/>
  <c r="T172" i="1"/>
  <c r="T109" i="1"/>
  <c r="T164" i="1"/>
  <c r="T133" i="1"/>
  <c r="T197" i="1"/>
  <c r="T173" i="1"/>
  <c r="T160" i="1"/>
  <c r="T177" i="1"/>
  <c r="T188" i="1"/>
  <c r="T146" i="1"/>
  <c r="T120" i="1"/>
  <c r="T186" i="1"/>
  <c r="T135" i="1"/>
  <c r="T136" i="1"/>
  <c r="T183" i="1"/>
  <c r="T140" i="1"/>
  <c r="T156" i="1"/>
  <c r="T167" i="1"/>
  <c r="T166" i="1"/>
  <c r="T185" i="1"/>
  <c r="T184" i="1"/>
  <c r="T199" i="1"/>
  <c r="T190" i="1"/>
  <c r="T181" i="1"/>
  <c r="T210" i="1"/>
  <c r="T204" i="1"/>
  <c r="T191" i="1"/>
  <c r="T176" i="1"/>
  <c r="T209" i="1"/>
  <c r="T195" i="1"/>
  <c r="T189" i="1"/>
  <c r="T174" i="1"/>
  <c r="T216" i="1"/>
  <c r="T194" i="1"/>
  <c r="T200" i="1"/>
  <c r="T180" i="1"/>
  <c r="T178" i="1"/>
  <c r="T220" i="1"/>
  <c r="T230" i="1"/>
  <c r="T213" i="1"/>
  <c r="T205" i="1"/>
  <c r="T224" i="1"/>
  <c r="T196" i="1"/>
  <c r="T187" i="1"/>
  <c r="T207" i="1"/>
  <c r="T211" i="1"/>
  <c r="T193" i="1"/>
  <c r="T201" i="1"/>
  <c r="T198" i="1"/>
  <c r="T208" i="1"/>
  <c r="T219" i="1"/>
  <c r="T203" i="1"/>
  <c r="T212" i="1"/>
  <c r="T202" i="1"/>
  <c r="T206" i="1"/>
  <c r="T214" i="1"/>
  <c r="T222" i="1"/>
  <c r="T218" i="1"/>
  <c r="T228" i="1"/>
  <c r="T217" i="1"/>
  <c r="T221" i="1"/>
  <c r="T223" i="1"/>
  <c r="T215" i="1"/>
  <c r="T241" i="1"/>
  <c r="T253" i="1"/>
  <c r="T232" i="1"/>
  <c r="T237" i="1"/>
  <c r="T240" i="1"/>
  <c r="T233" i="1"/>
  <c r="T231" i="1"/>
  <c r="T236" i="1"/>
  <c r="T226" i="1"/>
  <c r="T244" i="1"/>
  <c r="T225" i="1"/>
  <c r="T227" i="1"/>
  <c r="T234" i="1"/>
  <c r="T239" i="1"/>
  <c r="T242" i="1"/>
  <c r="T243" i="1"/>
  <c r="T229" i="1"/>
  <c r="T235" i="1"/>
  <c r="T238" i="1"/>
  <c r="T258" i="1"/>
  <c r="T250" i="1"/>
  <c r="T252" i="1"/>
  <c r="T260" i="1"/>
  <c r="T251" i="1"/>
  <c r="T246" i="1"/>
  <c r="T262" i="1"/>
  <c r="T256" i="1"/>
  <c r="T245" i="1"/>
  <c r="T249" i="1"/>
  <c r="T247" i="1"/>
  <c r="T248" i="1"/>
  <c r="T255" i="1"/>
  <c r="T259" i="1"/>
  <c r="T257" i="1"/>
  <c r="T261" i="1"/>
  <c r="T254" i="1"/>
  <c r="T267" i="1"/>
  <c r="T264" i="1"/>
  <c r="T268" i="1"/>
  <c r="T263" i="1"/>
  <c r="T270" i="1"/>
  <c r="T271" i="1"/>
  <c r="T266" i="1"/>
  <c r="T269" i="1"/>
  <c r="T265" i="1"/>
  <c r="T273" i="1"/>
  <c r="T272" i="1"/>
  <c r="T274" i="1"/>
  <c r="T276" i="1"/>
  <c r="T275" i="1"/>
  <c r="T277" i="1"/>
  <c r="T278" i="1"/>
  <c r="T279" i="1"/>
  <c r="T3" i="1"/>
</calcChain>
</file>

<file path=xl/sharedStrings.xml><?xml version="1.0" encoding="utf-8"?>
<sst xmlns="http://schemas.openxmlformats.org/spreadsheetml/2006/main" count="1695" uniqueCount="1031">
  <si>
    <t>2023-06-16</t>
  </si>
  <si>
    <t>Unnamed: 1</t>
  </si>
  <si>
    <t>Unnamed: 2</t>
  </si>
  <si>
    <t>Unnamed: 3</t>
  </si>
  <si>
    <t>style</t>
  </si>
  <si>
    <t>position</t>
  </si>
  <si>
    <t>Current drawdown</t>
  </si>
  <si>
    <t>Largest drawdown</t>
  </si>
  <si>
    <t>To lowest drawdown 📉🔽</t>
  </si>
  <si>
    <t>To Highest required 📈🔼</t>
  </si>
  <si>
    <t>pe</t>
  </si>
  <si>
    <t>pe10pos</t>
  </si>
  <si>
    <t>pe to lowest</t>
  </si>
  <si>
    <t>pb</t>
  </si>
  <si>
    <t>pb10pos</t>
  </si>
  <si>
    <t>pb to lowest</t>
  </si>
  <si>
    <t>roe</t>
  </si>
  <si>
    <t>roe/pe</t>
  </si>
  <si>
    <t>div</t>
  </si>
  <si>
    <t>funds</t>
  </si>
  <si>
    <t>A股</t>
  </si>
  <si>
    <t>899050</t>
  </si>
  <si>
    <t>2022-11-20</t>
  </si>
  <si>
    <t>北证50</t>
  </si>
  <si>
    <t>成长</t>
  </si>
  <si>
    <t>广发北证50成份指数A(017512), 广发北证50成份指数C(017513), 易方达北证50成份指数A(017515), 易方达北证50成份指数C(017516), 招商北证50成份指数发起式A(017517), 招商北证50成份指数发起式C(017518), 汇添富北证50成份指数A(017519), 汇添富北证50成份指数C(017520), 富国北证50成份指数A(017521), 富国北证50成份指数C(017522), 南方北证50成份指数发起A(017523), 南方北证50成份指数发起C(017524), 华夏北证50成份指数A(017525), 华夏北证50成份指数C(017526), 嘉实北证50成份指数A(017527), 嘉实北证50成份指数C(017528)</t>
  </si>
  <si>
    <t>399993</t>
  </si>
  <si>
    <t>2015-05-07</t>
  </si>
  <si>
    <t>CSWD生科</t>
  </si>
  <si>
    <t>易方达中证万得生物科技指数（LOF）C(010572), 易方达中证万得生物科技指数（LOF）A(161122)</t>
  </si>
  <si>
    <t>980015</t>
  </si>
  <si>
    <t>2015-02-15</t>
  </si>
  <si>
    <t>疫苗生科</t>
  </si>
  <si>
    <t>华夏国证疫苗与生物科技指数发起式A(016355), 国泰国证疫苗与生物科技ETF发起联接A(017185), 国泰国证疫苗与生物科技ETF(159643), 富国国证疫苗与生物科技ETF(159645), 疫苗ETF基金(159646), 生物疫苗ETF(159657)</t>
  </si>
  <si>
    <t>930743</t>
  </si>
  <si>
    <t>2015-08-25</t>
  </si>
  <si>
    <t>中证生科</t>
  </si>
  <si>
    <t>华夏中证生物科技主题ETF发起式联接A(017604), 汇添富中证生物科技指数A(501009), 汇添富中证生物科技指数C(501010), 华夏中证生物科技主题ETF(516500), 生物科技ETF基金(516930), 易方达中证生物科技主题ETF(159837), 招商中证生物科技主题ETF(159849)</t>
  </si>
  <si>
    <t>930707</t>
  </si>
  <si>
    <t>2015-07-12</t>
  </si>
  <si>
    <t>中证畜牧</t>
  </si>
  <si>
    <t>周期</t>
  </si>
  <si>
    <t>国泰中证畜牧养殖ETF联接A(012724), 国泰中证畜牧养殖ETF联接C(012725), 招商中证畜牧养殖ETF联接A(014414), 招商中证畜牧养殖ETF(516670), 平安中证畜牧养殖ETF(516760), 国泰中证畜牧养殖ETF(159865), 畜牧ETF(159867)</t>
  </si>
  <si>
    <t>399814</t>
  </si>
  <si>
    <t>2014-07-21</t>
  </si>
  <si>
    <t>大农业</t>
  </si>
  <si>
    <t>*</t>
  </si>
  <si>
    <t>前海开源中证大农业指数增强A(001027), 嘉实中证大农业ETF(516550)</t>
  </si>
  <si>
    <t>930719</t>
  </si>
  <si>
    <t>2015-08-04</t>
  </si>
  <si>
    <t>CS精准医</t>
  </si>
  <si>
    <t>汇添富中证精准医指数（LOF）A(501005), 汇添富中证精准医指数（LOF）C(501006)</t>
  </si>
  <si>
    <t>930939</t>
  </si>
  <si>
    <t>2018-11-20</t>
  </si>
  <si>
    <t>500质量</t>
  </si>
  <si>
    <t>鹏扬中证500质量成长ETF联接A(007593), 鹏扬中证500质量成长ETF联接C(007594), 鹏扬中证500质量成长ETF(560500), 易方达中证500质量成长ETF(159606)</t>
  </si>
  <si>
    <t>931484</t>
  </si>
  <si>
    <t>2020-05-05</t>
  </si>
  <si>
    <t>CS医药创新</t>
  </si>
  <si>
    <t>平安中证医药及医疗器械创新指数发起式A(013873), 平安中证医疗创新ETF(516820), 方正富邦中证医药及医疗器械创新ETF(560600)</t>
  </si>
  <si>
    <t>399441</t>
  </si>
  <si>
    <t>2015-01-19</t>
  </si>
  <si>
    <t>生物医药</t>
  </si>
  <si>
    <t>天弘国证生物医药ETF发起式联接A(011040), 天弘国证生物医药ETF发起式联接C(011041), 招商国证生物医药指数C(012417), 华安国证生物医药指数A(012598), 华安国证生物医药指数C(012599), 汇添富国证生物医药ETF(159839), 生物医药ETF(159859), 招商国证生物医药指数A(161726)</t>
  </si>
  <si>
    <t>399326</t>
  </si>
  <si>
    <t>2006-01-23</t>
  </si>
  <si>
    <t>成长40</t>
  </si>
  <si>
    <t>大成深证成长40ETF联接(090012), 大成深证成长40ETF(159906)</t>
  </si>
  <si>
    <t>399965</t>
  </si>
  <si>
    <t>2012-12-20</t>
  </si>
  <si>
    <t>800地产</t>
  </si>
  <si>
    <t>价值</t>
  </si>
  <si>
    <t>地产ETF(159707), 鹏华中证800地产指数(LOF)A(160628)</t>
  </si>
  <si>
    <t>399983</t>
  </si>
  <si>
    <t>2013-11-21</t>
  </si>
  <si>
    <t>地产等权</t>
  </si>
  <si>
    <t>招商沪深300地产等权重指数C(013273), 招商沪深300地产等权重指数A(161721)</t>
  </si>
  <si>
    <t>931066</t>
  </si>
  <si>
    <t>2018-02-04</t>
  </si>
  <si>
    <t>军工龙头</t>
  </si>
  <si>
    <t>富国中证军工龙头ETF(512710)</t>
  </si>
  <si>
    <t>931755</t>
  </si>
  <si>
    <t>2021-10-20</t>
  </si>
  <si>
    <t>SEEE碳中和</t>
  </si>
  <si>
    <t>大盘成长</t>
  </si>
  <si>
    <t>华安中证上海环交所碳中和指数发起式A(016763), 广发中证上海环交所碳中和ETF发起式联接(016897), 易方达中证上海环交所碳中和ETF联接A(016899), 汇添富中证上海环交所碳中和ETF发起式联接A(017907), 汇添富中证上海环交所碳中和ETF(560060), 广发中证上海环交所碳中和ETF(560550), 富国中证上海环交所碳中和ETF(561190), 易方达中证上海环交所碳中和ETF(562990), 南方中证上海环交所碳中和ETF(159639), 碳中和龙头ETF(159640), 招商中证上海环交所碳中和ETF(159641), 大成中证上海环交所碳中和ETF(159642)</t>
  </si>
  <si>
    <t>980032</t>
  </si>
  <si>
    <t>2015-02-16</t>
  </si>
  <si>
    <t>新能电池</t>
  </si>
  <si>
    <t>广发国证新能源车电池ETF发起联接A(013179), 广发国证新能源车电池ETF发起联接C(013180), 景顺长城国证新能源车电池ETF联接A(015871), 工银国证新能源车电池ETF发起式联接A(015873), 万家国证新能源车电池指数发起式(018379), 广发国证新能源车电池ETF(159755), 景顺长城国证新能电池ETF(159757), 兴银国证新能源车电池ETF(159767), 建信国证新能源车电池ETF(159775), 锂电池ETF(159840)</t>
  </si>
  <si>
    <t>H30178</t>
  </si>
  <si>
    <t>2013-07-14</t>
  </si>
  <si>
    <t>医疗保健</t>
  </si>
  <si>
    <t>天弘中证全指医疗保健设备与服务ETF发起式联接A(012326), 天弘中证全指医疗保健设备与服务ETF发起式联接C(012327), 医服ETF(516610), 保健ETF(516790), 医疗设备ETF(159873), 南方中证全指医疗保健设备与服务ETF(159877), 建信中证全指医疗保健设备与服务ETF(159891)</t>
  </si>
  <si>
    <t>931152</t>
  </si>
  <si>
    <t>2019-04-21</t>
  </si>
  <si>
    <t>CS创新药</t>
  </si>
  <si>
    <t>广发创新药ETF联接A(012737), 广发创新药ETF联接C(012738), 银华中证创新药产业ETF发起式联接A(012781), 银华中证创新药产业ETF发起式联接C(012782), 工银中证创新药产业ETF发起式联接A(013011), 工银中证创新药产业ETF发起式联接C(013012), 广发创新药ETF(515120), 新药ETF(516060), 易方达中证创新药产业ETF(516080), 摩根中证创新药产业ETF(560900), 建信中证创新药产业ETF (159835), 南方中证创新药产业ETF(159858), 创新药(159992)</t>
  </si>
  <si>
    <t>000171</t>
  </si>
  <si>
    <t>2017-01-24</t>
  </si>
  <si>
    <t>新兴成指</t>
  </si>
  <si>
    <t>华夏战略新兴成指ETF联接A(006909), 华夏战略新兴成指ETF联接C(006910), 华夏战略新兴成指ETF(512770)</t>
  </si>
  <si>
    <t>000913</t>
  </si>
  <si>
    <t>2007-07-01</t>
  </si>
  <si>
    <t>300医药</t>
  </si>
  <si>
    <t>易方达沪深300医药ETF联接A(001344), 易方达沪深300医药ETF联接C(007883), 易方达沪深300医药ETF(512010)</t>
  </si>
  <si>
    <t>000918</t>
  </si>
  <si>
    <t>2008-01-20</t>
  </si>
  <si>
    <t>300成长</t>
  </si>
  <si>
    <t>万家沪深300成长ETF发起式联接A(017996), 300成长(562310), 万家沪深300成长ETF（场内简称：300成长ETF）(159656)</t>
  </si>
  <si>
    <t>399393</t>
  </si>
  <si>
    <t>2012-08-19</t>
  </si>
  <si>
    <t>国证地产</t>
  </si>
  <si>
    <t>国泰国证房地产行业指数C(015042), 国泰国证房地产行业指数A(160218)</t>
  </si>
  <si>
    <t>931142</t>
  </si>
  <si>
    <t>2019-03-19</t>
  </si>
  <si>
    <t>东证竞争</t>
  </si>
  <si>
    <t>东方红中证竞争力指数A(007657), 东方红中证竞争力指数C(007658)</t>
  </si>
  <si>
    <t>931166</t>
  </si>
  <si>
    <t>2019-04-24</t>
  </si>
  <si>
    <t>医药健康100</t>
  </si>
  <si>
    <t>嘉实医药健康100ETF联接A(008154), 嘉实医药健康100ETF联接C(008155), 嘉实医药健康100ETF(515960)</t>
  </si>
  <si>
    <t>399293</t>
  </si>
  <si>
    <t>2019-04-17</t>
  </si>
  <si>
    <t>创业大盘</t>
  </si>
  <si>
    <t>西部利得创业板大盘ETF联接A(012554), 西部利得创业板大盘ETF联接C(012555), 招商创业板大盘ETF联接(012961), 西部利得创业板大盘ETF(159814), 招商创业板大盘ETF(159991)</t>
  </si>
  <si>
    <t>H30217</t>
  </si>
  <si>
    <t>医疗器械</t>
  </si>
  <si>
    <t>永赢中证全指医疗器械ETF发起联接A(013415), 永赢中证全指医疗器械ETF发起联接C(013416), 汇添富中证全指医疗器械ETF发起式联接A(017632), 汇添富中证全指医疗器械ETF(159797), 医疗器械ETF(159883), 招商中证全指医疗器械ETF(159898)</t>
  </si>
  <si>
    <t>931643</t>
  </si>
  <si>
    <t>2021-05-31</t>
  </si>
  <si>
    <t>科创创业50</t>
  </si>
  <si>
    <t>天弘中证科创创业50ETF联接A(012894), 天弘中证科创创业50ETF联接C(012895), 兴银中证科创创业50指数A(012898), 兴银中证科创创业50指数C(012899), 鹏扬中证科创创业50ETF联接A(012907), 鹏扬中证科创创业50ETF联接C(012908), 南方中证科创创业50ETF联接A(013298), 南方中证科创创业50ETF联接C(013299), 招商中证科创创业50ETF联接A(013302), 招商中证科创创业50ETF联接C(013303), 易方达中证科创创业50联接A(013304), 易方达中证科创创业50联接C(013305), 国泰中证科创创业50ETF发起联接A(013306), 国泰中证科创创业50ETF发起联接C(013307), 华夏科创创业50ETF发起式联接A(013310), 华夏科创创业50ETF发起式联接C(013311), 富国中证科创创业50ETF联接A(013313), 富国中证科创创业50ETF联接C(013314), 嘉实中证科创创业50ETF发起联接A(013315), 嘉实中证科创创业50ETF发起联接C(013316), 华宝中证科创创业50ETF发起式联接A(013317), 华宝中证科创创业50ETF发起式联接C(013318), 博时中证科创创业50ETF发起式联接A(014099), 博时中证科创创业50ETF发起式联接C(014100), 汇添富中证科创创业50指数增强发起式A(014218), 华富中证科创创业50指数增强A(016122), 易米中证科创创业50指数增强发起A(016392), 长信中证科创创业50指数增强A(016729), 创金合信中证科创创业50指数增强A(017412), 招商中证科创创业50ETF(588300), 方正富邦科创创业50ETF(588310), 广发中证科创创业50增强策略ETF(588320), 双创龙头(588330), 鹏扬中证科创创业50ETF(588350), 国泰中证科创创业50ETF(588360), 富国中证科创创业50ETF(588380), 博时中证科创创业50ETF(588390), 嘉实中证科创创业50ETF(588400), 双创龙头ETF(159603), 南方中证科创创业50ETF(159780), 易方达中证科创创业50ETF(159781), 双创50(159782), 华夏中证科创创业50ETF(159783)</t>
  </si>
  <si>
    <t>399394</t>
  </si>
  <si>
    <t>2012-10-28</t>
  </si>
  <si>
    <t>国证医药</t>
  </si>
  <si>
    <t>国泰国证医药卫生行业指数C(010144), 国泰国证医药卫生行业指数A(160219)</t>
  </si>
  <si>
    <t>000814</t>
  </si>
  <si>
    <t>2012-04-10</t>
  </si>
  <si>
    <t>细分医药</t>
  </si>
  <si>
    <t>华安中证细分医药ETF联接A(000373), 华安中证细分医药ETF联接C(000376), 华安中证细分医药ETF(512120)</t>
  </si>
  <si>
    <t>931009</t>
  </si>
  <si>
    <t>建筑材料</t>
  </si>
  <si>
    <t>广发中证全指建筑材料指数A(004856), 广发中证全指建筑材料指数C(004857), 国泰中证全指建筑材料ETF发起联接A(013019), 国泰中证全指建筑材料ETF发起联接C(013020), 富国中证全指建筑材料ETF(516750), 国泰中证全指建筑材料ETF(159745), 易方达中证全指建筑材料ETF(159787)</t>
  </si>
  <si>
    <t>000808</t>
  </si>
  <si>
    <t>2012-02-16</t>
  </si>
  <si>
    <t>医药生物</t>
  </si>
  <si>
    <t>申万菱信中证申万医药生物指数A(163118)</t>
  </si>
  <si>
    <t>399364</t>
  </si>
  <si>
    <t>2009-08-02</t>
  </si>
  <si>
    <t>消费100</t>
  </si>
  <si>
    <t>天弘国证消费100指数增强A(010771), 天弘国证消费100指数增强C(010772), 易米国证消费100指数增强发起A(013926), 易米国证消费100指数增强发起C(013927)</t>
  </si>
  <si>
    <t>000813</t>
  </si>
  <si>
    <t>细分化工</t>
  </si>
  <si>
    <t>华宝化工ETF联接A(012537), 华宝化工ETF联接C(012538), 国泰中证细分化工产业主题ETF联接A(012730), 国泰中证细分化工产业主题ETF联接C(012731), 嘉实中证细分化工产业主题指数发起式A(013527), 鹏华中证细分化工产业主题ETF联接A(014942), 汇添富中证细分化工产业主题指数增强发起式A(015225), 华泰紫金中证细分化工产业主题指数发起A(015328), 天弘中证细分化工指数发起A(015896), 化工ETF(516020), 富国中证细分化工产业主题ETF(516120), 国泰中证细分化工产业主题ETF(516220), 化工产业(516690), 化工ETF(159870)</t>
  </si>
  <si>
    <t>000933</t>
  </si>
  <si>
    <t>2009-07-02</t>
  </si>
  <si>
    <t>中证医药</t>
  </si>
  <si>
    <t>添富中证医药ETF联接A(007076), 添富中证医药ETF联接C(007077), 东财医药A(008551), 东财医药C(008552), 鹏华中证医药指数C（LOF）(010366), 长城中证医药卫生指数增强A(014205), 汇添富中证医药卫生ETF(159929), 鹏华中证医药指数A（LOF）(160635)</t>
  </si>
  <si>
    <t>930726</t>
  </si>
  <si>
    <t>CS生医</t>
  </si>
  <si>
    <t>国泰中证生物医药ETF联接A(006756), 国泰中证生物医药ETF联接C(006757), 国泰中证生物医药ETF(512290)</t>
  </si>
  <si>
    <t>931719</t>
  </si>
  <si>
    <t>CS电池</t>
  </si>
  <si>
    <t>汇添富中证电池主题ETF发起式联接A(012862), 汇添富中证电池主题ETF发起式联接C(012863), 大成中证电池主题指数发起式A(015997), 招商中证电池主题ETF联接A(016019), 嘉实中证电池主题ETF发起联接A(016566), 富国中证电池主题ETF发起式联接A(017222), 富国中证电池主题ETF(561160), 招商中证电池主题ETF(561910), 嘉实中证电池主题ETF(562880), 汇添富中证电池主题ETF(159796)</t>
  </si>
  <si>
    <t>H11052</t>
  </si>
  <si>
    <t>2009-07-21</t>
  </si>
  <si>
    <t>智能电车</t>
  </si>
  <si>
    <t>华宝中证智能电动汽车ETF发起式联接A(013475), 华宝中证智能电动汽车ETF发起式联接C(013476), 智能电动车ETF(516380), 易方达中证智能电动汽车ETF(516590), 浦银安盛中证智能电动汽车ETF(560000), 建信中证智能电动汽车ETF(159710), 泰康智能电车ETF(159720)</t>
  </si>
  <si>
    <t>000069</t>
  </si>
  <si>
    <t>2010-05-27</t>
  </si>
  <si>
    <t>消费80</t>
  </si>
  <si>
    <t>招商上证消费80ETF联接C(004407), 招商上证消费80ETF联接A(217017), 招商上证消费80ETF(510150)</t>
  </si>
  <si>
    <t>399296</t>
  </si>
  <si>
    <t>2019-01-22</t>
  </si>
  <si>
    <t>创成长</t>
  </si>
  <si>
    <t>华夏创业板动量成长ETF发起式联接A(007474), 华夏创业板动量成长ETF发起式联接C(007475), 华夏创成长ETF(159967)</t>
  </si>
  <si>
    <t>931526</t>
  </si>
  <si>
    <t>2020-08-23</t>
  </si>
  <si>
    <t>企业核心竞争力50</t>
  </si>
  <si>
    <t>核心50ETF(560650), 漂亮50(561500)</t>
  </si>
  <si>
    <t>港股</t>
  </si>
  <si>
    <t>HSSSHID</t>
  </si>
  <si>
    <t>2020-02-29</t>
  </si>
  <si>
    <t>恒生沪深港创新药精选50指数</t>
  </si>
  <si>
    <t>创新药AH(517380)</t>
  </si>
  <si>
    <t>000841</t>
  </si>
  <si>
    <t>800医药</t>
  </si>
  <si>
    <t>中信保诚中证800医药指数（LOF）C(013080), 中信保诚中证800医药指数（LOF）A(165519)</t>
  </si>
  <si>
    <t>931140</t>
  </si>
  <si>
    <t>医药50</t>
  </si>
  <si>
    <t>富国中证医药50ETF联接A(012801), 富国中证医药50ETF联接C(012802), 华泰紫金中证医药50指数发起A(015497), 富国中证医药50ETF(515950), 博时医药50ETF(159838)</t>
  </si>
  <si>
    <t>930791</t>
  </si>
  <si>
    <t>2016-03-21</t>
  </si>
  <si>
    <t>CS医药TI</t>
  </si>
  <si>
    <t>富国中证医药主题指数增强型（LOF）C(005626), 天弘中证医药指数增强A(012401), 天弘中证医药指数增强C(012402), 富国中证医药主题指数增强型（LOF）A(161035)</t>
  </si>
  <si>
    <t>931590</t>
  </si>
  <si>
    <t>2020-11-08</t>
  </si>
  <si>
    <t>500成长创新</t>
  </si>
  <si>
    <t>华夏中证智选500成长创新策略ETF(159620)</t>
  </si>
  <si>
    <t>931380</t>
  </si>
  <si>
    <t>2019-11-24</t>
  </si>
  <si>
    <t>科技50</t>
  </si>
  <si>
    <t>易方达中证科技50联接A(012717), 易方达中证科技50联接C(012718), 易方达中证科技50ETF(159807)</t>
  </si>
  <si>
    <t>931409</t>
  </si>
  <si>
    <t>2020-02-19</t>
  </si>
  <si>
    <t>SHS创新药</t>
  </si>
  <si>
    <t>国泰中证沪港深创新药产业ETF发起联接A(014117), 国泰中证沪港深创新药产业ETF发起联接C(014118), 东财中证沪港深创新药指数发起式A(014128), 东财中证沪港深创新药指数发起式C(014129), 天弘恒生沪深港创新药精选50ETF发起联接A(014564), 天弘恒生沪深港创新药精选50ETF发起联接C(014565), 国泰中证沪港深创新药产业ETF(517110), 创新药50(517120), 富国中证沪港深创新药产业ETF(159748)</t>
  </si>
  <si>
    <t>931802</t>
  </si>
  <si>
    <t>2010-02-08</t>
  </si>
  <si>
    <t>中证龙头</t>
  </si>
  <si>
    <t>平衡</t>
  </si>
  <si>
    <t>易方达中证龙头企业指数A(012756)</t>
  </si>
  <si>
    <t>000903</t>
  </si>
  <si>
    <t>2006-05-28</t>
  </si>
  <si>
    <t>中证100</t>
  </si>
  <si>
    <t>宽基</t>
  </si>
  <si>
    <t>南方中证100指数C(005691), 广发中证100ETF联接A(007135), 广发中证100ETF联接C(007136), 华宝中证100ETF联接C(007405), 宝盈中证100指数增强C(007580), 中银中证100ETF联接基金A(009479), 中银中证100ETF联接基金C(009480), 海富通中证100指数C(010224), 诺安中证100指数C(010351), 华夏中证100ETF发起式联接A(017862), 中银中证100指数增强(163808), 南方中证100指数A(202211), 宝盈中证100指数增强A(213010), 华宝中证100ETF联接A(240014), 诺安中证100指数A(320010), 华富中证100指数(410008), 长盛中证100指数(519100), 广发中证100ETF(512910), 中银100(515670), 富国中证100ETF(561180), 华宝中证100ETF(562000), 华夏中证100ETF(159627), 汇添富中证100ETF(159630), 招商中证100ETF(159631), 大成中证100ETF(159923), 海富通中证100指数A(162307), 国联安中证100指数（LOF）(162509), 国富中证100指数增强（LOF）(164508)</t>
  </si>
  <si>
    <t>931775</t>
  </si>
  <si>
    <t>房地产</t>
  </si>
  <si>
    <t>南方中证房地产ETF发起联接A(004642), 南方中证房地产ETF发起联接C(004643), 华夏中证全指房地产ETF联接A(008088), 华夏中证全指房地产ETF联接C(008089), 南方中证房地产ETF发起联接E(010989), 南方中证全指房地产ETF(512200), 华夏中证全指房地产ETF(515060)</t>
  </si>
  <si>
    <t>931468</t>
  </si>
  <si>
    <t>2020-05-20</t>
  </si>
  <si>
    <t>红利质量</t>
  </si>
  <si>
    <t>华夏中证红利质量ETF发起式联接A(016440), 华夏中证红利质量ETF(159758)</t>
  </si>
  <si>
    <t>000932</t>
  </si>
  <si>
    <t>中证消费</t>
  </si>
  <si>
    <t>汇添富中证主要消费ETF联接A(000248), 嘉实中证主要消费ETF联接A(009179), 嘉实中证主要消费ETF联接C(009180), 汇添富中证主要消费ETF联接C(012857), 嘉实中证主要消费ETF(512600), 广发中证主要消费ETF(560680), 博时主要消费ETF(159672), 南方中证主要消费ETF(159689), 汇添富中证主要消费ETF(159928)</t>
  </si>
  <si>
    <t>931151</t>
  </si>
  <si>
    <t>光伏产业</t>
  </si>
  <si>
    <t>天弘中证光伏A(011102), 天弘中证光伏C(011103), 招商中证光伏产业指数A(011966), 招商中证光伏产业指数C(011967), 广发中证光伏产业指数A(012364), 广发中证光伏产业指数C(012365), 华泰柏瑞光伏ETF联接A(012679), 华泰柏瑞光伏ETF联接C(012680), 平安中证光伏产业指数A(012722), 平安中证光伏产业指数C(012723), 华夏中证光伏产业指数发起式A(012885), 华夏中证光伏产业指数发起式C(012886), 银华中证光伏产业ETF发起式联接A(012928), 华安中证光伏产业ETF发起式联接A(013105), 华安中证光伏产业ETF发起式联接C(013106), 国泰中证光伏产业ETF发起联接A(013601), 国泰中证光伏产业ETF发起联接C(013602), 汇添富中证光伏产业指数增强发起式A(013816), 汇添富中证光伏产业指数增强发起式C(013817), 嘉实中证光伏产业指数发起式A(014604), 嘉实中证光伏产业指数发起式C(014605), 博时中证光伏产业指数A(015993), 浦银安盛中证光伏产业ETF联接A(017116), 光伏ETF(515790), 光伏产业(516180), 汇添富中证光伏产业ETF(516290), 光伏50(516880), 浦银安盛中证光伏产业ETF(159609), 华安中证光伏产业ETF(159618), 光伏ETF(159857), 光伏产业(159863), 国泰中证光伏产业ETF(159864)</t>
  </si>
  <si>
    <t>399295</t>
  </si>
  <si>
    <t>创业蓝筹</t>
  </si>
  <si>
    <t>华夏创业板低波价值ETF发起式联接A(007472), 华夏创业板低波价值ETF发起式联接C(007473), 华夏创业板低波价值ETF(159966)</t>
  </si>
  <si>
    <t>399088</t>
  </si>
  <si>
    <t>2020-02-17</t>
  </si>
  <si>
    <t>深创100</t>
  </si>
  <si>
    <t>华宝深创100ETF发起式联接A(013177), 华宝深创100ETF发起式联接C(013178), 永赢深创100ETF发起式联接A(013907), 永赢深创100ETF发起式联接C(013908), 深创100(159716), 深创龙头ETF(159721)</t>
  </si>
  <si>
    <t>000036</t>
  </si>
  <si>
    <t>2009-01-08</t>
  </si>
  <si>
    <t>上证消费</t>
  </si>
  <si>
    <t>华夏消费ETF(510630)</t>
  </si>
  <si>
    <t>931402</t>
  </si>
  <si>
    <t>2020-01-13</t>
  </si>
  <si>
    <t>证券先锋</t>
  </si>
  <si>
    <t>华富中证券公司先锋策略 ETF(516980)</t>
  </si>
  <si>
    <t>000806</t>
  </si>
  <si>
    <t>2012-02-09</t>
  </si>
  <si>
    <t>消费服务</t>
  </si>
  <si>
    <t>消服ETF(516600)</t>
  </si>
  <si>
    <t>950096</t>
  </si>
  <si>
    <t>2016-05-10</t>
  </si>
  <si>
    <t>上海国企</t>
  </si>
  <si>
    <t>汇添富中证上海国企ETF联接A(003194), 中证上海国企ETF(510810)</t>
  </si>
  <si>
    <t>931866</t>
  </si>
  <si>
    <t>2022-05-08</t>
  </si>
  <si>
    <t>中证机床</t>
  </si>
  <si>
    <t>中盘成长</t>
  </si>
  <si>
    <t>国泰中证机床ETF发起联接A(017471), 国泰中证机床ETF发起联接C(017472), 华夏中证机床ETF(159663), 国泰中证机床ETF(159667)</t>
  </si>
  <si>
    <t>000949</t>
  </si>
  <si>
    <t>2009-10-27</t>
  </si>
  <si>
    <t>中证农业</t>
  </si>
  <si>
    <t>天弘中证农业主题A(010769), 天弘中证农业主题C(010770), 富国中证农业主题ETF联接A(015878), 华夏中证农业主题ETF发起式联接A(016077), 博时中证农业主题指数发起式A(017019), 华夏中证农业主题ETF(516810), 富国中证农业主题ETF(159825), 农业50(159827)</t>
  </si>
  <si>
    <t>399330</t>
  </si>
  <si>
    <t>深证100</t>
  </si>
  <si>
    <t>宝盈祥瑞混合A(000639), 招商深证100指数C(004408), 易方达深证100ETF联接C(004742), 方正富邦深证100ETF联接A(006687), 方正富邦深证100ETF联接C(006688), 招商深证100ETF联接(008236), 招商深证100ETF联接C(008237), 广发深证100指数C(009472), 易方达深证100ETF联接A(110019), 融通深证100指数A/B(161604), 广发深证100指数（LOF）A(162714), 招商深证100指数A(217016), 建信深证100指数增强(530018), 深证100ETF华安(159706), 易方达深证100ETF(159901), 方正富邦深证100ETF(159961), 深100P(159969), 深100ETF工银(159970), 招商深证100ETF(159975), 国投瑞银深证100指数（LOF）(161227), 银华深证100指数(161812)</t>
  </si>
  <si>
    <t>000037</t>
  </si>
  <si>
    <t>上证医药</t>
  </si>
  <si>
    <t>华夏医药ETF(510660)</t>
  </si>
  <si>
    <t>000978</t>
  </si>
  <si>
    <t>2011-03-17</t>
  </si>
  <si>
    <t>医药100</t>
  </si>
  <si>
    <t>国联安中证医药100A(000059), 天弘中证医药100A(001550), 天弘中证医药100C(001551), 国联安中证医药100C(006569)</t>
  </si>
  <si>
    <t>931476</t>
  </si>
  <si>
    <t>2020-04-29</t>
  </si>
  <si>
    <t>ESG 120策略</t>
  </si>
  <si>
    <t>英大中证ESG120策略指数A(012854), 浦银安盛中证ESG 120策略ETF(516720)</t>
  </si>
  <si>
    <t>399701</t>
  </si>
  <si>
    <t>2010-05-09</t>
  </si>
  <si>
    <t>深证F60</t>
  </si>
  <si>
    <t>建信深证基本面60ETF联接C(006363), 建信深证基本面60ETF联接A(530015), 建信深证基本面60ETF(159916)</t>
  </si>
  <si>
    <t>980030</t>
  </si>
  <si>
    <t>消费电子</t>
  </si>
  <si>
    <t>东财消费电子指数增强A(012319), 东财消费电子指数增强C(012320), 华夏国证消费电子主题ETF(159732)</t>
  </si>
  <si>
    <t>000043</t>
  </si>
  <si>
    <t>2009-04-22</t>
  </si>
  <si>
    <t>超大盘</t>
  </si>
  <si>
    <t>博时上证超大盘ETF联接(050013), 博时上证超大盘ETF(510020)</t>
  </si>
  <si>
    <t>399310</t>
  </si>
  <si>
    <t>2005-09-04</t>
  </si>
  <si>
    <t>国证A50</t>
  </si>
  <si>
    <t>天弘国证A50指数A(010953), 天弘国证A50指数C(010954)</t>
  </si>
  <si>
    <t>000016</t>
  </si>
  <si>
    <t>2004-01-01</t>
  </si>
  <si>
    <t>上证50</t>
  </si>
  <si>
    <t>华夏上证50ETF联接A(001051), 博时上证50ETF联接A(001237), 天弘上证50A(001548), 天弘上证50C(001549), 易方达上证50增强C(004746), 华夏上证50ETF联接C(005733), 博时上证50ETF联接C(005737), 建信上证50ETF联接A(005880), 建信上证50ETF联接C(005881), 工银上证50ETF联接A(006220), 工银上证50ETF联接C(006221), 易方达上证50ETF联接发起式A(007379), 易方达上证50ETF联接发起式C(007380), 南方上证50指数增强发起A(008056), 南方上证50指数增强发起C(008057), 东财上证50A(008240), 东财上证50C(008241), 汇添富上证50基本面增强指数A(012157), 汇添富上证50基本面增强指数C(012158), 易方达上证50指数（LOF）C(012875), 建信上证50ETF发起联接E(013444), 华泰柏瑞上证50指数增强A(016697), 华安上证50ETF联接A(040190), 易方达上证50增强A(110003), 中海上证50指数增强(399001), 长盛上证50指数（LOF）(502040), 易方达上证50指数（LOF）A(502048), 华夏上证50ETF(510050), 易方达上证50ETF(510100), 申万菱信上证50交易型开放式指数发起式(510600), 万家上证50ETF(510680), 博时上证50ETF(510710), 建信上证50ETF(510800), 工银上证50ETF(510850)</t>
  </si>
  <si>
    <t>931375</t>
  </si>
  <si>
    <t>300质量低波</t>
  </si>
  <si>
    <t>鹏扬沪深300质量低波A(011132), 鹏扬沪深300质量低波C(011133)</t>
  </si>
  <si>
    <t>399702</t>
  </si>
  <si>
    <t>深证F120</t>
  </si>
  <si>
    <t>嘉实深证基本面120ETF联接C(005998), 嘉实深证基本面120ETF联接A(070023), 嘉实深证基本面120ETF(159910)</t>
  </si>
  <si>
    <t>931403</t>
  </si>
  <si>
    <t>品牌工程</t>
  </si>
  <si>
    <t>农银中证新华社民族品牌指数(012394), 富国中证新华社民族品牌工程ETF联接A(014406), 富国中证新华社民族品牌工程ETF联接C(014407), 富国中证新华社民族品牌工程ETF(561130)</t>
  </si>
  <si>
    <t>399313</t>
  </si>
  <si>
    <t>2005-02-02</t>
  </si>
  <si>
    <t>巨潮100</t>
  </si>
  <si>
    <t>融通巨潮100指数C(004874), 融通巨潮100指数A/B(161607)</t>
  </si>
  <si>
    <t>931395</t>
  </si>
  <si>
    <t>沪港深300</t>
  </si>
  <si>
    <t>国寿安保沪港深300ETF联接A(012663), 易方达中证沪港深300ETF(517030), 沪港深300ETF(517300)</t>
  </si>
  <si>
    <t>931068</t>
  </si>
  <si>
    <t>消费龙头</t>
  </si>
  <si>
    <t>华宝消费龙头C(009329), 招商中证消费龙头指数增强A(011853), 招商中证消费龙头指数增强C(011854), 消费龙头LOF(501090), 消费龙头ETF(516130)</t>
  </si>
  <si>
    <t>H30597</t>
  </si>
  <si>
    <t>2015-02-12</t>
  </si>
  <si>
    <t>新材料</t>
  </si>
  <si>
    <t>天弘中证新材料指数A(012561), 天弘中证新材料指数C(012562), 华宝中证新材料ETF发起式联接A(013473), 华宝中证新材料ETF发起式联接C(013474), 华夏中证新材料主题ETF发起式联接A(014431), 华夏中证新材料主题ETF发起式联接C(014432), 国泰中证新材料主题ETF发起联接A(014908), 国泰中证新材料主题ETF发起联接C(014909), 华宝新材料ETF(516360), 国联安新材料ETF(516480), 华夏中证新材料主题ETF(516710), 平安中证新材料主题ETF(516890), 新材料ETF(159703), 国泰中证新材料主题ETF(159761), 建信中证新材料主题ETF(159763)</t>
  </si>
  <si>
    <t>980017</t>
  </si>
  <si>
    <t>国证芯片</t>
  </si>
  <si>
    <t>华夏国证半导体芯片ETF联接A(008887), 华夏国证半导体芯片ETF联接C(008888), 广发国证半导体芯片ETF联接A(012629), 广发国证半导体芯片ETF联接C(012630), 鹏华国证半导体芯片ETF联接A(012969), 鹏华国证半导体芯片ETF联接C(012970), 半导体龙头ETF(159665), 广发国证半导体芯片ETF(159801), 芯片(159813), 华夏国证半导体芯片ETF(159995)</t>
  </si>
  <si>
    <t>399417</t>
  </si>
  <si>
    <t>2014-09-23</t>
  </si>
  <si>
    <t>新能源车</t>
  </si>
  <si>
    <t>国泰国证新能源汽车指数（LOF）C(014997), 国泰国证新能源汽车指数（LOF）A(160225)</t>
  </si>
  <si>
    <t>000991</t>
  </si>
  <si>
    <t>2011-08-01</t>
  </si>
  <si>
    <t>全指医药</t>
  </si>
  <si>
    <t>广发医药卫生联接A(001180), 广发医药卫生联接C(002978), 银华中证全指医药卫生指数增强发起式(005112), 广发中证全指医药卫生ETF(159938)</t>
  </si>
  <si>
    <t>930614</t>
  </si>
  <si>
    <t>2015-04-06</t>
  </si>
  <si>
    <t>环保50</t>
  </si>
  <si>
    <t>国泰中证环保产业50ETF联接A(012503), 国泰中证环保产业50ETF联接C(012504), 国泰中证环保产业50ETF(159861)</t>
  </si>
  <si>
    <t>000859</t>
  </si>
  <si>
    <t>2019-05-15</t>
  </si>
  <si>
    <t>国企一带一路</t>
  </si>
  <si>
    <t>富国中证国企一带一路ETF联接A(007786), 富国中证国企一带一路ETF联接C(007787), 易方达中证国企一带一路ETF联接发起式A(007788), 易方达中证国企一带一路ETF联接发起式C(007789), 添富中证国企一带一路ETF联接A(008907), 添富中证国企一带一路ETF联接C(008908), 易方达中证国企一带一路ETF(515110), 富国中证国企一带一路ETF(515150), 添富中证国企一带一路ETF(515990)</t>
  </si>
  <si>
    <t>950090</t>
  </si>
  <si>
    <t>2015-12-09</t>
  </si>
  <si>
    <t>50AH优选</t>
  </si>
  <si>
    <t>华夏上证50AH优选指数（LOF）A(501050)</t>
  </si>
  <si>
    <t>HSSI</t>
  </si>
  <si>
    <t>2001-10-02</t>
  </si>
  <si>
    <t>恒生综合小型股指数</t>
  </si>
  <si>
    <t>易方达香港恒生综合小型股指数（QDII-LOF）C(006263), 易方达香港恒生综合小型股指数（QDII-LOF）A(161124)</t>
  </si>
  <si>
    <t>HSHKBIO</t>
  </si>
  <si>
    <t>2019-11-30</t>
  </si>
  <si>
    <t>恒生香港上市生物科技指数</t>
  </si>
  <si>
    <t>华夏恒生香港上市生物科技ETF（QDII）(159892)</t>
  </si>
  <si>
    <t>000860</t>
  </si>
  <si>
    <t>2018-03-25</t>
  </si>
  <si>
    <t>结构调整</t>
  </si>
  <si>
    <t>华夏中证央企ETF联接A(006196), 华夏中证央企ETF联接C(006197), 博时央调ETF联接A(006438), 博时央调ETF联接C(006439), 华夏中证央企ETF(512950), 博时央企结构调整ETF(512960), 央企ETF(159959)</t>
  </si>
  <si>
    <t>931494</t>
  </si>
  <si>
    <t>2020-06-11</t>
  </si>
  <si>
    <t>国泰中证消费电子主题ETF发起联接A(014906), 国泰中证消费电子主题ETF发起联接C(014907), 富国中证消费电子主题ETF发起式联接A(015876), 平安中证消费电子主题ETF发起式联接A(015894), 招商中证消费电子主题ETF联接A(016007), 富国中证消费电子主题ETF(561100), 国泰中证消费电子主题ETF(561310), 平安中证消费电子主题ETF(561600), 易方达中证消费电子主题ETF(562950), 景顺长城中证消费电子ETF(159733), 消费电子龙头ETF(159769), 招商中证消费电子主题ETF(159779)</t>
  </si>
  <si>
    <t>931587</t>
  </si>
  <si>
    <t>500价值稳健</t>
  </si>
  <si>
    <t>中盘价值</t>
  </si>
  <si>
    <t>华夏中证智选500价值稳健策略ETF(159617)</t>
  </si>
  <si>
    <t>930820</t>
  </si>
  <si>
    <t>CS高端制</t>
  </si>
  <si>
    <t>富国中证高端制造指数增强型（LOF）A(161037)</t>
  </si>
  <si>
    <t>H30455</t>
  </si>
  <si>
    <t>2014-11-27</t>
  </si>
  <si>
    <t>沪港深500</t>
  </si>
  <si>
    <t>富国中证沪港深500ETF联接A(012275), 富国中证沪港深500ETF联接C(012276), 华夏中证沪港深500ETF发起式联接A(017557), 沪港深(517000), 易方达中证沪港深500ETF(517010), 汇添富中证沪港深500ETF(517080), 富国中证沪港深500ETF(517100), 华夏中证沪港深500ETF(517170)</t>
  </si>
  <si>
    <t>HSCAIT</t>
  </si>
  <si>
    <t>2009-09-20</t>
  </si>
  <si>
    <t>恒生A股行业龙头指数</t>
  </si>
  <si>
    <t>汇丰晋信恒生龙头指数C(001149), 汇丰晋信恒生龙头指数A(540012)</t>
  </si>
  <si>
    <t>930740</t>
  </si>
  <si>
    <t>2018-12-03</t>
  </si>
  <si>
    <t>300红利LV</t>
  </si>
  <si>
    <t>嘉实沪深300红利低波动ETF联接A(007605), 嘉实沪深300红利低波动ETF联接C(007606), 嘉实沪深300红利低波动ETF(515300)</t>
  </si>
  <si>
    <t>931139</t>
  </si>
  <si>
    <t>CS消费50</t>
  </si>
  <si>
    <t>富国中证消费50ETF联接A(008975), 富国中证消费50ETF联接C(008976), 东兴中证消费50A(009116), 东兴中证消费50C(009117), 富国中证消费50ETF(515650), 易方达中证消费50ETF(159798)</t>
  </si>
  <si>
    <t>931663</t>
  </si>
  <si>
    <t>2015-03-12</t>
  </si>
  <si>
    <t>SHS消费龙头</t>
  </si>
  <si>
    <t>汇添富中证沪港深消费龙头指数发起A(013129), 汇添富中证沪港深消费龙头指数发起C(013130), 招商中证沪港深消费龙头ETF(517550), 浦银安盛中证沪港深消费龙头ETF(517760)</t>
  </si>
  <si>
    <t>930653</t>
  </si>
  <si>
    <t>2015-06-04</t>
  </si>
  <si>
    <t>CS食品饮</t>
  </si>
  <si>
    <t>天弘中证食品饮料ETF联接A(001631), 东财食品饮料指数增强A(012340), 东财食品饮料指数增强C(012341), 饮食ETF(159736)</t>
  </si>
  <si>
    <t>399812</t>
  </si>
  <si>
    <t>2014-06-05</t>
  </si>
  <si>
    <t>养老产业</t>
  </si>
  <si>
    <t>广发养老指数A(000968), 广发养老指数C(002982), 华宝养老ETF(516560)</t>
  </si>
  <si>
    <t>931521</t>
  </si>
  <si>
    <t>2020-07-07</t>
  </si>
  <si>
    <t>高装细分50</t>
  </si>
  <si>
    <t>嘉实中证高端装备细分50ETF发起联接A(018027), 嘉实中证高端装备细分50ETF(159638)</t>
  </si>
  <si>
    <t>HSHCI</t>
  </si>
  <si>
    <t>2015-08-16</t>
  </si>
  <si>
    <t>恒生医疗保健指数</t>
  </si>
  <si>
    <t>博时恒生医疗保健（QDII-ETF）(513060)</t>
  </si>
  <si>
    <t>000688</t>
  </si>
  <si>
    <t>2020-07-22</t>
  </si>
  <si>
    <t>科创50</t>
  </si>
  <si>
    <t>易方达上证科创板50联接A(011608), 易方达上证科创板50联接C(011609), 科创板ETF联接A(011610), 科创板ETF联接C(011611), 华夏上证科创板50成份ETF联接A(011612), 华夏上证科创板50成份ETF联接C(011613), 工银科创ETF联接A(011614), 工银科创ETF联接C(011615), 广发科创50ETF发起式联接A(013810), 广发科创50ETF发起式联接C(013811), 国联安上证科创50ETF联接A(013893), 嘉实上证科创板50指数增强发起式A(017188), 华夏上证科创板50成份ETF(588000), 科创ETF(588050), 广发科创50ETF (588060), 易方达上证科创板50ETF(588080), 科创板ETF(588090), 南方上证科创板50成份ETF(588150), 国联安科创ETF(588180), 华安上证科创板50ETF(588280), 南方上证科创板50成份增强策略ETF(588370), 科创50增强ETF(588460)</t>
  </si>
  <si>
    <t>H30015</t>
  </si>
  <si>
    <t>800汽车</t>
  </si>
  <si>
    <t>国泰中证800汽车与零部件ETF发起联接A(012973), 国泰中证800汽车与零部件ETF发起联接C(012974), 国泰中证800汽车与零部件ETF(516110)</t>
  </si>
  <si>
    <t>H30089</t>
  </si>
  <si>
    <t>2013-07-01</t>
  </si>
  <si>
    <t>红利潜力</t>
  </si>
  <si>
    <t>建信中证红利潜力指数A(007671), 建信中证红利潜力指数C(007672), 山西证券中证红利潜力ETF联接  (008149), 山西证券中证红利潜力ETF(515570)</t>
  </si>
  <si>
    <t>399976</t>
  </si>
  <si>
    <t>CS新能车</t>
  </si>
  <si>
    <t>国泰中证新能源汽车ETF联接A(009067), 国泰中证新能源汽车ETF联接C(009068), 东财中证新能源车ETF发起式联接A(010805), 东财中证新能源车ETF发起式联接C(010806), 天弘中证新能源车A(011512), 天弘中证新能源车C(011513), 嘉实中证新能源汽车指数A(012543), 嘉实中证新能源汽车指数C(012544), 华夏中证新能源汽车ETF发起式联接A(013013), 华夏中证新能源汽车ETF发起式联接C(013014), 富国中证新能源汽车指数C(013048), 招商中证新能源汽车指数A(013195), 招商中证新能源汽车指数C(013196), 华安中证新能源汽车ETF发起式联接A(013319), 华安中证新能源汽车ETF发起式联接C(013320), 华夏中证新能源汽车ETF(515030), 华安中证新能源汽车ETF(516660), 新能源车龙头ETF(159637), 国泰中证新能源汽车ETF(159806), 博时新能源汽车ETF(159824), 富国中证新能源汽车指数A(161028)</t>
  </si>
  <si>
    <t>399989</t>
  </si>
  <si>
    <t>2014-10-30</t>
  </si>
  <si>
    <t>中证医疗</t>
  </si>
  <si>
    <t>广发中证医疗指数C(009881), 华宝医疗ETF联接C(012323), 国泰中证医疗ETF联接A(012634), 国泰中证医疗ETF联接C(012635), 嘉实中证医疗指数发起式A(014602), 嘉实中证医疗指数发起式C(014603), 易方达中证医疗ETF联接发起式A(017937), 广发中证医疗指数（LOF）A(502056), 华宝中证医疗ETF(512170), 国泰中证医疗ETF(159828), 易方达中证医疗ETF(159847), 华宝医疗ETF联接A(162412)</t>
  </si>
  <si>
    <t>931524</t>
  </si>
  <si>
    <t>2020-07-15</t>
  </si>
  <si>
    <t>SHS科技龙头</t>
  </si>
  <si>
    <t>天弘中证沪港深科技龙头指数A(012559), 天弘中证沪港深科技龙头指数C(012560), 鹏华中证沪港深科技龙头指数(LOF)C(012809), 汇添富中证沪港深科技龙头指数发起式A(013093), 汇添富中证沪港深科技龙头指数发起式C(013094), 广发中证沪港深科技龙头ETF联接A(013162), 广发中证沪港深科技龙头ETF联接C(013163), 宝盈中证沪港深科技龙头指数发起式A(015820), 鹏华中证沪港深科技龙头指数(LOF)A(160646), 浦银安盛中证沪港深科技龙头ETF (517270), 广发中证沪港深科技龙头ETF(517350), 汇添富中证沪港深科技龙头ETF(159723)</t>
  </si>
  <si>
    <t>399986</t>
  </si>
  <si>
    <t>中证银行</t>
  </si>
  <si>
    <t>天弘中证银行ETF联接A(001594), 天弘中证银行ETF联接C(001595), 南方中证银行ETF发起联接A(004597), 南方中证银行ETF发起联接C(004598), 华宝银行ETF联接C(006697), 添富中证银行ETF联接A(007153), 添富中证银行ETF联接C(007154), 华夏中证银行ETF联接A(008298), 华夏中证银行ETF联接C(008299), 易方达中证银行指数（LOF）C(009860), 东财中证银行指数A(011971), 东财中证银行指数C(011972), 鹏华银行C(012042), 南方中证银行ETF发起联接E(012547), 富国中证银行指数C(013330), 招商中证银行指数C(014028), 华安中证银行指数A(160418), 博时中证银行指数(160517), 招商中证银行指数A(161723), 华宝银行ETF联接A(240019), 南方中证银行ETF(512700), 银行FUND(512730), 华宝中证银行ETF(512800), 中证银行ETF(512820), 华夏中证银行ETF(515020), 富国中证银行ETF(515280), 银行(515290), 华安中证银行ETF(516210), 易方达中证银行ETF(516310), 鹏华银行A(160631), 富国中证银行指数A(161029), 易方达中证银行指数（LOF）A(161121)</t>
  </si>
  <si>
    <t>931159</t>
  </si>
  <si>
    <t>创新100</t>
  </si>
  <si>
    <t>诺德研发创新100(007737), 申万菱信中证研发创新100交易型开放式指数联接A(007983), 申万菱信中证研发创新100交易型开放式指数联接C(007984), 申万菱信中证研发创新100交易型开放式指数(515200), 创新ETF(159987)</t>
  </si>
  <si>
    <t>930997</t>
  </si>
  <si>
    <t>2017-07-18</t>
  </si>
  <si>
    <t>平安中证新能源汽车ETF发起联接A(012698), 平安中证新能源汽车ETF发起联接C(012699), 汇添富中证新能源汽车产业指数(LOF）A(501057), 汇添富中证新能源汽车产业指数（LOF）C(501058), 平安中证新能源汽车产业ETF(515700), 汇添富中证新能源汽车产业ETF(516390)</t>
  </si>
  <si>
    <t>000807</t>
  </si>
  <si>
    <t>食品饮料</t>
  </si>
  <si>
    <t>天弘中证食品饮料ETF联接C(001632), 华安中证申万食品饮料ETF(516900)</t>
  </si>
  <si>
    <t>H30035</t>
  </si>
  <si>
    <t>300非银</t>
  </si>
  <si>
    <t>易方达沪深300非银联接A(000950), 易方达沪深300非银联接C(007882), 易方达沪深300非银ETF(512070)</t>
  </si>
  <si>
    <t>399324</t>
  </si>
  <si>
    <t>深证红利</t>
  </si>
  <si>
    <t>工银深证红利ETF联接C(006724), 工银深证红利ETF联接A(481012), 红利ETF(159708), 深红利ETF(159905)</t>
  </si>
  <si>
    <t>000815</t>
  </si>
  <si>
    <t>细分食品</t>
  </si>
  <si>
    <t>华宝食品ETF联接A(012548), 华宝食品ETF联接C(012549), 华泰紫金中证细分食品饮料主题指数发起A(012763), 华泰紫金中证细分食品饮料主题指数发起C(012764), 华夏中证细分食品饮料产业主题ETF发起式联接A(013125), 华夏中证细分食品饮料产业主题ETF发起式联接C(013126), 华夏中证细分食品饮料产业主题ETF(515170), 食品ETF(515710), 食品ETF(159862)</t>
  </si>
  <si>
    <t>399396</t>
  </si>
  <si>
    <t>国证食品</t>
  </si>
  <si>
    <t>国泰国证食品饮料行业指数C(015040), 招商国证食品饮料ETF(159843), 国泰国证食品饮料行业指数A(160222)</t>
  </si>
  <si>
    <t>930606</t>
  </si>
  <si>
    <t>2015-03-30</t>
  </si>
  <si>
    <t>中证钢铁</t>
  </si>
  <si>
    <t>国泰中证钢铁ETF联接A(008189), 国泰中证钢铁ETF联接C(008190), 财通资管中证钢铁指数发起式A(013802), 财通资管中证钢铁指数发起式C(013803), 国泰中证钢铁ETF(515213), 国泰中证钢铁ETF(515210)</t>
  </si>
  <si>
    <t>931187</t>
  </si>
  <si>
    <t>2019-05-29</t>
  </si>
  <si>
    <t>科技100</t>
  </si>
  <si>
    <t>华泰柏瑞中证科技100ETF联接A(008399), 华泰柏瑞中证科技100ETF联接C(008400), 天弘中证科技100指数增强A(010202), 天弘中证科技100指数增强C(010203), 华泰柏瑞中证科技100ETF(515580), 南方中证科技100ETF(159853)</t>
  </si>
  <si>
    <t>000934</t>
  </si>
  <si>
    <t>中证金融</t>
  </si>
  <si>
    <t>嘉实中证金融地产ETF联接A(001539), 嘉实中证金融地产ETF联接C(005999), 长盛中证金融地产指数（LOF）(160814), 嘉实中证金融地产ETF(512640), 汇添富中证金融地产ETF(159931)</t>
  </si>
  <si>
    <t>000992</t>
  </si>
  <si>
    <t>全指金融</t>
  </si>
  <si>
    <t>广发金融地产联接A(001469), 广发金融地产联接C(002979), 广发中证全指金融地产ETF(159940)</t>
  </si>
  <si>
    <t>000941</t>
  </si>
  <si>
    <t>新能源</t>
  </si>
  <si>
    <t>华安中证内地新能源主题ETF发起式联接A(014303), 华安中证内地新能源主题ETF发起式联接C(014304), 申万菱信中证内地新能源主题ETF发起式联接A(016225), 华安中证内地新能源主题ETF(516270), 申万菱信中证内地新能源主题ETF(159752)</t>
  </si>
  <si>
    <t>931588</t>
  </si>
  <si>
    <t>1000价值稳健</t>
  </si>
  <si>
    <t>华夏中证智选1000价值稳健策略ETF(562530)</t>
  </si>
  <si>
    <t>931865</t>
  </si>
  <si>
    <t>中证半导</t>
  </si>
  <si>
    <t>嘉实中证半导体指数增强发起式A(014854), 嘉实中证半导体指数增强发起式C(014855)</t>
  </si>
  <si>
    <t>HSMSI</t>
  </si>
  <si>
    <t>2015-06-07</t>
  </si>
  <si>
    <t>恒生综合中小型股指数</t>
  </si>
  <si>
    <t>大成恒生综合中小型股指数(160922)</t>
  </si>
  <si>
    <t>930965</t>
  </si>
  <si>
    <t>2017-06-22</t>
  </si>
  <si>
    <t>HKC医药C</t>
  </si>
  <si>
    <t>易方达中证港股通医药卫生综合ETF(513200), 香港医药(513700), 平安中证港股医药ETF(159718), 港股通医药ETF(159776)</t>
  </si>
  <si>
    <t>399808</t>
  </si>
  <si>
    <t>2015-02-09</t>
  </si>
  <si>
    <t>中证新能</t>
  </si>
  <si>
    <t>天弘中证新能源指数增强A(012328), 南方中证新能源ETF联接A(012831), 南方中证新能源ETF联接C(012832), 东财中证新能源指数增强A(014237), 东财中证新能源指数增强C(014238), 华夏中证新能源ETF发起式联接A(017571), 易方达中证新能源ETF(516090), 南方中证新能源ETF(516160), 博时新能源ETF(516580), 华夏中证新能源ETF(516850), 嘉实中证新能源ETF(159875)</t>
  </si>
  <si>
    <t>990001</t>
  </si>
  <si>
    <t>2019-03-17</t>
  </si>
  <si>
    <t>中华半导体芯片</t>
  </si>
  <si>
    <t>国泰CES半导体芯片行业ETF联接A(008281), 国泰CES半导体芯片行业ETF联接C(008282), 华安CES半导体芯片行业指数发起A(012837), 华安CES半导体芯片行业指数发起C(012838), 西部利得CES芯片指数增强A(014418), 西部利得CES芯片指数增强C(014419), 国泰CES半导体芯片行业ETF(512760)</t>
  </si>
  <si>
    <t>000861</t>
  </si>
  <si>
    <t>央企创新</t>
  </si>
  <si>
    <t>广发央企创新驱动ETF联接A(007784), 广发央企创新驱动ETF联接C(007785), 嘉实央企创新驱动ETF联接A(007792), 嘉实央企创新驱动ETF联接C(007793), 博时央创ETF联接A(007796), 博时央创ETF联接C(007797), 富国中证央企创新驱动ETF联接A(007809), 富国中证央企创新驱动ETF联接C(007810), 广发中证央企创新驱动ETF(515600), 嘉实央企创新驱动ETF(515680), 博时央企创新ETF(515900), 富国中证央企创新驱动ETF(159974)</t>
  </si>
  <si>
    <t>000685</t>
  </si>
  <si>
    <t>2022-06-12</t>
  </si>
  <si>
    <t>科创芯片</t>
  </si>
  <si>
    <t>嘉实上证科创板芯片ETF发起联接A(017469), 嘉实上证科创板芯片ETF发起联接C(017470), 华安上证科创板芯片ETF发起式联接A(017559), 华安上证科创板芯片ETF发起式联接C(017560), 嘉实上证科创板芯片ETF(588200), 华安上证科创板芯片ETF(588290)</t>
  </si>
  <si>
    <t>931461</t>
  </si>
  <si>
    <t>电子50</t>
  </si>
  <si>
    <t>华宝电子ETF联接A(012550), 华宝电子ETF联接C(012551), 华安中证电子50ETF发起式联接A(014632), 电子ETF(515260), 华安中证电子50ETF(515320)</t>
  </si>
  <si>
    <t>399550</t>
  </si>
  <si>
    <t>2012-06-05</t>
  </si>
  <si>
    <t>央视50</t>
  </si>
  <si>
    <t>招商央视财经50指数C(004410), 中融央视财经50ETF联接A(006743), 中融央视财经50ETF联接C(006744), 建信央视财经50指数(165312), 招商央视财经50指数A(217027), 央视50(159965)</t>
  </si>
  <si>
    <t>399997</t>
  </si>
  <si>
    <t>2015-01-20</t>
  </si>
  <si>
    <t>中证白酒</t>
  </si>
  <si>
    <t>招商中证白酒指数C(012414), 招商中证白酒指数A(161725)</t>
  </si>
  <si>
    <t>931582</t>
  </si>
  <si>
    <t>数字经济</t>
  </si>
  <si>
    <t>鹏扬中证数字经济主题ETF发起式联接A(015787), 鹏扬中证数字经济主题ETF(560800), 华安中证数字经济主题ETF(159658)</t>
  </si>
  <si>
    <t>399348</t>
  </si>
  <si>
    <t>2009-11-03</t>
  </si>
  <si>
    <t>深证价值</t>
  </si>
  <si>
    <t>交银深证300价值ETF联接(519706), 交银深证300价值ETF(159913)</t>
  </si>
  <si>
    <t>HSMI</t>
  </si>
  <si>
    <t>恒生综合中型股指数</t>
  </si>
  <si>
    <t>广发恒生中型股指数C(004996), 广发恒生中型股指数（LOF）A(501303)</t>
  </si>
  <si>
    <t>HSHK35</t>
  </si>
  <si>
    <t>2003-01-19</t>
  </si>
  <si>
    <t>恒生香港35</t>
  </si>
  <si>
    <t>华宝港股通恒生香港35指数(162416)</t>
  </si>
  <si>
    <t>930697</t>
  </si>
  <si>
    <t>2015-07-06</t>
  </si>
  <si>
    <t>家用电器</t>
  </si>
  <si>
    <t>广发中证全指家用电器ETF联接A(005063), 广发中证全指家用电器ETF联接C(005064), 国泰中证全指家用电器ETF联接A(008713), 国泰中证全指家用电器ETF联接C(008714), 富国中证全指家用电器ETF发起式联接A(017226), 广发中证全指家用电器ETF(560880), 家电ETF(家电ETF)(561120), 国泰中证全指家用电器ETF(159996)</t>
  </si>
  <si>
    <t>000914</t>
  </si>
  <si>
    <t>300金融</t>
  </si>
  <si>
    <t>国投金融地产ETF联接(161211), 国投瑞银金融地产ETF(159933)</t>
  </si>
  <si>
    <t>399412</t>
  </si>
  <si>
    <t>2014-05-15</t>
  </si>
  <si>
    <t>国证新能</t>
  </si>
  <si>
    <t>交银国证新能源指数（LOF）C(013453), 交银国证新能源指数（LOF）A(164905)</t>
  </si>
  <si>
    <t>000977</t>
  </si>
  <si>
    <t>2011-01-20</t>
  </si>
  <si>
    <t>内地低碳</t>
  </si>
  <si>
    <t>鹏华中证内地低碳经济主题ETF联接A(012754), 鹏华中证内地低碳经济主题ETF联接C(012755), 易方达中证内地低碳经济主题ETF联接A(013502), 华夏中证内地低碳经济主题ETF发起式联接A(013605), 华夏中证内地低碳经济主题ETF发起式联接C(013606), 易方达中证内地低碳经济主题ETF(516070), 碳中和TK(560560), 低碳ETF(562300), 华夏中证内地低碳经济主题ETF(159790), 低碳ETF(159885)</t>
  </si>
  <si>
    <t>000300</t>
  </si>
  <si>
    <t>2005-04-07</t>
  </si>
  <si>
    <t>沪深300</t>
  </si>
  <si>
    <t>华夏沪深300ETF联接A(000051), 华泰柏瑞量化增强混合A(000172), 嘉实沪深300指数研究增强A(000176), 景顺长城沪深300指数增强A(000311), 华安沪深300增强A(000312), 华安沪深300增强C(000313), 国泰沪深300指数增强A(000512), 国寿安保沪深300ETF联接(000613), 前海开源沪深300指数A(000656), 天弘沪深300ETF联接A(000961), 华夏沪深300指数增强A(001015), 华夏沪深300指数增强C(001016), 国泰沪深300指数增强C(002063), 创金合信沪深300增强A(002310), 创金合信沪深300增强C(002315), 博时沪深300指数C(002385), 万家沪深300指数增强A(002670), 万家沪深300指数增强C(002671), 广发沪深300ETF联接C(002987), 中金沪深300A(003015), 前海联合沪深300(003475), 泰达宏利沪深300C(003548), 中金沪深300C(003579), 华宝沪深300增强A(003876), 汇安沪深300增强A(003884), 汇安沪深300增强C(003885), 安信量化沪深300增强A(003957), 安信量化沪深300增强C(003958), 招商沪深300指数增强A(004190), 招商沪深300指数增强C(004191), 南方沪深300ETF联接C(004342), 海富通沪深300增强C(004512), 海富通沪深300增强A(004513), 富荣沪深300指数增强A(004788), 富荣沪深300指数增强C(004789), 工银沪深300ETF联接A(005102), 工银沪深300ETF联接C(005103), 平安沪深300指数量化增强A(005113), 平安沪深300指数量化增强C(005114), 长信沪深300指数A(005137), 农银沪深300指数C(005152), 新华沪深300指数增强A(005248), 汇添富沪深300指数增强A(005530), 平安300ETF联接A(005639), 平安300ETF联接C(005640), 华夏沪深300ETF联接C(005658), 财通沪深300指数增强(005850), 国泰沪深300指数C(005867), 鹏华沪深300指数增强A(005870), 天弘沪深300ETF联接C(005918), 广发沪深300指数增强A(006020), 广发沪深300指数增强C(006021), 华泰柏瑞沪深300ETF联接C(006131), 人保沪深300(006600), 长城久泰沪深300指数C(006912), 工银沪深300指数C(006937), 鹏华沪深300指数C类(LOF)(006939), 前海联合沪深300C(007039), 博道沪深300增强A(007044), 博道沪深300增强C(007045), 大成沪深300指数C(007096), 国投瑞银沪深300指数量化增强A(007143), 国投瑞银沪深300指数量化增强C(007144), 兴全沪深300指数C(007230), 银河沪深300指数增强A(007275), 银河沪深300指数增强C(007276), 易方达沪深300ETF发起式联接C(007339), 华宝沪深300增强C(007404), 长信沪深300指数C(007448), 永赢沪深300A(007538), 永赢沪深300C(007539), 申万菱信沪深300指数增强C(007804), 新华沪深300指数增强C(008184), 中泰沪深300指数增强A(008238), 中泰沪深300指数增强C(008239), 民生加银沪深300ETF联接A(008291), 民生加银沪深300ETF联接C(008292), 国联安沪深300ETF联接A(008390), 国联安沪深300ETF联接C(008391), 天弘沪深300指数增强A(008592), 天弘沪深300指数增强C(008593), 华安沪深300ETF联接A(008776), 华安沪深300ETF联接C(008777), 泰康沪深300ETF联接A(008926), 泰康沪深300ETF联接C(008927), 南方沪深300指数增强A(009059), 南方沪深300指数增强C(009060), 建信沪深300指数增强C(009208), 华泰柏瑞量化增强混合C(010234), 诺安沪深300增强C(010352), 汇添富沪深300指数增强C(010556), 易方达沪深300精选增强A(010736), 易方达沪深300精选增强C(010737), 汇添富沪深300基本面增强指数型证券投资基金A(010854), 汇添富沪深300基本面增强指数型证券投资基金C(010855), 博时沪深300指数增强A(010872), 博时沪深300指数增强C(010873), 大成沪深300增强发起式A(010908), 大成沪深300增强发起式C(010909), 长江沪深300指数增强A(011545), 长江沪深300指数增强C(011546), 中泰沪深300量化优选增强A(012206), 中泰沪深300量化优选增强C(012207), 同泰沪深300量化增强A(012911), 同泰沪深300量化增强C(012912), 中信保诚沪深300指数（LOF）C(013120), 富国沪深300指数增强C(013291), 浙商沪深300指数增强(LOF)C(014372), 中信建投沪深300指数增强A(015061), 东财沪深300指数发起式A(015278), 中欧沪深300指数增强A(015387), 兴业沪深300ETF发起式联接A(015906), 申万菱信沪深300优选指数增强发起式A(016103), 东方沪深300指数增强A(016204), 华泰紫金沪深300指数增强发起A(016867), 摩根沪深300指数增强发起式A(017445), 国泰沪深300指数A(020011), 博时沪深300指数A(050002), 富国沪深300指数增强A/B(100038), 易方达沪深300ETF发起式联接A(110020), 易方达沪深300量化增强(110030), 嘉实沪深300ETF联接(LOF)C(160724), 泰达宏利沪深300A(162213), 建信沪深300指数增强（LOF）A(165310), 东吴沪深300指数A(165806), 浙商沪深300指数增强(LOF)A(166802), 国金300指数增强A(167601), 长城久泰沪深300指数A(200002), 南方沪深300ETF联接A(202015), 广发沪深300ETF联接A(270010), 申万菱信沪深300指数增强(310318), 诺安沪深300增强A(320014), 国富沪深300指数增强(450008), 华泰柏瑞沪深300ETF联接A(460300), 工银沪深300指数A(481009), 浦银安盛沪深300指数增强(519116), 大成沪深300指数A(519300), 农银沪深300指数A(660008), 西部利得沪深300指数A(673100), 西部利得沪深300指数C(673101), 汇添富沪深300指数（LOF）A(501043), 汇添富沪深300指数（LOF）C(501045), 华泰柏瑞沪深300ETF(510300), 易方达沪深300ETF发起式(510310), 华夏沪深300ETF(510330), 工银沪深300ETF(510350), 广发沪深300ETF(510360), 兴业沪深300ETF(510370), 国寿安保沪深300ETF(510380), 平安沪深300ETF(510390), 博时沪深300ETF(515130), 添富沪深300ETF(515310), 天弘300(515330), 民生加银沪深300ETF(515350), 方正富邦沪深300ETF(515360), 泰康300(515380), 华安沪深300ETF(515390), 国联安沪深300ETF(515660), 永赢沪深300ETF(515930), 华安沪深300增强策略ETF(561000), 国泰沪深300增强策略ETF(561300), 招商沪深300增强策略ETF(561990), 嘉实沪深300ETF(159919), 南方沪深300ETF(159925), 鹏华沪深300指数A类(LOF)(160615), 嘉实沪深300ETF联接(LOF)A(160706), 长盛沪深300指数（LOF）(160807), 银华沪深300指数(161811), 兴全沪深300指数（LOF）A(163407), 建信沪深300指数（LOF）(165309), 中信保诚沪深300指数（LOF）A(165515)</t>
  </si>
  <si>
    <t>931165</t>
  </si>
  <si>
    <t>新兴科技100</t>
  </si>
  <si>
    <t>嘉实新兴科技100ETF联接A(007815), 嘉实新兴科技100ETF联接C(007816), 嘉实新兴科技100ETF(515860)</t>
  </si>
  <si>
    <t>931052</t>
  </si>
  <si>
    <t>2017-12-07</t>
  </si>
  <si>
    <t>国信价值</t>
  </si>
  <si>
    <t>富国中证价值ETF联接A(006748), 富国中证价值ETF联接C(007191), 富国中证价值ETF(512040)</t>
  </si>
  <si>
    <t>H30007</t>
  </si>
  <si>
    <t>2012-12-19</t>
  </si>
  <si>
    <t>芯片产业</t>
  </si>
  <si>
    <t>天弘中证芯片指数A(012552), 天弘中证芯片指数C(012553), 东财中证芯片指数发起式A(013445), 东财中证芯片指数发起式C(013446), 汇添富中证芯片产业指数增强发起式A(014193), 汇添富中证芯片产业指数增强发起式C(014194), 富国中证芯片产业ETF发起式联接A(014776), 富国中证芯片产业ETF发起式联接C(014777), 嘉实中证芯片产业指数发起式A(015336), 易方达中证芯片产业ETF(516350), 富国中证芯片产业ETF(516640), 汇添富中证芯片产业ETF(516920)</t>
  </si>
  <si>
    <t>000969</t>
  </si>
  <si>
    <t>300非周</t>
  </si>
  <si>
    <t>长安沪深300非周期指数A(740101)</t>
  </si>
  <si>
    <t>HSSCHKY</t>
  </si>
  <si>
    <t>2019-10-31</t>
  </si>
  <si>
    <t>恒生港股通高股息率指数</t>
  </si>
  <si>
    <t>博时恒生高股息ETF发起式联接A(014519), 博时恒生高股息ETF发起式联接C(014520), 博时恒生高股息ETF(513690)</t>
  </si>
  <si>
    <t>399987</t>
  </si>
  <si>
    <t>2014-12-09</t>
  </si>
  <si>
    <t>中证酒</t>
  </si>
  <si>
    <t>鹏华酒C(012043), 酒ETF(512690), 鹏华酒A(160632)</t>
  </si>
  <si>
    <t>930632</t>
  </si>
  <si>
    <t>2015-05-11</t>
  </si>
  <si>
    <t>CS稀金属</t>
  </si>
  <si>
    <t>930955</t>
  </si>
  <si>
    <t>2017-05-25</t>
  </si>
  <si>
    <t>红利低波100</t>
  </si>
  <si>
    <t>天弘中证红利低波动100A(008114), 天弘中证红利低波动100C(008115), 景顺长城中证红利低波动100ETF联接A(016128), 景顺长城中证红利低波动100ETF (515100)</t>
  </si>
  <si>
    <t>931087</t>
  </si>
  <si>
    <t>科技龙头</t>
  </si>
  <si>
    <t>华宝科技ETF联接A(007873), 华宝科技ETF联接C(007874), 工银科技龙头ETF发起式联接A(012882), 工银科技龙头ETF发起式联接C(012883), 华宝中证科技龙头ETF(515000), 科技龙头ETF(516050)</t>
  </si>
  <si>
    <t>000018</t>
  </si>
  <si>
    <t>2007-12-09</t>
  </si>
  <si>
    <t>180金融</t>
  </si>
  <si>
    <t>国泰上证180金融ETF联接C(014994), 国泰上证180金融ETF联接A(020021), 国泰上证180金融ETF(510230)</t>
  </si>
  <si>
    <t>931008</t>
  </si>
  <si>
    <t>汽车指数</t>
  </si>
  <si>
    <t>广发中证全指汽车指数A(004854), 广发中证全指汽车指数C(004855)</t>
  </si>
  <si>
    <t>399440</t>
  </si>
  <si>
    <t>2014-12-29</t>
  </si>
  <si>
    <t>国证钢铁</t>
  </si>
  <si>
    <t>鹏华国证钢铁行业指数(LOF)C(012810), 鹏华国证钢铁行业指数(LOF)A(502023), 中融钢铁A(168203)</t>
  </si>
  <si>
    <t>HSMCHYI</t>
  </si>
  <si>
    <t>2019-08-31</t>
  </si>
  <si>
    <t>恒生中国内地企业高股息率指数</t>
  </si>
  <si>
    <t>华夏恒生中国内地企业高股息率ETF(159726)</t>
  </si>
  <si>
    <t>930850</t>
  </si>
  <si>
    <t>2016-07-19</t>
  </si>
  <si>
    <t>智能制造</t>
  </si>
  <si>
    <t>华宝中证智能制造主题ETF发起式联接A(013447), 华宝中证智能制造主题ETF发起式联接C(013448), 智能制造ETF(516800)</t>
  </si>
  <si>
    <t>399437</t>
  </si>
  <si>
    <t>证券龙头</t>
  </si>
  <si>
    <t>宝盈国证证券龙头指数发起式A(015859), 龙头券商(159993)</t>
  </si>
  <si>
    <t>HSSCNE</t>
  </si>
  <si>
    <t>2018-01-07</t>
  </si>
  <si>
    <t>恒生港股通新经济指数</t>
  </si>
  <si>
    <t>嘉实港股通新经济指数(LOF)A(501311)</t>
  </si>
  <si>
    <t>399007</t>
  </si>
  <si>
    <t>深证300</t>
  </si>
  <si>
    <t>大摩深证300指数增强(233010), 汇添富深证300ETF联接A(470068), 平安深证300指数增强(700002), 汇添富深证300ETF(159912)</t>
  </si>
  <si>
    <t>931357</t>
  </si>
  <si>
    <t>2019-11-14</t>
  </si>
  <si>
    <t>优选消费50</t>
  </si>
  <si>
    <t>中金中证沪港深优选消费50A(008519), 中金中证沪港深优选消费50C(008520)</t>
  </si>
  <si>
    <t>931186</t>
  </si>
  <si>
    <t>中证科技</t>
  </si>
  <si>
    <t>富国中证科技50策略ETF联接A(008749), 富国中证科技50策略ETF联接C(008750), 富国中证科技50策略ETF(515750)</t>
  </si>
  <si>
    <t>000919</t>
  </si>
  <si>
    <t>300价值</t>
  </si>
  <si>
    <t>申万菱信沪深300价值指数C(007800), 银河沪深300价值指数C(013074), 申万菱信沪深300价值指数(310398), 银河沪深300价值指数A(519671), 300价值A(562320)</t>
  </si>
  <si>
    <t>930708</t>
  </si>
  <si>
    <t>中证有色</t>
  </si>
  <si>
    <t>东财有色增强A(011630), 东财有色增强C(011631), 国泰中证有色金属ETF发起联接A(013218), 国泰中证有色金属ETF发起联接C(013219), 财通资管中证有色金属指数发起式A(013437), 财通资管中证有色金属指数发起式C(013438), 华宝中证有色金属ETF发起式联接A(017140), 有色金属(159871), 有色(159876), 国泰中证有色金属ETF(159881)</t>
  </si>
  <si>
    <t>399285</t>
  </si>
  <si>
    <t>物联网50</t>
  </si>
  <si>
    <t>物联网ETF工银(159709)</t>
  </si>
  <si>
    <t>000063</t>
  </si>
  <si>
    <t>2010-02-02</t>
  </si>
  <si>
    <t>上证周期</t>
  </si>
  <si>
    <t>海富通上证周期ETF联接(519027), 海富通上证周期ETF(510110)</t>
  </si>
  <si>
    <t>000987</t>
  </si>
  <si>
    <t>全指材料</t>
  </si>
  <si>
    <t>广发中证全指原材料ETF(159944)</t>
  </si>
  <si>
    <t>931591</t>
  </si>
  <si>
    <t>1000成长创新</t>
  </si>
  <si>
    <t>华夏中证智选1000成长创新策略ETF(562520)</t>
  </si>
  <si>
    <t>931404</t>
  </si>
  <si>
    <t>SHS品牌消费50</t>
  </si>
  <si>
    <t>品牌消费(517880)</t>
  </si>
  <si>
    <t>HSI</t>
  </si>
  <si>
    <t>1989-03-08</t>
  </si>
  <si>
    <t>恒生指数</t>
  </si>
  <si>
    <t>华夏恒生ETF联接A(000071), 华夏沪港通恒生ETF联接A(000948), 南方恒生指数ETF联接C(005659), 南方恒生指数ETF联接（LOF）A(501302), 南方恒生指数ETF(513600), 华夏沪港通恒生ETF(513660), 华夏恒生ETF(159920), 汇添富恒生指数(QDII-LOF) A(164705)</t>
  </si>
  <si>
    <t>000048</t>
  </si>
  <si>
    <t>2009-08-04</t>
  </si>
  <si>
    <t>责任指数</t>
  </si>
  <si>
    <t>建信上证社会责任ETF联接(530010), 建信上证社会责任ETF(510090)</t>
  </si>
  <si>
    <t>399809</t>
  </si>
  <si>
    <t>保险主题</t>
  </si>
  <si>
    <t>方正富邦中证保险A(167301)</t>
  </si>
  <si>
    <t>930931</t>
  </si>
  <si>
    <t>2017-01-15</t>
  </si>
  <si>
    <t>港股通50</t>
  </si>
  <si>
    <t>港股通50ETF联接A(012151), 港股通50ETF联接C(012152), 国泰中证港股通50ETF发起联接A(014689), 港股通50(513550), 华夏中证港股通50ETF(159711), 国泰中证港股通50ETF(159712)</t>
  </si>
  <si>
    <t>399005</t>
  </si>
  <si>
    <t>中小板指</t>
  </si>
  <si>
    <t>申万菱信中小企业100指数(LOF)C(007799), 易方达中小企业100指数（LOF）C(012872), 华富中小企业100指数增强(410010), 华夏中小板ETF(159902), 易方达中小企业100指数（LOF）A(161118), 申万菱信中小企业100指数(LOF)A(163111)</t>
  </si>
  <si>
    <t>000010</t>
  </si>
  <si>
    <t>2002-06-30</t>
  </si>
  <si>
    <t>上证180</t>
  </si>
  <si>
    <t>华安上证180ETF联接A(040180), 万家180指数(519180), 华安上证180ETF(510180)</t>
  </si>
  <si>
    <t>HSCEI</t>
  </si>
  <si>
    <t>1994-08-07</t>
  </si>
  <si>
    <t>恒生中国企业指数</t>
  </si>
  <si>
    <t>易方达恒生国企联接（QDII）C(005675), 易方达恒生国企联接（QDII）A(110031), 易方达恒生国企(QDII-ETF)(510900), 平安恒生中国企业ETF(159960), 银华恒生国企指数（QDII-LOF）(161831)</t>
  </si>
  <si>
    <t>930709</t>
  </si>
  <si>
    <t>香港证券</t>
  </si>
  <si>
    <t>易方达中证香港证券投资主题ETF(513090)</t>
  </si>
  <si>
    <t>HSML25</t>
  </si>
  <si>
    <t>恒生中国(香港上市)25指数</t>
  </si>
  <si>
    <t>华宝香港大盘C(006355)</t>
  </si>
  <si>
    <t>H30199</t>
  </si>
  <si>
    <t>电力指数</t>
  </si>
  <si>
    <t>广发中证全指电力ETF发起式联接A(016185), 博时中证全指电力ETF发起式联接A(017481), 电力ETF(561560), 博时中证全指电力公用事业ETF(561700), 电力(562350), 广发中证全指电力ETF(159611)</t>
  </si>
  <si>
    <t>930712</t>
  </si>
  <si>
    <t>2015-07-30</t>
  </si>
  <si>
    <t>CS物联网</t>
  </si>
  <si>
    <t>华夏中证物联网主题ETF(516260), 物联网(516330), 招商中证物联网主题ETF(159701), 易方达中证物联网主题ETF(159895), 南方中证物联网主题ETF(159896)</t>
  </si>
  <si>
    <t>931573</t>
  </si>
  <si>
    <t>2014-05-20</t>
  </si>
  <si>
    <t>HKC科技</t>
  </si>
  <si>
    <t>国泰中证港股通科技ETF发起联接A(015739), 景顺长城中证港股通科技ETF联接A(016495), 国泰中证港股通科技ETF(513020), 港科技50(513150), 兴银中证港股通科技ETF(513560), 海富通中证港股通科技ETF(513860), 景顺长城中证港股通科技ETF (513980), 港股科技ETF(159751)</t>
  </si>
  <si>
    <t>000827</t>
  </si>
  <si>
    <t>2012-09-24</t>
  </si>
  <si>
    <t>中证环保</t>
  </si>
  <si>
    <t>广发中证环保ETF联接A(001064), 广发中证环保ETF联接C(002984), 申万菱信中证环保产业指数(LOF)C(010419), 鹏华中证环保产业指数(LOF)A(160634), 新华中证环保产业指数(164304), 广发中证环保ETF(512580), 申万菱信中证环保产业指数(LOF)A(163114)</t>
  </si>
  <si>
    <t>399966</t>
  </si>
  <si>
    <t>800证保</t>
  </si>
  <si>
    <t>保险证券(515630), 鹏华中证800证券保险指数(LOF)A(160625)</t>
  </si>
  <si>
    <t>000029</t>
  </si>
  <si>
    <t>180价值</t>
  </si>
  <si>
    <t>华宝上证180价值ETF联接(240016), 上证180价值ETF(510030)</t>
  </si>
  <si>
    <t>399001</t>
  </si>
  <si>
    <t>1995-01-22</t>
  </si>
  <si>
    <t>深证成指</t>
  </si>
  <si>
    <t>南方深证成份ETF联接C(004345), 融通深证成份指数C(004875), 融通深证成份指数A/B(161612), 南方深证成份ETF联接A(202017), 南方深证成份ETF(159903), 深证ETF(159943), 申万菱信深证成份指数A(163109)</t>
  </si>
  <si>
    <t>HSHYLV</t>
  </si>
  <si>
    <t>2017-05-07</t>
  </si>
  <si>
    <t>恒生港股通高股息低波动指数</t>
  </si>
  <si>
    <t>恒生前海港股通高股息低波动指数(005702), 富国恒生港股通高股息低波动ETF（QDII）(513950)</t>
  </si>
  <si>
    <t>000979</t>
  </si>
  <si>
    <t>2011-08-21</t>
  </si>
  <si>
    <t>大宗商品</t>
  </si>
  <si>
    <t>招商中证商品指数基金(161715)</t>
  </si>
  <si>
    <t>000819</t>
  </si>
  <si>
    <t>2012-05-08</t>
  </si>
  <si>
    <t>有色金属</t>
  </si>
  <si>
    <t>南方中证申万有色金属ETF发起联接A(004432), 南方中证申万有色金属ETF发起联接C(004433), 南方中证申万有色金属ETF发起联接E(010990), 南方中证申万有色金属ETF(512400)</t>
  </si>
  <si>
    <t>931574</t>
  </si>
  <si>
    <t>2013-05-20</t>
  </si>
  <si>
    <t>港股科技</t>
  </si>
  <si>
    <t>南方中证香港科技ETF（QDII）(159747), 招商中证香港科技ETF（QDII）(159750)</t>
  </si>
  <si>
    <t>930782</t>
  </si>
  <si>
    <t>2016-02-03</t>
  </si>
  <si>
    <t>500SNLV</t>
  </si>
  <si>
    <t>景顺长城中证500行业中性低波动指数(003318), 华安中证500低波ETF(512260)</t>
  </si>
  <si>
    <t>931406</t>
  </si>
  <si>
    <t>5G 50</t>
  </si>
  <si>
    <t>博时5G50ETF联接A(012655), 博时5G50ETF联接C(012658), 博时5G50ETF(159811)</t>
  </si>
  <si>
    <t>000906</t>
  </si>
  <si>
    <t>2007-01-14</t>
  </si>
  <si>
    <t>中证800</t>
  </si>
  <si>
    <t>天弘中证800A(001588), 天弘中证800C(001589), 易方达中证800ETF联接发起式A(007856), 易方达中证800ETF联接发起式C(007857), 湘财长源股票型A(008128), 湘财长源股票型C(008129), 兴全中证800六个月持有指数A(010673), 兴全中证800六个月持有指数C(010674), 汇添富中证800ETF联接基金A(012596), 汇添富中证800ETF联接基金C(012597), 民生加银中证800指数增强发起式A(013031), 民生加银中证800指数增强发起式C(013032), 中银中证800指数型发起式A(014226), 中银中证800指数型发起式C(014227), 招商中证800指数增强A(016276), 华夏中证800指数增强(017985), 添富中证800ETF(515800), 易方达中证800ETF(515810), 长盛同庆中证800指数(LOF)(160806)</t>
  </si>
  <si>
    <t>930633</t>
  </si>
  <si>
    <t>中证旅游</t>
  </si>
  <si>
    <t>华夏中证旅游主题ETF(562510), 富国中证旅游主题ETF(159766)</t>
  </si>
  <si>
    <t>930821</t>
  </si>
  <si>
    <t>中证VR</t>
  </si>
  <si>
    <t>VRETF(159786)</t>
  </si>
  <si>
    <t>H30588</t>
  </si>
  <si>
    <t>2015-02-01</t>
  </si>
  <si>
    <t>中证证保</t>
  </si>
  <si>
    <t>天弘中证证券保险A(001552), 天弘中证证券保险C(001553)</t>
  </si>
  <si>
    <t>930721</t>
  </si>
  <si>
    <t>CS智汽车</t>
  </si>
  <si>
    <t>天弘中证智能汽车A(010955), 天弘中证智能汽车C(010956), 富国中证智能汽车指数（LOF）C(013292), 富国中证智能汽车主题ETF(515250), 智能驾驶(516520), 汇添富中证智能汽车主题ETF(159795), 华夏中证智能汽车主题ETF(159888), 国泰中证智能汽车主题ETF(159889), 富国中证智能汽车指数（LOF）A(161033)</t>
  </si>
  <si>
    <t>931637</t>
  </si>
  <si>
    <t>2021-01-10</t>
  </si>
  <si>
    <t>HKC互联网</t>
  </si>
  <si>
    <t>富国中证港股通互联网ETF发起式联接A(014673), 华宝中证港股通互联网ETF发起式联接A(017125), 华宝中证港股通互联网ETF(513770), 富国中证港股通互联网ETF(159792)</t>
  </si>
  <si>
    <t>H30184</t>
  </si>
  <si>
    <t>半导体</t>
  </si>
  <si>
    <t>国联安中证全指半导体产品与设备ETF联接A(007300), 国联安中证全指半导体产品与设备ETF联接C(007301), 国联安半导体ETF(512480)</t>
  </si>
  <si>
    <t>000821</t>
  </si>
  <si>
    <t>2012-07-19</t>
  </si>
  <si>
    <t>300红利</t>
  </si>
  <si>
    <t>建信沪深300红利ETF发起式联接A(012712), 建信沪深300红利ETF发起式联接C(012713), 建信沪深300红利ETF(512530)</t>
  </si>
  <si>
    <t>930652</t>
  </si>
  <si>
    <t>CS电子</t>
  </si>
  <si>
    <t>天弘中证电子ETF联接A(001617), 天弘中证电子ETF联接C(001618), 电子ETF(159997)</t>
  </si>
  <si>
    <t>399291</t>
  </si>
  <si>
    <t>2019-11-05</t>
  </si>
  <si>
    <t>创精选88</t>
  </si>
  <si>
    <t>国寿安保创精选88ETF联接A(008898), 国寿安保创精选88ETF联接C(008899), 国寿安保创精选88ETF(159804)</t>
  </si>
  <si>
    <t>930598</t>
  </si>
  <si>
    <t>2015-03-01</t>
  </si>
  <si>
    <t>稀土产业</t>
  </si>
  <si>
    <t>嘉实中证稀土产业ETF联接A(011035), 嘉实中证稀土产业ETF联接C(011036), 华泰柏瑞中证稀土产业ETF发起式联接A(014331), 华泰柏瑞中证稀土产业ETF发起式联接C(014332), 嘉实中证稀土产业ETF(516150), 稀土ETF(516780), 富国中证稀土产业ETF(159713), 易方达中证稀土产业ETF(159715)</t>
  </si>
  <si>
    <t>931079</t>
  </si>
  <si>
    <t>5G通信</t>
  </si>
  <si>
    <t>华夏中证5G通信主题ETF联接A(008086), 华夏中证5G通信主题ETF联接C(008087), 银华中证5G通信主题ETF联接A(008889), 银华中证5G通信主题ETF联接C(010524), 华夏中证5G通信主题ETF(515050), 5GETF(159994)</t>
  </si>
  <si>
    <t>000989</t>
  </si>
  <si>
    <t>全指可选</t>
  </si>
  <si>
    <t>广发可选消费联接A(001133), 广发可选消费联接C(002977), 广发中证全指可选消费ETF(159936)</t>
  </si>
  <si>
    <t>399998</t>
  </si>
  <si>
    <t>中证煤炭</t>
  </si>
  <si>
    <t>国泰中证煤炭ETF联接A(008279), 国泰中证煤炭ETF联接C(008280), 富国中证煤炭指数C(013275), 国泰中证煤炭ETF(515223), 国泰中证煤炭ETF(515220), 富国中证煤炭指数A(161032), 中融煤炭A(168204)</t>
  </si>
  <si>
    <t>000925</t>
  </si>
  <si>
    <t>2009-02-25</t>
  </si>
  <si>
    <t>基本面50</t>
  </si>
  <si>
    <t>嘉实基本面50指数(LOF)C(160725), 嘉实基本面50ETF(512750), 嘉实基本面50指数(LOF)A(160716)</t>
  </si>
  <si>
    <t>HSIII</t>
  </si>
  <si>
    <t>2020-07-19</t>
  </si>
  <si>
    <t>恒生互联网科技业指数</t>
  </si>
  <si>
    <t>华夏恒生互联网科技业ETF发起式联接（QDII）A(013171), 华夏恒生互联网科技业ETF发起式联接（QDII）C(013172), 华夏恒生互联网科技业ETF（QDII）(513330)</t>
  </si>
  <si>
    <t>930625</t>
  </si>
  <si>
    <t>2015-04-20</t>
  </si>
  <si>
    <t>SHS互联网</t>
  </si>
  <si>
    <t>东财沪港深互联网指数A(012371), 东财沪港深互联网指数C(012372), 工银沪港深互联网ETF发起式联接A(012759), 工银沪港深互联网ETF发起式联接C(012760), 互联网50(517050), 嘉实中证沪港深互联网ETF(517200), 汇添富中证沪港深互联网ETF(159729), 互联网龙头ETF(159856)</t>
  </si>
  <si>
    <t>399699</t>
  </si>
  <si>
    <t>2017-06-08</t>
  </si>
  <si>
    <t>金融科技</t>
  </si>
  <si>
    <t>合煦智远金融科技指数(LOF)C(168702), 合煦智远金融科技指数(LOF)A(168701)</t>
  </si>
  <si>
    <t>H30590</t>
  </si>
  <si>
    <t>机器人</t>
  </si>
  <si>
    <t>机器人YH(562360), 华夏中证机器人ETF(562500), 机器人ETF(159770)</t>
  </si>
  <si>
    <t>930604</t>
  </si>
  <si>
    <t>2015-03-22</t>
  </si>
  <si>
    <t>中国互联网30</t>
  </si>
  <si>
    <t>广发中证海外中国互联网30（QDII-ETF）(159605), 嘉实中证海外中国互联网30ETF（QDII）(159607)</t>
  </si>
  <si>
    <t>399395</t>
  </si>
  <si>
    <t>国证有色</t>
  </si>
  <si>
    <t>有色50(159880), 国泰国证有色金属行业指数A(160221)</t>
  </si>
  <si>
    <t>HSTECH</t>
  </si>
  <si>
    <t>2020-06-30</t>
  </si>
  <si>
    <t>恒生科技指数</t>
  </si>
  <si>
    <t>天弘恒生科技指数A(012348), 天弘恒生科技指数C(012349), 广发恒生科技ETF联接（QDII）A(012804), 华夏恒生科技ETF发起式联接（QDII）A(013402), 博时恒生科技ETF发起式联接（QDII）A(014438), 易方达恒生科技ETF（QDII）(513010), 恒生科技(513130), 华夏恒生科技ETF（QDII）(513180), 汇添富恒生科技ETF(513260), 华安恒生科技ETF(513580), 摩根恒生科技ETF(QDII)(513890), 恒生科技(159740), 嘉实恒生科技ETF（QDII）(159741), 博时恒生科技ETF(QDII)(159742)</t>
  </si>
  <si>
    <t>000682</t>
  </si>
  <si>
    <t>2021-08-15</t>
  </si>
  <si>
    <t>科创信息</t>
  </si>
  <si>
    <t>嘉实上证科创板新一代信息技术ETF(588100), 华安上证科创板新一代信息技术ETF(588260)</t>
  </si>
  <si>
    <t>H30533</t>
  </si>
  <si>
    <t>2014-12-28</t>
  </si>
  <si>
    <t>中国互联网50</t>
  </si>
  <si>
    <t>易方达中证海外中国互联网50ETF联接（QDII）A(006327), 易方达中证海外中国互联网50ETF联接（QDII）C(006328), 易方达中证海外中国互联网50(QDII-ETF)(513050)</t>
  </si>
  <si>
    <t>000811</t>
  </si>
  <si>
    <t>细分有色</t>
  </si>
  <si>
    <t>华夏中证细分有色金属产业主题ETF发起式联接A(016707), 华夏中证细分有色金属产业主题ETF(516650), 汇添富中证细分有色金属产业主题ETF(159652)</t>
  </si>
  <si>
    <t>000935</t>
  </si>
  <si>
    <t>中证信息</t>
  </si>
  <si>
    <t>鹏华信息C(012040), 鹏华信息A(160626)</t>
  </si>
  <si>
    <t>399990</t>
  </si>
  <si>
    <t>煤炭等权</t>
  </si>
  <si>
    <t>招商中证煤炭等权指数C(013596), 招商中证煤炭等权指数A(161724)</t>
  </si>
  <si>
    <t>930599</t>
  </si>
  <si>
    <t>中证高装</t>
  </si>
  <si>
    <t>东财高端制造增强A(011667), 东财高端制造增强C(011668), 天弘中证高端装备制造增强A(012212), 天弘中证高端装备制造增强C(012213)</t>
  </si>
  <si>
    <t>930986</t>
  </si>
  <si>
    <t>2017-06-21</t>
  </si>
  <si>
    <t>华宝中证金融科技主题ETF发起式联接A(013477), 华宝中证金融科技主题ETF发起式联接C(013478), 华夏中证金融科技主题ETF(516100), 博时金融科技ETF(516860), 金科ETF(159851)</t>
  </si>
  <si>
    <t>399008</t>
  </si>
  <si>
    <t>2010-03-21</t>
  </si>
  <si>
    <t>中小300</t>
  </si>
  <si>
    <t>广发中小企业300ETF联接C(010432), 广发中小企业300ETF联接A(270026), 广发中小企业300ETF(159907)</t>
  </si>
  <si>
    <t>000021</t>
  </si>
  <si>
    <t>2008-09-09</t>
  </si>
  <si>
    <t>180治理</t>
  </si>
  <si>
    <t>交银上证180公司治理ETF联接(519686), 交银上证180公司治理ETF(510010)</t>
  </si>
  <si>
    <t>000056</t>
  </si>
  <si>
    <t>2010-01-03</t>
  </si>
  <si>
    <t>上证国企</t>
  </si>
  <si>
    <t>国企ETF(510270)</t>
  </si>
  <si>
    <t>930792</t>
  </si>
  <si>
    <t>2016-04-21</t>
  </si>
  <si>
    <t>HK银行</t>
  </si>
  <si>
    <t>泰康香港银行指数A(006809), 泰康香港银行指数C(006810), 鹏华香港银行指数C（LOF）(010365), 鹏华香港银行指数A（LOF）(501025)</t>
  </si>
  <si>
    <t>930608</t>
  </si>
  <si>
    <t>中证基建</t>
  </si>
  <si>
    <t>银华中证基建ETF发起式联接A(015761), 国泰中证基建ETF发起联接A(016836), 华安中证基建指数发起式A(016908), 基建ETF(516950), 国泰中证基建ETF(159619), 华夏中证基建ETF(159635)</t>
  </si>
  <si>
    <t>399006</t>
  </si>
  <si>
    <t>2010-05-31</t>
  </si>
  <si>
    <t>创业板指</t>
  </si>
  <si>
    <t>天弘创业板ETF联接基金A(001592), 天弘创业板ETF联接基金C(001593), 长城创业板指数增强发起式A(001879), 南方创业板ETF联接A(002656), 光大保德信创业板股票A(003069), 光大保德信创业板股票C(003070), 大成动态量化配置策略混合A(003147), 广发创业板ETF联接A(003765), 广发创业板ETF联接C(003766), 南方创业板ETF联接C(004343), 易方达创业板ETF联接C(004744), 融通创业板指数C(004870), 工银创业板ETF联接A(005390), 工银创业板ETF联接C(005391), 建信创业板ETF联接A(005873), 建信创业板ETF联接C(005874), 华夏创业板ETF联接A(006248), 华夏创业板ETF联接C(006249), 博时创业板ETF联接C(006733), 长城创业板指数增强发起式C(006928), 博时优势企业灵活配置混合C(007234), 永赢创业板A(007664), 永赢创业板C(007665), 平安创业板ETF联接A(009012), 东财创业板A(009046), 东财创业板C(009047), 万家创业板指数增强A(009981), 万家创业板指数增强C(009982), 南方创业板ETF联接E(010183), 诺安创业板指数增强（LOF）C(010356), 浙商创业板指数增强A(010749), 浙商创业板指数增强C(010750), 博时创业板指数A(010785), 中银证券创业板ETF联接A(012116), 中银证券创业板ETF联接C(012117), 浦银安盛创业板ETF联接A(012179), 浦银安盛创业板ETF联接C(012180), 招商创业板指数增强A(012900), 招商创业板指数增强C(012901), 富国创业板指数C(013277), 建信创业板ETF发起联接E(013443), 天弘创业板指数增强A(015794), 博时创业板ETF联接A(050021), 易方达创业板ETF联接A(110026), 融通创业板指数A/B(161613), 诺安创业板指数增强（LOF）A(163209), 嘉实创业板增强策略ETF(159675), 富国创业板增强策略ETF(159676), 融通创业板ETF(159808), 浦银安盛创业板ETF(159810), BOCI创业(159821), 博时创业板ETF(159908), 易方达创业板ETF(159915), 南方创业板ETF(159948), 广发创业板ETF(159952), 建信创业板ETF(159956), 华夏创业板ETF(159957), 创业板ETF工银(159958), 平安创业板ETF(159964), 富国创业板ETF(159971), 创业板ETF天弘(159977), 国泰创业板指数（LOF）A(160223), 鹏华创业板指数(LOF)A(160637), 富国创业板指数A(161022)</t>
  </si>
  <si>
    <t>H30094</t>
  </si>
  <si>
    <t>消费红利</t>
  </si>
  <si>
    <t>泰达消费红利指数A(008928), 泰达消费红利指数C(008929), 方正富邦消费红利指数增强（LOF）(501089)</t>
  </si>
  <si>
    <t>931481</t>
  </si>
  <si>
    <t>SHS线上消费</t>
  </si>
  <si>
    <t>网购ETF(517280), 平安中证沪港深线上消费主题ETF(159793)</t>
  </si>
  <si>
    <t>930641</t>
  </si>
  <si>
    <t>2015-05-18</t>
  </si>
  <si>
    <t>中证中药</t>
  </si>
  <si>
    <t>鹏华中证中药ETF联接A(016891), 汇添富中证中药ETF联接（LOF）A(501011), 汇添富中证中药ETF联接（LOF）C(501012), 汇添富中证中药ETF(560080), 中医药(561510), 中药(562390), 中药ETF(159647)</t>
  </si>
  <si>
    <t>H30269</t>
  </si>
  <si>
    <t>2013-12-18</t>
  </si>
  <si>
    <t>红利低波</t>
  </si>
  <si>
    <t>创金合信中证红利低波动指数A(005561), 创金合信中证红利低波动指数C(005562), 华泰柏瑞中证红利低波ETF联接A(007466), 华泰柏瑞中证红利低波ETF联接C(007467), 红利LV(512890)</t>
  </si>
  <si>
    <t>H11136</t>
  </si>
  <si>
    <t>2011-09-19</t>
  </si>
  <si>
    <t>中国互联网</t>
  </si>
  <si>
    <t>交银中证海外中国互联网指数（QDII-LOF）(164906)</t>
  </si>
  <si>
    <t>931144</t>
  </si>
  <si>
    <t>通信技术</t>
  </si>
  <si>
    <t>东财通信A(008326), 东财通信C(008327)</t>
  </si>
  <si>
    <t>931071</t>
  </si>
  <si>
    <t>人工智能</t>
  </si>
  <si>
    <t>华富人工智能ETF联接A(008020), 华富人工智能ETF联接C(008021), 华富中证人工智能产业ETF(515980)</t>
  </si>
  <si>
    <t>399438</t>
  </si>
  <si>
    <t>绿色电力</t>
  </si>
  <si>
    <t>嘉实国证绿色电力ETF发起联接A(017056), 嘉实国证绿色电力ETF发起联接C(017057), 国泰国证绿色电力ETF发起联接A(018034), 嘉实国证绿色电力ETF(159625), 国泰国证绿色电力ETF(159669)</t>
  </si>
  <si>
    <t>399610</t>
  </si>
  <si>
    <t>2010-11-07</t>
  </si>
  <si>
    <t>TMT50</t>
  </si>
  <si>
    <t>招商深证TMT50ETF联接C(004409), 招商深证TMT50ETF联接A(217019), 深证TMT50ETF(159909)</t>
  </si>
  <si>
    <t>000824</t>
  </si>
  <si>
    <t>国企红利</t>
  </si>
  <si>
    <t>西部利得国企红利指数增强C(009439), 西部利得国企红利指数增强A（场内简称：国企红利LOF）(501059)</t>
  </si>
  <si>
    <t>000904</t>
  </si>
  <si>
    <t>中证200</t>
  </si>
  <si>
    <t>民生加银中证200指数增强A(009904), 民生加银中证200指数增强C(009905), 泰信中证200指数(290010)</t>
  </si>
  <si>
    <t>930713</t>
  </si>
  <si>
    <t>CS人工智</t>
  </si>
  <si>
    <t>华夏中证人工智能主题ETF联接A(008585), 华夏中证人工智能主题ETF联接C(008586), 融通人工智能指数(LOF)C(009239), 西部利得中证人工智能主题指数增强A(011832), 西部利得中证人工智能主题指数增强C(011833), 天弘中证人工智能A(011839), 天弘中证人工智能C(011840), 易方达中证人工智能主题ETF联接A(012733), 平安人工智能ETF(512930), 华夏中证人工智能主题ETF(515070), 易方达中证人工智能主题ETF(159819), 融通人工智能指数(LOF)A(161631)</t>
  </si>
  <si>
    <t>000922</t>
  </si>
  <si>
    <t>2008-05-25</t>
  </si>
  <si>
    <t>中证红利</t>
  </si>
  <si>
    <t>大成中证红利指数C(007801), 富国中证红利指数增强C(008682), 南方高股息主题股票A(008736), 南方高股息主题股票C(008737), 易方达中证红利ETF联接发起式A(009051), 易方达中证红利ETF联接发起式C(009052), 招商中证红利ETF联接A(012643), 大成中证红利指数A(090010), 富国中证红利指数增强A/B(100032), 招商中证红利ETF(515080), 易方达中证红利ETF(515180), 博时中证红利ETF(515890), 万家红利A(161907)</t>
  </si>
  <si>
    <t>000015</t>
  </si>
  <si>
    <t>2005-01-03</t>
  </si>
  <si>
    <t>红利指数</t>
  </si>
  <si>
    <t>华泰柏瑞红利ETF联接A(012761), 华泰柏瑞红利ETF联接C(012762), 华泰柏瑞上证红利ETF(510880)</t>
  </si>
  <si>
    <t>000812</t>
  </si>
  <si>
    <t>细分机械</t>
  </si>
  <si>
    <t>国泰中证细分机械设备产业主题ETF联接A(012516), 国泰中证细分机械设备产业主题ETF联接C(012517), 国泰中证细分机械设备产业主题ETF(516960), 富国中证细分机械设备产业主题ETF(159886)</t>
  </si>
  <si>
    <t>399673</t>
  </si>
  <si>
    <t>2014-06-17</t>
  </si>
  <si>
    <t>创业板50</t>
  </si>
  <si>
    <t>交银创业板50指数A(007464), 交银创业板50指数C(007465), 景顺长城创业板50ETF联接A(017949), 华安创业板50指数A(160420), 华安创业板50ETF联接A(160422), 华安创业板50ETF联接C(160424), 创50ETF(159681), 景顺长城创业板50ETF(159682), 华安创业板50ETF(159949)</t>
  </si>
  <si>
    <t>399377</t>
  </si>
  <si>
    <t>小盘价值</t>
  </si>
  <si>
    <t>银华巨潮小盘价值ETF发起式联接A(010561), 小盘价值(159990)</t>
  </si>
  <si>
    <t>000993</t>
  </si>
  <si>
    <t>全指信息</t>
  </si>
  <si>
    <t>广发信息技术联接A(000942), 广发信息技术联接C(002974), 广发中证全指信息技术ETF(159939)</t>
  </si>
  <si>
    <t>000858</t>
  </si>
  <si>
    <t>2013-11-05</t>
  </si>
  <si>
    <t>500信息</t>
  </si>
  <si>
    <t>南方中证500信息ETF发起联接A(002900), 南方中证500信息ETF发起联接C(004347), 南方中证500信息技术ETF(512330)</t>
  </si>
  <si>
    <t>399975</t>
  </si>
  <si>
    <t>证券公司</t>
  </si>
  <si>
    <t>南方中证全指证券公司ETF联接A(004069), 南方中证全指证券公司ETF联接C(004070), 华宝券商ETF联接(006098), 华宝券商ETF联接C(007531), 华夏中证全指证券公司ETF联接A(007992), 华夏中证全指证券公司ETF联接C(007993), 天弘中证全指证券公司ETF发起式联接A(008590), 天弘中证全指证券公司ETF发起式联接C(008591), 鹏华券商C(012044), 国泰中证全指证券公司ETF联接A(012362), 国泰中证全指证券公司ETF联接C(012363), 易方达中证全指证券公司ETF联接A(012590), 建信中证全指证券公司ETF发起式联接A(012645), 建信中证全指证券公司ETF发起式联接C(012646), 易方达中证全指证券公司指数（LOF）C(012874), 富国中证全指证券公司指数C(013276), 招商中证全指证券公司指数C(013597), 嘉实中证全指证券公司指数发起式A(016842), 华安中证全指证券公司指数A(160419), 博时证券公司指数(160516), 汇添富中证全指证券公司指数（LOF )A(501047), 汇添富中证全指证券公司指数（LOF )C(501048), 易方达中证全指证券公司指数（LOF）A(502010), 长盛中证证券公司指数（LOF）(502053), 华宝中证全指证券公司ETF(512000), 易方达中证全指证券公司ETF(512570), 国泰中证全指证券公司ETF(512880), 南方中证全指证券公司ETF(512900), 华夏中证全指证券公司ETF(515010), 建信中证全指证券公司ETF(515560), 富国中证全指证券公司ETF(515850), 华安中证全指证券公司ETF(516200), 汇添富中证全指证券公司ETF(560090), 证券ETF(159841), 券商ETF(159842), 国联安证券ETF(159848), 鹏华券商A(160633), 富国中证全指证券公司指数A(161027), 招商中证全指证券公司指数A(161720)</t>
  </si>
  <si>
    <t>000042</t>
  </si>
  <si>
    <t>2009-03-29</t>
  </si>
  <si>
    <t>上证央企</t>
  </si>
  <si>
    <t>工银上证央企ETF(510060)</t>
  </si>
  <si>
    <t>930601</t>
  </si>
  <si>
    <t>2015-03-09</t>
  </si>
  <si>
    <t>中证软件</t>
  </si>
  <si>
    <t>嘉实中证软件服务ETF联接A(012619), 嘉实中证软件服务ETF联接C(012620), 万家中证软件服务指数发起式(018182), 嘉实中证软件服务ETF(159852)</t>
  </si>
  <si>
    <t>931160</t>
  </si>
  <si>
    <t>通信设备</t>
  </si>
  <si>
    <t>国泰中证全指通信设备ETF联接A(007817), 国泰中证全指通信设备ETF联接C(007818), 国泰中证全指通信设备ETF(515880)</t>
  </si>
  <si>
    <t>000068</t>
  </si>
  <si>
    <t>上证资源</t>
  </si>
  <si>
    <t>博时上证自然资源ETF联接(050024), 博时上证自然资源ETF(510410)</t>
  </si>
  <si>
    <t>000905</t>
  </si>
  <si>
    <t>中证500</t>
  </si>
  <si>
    <t>嘉实中证500ETF联接A(000008), 建信中证500指数增强A(000478), 天弘中证500ETF联接A(000962), 华夏中证500ETF联接A(001052), 华泰柏瑞中证500ETF联接A(001214), 国寿安保中证500ETF联接(001241), 诺安中证500增强A(001351), 景顺长城中证500ETF联接(001455), 天弘中证500指数增强A(001556), 天弘中证500指数增强C(001557), 浙商中证500增强A(002076), 创金合信中证500增强A(002311), 创金合信中证500增强C(002316), 申万菱信中证500指数增强(002510), 广发中证500ETF联接C(002903), 南方中证500量化增强股票发起A(002906), 南方中证500量化增强股票发起C(002907), 中金中证500A(003016), 中金中证500C(003578), 国泰中证500指数增强A(003760), 国泰中证500指数增强C(003761), 申万菱信中证500指数优选增强(003986), 招商中证500指数增强A(004192), 招商中证500指数增强C(004193), 南方中证500ETF联接（LOF）C(004348), 富荣中证500指数增强A(004790), 富荣中证500指数增强C(004791), 长信中证500指数A(004945), 博时中证500指数增强A(005062), 华宝中证500增强A(005607), 华宝中证500增强C(005608), 建信中证500指数增强C(005633), 博时中证500指数增强C(005795), 天弘中证500ETF联接C(005919), 安信中证500指数增强A(005965), 安信中证500指数增强C(005966), 国投瑞银中证500指数量化增强A(005994), 长城中证500指数增强A(006048), 华泰柏瑞中证500ETF联接C(006087), 平安500ETF联接A(006214), 平安500ETF联接C(006215), 华夏中证500ETF联接C(006382), 中信建投中证500增强A(006440), 中信建投中证500增强C(006441), 博道中证500增强A(006593), 博道中证500增强C(006594), 人保中证500(006611), 方正富邦中证500ETF联接A(006656), 方正富邦中证500ETF联接C(006657), 景顺长城中证500指数增强A(006682), 万家中证500指数增强发起式A(006729), 万家中证500指数增强发起式C(006730), 中证500增强A(006783), 中证500增强C(006784), 鹏华中证500指数C类（LOF）(006938), 易方达中证500ETF联接发起式A(007028), 易方达中证500ETF联接发起式C(007029), 国投瑞银中证500指数量化增强C(007089), 工银中证500ETF联接C(007223), 浙商中证500增强C(007386), 摩根研究驱动股票A(007388), 摩根研究驱动股票C(007389), 长城中证500指数增强C(007413), 申万菱信中证500指数优选增强C(007794), 申万菱信中证500指数增强C(007795), 博道伍佰智航A(007831), 博道伍佰智航C(007832), 中融中证500ETF联接A(007885), 中融中证500ETF联接C(007886), 鹏华中证500ETF联接A(007932), 富安达中证500指数增强(007943), 华夏中证500指数增强A(007994), 华夏中证500指数增强C(007995), 鹏华中证500ETF联接C(008001), 中泰中证500指数增强A(008112), 中泰中证500指数增强C(008113), 中邮中证500指数增强C(008124), 中银证券中证500ETF联接A(008258), 中银证券中证500ETF联接C(008259), 博时中证500ETF联接A(008396), 博时中证500ETF联接C(008397), 嘉实中证500指数增强A(008778), 嘉实中证500指数增强C(008779), 海富通中证500增强C(009004), 西部利得中证500指数增强C(009300), 平安中证500指数增强A(009336), 平安中证500指数增强C(009337), 广发中证500指数增强A(009608), 广发中证500指数增强C(009609), 上银中证500指数增强型A(009613), 上银中证500指数增强型C(009614), 中加中证500指数增强A(010153), 中加中证500指数增强C(010154), 汇安中证500增强A(010157), 汇安中证500增强C(010158), 兴银中证500指数增强A(010253), 诺安中证500增强C(010355), 东财中证500A(010992), 东财中证500C(010993), 兴银中证500指数增强C(011205), 九泰中证500指数增强(011519), 泰康中证500ETF联接A(011964), 易方达中证500量化增强A(012080), 易方达中证500量化增强C(012081), 汇添富中证500基本面增强指数A(012498), 汇添富中证500基本面增强指数C(012499), 民生加银中证500指数增强发起式A(012926), 民生加银中证500指数增强发起式C(012927), 中信保诚中证500指数（LOF）C(013119), 华夏中证500指数智选增强A(013233), 华夏中证500指数智选增强C(013234), 富国中证500指数增强（LOF）C(013332), 光大保德信中证500指数增强A(013639), 光大保德信中证500指数增强C(013640), 国泰中证500ETF发起联接A(013833), 国泰中证500ETF发起联接C(013834), 圆信永丰中证500指数增强发起A(013878), 圆信永丰中证500指数增强发起C(013879), 长信中证500指数C(013881), 工银中证500六个月持有指数增强A(014133), 工银中证500六个月持有指数增强C(014134), 国泰君安中证500指数增强A(014155), 国泰君安中证500指数增强C(014156), 华泰柏瑞中证500指数增强A(014305), 鹏华中证500指数增强A(014344), 鹏华中证500指数增强C(014345), 华安中证500指数增强A(014587), 中欧中证500指数增强A(015453), 兴业中证500指数增强A(015507), 建信中证500指数量化增强发起A(016267), 东方中证500指数增强A(016323), 华泰紫金中证500指数增强发起A(016865), 兴业中证500ETF发起式联接(016968), 嘉实中证500ETF联接C(070039), 工银中证500ETF联接A(164809), 海富通中证500增强A(519034), 中邮中证500指数增强A(590007), 农银中证500指数(660011), 汇添富中证500指数（LOF）A(501036), 汇添富中证500指数（LOF）C(501037), 西部利得中证500指数增强A(502000), 南方中证500ETF(510500), 广发中证500ETF(510510), 工银中证500ETF(510530), 方正富邦中证500ETF(510550), 国寿安保中证500ETF(510560), 兴业中证500ETF(510570), 易方达中证500ETF(510580), 平安中证500ETF(510590), 华夏中证500ETF(512500), 华泰柏瑞中证500ETF(512510), 中银证券中证500ETF(515190), 泰康500(515530), 中融500(515550), 南方中证500增强策略ETF(560100), 国泰中证500ETF(561350), 500指增(561550), 招商中证500增强策略ETF(561950), 易方达中证500增强策略ETF(563030), 景顺长城中证500增强策略ETF(159610), 博时中证500增强ETF(159678), 中证500ETF天弘(159820), 嘉实中证500ETF(159922), 景顺长城中证500ETF(159935), 博时中证500ETF(159968), 中证500(159982), 永赢中证500ETF(159999), 南方中证500ETF联接（LOF）A(160119), 鹏华中证500指数A类（LOF）(160616), 富国中证500指数增强（LOF）A/B(161017), 泰达宏利500指数增强（LOF）(162216), 广发中证500ETF联接（LOF）A(162711), 中信保诚中证500指数（LOF）A(165511)</t>
  </si>
  <si>
    <t>H30202</t>
  </si>
  <si>
    <t>软件指数</t>
  </si>
  <si>
    <t>国泰中证全指软件ETF联接A(012636), 国泰中证全指软件ETF联接C(012637), 国泰中证全指软件ETF(515230), 招商中证全指软件ETF(159899)</t>
  </si>
  <si>
    <t>931480</t>
  </si>
  <si>
    <t>线上消费</t>
  </si>
  <si>
    <t>线上消费ETF(159725)</t>
  </si>
  <si>
    <t>000044</t>
  </si>
  <si>
    <t>上证中盘</t>
  </si>
  <si>
    <t>易方达上证中盘ETF联接C(004743), 易方达上证中盘ETF联接A(110021), 易方达上证中盘ETF(510130)</t>
  </si>
  <si>
    <t>399974</t>
  </si>
  <si>
    <t>2014-08-06</t>
  </si>
  <si>
    <t>国企改革</t>
  </si>
  <si>
    <t>英大国企改革(001678), 易方达中证国有企业改革指数（LOF）C(012873), 富国中证国有企业改革指数C(014174), 易方达中证国有企业改革指数（LOF）A(502006), 富国中证国有企业改革指数A(161026)</t>
  </si>
  <si>
    <t>930716</t>
  </si>
  <si>
    <t>CS物流</t>
  </si>
  <si>
    <t>物流快递(516530), 富国中证现代物流ETF(516910)</t>
  </si>
  <si>
    <t>930902</t>
  </si>
  <si>
    <t>2016-10-17</t>
  </si>
  <si>
    <t>中证数据</t>
  </si>
  <si>
    <t>富国中证大数据产业ETF发起式联接A(018134), 富国中证大数据产业ETF(515400), 华夏中证大数据产业ETF(516000), 大数据产业ETF(516700)</t>
  </si>
  <si>
    <t>000009</t>
  </si>
  <si>
    <t>2010-11-28</t>
  </si>
  <si>
    <t>上证380</t>
  </si>
  <si>
    <t>南方上证380ETF联接C(007571), 南方上证380ETF联接A(202025), 南方上证380ETF(510290)</t>
  </si>
  <si>
    <t>000986</t>
  </si>
  <si>
    <t>全指能源</t>
  </si>
  <si>
    <t>广发中证全指能源ETF(159945)</t>
  </si>
  <si>
    <t>000901</t>
  </si>
  <si>
    <t>2010-04-01</t>
  </si>
  <si>
    <t>小康指数</t>
  </si>
  <si>
    <t>南方中证小康产业ETF联接C(004346), 南方中证小康产业ETF联接A(202021), 南方中证小康产业ETF(510160)</t>
  </si>
  <si>
    <t>399803</t>
  </si>
  <si>
    <t>工业4.0</t>
  </si>
  <si>
    <t>富国中证工业4.0指数C(014172), 富国中证工业4.0指数A(161031)</t>
  </si>
  <si>
    <t>000998</t>
  </si>
  <si>
    <t>2011-11-07</t>
  </si>
  <si>
    <t>中证TMT</t>
  </si>
  <si>
    <t>中信保诚中证TMT指数（LOF）C(013122), 中信保诚中证TMT指数（LOF）A(165522)</t>
  </si>
  <si>
    <t>399996</t>
  </si>
  <si>
    <t>2014-09-16</t>
  </si>
  <si>
    <t>智能家居</t>
  </si>
  <si>
    <t>中信保诚中证智能家居指数（LOF）C(013084), 中信保诚中证智能家居指数（LOF）A(165524)</t>
  </si>
  <si>
    <t>000928</t>
  </si>
  <si>
    <t>中证能源</t>
  </si>
  <si>
    <t>汇添富中证能源ETF(159930)</t>
  </si>
  <si>
    <t>399991</t>
  </si>
  <si>
    <t>一带一路</t>
  </si>
  <si>
    <t>安信一带一路指数(167503), 鹏华中证一带一路主题指数(LOF)A(160638)</t>
  </si>
  <si>
    <t>399973</t>
  </si>
  <si>
    <t>2014-04-14</t>
  </si>
  <si>
    <t>中证国防</t>
  </si>
  <si>
    <t>鹏华国防C(012041), 国防ETF(512670), 鹏华国防A(160630)</t>
  </si>
  <si>
    <t>399624</t>
  </si>
  <si>
    <t>2011-08-14</t>
  </si>
  <si>
    <t>中创400</t>
  </si>
  <si>
    <t>嘉实中创400ETF联接C(005727), 嘉实中创400ETF联接A(070030), 嘉实中创400ETF(159918)</t>
  </si>
  <si>
    <t>399806</t>
  </si>
  <si>
    <t>2014-07-20</t>
  </si>
  <si>
    <t>环境治理</t>
  </si>
  <si>
    <t>交银中证环境治理指数(LOF)C(013413), 交银中证环境治理指数(LOF)A(164908), 汇添富中证环境治理指数A(501030), 汇添富中证环境治理指数C(501031)</t>
  </si>
  <si>
    <t>399994</t>
  </si>
  <si>
    <t>2015-03-11</t>
  </si>
  <si>
    <t>信息安全</t>
  </si>
  <si>
    <t>中信保诚中证信息安全指数（LOF）C(013083), 中信保诚中证信息安全指数（LOF）A(165523), 嘉实中证信息安全主题ETF(159613)</t>
  </si>
  <si>
    <t>399303</t>
  </si>
  <si>
    <t>2014-03-27</t>
  </si>
  <si>
    <t>国证2000</t>
  </si>
  <si>
    <t>申万菱信国证2000指数增强型发起式A(015921), 万家国证2000ETF发起式联接A(016788), 天弘国证2000指数增强A(017547), 鹏华国证2000指数增强A(017892), 万家国证2000ETF(159628)</t>
  </si>
  <si>
    <t>399970</t>
  </si>
  <si>
    <t>2014-05-04</t>
  </si>
  <si>
    <t>移动互联</t>
  </si>
  <si>
    <t>富国中证移动互联网指数C(014173), 鹏华中证移动互联网指数(LOF)A(160636), 富国中证移动互联网指数A(161025)</t>
  </si>
  <si>
    <t>399995</t>
  </si>
  <si>
    <t>基建工程</t>
  </si>
  <si>
    <t>广发中证基建工程ETF联接A(005223), 广发中证基建工程ETF联接C(005224), 信诚中证基建工程指数（LOF）C(013082), 广发中证基建工程ETF(516970), 信诚中证基建工程指数（LOF）A(165525)</t>
  </si>
  <si>
    <t>931456</t>
  </si>
  <si>
    <t>2020-04-20</t>
  </si>
  <si>
    <t>中国教育</t>
  </si>
  <si>
    <t>博时全球中国教育(QDII-ETF)(513360)</t>
  </si>
  <si>
    <t>930851</t>
  </si>
  <si>
    <t>云计算</t>
  </si>
  <si>
    <t>东财云计算指数增强A(012321), 东财云计算指数增强C(012322), 融通中证云计算与大数据主题指数（LOF）C(014130), 易方达中证云计算与大数据主题ETF联接发起式A(017853), 融通中证云计算与大数据主题指数（LOF）A(161628), 易方达中证云计算与大数据主题ETF(516510), 华夏中证云计算与大数据主题ETF(516630), 大数据ETF(159739), 招商中证云计算ETF(159890)</t>
  </si>
  <si>
    <t>399807</t>
  </si>
  <si>
    <t>高铁产业</t>
  </si>
  <si>
    <t>南方中证高铁产业指数（LOF）(160135), 鹏华中证高铁产业指数(LOF)A(160639)</t>
  </si>
  <si>
    <t>000852</t>
  </si>
  <si>
    <t>2014-10-16</t>
  </si>
  <si>
    <t>中证1000</t>
  </si>
  <si>
    <t>创金合信中证1000增强A(003646), 创金合信中证1000增强C(003647), 招商中证1000指数增强A(004194), 招商中证1000指数增强C(004195), 万家中证1000指数增强A(005313), 万家中证1000指数增强C(005314), 建信中证1000指数增强A(006165), 建信中证1000指数增强C(006166), 广发中证1000ETF联接A(006486), 广发中证1000ETF联接C(006487), 南方中证1000ETF发起联接A(011860), 南方中证1000ETF发起联接C(011861), 富国中证1000指数增强（LOF）C(013331), 建信中证1000指数增强发起E(013442), 华夏中证1000ETF发起式联接A(013922), 华夏中证1000ETF发起式联接C(013923), 华夏中证1000指数增强A(014125), 华夏中证1000指数增强C(014126), 天弘中证1000指数增强A(014201), 天弘中证1000指数增强C(014202), 兴银中证1000指数增强A(014831), 兴银中证1000指数增强C(014832), 华安中证1000指数增强A(015148), 太平中证1000指数增强A(015466), 景顺长城中证1000指数增强A(015495), 中信建投中证1000指数增强A(015784), 国泰君安中证1000指数增强A(015867), 易方达中证1000ETF联接A(016630), 富国中证1000ETF联接A(016633), 嘉实中证1000指数增强发起式A(016776), 鹏华中证1000指数增强A(016785), 工银中证1000指数增强(016942), 国联安中证1000指数增强A(016962), 申万菱信中证1000指数增强A(017067), 鑫元中证1000指数增强发起式A(017190), 中金中证1000指数增强发起A(017733), 国金中证1000指数增强(017846), 中欧中证1000指数增强A(017919), 华宝中证1000指数(162413), 南方中证1000ETF(512100), 中证1000(516300), 广发中证1000ETF(560010), 汇添富中证1000ETF(560110), 1000增强(561590), 富国中证1000ETF(159629), 易方达中证1000ETF(159633), 1000增强ETF(159677), 国泰中证1000增强策略ETF(159679), 招商中证1000增强策略ETF(159680), 1000增强ETF天弘(159685), 华夏中证1000ETF(159845), 富国中证1000指数增强（LOF）A(161039)</t>
  </si>
  <si>
    <t>930651</t>
  </si>
  <si>
    <t>CS计算机</t>
  </si>
  <si>
    <t>天弘中证计算机主题ETF联接A(001629), 天弘中证计算机主题ETF联接C(001630), 国泰中证计算机主题ETF联接C(010210), 国泰中证计算机主题ETF联接A(160224), 国泰中证计算机主题ETF(512720), 计算机ETF(159998)</t>
  </si>
  <si>
    <t>399967</t>
  </si>
  <si>
    <t>2013-12-25</t>
  </si>
  <si>
    <t>中证军工</t>
  </si>
  <si>
    <t>前海开源中证军工指数A(000596), 前海开源中证军工指数C(002199), 广发中证军工ETF联接A(003017), 广发中证军工ETF联接C(005693), 易方达中证军工指数（LOF）C(012842), 富国中证军工指数C(013035), 易方达中证军工指数（LOF）A(502003), 易方达中证军工ETF(512560), 国泰中证军工ETF(512660), 广发中证军工ETF(512680), 华宝中证军工ETF(512810), 富国中证军工指数A(161024), 申万菱信中证军工指数A(163115)</t>
  </si>
  <si>
    <t>930781</t>
  </si>
  <si>
    <t>中证影视</t>
  </si>
  <si>
    <t>国泰中证影视主题ETF(516620), 影视ETF(159855)</t>
  </si>
  <si>
    <t>930794</t>
  </si>
  <si>
    <t>中美互联网</t>
  </si>
  <si>
    <t>天弘中证中美互联网A(009225), 天弘中证中美互联网C(009226)</t>
  </si>
  <si>
    <t>930901</t>
  </si>
  <si>
    <t>动漫游戏</t>
  </si>
  <si>
    <t>国泰中证动漫游戏ETF联接A(012728), 国泰中证动漫游戏ETF联接C(012729), 华夏中证动漫游戏ETF发起式联接A(012768), 华夏中证动漫游戏ETF发起式联接C(012769), 国泰中证动漫游戏ETF(516010), 游戏动漫ETF(516770), 华夏中证动漫游戏ETF(159869)</t>
  </si>
  <si>
    <t>399804</t>
  </si>
  <si>
    <t>2015-02-08</t>
  </si>
  <si>
    <t>中证体育</t>
  </si>
  <si>
    <t>富国中证体育产业指数C(013278), 富国中证体育产业指数A(161030)</t>
  </si>
  <si>
    <t>399971</t>
  </si>
  <si>
    <t>中证传媒</t>
  </si>
  <si>
    <t>广发中证传媒ETF联接A(004752), 广发中证传媒ETF联接C(004753), 工银传媒指数C(010677), 工银传媒指数A(164818), 广发中证传媒ETF(512980), 传媒ETF(159805), 鹏华中证传媒指数(LOF)A(160629)</t>
  </si>
  <si>
    <t>score</t>
  </si>
  <si>
    <t xml:space="preserve"> 2016-08-16</t>
  </si>
  <si>
    <t xml:space="preserve"> 空天军工</t>
  </si>
  <si>
    <t xml:space="preserve"> </t>
  </si>
  <si>
    <t xml:space="preserve"> 鹏华空天军工指数C（LOF）(010364)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</si>
</sst>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1E3A8"/>
        <bgColor rgb="FF81E3A8"/>
      </patternFill>
    </fill>
    <fill>
      <patternFill patternType="solid">
        <fgColor rgb="FF77EDEB"/>
        <bgColor rgb="FF77EDEB"/>
      </patternFill>
    </fill>
    <fill>
      <patternFill patternType="solid">
        <fgColor rgb="FFFA7E4D"/>
        <bgColor rgb="FFFA7E4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10" fontId="0" fillId="2" borderId="0" xfId="0" applyNumberFormat="1" applyFill="1"/>
    <xf numFmtId="10" fontId="0" fillId="3" borderId="0" xfId="0" applyNumberFormat="1" applyFill="1"/>
    <xf numFmtId="10" fontId="0" fillId="4" borderId="0" xfId="0" applyNumberFormat="1" applyFill="1"/>
    <xf numFmtId="2" fontId="1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9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4" max="4" width="14.6640625" customWidth="1"/>
    <col min="7" max="10" width="9.1640625" style="1" customWidth="1"/>
    <col min="12" max="13" width="9.1640625" style="1" customWidth="1"/>
    <col min="15" max="17" width="9.1640625" style="1" customWidth="1"/>
    <col min="19" max="19" width="9.1640625" style="1" customWidth="1"/>
    <col min="20" max="20" width="14" style="10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2" t="s">
        <v>17</v>
      </c>
      <c r="S1" s="2" t="s">
        <v>18</v>
      </c>
      <c r="T1" s="9" t="s">
        <v>1026</v>
      </c>
      <c r="U1" s="2" t="s">
        <v>19</v>
      </c>
    </row>
    <row r="2" spans="1:21" x14ac:dyDescent="0.2">
      <c r="A2" t="s">
        <v>20</v>
      </c>
      <c r="B2" t="s">
        <v>64</v>
      </c>
      <c r="C2" t="s">
        <v>65</v>
      </c>
      <c r="D2" t="s">
        <v>66</v>
      </c>
      <c r="E2" t="s">
        <v>24</v>
      </c>
      <c r="F2" t="s">
        <v>46</v>
      </c>
      <c r="G2" s="1">
        <v>-0.49099999999999999</v>
      </c>
      <c r="H2" s="1">
        <v>-0.51350000000000007</v>
      </c>
      <c r="I2" s="6">
        <v>4.4200000000000003E-2</v>
      </c>
      <c r="J2" s="1">
        <v>0.9645999999999999</v>
      </c>
      <c r="K2">
        <v>15</v>
      </c>
      <c r="L2" s="1">
        <v>1.6000000000000001E-3</v>
      </c>
      <c r="M2" s="7">
        <v>4.0899999999999999E-2</v>
      </c>
      <c r="N2">
        <v>3.4</v>
      </c>
      <c r="O2" s="1">
        <v>4.0199999999999993E-2</v>
      </c>
      <c r="P2" s="1">
        <v>0.1249</v>
      </c>
      <c r="Q2" s="8">
        <v>0.22670000000000001</v>
      </c>
      <c r="R2">
        <v>1.6</v>
      </c>
      <c r="S2" s="1">
        <v>1.35E-2</v>
      </c>
      <c r="T2" s="10">
        <f>G2*(-0.5)+(1-I2)+(1-M2)+Q2+S2</f>
        <v>2.4006000000000003</v>
      </c>
      <c r="U2" t="s">
        <v>67</v>
      </c>
    </row>
    <row r="3" spans="1:21" x14ac:dyDescent="0.2">
      <c r="A3" t="s">
        <v>20</v>
      </c>
      <c r="B3" t="s">
        <v>56</v>
      </c>
      <c r="C3" t="s">
        <v>57</v>
      </c>
      <c r="D3" t="s">
        <v>58</v>
      </c>
      <c r="E3" t="s">
        <v>24</v>
      </c>
      <c r="F3" t="s">
        <v>46</v>
      </c>
      <c r="G3" s="1">
        <v>-0.61260000000000003</v>
      </c>
      <c r="H3" s="1">
        <v>-0.62690000000000001</v>
      </c>
      <c r="I3" s="6">
        <v>3.6900000000000002E-2</v>
      </c>
      <c r="J3" s="1">
        <v>1.5812999999999999</v>
      </c>
      <c r="K3">
        <v>24</v>
      </c>
      <c r="L3" s="1">
        <v>0.1135</v>
      </c>
      <c r="M3" s="7">
        <v>0.12959999999999999</v>
      </c>
      <c r="N3">
        <v>5.5</v>
      </c>
      <c r="O3" s="1">
        <v>4.6199999999999998E-2</v>
      </c>
      <c r="P3" s="1">
        <v>0.1149</v>
      </c>
      <c r="Q3" s="8">
        <v>0.22919999999999999</v>
      </c>
      <c r="R3">
        <v>0.97</v>
      </c>
      <c r="S3" s="1">
        <v>1.3899999999999999E-2</v>
      </c>
      <c r="T3" s="10">
        <f>G3*(-0.5)+(1-I3)+(1-M3)+Q3+S3</f>
        <v>2.3829000000000002</v>
      </c>
      <c r="U3" t="s">
        <v>59</v>
      </c>
    </row>
    <row r="4" spans="1:21" x14ac:dyDescent="0.2">
      <c r="A4" t="s">
        <v>20</v>
      </c>
      <c r="B4" t="s">
        <v>43</v>
      </c>
      <c r="C4" t="s">
        <v>44</v>
      </c>
      <c r="D4" t="s">
        <v>45</v>
      </c>
      <c r="E4" t="s">
        <v>41</v>
      </c>
      <c r="F4" t="s">
        <v>46</v>
      </c>
      <c r="G4" s="1">
        <v>-0.44049999999999989</v>
      </c>
      <c r="H4" s="1">
        <v>-0.45929999999999999</v>
      </c>
      <c r="I4" s="6">
        <v>3.3599999999999998E-2</v>
      </c>
      <c r="J4" s="1">
        <v>0.7873</v>
      </c>
      <c r="K4">
        <v>20</v>
      </c>
      <c r="L4" s="1">
        <v>1.32E-2</v>
      </c>
      <c r="M4" s="7">
        <v>8.5600000000000009E-2</v>
      </c>
      <c r="N4">
        <v>3.2</v>
      </c>
      <c r="O4" s="1">
        <v>0.21249999999999999</v>
      </c>
      <c r="P4" s="1">
        <v>0.19339999999999999</v>
      </c>
      <c r="Q4" s="8">
        <v>0.16</v>
      </c>
      <c r="R4">
        <v>0.82</v>
      </c>
      <c r="S4" s="1">
        <v>1.89E-2</v>
      </c>
      <c r="T4" s="10">
        <f>G4*(-0.5)+(1-I4)+(1-M4)+Q4+S4</f>
        <v>2.2799499999999999</v>
      </c>
      <c r="U4" t="s">
        <v>47</v>
      </c>
    </row>
    <row r="5" spans="1:21" x14ac:dyDescent="0.2">
      <c r="A5" t="s">
        <v>20</v>
      </c>
      <c r="B5" t="s">
        <v>86</v>
      </c>
      <c r="C5" t="s">
        <v>87</v>
      </c>
      <c r="D5" t="s">
        <v>88</v>
      </c>
      <c r="E5" t="s">
        <v>24</v>
      </c>
      <c r="G5" s="1">
        <v>-0.43519999999999998</v>
      </c>
      <c r="H5" s="1">
        <v>-0.46629999999999999</v>
      </c>
      <c r="I5" s="6">
        <v>5.5100000000000003E-2</v>
      </c>
      <c r="J5" s="1">
        <v>0.77049999999999996</v>
      </c>
      <c r="K5">
        <v>24</v>
      </c>
      <c r="L5" s="1">
        <v>5.5899999999999998E-2</v>
      </c>
      <c r="M5" s="7">
        <v>8.6099999999999996E-2</v>
      </c>
      <c r="N5">
        <v>4.5</v>
      </c>
      <c r="O5" s="1">
        <v>4.6100000000000002E-2</v>
      </c>
      <c r="P5" s="1">
        <v>7.51E-2</v>
      </c>
      <c r="Q5" s="8">
        <v>0.1875</v>
      </c>
      <c r="R5">
        <v>0.79</v>
      </c>
      <c r="S5" s="1">
        <v>7.4000000000000003E-3</v>
      </c>
      <c r="T5" s="10">
        <f>G5*(-0.5)+(1-I5)+(1-M5)+Q5+S5</f>
        <v>2.2713000000000001</v>
      </c>
      <c r="U5" t="s">
        <v>89</v>
      </c>
    </row>
    <row r="6" spans="1:21" x14ac:dyDescent="0.2">
      <c r="A6" t="s">
        <v>20</v>
      </c>
      <c r="B6" t="s">
        <v>165</v>
      </c>
      <c r="C6" t="s">
        <v>166</v>
      </c>
      <c r="D6" t="s">
        <v>167</v>
      </c>
      <c r="E6" t="s">
        <v>24</v>
      </c>
      <c r="G6" s="1">
        <v>-0.39539999999999997</v>
      </c>
      <c r="H6" s="1">
        <v>-0.45179999999999998</v>
      </c>
      <c r="I6" s="6">
        <v>9.3299999999999994E-2</v>
      </c>
      <c r="J6" s="1">
        <v>0.65400000000000003</v>
      </c>
      <c r="K6">
        <v>22</v>
      </c>
      <c r="L6" s="1">
        <v>1.0699999999999999E-2</v>
      </c>
      <c r="M6" s="7">
        <v>5.3199999999999997E-2</v>
      </c>
      <c r="N6">
        <v>4.3</v>
      </c>
      <c r="O6" s="1">
        <v>0.65269999999999995</v>
      </c>
      <c r="P6" s="1">
        <v>0.50859999999999994</v>
      </c>
      <c r="Q6" s="8">
        <v>0.19550000000000001</v>
      </c>
      <c r="R6">
        <v>0.87</v>
      </c>
      <c r="S6" s="1">
        <v>8.6999999999999994E-3</v>
      </c>
      <c r="T6" s="10">
        <f>G6*(-0.5)+(1-I6)+(1-M6)+Q6+S6</f>
        <v>2.2554000000000003</v>
      </c>
      <c r="U6" t="s">
        <v>168</v>
      </c>
    </row>
    <row r="7" spans="1:21" x14ac:dyDescent="0.2">
      <c r="A7" t="s">
        <v>20</v>
      </c>
      <c r="B7" t="s">
        <v>129</v>
      </c>
      <c r="C7" t="s">
        <v>130</v>
      </c>
      <c r="D7" s="11" t="s">
        <v>131</v>
      </c>
      <c r="E7" t="s">
        <v>24</v>
      </c>
      <c r="G7" s="1">
        <v>-0.42670000000000002</v>
      </c>
      <c r="H7" s="1">
        <v>-0.47039999999999998</v>
      </c>
      <c r="I7" s="6">
        <v>7.6200000000000004E-2</v>
      </c>
      <c r="J7" s="1">
        <v>0.74430000000000007</v>
      </c>
      <c r="K7">
        <v>33</v>
      </c>
      <c r="L7" s="1">
        <v>3.6200000000000003E-2</v>
      </c>
      <c r="M7" s="7">
        <v>4.8099999999999997E-2</v>
      </c>
      <c r="N7">
        <v>4.8</v>
      </c>
      <c r="O7" s="1">
        <v>5.8400000000000001E-2</v>
      </c>
      <c r="P7" s="1">
        <v>6.13E-2</v>
      </c>
      <c r="Q7" s="8">
        <v>0.14549999999999999</v>
      </c>
      <c r="R7">
        <v>0.44</v>
      </c>
      <c r="S7" s="1">
        <v>7.6E-3</v>
      </c>
      <c r="T7" s="10">
        <f>G7*(-0.5)+(1-I7)+(1-M7)+Q7+S7</f>
        <v>2.2421500000000001</v>
      </c>
      <c r="U7" t="s">
        <v>132</v>
      </c>
    </row>
    <row r="8" spans="1:21" x14ac:dyDescent="0.2">
      <c r="A8" t="s">
        <v>20</v>
      </c>
      <c r="B8">
        <v>930875</v>
      </c>
      <c r="C8" t="s">
        <v>1027</v>
      </c>
      <c r="D8" t="s">
        <v>1028</v>
      </c>
      <c r="E8" t="s">
        <v>24</v>
      </c>
      <c r="F8" t="s">
        <v>1029</v>
      </c>
      <c r="G8" s="1">
        <v>-0.37090000000000001</v>
      </c>
      <c r="H8" s="1">
        <v>-0.4461</v>
      </c>
      <c r="I8" s="6">
        <v>0.1195</v>
      </c>
      <c r="J8" s="1">
        <v>0.58960000000000001</v>
      </c>
      <c r="K8">
        <v>41</v>
      </c>
      <c r="L8" s="1">
        <v>9.4999999999999998E-3</v>
      </c>
      <c r="M8" s="7">
        <v>5.3100000000000001E-2</v>
      </c>
      <c r="N8">
        <v>3.4</v>
      </c>
      <c r="O8" s="1">
        <v>0.28410000000000002</v>
      </c>
      <c r="P8" s="1">
        <v>0.20749999999999999</v>
      </c>
      <c r="Q8" s="8">
        <v>8.2900000000000001E-2</v>
      </c>
      <c r="R8">
        <v>0.2</v>
      </c>
      <c r="S8" s="1">
        <v>6.1999999999999998E-3</v>
      </c>
      <c r="T8" s="10">
        <f>G8*(-0.5)+(1-I8)+(1-M8)+Q8+S8</f>
        <v>2.10195</v>
      </c>
      <c r="U8" t="s">
        <v>1030</v>
      </c>
    </row>
    <row r="9" spans="1:21" x14ac:dyDescent="0.2">
      <c r="A9" t="s">
        <v>20</v>
      </c>
      <c r="B9" t="s">
        <v>557</v>
      </c>
      <c r="C9" t="s">
        <v>558</v>
      </c>
      <c r="D9" t="s">
        <v>559</v>
      </c>
      <c r="E9" t="s">
        <v>41</v>
      </c>
      <c r="G9" s="1">
        <v>-0.4446</v>
      </c>
      <c r="H9" s="1">
        <v>-0.57179999999999997</v>
      </c>
      <c r="I9" s="6">
        <v>0.22900000000000001</v>
      </c>
      <c r="J9" s="1">
        <v>0.80049999999999999</v>
      </c>
      <c r="K9">
        <v>11</v>
      </c>
      <c r="L9" s="1">
        <v>1.6199999999999999E-2</v>
      </c>
      <c r="M9" s="7">
        <v>5.4000000000000013E-2</v>
      </c>
      <c r="N9">
        <v>3</v>
      </c>
      <c r="O9" s="1">
        <v>0.23230000000000001</v>
      </c>
      <c r="P9" s="1">
        <v>0.2248</v>
      </c>
      <c r="Q9" s="8">
        <v>0.2727</v>
      </c>
      <c r="R9">
        <v>2.4</v>
      </c>
      <c r="S9" s="1">
        <v>1.49E-2</v>
      </c>
      <c r="T9" s="10">
        <f>G9*(-0.5)+(1-I9)+(1-M9)+Q9+S9</f>
        <v>2.2269000000000001</v>
      </c>
      <c r="U9" t="s">
        <v>164</v>
      </c>
    </row>
    <row r="10" spans="1:21" x14ac:dyDescent="0.2">
      <c r="A10" t="s">
        <v>20</v>
      </c>
      <c r="B10" t="s">
        <v>162</v>
      </c>
      <c r="C10" t="s">
        <v>91</v>
      </c>
      <c r="D10" t="s">
        <v>163</v>
      </c>
      <c r="E10" t="s">
        <v>24</v>
      </c>
      <c r="G10" s="1">
        <v>-0.46079999999999999</v>
      </c>
      <c r="H10" s="1">
        <v>-0.51019999999999999</v>
      </c>
      <c r="I10" s="6">
        <v>9.1600000000000001E-2</v>
      </c>
      <c r="J10" s="1">
        <v>0.85459999999999992</v>
      </c>
      <c r="K10">
        <v>26</v>
      </c>
      <c r="L10" s="1">
        <v>1.2800000000000001E-2</v>
      </c>
      <c r="M10" s="7">
        <v>8.4700000000000011E-2</v>
      </c>
      <c r="N10">
        <v>4.2</v>
      </c>
      <c r="O10" s="1">
        <v>0.54100000000000004</v>
      </c>
      <c r="P10" s="1">
        <v>0.53369999999999995</v>
      </c>
      <c r="Q10" s="8">
        <v>0.1615</v>
      </c>
      <c r="R10">
        <v>0.62</v>
      </c>
      <c r="S10" s="1">
        <v>7.7000000000000002E-3</v>
      </c>
      <c r="T10" s="10">
        <f>G10*(-0.5)+(1-I10)+(1-M10)+Q10+S10</f>
        <v>2.2233000000000001</v>
      </c>
      <c r="U10" t="s">
        <v>461</v>
      </c>
    </row>
    <row r="11" spans="1:21" x14ac:dyDescent="0.2">
      <c r="A11" t="s">
        <v>20</v>
      </c>
      <c r="B11" t="s">
        <v>459</v>
      </c>
      <c r="C11" t="s">
        <v>260</v>
      </c>
      <c r="D11" t="s">
        <v>460</v>
      </c>
      <c r="E11" t="s">
        <v>24</v>
      </c>
      <c r="G11" s="1">
        <v>-0.4456</v>
      </c>
      <c r="H11" s="1">
        <v>-0.55649999999999999</v>
      </c>
      <c r="I11" s="6">
        <v>0.2</v>
      </c>
      <c r="J11" s="1">
        <v>0.80379999999999996</v>
      </c>
      <c r="K11">
        <v>14</v>
      </c>
      <c r="L11" s="1">
        <v>1.6000000000000001E-3</v>
      </c>
      <c r="M11" s="7">
        <v>6.0199999999999997E-2</v>
      </c>
      <c r="N11">
        <v>3.3</v>
      </c>
      <c r="O11" s="1">
        <v>0.65349999999999997</v>
      </c>
      <c r="P11" s="1">
        <v>0.45169999999999999</v>
      </c>
      <c r="Q11" s="8">
        <v>0.23569999999999999</v>
      </c>
      <c r="R11">
        <v>1.7</v>
      </c>
      <c r="S11" s="1">
        <v>1.6899999999999998E-2</v>
      </c>
      <c r="T11" s="10">
        <f>G11*(-0.5)+(1-I11)+(1-M11)+Q11+S11</f>
        <v>2.2152000000000003</v>
      </c>
      <c r="U11" t="s">
        <v>85</v>
      </c>
    </row>
    <row r="12" spans="1:21" x14ac:dyDescent="0.2">
      <c r="A12" t="s">
        <v>20</v>
      </c>
      <c r="B12" t="s">
        <v>81</v>
      </c>
      <c r="C12" t="s">
        <v>82</v>
      </c>
      <c r="D12" t="s">
        <v>83</v>
      </c>
      <c r="E12" t="s">
        <v>84</v>
      </c>
      <c r="G12" s="1">
        <v>-0.28029999999999999</v>
      </c>
      <c r="H12" s="1">
        <v>-0.31490000000000001</v>
      </c>
      <c r="I12" s="6">
        <v>4.8099999999999997E-2</v>
      </c>
      <c r="J12" s="1">
        <v>0.38950000000000001</v>
      </c>
      <c r="K12">
        <v>18</v>
      </c>
      <c r="L12" s="1">
        <v>1.09E-2</v>
      </c>
      <c r="M12" s="7">
        <v>3.7599999999999988E-2</v>
      </c>
      <c r="N12">
        <v>2.4</v>
      </c>
      <c r="O12" s="1">
        <v>6.83E-2</v>
      </c>
      <c r="P12" s="1">
        <v>5.5500000000000001E-2</v>
      </c>
      <c r="Q12" s="8">
        <v>0.1333</v>
      </c>
      <c r="R12">
        <v>0.75</v>
      </c>
      <c r="S12" s="1">
        <v>1.7999999999999999E-2</v>
      </c>
      <c r="T12" s="10">
        <f>G12*(-0.5)+(1-I12)+(1-M12)+Q12+S12</f>
        <v>2.2057500000000001</v>
      </c>
      <c r="U12" t="s">
        <v>180</v>
      </c>
    </row>
    <row r="13" spans="1:21" x14ac:dyDescent="0.2">
      <c r="A13" t="s">
        <v>20</v>
      </c>
      <c r="B13" t="s">
        <v>177</v>
      </c>
      <c r="C13" t="s">
        <v>178</v>
      </c>
      <c r="D13" t="s">
        <v>179</v>
      </c>
      <c r="E13" t="s">
        <v>24</v>
      </c>
      <c r="G13" s="1">
        <v>-0.3619</v>
      </c>
      <c r="H13" s="1">
        <v>-0.42299999999999999</v>
      </c>
      <c r="I13" s="6">
        <v>9.5799999999999996E-2</v>
      </c>
      <c r="J13" s="1">
        <v>0.56720000000000004</v>
      </c>
      <c r="K13">
        <v>21</v>
      </c>
      <c r="L13" s="1">
        <v>0.16420000000000001</v>
      </c>
      <c r="M13" s="7">
        <v>0.107</v>
      </c>
      <c r="N13">
        <v>4.2</v>
      </c>
      <c r="O13" s="1">
        <v>0.31819999999999998</v>
      </c>
      <c r="P13" s="1">
        <v>0.1714</v>
      </c>
      <c r="Q13" s="8">
        <v>0.2</v>
      </c>
      <c r="R13">
        <v>0.95</v>
      </c>
      <c r="S13" s="1">
        <v>1.6199999999999999E-2</v>
      </c>
      <c r="T13" s="10">
        <f>G13*(-0.5)+(1-I13)+(1-M13)+Q13+S13</f>
        <v>2.19435</v>
      </c>
      <c r="U13" t="s">
        <v>233</v>
      </c>
    </row>
    <row r="14" spans="1:21" x14ac:dyDescent="0.2">
      <c r="A14" t="s">
        <v>20</v>
      </c>
      <c r="B14" t="s">
        <v>231</v>
      </c>
      <c r="C14" t="s">
        <v>174</v>
      </c>
      <c r="D14" t="s">
        <v>232</v>
      </c>
      <c r="E14" t="s">
        <v>24</v>
      </c>
      <c r="G14" s="1">
        <v>-0.34010000000000001</v>
      </c>
      <c r="H14" s="1">
        <v>-0.4204</v>
      </c>
      <c r="I14" s="6">
        <v>0.1217</v>
      </c>
      <c r="J14" s="1">
        <v>0.51539999999999997</v>
      </c>
      <c r="K14">
        <v>31</v>
      </c>
      <c r="L14" s="1">
        <v>1.41E-2</v>
      </c>
      <c r="M14" s="7">
        <v>5.0900000000000001E-2</v>
      </c>
      <c r="N14">
        <v>5.6</v>
      </c>
      <c r="O14" s="1">
        <v>0.12559999999999999</v>
      </c>
      <c r="P14" s="1">
        <v>0.248</v>
      </c>
      <c r="Q14" s="8">
        <v>0.18060000000000001</v>
      </c>
      <c r="R14">
        <v>0.59</v>
      </c>
      <c r="S14" s="1">
        <v>8.8999999999999999E-3</v>
      </c>
      <c r="T14" s="10">
        <f>G14*(-0.5)+(1-I14)+(1-M14)+Q14+S14</f>
        <v>2.1869499999999999</v>
      </c>
      <c r="U14" t="s">
        <v>33</v>
      </c>
    </row>
    <row r="15" spans="1:21" x14ac:dyDescent="0.2">
      <c r="A15" t="s">
        <v>20</v>
      </c>
      <c r="B15" t="s">
        <v>30</v>
      </c>
      <c r="C15" t="s">
        <v>31</v>
      </c>
      <c r="D15" t="s">
        <v>32</v>
      </c>
      <c r="E15" t="s">
        <v>24</v>
      </c>
      <c r="G15" s="1">
        <v>-0.54869999999999997</v>
      </c>
      <c r="H15" s="1">
        <v>-0.56220000000000003</v>
      </c>
      <c r="I15" s="6">
        <v>2.9899999999999999E-2</v>
      </c>
      <c r="J15" s="1">
        <v>1.2158</v>
      </c>
      <c r="K15">
        <v>31</v>
      </c>
      <c r="L15" s="1">
        <v>0.24840000000000001</v>
      </c>
      <c r="M15" s="7">
        <v>0.2097</v>
      </c>
      <c r="N15">
        <v>4.2</v>
      </c>
      <c r="O15" s="1">
        <v>5.9200000000000003E-2</v>
      </c>
      <c r="P15" s="1">
        <v>6.7099999999999993E-2</v>
      </c>
      <c r="Q15" s="8">
        <v>0.13550000000000001</v>
      </c>
      <c r="R15">
        <v>0.44</v>
      </c>
      <c r="S15" s="1">
        <v>1.14E-2</v>
      </c>
      <c r="T15" s="10">
        <f>G15*(-0.5)+(1-I15)+(1-M15)+Q15+S15</f>
        <v>2.1816499999999999</v>
      </c>
      <c r="U15" t="s">
        <v>125</v>
      </c>
    </row>
    <row r="16" spans="1:21" x14ac:dyDescent="0.2">
      <c r="A16" t="s">
        <v>20</v>
      </c>
      <c r="B16" t="s">
        <v>122</v>
      </c>
      <c r="C16" t="s">
        <v>123</v>
      </c>
      <c r="D16" t="s">
        <v>124</v>
      </c>
      <c r="E16" t="s">
        <v>24</v>
      </c>
      <c r="G16" s="1">
        <v>-0.41399999999999998</v>
      </c>
      <c r="H16" s="1">
        <v>-0.45519999999999999</v>
      </c>
      <c r="I16" s="6">
        <v>7.0300000000000001E-2</v>
      </c>
      <c r="J16" s="1">
        <v>0.70650000000000002</v>
      </c>
      <c r="K16">
        <v>32</v>
      </c>
      <c r="L16" s="1">
        <v>3.7999999999999999E-2</v>
      </c>
      <c r="M16" s="7">
        <v>0.1338</v>
      </c>
      <c r="N16">
        <v>5.4</v>
      </c>
      <c r="O16" s="1">
        <v>4.3099999999999999E-2</v>
      </c>
      <c r="P16" s="1">
        <v>0.1129</v>
      </c>
      <c r="Q16" s="8">
        <v>0.16880000000000001</v>
      </c>
      <c r="R16">
        <v>0.52</v>
      </c>
      <c r="S16" s="1">
        <v>7.3000000000000001E-3</v>
      </c>
      <c r="T16" s="10">
        <f>G16*(-0.5)+(1-I16)+(1-M16)+Q16+S16</f>
        <v>2.1789999999999998</v>
      </c>
      <c r="U16" t="s">
        <v>63</v>
      </c>
    </row>
    <row r="17" spans="1:21" x14ac:dyDescent="0.2">
      <c r="A17" t="s">
        <v>20</v>
      </c>
      <c r="B17" t="s">
        <v>60</v>
      </c>
      <c r="C17" t="s">
        <v>61</v>
      </c>
      <c r="D17" t="s">
        <v>62</v>
      </c>
      <c r="E17" t="s">
        <v>24</v>
      </c>
      <c r="F17" t="s">
        <v>46</v>
      </c>
      <c r="G17" s="1">
        <v>-0.59740000000000004</v>
      </c>
      <c r="H17" s="1">
        <v>-0.61429999999999996</v>
      </c>
      <c r="I17" s="6">
        <v>4.2000000000000003E-2</v>
      </c>
      <c r="J17" s="1">
        <v>1.4839</v>
      </c>
      <c r="K17">
        <v>31</v>
      </c>
      <c r="L17" s="1">
        <v>7.4800000000000005E-2</v>
      </c>
      <c r="M17" s="7">
        <v>0.22750000000000001</v>
      </c>
      <c r="N17">
        <v>4.0999999999999996</v>
      </c>
      <c r="O17" s="1">
        <v>1.0800000000000001E-2</v>
      </c>
      <c r="P17" s="1">
        <v>8.1600000000000006E-2</v>
      </c>
      <c r="Q17" s="8">
        <v>0.1323</v>
      </c>
      <c r="R17">
        <v>0.43</v>
      </c>
      <c r="S17" s="1">
        <v>8.6999999999999994E-3</v>
      </c>
      <c r="T17" s="10">
        <f>G17*(-0.5)+(1-I17)+(1-M17)+Q17+S17</f>
        <v>2.1701999999999999</v>
      </c>
      <c r="U17" t="s">
        <v>479</v>
      </c>
    </row>
    <row r="18" spans="1:21" x14ac:dyDescent="0.2">
      <c r="A18" t="s">
        <v>20</v>
      </c>
      <c r="B18" t="s">
        <v>476</v>
      </c>
      <c r="C18" t="s">
        <v>477</v>
      </c>
      <c r="D18" t="s">
        <v>478</v>
      </c>
      <c r="E18" t="s">
        <v>24</v>
      </c>
      <c r="G18" s="1">
        <v>-0.42809999999999998</v>
      </c>
      <c r="H18" s="1">
        <v>-0.54469999999999996</v>
      </c>
      <c r="I18" s="6">
        <v>0.2039</v>
      </c>
      <c r="J18" s="1">
        <v>0.74860000000000004</v>
      </c>
      <c r="K18">
        <v>16</v>
      </c>
      <c r="L18" s="1">
        <v>3.0000000000000001E-3</v>
      </c>
      <c r="M18" s="7">
        <v>5.7699999999999987E-2</v>
      </c>
      <c r="N18">
        <v>3.1</v>
      </c>
      <c r="O18" s="1">
        <v>0.38719999999999999</v>
      </c>
      <c r="P18" s="1">
        <v>0.43099999999999999</v>
      </c>
      <c r="Q18" s="8">
        <v>0.1938</v>
      </c>
      <c r="R18">
        <v>1.2</v>
      </c>
      <c r="S18" s="1">
        <v>1.49E-2</v>
      </c>
      <c r="T18" s="10">
        <f>G18*(-0.5)+(1-I18)+(1-M18)+Q18+S18</f>
        <v>2.1611500000000001</v>
      </c>
      <c r="U18" t="s">
        <v>101</v>
      </c>
    </row>
    <row r="19" spans="1:21" x14ac:dyDescent="0.2">
      <c r="A19" t="s">
        <v>20</v>
      </c>
      <c r="B19" t="s">
        <v>98</v>
      </c>
      <c r="C19" t="s">
        <v>99</v>
      </c>
      <c r="D19" t="s">
        <v>100</v>
      </c>
      <c r="E19" t="s">
        <v>24</v>
      </c>
      <c r="F19" t="s">
        <v>46</v>
      </c>
      <c r="G19" s="1">
        <v>-0.46229999999999999</v>
      </c>
      <c r="H19" s="1">
        <v>-0.49249999999999999</v>
      </c>
      <c r="I19" s="6">
        <v>5.62E-2</v>
      </c>
      <c r="J19" s="1">
        <v>0.85980000000000001</v>
      </c>
      <c r="K19">
        <v>19</v>
      </c>
      <c r="L19" s="1">
        <v>8.6999999999999994E-2</v>
      </c>
      <c r="M19" s="7">
        <v>0.22209999999999999</v>
      </c>
      <c r="N19">
        <v>3.5</v>
      </c>
      <c r="O19" s="1">
        <v>0.13139999999999999</v>
      </c>
      <c r="P19" s="1">
        <v>0.2467</v>
      </c>
      <c r="Q19" s="8">
        <v>0.1842</v>
      </c>
      <c r="R19">
        <v>0.95</v>
      </c>
      <c r="S19" s="1">
        <v>1.8100000000000002E-2</v>
      </c>
      <c r="T19" s="10">
        <f>G19*(-0.5)+(1-I19)+(1-M19)+Q19+S19</f>
        <v>2.1551499999999999</v>
      </c>
      <c r="U19" t="s">
        <v>191</v>
      </c>
    </row>
    <row r="20" spans="1:21" x14ac:dyDescent="0.2">
      <c r="A20" t="s">
        <v>20</v>
      </c>
      <c r="B20" t="s">
        <v>189</v>
      </c>
      <c r="C20" t="s">
        <v>115</v>
      </c>
      <c r="D20" t="s">
        <v>190</v>
      </c>
      <c r="E20" t="s">
        <v>24</v>
      </c>
      <c r="G20" s="1">
        <v>-0.46289999999999998</v>
      </c>
      <c r="H20" s="1">
        <v>-0.51790000000000003</v>
      </c>
      <c r="I20" s="6">
        <v>0.1024</v>
      </c>
      <c r="J20" s="1">
        <v>0.8619</v>
      </c>
      <c r="K20">
        <v>27</v>
      </c>
      <c r="L20" s="1">
        <v>0.18909999999999999</v>
      </c>
      <c r="M20" s="7">
        <v>0.17449999999999999</v>
      </c>
      <c r="N20">
        <v>5</v>
      </c>
      <c r="O20" s="1">
        <v>0.15709999999999999</v>
      </c>
      <c r="P20" s="1">
        <v>0.1694</v>
      </c>
      <c r="Q20" s="8">
        <v>0.1852</v>
      </c>
      <c r="R20">
        <v>0.69</v>
      </c>
      <c r="S20" s="1">
        <v>1.34E-2</v>
      </c>
      <c r="T20" s="10">
        <f>G20*(-0.5)+(1-I20)+(1-M20)+Q20+S20</f>
        <v>2.1531499999999997</v>
      </c>
      <c r="U20" t="s">
        <v>51</v>
      </c>
    </row>
    <row r="21" spans="1:21" x14ac:dyDescent="0.2">
      <c r="A21" t="s">
        <v>20</v>
      </c>
      <c r="B21" t="s">
        <v>48</v>
      </c>
      <c r="C21" t="s">
        <v>49</v>
      </c>
      <c r="D21" t="s">
        <v>50</v>
      </c>
      <c r="E21" t="s">
        <v>24</v>
      </c>
      <c r="G21" s="1">
        <v>-0.54630000000000001</v>
      </c>
      <c r="H21" s="1">
        <v>-0.5625</v>
      </c>
      <c r="I21" s="6">
        <v>3.5700000000000003E-2</v>
      </c>
      <c r="J21" s="1">
        <v>1.2040999999999999</v>
      </c>
      <c r="K21">
        <v>38</v>
      </c>
      <c r="L21" s="1">
        <v>0.23769999999999999</v>
      </c>
      <c r="M21" s="7">
        <v>0.22900000000000001</v>
      </c>
      <c r="N21">
        <v>4.9000000000000004</v>
      </c>
      <c r="O21" s="1">
        <v>2.9399999999999999E-2</v>
      </c>
      <c r="P21" s="1">
        <v>6.9099999999999995E-2</v>
      </c>
      <c r="Q21" s="8">
        <v>0.12889999999999999</v>
      </c>
      <c r="R21">
        <v>0.34</v>
      </c>
      <c r="S21" s="1">
        <v>1.01E-2</v>
      </c>
      <c r="T21" s="10">
        <f>G21*(-0.5)+(1-I21)+(1-M21)+Q21+S21</f>
        <v>2.1474499999999996</v>
      </c>
      <c r="U21" t="s">
        <v>230</v>
      </c>
    </row>
    <row r="22" spans="1:21" x14ac:dyDescent="0.2">
      <c r="A22" t="s">
        <v>20</v>
      </c>
      <c r="B22" t="s">
        <v>228</v>
      </c>
      <c r="C22" t="s">
        <v>95</v>
      </c>
      <c r="D22" t="s">
        <v>229</v>
      </c>
      <c r="E22" t="s">
        <v>24</v>
      </c>
      <c r="G22" s="1">
        <v>-0.36799999999999999</v>
      </c>
      <c r="H22" s="1">
        <v>-0.44479999999999997</v>
      </c>
      <c r="I22" s="6">
        <v>0.1215</v>
      </c>
      <c r="J22" s="1">
        <v>0.58229999999999993</v>
      </c>
      <c r="K22">
        <v>16</v>
      </c>
      <c r="L22" s="1">
        <v>3.1699999999999999E-2</v>
      </c>
      <c r="M22" s="7">
        <v>0.14729999999999999</v>
      </c>
      <c r="N22">
        <v>3.4</v>
      </c>
      <c r="O22" s="1">
        <v>0.41920000000000002</v>
      </c>
      <c r="P22" s="1">
        <v>0.4955</v>
      </c>
      <c r="Q22" s="8">
        <v>0.21249999999999999</v>
      </c>
      <c r="R22">
        <v>1.3</v>
      </c>
      <c r="S22" s="1">
        <v>1.66E-2</v>
      </c>
      <c r="T22" s="10">
        <f>G22*(-0.5)+(1-I22)+(1-M22)+Q22+S22</f>
        <v>2.1442999999999999</v>
      </c>
      <c r="U22" t="s">
        <v>237</v>
      </c>
    </row>
    <row r="23" spans="1:21" x14ac:dyDescent="0.2">
      <c r="A23" t="s">
        <v>20</v>
      </c>
      <c r="B23" t="s">
        <v>234</v>
      </c>
      <c r="C23" t="s">
        <v>235</v>
      </c>
      <c r="D23" t="s">
        <v>236</v>
      </c>
      <c r="E23" t="s">
        <v>24</v>
      </c>
      <c r="G23" s="1">
        <v>-0.3261</v>
      </c>
      <c r="H23" s="1">
        <v>-0.40949999999999998</v>
      </c>
      <c r="I23" s="6">
        <v>0.12379999999999999</v>
      </c>
      <c r="J23" s="1">
        <v>0.4839</v>
      </c>
      <c r="K23">
        <v>23</v>
      </c>
      <c r="L23" s="1">
        <v>5.1999999999999998E-2</v>
      </c>
      <c r="M23" s="7">
        <v>6.59E-2</v>
      </c>
      <c r="N23">
        <v>3.5</v>
      </c>
      <c r="O23" s="1">
        <v>7.8E-2</v>
      </c>
      <c r="P23" s="1">
        <v>6.9900000000000004E-2</v>
      </c>
      <c r="Q23" s="8">
        <v>0.1522</v>
      </c>
      <c r="R23">
        <v>0.67</v>
      </c>
      <c r="S23" s="1">
        <v>1.3100000000000001E-2</v>
      </c>
      <c r="T23" s="10">
        <f>G23*(-0.5)+(1-I23)+(1-M23)+Q23+S23</f>
        <v>2.1386500000000002</v>
      </c>
      <c r="U23" t="s">
        <v>105</v>
      </c>
    </row>
    <row r="24" spans="1:21" x14ac:dyDescent="0.2">
      <c r="A24" t="s">
        <v>20</v>
      </c>
      <c r="B24" t="s">
        <v>102</v>
      </c>
      <c r="C24" t="s">
        <v>103</v>
      </c>
      <c r="D24" t="s">
        <v>104</v>
      </c>
      <c r="E24" t="s">
        <v>24</v>
      </c>
      <c r="G24" s="1">
        <v>-0.51029999999999998</v>
      </c>
      <c r="H24" s="1">
        <v>-0.5393</v>
      </c>
      <c r="I24" s="6">
        <v>5.9200000000000003E-2</v>
      </c>
      <c r="J24" s="1">
        <v>1.0421</v>
      </c>
      <c r="K24">
        <v>30</v>
      </c>
      <c r="L24" s="1">
        <v>0.18720000000000001</v>
      </c>
      <c r="M24" s="7">
        <v>0.21879999999999999</v>
      </c>
      <c r="N24">
        <v>4.5</v>
      </c>
      <c r="O24" s="1">
        <v>0.26889999999999997</v>
      </c>
      <c r="P24" s="1">
        <v>0.25480000000000003</v>
      </c>
      <c r="Q24" s="8">
        <v>0.15</v>
      </c>
      <c r="R24">
        <v>0.5</v>
      </c>
      <c r="S24" s="1">
        <v>1.0200000000000001E-2</v>
      </c>
      <c r="T24" s="10">
        <f>G24*(-0.5)+(1-I24)+(1-M24)+Q24+S24</f>
        <v>2.1373500000000001</v>
      </c>
      <c r="U24" t="s">
        <v>25</v>
      </c>
    </row>
    <row r="25" spans="1:21" x14ac:dyDescent="0.2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G25" s="1">
        <v>-0.16200000000000001</v>
      </c>
      <c r="H25" s="1">
        <v>-0.1754</v>
      </c>
      <c r="I25" s="6">
        <v>1.6E-2</v>
      </c>
      <c r="J25" s="1">
        <v>0.1933</v>
      </c>
      <c r="K25">
        <v>18</v>
      </c>
      <c r="L25" s="1">
        <v>0.3669</v>
      </c>
      <c r="M25" s="7">
        <v>9.3699999999999992E-2</v>
      </c>
      <c r="N25">
        <v>2.5</v>
      </c>
      <c r="O25" s="1">
        <v>0.18709999999999999</v>
      </c>
      <c r="P25" s="1">
        <v>4.6300000000000001E-2</v>
      </c>
      <c r="Q25" s="8">
        <v>0.1389</v>
      </c>
      <c r="R25">
        <v>0.77</v>
      </c>
      <c r="S25" s="1">
        <v>1.41E-2</v>
      </c>
      <c r="T25" s="10">
        <f>G25*(-0.5)+(1-I25)+(1-M25)+Q25+S25</f>
        <v>2.1242999999999999</v>
      </c>
      <c r="U25" t="s">
        <v>530</v>
      </c>
    </row>
    <row r="26" spans="1:21" x14ac:dyDescent="0.2">
      <c r="A26" t="s">
        <v>20</v>
      </c>
      <c r="B26" t="s">
        <v>527</v>
      </c>
      <c r="C26" t="s">
        <v>528</v>
      </c>
      <c r="D26" t="s">
        <v>529</v>
      </c>
      <c r="E26" t="s">
        <v>24</v>
      </c>
      <c r="G26" s="1">
        <v>-0.3826</v>
      </c>
      <c r="H26" s="1">
        <v>-0.5171</v>
      </c>
      <c r="I26" s="6">
        <v>0.21779999999999999</v>
      </c>
      <c r="J26" s="1">
        <v>0.61970000000000003</v>
      </c>
      <c r="K26">
        <v>18</v>
      </c>
      <c r="L26" s="1">
        <v>6.9999999999999993E-3</v>
      </c>
      <c r="M26" s="7">
        <v>5.0999999999999997E-2</v>
      </c>
      <c r="N26">
        <v>3.1</v>
      </c>
      <c r="O26" s="1">
        <v>0.61780000000000002</v>
      </c>
      <c r="P26" s="1">
        <v>0.37940000000000002</v>
      </c>
      <c r="Q26" s="8">
        <v>0.17219999999999999</v>
      </c>
      <c r="R26">
        <v>0.95</v>
      </c>
      <c r="S26" s="1">
        <v>1.78E-2</v>
      </c>
      <c r="T26" s="10">
        <f>G26*(-0.5)+(1-I26)+(1-M26)+Q26+S26</f>
        <v>2.1124999999999998</v>
      </c>
      <c r="U26" t="s">
        <v>378</v>
      </c>
    </row>
    <row r="27" spans="1:21" x14ac:dyDescent="0.2">
      <c r="A27" t="s">
        <v>20</v>
      </c>
      <c r="B27" t="s">
        <v>376</v>
      </c>
      <c r="C27" t="s">
        <v>115</v>
      </c>
      <c r="D27" t="s">
        <v>377</v>
      </c>
      <c r="E27" t="s">
        <v>24</v>
      </c>
      <c r="G27" s="1">
        <v>-0.44140000000000001</v>
      </c>
      <c r="H27" s="1">
        <v>-0.53700000000000003</v>
      </c>
      <c r="I27" s="6">
        <v>0.1711</v>
      </c>
      <c r="J27" s="1">
        <v>0.79020000000000001</v>
      </c>
      <c r="K27">
        <v>24</v>
      </c>
      <c r="L27" s="1">
        <v>0.20369999999999999</v>
      </c>
      <c r="M27" s="7">
        <v>0.1784</v>
      </c>
      <c r="N27">
        <v>5.2</v>
      </c>
      <c r="O27" s="1">
        <v>0.1183</v>
      </c>
      <c r="P27" s="1">
        <v>0.18379999999999999</v>
      </c>
      <c r="Q27" s="8">
        <v>0.2167</v>
      </c>
      <c r="R27">
        <v>0.89</v>
      </c>
      <c r="S27" s="1">
        <v>2.3800000000000002E-2</v>
      </c>
      <c r="T27" s="10">
        <f>G27*(-0.5)+(1-I27)+(1-M27)+Q27+S27</f>
        <v>2.1116999999999999</v>
      </c>
      <c r="U27" t="s">
        <v>140</v>
      </c>
    </row>
    <row r="28" spans="1:21" x14ac:dyDescent="0.2">
      <c r="A28" t="s">
        <v>20</v>
      </c>
      <c r="B28" t="s">
        <v>137</v>
      </c>
      <c r="C28" t="s">
        <v>138</v>
      </c>
      <c r="D28" t="s">
        <v>139</v>
      </c>
      <c r="E28" t="s">
        <v>24</v>
      </c>
      <c r="G28" s="1">
        <v>-0.4677</v>
      </c>
      <c r="H28" s="1">
        <v>-0.5121</v>
      </c>
      <c r="I28" s="6">
        <v>8.3400000000000002E-2</v>
      </c>
      <c r="J28" s="1">
        <v>0.87860000000000005</v>
      </c>
      <c r="K28">
        <v>27</v>
      </c>
      <c r="L28" s="1">
        <v>5.9499999999999997E-2</v>
      </c>
      <c r="M28" s="7">
        <v>0.18509999999999999</v>
      </c>
      <c r="N28">
        <v>3.5</v>
      </c>
      <c r="O28" s="1">
        <v>3.7400000000000003E-2</v>
      </c>
      <c r="P28" s="1">
        <v>0.13270000000000001</v>
      </c>
      <c r="Q28" s="8">
        <v>0.12959999999999999</v>
      </c>
      <c r="R28">
        <v>0.47</v>
      </c>
      <c r="S28" s="1">
        <v>1.2200000000000001E-2</v>
      </c>
      <c r="T28" s="10">
        <f>G28*(-0.5)+(1-I28)+(1-M28)+Q28+S28</f>
        <v>2.1071499999999999</v>
      </c>
      <c r="U28" t="s">
        <v>161</v>
      </c>
    </row>
    <row r="29" spans="1:21" x14ac:dyDescent="0.2">
      <c r="A29" t="s">
        <v>20</v>
      </c>
      <c r="B29" t="s">
        <v>159</v>
      </c>
      <c r="C29" t="s">
        <v>49</v>
      </c>
      <c r="D29" t="s">
        <v>160</v>
      </c>
      <c r="E29" t="s">
        <v>24</v>
      </c>
      <c r="G29" s="1">
        <v>-0.5363</v>
      </c>
      <c r="H29" s="1">
        <v>-0.57850000000000001</v>
      </c>
      <c r="I29" s="6">
        <v>9.0999999999999998E-2</v>
      </c>
      <c r="J29" s="1">
        <v>1.1566000000000001</v>
      </c>
      <c r="K29">
        <v>32</v>
      </c>
      <c r="L29" s="1">
        <v>0.1376</v>
      </c>
      <c r="M29" s="7">
        <v>0.2366</v>
      </c>
      <c r="N29">
        <v>4.9000000000000004</v>
      </c>
      <c r="O29" s="1">
        <v>1.7299999999999999E-2</v>
      </c>
      <c r="P29" s="1">
        <v>6.1899999999999997E-2</v>
      </c>
      <c r="Q29" s="8">
        <v>0.15310000000000001</v>
      </c>
      <c r="R29">
        <v>0.48</v>
      </c>
      <c r="S29" s="1">
        <v>1.11E-2</v>
      </c>
      <c r="T29" s="10">
        <f>G29*(-0.5)+(1-I29)+(1-M29)+Q29+S29</f>
        <v>2.1047500000000001</v>
      </c>
      <c r="U29" t="s">
        <v>203</v>
      </c>
    </row>
    <row r="30" spans="1:21" x14ac:dyDescent="0.2">
      <c r="A30" t="s">
        <v>20</v>
      </c>
      <c r="B30" t="s">
        <v>200</v>
      </c>
      <c r="C30" t="s">
        <v>201</v>
      </c>
      <c r="D30" t="s">
        <v>202</v>
      </c>
      <c r="E30" t="s">
        <v>24</v>
      </c>
      <c r="G30" s="1">
        <v>-0.40369999999999989</v>
      </c>
      <c r="H30" s="1">
        <v>-0.46779999999999999</v>
      </c>
      <c r="I30" s="6">
        <v>0.1075</v>
      </c>
      <c r="J30" s="1">
        <v>0.67700000000000005</v>
      </c>
      <c r="K30">
        <v>33</v>
      </c>
      <c r="L30" s="1">
        <v>0.1701</v>
      </c>
      <c r="M30" s="7">
        <v>0.13739999999999999</v>
      </c>
      <c r="N30">
        <v>4.5999999999999996</v>
      </c>
      <c r="O30" s="1">
        <v>0.1007</v>
      </c>
      <c r="P30" s="1">
        <v>7.6399999999999996E-2</v>
      </c>
      <c r="Q30" s="8">
        <v>0.1394</v>
      </c>
      <c r="R30">
        <v>0.43</v>
      </c>
      <c r="S30" s="1">
        <v>7.4000000000000003E-3</v>
      </c>
      <c r="T30" s="10">
        <f>G30*(-0.5)+(1-I30)+(1-M30)+Q30+S30</f>
        <v>2.1037500000000002</v>
      </c>
      <c r="U30" t="s">
        <v>333</v>
      </c>
    </row>
    <row r="31" spans="1:21" x14ac:dyDescent="0.2">
      <c r="A31" t="s">
        <v>20</v>
      </c>
      <c r="B31" t="s">
        <v>330</v>
      </c>
      <c r="C31" t="s">
        <v>331</v>
      </c>
      <c r="D31" t="s">
        <v>332</v>
      </c>
      <c r="E31" t="s">
        <v>24</v>
      </c>
      <c r="G31" s="1">
        <v>-0.38619999999999999</v>
      </c>
      <c r="H31" s="1">
        <v>-0.48280000000000001</v>
      </c>
      <c r="I31" s="6">
        <v>0.15740000000000001</v>
      </c>
      <c r="J31" s="1">
        <v>0.62919999999999998</v>
      </c>
      <c r="K31">
        <v>18</v>
      </c>
      <c r="L31" s="1">
        <v>3.56E-2</v>
      </c>
      <c r="M31" s="7">
        <v>0.1232</v>
      </c>
      <c r="N31">
        <v>3.1</v>
      </c>
      <c r="O31" s="1">
        <v>0.54759999999999998</v>
      </c>
      <c r="P31" s="1">
        <v>0.38600000000000001</v>
      </c>
      <c r="Q31" s="8">
        <v>0.17219999999999999</v>
      </c>
      <c r="R31">
        <v>0.95</v>
      </c>
      <c r="S31" s="1">
        <v>1.78E-2</v>
      </c>
      <c r="T31" s="10">
        <f>G31*(-0.5)+(1-I31)+(1-M31)+Q31+S31</f>
        <v>2.1025</v>
      </c>
      <c r="U31" t="s">
        <v>158</v>
      </c>
    </row>
    <row r="32" spans="1:21" x14ac:dyDescent="0.2">
      <c r="A32" t="s">
        <v>20</v>
      </c>
      <c r="B32" t="s">
        <v>155</v>
      </c>
      <c r="C32" t="s">
        <v>156</v>
      </c>
      <c r="D32" t="s">
        <v>157</v>
      </c>
      <c r="E32" t="s">
        <v>24</v>
      </c>
      <c r="G32" s="1">
        <v>-0.44640000000000002</v>
      </c>
      <c r="H32" s="1">
        <v>-0.49640000000000001</v>
      </c>
      <c r="I32" s="6">
        <v>9.0299999999999991E-2</v>
      </c>
      <c r="J32" s="1">
        <v>0.80640000000000001</v>
      </c>
      <c r="K32">
        <v>28</v>
      </c>
      <c r="L32" s="1">
        <v>7.3499999999999996E-2</v>
      </c>
      <c r="M32" s="7">
        <v>0.189</v>
      </c>
      <c r="N32">
        <v>3.7</v>
      </c>
      <c r="O32" s="1">
        <v>7.22E-2</v>
      </c>
      <c r="P32" s="1">
        <v>0.19620000000000001</v>
      </c>
      <c r="Q32" s="8">
        <v>0.1321</v>
      </c>
      <c r="R32">
        <v>0.47</v>
      </c>
      <c r="S32" s="1">
        <v>1.3100000000000001E-2</v>
      </c>
      <c r="T32" s="10">
        <f>G32*(-0.5)+(1-I32)+(1-M32)+Q32+S32</f>
        <v>2.0891000000000002</v>
      </c>
      <c r="U32" t="s">
        <v>147</v>
      </c>
    </row>
    <row r="33" spans="1:21" x14ac:dyDescent="0.2">
      <c r="A33" t="s">
        <v>20</v>
      </c>
      <c r="B33" t="s">
        <v>144</v>
      </c>
      <c r="C33" t="s">
        <v>145</v>
      </c>
      <c r="D33" t="s">
        <v>146</v>
      </c>
      <c r="E33" t="s">
        <v>24</v>
      </c>
      <c r="G33" s="1">
        <v>-0.45650000000000002</v>
      </c>
      <c r="H33" s="1">
        <v>-0.50240000000000007</v>
      </c>
      <c r="I33" s="6">
        <v>8.4499999999999992E-2</v>
      </c>
      <c r="J33" s="1">
        <v>0.83989999999999998</v>
      </c>
      <c r="K33">
        <v>29</v>
      </c>
      <c r="L33" s="1">
        <v>0.15190000000000001</v>
      </c>
      <c r="M33" s="7">
        <v>0.2029</v>
      </c>
      <c r="N33">
        <v>3.7</v>
      </c>
      <c r="O33" s="1">
        <v>6.5299999999999997E-2</v>
      </c>
      <c r="P33" s="1">
        <v>0.16239999999999999</v>
      </c>
      <c r="Q33" s="8">
        <v>0.12759999999999999</v>
      </c>
      <c r="R33">
        <v>0.43</v>
      </c>
      <c r="S33" s="1">
        <v>1.2500000000000001E-2</v>
      </c>
      <c r="T33" s="10">
        <f>G33*(-0.5)+(1-I33)+(1-M33)+Q33+S33</f>
        <v>2.0809500000000005</v>
      </c>
      <c r="U33" t="s">
        <v>262</v>
      </c>
    </row>
    <row r="34" spans="1:21" x14ac:dyDescent="0.2">
      <c r="A34" t="s">
        <v>20</v>
      </c>
      <c r="B34" t="s">
        <v>259</v>
      </c>
      <c r="C34" t="s">
        <v>260</v>
      </c>
      <c r="D34" t="s">
        <v>261</v>
      </c>
      <c r="E34" t="s">
        <v>41</v>
      </c>
      <c r="G34" s="1">
        <v>-0.40379999999999999</v>
      </c>
      <c r="H34" s="1">
        <v>-0.48309999999999997</v>
      </c>
      <c r="I34" s="6">
        <v>0.13300000000000001</v>
      </c>
      <c r="J34" s="1">
        <v>0.67730000000000001</v>
      </c>
      <c r="K34">
        <v>20</v>
      </c>
      <c r="L34" s="1">
        <v>4.4299999999999999E-2</v>
      </c>
      <c r="M34" s="7">
        <v>0.13109999999999999</v>
      </c>
      <c r="N34">
        <v>2.5</v>
      </c>
      <c r="O34" s="1">
        <v>6.9999999999999993E-3</v>
      </c>
      <c r="P34" s="1">
        <v>2.98E-2</v>
      </c>
      <c r="Q34" s="8">
        <v>0.125</v>
      </c>
      <c r="R34">
        <v>0.64</v>
      </c>
      <c r="S34" s="1">
        <v>1.61E-2</v>
      </c>
      <c r="T34" s="10">
        <f>G34*(-0.5)+(1-I34)+(1-M34)+Q34+S34</f>
        <v>2.0789</v>
      </c>
      <c r="U34" t="s">
        <v>752</v>
      </c>
    </row>
    <row r="35" spans="1:21" x14ac:dyDescent="0.2">
      <c r="A35" t="s">
        <v>20</v>
      </c>
      <c r="B35" t="s">
        <v>750</v>
      </c>
      <c r="C35" t="s">
        <v>316</v>
      </c>
      <c r="D35" t="s">
        <v>751</v>
      </c>
      <c r="E35" t="s">
        <v>41</v>
      </c>
      <c r="G35" s="1">
        <v>-0.27479999999999999</v>
      </c>
      <c r="H35" s="1">
        <v>-0.5111</v>
      </c>
      <c r="I35" s="6">
        <v>0.32579999999999998</v>
      </c>
      <c r="J35" s="1">
        <v>0.37890000000000001</v>
      </c>
      <c r="K35">
        <v>6.2</v>
      </c>
      <c r="L35" s="1">
        <v>6.1999999999999998E-3</v>
      </c>
      <c r="M35" s="7">
        <v>3.73E-2</v>
      </c>
      <c r="N35">
        <v>1.3</v>
      </c>
      <c r="O35" s="1">
        <v>0.50439999999999996</v>
      </c>
      <c r="P35" s="1">
        <v>0.35339999999999999</v>
      </c>
      <c r="Q35" s="8">
        <v>0.2097</v>
      </c>
      <c r="R35">
        <v>3.4</v>
      </c>
      <c r="S35" s="1">
        <v>9.1700000000000004E-2</v>
      </c>
      <c r="T35" s="10">
        <f>G35*(-0.5)+(1-I35)+(1-M35)+Q35+S35</f>
        <v>2.0756999999999999</v>
      </c>
      <c r="U35" t="s">
        <v>318</v>
      </c>
    </row>
    <row r="36" spans="1:21" x14ac:dyDescent="0.2">
      <c r="A36" t="s">
        <v>20</v>
      </c>
      <c r="B36" t="s">
        <v>315</v>
      </c>
      <c r="C36" t="s">
        <v>316</v>
      </c>
      <c r="D36" t="s">
        <v>317</v>
      </c>
      <c r="E36" t="s">
        <v>41</v>
      </c>
      <c r="G36" s="1">
        <v>-0.40749999999999997</v>
      </c>
      <c r="H36" s="1">
        <v>-0.499</v>
      </c>
      <c r="I36" s="6">
        <v>0.15440000000000001</v>
      </c>
      <c r="J36" s="1">
        <v>0.68779999999999997</v>
      </c>
      <c r="K36">
        <v>20</v>
      </c>
      <c r="L36" s="1">
        <v>6.9599999999999995E-2</v>
      </c>
      <c r="M36" s="7">
        <v>0.1739</v>
      </c>
      <c r="N36">
        <v>3.7</v>
      </c>
      <c r="O36" s="1">
        <v>0.33889999999999998</v>
      </c>
      <c r="P36" s="1">
        <v>0.3397</v>
      </c>
      <c r="Q36" s="8">
        <v>0.185</v>
      </c>
      <c r="R36">
        <v>0.92</v>
      </c>
      <c r="S36" s="1">
        <v>1.3100000000000001E-2</v>
      </c>
      <c r="T36" s="10">
        <f>G36*(-0.5)+(1-I36)+(1-M36)+Q36+S36</f>
        <v>2.07355</v>
      </c>
      <c r="U36" t="s">
        <v>304</v>
      </c>
    </row>
    <row r="37" spans="1:21" x14ac:dyDescent="0.2">
      <c r="A37" t="s">
        <v>20</v>
      </c>
      <c r="B37" t="s">
        <v>302</v>
      </c>
      <c r="C37" t="s">
        <v>243</v>
      </c>
      <c r="D37" t="s">
        <v>303</v>
      </c>
      <c r="E37" t="s">
        <v>24</v>
      </c>
      <c r="G37" s="1">
        <v>-0.30130000000000001</v>
      </c>
      <c r="H37" s="1">
        <v>-0.40529999999999999</v>
      </c>
      <c r="I37" s="6">
        <v>0.14879999999999999</v>
      </c>
      <c r="J37" s="1">
        <v>0.43120000000000003</v>
      </c>
      <c r="K37">
        <v>30</v>
      </c>
      <c r="L37" s="1">
        <v>8.0799999999999997E-2</v>
      </c>
      <c r="M37" s="7">
        <v>0.1208</v>
      </c>
      <c r="N37">
        <v>5</v>
      </c>
      <c r="O37" s="1">
        <v>7.4800000000000005E-2</v>
      </c>
      <c r="P37" s="1">
        <v>0.10340000000000001</v>
      </c>
      <c r="Q37" s="8">
        <v>0.16669999999999999</v>
      </c>
      <c r="R37">
        <v>0.56000000000000005</v>
      </c>
      <c r="S37" s="1">
        <v>1.54E-2</v>
      </c>
      <c r="T37" s="10">
        <f>G37*(-0.5)+(1-I37)+(1-M37)+Q37+S37</f>
        <v>2.0631499999999998</v>
      </c>
      <c r="U37" t="s">
        <v>693</v>
      </c>
    </row>
    <row r="38" spans="1:21" x14ac:dyDescent="0.2">
      <c r="A38" t="s">
        <v>20</v>
      </c>
      <c r="B38" t="s">
        <v>690</v>
      </c>
      <c r="C38" t="s">
        <v>691</v>
      </c>
      <c r="D38" t="s">
        <v>692</v>
      </c>
      <c r="E38" t="s">
        <v>41</v>
      </c>
      <c r="G38" s="1">
        <v>-0.3836</v>
      </c>
      <c r="H38" s="1">
        <v>-0.56729999999999992</v>
      </c>
      <c r="I38" s="6">
        <v>0.29799999999999999</v>
      </c>
      <c r="J38" s="1">
        <v>0.62229999999999996</v>
      </c>
      <c r="K38">
        <v>13</v>
      </c>
      <c r="L38" s="1">
        <v>9.0000000000000011E-3</v>
      </c>
      <c r="M38" s="7">
        <v>4.1200000000000001E-2</v>
      </c>
      <c r="N38">
        <v>2.4</v>
      </c>
      <c r="O38" s="1">
        <v>0.3165</v>
      </c>
      <c r="P38" s="1">
        <v>0.2394</v>
      </c>
      <c r="Q38" s="8">
        <v>0.18459999999999999</v>
      </c>
      <c r="R38">
        <v>1.4</v>
      </c>
      <c r="S38" s="1">
        <v>1.8499999999999999E-2</v>
      </c>
      <c r="T38" s="10">
        <f>G38*(-0.5)+(1-I38)+(1-M38)+Q38+S38</f>
        <v>2.0556999999999999</v>
      </c>
      <c r="U38" t="s">
        <v>176</v>
      </c>
    </row>
    <row r="39" spans="1:21" x14ac:dyDescent="0.2">
      <c r="A39" t="s">
        <v>20</v>
      </c>
      <c r="B39" t="s">
        <v>173</v>
      </c>
      <c r="C39" t="s">
        <v>174</v>
      </c>
      <c r="D39" t="s">
        <v>175</v>
      </c>
      <c r="E39" t="s">
        <v>24</v>
      </c>
      <c r="G39" s="1">
        <v>-0.371</v>
      </c>
      <c r="H39" s="1">
        <v>-0.43090000000000012</v>
      </c>
      <c r="I39" s="6">
        <v>9.5199999999999993E-2</v>
      </c>
      <c r="J39" s="1">
        <v>0.58979999999999999</v>
      </c>
      <c r="K39">
        <v>37</v>
      </c>
      <c r="L39" s="1">
        <v>5.3400000000000003E-2</v>
      </c>
      <c r="M39" s="7">
        <v>0.2041</v>
      </c>
      <c r="N39">
        <v>6</v>
      </c>
      <c r="O39" s="1">
        <v>0.1237</v>
      </c>
      <c r="P39" s="1">
        <v>0.1358</v>
      </c>
      <c r="Q39" s="8">
        <v>0.16220000000000001</v>
      </c>
      <c r="R39">
        <v>0.43</v>
      </c>
      <c r="S39" s="1">
        <v>6.9999999999999993E-3</v>
      </c>
      <c r="T39" s="10">
        <f>G39*(-0.5)+(1-I39)+(1-M39)+Q39+S39</f>
        <v>2.0554000000000001</v>
      </c>
      <c r="U39" t="s">
        <v>799</v>
      </c>
    </row>
    <row r="40" spans="1:21" x14ac:dyDescent="0.2">
      <c r="A40" t="s">
        <v>20</v>
      </c>
      <c r="B40" t="s">
        <v>797</v>
      </c>
      <c r="C40" t="s">
        <v>499</v>
      </c>
      <c r="D40" t="s">
        <v>798</v>
      </c>
      <c r="E40" t="s">
        <v>41</v>
      </c>
      <c r="G40" s="1">
        <v>-0.27850000000000003</v>
      </c>
      <c r="H40" s="1">
        <v>-0.53239999999999998</v>
      </c>
      <c r="I40" s="6">
        <v>0.35189999999999999</v>
      </c>
      <c r="J40" s="1">
        <v>0.38600000000000001</v>
      </c>
      <c r="K40">
        <v>6.2</v>
      </c>
      <c r="L40" s="1">
        <v>5.8999999999999999E-3</v>
      </c>
      <c r="M40" s="7">
        <v>3.73E-2</v>
      </c>
      <c r="N40">
        <v>1.3</v>
      </c>
      <c r="O40" s="1">
        <v>0.47849999999999998</v>
      </c>
      <c r="P40" s="1">
        <v>0.35339999999999999</v>
      </c>
      <c r="Q40" s="8">
        <v>0.2097</v>
      </c>
      <c r="R40">
        <v>3.4</v>
      </c>
      <c r="S40" s="1">
        <v>9.1700000000000004E-2</v>
      </c>
      <c r="T40" s="10">
        <f>G40*(-0.5)+(1-I40)+(1-M40)+Q40+S40</f>
        <v>2.05145</v>
      </c>
      <c r="U40" t="s">
        <v>136</v>
      </c>
    </row>
    <row r="41" spans="1:21" x14ac:dyDescent="0.2">
      <c r="A41" t="s">
        <v>20</v>
      </c>
      <c r="B41" t="s">
        <v>133</v>
      </c>
      <c r="C41" t="s">
        <v>134</v>
      </c>
      <c r="D41" t="s">
        <v>135</v>
      </c>
      <c r="E41" t="s">
        <v>24</v>
      </c>
      <c r="G41" s="1">
        <v>-0.47220000000000001</v>
      </c>
      <c r="H41" s="1">
        <v>-0.51380000000000003</v>
      </c>
      <c r="I41" s="6">
        <v>7.8799999999999995E-2</v>
      </c>
      <c r="J41" s="1">
        <v>0.89469999999999994</v>
      </c>
      <c r="K41">
        <v>31</v>
      </c>
      <c r="L41" s="1">
        <v>0.13789999999999999</v>
      </c>
      <c r="M41" s="7">
        <v>0.25040000000000001</v>
      </c>
      <c r="N41">
        <v>4.0999999999999996</v>
      </c>
      <c r="O41" s="1">
        <v>0.10299999999999999</v>
      </c>
      <c r="P41" s="1">
        <v>0.23319999999999999</v>
      </c>
      <c r="Q41" s="8">
        <v>0.1323</v>
      </c>
      <c r="R41">
        <v>0.43</v>
      </c>
      <c r="S41" s="1">
        <v>1.2E-2</v>
      </c>
      <c r="T41" s="10">
        <f>G41*(-0.5)+(1-I41)+(1-M41)+Q41+S41</f>
        <v>2.0512000000000001</v>
      </c>
      <c r="U41" t="s">
        <v>121</v>
      </c>
    </row>
    <row r="42" spans="1:21" x14ac:dyDescent="0.2">
      <c r="A42" t="s">
        <v>20</v>
      </c>
      <c r="B42" t="s">
        <v>118</v>
      </c>
      <c r="C42" t="s">
        <v>119</v>
      </c>
      <c r="D42" t="s">
        <v>120</v>
      </c>
      <c r="E42" t="s">
        <v>24</v>
      </c>
      <c r="G42" s="1">
        <v>-0.46029999999999999</v>
      </c>
      <c r="H42" s="1">
        <v>-0.49709999999999999</v>
      </c>
      <c r="I42" s="6">
        <v>6.8199999999999997E-2</v>
      </c>
      <c r="J42" s="1">
        <v>0.8529000000000001</v>
      </c>
      <c r="K42">
        <v>25</v>
      </c>
      <c r="L42" s="1">
        <v>0.2843</v>
      </c>
      <c r="M42" s="7">
        <v>0.29670000000000002</v>
      </c>
      <c r="N42">
        <v>4.2</v>
      </c>
      <c r="O42" s="1">
        <v>0.14410000000000001</v>
      </c>
      <c r="P42" s="1">
        <v>0.15229999999999999</v>
      </c>
      <c r="Q42" s="8">
        <v>0.16800000000000001</v>
      </c>
      <c r="R42">
        <v>0.67</v>
      </c>
      <c r="S42" s="1">
        <v>1.37E-2</v>
      </c>
      <c r="T42" s="10">
        <f>G42*(-0.5)+(1-I42)+(1-M42)+Q42+S42</f>
        <v>2.0469500000000003</v>
      </c>
      <c r="U42" t="s">
        <v>29</v>
      </c>
    </row>
    <row r="43" spans="1:21" x14ac:dyDescent="0.2">
      <c r="A43" t="s">
        <v>20</v>
      </c>
      <c r="B43" t="s">
        <v>26</v>
      </c>
      <c r="C43" t="s">
        <v>27</v>
      </c>
      <c r="D43" t="s">
        <v>28</v>
      </c>
      <c r="E43" t="s">
        <v>24</v>
      </c>
      <c r="G43" s="1">
        <v>-0.53369999999999995</v>
      </c>
      <c r="H43" s="1">
        <v>-0.54600000000000004</v>
      </c>
      <c r="I43" s="6">
        <v>2.64E-2</v>
      </c>
      <c r="J43" s="1">
        <v>1.1445000000000001</v>
      </c>
      <c r="K43">
        <v>44</v>
      </c>
      <c r="L43" s="1">
        <v>0.21679999999999999</v>
      </c>
      <c r="M43" s="7">
        <v>0.29699999999999999</v>
      </c>
      <c r="N43">
        <v>3.9</v>
      </c>
      <c r="O43" s="1">
        <v>4.0999999999999986E-3</v>
      </c>
      <c r="P43" s="1">
        <v>3.4700000000000002E-2</v>
      </c>
      <c r="Q43" s="8">
        <v>8.8599999999999998E-2</v>
      </c>
      <c r="R43">
        <v>0.2</v>
      </c>
      <c r="S43" s="1">
        <v>1.0999999999999999E-2</v>
      </c>
      <c r="T43" s="10">
        <f>G43*(-0.5)+(1-I43)+(1-M43)+Q43+S43</f>
        <v>2.04305</v>
      </c>
      <c r="U43" t="s">
        <v>608</v>
      </c>
    </row>
    <row r="44" spans="1:21" x14ac:dyDescent="0.2">
      <c r="A44" t="s">
        <v>20</v>
      </c>
      <c r="B44" t="s">
        <v>606</v>
      </c>
      <c r="C44" t="s">
        <v>39</v>
      </c>
      <c r="D44" t="s">
        <v>607</v>
      </c>
      <c r="E44" t="s">
        <v>41</v>
      </c>
      <c r="G44" s="1">
        <v>-0.35799999999999998</v>
      </c>
      <c r="H44" s="1">
        <v>-0.51890000000000003</v>
      </c>
      <c r="I44" s="6">
        <v>0.25059999999999999</v>
      </c>
      <c r="J44" s="1">
        <v>0.55759999999999998</v>
      </c>
      <c r="K44">
        <v>15</v>
      </c>
      <c r="L44" s="1">
        <v>2.1299999999999999E-2</v>
      </c>
      <c r="M44" s="7">
        <v>5.57E-2</v>
      </c>
      <c r="N44">
        <v>2.2999999999999998</v>
      </c>
      <c r="O44" s="1">
        <v>0.28360000000000002</v>
      </c>
      <c r="P44" s="1">
        <v>0.26939999999999997</v>
      </c>
      <c r="Q44" s="8">
        <v>0.15329999999999999</v>
      </c>
      <c r="R44">
        <v>1</v>
      </c>
      <c r="S44" s="1">
        <v>1.66E-2</v>
      </c>
      <c r="T44" s="10">
        <f>G44*(-0.5)+(1-I44)+(1-M44)+Q44+S44</f>
        <v>2.0425999999999997</v>
      </c>
      <c r="U44" t="s">
        <v>117</v>
      </c>
    </row>
    <row r="45" spans="1:21" x14ac:dyDescent="0.2">
      <c r="A45" t="s">
        <v>20</v>
      </c>
      <c r="B45" t="s">
        <v>114</v>
      </c>
      <c r="C45" t="s">
        <v>115</v>
      </c>
      <c r="D45" t="s">
        <v>116</v>
      </c>
      <c r="E45" t="s">
        <v>71</v>
      </c>
      <c r="G45" s="1">
        <v>-0.3387</v>
      </c>
      <c r="H45" s="1">
        <v>-0.3831</v>
      </c>
      <c r="I45" s="6">
        <v>6.7099999999999993E-2</v>
      </c>
      <c r="J45" s="1">
        <v>0.51219999999999999</v>
      </c>
      <c r="K45">
        <v>13</v>
      </c>
      <c r="L45" s="1">
        <v>0.46360000000000001</v>
      </c>
      <c r="M45" s="7">
        <v>0.23350000000000001</v>
      </c>
      <c r="N45">
        <v>1.8</v>
      </c>
      <c r="O45" s="1">
        <v>0.40250000000000002</v>
      </c>
      <c r="P45" s="1">
        <v>0.13669999999999999</v>
      </c>
      <c r="Q45" s="8">
        <v>0.13850000000000001</v>
      </c>
      <c r="R45">
        <v>1.1000000000000001</v>
      </c>
      <c r="S45" s="1">
        <v>3.2300000000000002E-2</v>
      </c>
      <c r="T45" s="10">
        <f>G45*(-0.5)+(1-I45)+(1-M45)+Q45+S45</f>
        <v>2.0395500000000002</v>
      </c>
      <c r="U45" t="s">
        <v>412</v>
      </c>
    </row>
    <row r="46" spans="1:21" x14ac:dyDescent="0.2">
      <c r="A46" t="s">
        <v>20</v>
      </c>
      <c r="B46" t="s">
        <v>410</v>
      </c>
      <c r="C46" t="s">
        <v>365</v>
      </c>
      <c r="D46" t="s">
        <v>411</v>
      </c>
      <c r="E46" t="s">
        <v>24</v>
      </c>
      <c r="G46" s="1">
        <v>-0.42549999999999999</v>
      </c>
      <c r="H46" s="1">
        <v>-0.52929999999999999</v>
      </c>
      <c r="I46" s="6">
        <v>0.1807</v>
      </c>
      <c r="J46" s="1">
        <v>0.74060000000000004</v>
      </c>
      <c r="K46">
        <v>20</v>
      </c>
      <c r="L46" s="1">
        <v>6.1500000000000013E-2</v>
      </c>
      <c r="M46" s="7">
        <v>0.2326</v>
      </c>
      <c r="N46">
        <v>4.3</v>
      </c>
      <c r="O46" s="1">
        <v>0.46300000000000002</v>
      </c>
      <c r="P46" s="1">
        <v>0.51180000000000003</v>
      </c>
      <c r="Q46" s="8">
        <v>0.215</v>
      </c>
      <c r="R46">
        <v>1.1000000000000001</v>
      </c>
      <c r="S46" s="1">
        <v>9.300000000000001E-3</v>
      </c>
      <c r="T46" s="10">
        <f>G46*(-0.5)+(1-I46)+(1-M46)+Q46+S46</f>
        <v>2.0237499999999997</v>
      </c>
      <c r="U46" t="s">
        <v>212</v>
      </c>
    </row>
    <row r="47" spans="1:21" x14ac:dyDescent="0.2">
      <c r="A47" t="s">
        <v>20</v>
      </c>
      <c r="B47" t="s">
        <v>208</v>
      </c>
      <c r="C47" t="s">
        <v>209</v>
      </c>
      <c r="D47" t="s">
        <v>210</v>
      </c>
      <c r="E47" t="s">
        <v>211</v>
      </c>
      <c r="G47" s="1">
        <v>-0.42899999999999999</v>
      </c>
      <c r="H47" s="1">
        <v>-0.49270000000000003</v>
      </c>
      <c r="I47" s="6">
        <v>0.1116</v>
      </c>
      <c r="J47" s="1">
        <v>0.75129999999999997</v>
      </c>
      <c r="K47">
        <v>11</v>
      </c>
      <c r="L47" s="1">
        <v>0.23480000000000001</v>
      </c>
      <c r="M47" s="7">
        <v>0.26750000000000002</v>
      </c>
      <c r="N47">
        <v>1.6</v>
      </c>
      <c r="O47" s="1">
        <v>0.60709999999999997</v>
      </c>
      <c r="P47" s="1">
        <v>0.26129999999999998</v>
      </c>
      <c r="Q47" s="8">
        <v>0.14549999999999999</v>
      </c>
      <c r="R47">
        <v>1.3</v>
      </c>
      <c r="S47" s="1">
        <v>3.6799999999999999E-2</v>
      </c>
      <c r="T47" s="10">
        <f>G47*(-0.5)+(1-I47)+(1-M47)+Q47+S47</f>
        <v>2.0177</v>
      </c>
      <c r="U47" t="s">
        <v>188</v>
      </c>
    </row>
    <row r="48" spans="1:21" x14ac:dyDescent="0.2">
      <c r="A48" t="s">
        <v>20</v>
      </c>
      <c r="B48" t="s">
        <v>186</v>
      </c>
      <c r="C48" t="s">
        <v>69</v>
      </c>
      <c r="D48" t="s">
        <v>187</v>
      </c>
      <c r="E48" t="s">
        <v>24</v>
      </c>
      <c r="G48" s="1">
        <v>-0.44209999999999999</v>
      </c>
      <c r="H48" s="1">
        <v>-0.49919999999999998</v>
      </c>
      <c r="I48" s="6">
        <v>0.1023</v>
      </c>
      <c r="J48" s="1">
        <v>0.79239999999999999</v>
      </c>
      <c r="K48">
        <v>28</v>
      </c>
      <c r="L48" s="1">
        <v>8.8300000000000003E-2</v>
      </c>
      <c r="M48" s="7">
        <v>0.24249999999999999</v>
      </c>
      <c r="N48">
        <v>3.5</v>
      </c>
      <c r="O48" s="1">
        <v>8.6999999999999994E-2</v>
      </c>
      <c r="P48" s="1">
        <v>0.2077</v>
      </c>
      <c r="Q48" s="8">
        <v>0.125</v>
      </c>
      <c r="R48">
        <v>0.44</v>
      </c>
      <c r="S48" s="1">
        <v>1.15E-2</v>
      </c>
      <c r="T48" s="10">
        <f>G48*(-0.5)+(1-I48)+(1-M48)+Q48+S48</f>
        <v>2.0127499999999996</v>
      </c>
      <c r="U48" t="s">
        <v>778</v>
      </c>
    </row>
    <row r="49" spans="1:21" x14ac:dyDescent="0.2">
      <c r="A49" t="s">
        <v>20</v>
      </c>
      <c r="B49" t="s">
        <v>776</v>
      </c>
      <c r="C49" t="s">
        <v>134</v>
      </c>
      <c r="D49" t="s">
        <v>777</v>
      </c>
      <c r="E49" t="s">
        <v>24</v>
      </c>
      <c r="G49" s="1">
        <v>-0.36799999999999999</v>
      </c>
      <c r="H49" s="1">
        <v>-0.58119999999999994</v>
      </c>
      <c r="I49" s="6">
        <v>0.33729999999999999</v>
      </c>
      <c r="J49" s="1">
        <v>0.58229999999999993</v>
      </c>
      <c r="K49">
        <v>13</v>
      </c>
      <c r="L49" s="1">
        <v>2.0999999999999999E-3</v>
      </c>
      <c r="M49" s="7">
        <v>2.9399999999999999E-2</v>
      </c>
      <c r="N49">
        <v>2.2999999999999998</v>
      </c>
      <c r="O49" s="1">
        <v>0.34260000000000002</v>
      </c>
      <c r="P49" s="1">
        <v>0.25230000000000002</v>
      </c>
      <c r="Q49" s="8">
        <v>0.1769</v>
      </c>
      <c r="R49">
        <v>1.3</v>
      </c>
      <c r="S49" s="1">
        <v>1.83E-2</v>
      </c>
      <c r="T49" s="10">
        <f>G49*(-0.5)+(1-I49)+(1-M49)+Q49+S49</f>
        <v>2.0125000000000002</v>
      </c>
      <c r="U49" t="s">
        <v>416</v>
      </c>
    </row>
    <row r="50" spans="1:21" x14ac:dyDescent="0.2">
      <c r="A50" t="s">
        <v>20</v>
      </c>
      <c r="B50" t="s">
        <v>413</v>
      </c>
      <c r="C50" t="s">
        <v>414</v>
      </c>
      <c r="D50" t="s">
        <v>415</v>
      </c>
      <c r="E50" t="s">
        <v>24</v>
      </c>
      <c r="G50" s="1">
        <v>-0.5403</v>
      </c>
      <c r="H50" s="1">
        <v>-0.624</v>
      </c>
      <c r="I50" s="6">
        <v>0.18210000000000001</v>
      </c>
      <c r="J50" s="1">
        <v>1.1753</v>
      </c>
      <c r="K50">
        <v>31</v>
      </c>
      <c r="L50" s="1">
        <v>0.12709999999999999</v>
      </c>
      <c r="M50" s="7">
        <v>0.2606</v>
      </c>
      <c r="N50">
        <v>4.9000000000000004</v>
      </c>
      <c r="O50" s="1">
        <v>6.8099999999999994E-2</v>
      </c>
      <c r="P50" s="1">
        <v>0.14360000000000001</v>
      </c>
      <c r="Q50" s="8">
        <v>0.15809999999999999</v>
      </c>
      <c r="R50">
        <v>0.51</v>
      </c>
      <c r="S50" s="1">
        <v>1.2500000000000001E-2</v>
      </c>
      <c r="T50" s="10">
        <f>G50*(-0.5)+(1-I50)+(1-M50)+Q50+S50</f>
        <v>1.9980499999999999</v>
      </c>
      <c r="U50" t="s">
        <v>382</v>
      </c>
    </row>
    <row r="51" spans="1:21" x14ac:dyDescent="0.2">
      <c r="A51" t="s">
        <v>20</v>
      </c>
      <c r="B51" t="s">
        <v>379</v>
      </c>
      <c r="C51" t="s">
        <v>380</v>
      </c>
      <c r="D51" t="s">
        <v>381</v>
      </c>
      <c r="E51" t="s">
        <v>24</v>
      </c>
      <c r="G51" s="1">
        <v>-0.45179999999999998</v>
      </c>
      <c r="H51" s="1">
        <v>-0.54630000000000001</v>
      </c>
      <c r="I51" s="6">
        <v>0.1724</v>
      </c>
      <c r="J51" s="1">
        <v>0.82420000000000004</v>
      </c>
      <c r="K51">
        <v>26</v>
      </c>
      <c r="L51" s="1">
        <v>0.22689999999999999</v>
      </c>
      <c r="M51" s="7">
        <v>0.27889999999999998</v>
      </c>
      <c r="N51">
        <v>5.0999999999999996</v>
      </c>
      <c r="O51" s="1">
        <v>0.62869999999999993</v>
      </c>
      <c r="P51" s="1">
        <v>0.47689999999999999</v>
      </c>
      <c r="Q51" s="8">
        <v>0.19620000000000001</v>
      </c>
      <c r="R51">
        <v>0.77</v>
      </c>
      <c r="S51" s="1">
        <v>2.3E-2</v>
      </c>
      <c r="T51" s="10">
        <f>G51*(-0.5)+(1-I51)+(1-M51)+Q51+S51</f>
        <v>1.9938</v>
      </c>
      <c r="U51" t="s">
        <v>272</v>
      </c>
    </row>
    <row r="52" spans="1:21" x14ac:dyDescent="0.2">
      <c r="A52" t="s">
        <v>20</v>
      </c>
      <c r="B52" t="s">
        <v>269</v>
      </c>
      <c r="C52" t="s">
        <v>270</v>
      </c>
      <c r="D52" t="s">
        <v>271</v>
      </c>
      <c r="E52" t="s">
        <v>24</v>
      </c>
      <c r="G52" s="1">
        <v>-0.39439999999999997</v>
      </c>
      <c r="H52" s="1">
        <v>-0.4763</v>
      </c>
      <c r="I52" s="6">
        <v>0.13519999999999999</v>
      </c>
      <c r="J52" s="1">
        <v>0.65129999999999999</v>
      </c>
      <c r="K52">
        <v>30</v>
      </c>
      <c r="L52" s="1">
        <v>0.13589999999999999</v>
      </c>
      <c r="M52" s="7">
        <v>0.20469999999999999</v>
      </c>
      <c r="N52">
        <v>3.7</v>
      </c>
      <c r="O52" s="1">
        <v>5.8700000000000002E-2</v>
      </c>
      <c r="P52" s="1">
        <v>0.17119999999999999</v>
      </c>
      <c r="Q52" s="8">
        <v>0.12330000000000001</v>
      </c>
      <c r="R52">
        <v>0.41</v>
      </c>
      <c r="S52" s="1">
        <v>1.23E-2</v>
      </c>
      <c r="T52" s="10">
        <f>G52*(-0.5)+(1-I52)+(1-M52)+Q52+S52</f>
        <v>1.9928999999999999</v>
      </c>
      <c r="U52" t="s">
        <v>599</v>
      </c>
    </row>
    <row r="53" spans="1:21" x14ac:dyDescent="0.2">
      <c r="A53" t="s">
        <v>20</v>
      </c>
      <c r="B53" t="s">
        <v>596</v>
      </c>
      <c r="C53" t="s">
        <v>597</v>
      </c>
      <c r="D53" t="s">
        <v>598</v>
      </c>
      <c r="E53" t="s">
        <v>24</v>
      </c>
      <c r="G53" s="1">
        <v>-0.40189999999999998</v>
      </c>
      <c r="H53" s="1">
        <v>-0.55120000000000002</v>
      </c>
      <c r="I53" s="6">
        <v>0.24959999999999999</v>
      </c>
      <c r="J53" s="1">
        <v>0.67200000000000004</v>
      </c>
      <c r="K53">
        <v>25</v>
      </c>
      <c r="L53" s="1">
        <v>9.3599999999999989E-2</v>
      </c>
      <c r="M53" s="7">
        <v>0.1542</v>
      </c>
      <c r="N53">
        <v>4.4000000000000004</v>
      </c>
      <c r="O53" s="1">
        <v>0.1024</v>
      </c>
      <c r="P53" s="1">
        <v>0.24210000000000001</v>
      </c>
      <c r="Q53" s="8">
        <v>0.17599999999999999</v>
      </c>
      <c r="R53">
        <v>0.69</v>
      </c>
      <c r="S53" s="1">
        <v>1.5100000000000001E-2</v>
      </c>
      <c r="T53" s="10">
        <f>G53*(-0.5)+(1-I53)+(1-M53)+Q53+S53</f>
        <v>1.9882499999999996</v>
      </c>
      <c r="U53" t="s">
        <v>224</v>
      </c>
    </row>
    <row r="54" spans="1:21" x14ac:dyDescent="0.2">
      <c r="A54" t="s">
        <v>20</v>
      </c>
      <c r="B54" t="s">
        <v>221</v>
      </c>
      <c r="C54" t="s">
        <v>222</v>
      </c>
      <c r="D54" t="s">
        <v>223</v>
      </c>
      <c r="E54" t="s">
        <v>71</v>
      </c>
      <c r="G54" s="1">
        <v>-0.1328</v>
      </c>
      <c r="H54" s="1">
        <v>-0.2316</v>
      </c>
      <c r="I54" s="6">
        <v>0.1139</v>
      </c>
      <c r="J54" s="1">
        <v>0.15310000000000001</v>
      </c>
      <c r="K54">
        <v>17</v>
      </c>
      <c r="L54" s="1">
        <v>0.1084</v>
      </c>
      <c r="M54" s="7">
        <v>0.185</v>
      </c>
      <c r="N54">
        <v>3.2</v>
      </c>
      <c r="O54" s="1">
        <v>4.2799999999999998E-2</v>
      </c>
      <c r="P54" s="1">
        <v>0.14019999999999999</v>
      </c>
      <c r="Q54" s="8">
        <v>0.18820000000000001</v>
      </c>
      <c r="R54">
        <v>1.1000000000000001</v>
      </c>
      <c r="S54" s="1">
        <v>3.1099999999999999E-2</v>
      </c>
      <c r="T54" s="10">
        <f>G54*(-0.5)+(1-I54)+(1-M54)+Q54+S54</f>
        <v>1.9867999999999999</v>
      </c>
      <c r="U54" t="s">
        <v>287</v>
      </c>
    </row>
    <row r="55" spans="1:21" x14ac:dyDescent="0.2">
      <c r="A55" t="s">
        <v>20</v>
      </c>
      <c r="B55" t="s">
        <v>284</v>
      </c>
      <c r="C55" t="s">
        <v>285</v>
      </c>
      <c r="D55" t="s">
        <v>286</v>
      </c>
      <c r="E55" t="s">
        <v>71</v>
      </c>
      <c r="G55" s="1">
        <v>-0.36820000000000003</v>
      </c>
      <c r="H55" s="1">
        <v>-0.45739999999999997</v>
      </c>
      <c r="I55" s="6">
        <v>0.14119999999999999</v>
      </c>
      <c r="J55" s="1">
        <v>0.58279999999999998</v>
      </c>
      <c r="K55">
        <v>9.4</v>
      </c>
      <c r="L55" s="1">
        <v>0.24099999999999999</v>
      </c>
      <c r="M55" s="7">
        <v>0.24929999999999999</v>
      </c>
      <c r="N55">
        <v>1.3</v>
      </c>
      <c r="O55" s="1">
        <v>0.2389</v>
      </c>
      <c r="P55" s="1">
        <v>0.1452</v>
      </c>
      <c r="Q55" s="8">
        <v>0.13830000000000001</v>
      </c>
      <c r="R55">
        <v>1.5</v>
      </c>
      <c r="S55" s="1">
        <v>4.2299999999999997E-2</v>
      </c>
      <c r="T55" s="10">
        <f>G55*(-0.5)+(1-I55)+(1-M55)+Q55+S55</f>
        <v>1.9742000000000002</v>
      </c>
      <c r="U55" t="s">
        <v>793</v>
      </c>
    </row>
    <row r="56" spans="1:21" x14ac:dyDescent="0.2">
      <c r="A56" t="s">
        <v>20</v>
      </c>
      <c r="B56" t="s">
        <v>791</v>
      </c>
      <c r="C56" t="s">
        <v>138</v>
      </c>
      <c r="D56" t="s">
        <v>792</v>
      </c>
      <c r="E56" t="s">
        <v>41</v>
      </c>
      <c r="G56" s="1">
        <v>-0.36349999999999999</v>
      </c>
      <c r="H56" s="1">
        <v>-0.5827</v>
      </c>
      <c r="I56" s="6">
        <v>0.34439999999999998</v>
      </c>
      <c r="J56" s="1">
        <v>0.57109999999999994</v>
      </c>
      <c r="K56">
        <v>14</v>
      </c>
      <c r="L56" s="1">
        <v>1.8100000000000002E-2</v>
      </c>
      <c r="M56" s="7">
        <v>5.5300000000000002E-2</v>
      </c>
      <c r="N56">
        <v>2.4</v>
      </c>
      <c r="O56" s="1">
        <v>0.35670000000000002</v>
      </c>
      <c r="P56" s="1">
        <v>0.2626</v>
      </c>
      <c r="Q56" s="8">
        <v>0.1714</v>
      </c>
      <c r="R56">
        <v>1.2</v>
      </c>
      <c r="S56" s="1">
        <v>1.7000000000000001E-2</v>
      </c>
      <c r="T56" s="10">
        <f>G56*(-0.5)+(1-I56)+(1-M56)+Q56+S56</f>
        <v>1.9704499999999998</v>
      </c>
      <c r="U56" t="s">
        <v>390</v>
      </c>
    </row>
    <row r="57" spans="1:21" x14ac:dyDescent="0.2">
      <c r="A57" t="s">
        <v>20</v>
      </c>
      <c r="B57" t="s">
        <v>387</v>
      </c>
      <c r="C57" t="s">
        <v>388</v>
      </c>
      <c r="D57" t="s">
        <v>389</v>
      </c>
      <c r="E57" t="s">
        <v>24</v>
      </c>
      <c r="G57" s="1">
        <v>-0.37469999999999998</v>
      </c>
      <c r="H57" s="1">
        <v>-0.48330000000000001</v>
      </c>
      <c r="I57" s="6">
        <v>0.17369999999999999</v>
      </c>
      <c r="J57" s="1">
        <v>0.59920000000000007</v>
      </c>
      <c r="K57">
        <v>21</v>
      </c>
      <c r="L57" s="1">
        <v>0.28649999999999998</v>
      </c>
      <c r="M57" s="7">
        <v>0.1694</v>
      </c>
      <c r="N57">
        <v>2.2000000000000002</v>
      </c>
      <c r="O57" s="1">
        <v>3.2300000000000002E-2</v>
      </c>
      <c r="P57" s="1">
        <v>8.48E-2</v>
      </c>
      <c r="Q57" s="8">
        <v>0.1048</v>
      </c>
      <c r="R57">
        <v>0.51</v>
      </c>
      <c r="S57" s="1">
        <v>2.0400000000000001E-2</v>
      </c>
      <c r="T57" s="10">
        <f>G57*(-0.5)+(1-I57)+(1-M57)+Q57+S57</f>
        <v>1.9694499999999999</v>
      </c>
      <c r="U57" t="s">
        <v>541</v>
      </c>
    </row>
    <row r="58" spans="1:21" x14ac:dyDescent="0.2">
      <c r="A58" t="s">
        <v>20</v>
      </c>
      <c r="B58" t="s">
        <v>538</v>
      </c>
      <c r="C58" t="s">
        <v>539</v>
      </c>
      <c r="D58" s="11" t="s">
        <v>540</v>
      </c>
      <c r="E58" t="s">
        <v>71</v>
      </c>
      <c r="G58" s="1">
        <v>-0.1236</v>
      </c>
      <c r="H58" s="1">
        <v>-0.31890000000000002</v>
      </c>
      <c r="I58" s="6">
        <v>0.2228</v>
      </c>
      <c r="J58" s="1">
        <v>0.14099999999999999</v>
      </c>
      <c r="K58">
        <v>5.9</v>
      </c>
      <c r="L58" s="1">
        <v>4.0300000000000002E-2</v>
      </c>
      <c r="M58" s="7">
        <v>9.3900000000000011E-2</v>
      </c>
      <c r="N58">
        <v>0.92</v>
      </c>
      <c r="O58" s="1">
        <v>0.24779999999999999</v>
      </c>
      <c r="P58" s="1">
        <v>0.2049</v>
      </c>
      <c r="Q58" s="8">
        <v>0.15590000000000001</v>
      </c>
      <c r="R58">
        <v>2.6</v>
      </c>
      <c r="S58" s="1">
        <v>6.4600000000000005E-2</v>
      </c>
      <c r="T58" s="10">
        <f>G58*(-0.5)+(1-I58)+(1-M58)+Q58+S58</f>
        <v>1.9655999999999998</v>
      </c>
      <c r="U58" t="s">
        <v>689</v>
      </c>
    </row>
    <row r="59" spans="1:21" x14ac:dyDescent="0.2">
      <c r="A59" t="s">
        <v>20</v>
      </c>
      <c r="B59" t="s">
        <v>686</v>
      </c>
      <c r="C59" t="s">
        <v>687</v>
      </c>
      <c r="D59" t="s">
        <v>688</v>
      </c>
      <c r="E59" t="s">
        <v>41</v>
      </c>
      <c r="G59" s="1">
        <v>-0.31940000000000002</v>
      </c>
      <c r="H59" s="1">
        <v>-0.52090000000000003</v>
      </c>
      <c r="I59" s="6">
        <v>0.29609999999999997</v>
      </c>
      <c r="J59" s="1">
        <v>0.46929999999999999</v>
      </c>
      <c r="K59">
        <v>11</v>
      </c>
      <c r="L59" s="1">
        <v>2.5499999999999998E-2</v>
      </c>
      <c r="M59" s="7">
        <v>8.1199999999999994E-2</v>
      </c>
      <c r="N59">
        <v>1.4</v>
      </c>
      <c r="O59" s="1">
        <v>0.52090000000000003</v>
      </c>
      <c r="P59" s="1">
        <v>0.21379999999999999</v>
      </c>
      <c r="Q59" s="8">
        <v>0.1273</v>
      </c>
      <c r="R59">
        <v>1.2</v>
      </c>
      <c r="S59" s="1">
        <v>4.3099999999999999E-2</v>
      </c>
      <c r="T59" s="10">
        <f>G59*(-0.5)+(1-I59)+(1-M59)+Q59+S59</f>
        <v>1.9527999999999999</v>
      </c>
      <c r="U59" t="s">
        <v>329</v>
      </c>
    </row>
    <row r="60" spans="1:21" x14ac:dyDescent="0.2">
      <c r="A60" t="s">
        <v>20</v>
      </c>
      <c r="B60" t="s">
        <v>326</v>
      </c>
      <c r="C60" t="s">
        <v>327</v>
      </c>
      <c r="D60" t="s">
        <v>328</v>
      </c>
      <c r="E60" t="s">
        <v>24</v>
      </c>
      <c r="G60" s="1">
        <v>-0.37840000000000001</v>
      </c>
      <c r="H60" s="1">
        <v>-0.47589999999999999</v>
      </c>
      <c r="I60" s="6">
        <v>0.15690000000000001</v>
      </c>
      <c r="J60" s="1">
        <v>0.60880000000000001</v>
      </c>
      <c r="K60">
        <v>30</v>
      </c>
      <c r="L60" s="1">
        <v>0.14940000000000001</v>
      </c>
      <c r="M60" s="7">
        <v>0.2152</v>
      </c>
      <c r="N60">
        <v>3.7</v>
      </c>
      <c r="O60" s="1">
        <v>0.1704</v>
      </c>
      <c r="P60" s="1">
        <v>0.25679999999999997</v>
      </c>
      <c r="Q60" s="8">
        <v>0.12330000000000001</v>
      </c>
      <c r="R60">
        <v>0.41</v>
      </c>
      <c r="S60" s="1">
        <v>1.2200000000000001E-2</v>
      </c>
      <c r="T60" s="10">
        <f>G60*(-0.5)+(1-I60)+(1-M60)+Q60+S60</f>
        <v>1.9525999999999999</v>
      </c>
      <c r="U60" t="s">
        <v>697</v>
      </c>
    </row>
    <row r="61" spans="1:21" x14ac:dyDescent="0.2">
      <c r="A61" t="s">
        <v>20</v>
      </c>
      <c r="B61" t="s">
        <v>694</v>
      </c>
      <c r="C61" t="s">
        <v>695</v>
      </c>
      <c r="D61" t="s">
        <v>696</v>
      </c>
      <c r="E61" t="s">
        <v>24</v>
      </c>
      <c r="G61" s="1">
        <v>-0.627</v>
      </c>
      <c r="H61" s="1">
        <v>-0.7387999999999999</v>
      </c>
      <c r="I61" s="6">
        <v>0.29970000000000002</v>
      </c>
      <c r="J61" s="1">
        <v>1.681</v>
      </c>
      <c r="K61">
        <v>31</v>
      </c>
      <c r="L61" s="1">
        <v>4.2099999999999999E-2</v>
      </c>
      <c r="M61" s="7">
        <v>0.15939999999999999</v>
      </c>
      <c r="N61">
        <v>2.8</v>
      </c>
      <c r="O61" s="1">
        <v>0.27229999999999999</v>
      </c>
      <c r="P61" s="1">
        <v>0.33050000000000002</v>
      </c>
      <c r="Q61" s="8">
        <v>9.0299999999999991E-2</v>
      </c>
      <c r="R61">
        <v>0.28999999999999998</v>
      </c>
      <c r="S61" s="1">
        <v>5.1000000000000004E-3</v>
      </c>
      <c r="T61" s="10">
        <f>G61*(-0.5)+(1-I61)+(1-M61)+Q61+S61</f>
        <v>1.9498</v>
      </c>
      <c r="U61" t="s">
        <v>671</v>
      </c>
    </row>
    <row r="62" spans="1:21" x14ac:dyDescent="0.2">
      <c r="A62" t="s">
        <v>20</v>
      </c>
      <c r="B62" t="s">
        <v>668</v>
      </c>
      <c r="C62" t="s">
        <v>669</v>
      </c>
      <c r="D62" t="s">
        <v>670</v>
      </c>
      <c r="E62" t="s">
        <v>24</v>
      </c>
      <c r="G62" s="1">
        <v>-0.37680000000000002</v>
      </c>
      <c r="H62" s="1">
        <v>-0.55689999999999995</v>
      </c>
      <c r="I62" s="6">
        <v>0.28899999999999998</v>
      </c>
      <c r="J62" s="1">
        <v>0.60460000000000003</v>
      </c>
      <c r="K62">
        <v>19</v>
      </c>
      <c r="L62" s="1">
        <v>2.3400000000000001E-2</v>
      </c>
      <c r="M62" s="7">
        <v>0.1191</v>
      </c>
      <c r="N62">
        <v>2.9</v>
      </c>
      <c r="O62" s="1">
        <v>0.48230000000000001</v>
      </c>
      <c r="P62" s="1">
        <v>0.3876</v>
      </c>
      <c r="Q62" s="8">
        <v>0.15260000000000001</v>
      </c>
      <c r="R62">
        <v>0.8</v>
      </c>
      <c r="S62" s="1">
        <v>1.6299999999999999E-2</v>
      </c>
      <c r="T62" s="10">
        <f>G62*(-0.5)+(1-I62)+(1-M62)+Q62+S62</f>
        <v>1.9492</v>
      </c>
      <c r="U62" t="s">
        <v>311</v>
      </c>
    </row>
    <row r="63" spans="1:21" x14ac:dyDescent="0.2">
      <c r="A63" t="s">
        <v>20</v>
      </c>
      <c r="B63" t="s">
        <v>309</v>
      </c>
      <c r="C63" t="s">
        <v>243</v>
      </c>
      <c r="D63" t="s">
        <v>310</v>
      </c>
      <c r="E63" t="s">
        <v>216</v>
      </c>
      <c r="G63" s="1">
        <v>-0.33079999999999998</v>
      </c>
      <c r="H63" s="1">
        <v>-0.43319999999999997</v>
      </c>
      <c r="I63" s="6">
        <v>0.153</v>
      </c>
      <c r="J63" s="1">
        <v>0.49430000000000002</v>
      </c>
      <c r="K63">
        <v>11</v>
      </c>
      <c r="L63" s="1">
        <v>0.32990000000000003</v>
      </c>
      <c r="M63" s="7">
        <v>0.2094</v>
      </c>
      <c r="N63">
        <v>1.2</v>
      </c>
      <c r="O63" s="1">
        <v>0.1603</v>
      </c>
      <c r="P63" s="1">
        <v>0.15570000000000001</v>
      </c>
      <c r="Q63" s="8">
        <v>0.1091</v>
      </c>
      <c r="R63">
        <v>1</v>
      </c>
      <c r="S63" s="1">
        <v>3.5700000000000003E-2</v>
      </c>
      <c r="T63" s="10">
        <f>G63*(-0.5)+(1-I63)+(1-M63)+Q63+S63</f>
        <v>1.9478</v>
      </c>
      <c r="U63" t="s">
        <v>276</v>
      </c>
    </row>
    <row r="64" spans="1:21" x14ac:dyDescent="0.2">
      <c r="A64" t="s">
        <v>20</v>
      </c>
      <c r="B64" t="s">
        <v>273</v>
      </c>
      <c r="C64" t="s">
        <v>274</v>
      </c>
      <c r="D64" t="s">
        <v>275</v>
      </c>
      <c r="E64" t="s">
        <v>71</v>
      </c>
      <c r="G64" s="1">
        <v>-0.31740000000000002</v>
      </c>
      <c r="H64" s="1">
        <v>-0.41260000000000002</v>
      </c>
      <c r="I64" s="6">
        <v>0.13950000000000001</v>
      </c>
      <c r="J64" s="1">
        <v>0.46500000000000002</v>
      </c>
      <c r="K64">
        <v>10</v>
      </c>
      <c r="L64" s="1">
        <v>0.48749999999999999</v>
      </c>
      <c r="M64" s="7">
        <v>0.22869999999999999</v>
      </c>
      <c r="N64">
        <v>1.2</v>
      </c>
      <c r="O64" s="1">
        <v>0.37419999999999998</v>
      </c>
      <c r="P64" s="1">
        <v>0.19170000000000001</v>
      </c>
      <c r="Q64" s="8">
        <v>0.12</v>
      </c>
      <c r="R64">
        <v>1.2</v>
      </c>
      <c r="S64" s="1">
        <v>3.6499999999999998E-2</v>
      </c>
      <c r="T64" s="10">
        <f>G64*(-0.5)+(1-I64)+(1-M64)+Q64+S64</f>
        <v>1.9470000000000003</v>
      </c>
      <c r="U64" t="s">
        <v>775</v>
      </c>
    </row>
    <row r="65" spans="1:21" x14ac:dyDescent="0.2">
      <c r="A65" t="s">
        <v>20</v>
      </c>
      <c r="B65" t="s">
        <v>772</v>
      </c>
      <c r="C65" t="s">
        <v>773</v>
      </c>
      <c r="D65" t="s">
        <v>774</v>
      </c>
      <c r="E65" t="s">
        <v>24</v>
      </c>
      <c r="G65" s="1">
        <v>-0.59939999999999993</v>
      </c>
      <c r="H65" s="1">
        <v>-0.73250000000000004</v>
      </c>
      <c r="I65" s="6">
        <v>0.33229999999999998</v>
      </c>
      <c r="J65" s="1">
        <v>1.4963</v>
      </c>
      <c r="K65">
        <v>25</v>
      </c>
      <c r="L65" s="1">
        <v>8.0000000000000002E-3</v>
      </c>
      <c r="M65" s="7">
        <v>0.1356</v>
      </c>
      <c r="N65">
        <v>2.7</v>
      </c>
      <c r="O65" s="1">
        <v>9.0800000000000006E-2</v>
      </c>
      <c r="P65" s="1">
        <v>0.34369999999999989</v>
      </c>
      <c r="Q65" s="8">
        <v>0.108</v>
      </c>
      <c r="R65">
        <v>0.44</v>
      </c>
      <c r="S65" s="1">
        <v>4.0000000000000001E-3</v>
      </c>
      <c r="T65" s="10">
        <f>G65*(-0.5)+(1-I65)+(1-M65)+Q65+S65</f>
        <v>1.9438</v>
      </c>
      <c r="U65" t="s">
        <v>367</v>
      </c>
    </row>
    <row r="66" spans="1:21" x14ac:dyDescent="0.2">
      <c r="A66" t="s">
        <v>20</v>
      </c>
      <c r="B66" t="s">
        <v>364</v>
      </c>
      <c r="C66" t="s">
        <v>365</v>
      </c>
      <c r="D66" t="s">
        <v>366</v>
      </c>
      <c r="E66" t="s">
        <v>216</v>
      </c>
      <c r="G66" s="1">
        <v>-0.32190000000000002</v>
      </c>
      <c r="H66" s="1">
        <v>-0.43459999999999999</v>
      </c>
      <c r="I66" s="6">
        <v>0.16619999999999999</v>
      </c>
      <c r="J66" s="1">
        <v>0.47470000000000001</v>
      </c>
      <c r="K66">
        <v>11</v>
      </c>
      <c r="L66" s="1">
        <v>0.27600000000000002</v>
      </c>
      <c r="M66" s="7">
        <v>0.1961</v>
      </c>
      <c r="N66">
        <v>1.2</v>
      </c>
      <c r="O66" s="1">
        <v>7.8399999999999997E-2</v>
      </c>
      <c r="P66" s="1">
        <v>0.15679999999999999</v>
      </c>
      <c r="Q66" s="8">
        <v>0.1091</v>
      </c>
      <c r="R66">
        <v>1</v>
      </c>
      <c r="S66" s="1">
        <v>3.5900000000000001E-2</v>
      </c>
      <c r="T66" s="10">
        <f>G66*(-0.5)+(1-I66)+(1-M66)+Q66+S66</f>
        <v>1.9436500000000001</v>
      </c>
      <c r="U66" t="s">
        <v>760</v>
      </c>
    </row>
    <row r="67" spans="1:21" x14ac:dyDescent="0.2">
      <c r="A67" t="s">
        <v>181</v>
      </c>
      <c r="B67" t="s">
        <v>757</v>
      </c>
      <c r="C67" t="s">
        <v>758</v>
      </c>
      <c r="D67" t="s">
        <v>759</v>
      </c>
      <c r="E67" t="s">
        <v>24</v>
      </c>
      <c r="G67" s="1">
        <v>-0.61929999999999996</v>
      </c>
      <c r="H67" s="1">
        <v>-0.74390000000000001</v>
      </c>
      <c r="I67" s="6">
        <v>0.32729999999999998</v>
      </c>
      <c r="J67" s="1">
        <v>1.6267</v>
      </c>
      <c r="K67">
        <v>26</v>
      </c>
      <c r="L67" s="1">
        <v>1.35E-2</v>
      </c>
      <c r="M67" s="7">
        <v>0.14829999999999999</v>
      </c>
      <c r="N67">
        <v>2.7</v>
      </c>
      <c r="O67" s="1">
        <v>0.1032</v>
      </c>
      <c r="P67" s="1">
        <v>0.37390000000000001</v>
      </c>
      <c r="Q67" s="8">
        <v>0.1038</v>
      </c>
      <c r="R67">
        <v>0.41</v>
      </c>
      <c r="S67" s="1">
        <v>4.7999999999999996E-3</v>
      </c>
      <c r="T67" s="10">
        <f>G67*(-0.5)+(1-I67)+(1-M67)+Q67+S67</f>
        <v>1.94265</v>
      </c>
      <c r="U67" t="s">
        <v>790</v>
      </c>
    </row>
    <row r="68" spans="1:21" x14ac:dyDescent="0.2">
      <c r="A68" t="s">
        <v>20</v>
      </c>
      <c r="B68" t="s">
        <v>787</v>
      </c>
      <c r="C68" t="s">
        <v>788</v>
      </c>
      <c r="D68" t="s">
        <v>789</v>
      </c>
      <c r="E68" t="s">
        <v>24</v>
      </c>
      <c r="F68" t="s">
        <v>46</v>
      </c>
      <c r="G68" s="1">
        <v>-0.60370000000000001</v>
      </c>
      <c r="H68" s="1">
        <v>-0.7399</v>
      </c>
      <c r="I68" s="6">
        <v>0.34369999999999989</v>
      </c>
      <c r="J68" s="1">
        <v>1.5233000000000001</v>
      </c>
      <c r="K68">
        <v>25</v>
      </c>
      <c r="L68" s="1">
        <v>7.7000000000000002E-3</v>
      </c>
      <c r="M68" s="7">
        <v>0.12989999999999999</v>
      </c>
      <c r="N68">
        <v>2.7</v>
      </c>
      <c r="O68" s="1">
        <v>9.5199999999999993E-2</v>
      </c>
      <c r="P68" s="1">
        <v>0.3508</v>
      </c>
      <c r="Q68" s="8">
        <v>0.108</v>
      </c>
      <c r="R68">
        <v>0.44</v>
      </c>
      <c r="S68" s="1">
        <v>4.0000000000000001E-3</v>
      </c>
      <c r="T68" s="10">
        <f>G68*(-0.5)+(1-I68)+(1-M68)+Q68+S68</f>
        <v>1.9402500000000003</v>
      </c>
      <c r="U68" t="s">
        <v>207</v>
      </c>
    </row>
    <row r="69" spans="1:21" x14ac:dyDescent="0.2">
      <c r="A69" t="s">
        <v>20</v>
      </c>
      <c r="B69" t="s">
        <v>204</v>
      </c>
      <c r="C69" t="s">
        <v>205</v>
      </c>
      <c r="D69" t="s">
        <v>206</v>
      </c>
      <c r="E69" t="s">
        <v>24</v>
      </c>
      <c r="G69" s="1">
        <v>-0.47470000000000001</v>
      </c>
      <c r="H69" s="1">
        <v>-0.53120000000000001</v>
      </c>
      <c r="I69" s="6">
        <v>0.1076</v>
      </c>
      <c r="J69" s="1">
        <v>0.90370000000000006</v>
      </c>
      <c r="K69">
        <v>43</v>
      </c>
      <c r="L69" s="1">
        <v>0.4204</v>
      </c>
      <c r="M69" s="7">
        <v>0.28370000000000001</v>
      </c>
      <c r="N69">
        <v>3.6</v>
      </c>
      <c r="O69" s="1">
        <v>9.6199999999999994E-2</v>
      </c>
      <c r="P69" s="1">
        <v>0.13009999999999999</v>
      </c>
      <c r="Q69" s="8">
        <v>8.3699999999999997E-2</v>
      </c>
      <c r="R69">
        <v>0.2</v>
      </c>
      <c r="S69" s="1">
        <v>1.0500000000000001E-2</v>
      </c>
      <c r="T69" s="10">
        <f>G69*(-0.5)+(1-I69)+(1-M69)+Q69+S69</f>
        <v>1.9402499999999998</v>
      </c>
      <c r="U69" t="s">
        <v>423</v>
      </c>
    </row>
    <row r="70" spans="1:21" x14ac:dyDescent="0.2">
      <c r="A70" t="s">
        <v>20</v>
      </c>
      <c r="B70" t="s">
        <v>421</v>
      </c>
      <c r="C70" t="s">
        <v>91</v>
      </c>
      <c r="D70" t="s">
        <v>422</v>
      </c>
      <c r="E70" t="s">
        <v>71</v>
      </c>
      <c r="G70" s="1">
        <v>-0.2286</v>
      </c>
      <c r="H70" s="1">
        <v>-0.37080000000000002</v>
      </c>
      <c r="I70" s="6">
        <v>0.18429999999999999</v>
      </c>
      <c r="J70" s="1">
        <v>0.29630000000000001</v>
      </c>
      <c r="K70">
        <v>4.9000000000000004</v>
      </c>
      <c r="L70" s="1">
        <v>0.1741</v>
      </c>
      <c r="M70" s="7">
        <v>0.16250000000000001</v>
      </c>
      <c r="N70">
        <v>0.56000000000000005</v>
      </c>
      <c r="O70" s="1">
        <v>7.3499999999999996E-2</v>
      </c>
      <c r="P70" s="1">
        <v>0.1328</v>
      </c>
      <c r="Q70" s="8">
        <v>0.1143</v>
      </c>
      <c r="R70">
        <v>2.2999999999999998</v>
      </c>
      <c r="S70" s="1">
        <v>5.7599999999999998E-2</v>
      </c>
      <c r="T70" s="10">
        <f>G70*(-0.5)+(1-I70)+(1-M70)+Q70+S70</f>
        <v>1.9394000000000002</v>
      </c>
      <c r="U70" t="s">
        <v>455</v>
      </c>
    </row>
    <row r="71" spans="1:21" x14ac:dyDescent="0.2">
      <c r="A71" t="s">
        <v>20</v>
      </c>
      <c r="B71" t="s">
        <v>453</v>
      </c>
      <c r="C71" t="s">
        <v>156</v>
      </c>
      <c r="D71" t="s">
        <v>454</v>
      </c>
      <c r="E71" t="s">
        <v>71</v>
      </c>
      <c r="G71" s="1">
        <v>-0.29949999999999999</v>
      </c>
      <c r="H71" s="1">
        <v>-0.43669999999999998</v>
      </c>
      <c r="I71" s="6">
        <v>0.19589999999999999</v>
      </c>
      <c r="J71" s="1">
        <v>0.42759999999999998</v>
      </c>
      <c r="K71">
        <v>6.8</v>
      </c>
      <c r="L71" s="1">
        <v>0.2356</v>
      </c>
      <c r="M71" s="7">
        <v>0.1651</v>
      </c>
      <c r="N71">
        <v>0.71</v>
      </c>
      <c r="O71" s="1">
        <v>7.6799999999999993E-2</v>
      </c>
      <c r="P71" s="1">
        <v>0.1431</v>
      </c>
      <c r="Q71" s="8">
        <v>0.10440000000000001</v>
      </c>
      <c r="R71">
        <v>1.5</v>
      </c>
      <c r="S71" s="1">
        <v>4.3400000000000001E-2</v>
      </c>
      <c r="T71" s="10">
        <f>G71*(-0.5)+(1-I71)+(1-M71)+Q71+S71</f>
        <v>1.9365500000000002</v>
      </c>
      <c r="U71" t="s">
        <v>55</v>
      </c>
    </row>
    <row r="72" spans="1:21" x14ac:dyDescent="0.2">
      <c r="A72" t="s">
        <v>20</v>
      </c>
      <c r="B72" t="s">
        <v>52</v>
      </c>
      <c r="C72" t="s">
        <v>53</v>
      </c>
      <c r="D72" t="s">
        <v>54</v>
      </c>
      <c r="E72" t="s">
        <v>24</v>
      </c>
      <c r="F72" t="s">
        <v>46</v>
      </c>
      <c r="G72" s="1">
        <v>-0.27160000000000001</v>
      </c>
      <c r="H72" s="1">
        <v>-0.29849999999999999</v>
      </c>
      <c r="I72" s="6">
        <v>3.6900000000000002E-2</v>
      </c>
      <c r="J72" s="1">
        <v>0.37290000000000001</v>
      </c>
      <c r="K72">
        <v>16</v>
      </c>
      <c r="L72" s="1">
        <v>0.49320000000000003</v>
      </c>
      <c r="M72" s="7">
        <v>0.34949999999999998</v>
      </c>
      <c r="N72">
        <v>2.6</v>
      </c>
      <c r="O72" s="1">
        <v>0.74120000000000008</v>
      </c>
      <c r="P72" s="1">
        <v>0.34889999999999999</v>
      </c>
      <c r="Q72" s="8">
        <v>0.16250000000000001</v>
      </c>
      <c r="R72">
        <v>1</v>
      </c>
      <c r="S72" s="1">
        <v>2.35E-2</v>
      </c>
      <c r="T72" s="10">
        <f>G72*(-0.5)+(1-I72)+(1-M72)+Q72+S72</f>
        <v>1.9354000000000002</v>
      </c>
      <c r="U72" t="s">
        <v>624</v>
      </c>
    </row>
    <row r="73" spans="1:21" x14ac:dyDescent="0.2">
      <c r="A73" t="s">
        <v>20</v>
      </c>
      <c r="B73" t="s">
        <v>622</v>
      </c>
      <c r="C73" t="s">
        <v>205</v>
      </c>
      <c r="D73" t="s">
        <v>623</v>
      </c>
      <c r="E73" t="s">
        <v>24</v>
      </c>
      <c r="G73" s="1">
        <v>-0.39660000000000001</v>
      </c>
      <c r="H73" s="1">
        <v>-0.55700000000000005</v>
      </c>
      <c r="I73" s="6">
        <v>0.26579999999999998</v>
      </c>
      <c r="J73" s="1">
        <v>0.6573</v>
      </c>
      <c r="K73">
        <v>22</v>
      </c>
      <c r="L73" s="1">
        <v>0.20549999999999999</v>
      </c>
      <c r="M73" s="7">
        <v>0.26040000000000002</v>
      </c>
      <c r="N73">
        <v>5.4</v>
      </c>
      <c r="O73" s="1">
        <v>0.14249999999999999</v>
      </c>
      <c r="P73" s="1">
        <v>0.25600000000000001</v>
      </c>
      <c r="Q73" s="8">
        <v>0.2455</v>
      </c>
      <c r="R73">
        <v>1.1000000000000001</v>
      </c>
      <c r="S73" s="1">
        <v>1.7100000000000001E-2</v>
      </c>
      <c r="T73" s="10">
        <f>G73*(-0.5)+(1-I73)+(1-M73)+Q73+S73</f>
        <v>1.9346999999999999</v>
      </c>
      <c r="U73" t="s">
        <v>782</v>
      </c>
    </row>
    <row r="74" spans="1:21" x14ac:dyDescent="0.2">
      <c r="A74" t="s">
        <v>181</v>
      </c>
      <c r="B74" t="s">
        <v>779</v>
      </c>
      <c r="C74" t="s">
        <v>780</v>
      </c>
      <c r="D74" t="s">
        <v>781</v>
      </c>
      <c r="E74" t="s">
        <v>24</v>
      </c>
      <c r="G74" s="1">
        <v>-0.61319999999999997</v>
      </c>
      <c r="H74" s="1">
        <v>-0.74400000000000011</v>
      </c>
      <c r="I74" s="6">
        <v>0.3382</v>
      </c>
      <c r="J74" s="1">
        <v>1.5852999999999999</v>
      </c>
      <c r="K74">
        <v>28</v>
      </c>
      <c r="L74" s="1">
        <v>2.53E-2</v>
      </c>
      <c r="M74" s="7">
        <v>0.13300000000000001</v>
      </c>
      <c r="N74">
        <v>2.6</v>
      </c>
      <c r="O74" s="1">
        <v>0.2233</v>
      </c>
      <c r="P74" s="1">
        <v>0.33650000000000002</v>
      </c>
      <c r="Q74" s="8">
        <v>9.2899999999999996E-2</v>
      </c>
      <c r="R74">
        <v>0.33</v>
      </c>
      <c r="S74" s="1">
        <v>4.8999999999999998E-3</v>
      </c>
      <c r="T74" s="10">
        <f>G74*(-0.5)+(1-I74)+(1-M74)+Q74+S74</f>
        <v>1.9331999999999998</v>
      </c>
      <c r="U74" t="s">
        <v>93</v>
      </c>
    </row>
    <row r="75" spans="1:21" x14ac:dyDescent="0.2">
      <c r="A75" t="s">
        <v>20</v>
      </c>
      <c r="B75" t="s">
        <v>90</v>
      </c>
      <c r="C75" t="s">
        <v>91</v>
      </c>
      <c r="D75" t="s">
        <v>92</v>
      </c>
      <c r="E75" t="s">
        <v>24</v>
      </c>
      <c r="G75" s="1">
        <v>-0.47089999999999999</v>
      </c>
      <c r="H75" s="1">
        <v>-0.50019999999999998</v>
      </c>
      <c r="I75" s="6">
        <v>5.5399999999999998E-2</v>
      </c>
      <c r="J75" s="1">
        <v>0.89</v>
      </c>
      <c r="K75">
        <v>33</v>
      </c>
      <c r="L75" s="1">
        <v>0.156</v>
      </c>
      <c r="M75" s="7">
        <v>0.39779999999999999</v>
      </c>
      <c r="N75">
        <v>4.4000000000000004</v>
      </c>
      <c r="O75" s="1">
        <v>2.1499999999999998E-2</v>
      </c>
      <c r="P75" s="1">
        <v>9.1300000000000006E-2</v>
      </c>
      <c r="Q75" s="8">
        <v>0.1333</v>
      </c>
      <c r="R75">
        <v>0.41</v>
      </c>
      <c r="S75" s="1">
        <v>1.38E-2</v>
      </c>
      <c r="T75" s="10">
        <f>G75*(-0.5)+(1-I75)+(1-M75)+Q75+S75</f>
        <v>1.9293500000000001</v>
      </c>
      <c r="U75" t="s">
        <v>37</v>
      </c>
    </row>
    <row r="76" spans="1:21" x14ac:dyDescent="0.2">
      <c r="A76" t="s">
        <v>20</v>
      </c>
      <c r="B76" t="s">
        <v>34</v>
      </c>
      <c r="C76" t="s">
        <v>35</v>
      </c>
      <c r="D76" t="s">
        <v>36</v>
      </c>
      <c r="E76" t="s">
        <v>24</v>
      </c>
      <c r="G76" s="1">
        <v>-0.51969999999999994</v>
      </c>
      <c r="H76" s="1">
        <v>-0.53510000000000002</v>
      </c>
      <c r="I76" s="6">
        <v>3.2099999999999997E-2</v>
      </c>
      <c r="J76" s="1">
        <v>1.0820000000000001</v>
      </c>
      <c r="K76">
        <v>41</v>
      </c>
      <c r="L76" s="1">
        <v>0.22189999999999999</v>
      </c>
      <c r="M76" s="7">
        <v>0.41660000000000003</v>
      </c>
      <c r="N76">
        <v>4.3</v>
      </c>
      <c r="O76" s="1">
        <v>1.1599999999999999E-2</v>
      </c>
      <c r="P76" s="1">
        <v>5.5199999999999999E-2</v>
      </c>
      <c r="Q76" s="8">
        <v>0.10489999999999999</v>
      </c>
      <c r="R76">
        <v>0.25</v>
      </c>
      <c r="S76" s="1">
        <v>1.01E-2</v>
      </c>
      <c r="T76" s="10">
        <f>G76*(-0.5)+(1-I76)+(1-M76)+Q76+S76</f>
        <v>1.9261499999999998</v>
      </c>
      <c r="U76" t="s">
        <v>314</v>
      </c>
    </row>
    <row r="77" spans="1:21" x14ac:dyDescent="0.2">
      <c r="A77" t="s">
        <v>20</v>
      </c>
      <c r="B77" t="s">
        <v>312</v>
      </c>
      <c r="C77" t="s">
        <v>53</v>
      </c>
      <c r="D77" t="s">
        <v>313</v>
      </c>
      <c r="E77" t="s">
        <v>24</v>
      </c>
      <c r="G77" s="1">
        <v>-0.45409999999999989</v>
      </c>
      <c r="H77" s="1">
        <v>-0.53799999999999992</v>
      </c>
      <c r="I77" s="6">
        <v>0.1537</v>
      </c>
      <c r="J77" s="1">
        <v>0.83180000000000009</v>
      </c>
      <c r="K77">
        <v>25</v>
      </c>
      <c r="L77" s="1">
        <v>0.35170000000000001</v>
      </c>
      <c r="M77" s="7">
        <v>0.36849999999999999</v>
      </c>
      <c r="N77">
        <v>4.9000000000000004</v>
      </c>
      <c r="O77" s="1">
        <v>0.38319999999999999</v>
      </c>
      <c r="P77" s="1">
        <v>0.29870000000000002</v>
      </c>
      <c r="Q77" s="8">
        <v>0.19600000000000001</v>
      </c>
      <c r="R77">
        <v>0.79</v>
      </c>
      <c r="S77" s="1">
        <v>2.3900000000000001E-2</v>
      </c>
      <c r="T77" s="10">
        <f>G77*(-0.5)+(1-I77)+(1-M77)+Q77+S77</f>
        <v>1.92475</v>
      </c>
      <c r="U77" t="s">
        <v>846</v>
      </c>
    </row>
    <row r="78" spans="1:21" x14ac:dyDescent="0.2">
      <c r="A78" t="s">
        <v>20</v>
      </c>
      <c r="B78" t="s">
        <v>843</v>
      </c>
      <c r="C78" t="s">
        <v>844</v>
      </c>
      <c r="D78" t="s">
        <v>845</v>
      </c>
      <c r="E78" t="s">
        <v>24</v>
      </c>
      <c r="G78" s="1">
        <v>-0.65599999999999992</v>
      </c>
      <c r="H78" s="1">
        <v>-0.78810000000000002</v>
      </c>
      <c r="I78" s="6">
        <v>0.38400000000000001</v>
      </c>
      <c r="J78" s="1">
        <v>1.907</v>
      </c>
      <c r="K78">
        <v>25</v>
      </c>
      <c r="L78" s="1">
        <v>7.7000000000000002E-3</v>
      </c>
      <c r="M78" s="7">
        <v>0.13159999999999999</v>
      </c>
      <c r="N78">
        <v>2.7</v>
      </c>
      <c r="O78" s="1">
        <v>9.5700000000000007E-2</v>
      </c>
      <c r="P78" s="1">
        <v>0.3553</v>
      </c>
      <c r="Q78" s="8">
        <v>0.108</v>
      </c>
      <c r="R78">
        <v>0.44</v>
      </c>
      <c r="S78" s="1">
        <v>4.0999999999999986E-3</v>
      </c>
      <c r="T78" s="10">
        <f>G78*(-0.5)+(1-I78)+(1-M78)+Q78+S78</f>
        <v>1.9245000000000001</v>
      </c>
      <c r="U78" t="s">
        <v>97</v>
      </c>
    </row>
    <row r="79" spans="1:21" x14ac:dyDescent="0.2">
      <c r="A79" t="s">
        <v>20</v>
      </c>
      <c r="B79" t="s">
        <v>94</v>
      </c>
      <c r="C79" t="s">
        <v>95</v>
      </c>
      <c r="D79" t="s">
        <v>96</v>
      </c>
      <c r="E79" t="s">
        <v>24</v>
      </c>
      <c r="G79" s="1">
        <v>-0.47560000000000002</v>
      </c>
      <c r="H79" s="1">
        <v>-0.505</v>
      </c>
      <c r="I79" s="6">
        <v>5.6099999999999997E-2</v>
      </c>
      <c r="J79" s="1">
        <v>0.90689999999999993</v>
      </c>
      <c r="K79">
        <v>43</v>
      </c>
      <c r="L79" s="1">
        <v>0.5302</v>
      </c>
      <c r="M79" s="7">
        <v>0.3513</v>
      </c>
      <c r="N79">
        <v>3.6</v>
      </c>
      <c r="O79" s="1">
        <v>7.0400000000000004E-2</v>
      </c>
      <c r="P79" s="1">
        <v>0.1212</v>
      </c>
      <c r="Q79" s="8">
        <v>8.3699999999999997E-2</v>
      </c>
      <c r="R79">
        <v>0.2</v>
      </c>
      <c r="S79" s="1">
        <v>9.5999999999999992E-3</v>
      </c>
      <c r="T79" s="10">
        <f>G79*(-0.5)+(1-I79)+(1-M79)+Q79+S79</f>
        <v>1.9237</v>
      </c>
      <c r="U79" t="s">
        <v>341</v>
      </c>
    </row>
    <row r="80" spans="1:21" x14ac:dyDescent="0.2">
      <c r="A80" t="s">
        <v>20</v>
      </c>
      <c r="B80" t="s">
        <v>338</v>
      </c>
      <c r="C80" t="s">
        <v>339</v>
      </c>
      <c r="D80" t="s">
        <v>340</v>
      </c>
      <c r="E80" t="s">
        <v>71</v>
      </c>
      <c r="G80" s="1">
        <v>-0.34260000000000002</v>
      </c>
      <c r="H80" s="1">
        <v>-0.44729999999999998</v>
      </c>
      <c r="I80" s="6">
        <v>0.1593</v>
      </c>
      <c r="J80" s="1">
        <v>0.52110000000000001</v>
      </c>
      <c r="K80">
        <v>8.4</v>
      </c>
      <c r="L80" s="1">
        <v>0.39350000000000002</v>
      </c>
      <c r="M80" s="7">
        <v>0.252</v>
      </c>
      <c r="N80">
        <v>1</v>
      </c>
      <c r="O80" s="1">
        <v>0.3826</v>
      </c>
      <c r="P80" s="1">
        <v>0.18790000000000001</v>
      </c>
      <c r="Q80" s="8">
        <v>0.11899999999999999</v>
      </c>
      <c r="R80">
        <v>1.4</v>
      </c>
      <c r="S80" s="1">
        <v>4.1300000000000003E-2</v>
      </c>
      <c r="T80" s="10">
        <f>G80*(-0.5)+(1-I80)+(1-M80)+Q80+S80</f>
        <v>1.9203000000000001</v>
      </c>
      <c r="U80" t="s">
        <v>402</v>
      </c>
    </row>
    <row r="81" spans="1:21" x14ac:dyDescent="0.2">
      <c r="A81" t="s">
        <v>20</v>
      </c>
      <c r="B81" t="s">
        <v>399</v>
      </c>
      <c r="C81" t="s">
        <v>400</v>
      </c>
      <c r="D81" t="s">
        <v>401</v>
      </c>
      <c r="E81" t="s">
        <v>24</v>
      </c>
      <c r="G81" s="1">
        <v>-0.35120000000000001</v>
      </c>
      <c r="H81" s="1">
        <v>-0.46510000000000001</v>
      </c>
      <c r="I81" s="6">
        <v>0.17560000000000001</v>
      </c>
      <c r="J81" s="1">
        <v>0.5413</v>
      </c>
      <c r="K81">
        <v>44</v>
      </c>
      <c r="L81" s="1">
        <v>0.34229999999999999</v>
      </c>
      <c r="M81" s="7">
        <v>0.19309999999999999</v>
      </c>
      <c r="N81">
        <v>4.7</v>
      </c>
      <c r="O81" s="1">
        <v>0.26989999999999997</v>
      </c>
      <c r="P81" s="1">
        <v>0.14249999999999999</v>
      </c>
      <c r="Q81" s="8">
        <v>0.10680000000000001</v>
      </c>
      <c r="R81">
        <v>0.24</v>
      </c>
      <c r="S81" s="1">
        <v>6.6E-3</v>
      </c>
      <c r="T81" s="10">
        <f>G81*(-0.5)+(1-I81)+(1-M81)+Q81+S81</f>
        <v>1.9202999999999999</v>
      </c>
      <c r="U81" t="s">
        <v>128</v>
      </c>
    </row>
    <row r="82" spans="1:21" x14ac:dyDescent="0.2">
      <c r="A82" t="s">
        <v>20</v>
      </c>
      <c r="B82" t="s">
        <v>126</v>
      </c>
      <c r="C82" t="s">
        <v>91</v>
      </c>
      <c r="D82" t="s">
        <v>127</v>
      </c>
      <c r="E82" t="s">
        <v>24</v>
      </c>
      <c r="G82" s="1">
        <v>-0.44769999999999999</v>
      </c>
      <c r="H82" s="1">
        <v>-0.4889</v>
      </c>
      <c r="I82" s="6">
        <v>7.46E-2</v>
      </c>
      <c r="J82" s="1">
        <v>0.81059999999999999</v>
      </c>
      <c r="K82">
        <v>28</v>
      </c>
      <c r="L82" s="1">
        <v>0.1527</v>
      </c>
      <c r="M82" s="7">
        <v>0.39340000000000003</v>
      </c>
      <c r="N82">
        <v>4</v>
      </c>
      <c r="O82" s="1">
        <v>4.0599999999999997E-2</v>
      </c>
      <c r="P82" s="1">
        <v>0.18690000000000001</v>
      </c>
      <c r="Q82" s="8">
        <v>0.1429</v>
      </c>
      <c r="R82">
        <v>0.51</v>
      </c>
      <c r="S82" s="1">
        <v>1.6199999999999999E-2</v>
      </c>
      <c r="T82" s="10">
        <f>G82*(-0.5)+(1-I82)+(1-M82)+Q82+S82</f>
        <v>1.9149499999999999</v>
      </c>
      <c r="U82" t="s">
        <v>325</v>
      </c>
    </row>
    <row r="83" spans="1:21" x14ac:dyDescent="0.2">
      <c r="A83" t="s">
        <v>20</v>
      </c>
      <c r="B83" t="s">
        <v>322</v>
      </c>
      <c r="C83" t="s">
        <v>323</v>
      </c>
      <c r="D83" t="s">
        <v>324</v>
      </c>
      <c r="E83" t="s">
        <v>24</v>
      </c>
      <c r="G83" s="1">
        <v>-0.41560000000000002</v>
      </c>
      <c r="H83" s="1">
        <v>-0.50700000000000001</v>
      </c>
      <c r="I83" s="6">
        <v>0.15640000000000001</v>
      </c>
      <c r="J83" s="1">
        <v>0.71120000000000005</v>
      </c>
      <c r="K83">
        <v>22</v>
      </c>
      <c r="L83" s="1">
        <v>0.18509999999999999</v>
      </c>
      <c r="M83" s="7">
        <v>0.34</v>
      </c>
      <c r="N83">
        <v>4.2</v>
      </c>
      <c r="O83" s="1">
        <v>0.58219999999999994</v>
      </c>
      <c r="P83" s="1">
        <v>0.60209999999999997</v>
      </c>
      <c r="Q83" s="8">
        <v>0.19089999999999999</v>
      </c>
      <c r="R83">
        <v>0.87</v>
      </c>
      <c r="S83" s="1">
        <v>8.6999999999999994E-3</v>
      </c>
      <c r="T83" s="10">
        <f>G83*(-0.5)+(1-I83)+(1-M83)+Q83+S83</f>
        <v>1.911</v>
      </c>
      <c r="U83" t="s">
        <v>552</v>
      </c>
    </row>
    <row r="84" spans="1:21" x14ac:dyDescent="0.2">
      <c r="A84" t="s">
        <v>181</v>
      </c>
      <c r="B84" t="s">
        <v>549</v>
      </c>
      <c r="C84" t="s">
        <v>550</v>
      </c>
      <c r="D84" t="s">
        <v>551</v>
      </c>
      <c r="E84" t="s">
        <v>71</v>
      </c>
      <c r="G84" s="1">
        <v>-0.44059999999999999</v>
      </c>
      <c r="H84" s="1">
        <v>-0.56740000000000002</v>
      </c>
      <c r="I84" s="6">
        <v>0.22670000000000001</v>
      </c>
      <c r="J84" s="1">
        <v>0.78760000000000008</v>
      </c>
      <c r="K84">
        <v>5.3</v>
      </c>
      <c r="L84" s="1">
        <v>0.40920000000000001</v>
      </c>
      <c r="M84" s="7">
        <v>0.25679999999999997</v>
      </c>
      <c r="N84">
        <v>0.52</v>
      </c>
      <c r="O84" s="1">
        <v>0.25</v>
      </c>
      <c r="P84" s="1">
        <v>0.18429999999999999</v>
      </c>
      <c r="Q84" s="8">
        <v>9.8100000000000007E-2</v>
      </c>
      <c r="R84">
        <v>1.9</v>
      </c>
      <c r="S84" s="1">
        <v>7.5899999999999995E-2</v>
      </c>
      <c r="T84" s="10">
        <f>G84*(-0.5)+(1-I84)+(1-M84)+Q84+S84</f>
        <v>1.9108000000000003</v>
      </c>
      <c r="U84" t="s">
        <v>195</v>
      </c>
    </row>
    <row r="85" spans="1:21" x14ac:dyDescent="0.2">
      <c r="A85" t="s">
        <v>20</v>
      </c>
      <c r="B85" t="s">
        <v>192</v>
      </c>
      <c r="C85" t="s">
        <v>193</v>
      </c>
      <c r="D85" t="s">
        <v>194</v>
      </c>
      <c r="E85" t="s">
        <v>24</v>
      </c>
      <c r="G85" s="1">
        <v>-0.39489999999999997</v>
      </c>
      <c r="H85" s="1">
        <v>-0.45939999999999998</v>
      </c>
      <c r="I85" s="6">
        <v>0.1066</v>
      </c>
      <c r="J85" s="1">
        <v>0.65260000000000007</v>
      </c>
      <c r="K85">
        <v>33</v>
      </c>
      <c r="L85" s="1">
        <v>0.31909999999999999</v>
      </c>
      <c r="M85" s="7">
        <v>0.30320000000000003</v>
      </c>
      <c r="N85">
        <v>3.5</v>
      </c>
      <c r="O85" s="1">
        <v>9.7699999999999995E-2</v>
      </c>
      <c r="P85" s="1">
        <v>0.19700000000000001</v>
      </c>
      <c r="Q85" s="8">
        <v>0.1061</v>
      </c>
      <c r="R85">
        <v>0.32</v>
      </c>
      <c r="S85" s="1">
        <v>1.21E-2</v>
      </c>
      <c r="T85" s="10">
        <f>G85*(-0.5)+(1-I85)+(1-M85)+Q85+S85</f>
        <v>1.9058499999999998</v>
      </c>
      <c r="U85" t="s">
        <v>458</v>
      </c>
    </row>
    <row r="86" spans="1:21" x14ac:dyDescent="0.2">
      <c r="A86" t="s">
        <v>20</v>
      </c>
      <c r="B86" t="s">
        <v>456</v>
      </c>
      <c r="C86" t="s">
        <v>327</v>
      </c>
      <c r="D86" t="s">
        <v>457</v>
      </c>
      <c r="E86" t="s">
        <v>71</v>
      </c>
      <c r="G86" s="1">
        <v>-0.29870000000000002</v>
      </c>
      <c r="H86" s="1">
        <v>-0.43609999999999999</v>
      </c>
      <c r="I86" s="6">
        <v>0.19589999999999999</v>
      </c>
      <c r="J86" s="1">
        <v>0.42590000000000011</v>
      </c>
      <c r="K86">
        <v>7</v>
      </c>
      <c r="L86" s="1">
        <v>0.25290000000000001</v>
      </c>
      <c r="M86" s="7">
        <v>0.19359999999999999</v>
      </c>
      <c r="N86">
        <v>0.72</v>
      </c>
      <c r="O86" s="1">
        <v>6.6500000000000004E-2</v>
      </c>
      <c r="P86" s="1">
        <v>0.13730000000000001</v>
      </c>
      <c r="Q86" s="8">
        <v>0.10290000000000001</v>
      </c>
      <c r="R86">
        <v>1.5</v>
      </c>
      <c r="S86" s="1">
        <v>4.2799999999999998E-2</v>
      </c>
      <c r="T86" s="10">
        <f>G86*(-0.5)+(1-I86)+(1-M86)+Q86+S86</f>
        <v>1.9055500000000001</v>
      </c>
      <c r="U86" t="s">
        <v>429</v>
      </c>
    </row>
    <row r="87" spans="1:21" x14ac:dyDescent="0.2">
      <c r="A87" t="s">
        <v>20</v>
      </c>
      <c r="B87" t="s">
        <v>427</v>
      </c>
      <c r="C87" t="s">
        <v>428</v>
      </c>
      <c r="D87" t="s">
        <v>324</v>
      </c>
      <c r="E87" t="s">
        <v>24</v>
      </c>
      <c r="G87" s="1">
        <v>-0.42149999999999999</v>
      </c>
      <c r="H87" s="1">
        <v>-0.53060000000000007</v>
      </c>
      <c r="I87" s="6">
        <v>0.18859999999999999</v>
      </c>
      <c r="J87" s="1">
        <v>0.72860000000000003</v>
      </c>
      <c r="K87">
        <v>21</v>
      </c>
      <c r="L87" s="1">
        <v>0.19350000000000001</v>
      </c>
      <c r="M87" s="7">
        <v>0.32629999999999998</v>
      </c>
      <c r="N87">
        <v>4.2</v>
      </c>
      <c r="O87" s="1">
        <v>0.49480000000000002</v>
      </c>
      <c r="P87" s="1">
        <v>0.57969999999999999</v>
      </c>
      <c r="Q87" s="8">
        <v>0.2</v>
      </c>
      <c r="R87">
        <v>0.96</v>
      </c>
      <c r="S87" s="1">
        <v>9.1000000000000004E-3</v>
      </c>
      <c r="T87" s="10">
        <f>G87*(-0.5)+(1-I87)+(1-M87)+Q87+S87</f>
        <v>1.9049499999999999</v>
      </c>
      <c r="U87" t="s">
        <v>265</v>
      </c>
    </row>
    <row r="88" spans="1:21" x14ac:dyDescent="0.2">
      <c r="A88" t="s">
        <v>20</v>
      </c>
      <c r="B88" t="s">
        <v>263</v>
      </c>
      <c r="C88" t="s">
        <v>65</v>
      </c>
      <c r="D88" t="s">
        <v>264</v>
      </c>
      <c r="E88" t="s">
        <v>216</v>
      </c>
      <c r="G88" s="1">
        <v>-0.37219999999999998</v>
      </c>
      <c r="H88" s="1">
        <v>-0.45619999999999999</v>
      </c>
      <c r="I88" s="6">
        <v>0.1338</v>
      </c>
      <c r="J88" s="1">
        <v>0.59289999999999998</v>
      </c>
      <c r="K88">
        <v>21</v>
      </c>
      <c r="L88" s="1">
        <v>0.37259999999999999</v>
      </c>
      <c r="M88" s="7">
        <v>0.3024</v>
      </c>
      <c r="N88">
        <v>2.9</v>
      </c>
      <c r="O88" s="1">
        <v>0.44440000000000002</v>
      </c>
      <c r="P88" s="1">
        <v>0.35799999999999998</v>
      </c>
      <c r="Q88" s="8">
        <v>0.1381</v>
      </c>
      <c r="R88">
        <v>0.64</v>
      </c>
      <c r="S88" s="1">
        <v>1.49E-2</v>
      </c>
      <c r="T88" s="10">
        <f>G88*(-0.5)+(1-I88)+(1-M88)+Q88+S88</f>
        <v>1.9028999999999998</v>
      </c>
      <c r="U88" t="s">
        <v>570</v>
      </c>
    </row>
    <row r="89" spans="1:21" x14ac:dyDescent="0.2">
      <c r="A89" t="s">
        <v>20</v>
      </c>
      <c r="B89" t="s">
        <v>567</v>
      </c>
      <c r="C89" t="s">
        <v>568</v>
      </c>
      <c r="D89" t="s">
        <v>569</v>
      </c>
      <c r="E89" t="s">
        <v>71</v>
      </c>
      <c r="G89" s="1">
        <v>-0.27329999999999999</v>
      </c>
      <c r="H89" s="1">
        <v>-0.4415</v>
      </c>
      <c r="I89" s="6">
        <v>0.23150000000000001</v>
      </c>
      <c r="J89" s="1">
        <v>0.37609999999999999</v>
      </c>
      <c r="K89">
        <v>6.2</v>
      </c>
      <c r="L89" s="1">
        <v>0.2266</v>
      </c>
      <c r="M89" s="7">
        <v>0.16420000000000001</v>
      </c>
      <c r="N89">
        <v>0.69</v>
      </c>
      <c r="O89" s="1">
        <v>8.8699999999999987E-2</v>
      </c>
      <c r="P89" s="1">
        <v>0.14399999999999999</v>
      </c>
      <c r="Q89" s="8">
        <v>0.1113</v>
      </c>
      <c r="R89">
        <v>1.8</v>
      </c>
      <c r="S89" s="1">
        <v>4.8599999999999997E-2</v>
      </c>
      <c r="T89" s="10">
        <f>G89*(-0.5)+(1-I89)+(1-M89)+Q89+S89</f>
        <v>1.9008499999999997</v>
      </c>
      <c r="U89" t="s">
        <v>420</v>
      </c>
    </row>
    <row r="90" spans="1:21" x14ac:dyDescent="0.2">
      <c r="A90" t="s">
        <v>20</v>
      </c>
      <c r="B90" t="s">
        <v>417</v>
      </c>
      <c r="C90" t="s">
        <v>418</v>
      </c>
      <c r="D90" t="s">
        <v>419</v>
      </c>
      <c r="E90" t="s">
        <v>24</v>
      </c>
      <c r="G90" s="1">
        <v>-0.44309999999999999</v>
      </c>
      <c r="H90" s="1">
        <v>-0.54530000000000001</v>
      </c>
      <c r="I90" s="6">
        <v>0.1835</v>
      </c>
      <c r="J90" s="1">
        <v>0.79569999999999996</v>
      </c>
      <c r="K90">
        <v>27</v>
      </c>
      <c r="L90" s="1">
        <v>0.39510000000000001</v>
      </c>
      <c r="M90" s="7">
        <v>0.28510000000000002</v>
      </c>
      <c r="N90">
        <v>3.8</v>
      </c>
      <c r="O90" s="1">
        <v>0.36809999999999998</v>
      </c>
      <c r="P90" s="1">
        <v>0.26550000000000001</v>
      </c>
      <c r="Q90" s="8">
        <v>0.14069999999999999</v>
      </c>
      <c r="R90">
        <v>0.53</v>
      </c>
      <c r="S90" s="1">
        <v>7.1000000000000004E-3</v>
      </c>
      <c r="T90" s="10">
        <f>G90*(-0.5)+(1-I90)+(1-M90)+Q90+S90</f>
        <v>1.9007499999999999</v>
      </c>
      <c r="U90" t="s">
        <v>642</v>
      </c>
    </row>
    <row r="91" spans="1:21" x14ac:dyDescent="0.2">
      <c r="A91" t="s">
        <v>20</v>
      </c>
      <c r="B91" t="s">
        <v>640</v>
      </c>
      <c r="C91" t="s">
        <v>65</v>
      </c>
      <c r="D91" t="s">
        <v>641</v>
      </c>
      <c r="E91" t="s">
        <v>24</v>
      </c>
      <c r="G91" s="1">
        <v>-0.31259999999999999</v>
      </c>
      <c r="H91" s="1">
        <v>-0.5</v>
      </c>
      <c r="I91" s="6">
        <v>0.27260000000000001</v>
      </c>
      <c r="J91" s="1">
        <v>0.45479999999999998</v>
      </c>
      <c r="K91">
        <v>22</v>
      </c>
      <c r="L91" s="1">
        <v>5.2499999999999998E-2</v>
      </c>
      <c r="M91" s="7">
        <v>0.14050000000000001</v>
      </c>
      <c r="N91">
        <v>3.1</v>
      </c>
      <c r="O91" s="1">
        <v>6.93E-2</v>
      </c>
      <c r="P91" s="1">
        <v>0.18290000000000001</v>
      </c>
      <c r="Q91" s="8">
        <v>0.1409</v>
      </c>
      <c r="R91">
        <v>0.65</v>
      </c>
      <c r="S91" s="1">
        <v>1.37E-2</v>
      </c>
      <c r="T91" s="10">
        <f>G91*(-0.5)+(1-I91)+(1-M91)+Q91+S91</f>
        <v>1.8977999999999999</v>
      </c>
      <c r="U91" t="s">
        <v>522</v>
      </c>
    </row>
    <row r="92" spans="1:21" x14ac:dyDescent="0.2">
      <c r="A92" t="s">
        <v>20</v>
      </c>
      <c r="B92" t="s">
        <v>520</v>
      </c>
      <c r="C92" t="s">
        <v>103</v>
      </c>
      <c r="D92" t="s">
        <v>521</v>
      </c>
      <c r="E92" t="s">
        <v>71</v>
      </c>
      <c r="G92" s="1">
        <v>-0.28739999999999999</v>
      </c>
      <c r="H92" s="1">
        <v>-0.44190000000000002</v>
      </c>
      <c r="I92" s="6">
        <v>0.21679999999999999</v>
      </c>
      <c r="J92" s="1">
        <v>0.40329999999999999</v>
      </c>
      <c r="K92">
        <v>6.5</v>
      </c>
      <c r="L92" s="1">
        <v>0.22869999999999999</v>
      </c>
      <c r="M92" s="7">
        <v>0.1835</v>
      </c>
      <c r="N92">
        <v>0.7</v>
      </c>
      <c r="O92" s="1">
        <v>7.22E-2</v>
      </c>
      <c r="P92" s="1">
        <v>0.1464</v>
      </c>
      <c r="Q92" s="8">
        <v>0.1077</v>
      </c>
      <c r="R92">
        <v>1.7</v>
      </c>
      <c r="S92" s="1">
        <v>4.5599999999999988E-2</v>
      </c>
      <c r="T92" s="10">
        <f>G92*(-0.5)+(1-I92)+(1-M92)+Q92+S92</f>
        <v>1.8967000000000001</v>
      </c>
      <c r="U92" t="s">
        <v>154</v>
      </c>
    </row>
    <row r="93" spans="1:21" x14ac:dyDescent="0.2">
      <c r="A93" t="s">
        <v>20</v>
      </c>
      <c r="B93" t="s">
        <v>152</v>
      </c>
      <c r="C93" t="s">
        <v>138</v>
      </c>
      <c r="D93" t="s">
        <v>153</v>
      </c>
      <c r="E93" t="s">
        <v>24</v>
      </c>
      <c r="G93" s="1">
        <v>-0.45950000000000002</v>
      </c>
      <c r="H93" s="1">
        <v>-0.50659999999999994</v>
      </c>
      <c r="I93" s="6">
        <v>8.7100000000000011E-2</v>
      </c>
      <c r="J93" s="1">
        <v>0.85010000000000008</v>
      </c>
      <c r="K93">
        <v>19</v>
      </c>
      <c r="L93" s="1">
        <v>0.35389999999999999</v>
      </c>
      <c r="M93" s="7">
        <v>0.40460000000000002</v>
      </c>
      <c r="N93">
        <v>2.5</v>
      </c>
      <c r="O93" s="1">
        <v>0.38219999999999998</v>
      </c>
      <c r="P93" s="1">
        <v>0.3422</v>
      </c>
      <c r="Q93" s="8">
        <v>0.13159999999999999</v>
      </c>
      <c r="R93">
        <v>0.69</v>
      </c>
      <c r="S93" s="1">
        <v>1.72E-2</v>
      </c>
      <c r="T93" s="10">
        <f>G93*(-0.5)+(1-I93)+(1-M93)+Q93+S93</f>
        <v>1.8868500000000001</v>
      </c>
      <c r="U93" t="s">
        <v>295</v>
      </c>
    </row>
    <row r="94" spans="1:21" x14ac:dyDescent="0.2">
      <c r="A94" t="s">
        <v>20</v>
      </c>
      <c r="B94" t="s">
        <v>292</v>
      </c>
      <c r="C94" t="s">
        <v>293</v>
      </c>
      <c r="D94" t="s">
        <v>294</v>
      </c>
      <c r="E94" t="s">
        <v>216</v>
      </c>
      <c r="F94" t="s">
        <v>46</v>
      </c>
      <c r="G94" s="1">
        <v>-0.35439999999999999</v>
      </c>
      <c r="H94" s="1">
        <v>-0.44700000000000001</v>
      </c>
      <c r="I94" s="6">
        <v>0.1434</v>
      </c>
      <c r="J94" s="1">
        <v>0.54890000000000005</v>
      </c>
      <c r="K94">
        <v>10</v>
      </c>
      <c r="L94" s="1">
        <v>0.50619999999999998</v>
      </c>
      <c r="M94" s="7">
        <v>0.30769999999999997</v>
      </c>
      <c r="N94">
        <v>1.2</v>
      </c>
      <c r="O94" s="1">
        <v>0.48070000000000002</v>
      </c>
      <c r="P94" s="1">
        <v>0.17469999999999999</v>
      </c>
      <c r="Q94" s="8">
        <v>0.12</v>
      </c>
      <c r="R94">
        <v>1.2</v>
      </c>
      <c r="S94" s="1">
        <v>4.0500000000000001E-2</v>
      </c>
      <c r="T94" s="10">
        <f>G94*(-0.5)+(1-I94)+(1-M94)+Q94+S94</f>
        <v>1.8866000000000003</v>
      </c>
      <c r="U94" t="s">
        <v>602</v>
      </c>
    </row>
    <row r="95" spans="1:21" x14ac:dyDescent="0.2">
      <c r="A95" t="s">
        <v>20</v>
      </c>
      <c r="B95" t="s">
        <v>600</v>
      </c>
      <c r="C95" t="s">
        <v>450</v>
      </c>
      <c r="D95" t="s">
        <v>601</v>
      </c>
      <c r="E95" t="s">
        <v>24</v>
      </c>
      <c r="G95" s="1">
        <v>-0.18049999999999999</v>
      </c>
      <c r="H95" s="1">
        <v>-0.38540000000000002</v>
      </c>
      <c r="I95" s="6">
        <v>0.25</v>
      </c>
      <c r="J95" s="1">
        <v>0.2203</v>
      </c>
      <c r="K95">
        <v>31</v>
      </c>
      <c r="L95" s="1">
        <v>6.2E-2</v>
      </c>
      <c r="M95" s="7">
        <v>9.4100000000000003E-2</v>
      </c>
      <c r="N95">
        <v>4</v>
      </c>
      <c r="O95" s="1">
        <v>0.12909999999999999</v>
      </c>
      <c r="P95" s="1">
        <v>0.186</v>
      </c>
      <c r="Q95" s="8">
        <v>0.129</v>
      </c>
      <c r="R95">
        <v>0.41</v>
      </c>
      <c r="S95" s="1">
        <v>8.5000000000000006E-3</v>
      </c>
      <c r="T95" s="10">
        <f>G95*(-0.5)+(1-I95)+(1-M95)+Q95+S95</f>
        <v>1.88365</v>
      </c>
      <c r="U95" t="s">
        <v>80</v>
      </c>
    </row>
    <row r="96" spans="1:21" x14ac:dyDescent="0.2">
      <c r="A96" t="s">
        <v>20</v>
      </c>
      <c r="B96" t="s">
        <v>77</v>
      </c>
      <c r="C96" t="s">
        <v>78</v>
      </c>
      <c r="D96" t="s">
        <v>79</v>
      </c>
      <c r="E96" t="s">
        <v>24</v>
      </c>
      <c r="G96" s="1">
        <v>-0.36259999999999998</v>
      </c>
      <c r="H96" s="1">
        <v>-0.39250000000000002</v>
      </c>
      <c r="I96" s="6">
        <v>4.6899999999999997E-2</v>
      </c>
      <c r="J96" s="1">
        <v>0.56889999999999996</v>
      </c>
      <c r="K96">
        <v>44</v>
      </c>
      <c r="L96" s="1">
        <v>0.63919999999999999</v>
      </c>
      <c r="M96" s="7">
        <v>0.33310000000000001</v>
      </c>
      <c r="N96">
        <v>3.1</v>
      </c>
      <c r="O96" s="1">
        <v>4.6199999999999998E-2</v>
      </c>
      <c r="P96" s="1">
        <v>7.5600000000000001E-2</v>
      </c>
      <c r="Q96" s="8">
        <v>7.0499999999999993E-2</v>
      </c>
      <c r="R96">
        <v>0.16</v>
      </c>
      <c r="S96" s="1">
        <v>6.9999999999999993E-3</v>
      </c>
      <c r="T96" s="10">
        <f>G96*(-0.5)+(1-I96)+(1-M96)+Q96+S96</f>
        <v>1.8788</v>
      </c>
      <c r="U96" t="s">
        <v>109</v>
      </c>
    </row>
    <row r="97" spans="1:21" x14ac:dyDescent="0.2">
      <c r="A97" t="s">
        <v>20</v>
      </c>
      <c r="B97" t="s">
        <v>106</v>
      </c>
      <c r="C97" t="s">
        <v>107</v>
      </c>
      <c r="D97" t="s">
        <v>108</v>
      </c>
      <c r="E97" t="s">
        <v>24</v>
      </c>
      <c r="F97" t="s">
        <v>46</v>
      </c>
      <c r="G97" s="1">
        <v>-0.45450000000000002</v>
      </c>
      <c r="H97" s="1">
        <v>-0.48870000000000002</v>
      </c>
      <c r="I97" s="6">
        <v>6.2699999999999992E-2</v>
      </c>
      <c r="J97" s="1">
        <v>0.83319999999999994</v>
      </c>
      <c r="K97">
        <v>15</v>
      </c>
      <c r="L97" s="1">
        <v>0.49380000000000002</v>
      </c>
      <c r="M97" s="7">
        <v>0.50090000000000001</v>
      </c>
      <c r="N97">
        <v>2.8</v>
      </c>
      <c r="O97" s="1">
        <v>0.57430000000000003</v>
      </c>
      <c r="P97" s="1">
        <v>0.53420000000000001</v>
      </c>
      <c r="Q97" s="8">
        <v>0.1867</v>
      </c>
      <c r="R97">
        <v>1.2</v>
      </c>
      <c r="S97" s="1">
        <v>2.5000000000000001E-2</v>
      </c>
      <c r="T97" s="10">
        <f>G97*(-0.5)+(1-I97)+(1-M97)+Q97+S97</f>
        <v>1.8753500000000001</v>
      </c>
      <c r="U97" t="s">
        <v>241</v>
      </c>
    </row>
    <row r="98" spans="1:21" x14ac:dyDescent="0.2">
      <c r="A98" t="s">
        <v>20</v>
      </c>
      <c r="B98" t="s">
        <v>238</v>
      </c>
      <c r="C98" t="s">
        <v>239</v>
      </c>
      <c r="D98" t="s">
        <v>240</v>
      </c>
      <c r="E98" t="s">
        <v>24</v>
      </c>
      <c r="G98" s="1">
        <v>-0.38030000000000003</v>
      </c>
      <c r="H98" s="1">
        <v>-0.45710000000000001</v>
      </c>
      <c r="I98" s="6">
        <v>0.1239</v>
      </c>
      <c r="J98" s="1">
        <v>0.61370000000000002</v>
      </c>
      <c r="K98">
        <v>33</v>
      </c>
      <c r="L98" s="1">
        <v>0.55789999999999995</v>
      </c>
      <c r="M98" s="7">
        <v>0.4486</v>
      </c>
      <c r="N98">
        <v>7.7</v>
      </c>
      <c r="O98" s="1">
        <v>0.71510000000000007</v>
      </c>
      <c r="P98" s="1">
        <v>0.64119999999999999</v>
      </c>
      <c r="Q98" s="8">
        <v>0.23330000000000001</v>
      </c>
      <c r="R98">
        <v>0.72</v>
      </c>
      <c r="S98" s="1">
        <v>2.2599999999999999E-2</v>
      </c>
      <c r="T98" s="10">
        <f>G98*(-0.5)+(1-I98)+(1-M98)+Q98+S98</f>
        <v>1.8735499999999998</v>
      </c>
      <c r="U98" t="s">
        <v>337</v>
      </c>
    </row>
    <row r="99" spans="1:21" x14ac:dyDescent="0.2">
      <c r="A99" t="s">
        <v>20</v>
      </c>
      <c r="B99" t="s">
        <v>334</v>
      </c>
      <c r="C99" t="s">
        <v>335</v>
      </c>
      <c r="D99" t="s">
        <v>336</v>
      </c>
      <c r="E99" t="s">
        <v>71</v>
      </c>
      <c r="G99" s="1">
        <v>-0.1578</v>
      </c>
      <c r="H99" s="1">
        <v>-0.29139999999999999</v>
      </c>
      <c r="I99" s="6">
        <v>0.15859999999999999</v>
      </c>
      <c r="J99" s="1">
        <v>0.18740000000000001</v>
      </c>
      <c r="K99">
        <v>13</v>
      </c>
      <c r="L99" s="1">
        <v>0.31790000000000002</v>
      </c>
      <c r="M99" s="7">
        <v>0.21940000000000001</v>
      </c>
      <c r="N99">
        <v>1.8</v>
      </c>
      <c r="O99" s="1">
        <v>0.76560000000000006</v>
      </c>
      <c r="P99" s="1">
        <v>0.35249999999999998</v>
      </c>
      <c r="Q99" s="8">
        <v>0.13850000000000001</v>
      </c>
      <c r="R99">
        <v>1.1000000000000001</v>
      </c>
      <c r="S99" s="1">
        <v>3.2800000000000003E-2</v>
      </c>
      <c r="T99" s="10">
        <f>G99*(-0.5)+(1-I99)+(1-M99)+Q99+S99</f>
        <v>1.8721999999999999</v>
      </c>
      <c r="U99" t="s">
        <v>227</v>
      </c>
    </row>
    <row r="100" spans="1:21" x14ac:dyDescent="0.2">
      <c r="A100" t="s">
        <v>20</v>
      </c>
      <c r="B100" t="s">
        <v>225</v>
      </c>
      <c r="C100" t="s">
        <v>156</v>
      </c>
      <c r="D100" t="s">
        <v>226</v>
      </c>
      <c r="E100" t="s">
        <v>24</v>
      </c>
      <c r="G100" s="1">
        <v>-0.36720000000000003</v>
      </c>
      <c r="H100" s="1">
        <v>-0.44330000000000003</v>
      </c>
      <c r="I100" s="6">
        <v>0.1203</v>
      </c>
      <c r="J100" s="1">
        <v>0.58030000000000004</v>
      </c>
      <c r="K100">
        <v>29</v>
      </c>
      <c r="L100" s="1">
        <v>0.46880000000000011</v>
      </c>
      <c r="M100" s="7">
        <v>0.4163</v>
      </c>
      <c r="N100">
        <v>5.7</v>
      </c>
      <c r="O100" s="1">
        <v>0.59030000000000005</v>
      </c>
      <c r="P100" s="1">
        <v>0.51590000000000003</v>
      </c>
      <c r="Q100" s="8">
        <v>0.1966</v>
      </c>
      <c r="R100">
        <v>0.67</v>
      </c>
      <c r="S100" s="1">
        <v>2.12E-2</v>
      </c>
      <c r="T100" s="10">
        <f>G100*(-0.5)+(1-I100)+(1-M100)+Q100+S100</f>
        <v>1.8648000000000005</v>
      </c>
      <c r="U100" t="s">
        <v>42</v>
      </c>
    </row>
    <row r="101" spans="1:21" x14ac:dyDescent="0.2">
      <c r="A101" t="s">
        <v>20</v>
      </c>
      <c r="B101" t="s">
        <v>38</v>
      </c>
      <c r="C101" t="s">
        <v>39</v>
      </c>
      <c r="D101" t="s">
        <v>40</v>
      </c>
      <c r="E101" t="s">
        <v>41</v>
      </c>
      <c r="G101" s="1">
        <v>-0.46589999999999998</v>
      </c>
      <c r="H101" s="1">
        <v>-0.48370000000000002</v>
      </c>
      <c r="I101" s="6">
        <v>3.3300000000000003E-2</v>
      </c>
      <c r="J101" s="1">
        <v>0.87230000000000008</v>
      </c>
      <c r="K101">
        <v>22</v>
      </c>
      <c r="L101" s="1">
        <v>0.29449999999999998</v>
      </c>
      <c r="M101" s="7">
        <v>0.4783</v>
      </c>
      <c r="N101">
        <v>2.8</v>
      </c>
      <c r="O101" s="1">
        <v>4.3499999999999997E-2</v>
      </c>
      <c r="P101" s="1">
        <v>6.3200000000000006E-2</v>
      </c>
      <c r="Q101" s="8">
        <v>0.1273</v>
      </c>
      <c r="R101">
        <v>0.59</v>
      </c>
      <c r="S101" s="1">
        <v>1.2999999999999999E-2</v>
      </c>
      <c r="T101" s="10">
        <f>G101*(-0.5)+(1-I101)+(1-M101)+Q101+S101</f>
        <v>1.86165</v>
      </c>
      <c r="U101" t="s">
        <v>435</v>
      </c>
    </row>
    <row r="102" spans="1:21" x14ac:dyDescent="0.2">
      <c r="A102" t="s">
        <v>20</v>
      </c>
      <c r="B102" t="s">
        <v>433</v>
      </c>
      <c r="C102" t="s">
        <v>69</v>
      </c>
      <c r="D102" t="s">
        <v>434</v>
      </c>
      <c r="E102" t="s">
        <v>71</v>
      </c>
      <c r="G102" s="1">
        <v>-0.36180000000000001</v>
      </c>
      <c r="H102" s="1">
        <v>-0.4829</v>
      </c>
      <c r="I102" s="6">
        <v>0.1898</v>
      </c>
      <c r="J102" s="1">
        <v>0.56689999999999996</v>
      </c>
      <c r="K102">
        <v>14</v>
      </c>
      <c r="L102" s="1">
        <v>0.2702</v>
      </c>
      <c r="M102" s="7">
        <v>0.25119999999999998</v>
      </c>
      <c r="N102">
        <v>1.3</v>
      </c>
      <c r="O102" s="1">
        <v>7.9100000000000004E-2</v>
      </c>
      <c r="P102" s="1">
        <v>0.1613</v>
      </c>
      <c r="Q102" s="8">
        <v>9.2899999999999996E-2</v>
      </c>
      <c r="R102">
        <v>0.65</v>
      </c>
      <c r="S102" s="1">
        <v>2.3800000000000002E-2</v>
      </c>
      <c r="T102" s="10">
        <f>G102*(-0.5)+(1-I102)+(1-M102)+Q102+S102</f>
        <v>1.8566</v>
      </c>
      <c r="U102" t="s">
        <v>386</v>
      </c>
    </row>
    <row r="103" spans="1:21" x14ac:dyDescent="0.2">
      <c r="A103" t="s">
        <v>20</v>
      </c>
      <c r="B103" t="s">
        <v>383</v>
      </c>
      <c r="C103" t="s">
        <v>384</v>
      </c>
      <c r="D103" t="s">
        <v>385</v>
      </c>
      <c r="E103" t="s">
        <v>24</v>
      </c>
      <c r="G103" s="1">
        <v>-0.34289999999999998</v>
      </c>
      <c r="H103" s="1">
        <v>-0.45660000000000001</v>
      </c>
      <c r="I103" s="6">
        <v>0.17299999999999999</v>
      </c>
      <c r="J103" s="1">
        <v>0.52180000000000004</v>
      </c>
      <c r="K103">
        <v>32</v>
      </c>
      <c r="L103" s="1">
        <v>0.46619999999999989</v>
      </c>
      <c r="M103" s="7">
        <v>0.35099999999999998</v>
      </c>
      <c r="N103">
        <v>6</v>
      </c>
      <c r="O103" s="1">
        <v>0.48309999999999997</v>
      </c>
      <c r="P103" s="1">
        <v>0.42609999999999998</v>
      </c>
      <c r="Q103" s="8">
        <v>0.1875</v>
      </c>
      <c r="R103">
        <v>0.57999999999999996</v>
      </c>
      <c r="S103" s="1">
        <v>2.06E-2</v>
      </c>
      <c r="T103" s="10">
        <f>G103*(-0.5)+(1-I103)+(1-M103)+Q103+S103</f>
        <v>1.85555</v>
      </c>
      <c r="U103" t="s">
        <v>452</v>
      </c>
    </row>
    <row r="104" spans="1:21" x14ac:dyDescent="0.2">
      <c r="A104" t="s">
        <v>20</v>
      </c>
      <c r="B104" t="s">
        <v>449</v>
      </c>
      <c r="C104" t="s">
        <v>450</v>
      </c>
      <c r="D104" t="s">
        <v>451</v>
      </c>
      <c r="E104" t="s">
        <v>24</v>
      </c>
      <c r="G104" s="1">
        <v>-0.1731</v>
      </c>
      <c r="H104" s="1">
        <v>-0.33429999999999999</v>
      </c>
      <c r="I104" s="6">
        <v>0.19489999999999999</v>
      </c>
      <c r="J104" s="1">
        <v>0.20930000000000001</v>
      </c>
      <c r="K104">
        <v>24</v>
      </c>
      <c r="L104" s="1">
        <v>0.29170000000000001</v>
      </c>
      <c r="M104" s="7">
        <v>0.21299999999999999</v>
      </c>
      <c r="N104">
        <v>3.9</v>
      </c>
      <c r="O104" s="1">
        <v>0.57520000000000004</v>
      </c>
      <c r="P104" s="1">
        <v>0.39350000000000002</v>
      </c>
      <c r="Q104" s="8">
        <v>0.16250000000000001</v>
      </c>
      <c r="R104">
        <v>0.68</v>
      </c>
      <c r="S104" s="1">
        <v>1.2999999999999999E-2</v>
      </c>
      <c r="T104" s="10">
        <f>G104*(-0.5)+(1-I104)+(1-M104)+Q104+S104</f>
        <v>1.8541500000000002</v>
      </c>
      <c r="U104" t="s">
        <v>635</v>
      </c>
    </row>
    <row r="105" spans="1:21" x14ac:dyDescent="0.2">
      <c r="A105" t="s">
        <v>20</v>
      </c>
      <c r="B105" t="s">
        <v>633</v>
      </c>
      <c r="C105" t="s">
        <v>316</v>
      </c>
      <c r="D105" t="s">
        <v>634</v>
      </c>
      <c r="E105" t="s">
        <v>71</v>
      </c>
      <c r="G105" s="1">
        <v>-0.29299999999999998</v>
      </c>
      <c r="H105" s="1">
        <v>-0.48430000000000001</v>
      </c>
      <c r="I105" s="6">
        <v>0.27060000000000001</v>
      </c>
      <c r="J105" s="1">
        <v>0.41439999999999999</v>
      </c>
      <c r="K105">
        <v>6.7</v>
      </c>
      <c r="L105" s="1">
        <v>0.1016</v>
      </c>
      <c r="M105" s="7">
        <v>0.187</v>
      </c>
      <c r="N105">
        <v>0.77</v>
      </c>
      <c r="O105" s="1">
        <v>9.8699999999999996E-2</v>
      </c>
      <c r="P105" s="1">
        <v>0.1699</v>
      </c>
      <c r="Q105" s="8">
        <v>0.1149</v>
      </c>
      <c r="R105">
        <v>1.7</v>
      </c>
      <c r="S105" s="1">
        <v>4.82E-2</v>
      </c>
      <c r="T105" s="10">
        <f>G105*(-0.5)+(1-I105)+(1-M105)+Q105+S105</f>
        <v>1.8519999999999999</v>
      </c>
      <c r="U105" t="s">
        <v>615</v>
      </c>
    </row>
    <row r="106" spans="1:21" x14ac:dyDescent="0.2">
      <c r="A106" t="s">
        <v>20</v>
      </c>
      <c r="B106" t="s">
        <v>612</v>
      </c>
      <c r="C106" t="s">
        <v>613</v>
      </c>
      <c r="D106" t="s">
        <v>614</v>
      </c>
      <c r="E106" t="s">
        <v>71</v>
      </c>
      <c r="G106" s="1">
        <v>-0.24779999999999999</v>
      </c>
      <c r="H106" s="1">
        <v>-0.4415</v>
      </c>
      <c r="I106" s="6">
        <v>0.25750000000000001</v>
      </c>
      <c r="J106" s="1">
        <v>0.32940000000000003</v>
      </c>
      <c r="K106">
        <v>6.8</v>
      </c>
      <c r="L106" s="1">
        <v>0.19500000000000001</v>
      </c>
      <c r="M106" s="7">
        <v>0.1898</v>
      </c>
      <c r="N106">
        <v>0.8</v>
      </c>
      <c r="O106" s="1">
        <v>9.6500000000000002E-2</v>
      </c>
      <c r="P106" s="1">
        <v>0.1696</v>
      </c>
      <c r="Q106" s="8">
        <v>0.1176</v>
      </c>
      <c r="R106">
        <v>1.7</v>
      </c>
      <c r="S106" s="1">
        <v>5.5599999999999997E-2</v>
      </c>
      <c r="T106" s="10">
        <f>G106*(-0.5)+(1-I106)+(1-M106)+Q106+S106</f>
        <v>1.8498000000000001</v>
      </c>
      <c r="U106" t="s">
        <v>394</v>
      </c>
    </row>
    <row r="107" spans="1:21" x14ac:dyDescent="0.2">
      <c r="A107" t="s">
        <v>20</v>
      </c>
      <c r="B107" t="s">
        <v>391</v>
      </c>
      <c r="C107" t="s">
        <v>392</v>
      </c>
      <c r="D107" t="s">
        <v>393</v>
      </c>
      <c r="E107" t="s">
        <v>24</v>
      </c>
      <c r="G107" s="1">
        <v>-0.31059999999999999</v>
      </c>
      <c r="H107" s="1">
        <v>-0.43109999999999998</v>
      </c>
      <c r="I107" s="6">
        <v>0.17480000000000001</v>
      </c>
      <c r="J107" s="1">
        <v>0.45050000000000001</v>
      </c>
      <c r="K107">
        <v>49</v>
      </c>
      <c r="L107" s="1">
        <v>0.1711</v>
      </c>
      <c r="M107" s="7">
        <v>0.21160000000000001</v>
      </c>
      <c r="N107">
        <v>3.6</v>
      </c>
      <c r="O107" s="1">
        <v>4.9299999999999997E-2</v>
      </c>
      <c r="P107" s="1">
        <v>5.8799999999999998E-2</v>
      </c>
      <c r="Q107" s="8">
        <v>7.3499999999999996E-2</v>
      </c>
      <c r="R107">
        <v>0.15</v>
      </c>
      <c r="S107" s="1">
        <v>5.6000000000000008E-3</v>
      </c>
      <c r="T107" s="10">
        <f>G107*(-0.5)+(1-I107)+(1-M107)+Q107+S107</f>
        <v>1.8479999999999999</v>
      </c>
      <c r="U107" t="s">
        <v>426</v>
      </c>
    </row>
    <row r="108" spans="1:21" x14ac:dyDescent="0.2">
      <c r="A108" t="s">
        <v>20</v>
      </c>
      <c r="B108" t="s">
        <v>424</v>
      </c>
      <c r="C108" t="s">
        <v>335</v>
      </c>
      <c r="D108" t="s">
        <v>425</v>
      </c>
      <c r="E108" t="s">
        <v>24</v>
      </c>
      <c r="G108" s="1">
        <v>-0.2412</v>
      </c>
      <c r="H108" s="1">
        <v>-0.38200000000000001</v>
      </c>
      <c r="I108" s="6">
        <v>0.18559999999999999</v>
      </c>
      <c r="J108" s="1">
        <v>0.31790000000000002</v>
      </c>
      <c r="K108">
        <v>38</v>
      </c>
      <c r="L108" s="1">
        <v>0.46079999999999999</v>
      </c>
      <c r="M108" s="7">
        <v>0.2114</v>
      </c>
      <c r="N108">
        <v>4.2</v>
      </c>
      <c r="O108" s="1">
        <v>0.2213</v>
      </c>
      <c r="P108" s="1">
        <v>0.19109999999999999</v>
      </c>
      <c r="Q108" s="8">
        <v>0.1105</v>
      </c>
      <c r="R108">
        <v>0.28999999999999998</v>
      </c>
      <c r="S108" s="1">
        <v>9.5999999999999992E-3</v>
      </c>
      <c r="T108" s="10">
        <f>G108*(-0.5)+(1-I108)+(1-M108)+Q108+S108</f>
        <v>1.8437000000000001</v>
      </c>
      <c r="U108" t="s">
        <v>464</v>
      </c>
    </row>
    <row r="109" spans="1:21" x14ac:dyDescent="0.2">
      <c r="A109" t="s">
        <v>20</v>
      </c>
      <c r="B109" t="s">
        <v>462</v>
      </c>
      <c r="C109" t="s">
        <v>197</v>
      </c>
      <c r="D109" t="s">
        <v>463</v>
      </c>
      <c r="E109" t="s">
        <v>71</v>
      </c>
      <c r="G109" s="1">
        <v>-4.0399999999999998E-2</v>
      </c>
      <c r="H109" s="1">
        <v>-0.23319999999999999</v>
      </c>
      <c r="I109" s="6">
        <v>0.2009</v>
      </c>
      <c r="J109" s="1">
        <v>4.2099999999999999E-2</v>
      </c>
      <c r="K109">
        <v>17</v>
      </c>
      <c r="L109" s="1">
        <v>9.0500000000000011E-2</v>
      </c>
      <c r="M109" s="7">
        <v>8.43E-2</v>
      </c>
      <c r="N109">
        <v>1.4</v>
      </c>
      <c r="O109" s="1">
        <v>0.1118</v>
      </c>
      <c r="P109" s="1">
        <v>4.6500000000000007E-2</v>
      </c>
      <c r="Q109" s="8">
        <v>8.2400000000000001E-2</v>
      </c>
      <c r="R109">
        <v>0.47</v>
      </c>
      <c r="S109" s="1">
        <v>2.58E-2</v>
      </c>
      <c r="T109" s="10">
        <f>G109*(-0.5)+(1-I109)+(1-M109)+Q109+S109</f>
        <v>1.8431999999999999</v>
      </c>
      <c r="U109" t="s">
        <v>581</v>
      </c>
    </row>
    <row r="110" spans="1:21" x14ac:dyDescent="0.2">
      <c r="A110" t="s">
        <v>181</v>
      </c>
      <c r="B110" t="s">
        <v>578</v>
      </c>
      <c r="C110" t="s">
        <v>579</v>
      </c>
      <c r="D110" t="s">
        <v>580</v>
      </c>
      <c r="E110" t="s">
        <v>71</v>
      </c>
      <c r="G110" s="1">
        <v>-0.4289</v>
      </c>
      <c r="H110" s="1">
        <v>-0.56409999999999993</v>
      </c>
      <c r="I110" s="6">
        <v>0.23669999999999999</v>
      </c>
      <c r="J110" s="1">
        <v>0.75099999999999989</v>
      </c>
      <c r="K110">
        <v>5.5</v>
      </c>
      <c r="L110" s="1">
        <v>0.45929999999999999</v>
      </c>
      <c r="M110" s="7">
        <v>0.31230000000000002</v>
      </c>
      <c r="N110">
        <v>0.59</v>
      </c>
      <c r="O110" s="1">
        <v>0.20880000000000001</v>
      </c>
      <c r="P110" s="1">
        <v>0.22009999999999999</v>
      </c>
      <c r="Q110" s="8">
        <v>0.10730000000000001</v>
      </c>
      <c r="R110">
        <v>2</v>
      </c>
      <c r="S110" s="1">
        <v>7.0099999999999996E-2</v>
      </c>
      <c r="T110" s="10">
        <f>G110*(-0.5)+(1-I110)+(1-M110)+Q110+S110</f>
        <v>1.8428499999999999</v>
      </c>
      <c r="U110" t="s">
        <v>519</v>
      </c>
    </row>
    <row r="111" spans="1:21" x14ac:dyDescent="0.2">
      <c r="A111" t="s">
        <v>20</v>
      </c>
      <c r="B111" t="s">
        <v>516</v>
      </c>
      <c r="C111" t="s">
        <v>517</v>
      </c>
      <c r="D111" t="s">
        <v>518</v>
      </c>
      <c r="E111" t="s">
        <v>24</v>
      </c>
      <c r="G111" s="1">
        <v>-0.26729999999999998</v>
      </c>
      <c r="H111" s="1">
        <v>-0.4254</v>
      </c>
      <c r="I111" s="6">
        <v>0.21579999999999999</v>
      </c>
      <c r="J111" s="1">
        <v>0.36480000000000001</v>
      </c>
      <c r="K111">
        <v>17</v>
      </c>
      <c r="L111" s="1">
        <v>0.30059999999999998</v>
      </c>
      <c r="M111" s="7">
        <v>0.27950000000000003</v>
      </c>
      <c r="N111">
        <v>2.9</v>
      </c>
      <c r="O111" s="1">
        <v>0.14899999999999999</v>
      </c>
      <c r="P111" s="1">
        <v>0.18099999999999999</v>
      </c>
      <c r="Q111" s="8">
        <v>0.1706</v>
      </c>
      <c r="R111">
        <v>1</v>
      </c>
      <c r="S111" s="1">
        <v>2.9899999999999999E-2</v>
      </c>
      <c r="T111" s="10">
        <f>G111*(-0.5)+(1-I111)+(1-M111)+Q111+S111</f>
        <v>1.8388500000000001</v>
      </c>
      <c r="U111" t="s">
        <v>249</v>
      </c>
    </row>
    <row r="112" spans="1:21" x14ac:dyDescent="0.2">
      <c r="A112" t="s">
        <v>20</v>
      </c>
      <c r="B112" t="s">
        <v>246</v>
      </c>
      <c r="C112" t="s">
        <v>247</v>
      </c>
      <c r="D112" t="s">
        <v>248</v>
      </c>
      <c r="E112" t="s">
        <v>24</v>
      </c>
      <c r="G112" s="1">
        <v>-0.40589999999999998</v>
      </c>
      <c r="H112" s="1">
        <v>-0.4829</v>
      </c>
      <c r="I112" s="6">
        <v>0.12959999999999999</v>
      </c>
      <c r="J112" s="1">
        <v>0.68319999999999992</v>
      </c>
      <c r="K112">
        <v>11</v>
      </c>
      <c r="L112" s="1">
        <v>0.4844</v>
      </c>
      <c r="M112" s="7">
        <v>0.3775</v>
      </c>
      <c r="N112">
        <v>1.2</v>
      </c>
      <c r="O112" s="1">
        <v>8.5000000000000006E-2</v>
      </c>
      <c r="P112" s="1">
        <v>0.13750000000000001</v>
      </c>
      <c r="Q112" s="8">
        <v>0.1091</v>
      </c>
      <c r="R112">
        <v>1</v>
      </c>
      <c r="S112" s="1">
        <v>3.3399999999999999E-2</v>
      </c>
      <c r="T112" s="10">
        <f>G112*(-0.5)+(1-I112)+(1-M112)+Q112+S112</f>
        <v>1.8383500000000002</v>
      </c>
      <c r="U112" t="s">
        <v>526</v>
      </c>
    </row>
    <row r="113" spans="1:21" x14ac:dyDescent="0.2">
      <c r="A113" t="s">
        <v>20</v>
      </c>
      <c r="B113" t="s">
        <v>523</v>
      </c>
      <c r="C113" t="s">
        <v>524</v>
      </c>
      <c r="D113" t="s">
        <v>525</v>
      </c>
      <c r="E113" t="s">
        <v>24</v>
      </c>
      <c r="G113" s="1">
        <v>-0.38569999999999999</v>
      </c>
      <c r="H113" s="1">
        <v>-0.51929999999999998</v>
      </c>
      <c r="I113" s="6">
        <v>0.2175</v>
      </c>
      <c r="J113" s="1">
        <v>0.62790000000000001</v>
      </c>
      <c r="K113">
        <v>20</v>
      </c>
      <c r="L113" s="1">
        <v>0.182</v>
      </c>
      <c r="M113" s="7">
        <v>0.32669999999999999</v>
      </c>
      <c r="N113">
        <v>3.5</v>
      </c>
      <c r="O113" s="1">
        <v>0.68019999999999992</v>
      </c>
      <c r="P113" s="1">
        <v>0.53400000000000003</v>
      </c>
      <c r="Q113" s="8">
        <v>0.17499999999999999</v>
      </c>
      <c r="R113">
        <v>0.86</v>
      </c>
      <c r="S113" s="1">
        <v>1.1900000000000001E-2</v>
      </c>
      <c r="T113" s="10">
        <f>G113*(-0.5)+(1-I113)+(1-M113)+Q113+S113</f>
        <v>1.83555</v>
      </c>
      <c r="U113" t="s">
        <v>258</v>
      </c>
    </row>
    <row r="114" spans="1:21" x14ac:dyDescent="0.2">
      <c r="A114" t="s">
        <v>20</v>
      </c>
      <c r="B114" t="s">
        <v>254</v>
      </c>
      <c r="C114" t="s">
        <v>255</v>
      </c>
      <c r="D114" t="s">
        <v>256</v>
      </c>
      <c r="E114" t="s">
        <v>257</v>
      </c>
      <c r="G114" s="1">
        <v>-0.14860000000000001</v>
      </c>
      <c r="H114" s="1">
        <v>-0.26140000000000002</v>
      </c>
      <c r="I114" s="6">
        <v>0.13250000000000001</v>
      </c>
      <c r="J114" s="1">
        <v>0.17449999999999999</v>
      </c>
      <c r="K114">
        <v>42</v>
      </c>
      <c r="L114" s="1">
        <v>0.8508</v>
      </c>
      <c r="M114" s="7">
        <v>0.21940000000000001</v>
      </c>
      <c r="N114">
        <v>4.4000000000000004</v>
      </c>
      <c r="O114" s="1">
        <v>0.254</v>
      </c>
      <c r="P114" s="1">
        <v>0.15440000000000001</v>
      </c>
      <c r="Q114" s="8">
        <v>0.1048</v>
      </c>
      <c r="R114">
        <v>0.25</v>
      </c>
      <c r="S114" s="1">
        <v>6.9999999999999993E-3</v>
      </c>
      <c r="T114" s="10">
        <f>G114*(-0.5)+(1-I114)+(1-M114)+Q114+S114</f>
        <v>1.8341999999999998</v>
      </c>
      <c r="U114" t="s">
        <v>879</v>
      </c>
    </row>
    <row r="115" spans="1:21" x14ac:dyDescent="0.2">
      <c r="A115" t="s">
        <v>20</v>
      </c>
      <c r="B115" t="s">
        <v>877</v>
      </c>
      <c r="C115" t="s">
        <v>138</v>
      </c>
      <c r="D115" t="s">
        <v>878</v>
      </c>
      <c r="E115" t="s">
        <v>24</v>
      </c>
      <c r="G115" s="1">
        <v>-0.36159999999999998</v>
      </c>
      <c r="H115" s="1">
        <v>-0.62369999999999992</v>
      </c>
      <c r="I115" s="6">
        <v>0.41060000000000002</v>
      </c>
      <c r="J115" s="1">
        <v>0.56640000000000001</v>
      </c>
      <c r="K115">
        <v>20</v>
      </c>
      <c r="L115" s="1">
        <v>5.79E-2</v>
      </c>
      <c r="M115" s="7">
        <v>9.98E-2</v>
      </c>
      <c r="N115">
        <v>2.9</v>
      </c>
      <c r="O115" s="1">
        <v>0.63960000000000006</v>
      </c>
      <c r="P115" s="1">
        <v>0.48099999999999998</v>
      </c>
      <c r="Q115" s="8">
        <v>0.14499999999999999</v>
      </c>
      <c r="R115">
        <v>0.71</v>
      </c>
      <c r="S115" s="1">
        <v>1.46E-2</v>
      </c>
      <c r="T115" s="10">
        <f>G115*(-0.5)+(1-I115)+(1-M115)+Q115+S115</f>
        <v>1.8299999999999998</v>
      </c>
      <c r="U115" t="s">
        <v>605</v>
      </c>
    </row>
    <row r="116" spans="1:21" x14ac:dyDescent="0.2">
      <c r="A116" t="s">
        <v>20</v>
      </c>
      <c r="B116" t="s">
        <v>603</v>
      </c>
      <c r="C116" t="s">
        <v>107</v>
      </c>
      <c r="D116" t="s">
        <v>604</v>
      </c>
      <c r="E116" t="s">
        <v>71</v>
      </c>
      <c r="G116" s="1">
        <v>-0.2102</v>
      </c>
      <c r="H116" s="1">
        <v>-0.40770000000000001</v>
      </c>
      <c r="I116" s="6">
        <v>0.25009999999999999</v>
      </c>
      <c r="J116" s="1">
        <v>0.2661</v>
      </c>
      <c r="K116">
        <v>7.4</v>
      </c>
      <c r="L116" s="1">
        <v>0.30380000000000001</v>
      </c>
      <c r="M116" s="7">
        <v>0.19059999999999999</v>
      </c>
      <c r="N116">
        <v>0.83</v>
      </c>
      <c r="O116" s="1">
        <v>9.5199999999999993E-2</v>
      </c>
      <c r="P116" s="1">
        <v>0.16239999999999999</v>
      </c>
      <c r="Q116" s="8">
        <v>0.11219999999999999</v>
      </c>
      <c r="R116">
        <v>1.5</v>
      </c>
      <c r="S116" s="1">
        <v>4.9299999999999997E-2</v>
      </c>
      <c r="T116" s="10">
        <f>G116*(-0.5)+(1-I116)+(1-M116)+Q116+S116</f>
        <v>1.8259000000000001</v>
      </c>
      <c r="U116" t="s">
        <v>245</v>
      </c>
    </row>
    <row r="117" spans="1:21" x14ac:dyDescent="0.2">
      <c r="A117" t="s">
        <v>20</v>
      </c>
      <c r="B117" t="s">
        <v>242</v>
      </c>
      <c r="C117" t="s">
        <v>243</v>
      </c>
      <c r="D117" t="s">
        <v>244</v>
      </c>
      <c r="E117" t="s">
        <v>71</v>
      </c>
      <c r="G117" s="1">
        <v>-0.31030000000000002</v>
      </c>
      <c r="H117" s="1">
        <v>-0.39879999999999999</v>
      </c>
      <c r="I117" s="6">
        <v>0.1283</v>
      </c>
      <c r="J117" s="1">
        <v>0.44990000000000002</v>
      </c>
      <c r="K117">
        <v>19</v>
      </c>
      <c r="L117" s="1">
        <v>0.35830000000000001</v>
      </c>
      <c r="M117" s="7">
        <v>0.2873</v>
      </c>
      <c r="N117">
        <v>1.3</v>
      </c>
      <c r="O117" s="1">
        <v>0.13869999999999999</v>
      </c>
      <c r="P117" s="1">
        <v>9.9499999999999991E-2</v>
      </c>
      <c r="Q117" s="8">
        <v>6.8400000000000002E-2</v>
      </c>
      <c r="R117">
        <v>0.36</v>
      </c>
      <c r="S117" s="1">
        <v>1.5299999999999999E-2</v>
      </c>
      <c r="T117" s="10">
        <f>G117*(-0.5)+(1-I117)+(1-M117)+Q117+S117</f>
        <v>1.82325</v>
      </c>
      <c r="U117" t="s">
        <v>308</v>
      </c>
    </row>
    <row r="118" spans="1:21" x14ac:dyDescent="0.2">
      <c r="A118" t="s">
        <v>20</v>
      </c>
      <c r="B118" t="s">
        <v>305</v>
      </c>
      <c r="C118" t="s">
        <v>306</v>
      </c>
      <c r="D118" t="s">
        <v>307</v>
      </c>
      <c r="E118" t="s">
        <v>216</v>
      </c>
      <c r="G118" s="1">
        <v>-0.34189999999999998</v>
      </c>
      <c r="H118" s="1">
        <v>-0.4425</v>
      </c>
      <c r="I118" s="6">
        <v>0.15290000000000001</v>
      </c>
      <c r="J118" s="1">
        <v>0.51950000000000007</v>
      </c>
      <c r="K118">
        <v>11</v>
      </c>
      <c r="L118" s="1">
        <v>0.41439999999999999</v>
      </c>
      <c r="M118" s="7">
        <v>0.34939999999999999</v>
      </c>
      <c r="N118">
        <v>1.3</v>
      </c>
      <c r="O118" s="1">
        <v>0.27700000000000002</v>
      </c>
      <c r="P118" s="1">
        <v>0.1699</v>
      </c>
      <c r="Q118" s="8">
        <v>0.1182</v>
      </c>
      <c r="R118">
        <v>1.1000000000000001</v>
      </c>
      <c r="S118" s="1">
        <v>3.4799999999999998E-2</v>
      </c>
      <c r="T118" s="10">
        <f>G118*(-0.5)+(1-I118)+(1-M118)+Q118+S118</f>
        <v>1.82165</v>
      </c>
      <c r="U118" t="s">
        <v>667</v>
      </c>
    </row>
    <row r="119" spans="1:21" x14ac:dyDescent="0.2">
      <c r="A119" t="s">
        <v>20</v>
      </c>
      <c r="B119" t="s">
        <v>664</v>
      </c>
      <c r="C119" t="s">
        <v>665</v>
      </c>
      <c r="D119" t="s">
        <v>666</v>
      </c>
      <c r="E119" t="s">
        <v>24</v>
      </c>
      <c r="G119" s="1">
        <v>-0.57810000000000006</v>
      </c>
      <c r="H119" s="1">
        <v>-0.6987000000000001</v>
      </c>
      <c r="I119" s="6">
        <v>0.2858</v>
      </c>
      <c r="J119" s="1">
        <v>1.3702000000000001</v>
      </c>
      <c r="K119">
        <v>33</v>
      </c>
      <c r="L119" s="1">
        <v>0.16880000000000001</v>
      </c>
      <c r="M119" s="7">
        <v>0.2878</v>
      </c>
      <c r="N119">
        <v>3.3</v>
      </c>
      <c r="O119" s="1">
        <v>0.24679999999999999</v>
      </c>
      <c r="P119" s="1">
        <v>0.30370000000000003</v>
      </c>
      <c r="Q119" s="8">
        <v>0.1</v>
      </c>
      <c r="R119">
        <v>0.3</v>
      </c>
      <c r="S119" s="1">
        <v>5.7999999999999996E-3</v>
      </c>
      <c r="T119" s="10">
        <f>G119*(-0.5)+(1-I119)+(1-M119)+Q119+S119</f>
        <v>1.82125</v>
      </c>
      <c r="U119" t="s">
        <v>486</v>
      </c>
    </row>
    <row r="120" spans="1:21" x14ac:dyDescent="0.2">
      <c r="A120" t="s">
        <v>20</v>
      </c>
      <c r="B120" t="s">
        <v>484</v>
      </c>
      <c r="C120" t="s">
        <v>335</v>
      </c>
      <c r="D120" t="s">
        <v>485</v>
      </c>
      <c r="E120" t="s">
        <v>71</v>
      </c>
      <c r="G120" s="1">
        <v>-5.2999999999999999E-2</v>
      </c>
      <c r="H120" s="1">
        <v>-0.24640000000000001</v>
      </c>
      <c r="I120" s="6">
        <v>0.20419999999999999</v>
      </c>
      <c r="J120" s="1">
        <v>5.5999999999999987E-2</v>
      </c>
      <c r="K120">
        <v>12</v>
      </c>
      <c r="L120" s="1">
        <v>0.2586</v>
      </c>
      <c r="M120" s="7">
        <v>0.15479999999999999</v>
      </c>
      <c r="N120">
        <v>1.3</v>
      </c>
      <c r="O120" s="1">
        <v>0.88730000000000009</v>
      </c>
      <c r="P120" s="1">
        <v>0.21909999999999999</v>
      </c>
      <c r="Q120" s="8">
        <v>0.10829999999999999</v>
      </c>
      <c r="R120">
        <v>0.89</v>
      </c>
      <c r="S120" s="1">
        <v>3.9E-2</v>
      </c>
      <c r="T120" s="10">
        <f>G120*(-0.5)+(1-I120)+(1-M120)+Q120+S120</f>
        <v>1.8148</v>
      </c>
      <c r="U120" t="s">
        <v>497</v>
      </c>
    </row>
    <row r="121" spans="1:21" x14ac:dyDescent="0.2">
      <c r="A121" t="s">
        <v>20</v>
      </c>
      <c r="B121" t="s">
        <v>494</v>
      </c>
      <c r="C121" t="s">
        <v>495</v>
      </c>
      <c r="D121" t="s">
        <v>496</v>
      </c>
      <c r="E121" t="s">
        <v>71</v>
      </c>
      <c r="G121" s="1">
        <v>-0.26600000000000001</v>
      </c>
      <c r="H121" s="1">
        <v>-0.41830000000000001</v>
      </c>
      <c r="I121" s="6">
        <v>0.20749999999999999</v>
      </c>
      <c r="J121" s="1">
        <v>0.3624</v>
      </c>
      <c r="K121">
        <v>8.3000000000000007</v>
      </c>
      <c r="L121" s="1">
        <v>0.36520000000000002</v>
      </c>
      <c r="M121" s="7">
        <v>0.2782</v>
      </c>
      <c r="N121">
        <v>1</v>
      </c>
      <c r="O121" s="1">
        <v>3.3599999999999998E-2</v>
      </c>
      <c r="P121" s="1">
        <v>0.1391</v>
      </c>
      <c r="Q121" s="8">
        <v>0.1205</v>
      </c>
      <c r="R121">
        <v>1.4</v>
      </c>
      <c r="S121" s="1">
        <v>4.4499999999999998E-2</v>
      </c>
      <c r="T121" s="10">
        <f>G121*(-0.5)+(1-I121)+(1-M121)+Q121+S121</f>
        <v>1.8123</v>
      </c>
      <c r="U121" t="s">
        <v>883</v>
      </c>
    </row>
    <row r="122" spans="1:21" x14ac:dyDescent="0.2">
      <c r="A122" t="s">
        <v>20</v>
      </c>
      <c r="B122" t="s">
        <v>880</v>
      </c>
      <c r="C122" t="s">
        <v>881</v>
      </c>
      <c r="D122" t="s">
        <v>882</v>
      </c>
      <c r="E122" t="s">
        <v>24</v>
      </c>
      <c r="G122" s="1">
        <v>-0.39750000000000002</v>
      </c>
      <c r="H122" s="1">
        <v>-0.64749999999999996</v>
      </c>
      <c r="I122" s="6">
        <v>0.41489999999999999</v>
      </c>
      <c r="J122" s="1">
        <v>0.65980000000000005</v>
      </c>
      <c r="K122">
        <v>32</v>
      </c>
      <c r="L122" s="1">
        <v>7.5700000000000003E-2</v>
      </c>
      <c r="M122" s="7">
        <v>0.1489</v>
      </c>
      <c r="N122">
        <v>5.2</v>
      </c>
      <c r="O122" s="1">
        <v>0.30380000000000001</v>
      </c>
      <c r="P122" s="1">
        <v>0.39300000000000002</v>
      </c>
      <c r="Q122" s="8">
        <v>0.16250000000000001</v>
      </c>
      <c r="R122">
        <v>0.5</v>
      </c>
      <c r="S122" s="1">
        <v>6.9999999999999993E-3</v>
      </c>
      <c r="T122" s="10">
        <f>G122*(-0.5)+(1-I122)+(1-M122)+Q122+S122</f>
        <v>1.8044499999999999</v>
      </c>
      <c r="U122" t="s">
        <v>363</v>
      </c>
    </row>
    <row r="123" spans="1:21" x14ac:dyDescent="0.2">
      <c r="A123" t="s">
        <v>20</v>
      </c>
      <c r="B123" t="s">
        <v>361</v>
      </c>
      <c r="C123" t="s">
        <v>251</v>
      </c>
      <c r="D123" t="s">
        <v>362</v>
      </c>
      <c r="E123" t="s">
        <v>24</v>
      </c>
      <c r="G123" s="1">
        <v>-0.30330000000000001</v>
      </c>
      <c r="H123" s="1">
        <v>-0.41880000000000001</v>
      </c>
      <c r="I123" s="6">
        <v>0.1658</v>
      </c>
      <c r="J123" s="1">
        <v>0.43530000000000002</v>
      </c>
      <c r="K123">
        <v>31</v>
      </c>
      <c r="L123" s="1">
        <v>0.22700000000000001</v>
      </c>
      <c r="M123" s="7">
        <v>0.29759999999999998</v>
      </c>
      <c r="N123">
        <v>3.2</v>
      </c>
      <c r="O123" s="1">
        <v>0.37519999999999998</v>
      </c>
      <c r="P123" s="1">
        <v>0.34689999999999999</v>
      </c>
      <c r="Q123" s="8">
        <v>0.1032</v>
      </c>
      <c r="R123">
        <v>0.34</v>
      </c>
      <c r="S123" s="1">
        <v>1.0500000000000001E-2</v>
      </c>
      <c r="T123" s="10">
        <f>G123*(-0.5)+(1-I123)+(1-M123)+Q123+S123</f>
        <v>1.8019499999999999</v>
      </c>
      <c r="U123" t="s">
        <v>268</v>
      </c>
    </row>
    <row r="124" spans="1:21" x14ac:dyDescent="0.2">
      <c r="A124" t="s">
        <v>20</v>
      </c>
      <c r="B124" t="s">
        <v>266</v>
      </c>
      <c r="C124" t="s">
        <v>239</v>
      </c>
      <c r="D124" t="s">
        <v>267</v>
      </c>
      <c r="E124" t="s">
        <v>24</v>
      </c>
      <c r="G124" s="1">
        <v>-0.39779999999999999</v>
      </c>
      <c r="H124" s="1">
        <v>-0.47849999999999998</v>
      </c>
      <c r="I124" s="6">
        <v>0.13400000000000001</v>
      </c>
      <c r="J124" s="1">
        <v>0.66060000000000008</v>
      </c>
      <c r="K124">
        <v>34</v>
      </c>
      <c r="L124" s="1">
        <v>0.48559999999999998</v>
      </c>
      <c r="M124" s="7">
        <v>0.37730000000000002</v>
      </c>
      <c r="N124">
        <v>3.5</v>
      </c>
      <c r="O124" s="1">
        <v>7.5499999999999998E-2</v>
      </c>
      <c r="P124" s="1">
        <v>0.1986</v>
      </c>
      <c r="Q124" s="8">
        <v>0.10290000000000001</v>
      </c>
      <c r="R124">
        <v>0.3</v>
      </c>
      <c r="S124" s="1">
        <v>1.12E-2</v>
      </c>
      <c r="T124" s="10">
        <f>G124*(-0.5)+(1-I124)+(1-M124)+Q124+S124</f>
        <v>1.8017000000000001</v>
      </c>
      <c r="U124" t="s">
        <v>632</v>
      </c>
    </row>
    <row r="125" spans="1:21" x14ac:dyDescent="0.2">
      <c r="A125" t="s">
        <v>20</v>
      </c>
      <c r="B125" t="s">
        <v>629</v>
      </c>
      <c r="C125" t="s">
        <v>630</v>
      </c>
      <c r="D125" t="s">
        <v>631</v>
      </c>
      <c r="E125" t="s">
        <v>71</v>
      </c>
      <c r="G125" s="1">
        <v>-0.2273</v>
      </c>
      <c r="H125" s="1">
        <v>-0.4355</v>
      </c>
      <c r="I125" s="6">
        <v>0.26939999999999997</v>
      </c>
      <c r="J125" s="1">
        <v>0.29420000000000002</v>
      </c>
      <c r="K125">
        <v>9</v>
      </c>
      <c r="L125" s="1">
        <v>0.16950000000000001</v>
      </c>
      <c r="M125" s="7">
        <v>0.21060000000000001</v>
      </c>
      <c r="N125">
        <v>1.1000000000000001</v>
      </c>
      <c r="O125" s="1">
        <v>4.6799999999999987E-2</v>
      </c>
      <c r="P125" s="1">
        <v>0.12659999999999999</v>
      </c>
      <c r="Q125" s="8">
        <v>0.1222</v>
      </c>
      <c r="R125">
        <v>1.4</v>
      </c>
      <c r="S125" s="1">
        <v>4.0800000000000003E-2</v>
      </c>
      <c r="T125" s="10">
        <f>G125*(-0.5)+(1-I125)+(1-M125)+Q125+S125</f>
        <v>1.7966500000000001</v>
      </c>
      <c r="U125" t="s">
        <v>185</v>
      </c>
    </row>
    <row r="126" spans="1:21" x14ac:dyDescent="0.2">
      <c r="A126" t="s">
        <v>181</v>
      </c>
      <c r="B126" t="s">
        <v>182</v>
      </c>
      <c r="C126" t="s">
        <v>183</v>
      </c>
      <c r="D126" t="s">
        <v>184</v>
      </c>
      <c r="E126" t="s">
        <v>24</v>
      </c>
      <c r="G126" s="1">
        <v>-0.45079999999999998</v>
      </c>
      <c r="H126" s="1">
        <v>-0.50509999999999999</v>
      </c>
      <c r="I126" s="6">
        <v>9.8900000000000002E-2</v>
      </c>
      <c r="J126" s="1">
        <v>0.82079999999999997</v>
      </c>
      <c r="K126">
        <v>41</v>
      </c>
      <c r="L126" s="1">
        <v>0.3861</v>
      </c>
      <c r="M126" s="7">
        <v>0.41449999999999998</v>
      </c>
      <c r="N126">
        <v>3</v>
      </c>
      <c r="O126" s="1">
        <v>3.5999999999999997E-2</v>
      </c>
      <c r="P126" s="1">
        <v>3.5799999999999998E-2</v>
      </c>
      <c r="Q126" s="8">
        <v>7.3200000000000001E-2</v>
      </c>
      <c r="R126">
        <v>0.18</v>
      </c>
      <c r="S126" s="1">
        <v>1.1299999999999999E-2</v>
      </c>
      <c r="T126" s="10">
        <f>G126*(-0.5)+(1-I126)+(1-M126)+Q126+S126</f>
        <v>1.7965000000000002</v>
      </c>
      <c r="U126" t="s">
        <v>172</v>
      </c>
    </row>
    <row r="127" spans="1:21" x14ac:dyDescent="0.2">
      <c r="A127" t="s">
        <v>20</v>
      </c>
      <c r="B127" t="s">
        <v>169</v>
      </c>
      <c r="C127" t="s">
        <v>170</v>
      </c>
      <c r="D127" t="s">
        <v>171</v>
      </c>
      <c r="E127" t="s">
        <v>24</v>
      </c>
      <c r="G127" s="1">
        <v>-0.41439999999999999</v>
      </c>
      <c r="H127" s="1">
        <v>-0.46970000000000001</v>
      </c>
      <c r="I127" s="6">
        <v>9.4399999999999998E-2</v>
      </c>
      <c r="J127" s="1">
        <v>0.7077</v>
      </c>
      <c r="K127">
        <v>29</v>
      </c>
      <c r="L127" s="1">
        <v>0.69379999999999997</v>
      </c>
      <c r="M127" s="7">
        <v>0.47410000000000002</v>
      </c>
      <c r="N127">
        <v>4</v>
      </c>
      <c r="O127" s="1">
        <v>0.69950000000000001</v>
      </c>
      <c r="P127" s="1">
        <v>0.42330000000000001</v>
      </c>
      <c r="Q127" s="8">
        <v>0.13789999999999999</v>
      </c>
      <c r="R127">
        <v>0.48</v>
      </c>
      <c r="S127" s="1">
        <v>1.84E-2</v>
      </c>
      <c r="T127" s="10">
        <f>G127*(-0.5)+(1-I127)+(1-M127)+Q127+S127</f>
        <v>1.7949999999999999</v>
      </c>
      <c r="U127" t="s">
        <v>253</v>
      </c>
    </row>
    <row r="128" spans="1:21" x14ac:dyDescent="0.2">
      <c r="A128" t="s">
        <v>20</v>
      </c>
      <c r="B128" t="s">
        <v>250</v>
      </c>
      <c r="C128" t="s">
        <v>251</v>
      </c>
      <c r="D128" t="s">
        <v>252</v>
      </c>
      <c r="E128" t="s">
        <v>71</v>
      </c>
      <c r="G128" s="1">
        <v>-0.22420000000000001</v>
      </c>
      <c r="H128" s="1">
        <v>-0.32550000000000001</v>
      </c>
      <c r="I128" s="6">
        <v>0.13059999999999999</v>
      </c>
      <c r="J128" s="1">
        <v>0.28899999999999998</v>
      </c>
      <c r="K128">
        <v>12</v>
      </c>
      <c r="L128" s="1">
        <v>0.57440000000000002</v>
      </c>
      <c r="M128" s="7">
        <v>0.28360000000000002</v>
      </c>
      <c r="N128">
        <v>0.86</v>
      </c>
      <c r="O128" s="1">
        <v>6.9500000000000006E-2</v>
      </c>
      <c r="P128" s="1">
        <v>0.10100000000000001</v>
      </c>
      <c r="Q128" s="8">
        <v>7.17E-2</v>
      </c>
      <c r="R128">
        <v>0.57999999999999996</v>
      </c>
      <c r="S128" s="1">
        <v>2.4299999999999999E-2</v>
      </c>
      <c r="T128" s="10">
        <f>G128*(-0.5)+(1-I128)+(1-M128)+Q128+S128</f>
        <v>1.7938999999999998</v>
      </c>
      <c r="U128" t="s">
        <v>371</v>
      </c>
    </row>
    <row r="129" spans="1:21" x14ac:dyDescent="0.2">
      <c r="A129" t="s">
        <v>181</v>
      </c>
      <c r="B129" t="s">
        <v>368</v>
      </c>
      <c r="C129" t="s">
        <v>369</v>
      </c>
      <c r="D129" t="s">
        <v>370</v>
      </c>
      <c r="E129" t="s">
        <v>211</v>
      </c>
      <c r="G129" s="1">
        <v>-0.32950000000000002</v>
      </c>
      <c r="H129" s="1">
        <v>-0.44319999999999998</v>
      </c>
      <c r="I129" s="6">
        <v>0.1696</v>
      </c>
      <c r="J129" s="1">
        <v>0.4914</v>
      </c>
      <c r="K129">
        <v>10</v>
      </c>
      <c r="L129" s="1">
        <v>0.58229999999999993</v>
      </c>
      <c r="M129" s="7">
        <v>0.36330000000000001</v>
      </c>
      <c r="N129">
        <v>1.2</v>
      </c>
      <c r="O129" s="1">
        <v>0.42299999999999999</v>
      </c>
      <c r="P129" s="1">
        <v>0.1716</v>
      </c>
      <c r="Q129" s="8">
        <v>0.12</v>
      </c>
      <c r="R129">
        <v>1.2</v>
      </c>
      <c r="S129" s="1">
        <v>4.0300000000000002E-2</v>
      </c>
      <c r="T129" s="10">
        <f>G129*(-0.5)+(1-I129)+(1-M129)+Q129+S129</f>
        <v>1.7921500000000001</v>
      </c>
      <c r="U129" t="s">
        <v>618</v>
      </c>
    </row>
    <row r="130" spans="1:21" x14ac:dyDescent="0.2">
      <c r="A130" t="s">
        <v>20</v>
      </c>
      <c r="B130" t="s">
        <v>616</v>
      </c>
      <c r="C130" t="s">
        <v>327</v>
      </c>
      <c r="D130" t="s">
        <v>617</v>
      </c>
      <c r="E130" t="s">
        <v>41</v>
      </c>
      <c r="G130" s="1">
        <v>-0.38030000000000003</v>
      </c>
      <c r="H130" s="1">
        <v>-0.53990000000000005</v>
      </c>
      <c r="I130" s="6">
        <v>0.25750000000000001</v>
      </c>
      <c r="J130" s="1">
        <v>0.61370000000000002</v>
      </c>
      <c r="K130">
        <v>16</v>
      </c>
      <c r="L130" s="1">
        <v>0.18970000000000001</v>
      </c>
      <c r="M130" s="7">
        <v>0.27910000000000001</v>
      </c>
      <c r="N130">
        <v>1.8</v>
      </c>
      <c r="O130" s="1">
        <v>0.26440000000000002</v>
      </c>
      <c r="P130" s="1">
        <v>0.19170000000000001</v>
      </c>
      <c r="Q130" s="8">
        <v>0.1125</v>
      </c>
      <c r="R130">
        <v>0.68</v>
      </c>
      <c r="S130" s="1">
        <v>2.0799999999999999E-2</v>
      </c>
      <c r="T130" s="10">
        <f>G130*(-0.5)+(1-I130)+(1-M130)+Q130+S130</f>
        <v>1.78685</v>
      </c>
      <c r="U130" t="s">
        <v>743</v>
      </c>
    </row>
    <row r="131" spans="1:21" x14ac:dyDescent="0.2">
      <c r="A131" t="s">
        <v>20</v>
      </c>
      <c r="B131" t="s">
        <v>740</v>
      </c>
      <c r="C131" t="s">
        <v>741</v>
      </c>
      <c r="D131" t="s">
        <v>742</v>
      </c>
      <c r="E131" t="s">
        <v>41</v>
      </c>
      <c r="G131" s="1">
        <v>-0.37109999999999999</v>
      </c>
      <c r="H131" s="1">
        <v>-0.57279999999999998</v>
      </c>
      <c r="I131" s="6">
        <v>0.32069999999999999</v>
      </c>
      <c r="J131" s="1">
        <v>0.59009999999999996</v>
      </c>
      <c r="K131">
        <v>26</v>
      </c>
      <c r="L131" s="1">
        <v>9.35E-2</v>
      </c>
      <c r="M131" s="7">
        <v>0.1777</v>
      </c>
      <c r="N131">
        <v>2.2000000000000002</v>
      </c>
      <c r="O131" s="1">
        <v>0.26469999999999999</v>
      </c>
      <c r="P131" s="1">
        <v>0.32419999999999999</v>
      </c>
      <c r="Q131" s="8">
        <v>8.4600000000000009E-2</v>
      </c>
      <c r="R131">
        <v>0.33</v>
      </c>
      <c r="S131" s="1">
        <v>8.6E-3</v>
      </c>
      <c r="T131" s="10">
        <f>G131*(-0.5)+(1-I131)+(1-M131)+Q131+S131</f>
        <v>1.7803499999999999</v>
      </c>
      <c r="U131" t="s">
        <v>592</v>
      </c>
    </row>
    <row r="132" spans="1:21" x14ac:dyDescent="0.2">
      <c r="A132" t="s">
        <v>181</v>
      </c>
      <c r="B132" t="s">
        <v>589</v>
      </c>
      <c r="C132" t="s">
        <v>590</v>
      </c>
      <c r="D132" t="s">
        <v>591</v>
      </c>
      <c r="E132" t="s">
        <v>24</v>
      </c>
      <c r="G132" s="1">
        <v>-0.53100000000000003</v>
      </c>
      <c r="H132" s="1">
        <v>-0.64739999999999998</v>
      </c>
      <c r="I132" s="6">
        <v>0.2482</v>
      </c>
      <c r="J132" s="1">
        <v>1.1322000000000001</v>
      </c>
      <c r="K132">
        <v>25</v>
      </c>
      <c r="L132" s="1">
        <v>0.47120000000000001</v>
      </c>
      <c r="M132" s="7">
        <v>0.3629</v>
      </c>
      <c r="N132">
        <v>2.9</v>
      </c>
      <c r="O132" s="1">
        <v>0.54890000000000005</v>
      </c>
      <c r="P132" s="1">
        <v>0.38240000000000002</v>
      </c>
      <c r="Q132" s="8">
        <v>0.11600000000000001</v>
      </c>
      <c r="R132">
        <v>0.47</v>
      </c>
      <c r="S132" s="1">
        <v>9.7000000000000003E-3</v>
      </c>
      <c r="T132" s="10">
        <f>G132*(-0.5)+(1-I132)+(1-M132)+Q132+S132</f>
        <v>1.7801000000000002</v>
      </c>
      <c r="U132" t="s">
        <v>677</v>
      </c>
    </row>
    <row r="133" spans="1:21" x14ac:dyDescent="0.2">
      <c r="A133" t="s">
        <v>20</v>
      </c>
      <c r="B133" t="s">
        <v>675</v>
      </c>
      <c r="C133" t="s">
        <v>239</v>
      </c>
      <c r="D133" t="s">
        <v>676</v>
      </c>
      <c r="E133" t="s">
        <v>71</v>
      </c>
      <c r="G133" s="1">
        <v>-0.16400000000000001</v>
      </c>
      <c r="H133" s="1">
        <v>-0.40689999999999998</v>
      </c>
      <c r="I133" s="6">
        <v>0.29060000000000002</v>
      </c>
      <c r="J133" s="1">
        <v>0.19620000000000001</v>
      </c>
      <c r="K133">
        <v>7</v>
      </c>
      <c r="L133" s="1">
        <v>0.32590000000000002</v>
      </c>
      <c r="M133" s="7">
        <v>0.18509999999999999</v>
      </c>
      <c r="N133">
        <v>0.8</v>
      </c>
      <c r="O133" s="1">
        <v>0.13300000000000001</v>
      </c>
      <c r="P133" s="1">
        <v>0.1714</v>
      </c>
      <c r="Q133" s="8">
        <v>0.1143</v>
      </c>
      <c r="R133">
        <v>1.6</v>
      </c>
      <c r="S133" s="1">
        <v>5.4000000000000013E-2</v>
      </c>
      <c r="T133" s="10">
        <f>G133*(-0.5)+(1-I133)+(1-M133)+Q133+S133</f>
        <v>1.7746000000000002</v>
      </c>
      <c r="U133" t="s">
        <v>656</v>
      </c>
    </row>
    <row r="134" spans="1:21" x14ac:dyDescent="0.2">
      <c r="A134" t="s">
        <v>181</v>
      </c>
      <c r="B134" t="s">
        <v>654</v>
      </c>
      <c r="C134" t="s">
        <v>513</v>
      </c>
      <c r="D134" t="s">
        <v>655</v>
      </c>
      <c r="E134" t="s">
        <v>71</v>
      </c>
      <c r="G134" s="1">
        <v>-0.37780000000000002</v>
      </c>
      <c r="H134" s="1">
        <v>-0.55100000000000005</v>
      </c>
      <c r="I134" s="6">
        <v>0.27839999999999998</v>
      </c>
      <c r="J134" s="1">
        <v>0.60719999999999996</v>
      </c>
      <c r="K134">
        <v>8.3000000000000007</v>
      </c>
      <c r="L134" s="1">
        <v>0.3175</v>
      </c>
      <c r="M134" s="7">
        <v>0.2979</v>
      </c>
      <c r="N134">
        <v>0.97</v>
      </c>
      <c r="O134" s="1">
        <v>0.1202</v>
      </c>
      <c r="P134" s="1">
        <v>0.22789999999999999</v>
      </c>
      <c r="Q134" s="8">
        <v>0.1169</v>
      </c>
      <c r="R134">
        <v>1.4</v>
      </c>
      <c r="S134" s="1">
        <v>4.3700000000000003E-2</v>
      </c>
      <c r="T134" s="10">
        <f>G134*(-0.5)+(1-I134)+(1-M134)+Q134+S134</f>
        <v>1.7732000000000001</v>
      </c>
      <c r="U134" t="s">
        <v>353</v>
      </c>
    </row>
    <row r="135" spans="1:21" x14ac:dyDescent="0.2">
      <c r="A135" t="s">
        <v>20</v>
      </c>
      <c r="B135" t="s">
        <v>350</v>
      </c>
      <c r="C135" t="s">
        <v>351</v>
      </c>
      <c r="D135" t="s">
        <v>352</v>
      </c>
      <c r="E135" t="s">
        <v>71</v>
      </c>
      <c r="G135" s="1">
        <v>-8.929999999999999E-2</v>
      </c>
      <c r="H135" s="1">
        <v>-0.23860000000000001</v>
      </c>
      <c r="I135" s="6">
        <v>0.16389999999999999</v>
      </c>
      <c r="J135" s="1">
        <v>9.8100000000000007E-2</v>
      </c>
      <c r="K135">
        <v>13</v>
      </c>
      <c r="L135" s="1">
        <v>0.3024</v>
      </c>
      <c r="M135" s="7">
        <v>0.25259999999999999</v>
      </c>
      <c r="N135">
        <v>1.4</v>
      </c>
      <c r="O135" s="1">
        <v>0.5756</v>
      </c>
      <c r="P135" s="1">
        <v>0.20530000000000001</v>
      </c>
      <c r="Q135" s="8">
        <v>0.1077</v>
      </c>
      <c r="R135">
        <v>0.85</v>
      </c>
      <c r="S135" s="1">
        <v>3.6600000000000001E-2</v>
      </c>
      <c r="T135" s="10">
        <f>G135*(-0.5)+(1-I135)+(1-M135)+Q135+S135</f>
        <v>1.7724500000000001</v>
      </c>
      <c r="U135" t="s">
        <v>563</v>
      </c>
    </row>
    <row r="136" spans="1:21" x14ac:dyDescent="0.2">
      <c r="A136" t="s">
        <v>20</v>
      </c>
      <c r="B136" t="s">
        <v>560</v>
      </c>
      <c r="C136" t="s">
        <v>561</v>
      </c>
      <c r="D136" t="s">
        <v>562</v>
      </c>
      <c r="E136" t="s">
        <v>71</v>
      </c>
      <c r="G136" s="1">
        <v>-7.2800000000000004E-2</v>
      </c>
      <c r="H136" s="1">
        <v>-0.2863</v>
      </c>
      <c r="I136" s="6">
        <v>0.2303</v>
      </c>
      <c r="J136" s="1">
        <v>7.85E-2</v>
      </c>
      <c r="K136">
        <v>6.3</v>
      </c>
      <c r="L136" s="1">
        <v>0.28649999999999998</v>
      </c>
      <c r="M136" s="7">
        <v>0.18940000000000001</v>
      </c>
      <c r="N136">
        <v>0.65</v>
      </c>
      <c r="O136" s="1">
        <v>0.14319999999999999</v>
      </c>
      <c r="P136" s="1">
        <v>0.1143</v>
      </c>
      <c r="Q136" s="8">
        <v>0.1032</v>
      </c>
      <c r="R136">
        <v>1.6</v>
      </c>
      <c r="S136" s="1">
        <v>5.2200000000000003E-2</v>
      </c>
      <c r="T136" s="10">
        <f>G136*(-0.5)+(1-I136)+(1-M136)+Q136+S136</f>
        <v>1.7721</v>
      </c>
      <c r="U136" t="s">
        <v>828</v>
      </c>
    </row>
    <row r="137" spans="1:21" x14ac:dyDescent="0.2">
      <c r="A137" t="s">
        <v>20</v>
      </c>
      <c r="B137" t="s">
        <v>825</v>
      </c>
      <c r="C137" t="s">
        <v>826</v>
      </c>
      <c r="D137" t="s">
        <v>827</v>
      </c>
      <c r="E137" t="s">
        <v>24</v>
      </c>
      <c r="G137" s="1">
        <v>-0.3629</v>
      </c>
      <c r="H137" s="1">
        <v>-0.60009999999999997</v>
      </c>
      <c r="I137" s="6">
        <v>0.37230000000000002</v>
      </c>
      <c r="J137" s="1">
        <v>0.5696</v>
      </c>
      <c r="K137">
        <v>33</v>
      </c>
      <c r="L137" s="1">
        <v>5.1700000000000003E-2</v>
      </c>
      <c r="M137" s="7">
        <v>0.18579999999999999</v>
      </c>
      <c r="N137">
        <v>4.5999999999999996</v>
      </c>
      <c r="O137" s="1">
        <v>0.20930000000000001</v>
      </c>
      <c r="P137" s="1">
        <v>0.31879999999999997</v>
      </c>
      <c r="Q137" s="8">
        <v>0.1394</v>
      </c>
      <c r="R137">
        <v>0.42</v>
      </c>
      <c r="S137" s="1">
        <v>7.4000000000000003E-3</v>
      </c>
      <c r="T137" s="10">
        <f>G137*(-0.5)+(1-I137)+(1-M137)+Q137+S137</f>
        <v>1.7701499999999999</v>
      </c>
      <c r="U137" t="s">
        <v>650</v>
      </c>
    </row>
    <row r="138" spans="1:21" x14ac:dyDescent="0.2">
      <c r="A138" t="s">
        <v>181</v>
      </c>
      <c r="B138" t="s">
        <v>647</v>
      </c>
      <c r="C138" t="s">
        <v>648</v>
      </c>
      <c r="D138" t="s">
        <v>649</v>
      </c>
      <c r="E138" t="s">
        <v>71</v>
      </c>
      <c r="G138" s="1">
        <v>-0.44119999999999998</v>
      </c>
      <c r="H138" s="1">
        <v>-0.59609999999999996</v>
      </c>
      <c r="I138" s="6">
        <v>0.2772</v>
      </c>
      <c r="J138" s="1">
        <v>0.78949999999999998</v>
      </c>
      <c r="K138">
        <v>8.3000000000000007</v>
      </c>
      <c r="L138" s="1">
        <v>0.4637</v>
      </c>
      <c r="M138" s="7">
        <v>0.32600000000000001</v>
      </c>
      <c r="N138">
        <v>0.92</v>
      </c>
      <c r="O138" s="1">
        <v>0.16120000000000001</v>
      </c>
      <c r="P138" s="1">
        <v>0.2437</v>
      </c>
      <c r="Q138" s="8">
        <v>0.1108</v>
      </c>
      <c r="R138">
        <v>1.3</v>
      </c>
      <c r="S138" s="1">
        <v>4.1399999999999999E-2</v>
      </c>
      <c r="T138" s="10">
        <f>G138*(-0.5)+(1-I138)+(1-M138)+Q138+S138</f>
        <v>1.7696000000000001</v>
      </c>
      <c r="U138" t="s">
        <v>802</v>
      </c>
    </row>
    <row r="139" spans="1:21" x14ac:dyDescent="0.2">
      <c r="A139" t="s">
        <v>20</v>
      </c>
      <c r="B139" t="s">
        <v>800</v>
      </c>
      <c r="C139" t="s">
        <v>741</v>
      </c>
      <c r="D139" t="s">
        <v>801</v>
      </c>
      <c r="E139" t="s">
        <v>24</v>
      </c>
      <c r="G139" s="1">
        <v>-0.31230000000000002</v>
      </c>
      <c r="H139" s="1">
        <v>-0.55530000000000002</v>
      </c>
      <c r="I139" s="6">
        <v>0.35339999999999999</v>
      </c>
      <c r="J139" s="1">
        <v>0.45409999999999989</v>
      </c>
      <c r="K139">
        <v>27</v>
      </c>
      <c r="L139" s="1">
        <v>6.7799999999999999E-2</v>
      </c>
      <c r="M139" s="7">
        <v>0.15890000000000001</v>
      </c>
      <c r="N139">
        <v>3.1</v>
      </c>
      <c r="O139" s="1">
        <v>0.33150000000000002</v>
      </c>
      <c r="P139" s="1">
        <v>0.39360000000000001</v>
      </c>
      <c r="Q139" s="8">
        <v>0.1148</v>
      </c>
      <c r="R139">
        <v>0.42</v>
      </c>
      <c r="S139" s="1">
        <v>1.09E-2</v>
      </c>
      <c r="T139" s="10">
        <f>G139*(-0.5)+(1-I139)+(1-M139)+Q139+S139</f>
        <v>1.76955</v>
      </c>
      <c r="U139" t="s">
        <v>375</v>
      </c>
    </row>
    <row r="140" spans="1:21" x14ac:dyDescent="0.2">
      <c r="A140" t="s">
        <v>20</v>
      </c>
      <c r="B140" t="s">
        <v>372</v>
      </c>
      <c r="C140" t="s">
        <v>373</v>
      </c>
      <c r="D140" t="s">
        <v>374</v>
      </c>
      <c r="E140" t="s">
        <v>71</v>
      </c>
      <c r="G140" s="1">
        <v>-6.7799999999999999E-2</v>
      </c>
      <c r="H140" s="1">
        <v>-0.22670000000000001</v>
      </c>
      <c r="I140" s="6">
        <v>0.17050000000000001</v>
      </c>
      <c r="J140" s="1">
        <v>7.2700000000000001E-2</v>
      </c>
      <c r="K140">
        <v>7.3</v>
      </c>
      <c r="L140" s="1">
        <v>0.54820000000000002</v>
      </c>
      <c r="M140" s="7">
        <v>0.25659999999999999</v>
      </c>
      <c r="N140">
        <v>0.79</v>
      </c>
      <c r="O140" s="1">
        <v>0.31</v>
      </c>
      <c r="P140" s="1">
        <v>0.22</v>
      </c>
      <c r="Q140" s="8">
        <v>0.1082</v>
      </c>
      <c r="R140">
        <v>1.5</v>
      </c>
      <c r="S140" s="1">
        <v>4.8399999999999999E-2</v>
      </c>
      <c r="T140" s="10">
        <f>G140*(-0.5)+(1-I140)+(1-M140)+Q140+S140</f>
        <v>1.7634000000000003</v>
      </c>
      <c r="U140" t="s">
        <v>199</v>
      </c>
    </row>
    <row r="141" spans="1:21" x14ac:dyDescent="0.2">
      <c r="A141" t="s">
        <v>20</v>
      </c>
      <c r="B141" t="s">
        <v>196</v>
      </c>
      <c r="C141" t="s">
        <v>197</v>
      </c>
      <c r="D141" t="s">
        <v>198</v>
      </c>
      <c r="E141" t="s">
        <v>24</v>
      </c>
      <c r="G141" s="1">
        <v>-0.24149999999999999</v>
      </c>
      <c r="H141" s="1">
        <v>-0.3226</v>
      </c>
      <c r="I141" s="6">
        <v>0.1069</v>
      </c>
      <c r="J141" s="1">
        <v>0.31840000000000002</v>
      </c>
      <c r="K141">
        <v>24</v>
      </c>
      <c r="L141" s="1">
        <v>0.79110000000000003</v>
      </c>
      <c r="M141" s="7">
        <v>0.38669999999999999</v>
      </c>
      <c r="N141">
        <v>2.8</v>
      </c>
      <c r="O141" s="1">
        <v>0.44080000000000003</v>
      </c>
      <c r="P141" s="1">
        <v>0.28799999999999998</v>
      </c>
      <c r="Q141" s="8">
        <v>0.1167</v>
      </c>
      <c r="R141">
        <v>0.49</v>
      </c>
      <c r="S141" s="1">
        <v>1.61E-2</v>
      </c>
      <c r="T141" s="10">
        <f>G141*(-0.5)+(1-I141)+(1-M141)+Q141+S141</f>
        <v>1.7599499999999999</v>
      </c>
      <c r="U141" t="s">
        <v>639</v>
      </c>
    </row>
    <row r="142" spans="1:21" x14ac:dyDescent="0.2">
      <c r="A142" t="s">
        <v>20</v>
      </c>
      <c r="B142" t="s">
        <v>636</v>
      </c>
      <c r="C142" t="s">
        <v>637</v>
      </c>
      <c r="D142" t="s">
        <v>638</v>
      </c>
      <c r="E142" t="s">
        <v>71</v>
      </c>
      <c r="G142" s="1">
        <v>-0.3649</v>
      </c>
      <c r="H142" s="1">
        <v>-0.53720000000000001</v>
      </c>
      <c r="I142" s="6">
        <v>0.27129999999999999</v>
      </c>
      <c r="J142" s="1">
        <v>0.5746</v>
      </c>
      <c r="K142">
        <v>9.3000000000000007</v>
      </c>
      <c r="L142" s="1">
        <v>0.2742</v>
      </c>
      <c r="M142" s="7">
        <v>0.2969</v>
      </c>
      <c r="N142">
        <v>0.98</v>
      </c>
      <c r="O142" s="1">
        <v>0.1358</v>
      </c>
      <c r="P142" s="1">
        <v>0.2424</v>
      </c>
      <c r="Q142" s="8">
        <v>0.10539999999999999</v>
      </c>
      <c r="R142">
        <v>1.1000000000000001</v>
      </c>
      <c r="S142" s="1">
        <v>4.0199999999999993E-2</v>
      </c>
      <c r="T142" s="10">
        <f>G142*(-0.5)+(1-I142)+(1-M142)+Q142+S142</f>
        <v>1.7598500000000001</v>
      </c>
      <c r="U142" t="s">
        <v>556</v>
      </c>
    </row>
    <row r="143" spans="1:21" x14ac:dyDescent="0.2">
      <c r="A143" t="s">
        <v>20</v>
      </c>
      <c r="B143" t="s">
        <v>553</v>
      </c>
      <c r="C143" t="s">
        <v>554</v>
      </c>
      <c r="D143" t="s">
        <v>555</v>
      </c>
      <c r="E143" t="s">
        <v>24</v>
      </c>
      <c r="G143" s="1">
        <v>-0.28610000000000002</v>
      </c>
      <c r="H143" s="1">
        <v>-0.44909999999999989</v>
      </c>
      <c r="I143" s="6">
        <v>0.2283</v>
      </c>
      <c r="J143" s="1">
        <v>0.40079999999999999</v>
      </c>
      <c r="K143">
        <v>32</v>
      </c>
      <c r="L143" s="1">
        <v>0.48399999999999999</v>
      </c>
      <c r="M143" s="7">
        <v>0.4118</v>
      </c>
      <c r="N143">
        <v>7.4</v>
      </c>
      <c r="O143" s="1">
        <v>0.60189999999999999</v>
      </c>
      <c r="P143" s="1">
        <v>0.57090000000000007</v>
      </c>
      <c r="Q143" s="8">
        <v>0.23119999999999999</v>
      </c>
      <c r="R143">
        <v>0.73</v>
      </c>
      <c r="S143" s="1">
        <v>2.18E-2</v>
      </c>
      <c r="T143" s="10">
        <f>G143*(-0.5)+(1-I143)+(1-M143)+Q143+S143</f>
        <v>1.7559500000000003</v>
      </c>
      <c r="U143" t="s">
        <v>910</v>
      </c>
    </row>
    <row r="144" spans="1:21" x14ac:dyDescent="0.2">
      <c r="A144" t="s">
        <v>20</v>
      </c>
      <c r="B144" t="s">
        <v>908</v>
      </c>
      <c r="C144" t="s">
        <v>170</v>
      </c>
      <c r="D144" t="s">
        <v>909</v>
      </c>
      <c r="E144" t="s">
        <v>71</v>
      </c>
      <c r="G144" s="1">
        <v>-0.2329</v>
      </c>
      <c r="H144" s="1">
        <v>-0.56409999999999993</v>
      </c>
      <c r="I144" s="6">
        <v>0.43180000000000002</v>
      </c>
      <c r="J144" s="1">
        <v>0.30359999999999998</v>
      </c>
      <c r="K144">
        <v>9</v>
      </c>
      <c r="L144" s="1">
        <v>5.3400000000000003E-2</v>
      </c>
      <c r="M144" s="7">
        <v>0.13420000000000001</v>
      </c>
      <c r="N144">
        <v>1.3</v>
      </c>
      <c r="O144" s="1">
        <v>0.56689999999999996</v>
      </c>
      <c r="P144" s="1">
        <v>0.33179999999999998</v>
      </c>
      <c r="Q144" s="8">
        <v>0.1444</v>
      </c>
      <c r="R144">
        <v>1.6</v>
      </c>
      <c r="S144" s="1">
        <v>6.0699999999999997E-2</v>
      </c>
      <c r="T144" s="10">
        <f>G144*(-0.5)+(1-I144)+(1-M144)+Q144+S144</f>
        <v>1.7555500000000002</v>
      </c>
      <c r="U144" t="s">
        <v>217</v>
      </c>
    </row>
    <row r="145" spans="1:21" x14ac:dyDescent="0.2">
      <c r="A145" t="s">
        <v>20</v>
      </c>
      <c r="B145" t="s">
        <v>213</v>
      </c>
      <c r="C145" t="s">
        <v>214</v>
      </c>
      <c r="D145" t="s">
        <v>215</v>
      </c>
      <c r="E145" t="s">
        <v>216</v>
      </c>
      <c r="G145" s="1">
        <v>-0.36899999999999999</v>
      </c>
      <c r="H145" s="1">
        <v>-0.44040000000000001</v>
      </c>
      <c r="I145" s="6">
        <v>0.1132</v>
      </c>
      <c r="J145" s="1">
        <v>0.58479999999999999</v>
      </c>
      <c r="K145">
        <v>13</v>
      </c>
      <c r="L145" s="1">
        <v>0.86540000000000006</v>
      </c>
      <c r="M145" s="7">
        <v>0.47960000000000003</v>
      </c>
      <c r="N145">
        <v>1.7</v>
      </c>
      <c r="O145" s="1">
        <v>0.87809999999999999</v>
      </c>
      <c r="P145" s="1">
        <v>0.37769999999999998</v>
      </c>
      <c r="Q145" s="8">
        <v>0.1308</v>
      </c>
      <c r="R145">
        <v>0.99</v>
      </c>
      <c r="S145" s="1">
        <v>3.2300000000000002E-2</v>
      </c>
      <c r="T145" s="10">
        <f>G145*(-0.5)+(1-I145)+(1-M145)+Q145+S145</f>
        <v>1.7547999999999999</v>
      </c>
      <c r="U145" t="s">
        <v>929</v>
      </c>
    </row>
    <row r="146" spans="1:21" x14ac:dyDescent="0.2">
      <c r="A146" t="s">
        <v>20</v>
      </c>
      <c r="B146" t="s">
        <v>927</v>
      </c>
      <c r="C146" t="s">
        <v>661</v>
      </c>
      <c r="D146" t="s">
        <v>928</v>
      </c>
      <c r="E146" t="s">
        <v>24</v>
      </c>
      <c r="G146" s="1">
        <v>-0.1799</v>
      </c>
      <c r="H146" s="1">
        <v>-0.54310000000000003</v>
      </c>
      <c r="I146" s="6">
        <v>0.44290000000000002</v>
      </c>
      <c r="J146" s="1">
        <v>0.21940000000000001</v>
      </c>
      <c r="K146">
        <v>7.7</v>
      </c>
      <c r="L146" s="1">
        <v>5.8000000000000003E-2</v>
      </c>
      <c r="M146" s="7">
        <v>0.13830000000000001</v>
      </c>
      <c r="N146">
        <v>1.4</v>
      </c>
      <c r="O146" s="1">
        <v>1.15E-2</v>
      </c>
      <c r="P146" s="1">
        <v>4.6799999999999987E-2</v>
      </c>
      <c r="Q146" s="8">
        <v>0.18179999999999999</v>
      </c>
      <c r="R146">
        <v>2.4</v>
      </c>
      <c r="S146" s="1">
        <v>6.3799999999999996E-2</v>
      </c>
      <c r="T146" s="10">
        <f>G146*(-0.5)+(1-I146)+(1-M146)+Q146+S146</f>
        <v>1.7543500000000001</v>
      </c>
      <c r="U146" t="s">
        <v>534</v>
      </c>
    </row>
    <row r="147" spans="1:21" x14ac:dyDescent="0.2">
      <c r="A147" t="s">
        <v>20</v>
      </c>
      <c r="B147" t="s">
        <v>531</v>
      </c>
      <c r="C147" t="s">
        <v>532</v>
      </c>
      <c r="D147" t="s">
        <v>533</v>
      </c>
      <c r="E147" t="s">
        <v>216</v>
      </c>
      <c r="G147" s="1">
        <v>-0.31759999999999999</v>
      </c>
      <c r="H147" s="1">
        <v>-0.46700000000000003</v>
      </c>
      <c r="I147" s="6">
        <v>0.21890000000000001</v>
      </c>
      <c r="J147" s="1">
        <v>0.46539999999999998</v>
      </c>
      <c r="K147">
        <v>12</v>
      </c>
      <c r="L147" s="1">
        <v>0.39369999999999999</v>
      </c>
      <c r="M147" s="7">
        <v>0.33329999999999999</v>
      </c>
      <c r="N147">
        <v>1.4</v>
      </c>
      <c r="O147" s="1">
        <v>0.2036</v>
      </c>
      <c r="P147" s="1">
        <v>0.14269999999999999</v>
      </c>
      <c r="Q147" s="8">
        <v>0.1167</v>
      </c>
      <c r="R147">
        <v>0.97</v>
      </c>
      <c r="S147" s="1">
        <v>3.1E-2</v>
      </c>
      <c r="T147" s="10">
        <f>G147*(-0.5)+(1-I147)+(1-M147)+Q147+S147</f>
        <v>1.7543</v>
      </c>
      <c r="U147" t="s">
        <v>628</v>
      </c>
    </row>
    <row r="148" spans="1:21" x14ac:dyDescent="0.2">
      <c r="A148" t="s">
        <v>181</v>
      </c>
      <c r="B148" t="s">
        <v>625</v>
      </c>
      <c r="C148" t="s">
        <v>626</v>
      </c>
      <c r="D148" t="s">
        <v>627</v>
      </c>
      <c r="E148" t="s">
        <v>216</v>
      </c>
      <c r="G148" s="1">
        <v>-0.3553</v>
      </c>
      <c r="H148" s="1">
        <v>-0.52749999999999997</v>
      </c>
      <c r="I148" s="6">
        <v>0.2671</v>
      </c>
      <c r="J148" s="1">
        <v>0.55110000000000003</v>
      </c>
      <c r="K148">
        <v>9.6999999999999993</v>
      </c>
      <c r="L148" s="1">
        <v>0.40439999999999998</v>
      </c>
      <c r="M148" s="7">
        <v>0.29770000000000002</v>
      </c>
      <c r="N148">
        <v>1</v>
      </c>
      <c r="O148" s="1">
        <v>0.16120000000000001</v>
      </c>
      <c r="P148" s="1">
        <v>0.25659999999999999</v>
      </c>
      <c r="Q148" s="8">
        <v>0.1031</v>
      </c>
      <c r="R148">
        <v>1.1000000000000001</v>
      </c>
      <c r="S148" s="1">
        <v>3.7999999999999999E-2</v>
      </c>
      <c r="T148" s="10">
        <f>G148*(-0.5)+(1-I148)+(1-M148)+Q148+S148</f>
        <v>1.7539499999999999</v>
      </c>
      <c r="U148" t="s">
        <v>501</v>
      </c>
    </row>
    <row r="149" spans="1:21" x14ac:dyDescent="0.2">
      <c r="A149" t="s">
        <v>20</v>
      </c>
      <c r="B149" t="s">
        <v>498</v>
      </c>
      <c r="C149" t="s">
        <v>499</v>
      </c>
      <c r="D149" t="s">
        <v>500</v>
      </c>
      <c r="E149" t="s">
        <v>24</v>
      </c>
      <c r="G149" s="1">
        <v>-0.2984</v>
      </c>
      <c r="H149" s="1">
        <v>-0.44590000000000002</v>
      </c>
      <c r="I149" s="6">
        <v>0.2102</v>
      </c>
      <c r="J149" s="1">
        <v>0.42530000000000001</v>
      </c>
      <c r="K149">
        <v>31</v>
      </c>
      <c r="L149" s="1">
        <v>0.51759999999999995</v>
      </c>
      <c r="M149" s="7">
        <v>0.46650000000000003</v>
      </c>
      <c r="N149">
        <v>7.9</v>
      </c>
      <c r="O149" s="1">
        <v>0.56459999999999999</v>
      </c>
      <c r="P149" s="1">
        <v>0.5746</v>
      </c>
      <c r="Q149" s="8">
        <v>0.25480000000000003</v>
      </c>
      <c r="R149">
        <v>0.82</v>
      </c>
      <c r="S149" s="1">
        <v>2.24E-2</v>
      </c>
      <c r="T149" s="10">
        <f>G149*(-0.5)+(1-I149)+(1-M149)+Q149+S149</f>
        <v>1.7497</v>
      </c>
      <c r="U149" t="s">
        <v>504</v>
      </c>
    </row>
    <row r="150" spans="1:21" x14ac:dyDescent="0.2">
      <c r="A150" t="s">
        <v>20</v>
      </c>
      <c r="B150" t="s">
        <v>502</v>
      </c>
      <c r="C150" t="s">
        <v>197</v>
      </c>
      <c r="D150" t="s">
        <v>503</v>
      </c>
      <c r="E150" t="s">
        <v>24</v>
      </c>
      <c r="G150" s="1">
        <v>-0.376</v>
      </c>
      <c r="H150" s="1">
        <v>-0.50729999999999997</v>
      </c>
      <c r="I150" s="6">
        <v>0.2104</v>
      </c>
      <c r="J150" s="1">
        <v>0.60260000000000002</v>
      </c>
      <c r="K150">
        <v>53</v>
      </c>
      <c r="L150" s="1">
        <v>0.81040000000000001</v>
      </c>
      <c r="M150" s="7">
        <v>0.34029999999999999</v>
      </c>
      <c r="N150">
        <v>5.6</v>
      </c>
      <c r="O150" s="1">
        <v>0.35070000000000001</v>
      </c>
      <c r="P150" s="1">
        <v>0.13059999999999999</v>
      </c>
      <c r="Q150" s="8">
        <v>0.1057</v>
      </c>
      <c r="R150">
        <v>0.2</v>
      </c>
      <c r="S150" s="1">
        <v>4.4000000000000003E-3</v>
      </c>
      <c r="T150" s="10">
        <f>G150*(-0.5)+(1-I150)+(1-M150)+Q150+S150</f>
        <v>1.7473999999999998</v>
      </c>
      <c r="U150" t="s">
        <v>508</v>
      </c>
    </row>
    <row r="151" spans="1:21" x14ac:dyDescent="0.2">
      <c r="A151" t="s">
        <v>20</v>
      </c>
      <c r="B151" t="s">
        <v>505</v>
      </c>
      <c r="C151" t="s">
        <v>506</v>
      </c>
      <c r="D151" t="s">
        <v>507</v>
      </c>
      <c r="E151" t="s">
        <v>71</v>
      </c>
      <c r="G151" s="1">
        <v>-0.29949999999999999</v>
      </c>
      <c r="H151" s="1">
        <v>-0.44890000000000002</v>
      </c>
      <c r="I151" s="6">
        <v>0.21329999999999999</v>
      </c>
      <c r="J151" s="1">
        <v>0.42759999999999998</v>
      </c>
      <c r="K151">
        <v>15</v>
      </c>
      <c r="L151" s="1">
        <v>0.51580000000000004</v>
      </c>
      <c r="M151" s="7">
        <v>0.32650000000000001</v>
      </c>
      <c r="N151">
        <v>1.6</v>
      </c>
      <c r="O151" s="1">
        <v>0.2762</v>
      </c>
      <c r="P151" s="1">
        <v>0.22409999999999999</v>
      </c>
      <c r="Q151" s="8">
        <v>0.1067</v>
      </c>
      <c r="R151">
        <v>0.72</v>
      </c>
      <c r="S151" s="1">
        <v>2.6100000000000002E-2</v>
      </c>
      <c r="T151" s="10">
        <f>G151*(-0.5)+(1-I151)+(1-M151)+Q151+S151</f>
        <v>1.74275</v>
      </c>
      <c r="U151" t="s">
        <v>646</v>
      </c>
    </row>
    <row r="152" spans="1:21" x14ac:dyDescent="0.2">
      <c r="A152" t="s">
        <v>20</v>
      </c>
      <c r="B152" t="s">
        <v>643</v>
      </c>
      <c r="C152" t="s">
        <v>644</v>
      </c>
      <c r="D152" t="s">
        <v>645</v>
      </c>
      <c r="E152" t="s">
        <v>216</v>
      </c>
      <c r="G152" s="1">
        <v>-0.28339999999999999</v>
      </c>
      <c r="H152" s="1">
        <v>-0.47979999999999989</v>
      </c>
      <c r="I152" s="6">
        <v>0.27410000000000001</v>
      </c>
      <c r="J152" s="1">
        <v>0.39550000000000002</v>
      </c>
      <c r="K152">
        <v>10</v>
      </c>
      <c r="L152" s="1">
        <v>0.3075</v>
      </c>
      <c r="M152" s="7">
        <v>0.2878</v>
      </c>
      <c r="N152">
        <v>1.2</v>
      </c>
      <c r="O152" s="1">
        <v>0.1154</v>
      </c>
      <c r="P152" s="1">
        <v>0.14000000000000001</v>
      </c>
      <c r="Q152" s="8">
        <v>0.12</v>
      </c>
      <c r="R152">
        <v>1.2</v>
      </c>
      <c r="S152" s="1">
        <v>3.8899999999999997E-2</v>
      </c>
      <c r="T152" s="10">
        <f>G152*(-0.5)+(1-I152)+(1-M152)+Q152+S152</f>
        <v>1.7386999999999997</v>
      </c>
      <c r="U152" t="s">
        <v>151</v>
      </c>
    </row>
    <row r="153" spans="1:21" x14ac:dyDescent="0.2">
      <c r="A153" t="s">
        <v>20</v>
      </c>
      <c r="B153" t="s">
        <v>148</v>
      </c>
      <c r="C153" t="s">
        <v>149</v>
      </c>
      <c r="D153" t="s">
        <v>150</v>
      </c>
      <c r="E153" t="s">
        <v>24</v>
      </c>
      <c r="G153" s="1">
        <v>-0.40910000000000002</v>
      </c>
      <c r="H153" s="1">
        <v>-0.46050000000000002</v>
      </c>
      <c r="I153" s="6">
        <v>8.6999999999999994E-2</v>
      </c>
      <c r="J153" s="1">
        <v>0.69230000000000003</v>
      </c>
      <c r="K153">
        <v>29</v>
      </c>
      <c r="L153" s="1">
        <v>0.70879999999999999</v>
      </c>
      <c r="M153" s="7">
        <v>0.53770000000000007</v>
      </c>
      <c r="N153">
        <v>4.0999999999999996</v>
      </c>
      <c r="O153" s="1">
        <v>0.71779999999999999</v>
      </c>
      <c r="P153" s="1">
        <v>0.39779999999999999</v>
      </c>
      <c r="Q153" s="8">
        <v>0.1414</v>
      </c>
      <c r="R153">
        <v>0.49</v>
      </c>
      <c r="S153" s="1">
        <v>1.4E-2</v>
      </c>
      <c r="T153" s="10">
        <f>G153*(-0.5)+(1-I153)+(1-M153)+Q153+S153</f>
        <v>1.73525</v>
      </c>
      <c r="U153" t="s">
        <v>301</v>
      </c>
    </row>
    <row r="154" spans="1:21" x14ac:dyDescent="0.2">
      <c r="A154" t="s">
        <v>20</v>
      </c>
      <c r="B154" t="s">
        <v>299</v>
      </c>
      <c r="C154" t="s">
        <v>278</v>
      </c>
      <c r="D154" t="s">
        <v>300</v>
      </c>
      <c r="E154" t="s">
        <v>71</v>
      </c>
      <c r="G154" s="1">
        <v>-0.31380000000000002</v>
      </c>
      <c r="H154" s="1">
        <v>-0.41399999999999998</v>
      </c>
      <c r="I154" s="6">
        <v>0.14599999999999999</v>
      </c>
      <c r="J154" s="1">
        <v>0.45729999999999998</v>
      </c>
      <c r="K154">
        <v>21</v>
      </c>
      <c r="L154" s="1">
        <v>0.58909999999999996</v>
      </c>
      <c r="M154" s="7">
        <v>0.39910000000000001</v>
      </c>
      <c r="N154">
        <v>2.1</v>
      </c>
      <c r="O154" s="1">
        <v>0.3095</v>
      </c>
      <c r="P154" s="1">
        <v>0.26319999999999999</v>
      </c>
      <c r="Q154" s="8">
        <v>0.1</v>
      </c>
      <c r="R154">
        <v>0.48</v>
      </c>
      <c r="S154" s="1">
        <v>1.8800000000000001E-2</v>
      </c>
      <c r="T154" s="10">
        <f>G154*(-0.5)+(1-I154)+(1-M154)+Q154+S154</f>
        <v>1.7305999999999999</v>
      </c>
      <c r="U154" t="s">
        <v>438</v>
      </c>
    </row>
    <row r="155" spans="1:21" x14ac:dyDescent="0.2">
      <c r="A155" t="s">
        <v>20</v>
      </c>
      <c r="B155" t="s">
        <v>436</v>
      </c>
      <c r="C155" t="s">
        <v>65</v>
      </c>
      <c r="D155" t="s">
        <v>437</v>
      </c>
      <c r="E155" t="s">
        <v>24</v>
      </c>
      <c r="G155" s="1">
        <v>-0.41239999999999999</v>
      </c>
      <c r="H155" s="1">
        <v>-0.52500000000000002</v>
      </c>
      <c r="I155" s="6">
        <v>0.19159999999999999</v>
      </c>
      <c r="J155" s="1">
        <v>0.70180000000000009</v>
      </c>
      <c r="K155">
        <v>19</v>
      </c>
      <c r="L155" s="1">
        <v>0.84689999999999999</v>
      </c>
      <c r="M155" s="7">
        <v>0.40329999999999999</v>
      </c>
      <c r="N155">
        <v>1.7</v>
      </c>
      <c r="O155" s="1">
        <v>6.1100000000000002E-2</v>
      </c>
      <c r="P155" s="1">
        <v>0.1197</v>
      </c>
      <c r="Q155" s="8">
        <v>8.9499999999999996E-2</v>
      </c>
      <c r="R155">
        <v>0.48</v>
      </c>
      <c r="S155" s="1">
        <v>2.75E-2</v>
      </c>
      <c r="T155" s="10">
        <f>G155*(-0.5)+(1-I155)+(1-M155)+Q155+S155</f>
        <v>1.7282999999999999</v>
      </c>
      <c r="U155" t="s">
        <v>732</v>
      </c>
    </row>
    <row r="156" spans="1:21" x14ac:dyDescent="0.2">
      <c r="A156" t="s">
        <v>20</v>
      </c>
      <c r="B156" t="s">
        <v>729</v>
      </c>
      <c r="C156" t="s">
        <v>730</v>
      </c>
      <c r="D156" t="s">
        <v>731</v>
      </c>
      <c r="E156" t="s">
        <v>71</v>
      </c>
      <c r="G156" s="1">
        <v>-0.1333</v>
      </c>
      <c r="H156" s="1">
        <v>-0.4047</v>
      </c>
      <c r="I156" s="6">
        <v>0.31309999999999999</v>
      </c>
      <c r="J156" s="1">
        <v>0.15379999999999999</v>
      </c>
      <c r="K156">
        <v>6.2</v>
      </c>
      <c r="L156" s="1">
        <v>0.22869999999999999</v>
      </c>
      <c r="M156" s="7">
        <v>0.1925</v>
      </c>
      <c r="N156">
        <v>0.69</v>
      </c>
      <c r="O156" s="1">
        <v>0.1043</v>
      </c>
      <c r="P156" s="1">
        <v>0.1724</v>
      </c>
      <c r="Q156" s="8">
        <v>0.1113</v>
      </c>
      <c r="R156">
        <v>1.8</v>
      </c>
      <c r="S156" s="1">
        <v>5.5E-2</v>
      </c>
      <c r="T156" s="10">
        <f>G156*(-0.5)+(1-I156)+(1-M156)+Q156+S156</f>
        <v>1.7273499999999999</v>
      </c>
      <c r="U156" t="s">
        <v>674</v>
      </c>
    </row>
    <row r="157" spans="1:21" x14ac:dyDescent="0.2">
      <c r="A157" t="s">
        <v>20</v>
      </c>
      <c r="B157" t="s">
        <v>672</v>
      </c>
      <c r="C157" t="s">
        <v>69</v>
      </c>
      <c r="D157" t="s">
        <v>673</v>
      </c>
      <c r="E157" t="s">
        <v>71</v>
      </c>
      <c r="G157" s="1">
        <v>-0.36259999999999998</v>
      </c>
      <c r="H157" s="1">
        <v>-0.54700000000000004</v>
      </c>
      <c r="I157" s="6">
        <v>0.2893</v>
      </c>
      <c r="J157" s="1">
        <v>0.56889999999999996</v>
      </c>
      <c r="K157">
        <v>15</v>
      </c>
      <c r="L157" s="1">
        <v>0.28610000000000002</v>
      </c>
      <c r="M157" s="7">
        <v>0.27400000000000002</v>
      </c>
      <c r="N157">
        <v>1.3</v>
      </c>
      <c r="O157" s="1">
        <v>7.8E-2</v>
      </c>
      <c r="P157" s="1">
        <v>0.1585</v>
      </c>
      <c r="Q157" s="8">
        <v>8.6699999999999999E-2</v>
      </c>
      <c r="R157">
        <v>0.56999999999999995</v>
      </c>
      <c r="S157" s="1">
        <v>2.23E-2</v>
      </c>
      <c r="T157" s="10">
        <f>G157*(-0.5)+(1-I157)+(1-M157)+Q157+S157</f>
        <v>1.7269999999999999</v>
      </c>
      <c r="U157" t="s">
        <v>548</v>
      </c>
    </row>
    <row r="158" spans="1:21" x14ac:dyDescent="0.2">
      <c r="A158" t="s">
        <v>20</v>
      </c>
      <c r="B158" t="s">
        <v>546</v>
      </c>
      <c r="C158" t="s">
        <v>170</v>
      </c>
      <c r="D158" t="s">
        <v>547</v>
      </c>
      <c r="E158" t="s">
        <v>24</v>
      </c>
      <c r="G158" s="1">
        <v>-0.36630000000000001</v>
      </c>
      <c r="H158" s="1">
        <v>-0.50970000000000004</v>
      </c>
      <c r="I158" s="6">
        <v>0.2263</v>
      </c>
      <c r="J158" s="1">
        <v>0.57799999999999996</v>
      </c>
      <c r="K158">
        <v>22</v>
      </c>
      <c r="L158" s="1">
        <v>0.46260000000000001</v>
      </c>
      <c r="M158" s="7">
        <v>0.37590000000000001</v>
      </c>
      <c r="N158">
        <v>2.8</v>
      </c>
      <c r="O158" s="1">
        <v>0.44169999999999998</v>
      </c>
      <c r="P158" s="1">
        <v>0.35299999999999998</v>
      </c>
      <c r="Q158" s="8">
        <v>0.1273</v>
      </c>
      <c r="R158">
        <v>0.56999999999999995</v>
      </c>
      <c r="S158" s="1">
        <v>1.8499999999999999E-2</v>
      </c>
      <c r="T158" s="10">
        <f>G158*(-0.5)+(1-I158)+(1-M158)+Q158+S158</f>
        <v>1.72675</v>
      </c>
      <c r="U158" t="s">
        <v>595</v>
      </c>
    </row>
    <row r="159" spans="1:21" x14ac:dyDescent="0.2">
      <c r="A159" t="s">
        <v>20</v>
      </c>
      <c r="B159" t="s">
        <v>593</v>
      </c>
      <c r="C159" t="s">
        <v>506</v>
      </c>
      <c r="D159" t="s">
        <v>594</v>
      </c>
      <c r="E159" t="s">
        <v>216</v>
      </c>
      <c r="G159" s="1">
        <v>-0.32840000000000003</v>
      </c>
      <c r="H159" s="1">
        <v>-0.49519999999999997</v>
      </c>
      <c r="I159" s="6">
        <v>0.24840000000000001</v>
      </c>
      <c r="J159" s="1">
        <v>0.48899999999999999</v>
      </c>
      <c r="K159">
        <v>23</v>
      </c>
      <c r="L159" s="1">
        <v>0.311</v>
      </c>
      <c r="M159" s="7">
        <v>0.32269999999999999</v>
      </c>
      <c r="N159">
        <v>2.7</v>
      </c>
      <c r="O159" s="1">
        <v>0.31140000000000001</v>
      </c>
      <c r="P159" s="1">
        <v>0.2772</v>
      </c>
      <c r="Q159" s="8">
        <v>0.1174</v>
      </c>
      <c r="R159">
        <v>0.52</v>
      </c>
      <c r="S159" s="1">
        <v>1.46E-2</v>
      </c>
      <c r="T159" s="10">
        <f>G159*(-0.5)+(1-I159)+(1-M159)+Q159+S159</f>
        <v>1.7251000000000001</v>
      </c>
      <c r="U159" t="s">
        <v>409</v>
      </c>
    </row>
    <row r="160" spans="1:21" x14ac:dyDescent="0.2">
      <c r="A160" t="s">
        <v>20</v>
      </c>
      <c r="B160" t="s">
        <v>406</v>
      </c>
      <c r="C160" t="s">
        <v>407</v>
      </c>
      <c r="D160" t="s">
        <v>408</v>
      </c>
      <c r="E160" t="s">
        <v>71</v>
      </c>
      <c r="G160" s="1">
        <v>-0.25919999999999999</v>
      </c>
      <c r="H160" s="1">
        <v>-0.39179999999999998</v>
      </c>
      <c r="I160" s="6">
        <v>0.17899999999999999</v>
      </c>
      <c r="J160" s="1">
        <v>0.34989999999999999</v>
      </c>
      <c r="K160">
        <v>17</v>
      </c>
      <c r="L160" s="1">
        <v>0.34429999999999999</v>
      </c>
      <c r="M160" s="7">
        <v>0.41980000000000001</v>
      </c>
      <c r="N160">
        <v>2.7</v>
      </c>
      <c r="O160" s="1">
        <v>0.8234999999999999</v>
      </c>
      <c r="P160" s="1">
        <v>0.5423</v>
      </c>
      <c r="Q160" s="8">
        <v>0.1588</v>
      </c>
      <c r="R160">
        <v>0.96</v>
      </c>
      <c r="S160" s="1">
        <v>3.49E-2</v>
      </c>
      <c r="T160" s="10">
        <f>G160*(-0.5)+(1-I160)+(1-M160)+Q160+S160</f>
        <v>1.7244999999999999</v>
      </c>
      <c r="U160" t="s">
        <v>725</v>
      </c>
    </row>
    <row r="161" spans="1:21" x14ac:dyDescent="0.2">
      <c r="A161" t="s">
        <v>20</v>
      </c>
      <c r="B161" t="s">
        <v>722</v>
      </c>
      <c r="C161" t="s">
        <v>723</v>
      </c>
      <c r="D161" t="s">
        <v>724</v>
      </c>
      <c r="E161" t="s">
        <v>24</v>
      </c>
      <c r="G161" s="1">
        <v>-0.44400000000000001</v>
      </c>
      <c r="H161" s="1">
        <v>-0.61750000000000005</v>
      </c>
      <c r="I161" s="6">
        <v>0.31209999999999999</v>
      </c>
      <c r="J161" s="1">
        <v>0.79859999999999998</v>
      </c>
      <c r="K161">
        <v>31</v>
      </c>
      <c r="L161" s="1">
        <v>0.24709999999999999</v>
      </c>
      <c r="M161" s="7">
        <v>0.30349999999999999</v>
      </c>
      <c r="N161">
        <v>3.5</v>
      </c>
      <c r="O161" s="1">
        <v>0.4289</v>
      </c>
      <c r="P161" s="1">
        <v>0.3574</v>
      </c>
      <c r="Q161" s="8">
        <v>0.1129</v>
      </c>
      <c r="R161">
        <v>0.36</v>
      </c>
      <c r="S161" s="1">
        <v>4.1999999999999997E-3</v>
      </c>
      <c r="T161" s="10">
        <f>G161*(-0.5)+(1-I161)+(1-M161)+Q161+S161</f>
        <v>1.7234999999999998</v>
      </c>
      <c r="U161" t="s">
        <v>432</v>
      </c>
    </row>
    <row r="162" spans="1:21" x14ac:dyDescent="0.2">
      <c r="A162" t="s">
        <v>20</v>
      </c>
      <c r="B162" t="s">
        <v>430</v>
      </c>
      <c r="C162" t="s">
        <v>145</v>
      </c>
      <c r="D162" t="s">
        <v>431</v>
      </c>
      <c r="E162" t="s">
        <v>24</v>
      </c>
      <c r="G162" s="1">
        <v>-0.35489999999999999</v>
      </c>
      <c r="H162" s="1">
        <v>-0.47720000000000001</v>
      </c>
      <c r="I162" s="6">
        <v>0.18959999999999999</v>
      </c>
      <c r="J162" s="1">
        <v>0.55010000000000003</v>
      </c>
      <c r="K162">
        <v>31</v>
      </c>
      <c r="L162" s="1">
        <v>0.56279999999999997</v>
      </c>
      <c r="M162" s="7">
        <v>0.51670000000000005</v>
      </c>
      <c r="N162">
        <v>7</v>
      </c>
      <c r="O162" s="1">
        <v>0.63629999999999998</v>
      </c>
      <c r="P162" s="1">
        <v>0.56619999999999993</v>
      </c>
      <c r="Q162" s="8">
        <v>0.2258</v>
      </c>
      <c r="R162">
        <v>0.72</v>
      </c>
      <c r="S162" s="1">
        <v>2.1499999999999998E-2</v>
      </c>
      <c r="T162" s="10">
        <f>G162*(-0.5)+(1-I162)+(1-M162)+Q162+S162</f>
        <v>1.71845</v>
      </c>
      <c r="U162" t="s">
        <v>511</v>
      </c>
    </row>
    <row r="163" spans="1:21" x14ac:dyDescent="0.2">
      <c r="A163" t="s">
        <v>181</v>
      </c>
      <c r="B163" t="s">
        <v>509</v>
      </c>
      <c r="C163" t="s">
        <v>343</v>
      </c>
      <c r="D163" t="s">
        <v>510</v>
      </c>
      <c r="G163" s="1">
        <v>-0.41539999999999999</v>
      </c>
      <c r="H163" s="1">
        <v>-0.54090000000000005</v>
      </c>
      <c r="I163" s="6">
        <v>0.2147</v>
      </c>
      <c r="J163" s="1">
        <v>0.71060000000000001</v>
      </c>
      <c r="K163">
        <v>12</v>
      </c>
      <c r="L163" s="1">
        <v>0.51729999999999998</v>
      </c>
      <c r="M163" s="7">
        <v>0.37859999999999999</v>
      </c>
      <c r="N163">
        <v>0.8</v>
      </c>
      <c r="O163" s="1">
        <v>6.8600000000000008E-2</v>
      </c>
      <c r="P163" s="1">
        <v>0.21129999999999999</v>
      </c>
      <c r="Q163" s="8">
        <v>6.6699999999999995E-2</v>
      </c>
      <c r="R163">
        <v>0.57999999999999996</v>
      </c>
      <c r="S163" s="1">
        <v>3.5200000000000002E-2</v>
      </c>
      <c r="T163" s="10">
        <f>G163*(-0.5)+(1-I163)+(1-M163)+Q163+S163</f>
        <v>1.7162999999999997</v>
      </c>
      <c r="U163" t="s">
        <v>537</v>
      </c>
    </row>
    <row r="164" spans="1:21" x14ac:dyDescent="0.2">
      <c r="A164" t="s">
        <v>20</v>
      </c>
      <c r="B164" t="s">
        <v>535</v>
      </c>
      <c r="C164" t="s">
        <v>119</v>
      </c>
      <c r="D164" t="s">
        <v>536</v>
      </c>
      <c r="E164" t="s">
        <v>24</v>
      </c>
      <c r="G164" s="1">
        <v>-0.29549999999999998</v>
      </c>
      <c r="H164" s="1">
        <v>-0.45200000000000001</v>
      </c>
      <c r="I164" s="6">
        <v>0.22209999999999999</v>
      </c>
      <c r="J164" s="1">
        <v>0.4194</v>
      </c>
      <c r="K164">
        <v>28</v>
      </c>
      <c r="L164" s="1">
        <v>0.35189999999999999</v>
      </c>
      <c r="M164" s="7">
        <v>0.39400000000000002</v>
      </c>
      <c r="N164">
        <v>4.8</v>
      </c>
      <c r="O164" s="1">
        <v>0.30719999999999997</v>
      </c>
      <c r="P164" s="1">
        <v>0.21959999999999999</v>
      </c>
      <c r="Q164" s="8">
        <v>0.1714</v>
      </c>
      <c r="R164">
        <v>0.61</v>
      </c>
      <c r="S164" s="1">
        <v>1.04E-2</v>
      </c>
      <c r="T164" s="10">
        <f>G164*(-0.5)+(1-I164)+(1-M164)+Q164+S164</f>
        <v>1.7134499999999999</v>
      </c>
      <c r="U164" t="s">
        <v>280</v>
      </c>
    </row>
    <row r="165" spans="1:21" x14ac:dyDescent="0.2">
      <c r="A165" t="s">
        <v>20</v>
      </c>
      <c r="B165" t="s">
        <v>277</v>
      </c>
      <c r="C165" t="s">
        <v>278</v>
      </c>
      <c r="D165" t="s">
        <v>279</v>
      </c>
      <c r="E165" t="s">
        <v>71</v>
      </c>
      <c r="G165" s="1">
        <v>-0.35189999999999999</v>
      </c>
      <c r="H165" s="1">
        <v>-0.44230000000000003</v>
      </c>
      <c r="I165" s="6">
        <v>0.13950000000000001</v>
      </c>
      <c r="J165" s="1">
        <v>0.54299999999999993</v>
      </c>
      <c r="K165">
        <v>22</v>
      </c>
      <c r="L165" s="1">
        <v>0.80010000000000003</v>
      </c>
      <c r="M165" s="7">
        <v>0.44940000000000002</v>
      </c>
      <c r="N165">
        <v>2.2000000000000002</v>
      </c>
      <c r="O165" s="1">
        <v>0.5111</v>
      </c>
      <c r="P165" s="1">
        <v>0.35870000000000002</v>
      </c>
      <c r="Q165" s="8">
        <v>0.1</v>
      </c>
      <c r="R165">
        <v>0.45</v>
      </c>
      <c r="S165" s="1">
        <v>1.9099999999999999E-2</v>
      </c>
      <c r="T165" s="10">
        <f>G165*(-0.5)+(1-I165)+(1-M165)+Q165+S165</f>
        <v>1.7061500000000001</v>
      </c>
      <c r="U165" t="s">
        <v>940</v>
      </c>
    </row>
    <row r="166" spans="1:21" x14ac:dyDescent="0.2">
      <c r="A166" t="s">
        <v>20</v>
      </c>
      <c r="B166" t="s">
        <v>938</v>
      </c>
      <c r="C166" t="s">
        <v>327</v>
      </c>
      <c r="D166" t="s">
        <v>939</v>
      </c>
      <c r="E166" t="s">
        <v>41</v>
      </c>
      <c r="G166" s="1">
        <v>-0.1641</v>
      </c>
      <c r="H166" s="1">
        <v>-0.54249999999999998</v>
      </c>
      <c r="I166" s="6">
        <v>0.45269999999999999</v>
      </c>
      <c r="J166" s="1">
        <v>0.1963</v>
      </c>
      <c r="K166">
        <v>7.9</v>
      </c>
      <c r="L166" s="1">
        <v>5.2499999999999998E-2</v>
      </c>
      <c r="M166" s="7">
        <v>0.13569999999999999</v>
      </c>
      <c r="N166">
        <v>1.1000000000000001</v>
      </c>
      <c r="O166" s="1">
        <v>0.4647</v>
      </c>
      <c r="P166" s="1">
        <v>0.34289999999999998</v>
      </c>
      <c r="Q166" s="8">
        <v>0.13919999999999999</v>
      </c>
      <c r="R166">
        <v>1.8</v>
      </c>
      <c r="S166" s="1">
        <v>7.22E-2</v>
      </c>
      <c r="T166" s="10">
        <f>G166*(-0.5)+(1-I166)+(1-M166)+Q166+S166</f>
        <v>1.7050500000000002</v>
      </c>
      <c r="U166" t="s">
        <v>937</v>
      </c>
    </row>
    <row r="167" spans="1:21" x14ac:dyDescent="0.2">
      <c r="A167" t="s">
        <v>20</v>
      </c>
      <c r="B167" t="s">
        <v>934</v>
      </c>
      <c r="C167" t="s">
        <v>935</v>
      </c>
      <c r="D167" t="s">
        <v>936</v>
      </c>
      <c r="E167" t="s">
        <v>216</v>
      </c>
      <c r="G167" s="1">
        <v>-0.17</v>
      </c>
      <c r="H167" s="1">
        <v>-0.54569999999999996</v>
      </c>
      <c r="I167" s="6">
        <v>0.45269999999999999</v>
      </c>
      <c r="J167" s="1">
        <v>0.20480000000000001</v>
      </c>
      <c r="K167">
        <v>14</v>
      </c>
      <c r="L167" s="1">
        <v>8.6E-3</v>
      </c>
      <c r="M167" s="7">
        <v>6.9599999999999995E-2</v>
      </c>
      <c r="N167">
        <v>1.6</v>
      </c>
      <c r="O167" s="1">
        <v>1.0699999999999999E-2</v>
      </c>
      <c r="P167" s="1">
        <v>4.0399999999999998E-2</v>
      </c>
      <c r="Q167" s="8">
        <v>0.1143</v>
      </c>
      <c r="R167">
        <v>0.83</v>
      </c>
      <c r="S167" s="1">
        <v>2.5899999999999999E-2</v>
      </c>
      <c r="T167" s="10">
        <f>G167*(-0.5)+(1-I167)+(1-M167)+Q167+S167</f>
        <v>1.7029000000000001</v>
      </c>
      <c r="U167" t="s">
        <v>764</v>
      </c>
    </row>
    <row r="168" spans="1:21" x14ac:dyDescent="0.2">
      <c r="A168" t="s">
        <v>20</v>
      </c>
      <c r="B168" t="s">
        <v>761</v>
      </c>
      <c r="C168" t="s">
        <v>762</v>
      </c>
      <c r="D168" t="s">
        <v>763</v>
      </c>
      <c r="E168" t="s">
        <v>24</v>
      </c>
      <c r="G168" s="1">
        <v>-0.38659999999999989</v>
      </c>
      <c r="H168" s="1">
        <v>-0.58750000000000002</v>
      </c>
      <c r="I168" s="6">
        <v>0.32750000000000001</v>
      </c>
      <c r="J168" s="1">
        <v>0.63029999999999997</v>
      </c>
      <c r="K168">
        <v>34</v>
      </c>
      <c r="L168" s="1">
        <v>0.2195</v>
      </c>
      <c r="M168" s="7">
        <v>0.28789999999999999</v>
      </c>
      <c r="N168">
        <v>4.0999999999999996</v>
      </c>
      <c r="O168" s="1">
        <v>0.1593</v>
      </c>
      <c r="P168" s="1">
        <v>0.35959999999999998</v>
      </c>
      <c r="Q168" s="8">
        <v>0.1206</v>
      </c>
      <c r="R168">
        <v>0.35</v>
      </c>
      <c r="S168" s="1">
        <v>4.4000000000000003E-3</v>
      </c>
      <c r="T168" s="10">
        <f>G168*(-0.5)+(1-I168)+(1-M168)+Q168+S168</f>
        <v>1.7028999999999999</v>
      </c>
      <c r="U168" t="s">
        <v>965</v>
      </c>
    </row>
    <row r="169" spans="1:21" x14ac:dyDescent="0.2">
      <c r="A169" t="s">
        <v>20</v>
      </c>
      <c r="B169" t="s">
        <v>962</v>
      </c>
      <c r="C169" t="s">
        <v>963</v>
      </c>
      <c r="D169" t="s">
        <v>964</v>
      </c>
      <c r="E169" t="s">
        <v>24</v>
      </c>
      <c r="G169" s="1">
        <v>-0.38119999999999998</v>
      </c>
      <c r="H169" s="1">
        <v>-0.67689999999999995</v>
      </c>
      <c r="I169" s="6">
        <v>0.47789999999999999</v>
      </c>
      <c r="J169" s="1">
        <v>0.61599999999999999</v>
      </c>
      <c r="K169">
        <v>43</v>
      </c>
      <c r="L169" s="1">
        <v>6.4000000000000001E-2</v>
      </c>
      <c r="M169" s="7">
        <v>9.5700000000000007E-2</v>
      </c>
      <c r="N169">
        <v>3.4</v>
      </c>
      <c r="O169" s="1">
        <v>0.32590000000000002</v>
      </c>
      <c r="P169" s="1">
        <v>0.29830000000000001</v>
      </c>
      <c r="Q169" s="8">
        <v>7.9100000000000004E-2</v>
      </c>
      <c r="R169">
        <v>0.19</v>
      </c>
      <c r="S169" s="1">
        <v>6.1000000000000004E-3</v>
      </c>
      <c r="T169" s="10">
        <f>G169*(-0.5)+(1-I169)+(1-M169)+Q169+S169</f>
        <v>1.7021999999999999</v>
      </c>
      <c r="U169" t="s">
        <v>992</v>
      </c>
    </row>
    <row r="170" spans="1:21" x14ac:dyDescent="0.2">
      <c r="A170" t="s">
        <v>20</v>
      </c>
      <c r="B170" t="s">
        <v>989</v>
      </c>
      <c r="C170" t="s">
        <v>990</v>
      </c>
      <c r="D170" t="s">
        <v>991</v>
      </c>
      <c r="E170" t="s">
        <v>24</v>
      </c>
      <c r="G170" s="1">
        <v>-0.67790000000000006</v>
      </c>
      <c r="H170" s="1">
        <v>-0.84389999999999998</v>
      </c>
      <c r="I170" s="6">
        <v>0.51539999999999997</v>
      </c>
      <c r="J170" s="1">
        <v>2.1046</v>
      </c>
      <c r="K170">
        <v>94</v>
      </c>
      <c r="L170" s="1">
        <v>4.3799999999999999E-2</v>
      </c>
      <c r="M170" s="7">
        <v>0.16950000000000001</v>
      </c>
      <c r="N170">
        <v>3.3</v>
      </c>
      <c r="O170" s="1">
        <v>0.59929999999999994</v>
      </c>
      <c r="P170" s="1">
        <v>0.52190000000000003</v>
      </c>
      <c r="Q170" s="8">
        <v>3.5099999999999999E-2</v>
      </c>
      <c r="R170">
        <v>3.6999999999999998E-2</v>
      </c>
      <c r="S170" s="1">
        <v>7.6E-3</v>
      </c>
      <c r="T170" s="10">
        <f>G170*(-0.5)+(1-I170)+(1-M170)+Q170+S170</f>
        <v>1.69675</v>
      </c>
      <c r="U170" t="s">
        <v>444</v>
      </c>
    </row>
    <row r="171" spans="1:21" x14ac:dyDescent="0.2">
      <c r="A171" t="s">
        <v>20</v>
      </c>
      <c r="B171" t="s">
        <v>442</v>
      </c>
      <c r="C171" t="s">
        <v>134</v>
      </c>
      <c r="D171" t="s">
        <v>443</v>
      </c>
      <c r="E171" t="s">
        <v>24</v>
      </c>
      <c r="G171" s="1">
        <v>-0.35420000000000001</v>
      </c>
      <c r="H171" s="1">
        <v>-0.47870000000000001</v>
      </c>
      <c r="I171" s="6">
        <v>0.1928</v>
      </c>
      <c r="J171" s="1">
        <v>0.54849999999999999</v>
      </c>
      <c r="K171">
        <v>32</v>
      </c>
      <c r="L171" s="1">
        <v>0.6048</v>
      </c>
      <c r="M171" s="7">
        <v>0.50979999999999992</v>
      </c>
      <c r="N171">
        <v>6.4</v>
      </c>
      <c r="O171" s="1">
        <v>0.58509999999999995</v>
      </c>
      <c r="P171" s="1">
        <v>0.53689999999999993</v>
      </c>
      <c r="Q171" s="8">
        <v>0.2</v>
      </c>
      <c r="R171">
        <v>0.63</v>
      </c>
      <c r="S171" s="1">
        <v>2.12E-2</v>
      </c>
      <c r="T171" s="10">
        <f>G171*(-0.5)+(1-I171)+(1-M171)+Q171+S171</f>
        <v>1.6957000000000002</v>
      </c>
      <c r="U171" t="s">
        <v>718</v>
      </c>
    </row>
    <row r="172" spans="1:21" x14ac:dyDescent="0.2">
      <c r="A172" t="s">
        <v>20</v>
      </c>
      <c r="B172" t="s">
        <v>715</v>
      </c>
      <c r="C172" t="s">
        <v>716</v>
      </c>
      <c r="D172" t="s">
        <v>717</v>
      </c>
      <c r="E172" t="s">
        <v>71</v>
      </c>
      <c r="G172" s="1">
        <v>-0.35580000000000001</v>
      </c>
      <c r="H172" s="1">
        <v>-0.55479999999999996</v>
      </c>
      <c r="I172" s="6">
        <v>0.30890000000000001</v>
      </c>
      <c r="J172" s="1">
        <v>0.55230000000000001</v>
      </c>
      <c r="K172">
        <v>15</v>
      </c>
      <c r="L172" s="1">
        <v>0.34770000000000001</v>
      </c>
      <c r="M172" s="7">
        <v>0.28599999999999998</v>
      </c>
      <c r="N172">
        <v>1.3</v>
      </c>
      <c r="O172" s="1">
        <v>9.4299999999999995E-2</v>
      </c>
      <c r="P172" s="1">
        <v>0.15790000000000001</v>
      </c>
      <c r="Q172" s="8">
        <v>8.6699999999999999E-2</v>
      </c>
      <c r="R172">
        <v>0.56999999999999995</v>
      </c>
      <c r="S172" s="1">
        <v>2.23E-2</v>
      </c>
      <c r="T172" s="10">
        <f>G172*(-0.5)+(1-I172)+(1-M172)+Q172+S172</f>
        <v>1.6919999999999999</v>
      </c>
      <c r="U172" t="s">
        <v>441</v>
      </c>
    </row>
    <row r="173" spans="1:21" x14ac:dyDescent="0.2">
      <c r="A173" t="s">
        <v>20</v>
      </c>
      <c r="B173" t="s">
        <v>439</v>
      </c>
      <c r="C173" t="s">
        <v>138</v>
      </c>
      <c r="D173" t="s">
        <v>440</v>
      </c>
      <c r="E173" t="s">
        <v>24</v>
      </c>
      <c r="G173" s="1">
        <v>-0.34089999999999998</v>
      </c>
      <c r="H173" s="1">
        <v>-0.46739999999999998</v>
      </c>
      <c r="I173" s="6">
        <v>0.19189999999999999</v>
      </c>
      <c r="J173" s="1">
        <v>0.51719999999999999</v>
      </c>
      <c r="K173">
        <v>31</v>
      </c>
      <c r="L173" s="1">
        <v>0.50039999999999996</v>
      </c>
      <c r="M173" s="7">
        <v>0.53749999999999998</v>
      </c>
      <c r="N173">
        <v>6.9</v>
      </c>
      <c r="O173" s="1">
        <v>0.63219999999999998</v>
      </c>
      <c r="P173" s="1">
        <v>0.58250000000000002</v>
      </c>
      <c r="Q173" s="8">
        <v>0.22259999999999999</v>
      </c>
      <c r="R173">
        <v>0.72</v>
      </c>
      <c r="S173" s="1">
        <v>2.12E-2</v>
      </c>
      <c r="T173" s="10">
        <f>G173*(-0.5)+(1-I173)+(1-M173)+Q173+S173</f>
        <v>1.6848500000000002</v>
      </c>
      <c r="U173" t="s">
        <v>872</v>
      </c>
    </row>
    <row r="174" spans="1:21" x14ac:dyDescent="0.2">
      <c r="A174" t="s">
        <v>20</v>
      </c>
      <c r="B174" t="s">
        <v>869</v>
      </c>
      <c r="C174" t="s">
        <v>870</v>
      </c>
      <c r="D174" t="s">
        <v>871</v>
      </c>
      <c r="E174" t="s">
        <v>71</v>
      </c>
      <c r="G174" s="1">
        <v>-9.9600000000000008E-2</v>
      </c>
      <c r="H174" s="1">
        <v>-0.46510000000000001</v>
      </c>
      <c r="I174" s="6">
        <v>0.40589999999999998</v>
      </c>
      <c r="J174" s="1">
        <v>0.1106</v>
      </c>
      <c r="K174">
        <v>6</v>
      </c>
      <c r="L174" s="1">
        <v>0.13880000000000001</v>
      </c>
      <c r="M174" s="7">
        <v>0.13930000000000001</v>
      </c>
      <c r="N174">
        <v>0.67</v>
      </c>
      <c r="O174" s="1">
        <v>6.4399999999999999E-2</v>
      </c>
      <c r="P174" s="1">
        <v>0.11219999999999999</v>
      </c>
      <c r="Q174" s="8">
        <v>0.11169999999999999</v>
      </c>
      <c r="R174">
        <v>1.9</v>
      </c>
      <c r="S174" s="1">
        <v>5.8500000000000003E-2</v>
      </c>
      <c r="T174" s="10">
        <f>G174*(-0.5)+(1-I174)+(1-M174)+Q174+S174</f>
        <v>1.6747999999999998</v>
      </c>
      <c r="U174" t="s">
        <v>834</v>
      </c>
    </row>
    <row r="175" spans="1:21" x14ac:dyDescent="0.2">
      <c r="A175" t="s">
        <v>20</v>
      </c>
      <c r="B175" t="s">
        <v>832</v>
      </c>
      <c r="C175" t="s">
        <v>57</v>
      </c>
      <c r="D175" t="s">
        <v>833</v>
      </c>
      <c r="E175" t="s">
        <v>24</v>
      </c>
      <c r="G175" s="1">
        <v>-0.41670000000000001</v>
      </c>
      <c r="H175" s="1">
        <v>-0.6361</v>
      </c>
      <c r="I175" s="6">
        <v>0.37609999999999999</v>
      </c>
      <c r="J175" s="1">
        <v>0.71439999999999992</v>
      </c>
      <c r="K175">
        <v>32</v>
      </c>
      <c r="L175" s="1">
        <v>0.1774</v>
      </c>
      <c r="M175" s="7">
        <v>0.28260000000000002</v>
      </c>
      <c r="N175">
        <v>3.8</v>
      </c>
      <c r="O175" s="1">
        <v>0.33210000000000001</v>
      </c>
      <c r="P175" s="1">
        <v>0.36209999999999998</v>
      </c>
      <c r="Q175" s="8">
        <v>0.1188</v>
      </c>
      <c r="R175">
        <v>0.37</v>
      </c>
      <c r="S175" s="1">
        <v>5.0000000000000001E-3</v>
      </c>
      <c r="T175" s="10">
        <f>G175*(-0.5)+(1-I175)+(1-M175)+Q175+S175</f>
        <v>1.6734500000000001</v>
      </c>
      <c r="U175" t="s">
        <v>685</v>
      </c>
    </row>
    <row r="176" spans="1:21" x14ac:dyDescent="0.2">
      <c r="A176" t="s">
        <v>181</v>
      </c>
      <c r="B176" t="s">
        <v>682</v>
      </c>
      <c r="C176" t="s">
        <v>683</v>
      </c>
      <c r="D176" t="s">
        <v>684</v>
      </c>
      <c r="E176" t="s">
        <v>71</v>
      </c>
      <c r="G176" s="1">
        <v>-0.16</v>
      </c>
      <c r="H176" s="1">
        <v>-0.40610000000000002</v>
      </c>
      <c r="I176" s="6">
        <v>0.29299999999999998</v>
      </c>
      <c r="J176" s="1">
        <v>0.1905</v>
      </c>
      <c r="K176">
        <v>5.0999999999999996</v>
      </c>
      <c r="L176" s="1">
        <v>0.30259999999999998</v>
      </c>
      <c r="M176" s="7">
        <v>0.29580000000000001</v>
      </c>
      <c r="N176">
        <v>0.5</v>
      </c>
      <c r="O176" s="1">
        <v>0.25609999999999999</v>
      </c>
      <c r="P176" s="1">
        <v>0.23730000000000001</v>
      </c>
      <c r="Q176" s="8">
        <v>9.8000000000000004E-2</v>
      </c>
      <c r="R176">
        <v>1.9</v>
      </c>
      <c r="S176" s="1">
        <v>7.4200000000000002E-2</v>
      </c>
      <c r="T176" s="10">
        <f>G176*(-0.5)+(1-I176)+(1-M176)+Q176+S176</f>
        <v>1.6634000000000002</v>
      </c>
      <c r="U176" t="s">
        <v>291</v>
      </c>
    </row>
    <row r="177" spans="1:21" x14ac:dyDescent="0.2">
      <c r="A177" t="s">
        <v>20</v>
      </c>
      <c r="B177" t="s">
        <v>288</v>
      </c>
      <c r="C177" t="s">
        <v>289</v>
      </c>
      <c r="D177" t="s">
        <v>290</v>
      </c>
      <c r="E177" t="s">
        <v>216</v>
      </c>
      <c r="G177" s="1">
        <v>-0.37919999999999998</v>
      </c>
      <c r="H177" s="1">
        <v>-0.46689999999999998</v>
      </c>
      <c r="I177" s="6">
        <v>0.14130000000000001</v>
      </c>
      <c r="J177" s="1">
        <v>0.61080000000000001</v>
      </c>
      <c r="K177">
        <v>14</v>
      </c>
      <c r="L177" s="1">
        <v>0.80430000000000001</v>
      </c>
      <c r="M177" s="7">
        <v>0.5444</v>
      </c>
      <c r="N177">
        <v>1.8</v>
      </c>
      <c r="O177" s="1">
        <v>0.71360000000000001</v>
      </c>
      <c r="P177" s="1">
        <v>0.4178</v>
      </c>
      <c r="Q177" s="8">
        <v>0.12859999999999999</v>
      </c>
      <c r="R177">
        <v>0.92</v>
      </c>
      <c r="S177" s="1">
        <v>2.93E-2</v>
      </c>
      <c r="T177" s="10">
        <f>G177*(-0.5)+(1-I177)+(1-M177)+Q177+S177</f>
        <v>1.6618000000000002</v>
      </c>
      <c r="U177" t="s">
        <v>756</v>
      </c>
    </row>
    <row r="178" spans="1:21" x14ac:dyDescent="0.2">
      <c r="A178" t="s">
        <v>20</v>
      </c>
      <c r="B178" t="s">
        <v>753</v>
      </c>
      <c r="C178" t="s">
        <v>754</v>
      </c>
      <c r="D178" t="s">
        <v>755</v>
      </c>
      <c r="E178" t="s">
        <v>71</v>
      </c>
      <c r="G178" s="1">
        <v>-0.1119</v>
      </c>
      <c r="H178" s="1">
        <v>-0.40160000000000001</v>
      </c>
      <c r="I178" s="6">
        <v>0.32619999999999999</v>
      </c>
      <c r="J178" s="1">
        <v>0.126</v>
      </c>
      <c r="K178">
        <v>7.9</v>
      </c>
      <c r="L178" s="1">
        <v>0.27260000000000001</v>
      </c>
      <c r="M178" s="7">
        <v>0.2306</v>
      </c>
      <c r="N178">
        <v>0.9</v>
      </c>
      <c r="O178" s="1">
        <v>9.9299999999999999E-2</v>
      </c>
      <c r="P178" s="1">
        <v>0.18990000000000001</v>
      </c>
      <c r="Q178" s="8">
        <v>0.1139</v>
      </c>
      <c r="R178">
        <v>1.4</v>
      </c>
      <c r="S178" s="1">
        <v>4.7399999999999998E-2</v>
      </c>
      <c r="T178" s="10">
        <f>G178*(-0.5)+(1-I178)+(1-M178)+Q178+S178</f>
        <v>1.66045</v>
      </c>
      <c r="U178" t="s">
        <v>471</v>
      </c>
    </row>
    <row r="179" spans="1:21" x14ac:dyDescent="0.2">
      <c r="A179" t="s">
        <v>181</v>
      </c>
      <c r="B179" t="s">
        <v>468</v>
      </c>
      <c r="C179" t="s">
        <v>469</v>
      </c>
      <c r="D179" t="s">
        <v>470</v>
      </c>
      <c r="E179" t="s">
        <v>71</v>
      </c>
      <c r="G179" s="1">
        <v>-0.43469999999999998</v>
      </c>
      <c r="H179" s="1">
        <v>-0.54880000000000007</v>
      </c>
      <c r="I179" s="6">
        <v>0.20180000000000001</v>
      </c>
      <c r="J179" s="1">
        <v>0.76900000000000002</v>
      </c>
      <c r="K179">
        <v>13</v>
      </c>
      <c r="L179" s="1">
        <v>0.64239999999999997</v>
      </c>
      <c r="M179" s="7">
        <v>0.44979999999999998</v>
      </c>
      <c r="N179">
        <v>0.78</v>
      </c>
      <c r="O179" s="1">
        <v>8.6500000000000007E-2</v>
      </c>
      <c r="P179" s="1">
        <v>0.2114</v>
      </c>
      <c r="Q179" s="8">
        <v>0.06</v>
      </c>
      <c r="R179">
        <v>0.46</v>
      </c>
      <c r="S179" s="1">
        <v>3.39E-2</v>
      </c>
      <c r="T179" s="10">
        <f>G179*(-0.5)+(1-I179)+(1-M179)+Q179+S179</f>
        <v>1.6596500000000001</v>
      </c>
      <c r="U179" t="s">
        <v>876</v>
      </c>
    </row>
    <row r="180" spans="1:21" x14ac:dyDescent="0.2">
      <c r="A180" t="s">
        <v>20</v>
      </c>
      <c r="B180" t="s">
        <v>873</v>
      </c>
      <c r="C180" t="s">
        <v>874</v>
      </c>
      <c r="D180" t="s">
        <v>875</v>
      </c>
      <c r="E180" t="s">
        <v>71</v>
      </c>
      <c r="G180" s="1">
        <v>-0.11559999999999999</v>
      </c>
      <c r="H180" s="1">
        <v>-0.47739999999999999</v>
      </c>
      <c r="I180" s="6">
        <v>0.40910000000000002</v>
      </c>
      <c r="J180" s="1">
        <v>0.13070000000000001</v>
      </c>
      <c r="K180">
        <v>5.6</v>
      </c>
      <c r="L180" s="1">
        <v>0.17530000000000001</v>
      </c>
      <c r="M180" s="7">
        <v>0.16589999999999999</v>
      </c>
      <c r="N180">
        <v>0.63</v>
      </c>
      <c r="O180" s="1">
        <v>0.1268</v>
      </c>
      <c r="P180" s="1">
        <v>0.12790000000000001</v>
      </c>
      <c r="Q180" s="8">
        <v>0.1125</v>
      </c>
      <c r="R180">
        <v>2</v>
      </c>
      <c r="S180" s="1">
        <v>6.3399999999999998E-2</v>
      </c>
      <c r="T180" s="10">
        <f>G180*(-0.5)+(1-I180)+(1-M180)+Q180+S180</f>
        <v>1.6587000000000001</v>
      </c>
      <c r="U180" t="s">
        <v>813</v>
      </c>
    </row>
    <row r="181" spans="1:21" x14ac:dyDescent="0.2">
      <c r="A181" t="s">
        <v>20</v>
      </c>
      <c r="B181" t="s">
        <v>810</v>
      </c>
      <c r="C181" t="s">
        <v>811</v>
      </c>
      <c r="D181" t="s">
        <v>812</v>
      </c>
      <c r="E181" t="s">
        <v>71</v>
      </c>
      <c r="G181" s="1">
        <v>-0.19589999999999999</v>
      </c>
      <c r="H181" s="1">
        <v>-0.48780000000000001</v>
      </c>
      <c r="I181" s="6">
        <v>0.36299999999999999</v>
      </c>
      <c r="J181" s="1">
        <v>0.24360000000000001</v>
      </c>
      <c r="K181">
        <v>8.3000000000000007</v>
      </c>
      <c r="L181" s="1">
        <v>0.27010000000000001</v>
      </c>
      <c r="M181" s="7">
        <v>0.2384</v>
      </c>
      <c r="N181">
        <v>0.97</v>
      </c>
      <c r="O181" s="1">
        <v>0.13139999999999999</v>
      </c>
      <c r="P181" s="1">
        <v>0.2203</v>
      </c>
      <c r="Q181" s="8">
        <v>0.1169</v>
      </c>
      <c r="R181">
        <v>1.4</v>
      </c>
      <c r="S181" s="1">
        <v>4.4800000000000013E-2</v>
      </c>
      <c r="T181" s="10">
        <f>G181*(-0.5)+(1-I181)+(1-M181)+Q181+S181</f>
        <v>1.65825</v>
      </c>
      <c r="U181" t="s">
        <v>76</v>
      </c>
    </row>
    <row r="182" spans="1:21" x14ac:dyDescent="0.2">
      <c r="A182" t="s">
        <v>20</v>
      </c>
      <c r="B182" t="s">
        <v>73</v>
      </c>
      <c r="C182" t="s">
        <v>74</v>
      </c>
      <c r="D182" t="s">
        <v>75</v>
      </c>
      <c r="E182" t="s">
        <v>71</v>
      </c>
      <c r="G182" s="1">
        <v>-0.53320000000000001</v>
      </c>
      <c r="H182" s="1">
        <v>-0.5544</v>
      </c>
      <c r="I182" s="6">
        <v>4.5400000000000003E-2</v>
      </c>
      <c r="J182" s="1">
        <v>1.1422000000000001</v>
      </c>
      <c r="K182">
        <v>14</v>
      </c>
      <c r="L182" s="1">
        <v>0.7681</v>
      </c>
      <c r="M182" s="7">
        <v>0.64329999999999998</v>
      </c>
      <c r="N182">
        <v>0.74</v>
      </c>
      <c r="O182" s="1">
        <v>1.03E-2</v>
      </c>
      <c r="P182" s="1">
        <v>5.5199999999999999E-2</v>
      </c>
      <c r="Q182" s="8">
        <v>5.2900000000000003E-2</v>
      </c>
      <c r="R182">
        <v>0.38</v>
      </c>
      <c r="S182" s="1">
        <v>2.7099999999999999E-2</v>
      </c>
      <c r="T182" s="10">
        <f>G182*(-0.5)+(1-I182)+(1-M182)+Q182+S182</f>
        <v>1.6578999999999999</v>
      </c>
      <c r="U182" t="s">
        <v>947</v>
      </c>
    </row>
    <row r="183" spans="1:21" x14ac:dyDescent="0.2">
      <c r="A183" t="s">
        <v>20</v>
      </c>
      <c r="B183" t="s">
        <v>945</v>
      </c>
      <c r="C183" t="s">
        <v>316</v>
      </c>
      <c r="D183" t="s">
        <v>946</v>
      </c>
      <c r="E183" t="s">
        <v>24</v>
      </c>
      <c r="G183" s="1">
        <v>-0.28949999999999998</v>
      </c>
      <c r="H183" s="1">
        <v>-0.61209999999999998</v>
      </c>
      <c r="I183" s="6">
        <v>0.45400000000000001</v>
      </c>
      <c r="J183" s="1">
        <v>0.40749999999999997</v>
      </c>
      <c r="K183">
        <v>29</v>
      </c>
      <c r="L183" s="1">
        <v>0.1236</v>
      </c>
      <c r="M183" s="7">
        <v>0.1847</v>
      </c>
      <c r="N183">
        <v>4</v>
      </c>
      <c r="O183" s="1">
        <v>0.21390000000000001</v>
      </c>
      <c r="P183" s="1">
        <v>0.30330000000000001</v>
      </c>
      <c r="Q183" s="8">
        <v>0.13789999999999999</v>
      </c>
      <c r="R183">
        <v>0.48</v>
      </c>
      <c r="S183" s="1">
        <v>1.17E-2</v>
      </c>
      <c r="T183" s="10">
        <f>G183*(-0.5)+(1-I183)+(1-M183)+Q183+S183</f>
        <v>1.6556500000000001</v>
      </c>
      <c r="U183" t="s">
        <v>708</v>
      </c>
    </row>
    <row r="184" spans="1:21" x14ac:dyDescent="0.2">
      <c r="A184" t="s">
        <v>20</v>
      </c>
      <c r="B184" t="s">
        <v>705</v>
      </c>
      <c r="C184" t="s">
        <v>706</v>
      </c>
      <c r="D184" t="s">
        <v>707</v>
      </c>
      <c r="E184" t="s">
        <v>216</v>
      </c>
      <c r="G184" s="1">
        <v>-0.26640000000000003</v>
      </c>
      <c r="H184" s="1">
        <v>-0.48980000000000001</v>
      </c>
      <c r="I184" s="6">
        <v>0.30449999999999999</v>
      </c>
      <c r="J184" s="1">
        <v>0.36309999999999998</v>
      </c>
      <c r="K184">
        <v>13</v>
      </c>
      <c r="L184" s="1">
        <v>0.38300000000000001</v>
      </c>
      <c r="M184" s="7">
        <v>0.31309999999999999</v>
      </c>
      <c r="N184">
        <v>1.4</v>
      </c>
      <c r="O184" s="1">
        <v>0.17979999999999999</v>
      </c>
      <c r="P184" s="1">
        <v>0.12180000000000001</v>
      </c>
      <c r="Q184" s="8">
        <v>0.1077</v>
      </c>
      <c r="R184">
        <v>0.81</v>
      </c>
      <c r="S184" s="1">
        <v>2.81E-2</v>
      </c>
      <c r="T184" s="10">
        <f>G184*(-0.5)+(1-I184)+(1-M184)+Q184+S184</f>
        <v>1.6514</v>
      </c>
      <c r="U184" t="s">
        <v>704</v>
      </c>
    </row>
    <row r="185" spans="1:21" x14ac:dyDescent="0.2">
      <c r="A185" t="s">
        <v>20</v>
      </c>
      <c r="B185" t="s">
        <v>702</v>
      </c>
      <c r="C185" t="s">
        <v>205</v>
      </c>
      <c r="D185" t="s">
        <v>703</v>
      </c>
      <c r="E185" t="s">
        <v>24</v>
      </c>
      <c r="G185" s="1">
        <v>-0.27850000000000003</v>
      </c>
      <c r="H185" s="1">
        <v>-0.49569999999999997</v>
      </c>
      <c r="I185" s="6">
        <v>0.30099999999999999</v>
      </c>
      <c r="J185" s="1">
        <v>0.38600000000000001</v>
      </c>
      <c r="K185">
        <v>22</v>
      </c>
      <c r="L185" s="1">
        <v>0.30320000000000003</v>
      </c>
      <c r="M185" s="7">
        <v>0.31269999999999998</v>
      </c>
      <c r="N185">
        <v>2.1</v>
      </c>
      <c r="O185" s="1">
        <v>0.2908</v>
      </c>
      <c r="P185" s="1">
        <v>0.28649999999999998</v>
      </c>
      <c r="Q185" s="8">
        <v>9.5500000000000002E-2</v>
      </c>
      <c r="R185">
        <v>0.43</v>
      </c>
      <c r="S185" s="1">
        <v>2.4500000000000001E-2</v>
      </c>
      <c r="T185" s="10">
        <f>G185*(-0.5)+(1-I185)+(1-M185)+Q185+S185</f>
        <v>1.6455499999999998</v>
      </c>
      <c r="U185" t="s">
        <v>356</v>
      </c>
    </row>
    <row r="186" spans="1:21" x14ac:dyDescent="0.2">
      <c r="A186" t="s">
        <v>20</v>
      </c>
      <c r="B186" t="s">
        <v>354</v>
      </c>
      <c r="C186" t="s">
        <v>355</v>
      </c>
      <c r="D186" t="s">
        <v>282</v>
      </c>
      <c r="E186" t="s">
        <v>24</v>
      </c>
      <c r="G186" s="1">
        <v>-0.36320000000000002</v>
      </c>
      <c r="H186" s="1">
        <v>-0.46800000000000003</v>
      </c>
      <c r="I186" s="6">
        <v>0.1646</v>
      </c>
      <c r="J186" s="1">
        <v>0.57040000000000002</v>
      </c>
      <c r="K186">
        <v>38</v>
      </c>
      <c r="L186" s="1">
        <v>0.62190000000000001</v>
      </c>
      <c r="M186" s="7">
        <v>0.46439999999999998</v>
      </c>
      <c r="N186">
        <v>3.2</v>
      </c>
      <c r="O186" s="1">
        <v>0.31230000000000002</v>
      </c>
      <c r="P186" s="1">
        <v>0.19989999999999999</v>
      </c>
      <c r="Q186" s="8">
        <v>8.4199999999999997E-2</v>
      </c>
      <c r="R186">
        <v>0.22</v>
      </c>
      <c r="S186" s="1">
        <v>8.3000000000000001E-3</v>
      </c>
      <c r="T186" s="10">
        <f>G186*(-0.5)+(1-I186)+(1-M186)+Q186+S186</f>
        <v>1.6451000000000002</v>
      </c>
      <c r="U186" t="s">
        <v>862</v>
      </c>
    </row>
    <row r="187" spans="1:21" x14ac:dyDescent="0.2">
      <c r="A187" t="s">
        <v>20</v>
      </c>
      <c r="B187" t="s">
        <v>860</v>
      </c>
      <c r="C187" t="s">
        <v>730</v>
      </c>
      <c r="D187" t="s">
        <v>861</v>
      </c>
      <c r="E187" t="s">
        <v>71</v>
      </c>
      <c r="G187" s="1">
        <v>-8.5099999999999995E-2</v>
      </c>
      <c r="H187" s="1">
        <v>-0.4451</v>
      </c>
      <c r="I187" s="6">
        <v>0.39350000000000002</v>
      </c>
      <c r="J187" s="1">
        <v>9.3000000000000013E-2</v>
      </c>
      <c r="K187">
        <v>5.9</v>
      </c>
      <c r="L187" s="1">
        <v>0.1691</v>
      </c>
      <c r="M187" s="7">
        <v>0.17019999999999999</v>
      </c>
      <c r="N187">
        <v>0.64</v>
      </c>
      <c r="O187" s="1">
        <v>6.9800000000000001E-2</v>
      </c>
      <c r="P187" s="1">
        <v>0.12559999999999999</v>
      </c>
      <c r="Q187" s="8">
        <v>0.1085</v>
      </c>
      <c r="R187">
        <v>1.8</v>
      </c>
      <c r="S187" s="1">
        <v>5.7200000000000001E-2</v>
      </c>
      <c r="T187" s="10">
        <f>G187*(-0.5)+(1-I187)+(1-M187)+Q187+S187</f>
        <v>1.64455</v>
      </c>
      <c r="U187" t="s">
        <v>321</v>
      </c>
    </row>
    <row r="188" spans="1:21" x14ac:dyDescent="0.2">
      <c r="A188" t="s">
        <v>20</v>
      </c>
      <c r="B188" t="s">
        <v>319</v>
      </c>
      <c r="C188" t="s">
        <v>87</v>
      </c>
      <c r="D188" t="s">
        <v>320</v>
      </c>
      <c r="E188" t="s">
        <v>24</v>
      </c>
      <c r="G188" s="1">
        <v>-0.40479999999999999</v>
      </c>
      <c r="H188" s="1">
        <v>-0.49700000000000011</v>
      </c>
      <c r="I188" s="6">
        <v>0.15490000000000001</v>
      </c>
      <c r="J188" s="1">
        <v>0.68010000000000004</v>
      </c>
      <c r="K188">
        <v>59</v>
      </c>
      <c r="L188" s="1">
        <v>0.35410000000000003</v>
      </c>
      <c r="M188" s="7">
        <v>0.48530000000000001</v>
      </c>
      <c r="N188">
        <v>4.5999999999999996</v>
      </c>
      <c r="O188" s="1">
        <v>0.2024</v>
      </c>
      <c r="P188" s="1">
        <v>0.2155</v>
      </c>
      <c r="Q188" s="8">
        <v>7.8E-2</v>
      </c>
      <c r="R188">
        <v>0.13</v>
      </c>
      <c r="S188" s="1">
        <v>1.9E-3</v>
      </c>
      <c r="T188" s="10">
        <f>G188*(-0.5)+(1-I188)+(1-M188)+Q188+S188</f>
        <v>1.6420999999999999</v>
      </c>
      <c r="U188" t="s">
        <v>821</v>
      </c>
    </row>
    <row r="189" spans="1:21" x14ac:dyDescent="0.2">
      <c r="A189" t="s">
        <v>20</v>
      </c>
      <c r="B189" t="s">
        <v>818</v>
      </c>
      <c r="C189" t="s">
        <v>819</v>
      </c>
      <c r="D189" t="s">
        <v>820</v>
      </c>
      <c r="E189" t="s">
        <v>71</v>
      </c>
      <c r="G189" s="1">
        <v>-0.17150000000000001</v>
      </c>
      <c r="H189" s="1">
        <v>-0.4743</v>
      </c>
      <c r="I189" s="6">
        <v>0.36549999999999999</v>
      </c>
      <c r="J189" s="1">
        <v>0.20699999999999999</v>
      </c>
      <c r="K189">
        <v>4.4000000000000004</v>
      </c>
      <c r="L189" s="1">
        <v>0.1207</v>
      </c>
      <c r="M189" s="7">
        <v>0.25950000000000001</v>
      </c>
      <c r="N189">
        <v>0.48</v>
      </c>
      <c r="O189" s="1">
        <v>7.0300000000000001E-2</v>
      </c>
      <c r="P189" s="1">
        <v>0.1784</v>
      </c>
      <c r="Q189" s="8">
        <v>0.1091</v>
      </c>
      <c r="R189">
        <v>2.5</v>
      </c>
      <c r="S189" s="1">
        <v>7.0499999999999993E-2</v>
      </c>
      <c r="T189" s="10">
        <f>G189*(-0.5)+(1-I189)+(1-M189)+Q189+S189</f>
        <v>1.64035</v>
      </c>
      <c r="U189" t="s">
        <v>515</v>
      </c>
    </row>
    <row r="190" spans="1:21" x14ac:dyDescent="0.2">
      <c r="A190" t="s">
        <v>181</v>
      </c>
      <c r="B190" t="s">
        <v>512</v>
      </c>
      <c r="C190" t="s">
        <v>513</v>
      </c>
      <c r="D190" t="s">
        <v>514</v>
      </c>
      <c r="E190" t="s">
        <v>71</v>
      </c>
      <c r="G190" s="1">
        <v>-0.28789999999999999</v>
      </c>
      <c r="H190" s="1">
        <v>-0.44109999999999999</v>
      </c>
      <c r="I190" s="6">
        <v>0.21510000000000001</v>
      </c>
      <c r="J190" s="1">
        <v>0.40429999999999999</v>
      </c>
      <c r="K190">
        <v>14</v>
      </c>
      <c r="L190" s="1">
        <v>0.57040000000000002</v>
      </c>
      <c r="M190" s="7">
        <v>0.39889999999999998</v>
      </c>
      <c r="N190">
        <v>0.99</v>
      </c>
      <c r="O190" s="1">
        <v>0.1052</v>
      </c>
      <c r="P190" s="1">
        <v>0.18940000000000001</v>
      </c>
      <c r="Q190" s="8">
        <v>7.0699999999999999E-2</v>
      </c>
      <c r="R190">
        <v>0.51</v>
      </c>
      <c r="S190" s="1">
        <v>3.5499999999999997E-2</v>
      </c>
      <c r="T190" s="10">
        <f>G190*(-0.5)+(1-I190)+(1-M190)+Q190+S190</f>
        <v>1.63615</v>
      </c>
      <c r="U190" t="s">
        <v>809</v>
      </c>
    </row>
    <row r="191" spans="1:21" x14ac:dyDescent="0.2">
      <c r="A191" t="s">
        <v>20</v>
      </c>
      <c r="B191" t="s">
        <v>806</v>
      </c>
      <c r="C191" t="s">
        <v>807</v>
      </c>
      <c r="D191" t="s">
        <v>808</v>
      </c>
      <c r="E191" t="s">
        <v>24</v>
      </c>
      <c r="G191" s="1">
        <v>-0.23519999999999999</v>
      </c>
      <c r="H191" s="1">
        <v>-0.51149999999999995</v>
      </c>
      <c r="I191" s="6">
        <v>0.36130000000000001</v>
      </c>
      <c r="J191" s="1">
        <v>0.3075</v>
      </c>
      <c r="K191">
        <v>26</v>
      </c>
      <c r="L191" s="1">
        <v>6.6500000000000004E-2</v>
      </c>
      <c r="M191" s="7">
        <v>0.24399999999999999</v>
      </c>
      <c r="N191">
        <v>2.8</v>
      </c>
      <c r="O191" s="1">
        <v>7.1800000000000003E-2</v>
      </c>
      <c r="P191" s="1">
        <v>0.1696</v>
      </c>
      <c r="Q191" s="8">
        <v>0.1077</v>
      </c>
      <c r="R191">
        <v>0.42</v>
      </c>
      <c r="S191" s="1">
        <v>1.2800000000000001E-2</v>
      </c>
      <c r="T191" s="10">
        <f>G191*(-0.5)+(1-I191)+(1-M191)+Q191+S191</f>
        <v>1.6328</v>
      </c>
      <c r="U191" t="s">
        <v>349</v>
      </c>
    </row>
    <row r="192" spans="1:21" x14ac:dyDescent="0.2">
      <c r="A192" t="s">
        <v>181</v>
      </c>
      <c r="B192" t="s">
        <v>346</v>
      </c>
      <c r="C192" t="s">
        <v>347</v>
      </c>
      <c r="D192" t="s">
        <v>348</v>
      </c>
      <c r="E192" t="s">
        <v>24</v>
      </c>
      <c r="G192" s="1">
        <v>-0.60960000000000003</v>
      </c>
      <c r="H192" s="1">
        <v>-0.67230000000000001</v>
      </c>
      <c r="I192" s="6">
        <v>0.16059999999999999</v>
      </c>
      <c r="J192" s="1">
        <v>1.5615000000000001</v>
      </c>
      <c r="K192">
        <v>83</v>
      </c>
      <c r="L192" s="1">
        <v>0.2641</v>
      </c>
      <c r="M192" s="7">
        <v>0.55810000000000004</v>
      </c>
      <c r="N192">
        <v>2.6</v>
      </c>
      <c r="O192" s="1">
        <v>0.15379999999999999</v>
      </c>
      <c r="P192" s="1">
        <v>0.2422</v>
      </c>
      <c r="Q192" s="8">
        <v>3.1300000000000001E-2</v>
      </c>
      <c r="R192">
        <v>3.7999999999999999E-2</v>
      </c>
      <c r="S192" s="1">
        <v>1.0800000000000001E-2</v>
      </c>
      <c r="T192" s="10">
        <f>G192*(-0.5)+(1-I192)+(1-M192)+Q192+S192</f>
        <v>1.6282000000000001</v>
      </c>
      <c r="U192" t="s">
        <v>842</v>
      </c>
    </row>
    <row r="193" spans="1:21" x14ac:dyDescent="0.2">
      <c r="A193" t="s">
        <v>20</v>
      </c>
      <c r="B193" t="s">
        <v>839</v>
      </c>
      <c r="C193" t="s">
        <v>840</v>
      </c>
      <c r="D193" t="s">
        <v>841</v>
      </c>
      <c r="E193" t="s">
        <v>71</v>
      </c>
      <c r="G193" s="1">
        <v>-8.8200000000000001E-2</v>
      </c>
      <c r="H193" s="1">
        <v>-0.43619999999999998</v>
      </c>
      <c r="I193" s="6">
        <v>0.38169999999999998</v>
      </c>
      <c r="J193" s="1">
        <v>9.6699999999999994E-2</v>
      </c>
      <c r="K193">
        <v>5.8</v>
      </c>
      <c r="L193" s="1">
        <v>0.28660000000000002</v>
      </c>
      <c r="M193" s="7">
        <v>0.20730000000000001</v>
      </c>
      <c r="N193">
        <v>0.65</v>
      </c>
      <c r="O193" s="1">
        <v>0.14680000000000001</v>
      </c>
      <c r="P193" s="1">
        <v>0.17660000000000001</v>
      </c>
      <c r="Q193" s="8">
        <v>0.11210000000000001</v>
      </c>
      <c r="R193">
        <v>1.9</v>
      </c>
      <c r="S193" s="1">
        <v>6.08E-2</v>
      </c>
      <c r="T193" s="10">
        <f>G193*(-0.5)+(1-I193)+(1-M193)+Q193+S193</f>
        <v>1.6280000000000001</v>
      </c>
      <c r="U193" t="s">
        <v>817</v>
      </c>
    </row>
    <row r="194" spans="1:21" x14ac:dyDescent="0.2">
      <c r="A194" t="s">
        <v>20</v>
      </c>
      <c r="B194" t="s">
        <v>814</v>
      </c>
      <c r="C194" t="s">
        <v>815</v>
      </c>
      <c r="D194" t="s">
        <v>816</v>
      </c>
      <c r="E194" t="s">
        <v>71</v>
      </c>
      <c r="G194" s="1">
        <v>-0.19239999999999999</v>
      </c>
      <c r="H194" s="1">
        <v>-0.4864</v>
      </c>
      <c r="I194" s="6">
        <v>0.36399999999999999</v>
      </c>
      <c r="J194" s="1">
        <v>0.2382</v>
      </c>
      <c r="K194">
        <v>9</v>
      </c>
      <c r="L194" s="1">
        <v>0.30909999999999999</v>
      </c>
      <c r="M194" s="7">
        <v>0.26229999999999998</v>
      </c>
      <c r="N194">
        <v>1</v>
      </c>
      <c r="O194" s="1">
        <v>0.15559999999999999</v>
      </c>
      <c r="P194" s="1">
        <v>0.18090000000000001</v>
      </c>
      <c r="Q194" s="8">
        <v>0.1111</v>
      </c>
      <c r="R194">
        <v>1.2</v>
      </c>
      <c r="S194" s="1">
        <v>4.41E-2</v>
      </c>
      <c r="T194" s="10">
        <f>G194*(-0.5)+(1-I194)+(1-M194)+Q194+S194</f>
        <v>1.6251</v>
      </c>
      <c r="U194" t="s">
        <v>298</v>
      </c>
    </row>
    <row r="195" spans="1:21" x14ac:dyDescent="0.2">
      <c r="A195" t="s">
        <v>20</v>
      </c>
      <c r="B195" t="s">
        <v>296</v>
      </c>
      <c r="C195" t="s">
        <v>201</v>
      </c>
      <c r="D195" t="s">
        <v>297</v>
      </c>
      <c r="E195" t="s">
        <v>71</v>
      </c>
      <c r="G195" s="1">
        <v>-0.22750000000000001</v>
      </c>
      <c r="H195" s="1">
        <v>-0.33960000000000001</v>
      </c>
      <c r="I195" s="6">
        <v>0.14510000000000001</v>
      </c>
      <c r="J195" s="1">
        <v>0.29449999999999998</v>
      </c>
      <c r="K195">
        <v>14</v>
      </c>
      <c r="L195" s="1">
        <v>0.86</v>
      </c>
      <c r="M195" s="7">
        <v>0.52849999999999997</v>
      </c>
      <c r="N195">
        <v>2.1</v>
      </c>
      <c r="O195" s="1">
        <v>0.86230000000000007</v>
      </c>
      <c r="P195" s="1">
        <v>0.62270000000000003</v>
      </c>
      <c r="Q195" s="8">
        <v>0.15</v>
      </c>
      <c r="R195">
        <v>1.1000000000000001</v>
      </c>
      <c r="S195" s="1">
        <v>3.39E-2</v>
      </c>
      <c r="T195" s="10">
        <f>G195*(-0.5)+(1-I195)+(1-M195)+Q195+S195</f>
        <v>1.62405</v>
      </c>
      <c r="U195" t="s">
        <v>958</v>
      </c>
    </row>
    <row r="196" spans="1:21" x14ac:dyDescent="0.2">
      <c r="A196" t="s">
        <v>20</v>
      </c>
      <c r="B196" t="s">
        <v>956</v>
      </c>
      <c r="C196" t="s">
        <v>156</v>
      </c>
      <c r="D196" t="s">
        <v>957</v>
      </c>
      <c r="E196" t="s">
        <v>71</v>
      </c>
      <c r="G196" s="1">
        <v>-0.13420000000000001</v>
      </c>
      <c r="H196" s="1">
        <v>-0.54249999999999998</v>
      </c>
      <c r="I196" s="6">
        <v>0.47160000000000002</v>
      </c>
      <c r="J196" s="1">
        <v>0.155</v>
      </c>
      <c r="K196">
        <v>8.4</v>
      </c>
      <c r="L196" s="1">
        <v>6.2E-2</v>
      </c>
      <c r="M196" s="7">
        <v>0.17230000000000001</v>
      </c>
      <c r="N196">
        <v>1.1000000000000001</v>
      </c>
      <c r="O196" s="1">
        <v>0.43559999999999999</v>
      </c>
      <c r="P196" s="1">
        <v>0.34</v>
      </c>
      <c r="Q196" s="8">
        <v>0.13100000000000001</v>
      </c>
      <c r="R196">
        <v>1.6</v>
      </c>
      <c r="S196" s="1">
        <v>6.7400000000000002E-2</v>
      </c>
      <c r="T196" s="10">
        <f>G196*(-0.5)+(1-I196)+(1-M196)+Q196+S196</f>
        <v>1.6215999999999999</v>
      </c>
      <c r="U196" t="s">
        <v>72</v>
      </c>
    </row>
    <row r="197" spans="1:21" x14ac:dyDescent="0.2">
      <c r="A197" t="s">
        <v>20</v>
      </c>
      <c r="B197" t="s">
        <v>68</v>
      </c>
      <c r="C197" t="s">
        <v>69</v>
      </c>
      <c r="D197" t="s">
        <v>70</v>
      </c>
      <c r="E197" t="s">
        <v>71</v>
      </c>
      <c r="G197" s="1">
        <v>-0.47289999999999999</v>
      </c>
      <c r="H197" s="1">
        <v>-0.49630000000000002</v>
      </c>
      <c r="I197" s="6">
        <v>4.4400000000000002E-2</v>
      </c>
      <c r="J197" s="1">
        <v>0.8972</v>
      </c>
      <c r="K197">
        <v>16</v>
      </c>
      <c r="L197" s="1">
        <v>0.69989999999999997</v>
      </c>
      <c r="M197" s="7">
        <v>0.6462</v>
      </c>
      <c r="N197">
        <v>0.81</v>
      </c>
      <c r="O197" s="1">
        <v>2.6700000000000002E-2</v>
      </c>
      <c r="P197" s="1">
        <v>0.1188</v>
      </c>
      <c r="Q197" s="8">
        <v>5.0599999999999999E-2</v>
      </c>
      <c r="R197">
        <v>0.32</v>
      </c>
      <c r="S197" s="1">
        <v>2.2700000000000001E-2</v>
      </c>
      <c r="T197" s="10">
        <f>G197*(-0.5)+(1-I197)+(1-M197)+Q197+S197</f>
        <v>1.6191500000000001</v>
      </c>
      <c r="U197" t="s">
        <v>360</v>
      </c>
    </row>
    <row r="198" spans="1:21" x14ac:dyDescent="0.2">
      <c r="A198" t="s">
        <v>20</v>
      </c>
      <c r="B198" t="s">
        <v>357</v>
      </c>
      <c r="C198" t="s">
        <v>197</v>
      </c>
      <c r="D198" t="s">
        <v>358</v>
      </c>
      <c r="E198" t="s">
        <v>359</v>
      </c>
      <c r="G198" s="1">
        <v>-8.8000000000000009E-2</v>
      </c>
      <c r="H198" s="1">
        <v>-0.23849999999999999</v>
      </c>
      <c r="I198" s="6">
        <v>0.16500000000000001</v>
      </c>
      <c r="J198" s="1">
        <v>9.6500000000000002E-2</v>
      </c>
      <c r="K198">
        <v>15</v>
      </c>
      <c r="L198" s="1">
        <v>0.8798999999999999</v>
      </c>
      <c r="M198" s="7">
        <v>0.36509999999999998</v>
      </c>
      <c r="N198">
        <v>1.1000000000000001</v>
      </c>
      <c r="O198" s="1">
        <v>0.60030000000000006</v>
      </c>
      <c r="P198" s="1">
        <v>0.2195</v>
      </c>
      <c r="Q198" s="8">
        <v>7.3300000000000004E-2</v>
      </c>
      <c r="R198">
        <v>0.48</v>
      </c>
      <c r="S198" s="1">
        <v>2.9600000000000001E-2</v>
      </c>
      <c r="T198" s="10">
        <f>G198*(-0.5)+(1-I198)+(1-M198)+Q198+S198</f>
        <v>1.6168</v>
      </c>
      <c r="U198" t="s">
        <v>493</v>
      </c>
    </row>
    <row r="199" spans="1:21" x14ac:dyDescent="0.2">
      <c r="A199" t="s">
        <v>20</v>
      </c>
      <c r="B199" t="s">
        <v>491</v>
      </c>
      <c r="C199" t="s">
        <v>166</v>
      </c>
      <c r="D199" t="s">
        <v>492</v>
      </c>
      <c r="E199" t="s">
        <v>24</v>
      </c>
      <c r="G199" s="1">
        <v>-0.35160000000000002</v>
      </c>
      <c r="H199" s="1">
        <v>-0.48499999999999999</v>
      </c>
      <c r="I199" s="6">
        <v>0.20569999999999999</v>
      </c>
      <c r="J199" s="1">
        <v>0.5423</v>
      </c>
      <c r="K199">
        <v>38</v>
      </c>
      <c r="L199" s="1">
        <v>0.35959999999999998</v>
      </c>
      <c r="M199" s="7">
        <v>0.46820000000000001</v>
      </c>
      <c r="N199">
        <v>3.6</v>
      </c>
      <c r="O199" s="1">
        <v>0.30380000000000001</v>
      </c>
      <c r="P199" s="1">
        <v>0.28539999999999999</v>
      </c>
      <c r="Q199" s="8">
        <v>9.4700000000000006E-2</v>
      </c>
      <c r="R199">
        <v>0.25</v>
      </c>
      <c r="S199" s="1">
        <v>8.3999999999999995E-3</v>
      </c>
      <c r="T199" s="10">
        <f>G199*(-0.5)+(1-I199)+(1-M199)+Q199+S199</f>
        <v>1.605</v>
      </c>
      <c r="U199" t="s">
        <v>663</v>
      </c>
    </row>
    <row r="200" spans="1:21" x14ac:dyDescent="0.2">
      <c r="A200" t="s">
        <v>20</v>
      </c>
      <c r="B200" t="s">
        <v>660</v>
      </c>
      <c r="C200" t="s">
        <v>661</v>
      </c>
      <c r="D200" t="s">
        <v>662</v>
      </c>
      <c r="E200" t="s">
        <v>24</v>
      </c>
      <c r="G200" s="1">
        <v>-0.24129999999999999</v>
      </c>
      <c r="H200" s="1">
        <v>-0.4546</v>
      </c>
      <c r="I200" s="6">
        <v>0.28110000000000002</v>
      </c>
      <c r="J200" s="1">
        <v>0.318</v>
      </c>
      <c r="K200">
        <v>35</v>
      </c>
      <c r="L200" s="1">
        <v>0.48559999999999998</v>
      </c>
      <c r="M200" s="7">
        <v>0.36430000000000001</v>
      </c>
      <c r="N200">
        <v>4</v>
      </c>
      <c r="O200" s="1">
        <v>0.32950000000000002</v>
      </c>
      <c r="P200" s="1">
        <v>0.31900000000000001</v>
      </c>
      <c r="Q200" s="8">
        <v>0.1143</v>
      </c>
      <c r="R200">
        <v>0.33</v>
      </c>
      <c r="S200" s="1">
        <v>1.0999999999999999E-2</v>
      </c>
      <c r="T200" s="10">
        <f>G200*(-0.5)+(1-I200)+(1-M200)+Q200+S200</f>
        <v>1.6005499999999999</v>
      </c>
      <c r="U200" t="s">
        <v>944</v>
      </c>
    </row>
    <row r="201" spans="1:21" x14ac:dyDescent="0.2">
      <c r="A201" t="s">
        <v>20</v>
      </c>
      <c r="B201" t="s">
        <v>941</v>
      </c>
      <c r="C201" t="s">
        <v>942</v>
      </c>
      <c r="D201" t="s">
        <v>943</v>
      </c>
      <c r="E201" t="s">
        <v>71</v>
      </c>
      <c r="G201" s="1">
        <v>-0.13350000000000001</v>
      </c>
      <c r="H201" s="1">
        <v>-0.52680000000000005</v>
      </c>
      <c r="I201" s="6">
        <v>0.45390000000000003</v>
      </c>
      <c r="J201" s="1">
        <v>0.15409999999999999</v>
      </c>
      <c r="K201">
        <v>10</v>
      </c>
      <c r="L201" s="1">
        <v>0.26769999999999999</v>
      </c>
      <c r="M201" s="7">
        <v>0.16309999999999999</v>
      </c>
      <c r="N201">
        <v>1.1000000000000001</v>
      </c>
      <c r="O201" s="1">
        <v>0.10100000000000001</v>
      </c>
      <c r="P201" s="1">
        <v>0.1336</v>
      </c>
      <c r="Q201" s="8">
        <v>0.11</v>
      </c>
      <c r="R201">
        <v>1.1000000000000001</v>
      </c>
      <c r="S201" s="1">
        <v>3.8800000000000001E-2</v>
      </c>
      <c r="T201" s="10">
        <f>G201*(-0.5)+(1-I201)+(1-M201)+Q201+S201</f>
        <v>1.5985499999999999</v>
      </c>
      <c r="U201" t="s">
        <v>824</v>
      </c>
    </row>
    <row r="202" spans="1:21" x14ac:dyDescent="0.2">
      <c r="A202" t="s">
        <v>20</v>
      </c>
      <c r="B202" t="s">
        <v>822</v>
      </c>
      <c r="C202" t="s">
        <v>446</v>
      </c>
      <c r="D202" t="s">
        <v>823</v>
      </c>
      <c r="E202" t="s">
        <v>71</v>
      </c>
      <c r="G202" s="1">
        <v>-0.10340000000000001</v>
      </c>
      <c r="H202" s="1">
        <v>-0.4335</v>
      </c>
      <c r="I202" s="6">
        <v>0.36820000000000003</v>
      </c>
      <c r="J202" s="1">
        <v>0.1153</v>
      </c>
      <c r="K202">
        <v>9.1999999999999993</v>
      </c>
      <c r="L202" s="1">
        <v>7.6999999999999999E-2</v>
      </c>
      <c r="M202" s="7">
        <v>0.223</v>
      </c>
      <c r="N202">
        <v>0.99</v>
      </c>
      <c r="O202" s="1">
        <v>6.4500000000000002E-2</v>
      </c>
      <c r="P202" s="1">
        <v>0.19689999999999999</v>
      </c>
      <c r="Q202" s="8">
        <v>0.1076</v>
      </c>
      <c r="R202">
        <v>1.2</v>
      </c>
      <c r="S202" s="1">
        <v>2.5399999999999999E-2</v>
      </c>
      <c r="T202" s="10">
        <f>G202*(-0.5)+(1-I202)+(1-M202)+Q202+S202</f>
        <v>1.5934999999999999</v>
      </c>
      <c r="U202" t="s">
        <v>467</v>
      </c>
    </row>
    <row r="203" spans="1:21" x14ac:dyDescent="0.2">
      <c r="A203" t="s">
        <v>20</v>
      </c>
      <c r="B203" t="s">
        <v>465</v>
      </c>
      <c r="C203" t="s">
        <v>115</v>
      </c>
      <c r="D203" t="s">
        <v>466</v>
      </c>
      <c r="E203" t="s">
        <v>24</v>
      </c>
      <c r="G203" s="1">
        <v>-0.13020000000000001</v>
      </c>
      <c r="H203" s="1">
        <v>-0.30499999999999999</v>
      </c>
      <c r="I203" s="6">
        <v>0.20100000000000001</v>
      </c>
      <c r="J203" s="1">
        <v>0.1497</v>
      </c>
      <c r="K203">
        <v>52</v>
      </c>
      <c r="L203" s="1">
        <v>0.9234</v>
      </c>
      <c r="M203" s="7">
        <v>0.36890000000000001</v>
      </c>
      <c r="N203">
        <v>4.9000000000000004</v>
      </c>
      <c r="O203" s="1">
        <v>0.5444</v>
      </c>
      <c r="P203" s="1">
        <v>0.16439999999999999</v>
      </c>
      <c r="Q203" s="8">
        <v>9.4200000000000006E-2</v>
      </c>
      <c r="R203">
        <v>0.18</v>
      </c>
      <c r="S203" s="1">
        <v>2E-3</v>
      </c>
      <c r="T203" s="10">
        <f>G203*(-0.5)+(1-I203)+(1-M203)+Q203+S203</f>
        <v>1.5914000000000001</v>
      </c>
      <c r="U203" t="s">
        <v>588</v>
      </c>
    </row>
    <row r="204" spans="1:21" x14ac:dyDescent="0.2">
      <c r="A204" t="s">
        <v>20</v>
      </c>
      <c r="B204" t="s">
        <v>586</v>
      </c>
      <c r="C204" t="s">
        <v>575</v>
      </c>
      <c r="D204" t="s">
        <v>587</v>
      </c>
      <c r="E204" t="s">
        <v>71</v>
      </c>
      <c r="G204" s="1">
        <v>-0.32600000000000001</v>
      </c>
      <c r="H204" s="1">
        <v>-0.49159999999999998</v>
      </c>
      <c r="I204" s="6">
        <v>0.2457</v>
      </c>
      <c r="J204" s="1">
        <v>0.48370000000000002</v>
      </c>
      <c r="K204">
        <v>18</v>
      </c>
      <c r="L204" s="1">
        <v>0.2591</v>
      </c>
      <c r="M204" s="7">
        <v>0.41620000000000001</v>
      </c>
      <c r="N204">
        <v>1.3</v>
      </c>
      <c r="O204" s="1">
        <v>0.1318</v>
      </c>
      <c r="P204" s="1">
        <v>0.1827</v>
      </c>
      <c r="Q204" s="8">
        <v>7.22E-2</v>
      </c>
      <c r="R204">
        <v>0.41</v>
      </c>
      <c r="S204" s="1">
        <v>1.6500000000000001E-2</v>
      </c>
      <c r="T204" s="10">
        <f>G204*(-0.5)+(1-I204)+(1-M204)+Q204+S204</f>
        <v>1.5898000000000001</v>
      </c>
      <c r="U204" t="s">
        <v>749</v>
      </c>
    </row>
    <row r="205" spans="1:21" x14ac:dyDescent="0.2">
      <c r="A205" t="s">
        <v>20</v>
      </c>
      <c r="B205" t="s">
        <v>747</v>
      </c>
      <c r="C205" t="s">
        <v>327</v>
      </c>
      <c r="D205" t="s">
        <v>748</v>
      </c>
      <c r="E205" t="s">
        <v>24</v>
      </c>
      <c r="G205" s="1">
        <v>-0.2626</v>
      </c>
      <c r="H205" s="1">
        <v>-0.50180000000000002</v>
      </c>
      <c r="I205" s="6">
        <v>0.32440000000000002</v>
      </c>
      <c r="J205" s="1">
        <v>0.35610000000000003</v>
      </c>
      <c r="K205">
        <v>23</v>
      </c>
      <c r="L205" s="1">
        <v>0.29020000000000001</v>
      </c>
      <c r="M205" s="7">
        <v>0.36459999999999998</v>
      </c>
      <c r="N205">
        <v>2.6</v>
      </c>
      <c r="O205" s="1">
        <v>0.42</v>
      </c>
      <c r="P205" s="1">
        <v>0.35930000000000001</v>
      </c>
      <c r="Q205" s="8">
        <v>0.113</v>
      </c>
      <c r="R205">
        <v>0.48</v>
      </c>
      <c r="S205" s="1">
        <v>1.89E-2</v>
      </c>
      <c r="T205" s="10">
        <f>G205*(-0.5)+(1-I205)+(1-M205)+Q205+S205</f>
        <v>1.5741999999999998</v>
      </c>
      <c r="U205" t="s">
        <v>900</v>
      </c>
    </row>
    <row r="206" spans="1:21" x14ac:dyDescent="0.2">
      <c r="A206" t="s">
        <v>20</v>
      </c>
      <c r="B206" t="s">
        <v>897</v>
      </c>
      <c r="C206" t="s">
        <v>898</v>
      </c>
      <c r="D206" t="s">
        <v>899</v>
      </c>
      <c r="E206" t="s">
        <v>71</v>
      </c>
      <c r="G206" s="1">
        <v>-0.1424</v>
      </c>
      <c r="H206" s="1">
        <v>-0.50880000000000003</v>
      </c>
      <c r="I206" s="6">
        <v>0.42720000000000002</v>
      </c>
      <c r="J206" s="1">
        <v>0.16600000000000001</v>
      </c>
      <c r="K206">
        <v>8.1</v>
      </c>
      <c r="L206" s="1">
        <v>0.3387</v>
      </c>
      <c r="M206" s="7">
        <v>0.23169999999999999</v>
      </c>
      <c r="N206">
        <v>0.91</v>
      </c>
      <c r="O206" s="1">
        <v>0.1983</v>
      </c>
      <c r="P206" s="1">
        <v>0.2044</v>
      </c>
      <c r="Q206" s="8">
        <v>0.1123</v>
      </c>
      <c r="R206">
        <v>1.4</v>
      </c>
      <c r="S206" s="1">
        <v>4.8099999999999997E-2</v>
      </c>
      <c r="T206" s="10">
        <f>G206*(-0.5)+(1-I206)+(1-M206)+Q206+S206</f>
        <v>1.5727000000000002</v>
      </c>
      <c r="U206" t="s">
        <v>865</v>
      </c>
    </row>
    <row r="207" spans="1:21" x14ac:dyDescent="0.2">
      <c r="A207" t="s">
        <v>20</v>
      </c>
      <c r="B207" t="s">
        <v>863</v>
      </c>
      <c r="C207" t="s">
        <v>706</v>
      </c>
      <c r="D207" t="s">
        <v>864</v>
      </c>
      <c r="E207" t="s">
        <v>216</v>
      </c>
      <c r="G207" s="1">
        <v>-0.21410000000000001</v>
      </c>
      <c r="H207" s="1">
        <v>-0.52739999999999998</v>
      </c>
      <c r="I207" s="6">
        <v>0.3987</v>
      </c>
      <c r="J207" s="1">
        <v>0.27239999999999998</v>
      </c>
      <c r="K207">
        <v>16</v>
      </c>
      <c r="L207" s="1">
        <v>0.23769999999999999</v>
      </c>
      <c r="M207" s="7">
        <v>0.2581</v>
      </c>
      <c r="N207">
        <v>1.5</v>
      </c>
      <c r="O207" s="1">
        <v>7.5899999999999995E-2</v>
      </c>
      <c r="P207" s="1">
        <v>0.1249</v>
      </c>
      <c r="Q207" s="8">
        <v>9.3800000000000008E-2</v>
      </c>
      <c r="R207">
        <v>0.57999999999999996</v>
      </c>
      <c r="S207" s="1">
        <v>2.4299999999999999E-2</v>
      </c>
      <c r="T207" s="10">
        <f>G207*(-0.5)+(1-I207)+(1-M207)+Q207+S207</f>
        <v>1.5683500000000001</v>
      </c>
      <c r="U207" t="s">
        <v>768</v>
      </c>
    </row>
    <row r="208" spans="1:21" x14ac:dyDescent="0.2">
      <c r="A208" t="s">
        <v>20</v>
      </c>
      <c r="B208" t="s">
        <v>765</v>
      </c>
      <c r="C208" t="s">
        <v>766</v>
      </c>
      <c r="D208" t="s">
        <v>767</v>
      </c>
      <c r="E208" t="s">
        <v>24</v>
      </c>
      <c r="G208" s="1">
        <v>-0.18529999999999999</v>
      </c>
      <c r="H208" s="1">
        <v>-0.45300000000000001</v>
      </c>
      <c r="I208" s="6">
        <v>0.3286</v>
      </c>
      <c r="J208" s="1">
        <v>0.22739999999999999</v>
      </c>
      <c r="K208">
        <v>21</v>
      </c>
      <c r="L208" s="1">
        <v>0.4607</v>
      </c>
      <c r="M208" s="7">
        <v>0.31309999999999999</v>
      </c>
      <c r="N208">
        <v>2</v>
      </c>
      <c r="O208" s="1">
        <v>0.17929999999999999</v>
      </c>
      <c r="P208" s="1">
        <v>0.2331</v>
      </c>
      <c r="Q208" s="8">
        <v>9.5199999999999993E-2</v>
      </c>
      <c r="R208">
        <v>0.46</v>
      </c>
      <c r="S208" s="1">
        <v>2.0500000000000001E-2</v>
      </c>
      <c r="T208" s="10">
        <f>G208*(-0.5)+(1-I208)+(1-M208)+Q208+S208</f>
        <v>1.5666500000000001</v>
      </c>
      <c r="U208" t="s">
        <v>566</v>
      </c>
    </row>
    <row r="209" spans="1:21" x14ac:dyDescent="0.2">
      <c r="A209" t="s">
        <v>20</v>
      </c>
      <c r="B209" t="s">
        <v>564</v>
      </c>
      <c r="C209" t="s">
        <v>115</v>
      </c>
      <c r="D209" t="s">
        <v>565</v>
      </c>
      <c r="E209" t="s">
        <v>24</v>
      </c>
      <c r="G209" s="1">
        <v>-0.3427</v>
      </c>
      <c r="H209" s="1">
        <v>-0.49450000000000011</v>
      </c>
      <c r="I209" s="6">
        <v>0.23089999999999999</v>
      </c>
      <c r="J209" s="1">
        <v>0.52139999999999997</v>
      </c>
      <c r="K209">
        <v>43</v>
      </c>
      <c r="L209" s="1">
        <v>0.61009999999999998</v>
      </c>
      <c r="M209" s="7">
        <v>0.48420000000000002</v>
      </c>
      <c r="N209">
        <v>4.5</v>
      </c>
      <c r="O209" s="1">
        <v>7.7600000000000002E-2</v>
      </c>
      <c r="P209" s="1">
        <v>0.23130000000000001</v>
      </c>
      <c r="Q209" s="8">
        <v>0.1047</v>
      </c>
      <c r="R209">
        <v>0.24</v>
      </c>
      <c r="S209" s="1">
        <v>5.5000000000000014E-3</v>
      </c>
      <c r="T209" s="10">
        <f>G209*(-0.5)+(1-I209)+(1-M209)+Q209+S209</f>
        <v>1.5664500000000001</v>
      </c>
      <c r="U209" t="s">
        <v>483</v>
      </c>
    </row>
    <row r="210" spans="1:21" x14ac:dyDescent="0.2">
      <c r="A210" t="s">
        <v>20</v>
      </c>
      <c r="B210" t="s">
        <v>480</v>
      </c>
      <c r="C210" t="s">
        <v>481</v>
      </c>
      <c r="D210" t="s">
        <v>482</v>
      </c>
      <c r="E210" t="s">
        <v>24</v>
      </c>
      <c r="G210" s="1">
        <v>-0.38640000000000002</v>
      </c>
      <c r="H210" s="1">
        <v>-0.51170000000000004</v>
      </c>
      <c r="I210" s="6">
        <v>0.20419999999999999</v>
      </c>
      <c r="J210" s="1">
        <v>0.62970000000000004</v>
      </c>
      <c r="K210">
        <v>66</v>
      </c>
      <c r="L210" s="1">
        <v>0.38529999999999998</v>
      </c>
      <c r="M210" s="7">
        <v>0.501</v>
      </c>
      <c r="N210">
        <v>4.8</v>
      </c>
      <c r="O210" s="1">
        <v>0.29139999999999999</v>
      </c>
      <c r="P210" s="1">
        <v>0.22309999999999999</v>
      </c>
      <c r="Q210" s="8">
        <v>7.2700000000000001E-2</v>
      </c>
      <c r="R210">
        <v>0.11</v>
      </c>
      <c r="S210" s="1">
        <v>2E-3</v>
      </c>
      <c r="T210" s="10">
        <f>G210*(-0.5)+(1-I210)+(1-M210)+Q210+S210</f>
        <v>1.5627</v>
      </c>
      <c r="U210" t="s">
        <v>585</v>
      </c>
    </row>
    <row r="211" spans="1:21" x14ac:dyDescent="0.2">
      <c r="A211" t="s">
        <v>20</v>
      </c>
      <c r="B211" t="s">
        <v>582</v>
      </c>
      <c r="C211" t="s">
        <v>583</v>
      </c>
      <c r="D211" t="s">
        <v>584</v>
      </c>
      <c r="E211" t="s">
        <v>24</v>
      </c>
      <c r="G211" s="1">
        <v>-0.224</v>
      </c>
      <c r="H211" s="1">
        <v>-0.41370000000000001</v>
      </c>
      <c r="I211" s="6">
        <v>0.2445</v>
      </c>
      <c r="J211" s="1">
        <v>0.28870000000000001</v>
      </c>
      <c r="K211">
        <v>40</v>
      </c>
      <c r="L211" s="1">
        <v>0.46429999999999999</v>
      </c>
      <c r="M211" s="7">
        <v>0.41689999999999999</v>
      </c>
      <c r="N211">
        <v>4.0999999999999996</v>
      </c>
      <c r="O211" s="1">
        <v>0.38659999999999989</v>
      </c>
      <c r="P211" s="1">
        <v>0.32100000000000001</v>
      </c>
      <c r="Q211" s="8">
        <v>0.10249999999999999</v>
      </c>
      <c r="R211">
        <v>0.26</v>
      </c>
      <c r="S211" s="1">
        <v>7.8000000000000014E-3</v>
      </c>
      <c r="T211" s="10">
        <f>G211*(-0.5)+(1-I211)+(1-M211)+Q211+S211</f>
        <v>1.5609000000000002</v>
      </c>
      <c r="U211" t="s">
        <v>611</v>
      </c>
    </row>
    <row r="212" spans="1:21" x14ac:dyDescent="0.2">
      <c r="A212" t="s">
        <v>20</v>
      </c>
      <c r="B212" t="s">
        <v>609</v>
      </c>
      <c r="C212" t="s">
        <v>235</v>
      </c>
      <c r="D212" t="s">
        <v>610</v>
      </c>
      <c r="E212" t="s">
        <v>24</v>
      </c>
      <c r="G212" s="1">
        <v>-0.183</v>
      </c>
      <c r="H212" s="1">
        <v>-0.38790000000000002</v>
      </c>
      <c r="I212" s="6">
        <v>0.25080000000000002</v>
      </c>
      <c r="J212" s="1">
        <v>0.224</v>
      </c>
      <c r="K212">
        <v>37</v>
      </c>
      <c r="L212" s="1">
        <v>0.64840000000000009</v>
      </c>
      <c r="M212" s="7">
        <v>0.3992</v>
      </c>
      <c r="N212">
        <v>4</v>
      </c>
      <c r="O212" s="1">
        <v>0.30230000000000001</v>
      </c>
      <c r="P212" s="1">
        <v>0.1913</v>
      </c>
      <c r="Q212" s="8">
        <v>0.1081</v>
      </c>
      <c r="R212">
        <v>0.3</v>
      </c>
      <c r="S212" s="1">
        <v>1.12E-2</v>
      </c>
      <c r="T212" s="10">
        <f>G212*(-0.5)+(1-I212)+(1-M212)+Q212+S212</f>
        <v>1.5608000000000002</v>
      </c>
      <c r="U212" t="s">
        <v>746</v>
      </c>
    </row>
    <row r="213" spans="1:21" x14ac:dyDescent="0.2">
      <c r="A213" t="s">
        <v>20</v>
      </c>
      <c r="B213" t="s">
        <v>744</v>
      </c>
      <c r="C213" t="s">
        <v>119</v>
      </c>
      <c r="D213" t="s">
        <v>745</v>
      </c>
      <c r="E213" t="s">
        <v>24</v>
      </c>
      <c r="G213" s="1">
        <v>-0.29459999999999997</v>
      </c>
      <c r="H213" s="1">
        <v>-0.52180000000000004</v>
      </c>
      <c r="I213" s="6">
        <v>0.3221</v>
      </c>
      <c r="J213" s="1">
        <v>0.41760000000000003</v>
      </c>
      <c r="K213">
        <v>34</v>
      </c>
      <c r="L213" s="1">
        <v>0.41749999999999998</v>
      </c>
      <c r="M213" s="7">
        <v>0.38419999999999999</v>
      </c>
      <c r="N213">
        <v>3.7</v>
      </c>
      <c r="O213" s="1">
        <v>0.45129999999999998</v>
      </c>
      <c r="P213" s="1">
        <v>0.30730000000000002</v>
      </c>
      <c r="Q213" s="8">
        <v>0.10879999999999999</v>
      </c>
      <c r="R213">
        <v>0.32</v>
      </c>
      <c r="S213" s="1">
        <v>9.1999999999999998E-3</v>
      </c>
      <c r="T213" s="10">
        <f>G213*(-0.5)+(1-I213)+(1-M213)+Q213+S213</f>
        <v>1.5589999999999999</v>
      </c>
      <c r="U213" t="s">
        <v>922</v>
      </c>
    </row>
    <row r="214" spans="1:21" x14ac:dyDescent="0.2">
      <c r="A214" t="s">
        <v>20</v>
      </c>
      <c r="B214" t="s">
        <v>920</v>
      </c>
      <c r="C214" t="s">
        <v>156</v>
      </c>
      <c r="D214" t="s">
        <v>921</v>
      </c>
      <c r="E214" t="s">
        <v>216</v>
      </c>
      <c r="G214" s="1">
        <v>-0.17380000000000001</v>
      </c>
      <c r="H214" s="1">
        <v>-0.53490000000000004</v>
      </c>
      <c r="I214" s="6">
        <v>0.43709999999999999</v>
      </c>
      <c r="J214" s="1">
        <v>0.2104</v>
      </c>
      <c r="K214">
        <v>10</v>
      </c>
      <c r="L214" s="1">
        <v>0.24840000000000001</v>
      </c>
      <c r="M214" s="7">
        <v>0.25080000000000002</v>
      </c>
      <c r="N214">
        <v>1.1000000000000001</v>
      </c>
      <c r="O214" s="1">
        <v>9.7299999999999998E-2</v>
      </c>
      <c r="P214" s="1">
        <v>0.1358</v>
      </c>
      <c r="Q214" s="8">
        <v>0.11</v>
      </c>
      <c r="R214">
        <v>1.1000000000000001</v>
      </c>
      <c r="S214" s="1">
        <v>3.7199999999999997E-2</v>
      </c>
      <c r="T214" s="10">
        <f>G214*(-0.5)+(1-I214)+(1-M214)+Q214+S214</f>
        <v>1.5462</v>
      </c>
      <c r="U214" t="s">
        <v>701</v>
      </c>
    </row>
    <row r="215" spans="1:21" x14ac:dyDescent="0.2">
      <c r="A215" t="s">
        <v>20</v>
      </c>
      <c r="B215" t="s">
        <v>698</v>
      </c>
      <c r="C215" t="s">
        <v>699</v>
      </c>
      <c r="D215" t="s">
        <v>700</v>
      </c>
      <c r="E215" t="s">
        <v>71</v>
      </c>
      <c r="G215" s="1">
        <v>-0.1002</v>
      </c>
      <c r="H215" s="1">
        <v>-0.371</v>
      </c>
      <c r="I215" s="6">
        <v>0.30099999999999999</v>
      </c>
      <c r="J215" s="1">
        <v>0.1114</v>
      </c>
      <c r="K215">
        <v>19</v>
      </c>
      <c r="L215" s="1">
        <v>0.4047</v>
      </c>
      <c r="M215" s="7">
        <v>0.29580000000000001</v>
      </c>
      <c r="N215">
        <v>1.3</v>
      </c>
      <c r="O215" s="1">
        <v>0.16320000000000001</v>
      </c>
      <c r="P215" s="1">
        <v>0.183</v>
      </c>
      <c r="Q215" s="8">
        <v>6.8400000000000002E-2</v>
      </c>
      <c r="R215">
        <v>0.37</v>
      </c>
      <c r="S215" s="1">
        <v>2.2499999999999999E-2</v>
      </c>
      <c r="T215" s="10">
        <f>G215*(-0.5)+(1-I215)+(1-M215)+Q215+S215</f>
        <v>1.5442</v>
      </c>
      <c r="U215" t="s">
        <v>143</v>
      </c>
    </row>
    <row r="216" spans="1:21" x14ac:dyDescent="0.2">
      <c r="A216" t="s">
        <v>20</v>
      </c>
      <c r="B216" t="s">
        <v>141</v>
      </c>
      <c r="C216" t="s">
        <v>91</v>
      </c>
      <c r="D216" t="s">
        <v>142</v>
      </c>
      <c r="E216" t="s">
        <v>41</v>
      </c>
      <c r="G216" s="1">
        <v>-0.37369999999999998</v>
      </c>
      <c r="H216" s="1">
        <v>-0.42620000000000002</v>
      </c>
      <c r="I216" s="6">
        <v>8.3800000000000013E-2</v>
      </c>
      <c r="J216" s="1">
        <v>0.59670000000000001</v>
      </c>
      <c r="K216">
        <v>23</v>
      </c>
      <c r="L216" s="1">
        <v>0.9556</v>
      </c>
      <c r="M216" s="7">
        <v>0.64760000000000006</v>
      </c>
      <c r="N216">
        <v>1.3</v>
      </c>
      <c r="O216" s="1">
        <v>3.4200000000000001E-2</v>
      </c>
      <c r="P216" s="1">
        <v>0.1174</v>
      </c>
      <c r="Q216" s="8">
        <v>5.6500000000000002E-2</v>
      </c>
      <c r="R216">
        <v>0.25</v>
      </c>
      <c r="S216" s="1">
        <v>2.3900000000000001E-2</v>
      </c>
      <c r="T216" s="10">
        <f>G216*(-0.5)+(1-I216)+(1-M216)+Q216+S216</f>
        <v>1.5358499999999999</v>
      </c>
      <c r="U216" t="s">
        <v>961</v>
      </c>
    </row>
    <row r="217" spans="1:21" x14ac:dyDescent="0.2">
      <c r="A217" t="s">
        <v>20</v>
      </c>
      <c r="B217" t="s">
        <v>959</v>
      </c>
      <c r="C217" t="s">
        <v>31</v>
      </c>
      <c r="D217" t="s">
        <v>960</v>
      </c>
      <c r="E217" t="s">
        <v>71</v>
      </c>
      <c r="G217" s="1">
        <v>-0.15260000000000001</v>
      </c>
      <c r="H217" s="1">
        <v>-0.55469999999999997</v>
      </c>
      <c r="I217" s="6">
        <v>0.47449999999999998</v>
      </c>
      <c r="J217" s="1">
        <v>0.18010000000000001</v>
      </c>
      <c r="K217">
        <v>12</v>
      </c>
      <c r="L217" s="1">
        <v>0.20250000000000001</v>
      </c>
      <c r="M217" s="7">
        <v>0.20300000000000001</v>
      </c>
      <c r="N217">
        <v>1.2</v>
      </c>
      <c r="O217" s="1">
        <v>0.37869999999999998</v>
      </c>
      <c r="P217" s="1">
        <v>0.1832</v>
      </c>
      <c r="Q217" s="8">
        <v>0.1</v>
      </c>
      <c r="R217">
        <v>0.84</v>
      </c>
      <c r="S217" s="1">
        <v>3.5900000000000001E-2</v>
      </c>
      <c r="T217" s="10">
        <f>G217*(-0.5)+(1-I217)+(1-M217)+Q217+S217</f>
        <v>1.5347000000000002</v>
      </c>
      <c r="U217" t="s">
        <v>926</v>
      </c>
    </row>
    <row r="218" spans="1:21" x14ac:dyDescent="0.2">
      <c r="A218" t="s">
        <v>20</v>
      </c>
      <c r="B218" t="s">
        <v>923</v>
      </c>
      <c r="C218" t="s">
        <v>924</v>
      </c>
      <c r="D218" t="s">
        <v>925</v>
      </c>
      <c r="E218" t="s">
        <v>71</v>
      </c>
      <c r="G218" s="1">
        <v>-0.2132</v>
      </c>
      <c r="H218" s="1">
        <v>-0.55920000000000003</v>
      </c>
      <c r="I218" s="6">
        <v>0.43980000000000002</v>
      </c>
      <c r="J218" s="1">
        <v>0.27100000000000002</v>
      </c>
      <c r="K218">
        <v>12</v>
      </c>
      <c r="L218" s="1">
        <v>0.32579999999999998</v>
      </c>
      <c r="M218" s="7">
        <v>0.30249999999999999</v>
      </c>
      <c r="N218">
        <v>1.5</v>
      </c>
      <c r="O218" s="1">
        <v>0.2455</v>
      </c>
      <c r="P218" s="1">
        <v>0.25950000000000001</v>
      </c>
      <c r="Q218" s="8">
        <v>0.125</v>
      </c>
      <c r="R218">
        <v>1</v>
      </c>
      <c r="S218" s="1">
        <v>3.1800000000000002E-2</v>
      </c>
      <c r="T218" s="10">
        <f>G218*(-0.5)+(1-I218)+(1-M218)+Q218+S218</f>
        <v>1.5211000000000001</v>
      </c>
      <c r="U218" t="s">
        <v>681</v>
      </c>
    </row>
    <row r="219" spans="1:21" x14ac:dyDescent="0.2">
      <c r="A219" t="s">
        <v>20</v>
      </c>
      <c r="B219" t="s">
        <v>678</v>
      </c>
      <c r="C219" t="s">
        <v>679</v>
      </c>
      <c r="D219" t="s">
        <v>680</v>
      </c>
      <c r="E219" t="s">
        <v>24</v>
      </c>
      <c r="G219" s="1">
        <v>-0.29170000000000001</v>
      </c>
      <c r="H219" s="1">
        <v>-0.49819999999999998</v>
      </c>
      <c r="I219" s="6">
        <v>0.29149999999999998</v>
      </c>
      <c r="J219" s="1">
        <v>0.4118</v>
      </c>
      <c r="K219">
        <v>24</v>
      </c>
      <c r="L219" s="1">
        <v>0.34760000000000002</v>
      </c>
      <c r="M219" s="7">
        <v>0.46619999999999989</v>
      </c>
      <c r="N219">
        <v>2.6</v>
      </c>
      <c r="O219" s="1">
        <v>0.31140000000000001</v>
      </c>
      <c r="P219" s="1">
        <v>0.30209999999999998</v>
      </c>
      <c r="Q219" s="8">
        <v>0.10829999999999999</v>
      </c>
      <c r="R219">
        <v>0.45</v>
      </c>
      <c r="S219" s="1">
        <v>1.4200000000000001E-2</v>
      </c>
      <c r="T219" s="10">
        <f>G219*(-0.5)+(1-I219)+(1-M219)+Q219+S219</f>
        <v>1.51065</v>
      </c>
      <c r="U219" t="s">
        <v>283</v>
      </c>
    </row>
    <row r="220" spans="1:21" x14ac:dyDescent="0.2">
      <c r="A220" t="s">
        <v>20</v>
      </c>
      <c r="B220" t="s">
        <v>281</v>
      </c>
      <c r="C220" t="s">
        <v>87</v>
      </c>
      <c r="D220" t="s">
        <v>282</v>
      </c>
      <c r="E220" t="s">
        <v>24</v>
      </c>
      <c r="G220" s="1">
        <v>-0.41959999999999997</v>
      </c>
      <c r="H220" s="1">
        <v>-0.50119999999999998</v>
      </c>
      <c r="I220" s="6">
        <v>0.1406</v>
      </c>
      <c r="J220" s="1">
        <v>0.7229000000000001</v>
      </c>
      <c r="K220">
        <v>50</v>
      </c>
      <c r="L220" s="1">
        <v>0.90620000000000001</v>
      </c>
      <c r="M220" s="7">
        <v>0.62719999999999998</v>
      </c>
      <c r="N220">
        <v>2.8</v>
      </c>
      <c r="O220" s="1">
        <v>0.2467</v>
      </c>
      <c r="P220" s="1">
        <v>0.12970000000000001</v>
      </c>
      <c r="Q220" s="8">
        <v>5.5999999999999987E-2</v>
      </c>
      <c r="R220">
        <v>0.11</v>
      </c>
      <c r="S220" s="1">
        <v>7.9000000000000008E-3</v>
      </c>
      <c r="T220" s="10">
        <f>G220*(-0.5)+(1-I220)+(1-M220)+Q220+S220</f>
        <v>1.5059</v>
      </c>
      <c r="U220" t="s">
        <v>886</v>
      </c>
    </row>
    <row r="221" spans="1:21" x14ac:dyDescent="0.2">
      <c r="A221" t="s">
        <v>20</v>
      </c>
      <c r="B221" t="s">
        <v>884</v>
      </c>
      <c r="C221" t="s">
        <v>815</v>
      </c>
      <c r="D221" t="s">
        <v>885</v>
      </c>
      <c r="E221" t="s">
        <v>71</v>
      </c>
      <c r="G221" s="1">
        <v>-0.2258</v>
      </c>
      <c r="H221" s="1">
        <v>-0.54720000000000002</v>
      </c>
      <c r="I221" s="6">
        <v>0.41510000000000002</v>
      </c>
      <c r="J221" s="1">
        <v>0.29170000000000001</v>
      </c>
      <c r="K221">
        <v>14</v>
      </c>
      <c r="L221" s="1">
        <v>0.33679999999999999</v>
      </c>
      <c r="M221" s="7">
        <v>0.31819999999999998</v>
      </c>
      <c r="N221">
        <v>1.1000000000000001</v>
      </c>
      <c r="O221" s="1">
        <v>8.6099999999999996E-2</v>
      </c>
      <c r="P221" s="1">
        <v>0.10340000000000001</v>
      </c>
      <c r="Q221" s="8">
        <v>7.8600000000000003E-2</v>
      </c>
      <c r="R221">
        <v>0.54</v>
      </c>
      <c r="S221" s="1">
        <v>3.0599999999999999E-2</v>
      </c>
      <c r="T221" s="10">
        <f>G221*(-0.5)+(1-I221)+(1-M221)+Q221+S221</f>
        <v>1.4887999999999999</v>
      </c>
      <c r="U221" t="s">
        <v>405</v>
      </c>
    </row>
    <row r="222" spans="1:21" x14ac:dyDescent="0.2">
      <c r="A222" t="s">
        <v>20</v>
      </c>
      <c r="B222" t="s">
        <v>403</v>
      </c>
      <c r="C222" t="s">
        <v>69</v>
      </c>
      <c r="D222" t="s">
        <v>404</v>
      </c>
      <c r="E222" t="s">
        <v>24</v>
      </c>
      <c r="G222" s="1">
        <v>-0.28510000000000002</v>
      </c>
      <c r="H222" s="1">
        <v>-0.41310000000000002</v>
      </c>
      <c r="I222" s="6">
        <v>0.17899999999999999</v>
      </c>
      <c r="J222" s="1">
        <v>0.39879999999999999</v>
      </c>
      <c r="K222">
        <v>27</v>
      </c>
      <c r="L222" s="1">
        <v>0.7127</v>
      </c>
      <c r="M222" s="7">
        <v>0.56950000000000001</v>
      </c>
      <c r="N222">
        <v>2.2000000000000002</v>
      </c>
      <c r="O222" s="1">
        <v>0.52929999999999999</v>
      </c>
      <c r="P222" s="1">
        <v>0.3992</v>
      </c>
      <c r="Q222" s="8">
        <v>8.1500000000000003E-2</v>
      </c>
      <c r="R222">
        <v>0.31</v>
      </c>
      <c r="S222" s="1">
        <v>1.32E-2</v>
      </c>
      <c r="T222" s="10">
        <f>G222*(-0.5)+(1-I222)+(1-M222)+Q222+S222</f>
        <v>1.48875</v>
      </c>
      <c r="U222" t="s">
        <v>721</v>
      </c>
    </row>
    <row r="223" spans="1:21" x14ac:dyDescent="0.2">
      <c r="A223" t="s">
        <v>20</v>
      </c>
      <c r="B223" t="s">
        <v>719</v>
      </c>
      <c r="C223" t="s">
        <v>49</v>
      </c>
      <c r="D223" t="s">
        <v>720</v>
      </c>
      <c r="E223" t="s">
        <v>24</v>
      </c>
      <c r="G223" s="1">
        <v>-0.2702</v>
      </c>
      <c r="H223" s="1">
        <v>-0.4965</v>
      </c>
      <c r="I223" s="6">
        <v>0.31009999999999999</v>
      </c>
      <c r="J223" s="1">
        <v>0.37019999999999997</v>
      </c>
      <c r="K223">
        <v>50</v>
      </c>
      <c r="L223" s="1">
        <v>0.80049999999999999</v>
      </c>
      <c r="M223" s="7">
        <v>0.44650000000000001</v>
      </c>
      <c r="N223">
        <v>3.8</v>
      </c>
      <c r="O223" s="1">
        <v>0.3115</v>
      </c>
      <c r="P223" s="1">
        <v>0.30930000000000002</v>
      </c>
      <c r="Q223" s="8">
        <v>7.5999999999999998E-2</v>
      </c>
      <c r="R223">
        <v>0.15</v>
      </c>
      <c r="S223" s="1">
        <v>6.4000000000000003E-3</v>
      </c>
      <c r="T223" s="10">
        <f>G223*(-0.5)+(1-I223)+(1-M223)+Q223+S223</f>
        <v>1.4608999999999999</v>
      </c>
      <c r="U223" t="s">
        <v>345</v>
      </c>
    </row>
    <row r="224" spans="1:21" x14ac:dyDescent="0.2">
      <c r="A224" t="s">
        <v>181</v>
      </c>
      <c r="B224" t="s">
        <v>342</v>
      </c>
      <c r="C224" t="s">
        <v>343</v>
      </c>
      <c r="D224" t="s">
        <v>344</v>
      </c>
      <c r="G224" s="1">
        <v>-0.4919</v>
      </c>
      <c r="H224" s="1">
        <v>-0.57320000000000004</v>
      </c>
      <c r="I224" s="6">
        <v>0.16</v>
      </c>
      <c r="J224" s="1">
        <v>0.96810000000000007</v>
      </c>
      <c r="K224">
        <v>24</v>
      </c>
      <c r="L224" s="1">
        <v>0.93379999999999996</v>
      </c>
      <c r="M224" s="7">
        <v>0.69889999999999997</v>
      </c>
      <c r="N224">
        <v>0.74</v>
      </c>
      <c r="O224" s="1">
        <v>7.1900000000000006E-2</v>
      </c>
      <c r="P224" s="1">
        <v>0.21199999999999999</v>
      </c>
      <c r="Q224" s="8">
        <v>3.0800000000000001E-2</v>
      </c>
      <c r="R224">
        <v>0.13</v>
      </c>
      <c r="S224" s="1">
        <v>2.93E-2</v>
      </c>
      <c r="T224" s="10">
        <f>G224*(-0.5)+(1-I224)+(1-M224)+Q224+S224</f>
        <v>1.4471499999999999</v>
      </c>
      <c r="U224" t="s">
        <v>988</v>
      </c>
    </row>
    <row r="225" spans="1:21" x14ac:dyDescent="0.2">
      <c r="A225" t="s">
        <v>20</v>
      </c>
      <c r="B225" t="s">
        <v>986</v>
      </c>
      <c r="C225" t="s">
        <v>975</v>
      </c>
      <c r="D225" t="s">
        <v>987</v>
      </c>
      <c r="E225" t="s">
        <v>71</v>
      </c>
      <c r="G225" s="1">
        <v>-0.11700000000000001</v>
      </c>
      <c r="H225" s="1">
        <v>-0.56240000000000001</v>
      </c>
      <c r="I225" s="6">
        <v>0.50439999999999996</v>
      </c>
      <c r="J225" s="1">
        <v>0.13250000000000001</v>
      </c>
      <c r="K225">
        <v>8.3000000000000007</v>
      </c>
      <c r="L225" s="1">
        <v>0.37269999999999998</v>
      </c>
      <c r="M225" s="7">
        <v>0.2467</v>
      </c>
      <c r="N225">
        <v>0.93</v>
      </c>
      <c r="O225" s="1">
        <v>0.3342</v>
      </c>
      <c r="P225" s="1">
        <v>0.18940000000000001</v>
      </c>
      <c r="Q225" s="8">
        <v>0.112</v>
      </c>
      <c r="R225">
        <v>1.3</v>
      </c>
      <c r="S225" s="1">
        <v>2.4299999999999999E-2</v>
      </c>
      <c r="T225" s="10">
        <f>G225*(-0.5)+(1-I225)+(1-M225)+Q225+S225</f>
        <v>1.4437</v>
      </c>
      <c r="U225" t="s">
        <v>913</v>
      </c>
    </row>
    <row r="226" spans="1:21" x14ac:dyDescent="0.2">
      <c r="A226" t="s">
        <v>20</v>
      </c>
      <c r="B226" t="s">
        <v>911</v>
      </c>
      <c r="C226" t="s">
        <v>706</v>
      </c>
      <c r="D226" t="s">
        <v>912</v>
      </c>
      <c r="E226" t="s">
        <v>216</v>
      </c>
      <c r="G226" s="1">
        <v>-0.19620000000000001</v>
      </c>
      <c r="H226" s="1">
        <v>-0.54349999999999998</v>
      </c>
      <c r="I226" s="6">
        <v>0.43209999999999998</v>
      </c>
      <c r="J226" s="1">
        <v>0.24410000000000001</v>
      </c>
      <c r="K226">
        <v>24</v>
      </c>
      <c r="L226" s="1">
        <v>0.26440000000000002</v>
      </c>
      <c r="M226" s="7">
        <v>0.33500000000000002</v>
      </c>
      <c r="N226">
        <v>1.9</v>
      </c>
      <c r="O226" s="1">
        <v>0.25209999999999999</v>
      </c>
      <c r="P226" s="1">
        <v>0.21959999999999999</v>
      </c>
      <c r="Q226" s="8">
        <v>7.9199999999999993E-2</v>
      </c>
      <c r="R226">
        <v>0.34</v>
      </c>
      <c r="S226" s="1">
        <v>1.66E-2</v>
      </c>
      <c r="T226" s="10">
        <f>G226*(-0.5)+(1-I226)+(1-M226)+Q226+S226</f>
        <v>1.4267999999999998</v>
      </c>
      <c r="U226" t="s">
        <v>490</v>
      </c>
    </row>
    <row r="227" spans="1:21" x14ac:dyDescent="0.2">
      <c r="A227" t="s">
        <v>20</v>
      </c>
      <c r="B227" t="s">
        <v>487</v>
      </c>
      <c r="C227" t="s">
        <v>488</v>
      </c>
      <c r="D227" t="s">
        <v>489</v>
      </c>
      <c r="E227" t="s">
        <v>24</v>
      </c>
      <c r="G227" s="1">
        <v>-0.1356</v>
      </c>
      <c r="H227" s="1">
        <v>-0.3125</v>
      </c>
      <c r="I227" s="6">
        <v>0.20469999999999999</v>
      </c>
      <c r="J227" s="1">
        <v>0.15690000000000001</v>
      </c>
      <c r="K227">
        <v>85</v>
      </c>
      <c r="L227" s="1">
        <v>0.9476</v>
      </c>
      <c r="M227" s="7">
        <v>0.505</v>
      </c>
      <c r="N227">
        <v>5.4</v>
      </c>
      <c r="O227" s="1">
        <v>0.88709999999999989</v>
      </c>
      <c r="P227" s="1">
        <v>0.32469999999999999</v>
      </c>
      <c r="Q227" s="8">
        <v>6.3500000000000001E-2</v>
      </c>
      <c r="R227">
        <v>7.4999999999999997E-2</v>
      </c>
      <c r="S227" s="1">
        <v>1.4E-3</v>
      </c>
      <c r="T227" s="10">
        <f>G227*(-0.5)+(1-I227)+(1-M227)+Q227+S227</f>
        <v>1.4229999999999998</v>
      </c>
      <c r="U227" t="s">
        <v>728</v>
      </c>
    </row>
    <row r="228" spans="1:21" x14ac:dyDescent="0.2">
      <c r="A228" t="s">
        <v>20</v>
      </c>
      <c r="B228" t="s">
        <v>726</v>
      </c>
      <c r="C228" t="s">
        <v>91</v>
      </c>
      <c r="D228" t="s">
        <v>727</v>
      </c>
      <c r="E228" t="s">
        <v>24</v>
      </c>
      <c r="G228" s="1">
        <v>-0.38990000000000002</v>
      </c>
      <c r="H228" s="1">
        <v>-0.58050000000000002</v>
      </c>
      <c r="I228" s="6">
        <v>0.31240000000000001</v>
      </c>
      <c r="J228" s="1">
        <v>0.6391</v>
      </c>
      <c r="K228">
        <v>71</v>
      </c>
      <c r="L228" s="1">
        <v>0.48340000000000011</v>
      </c>
      <c r="M228" s="7">
        <v>0.53369999999999995</v>
      </c>
      <c r="N228">
        <v>5.0999999999999996</v>
      </c>
      <c r="O228" s="1">
        <v>0.68669999999999998</v>
      </c>
      <c r="P228" s="1">
        <v>0.50659999999999994</v>
      </c>
      <c r="Q228" s="8">
        <v>7.1800000000000003E-2</v>
      </c>
      <c r="R228">
        <v>0.1</v>
      </c>
      <c r="S228" s="1">
        <v>2.2000000000000001E-3</v>
      </c>
      <c r="T228" s="10">
        <f>G228*(-0.5)+(1-I228)+(1-M228)+Q228+S228</f>
        <v>1.4228500000000002</v>
      </c>
      <c r="U228" t="s">
        <v>621</v>
      </c>
    </row>
    <row r="229" spans="1:21" x14ac:dyDescent="0.2">
      <c r="A229" t="s">
        <v>20</v>
      </c>
      <c r="B229" t="s">
        <v>619</v>
      </c>
      <c r="C229" t="s">
        <v>197</v>
      </c>
      <c r="D229" t="s">
        <v>620</v>
      </c>
      <c r="E229" t="s">
        <v>24</v>
      </c>
      <c r="G229" s="1">
        <v>-9.7699999999999995E-2</v>
      </c>
      <c r="H229" s="1">
        <v>-0.33279999999999998</v>
      </c>
      <c r="I229" s="6">
        <v>0.2606</v>
      </c>
      <c r="J229" s="1">
        <v>0.10829999999999999</v>
      </c>
      <c r="K229">
        <v>39</v>
      </c>
      <c r="L229" s="1">
        <v>0.96519999999999995</v>
      </c>
      <c r="M229" s="7">
        <v>0.46660000000000001</v>
      </c>
      <c r="N229">
        <v>3.4</v>
      </c>
      <c r="O229" s="1">
        <v>0.20849999999999999</v>
      </c>
      <c r="P229" s="1">
        <v>0.1673</v>
      </c>
      <c r="Q229" s="8">
        <v>8.72E-2</v>
      </c>
      <c r="R229">
        <v>0.23</v>
      </c>
      <c r="S229" s="1">
        <v>0.01</v>
      </c>
      <c r="T229" s="10">
        <f>G229*(-0.5)+(1-I229)+(1-M229)+Q229+S229</f>
        <v>1.4188499999999999</v>
      </c>
      <c r="U229" t="s">
        <v>475</v>
      </c>
    </row>
    <row r="230" spans="1:21" x14ac:dyDescent="0.2">
      <c r="A230" t="s">
        <v>20</v>
      </c>
      <c r="B230" t="s">
        <v>472</v>
      </c>
      <c r="C230" t="s">
        <v>473</v>
      </c>
      <c r="D230" t="s">
        <v>474</v>
      </c>
      <c r="E230" t="s">
        <v>24</v>
      </c>
      <c r="G230" s="1">
        <v>-0.58950000000000002</v>
      </c>
      <c r="H230" s="1">
        <v>-0.67249999999999999</v>
      </c>
      <c r="I230" s="6">
        <v>0.20219999999999999</v>
      </c>
      <c r="J230" s="1">
        <v>1.4360999999999999</v>
      </c>
      <c r="K230">
        <v>65</v>
      </c>
      <c r="L230" s="1">
        <v>0.63500000000000001</v>
      </c>
      <c r="M230" s="7">
        <v>0.72129999999999994</v>
      </c>
      <c r="N230">
        <v>2.1</v>
      </c>
      <c r="O230" s="1">
        <v>9.9299999999999999E-2</v>
      </c>
      <c r="P230" s="1">
        <v>0.23269999999999999</v>
      </c>
      <c r="Q230" s="8">
        <v>3.2300000000000002E-2</v>
      </c>
      <c r="R230">
        <v>4.9000000000000002E-2</v>
      </c>
      <c r="S230" s="1">
        <v>1.0999999999999999E-2</v>
      </c>
      <c r="T230" s="10">
        <f>G230*(-0.5)+(1-I230)+(1-M230)+Q230+S230</f>
        <v>1.4145500000000002</v>
      </c>
      <c r="U230" t="s">
        <v>1009</v>
      </c>
    </row>
    <row r="231" spans="1:21" x14ac:dyDescent="0.2">
      <c r="A231" t="s">
        <v>20</v>
      </c>
      <c r="B231" t="s">
        <v>1006</v>
      </c>
      <c r="C231" t="s">
        <v>1007</v>
      </c>
      <c r="D231" t="s">
        <v>1008</v>
      </c>
      <c r="E231" t="s">
        <v>24</v>
      </c>
      <c r="G231" s="1">
        <v>-0.27229999999999999</v>
      </c>
      <c r="H231" s="1">
        <v>-0.67120000000000002</v>
      </c>
      <c r="I231" s="6">
        <v>0.54820000000000002</v>
      </c>
      <c r="J231" s="1">
        <v>0.37419999999999998</v>
      </c>
      <c r="K231">
        <v>59</v>
      </c>
      <c r="L231" s="1">
        <v>0.27200000000000002</v>
      </c>
      <c r="M231" s="7">
        <v>0.24299999999999999</v>
      </c>
      <c r="N231">
        <v>3</v>
      </c>
      <c r="O231" s="1">
        <v>0.32319999999999999</v>
      </c>
      <c r="P231" s="1">
        <v>0.31890000000000002</v>
      </c>
      <c r="Q231" s="8">
        <v>5.0799999999999998E-2</v>
      </c>
      <c r="R231">
        <v>8.5999999999999993E-2</v>
      </c>
      <c r="S231" s="1">
        <v>4.7999999999999996E-3</v>
      </c>
      <c r="T231" s="10">
        <f>G231*(-0.5)+(1-I231)+(1-M231)+Q231+S231</f>
        <v>1.4005499999999997</v>
      </c>
      <c r="U231" t="s">
        <v>653</v>
      </c>
    </row>
    <row r="232" spans="1:21" x14ac:dyDescent="0.2">
      <c r="A232" t="s">
        <v>20</v>
      </c>
      <c r="B232" t="s">
        <v>651</v>
      </c>
      <c r="C232" t="s">
        <v>39</v>
      </c>
      <c r="D232" t="s">
        <v>652</v>
      </c>
      <c r="E232" t="s">
        <v>71</v>
      </c>
      <c r="G232" s="1">
        <v>-0.33810000000000001</v>
      </c>
      <c r="H232" s="1">
        <v>-0.52190000000000003</v>
      </c>
      <c r="I232" s="6">
        <v>0.2777</v>
      </c>
      <c r="J232" s="1">
        <v>0.51080000000000003</v>
      </c>
      <c r="K232">
        <v>15</v>
      </c>
      <c r="L232" s="1">
        <v>0.85389999999999999</v>
      </c>
      <c r="M232" s="7">
        <v>0.57840000000000003</v>
      </c>
      <c r="N232">
        <v>0.74</v>
      </c>
      <c r="O232" s="1">
        <v>7.51E-2</v>
      </c>
      <c r="P232" s="1">
        <v>0.25219999999999998</v>
      </c>
      <c r="Q232" s="8">
        <v>4.9299999999999997E-2</v>
      </c>
      <c r="R232">
        <v>0.33</v>
      </c>
      <c r="S232" s="1">
        <v>3.0599999999999999E-2</v>
      </c>
      <c r="T232" s="10">
        <f>G232*(-0.5)+(1-I232)+(1-M232)+Q232+S232</f>
        <v>1.3928499999999997</v>
      </c>
      <c r="U232" t="s">
        <v>735</v>
      </c>
    </row>
    <row r="233" spans="1:21" x14ac:dyDescent="0.2">
      <c r="A233" t="s">
        <v>20</v>
      </c>
      <c r="B233" t="s">
        <v>733</v>
      </c>
      <c r="C233" t="s">
        <v>384</v>
      </c>
      <c r="D233" t="s">
        <v>734</v>
      </c>
      <c r="E233" t="s">
        <v>24</v>
      </c>
      <c r="G233" s="1">
        <v>-0.30809999999999998</v>
      </c>
      <c r="H233" s="1">
        <v>-0.5262</v>
      </c>
      <c r="I233" s="6">
        <v>0.31519999999999998</v>
      </c>
      <c r="J233" s="1">
        <v>0.44529999999999997</v>
      </c>
      <c r="K233">
        <v>46</v>
      </c>
      <c r="L233" s="1">
        <v>0.62590000000000001</v>
      </c>
      <c r="M233" s="7">
        <v>0.53689999999999993</v>
      </c>
      <c r="N233">
        <v>3.7</v>
      </c>
      <c r="O233" s="1">
        <v>0.51479999999999992</v>
      </c>
      <c r="P233" s="1">
        <v>0.40799999999999997</v>
      </c>
      <c r="Q233" s="8">
        <v>8.0399999999999985E-2</v>
      </c>
      <c r="R233">
        <v>0.18</v>
      </c>
      <c r="S233" s="1">
        <v>7.4999999999999997E-3</v>
      </c>
      <c r="T233" s="10">
        <f>G233*(-0.5)+(1-I233)+(1-M233)+Q233+S233</f>
        <v>1.3898500000000003</v>
      </c>
      <c r="U233" t="s">
        <v>771</v>
      </c>
    </row>
    <row r="234" spans="1:21" x14ac:dyDescent="0.2">
      <c r="A234" t="s">
        <v>20</v>
      </c>
      <c r="B234" t="s">
        <v>769</v>
      </c>
      <c r="C234" t="s">
        <v>477</v>
      </c>
      <c r="D234" t="s">
        <v>770</v>
      </c>
      <c r="E234" t="s">
        <v>24</v>
      </c>
      <c r="G234" s="1">
        <v>-0.2046</v>
      </c>
      <c r="H234" s="1">
        <v>-0.46760000000000002</v>
      </c>
      <c r="I234" s="6">
        <v>0.33069999999999999</v>
      </c>
      <c r="J234" s="1">
        <v>0.25719999999999998</v>
      </c>
      <c r="K234">
        <v>47</v>
      </c>
      <c r="L234" s="1">
        <v>0.27729999999999999</v>
      </c>
      <c r="M234" s="7">
        <v>0.49</v>
      </c>
      <c r="N234">
        <v>4.4000000000000004</v>
      </c>
      <c r="O234" s="1">
        <v>0.74879999999999991</v>
      </c>
      <c r="P234" s="1">
        <v>0.50609999999999999</v>
      </c>
      <c r="Q234" s="8">
        <v>9.3599999999999989E-2</v>
      </c>
      <c r="R234">
        <v>0.2</v>
      </c>
      <c r="S234" s="1">
        <v>6.8999999999999999E-3</v>
      </c>
      <c r="T234" s="10">
        <f>G234*(-0.5)+(1-I234)+(1-M234)+Q234+S234</f>
        <v>1.3820999999999999</v>
      </c>
      <c r="U234" t="s">
        <v>739</v>
      </c>
    </row>
    <row r="235" spans="1:21" x14ac:dyDescent="0.2">
      <c r="A235" t="s">
        <v>20</v>
      </c>
      <c r="B235" t="s">
        <v>736</v>
      </c>
      <c r="C235" t="s">
        <v>737</v>
      </c>
      <c r="D235" t="s">
        <v>738</v>
      </c>
      <c r="E235" t="s">
        <v>24</v>
      </c>
      <c r="G235" s="1">
        <v>-0.154</v>
      </c>
      <c r="H235" s="1">
        <v>-0.4214</v>
      </c>
      <c r="I235" s="6">
        <v>0.31609999999999999</v>
      </c>
      <c r="J235" s="1">
        <v>0.182</v>
      </c>
      <c r="K235">
        <v>59</v>
      </c>
      <c r="L235" s="1">
        <v>0.84239999999999993</v>
      </c>
      <c r="M235" s="7">
        <v>0.44550000000000001</v>
      </c>
      <c r="N235">
        <v>3.4</v>
      </c>
      <c r="O235" s="1">
        <v>0.28000000000000003</v>
      </c>
      <c r="P235" s="1">
        <v>0.26989999999999997</v>
      </c>
      <c r="Q235" s="8">
        <v>5.7599999999999998E-2</v>
      </c>
      <c r="R235">
        <v>9.7000000000000003E-2</v>
      </c>
      <c r="S235" s="1">
        <v>7.4999999999999997E-3</v>
      </c>
      <c r="T235" s="10">
        <f>G235*(-0.5)+(1-I235)+(1-M235)+Q235+S235</f>
        <v>1.3805000000000001</v>
      </c>
      <c r="U235" t="s">
        <v>573</v>
      </c>
    </row>
    <row r="236" spans="1:21" x14ac:dyDescent="0.2">
      <c r="A236" t="s">
        <v>20</v>
      </c>
      <c r="B236" t="s">
        <v>571</v>
      </c>
      <c r="C236" t="s">
        <v>91</v>
      </c>
      <c r="D236" t="s">
        <v>572</v>
      </c>
      <c r="E236" t="s">
        <v>24</v>
      </c>
      <c r="G236" s="1">
        <v>-0.29799999999999999</v>
      </c>
      <c r="H236" s="1">
        <v>-0.4617</v>
      </c>
      <c r="I236" s="6">
        <v>0.23319999999999999</v>
      </c>
      <c r="J236" s="1">
        <v>0.42449999999999999</v>
      </c>
      <c r="K236">
        <v>32</v>
      </c>
      <c r="L236" s="1">
        <v>0.53069999999999995</v>
      </c>
      <c r="M236" s="7">
        <v>0.62020000000000008</v>
      </c>
      <c r="N236">
        <v>2.2999999999999998</v>
      </c>
      <c r="O236" s="1">
        <v>0.63929999999999998</v>
      </c>
      <c r="P236" s="1">
        <v>0.47920000000000001</v>
      </c>
      <c r="Q236" s="8">
        <v>7.1900000000000006E-2</v>
      </c>
      <c r="R236">
        <v>0.23</v>
      </c>
      <c r="S236" s="1">
        <v>1.24E-2</v>
      </c>
      <c r="T236" s="10">
        <f>G236*(-0.5)+(1-I236)+(1-M236)+Q236+S236</f>
        <v>1.3798999999999999</v>
      </c>
      <c r="U236" t="s">
        <v>545</v>
      </c>
    </row>
    <row r="237" spans="1:21" x14ac:dyDescent="0.2">
      <c r="A237" t="s">
        <v>20</v>
      </c>
      <c r="B237" t="s">
        <v>542</v>
      </c>
      <c r="C237" t="s">
        <v>543</v>
      </c>
      <c r="D237" t="s">
        <v>544</v>
      </c>
      <c r="E237" t="s">
        <v>24</v>
      </c>
      <c r="G237" s="1">
        <v>-0.36409999999999998</v>
      </c>
      <c r="H237" s="1">
        <v>-0.50680000000000003</v>
      </c>
      <c r="I237" s="6">
        <v>0.22439999999999999</v>
      </c>
      <c r="J237" s="1">
        <v>0.5726</v>
      </c>
      <c r="K237">
        <v>70</v>
      </c>
      <c r="L237" s="1">
        <v>0.72049999999999992</v>
      </c>
      <c r="M237" s="7">
        <v>0.65339999999999998</v>
      </c>
      <c r="N237">
        <v>4.9000000000000004</v>
      </c>
      <c r="O237" s="1">
        <v>0.63729999999999998</v>
      </c>
      <c r="P237" s="1">
        <v>0.60329999999999995</v>
      </c>
      <c r="Q237" s="8">
        <v>7.0000000000000007E-2</v>
      </c>
      <c r="R237">
        <v>0.1</v>
      </c>
      <c r="S237" s="1">
        <v>1.8E-3</v>
      </c>
      <c r="T237" s="10">
        <f>G237*(-0.5)+(1-I237)+(1-M237)+Q237+S237</f>
        <v>1.3760500000000002</v>
      </c>
      <c r="U237" t="s">
        <v>849</v>
      </c>
    </row>
    <row r="238" spans="1:21" x14ac:dyDescent="0.2">
      <c r="A238" t="s">
        <v>20</v>
      </c>
      <c r="B238" t="s">
        <v>847</v>
      </c>
      <c r="C238" t="s">
        <v>450</v>
      </c>
      <c r="D238" t="s">
        <v>848</v>
      </c>
      <c r="E238" t="s">
        <v>24</v>
      </c>
      <c r="G238" s="1">
        <v>-0.16880000000000001</v>
      </c>
      <c r="H238" s="1">
        <v>-0.4904</v>
      </c>
      <c r="I238" s="6">
        <v>0.38690000000000002</v>
      </c>
      <c r="J238" s="1">
        <v>0.2031</v>
      </c>
      <c r="K238">
        <v>40</v>
      </c>
      <c r="L238" s="1">
        <v>0.52539999999999998</v>
      </c>
      <c r="M238" s="7">
        <v>0.42959999999999998</v>
      </c>
      <c r="N238">
        <v>3.8</v>
      </c>
      <c r="O238" s="1">
        <v>0.51929999999999998</v>
      </c>
      <c r="P238" s="1">
        <v>0.33270000000000011</v>
      </c>
      <c r="Q238" s="8">
        <v>9.5000000000000001E-2</v>
      </c>
      <c r="R238">
        <v>0.24</v>
      </c>
      <c r="S238" s="1">
        <v>6.1000000000000004E-3</v>
      </c>
      <c r="T238" s="10">
        <f>G238*(-0.5)+(1-I238)+(1-M238)+Q238+S238</f>
        <v>1.369</v>
      </c>
      <c r="U238" t="s">
        <v>955</v>
      </c>
    </row>
    <row r="239" spans="1:21" x14ac:dyDescent="0.2">
      <c r="A239" t="s">
        <v>20</v>
      </c>
      <c r="B239" t="s">
        <v>952</v>
      </c>
      <c r="C239" t="s">
        <v>953</v>
      </c>
      <c r="D239" t="s">
        <v>954</v>
      </c>
      <c r="E239" t="s">
        <v>24</v>
      </c>
      <c r="G239" s="1">
        <v>-0.2127</v>
      </c>
      <c r="H239" s="1">
        <v>-0.57810000000000006</v>
      </c>
      <c r="I239" s="6">
        <v>0.46410000000000001</v>
      </c>
      <c r="J239" s="1">
        <v>0.2702</v>
      </c>
      <c r="K239">
        <v>29</v>
      </c>
      <c r="L239" s="1">
        <v>0.40899999999999997</v>
      </c>
      <c r="M239" s="7">
        <v>0.39850000000000002</v>
      </c>
      <c r="N239">
        <v>3.2</v>
      </c>
      <c r="O239" s="1">
        <v>0.26</v>
      </c>
      <c r="P239" s="1">
        <v>0.26929999999999998</v>
      </c>
      <c r="Q239" s="8">
        <v>0.1103</v>
      </c>
      <c r="R239">
        <v>0.38</v>
      </c>
      <c r="S239" s="1">
        <v>1.47E-2</v>
      </c>
      <c r="T239" s="10">
        <f>G239*(-0.5)+(1-I239)+(1-M239)+Q239+S239</f>
        <v>1.3687499999999999</v>
      </c>
      <c r="U239" t="s">
        <v>896</v>
      </c>
    </row>
    <row r="240" spans="1:21" x14ac:dyDescent="0.2">
      <c r="A240" t="s">
        <v>20</v>
      </c>
      <c r="B240" t="s">
        <v>894</v>
      </c>
      <c r="C240" t="s">
        <v>91</v>
      </c>
      <c r="D240" t="s">
        <v>895</v>
      </c>
      <c r="E240" t="s">
        <v>71</v>
      </c>
      <c r="G240" s="1">
        <v>-0.35830000000000001</v>
      </c>
      <c r="H240" s="1">
        <v>-0.63229999999999997</v>
      </c>
      <c r="I240" s="6">
        <v>0.42699999999999999</v>
      </c>
      <c r="J240" s="1">
        <v>0.55840000000000001</v>
      </c>
      <c r="K240">
        <v>19</v>
      </c>
      <c r="L240" s="1">
        <v>0.26279999999999998</v>
      </c>
      <c r="M240" s="7">
        <v>0.46929999999999999</v>
      </c>
      <c r="N240">
        <v>1.3</v>
      </c>
      <c r="O240" s="1">
        <v>0.1018</v>
      </c>
      <c r="P240" s="1">
        <v>0.19239999999999999</v>
      </c>
      <c r="Q240" s="8">
        <v>6.8400000000000002E-2</v>
      </c>
      <c r="R240">
        <v>0.35</v>
      </c>
      <c r="S240" s="1">
        <v>1.52E-2</v>
      </c>
      <c r="T240" s="10">
        <f>G240*(-0.5)+(1-I240)+(1-M240)+Q240+S240</f>
        <v>1.3664499999999999</v>
      </c>
      <c r="U240" t="s">
        <v>113</v>
      </c>
    </row>
    <row r="241" spans="1:21" x14ac:dyDescent="0.2">
      <c r="A241" t="s">
        <v>20</v>
      </c>
      <c r="B241" t="s">
        <v>110</v>
      </c>
      <c r="C241" t="s">
        <v>111</v>
      </c>
      <c r="D241" t="s">
        <v>112</v>
      </c>
      <c r="E241" t="s">
        <v>71</v>
      </c>
      <c r="G241" s="1">
        <v>-0.44769999999999999</v>
      </c>
      <c r="H241" s="1">
        <v>-0.48349999999999999</v>
      </c>
      <c r="I241" s="6">
        <v>6.480000000000001E-2</v>
      </c>
      <c r="J241" s="1">
        <v>0.81059999999999999</v>
      </c>
      <c r="K241">
        <v>41</v>
      </c>
      <c r="L241" s="1">
        <v>0.93189999999999995</v>
      </c>
      <c r="M241" s="7">
        <v>0.84400000000000008</v>
      </c>
      <c r="N241">
        <v>0.91</v>
      </c>
      <c r="O241" s="1">
        <v>3.61E-2</v>
      </c>
      <c r="P241" s="1">
        <v>0.1278</v>
      </c>
      <c r="Q241" s="8">
        <v>2.2200000000000001E-2</v>
      </c>
      <c r="R241">
        <v>5.5E-2</v>
      </c>
      <c r="S241" s="1">
        <v>2.2200000000000001E-2</v>
      </c>
      <c r="T241" s="10">
        <f>G241*(-0.5)+(1-I241)+(1-M241)+Q241+S241</f>
        <v>1.35945</v>
      </c>
      <c r="U241" t="s">
        <v>951</v>
      </c>
    </row>
    <row r="242" spans="1:21" x14ac:dyDescent="0.2">
      <c r="A242" t="s">
        <v>20</v>
      </c>
      <c r="B242" t="s">
        <v>948</v>
      </c>
      <c r="C242" t="s">
        <v>949</v>
      </c>
      <c r="D242" t="s">
        <v>950</v>
      </c>
      <c r="E242" t="s">
        <v>24</v>
      </c>
      <c r="G242" s="1">
        <v>-0.2427</v>
      </c>
      <c r="H242" s="1">
        <v>-0.58889999999999998</v>
      </c>
      <c r="I242" s="6">
        <v>0.4572</v>
      </c>
      <c r="J242" s="1">
        <v>0.32050000000000001</v>
      </c>
      <c r="K242">
        <v>33</v>
      </c>
      <c r="L242" s="1">
        <v>0.22539999999999999</v>
      </c>
      <c r="M242" s="7">
        <v>0.41549999999999998</v>
      </c>
      <c r="N242">
        <v>2.8</v>
      </c>
      <c r="O242" s="1">
        <v>0.17649999999999999</v>
      </c>
      <c r="P242" s="1">
        <v>0.29759999999999998</v>
      </c>
      <c r="Q242" s="8">
        <v>8.48E-2</v>
      </c>
      <c r="R242">
        <v>0.26</v>
      </c>
      <c r="S242" s="1">
        <v>1.6500000000000001E-2</v>
      </c>
      <c r="T242" s="10">
        <f>G242*(-0.5)+(1-I242)+(1-M242)+Q242+S242</f>
        <v>1.34995</v>
      </c>
      <c r="U242" t="s">
        <v>855</v>
      </c>
    </row>
    <row r="243" spans="1:21" x14ac:dyDescent="0.2">
      <c r="A243" t="s">
        <v>20</v>
      </c>
      <c r="B243" t="s">
        <v>853</v>
      </c>
      <c r="C243" t="s">
        <v>575</v>
      </c>
      <c r="D243" t="s">
        <v>854</v>
      </c>
      <c r="E243" t="s">
        <v>71</v>
      </c>
      <c r="G243" s="1">
        <v>-0.25330000000000003</v>
      </c>
      <c r="H243" s="1">
        <v>-0.54520000000000002</v>
      </c>
      <c r="I243" s="6">
        <v>0.39090000000000003</v>
      </c>
      <c r="J243" s="1">
        <v>0.3392</v>
      </c>
      <c r="K243">
        <v>24</v>
      </c>
      <c r="L243" s="1">
        <v>0.8417</v>
      </c>
      <c r="M243" s="7">
        <v>0.49450000000000011</v>
      </c>
      <c r="N243">
        <v>1.9</v>
      </c>
      <c r="O243" s="1">
        <v>0.73480000000000001</v>
      </c>
      <c r="P243" s="1">
        <v>0.34410000000000002</v>
      </c>
      <c r="Q243" s="8">
        <v>7.9199999999999993E-2</v>
      </c>
      <c r="R243">
        <v>0.33</v>
      </c>
      <c r="S243" s="1">
        <v>2.12E-2</v>
      </c>
      <c r="T243" s="10">
        <f>G243*(-0.5)+(1-I243)+(1-M243)+Q243+S243</f>
        <v>1.34165</v>
      </c>
      <c r="U243" t="s">
        <v>796</v>
      </c>
    </row>
    <row r="244" spans="1:21" x14ac:dyDescent="0.2">
      <c r="A244" t="s">
        <v>20</v>
      </c>
      <c r="B244" t="s">
        <v>794</v>
      </c>
      <c r="C244" t="s">
        <v>156</v>
      </c>
      <c r="D244" t="s">
        <v>795</v>
      </c>
      <c r="E244" t="s">
        <v>24</v>
      </c>
      <c r="G244" s="1">
        <v>-0.32900000000000001</v>
      </c>
      <c r="H244" s="1">
        <v>-0.56459999999999999</v>
      </c>
      <c r="I244" s="6">
        <v>0.35110000000000002</v>
      </c>
      <c r="J244" s="1">
        <v>0.49030000000000001</v>
      </c>
      <c r="K244">
        <v>51</v>
      </c>
      <c r="L244" s="1">
        <v>0.71629999999999994</v>
      </c>
      <c r="M244" s="7">
        <v>0.55869999999999997</v>
      </c>
      <c r="N244">
        <v>4</v>
      </c>
      <c r="O244" s="1">
        <v>0.38009999999999999</v>
      </c>
      <c r="P244" s="1">
        <v>0.32729999999999998</v>
      </c>
      <c r="Q244" s="8">
        <v>7.8399999999999997E-2</v>
      </c>
      <c r="R244">
        <v>0.15</v>
      </c>
      <c r="S244" s="1">
        <v>6.8999999999999999E-3</v>
      </c>
      <c r="T244" s="10">
        <f>G244*(-0.5)+(1-I244)+(1-M244)+Q244+S244</f>
        <v>1.34</v>
      </c>
      <c r="U244" t="s">
        <v>907</v>
      </c>
    </row>
    <row r="245" spans="1:21" x14ac:dyDescent="0.2">
      <c r="A245" t="s">
        <v>20</v>
      </c>
      <c r="B245" t="s">
        <v>905</v>
      </c>
      <c r="C245" t="s">
        <v>91</v>
      </c>
      <c r="D245" t="s">
        <v>906</v>
      </c>
      <c r="E245" t="s">
        <v>24</v>
      </c>
      <c r="G245" s="1">
        <v>-0.1138</v>
      </c>
      <c r="H245" s="1">
        <v>-0.49419999999999997</v>
      </c>
      <c r="I245" s="6">
        <v>0.42920000000000003</v>
      </c>
      <c r="J245" s="1">
        <v>0.12839999999999999</v>
      </c>
      <c r="K245">
        <v>33</v>
      </c>
      <c r="L245" s="1">
        <v>0.20449999999999999</v>
      </c>
      <c r="M245" s="7">
        <v>0.42059999999999997</v>
      </c>
      <c r="N245">
        <v>3.7</v>
      </c>
      <c r="O245" s="1">
        <v>0.6159</v>
      </c>
      <c r="P245" s="1">
        <v>0.42320000000000002</v>
      </c>
      <c r="Q245" s="8">
        <v>0.11210000000000001</v>
      </c>
      <c r="R245">
        <v>0.34</v>
      </c>
      <c r="S245" s="1">
        <v>1.12E-2</v>
      </c>
      <c r="T245" s="10">
        <f>G245*(-0.5)+(1-I245)+(1-M245)+Q245+S245</f>
        <v>1.3304000000000002</v>
      </c>
      <c r="U245" t="s">
        <v>831</v>
      </c>
    </row>
    <row r="246" spans="1:21" x14ac:dyDescent="0.2">
      <c r="A246" t="s">
        <v>20</v>
      </c>
      <c r="B246" t="s">
        <v>829</v>
      </c>
      <c r="C246" t="s">
        <v>407</v>
      </c>
      <c r="D246" t="s">
        <v>830</v>
      </c>
      <c r="E246" t="s">
        <v>24</v>
      </c>
      <c r="G246" s="1">
        <v>-0.14910000000000001</v>
      </c>
      <c r="H246" s="1">
        <v>-0.46600000000000003</v>
      </c>
      <c r="I246" s="6">
        <v>0.37240000000000001</v>
      </c>
      <c r="J246" s="1">
        <v>0.17519999999999999</v>
      </c>
      <c r="K246">
        <v>29</v>
      </c>
      <c r="L246" s="1">
        <v>0.55789999999999995</v>
      </c>
      <c r="M246" s="7">
        <v>0.61450000000000005</v>
      </c>
      <c r="N246">
        <v>6.2</v>
      </c>
      <c r="O246" s="1">
        <v>0.72450000000000003</v>
      </c>
      <c r="P246" s="1">
        <v>0.6149</v>
      </c>
      <c r="Q246" s="8">
        <v>0.21379999999999999</v>
      </c>
      <c r="R246">
        <v>0.74</v>
      </c>
      <c r="S246" s="1">
        <v>2.4400000000000002E-2</v>
      </c>
      <c r="T246" s="10">
        <f>G246*(-0.5)+(1-I246)+(1-M246)+Q246+S246</f>
        <v>1.32585</v>
      </c>
      <c r="U246" t="s">
        <v>998</v>
      </c>
    </row>
    <row r="247" spans="1:21" x14ac:dyDescent="0.2">
      <c r="A247" t="s">
        <v>20</v>
      </c>
      <c r="B247" t="s">
        <v>996</v>
      </c>
      <c r="C247" t="s">
        <v>61</v>
      </c>
      <c r="D247" t="s">
        <v>997</v>
      </c>
      <c r="E247" t="s">
        <v>71</v>
      </c>
      <c r="G247" s="1">
        <v>-7.0199999999999999E-2</v>
      </c>
      <c r="H247" s="1">
        <v>-0.56340000000000001</v>
      </c>
      <c r="I247" s="6">
        <v>0.53039999999999998</v>
      </c>
      <c r="J247" s="1">
        <v>7.5499999999999998E-2</v>
      </c>
      <c r="K247">
        <v>13</v>
      </c>
      <c r="L247" s="1">
        <v>0.46039999999999998</v>
      </c>
      <c r="M247" s="7">
        <v>0.28499999999999998</v>
      </c>
      <c r="N247">
        <v>1.1000000000000001</v>
      </c>
      <c r="O247" s="1">
        <v>0.34100000000000003</v>
      </c>
      <c r="P247" s="1">
        <v>0.23599999999999999</v>
      </c>
      <c r="Q247" s="8">
        <v>8.4600000000000009E-2</v>
      </c>
      <c r="R247">
        <v>0.64</v>
      </c>
      <c r="S247" s="1">
        <v>2.12E-2</v>
      </c>
      <c r="T247" s="10">
        <f>G247*(-0.5)+(1-I247)+(1-M247)+Q247+S247</f>
        <v>1.3255000000000001</v>
      </c>
      <c r="U247" t="s">
        <v>838</v>
      </c>
    </row>
    <row r="248" spans="1:21" x14ac:dyDescent="0.2">
      <c r="A248" t="s">
        <v>20</v>
      </c>
      <c r="B248" t="s">
        <v>835</v>
      </c>
      <c r="C248" t="s">
        <v>836</v>
      </c>
      <c r="D248" t="s">
        <v>837</v>
      </c>
      <c r="E248" t="s">
        <v>24</v>
      </c>
      <c r="G248" s="1">
        <v>-7.5499999999999998E-2</v>
      </c>
      <c r="H248" s="1">
        <v>-0.42370000000000002</v>
      </c>
      <c r="I248" s="6">
        <v>0.37659999999999999</v>
      </c>
      <c r="J248" s="1">
        <v>8.1699999999999995E-2</v>
      </c>
      <c r="K248">
        <v>32</v>
      </c>
      <c r="L248" s="1">
        <v>0.59229999999999994</v>
      </c>
      <c r="M248" s="7">
        <v>0.4622</v>
      </c>
      <c r="N248">
        <v>3.2</v>
      </c>
      <c r="O248" s="1">
        <v>0.43369999999999997</v>
      </c>
      <c r="P248" s="1">
        <v>0.30759999999999998</v>
      </c>
      <c r="Q248" s="8">
        <v>0.1</v>
      </c>
      <c r="R248">
        <v>0.31</v>
      </c>
      <c r="S248" s="1">
        <v>1.5800000000000002E-2</v>
      </c>
      <c r="T248" s="10">
        <f>G248*(-0.5)+(1-I248)+(1-M248)+Q248+S248</f>
        <v>1.3147500000000001</v>
      </c>
      <c r="U248" t="s">
        <v>805</v>
      </c>
    </row>
    <row r="249" spans="1:21" x14ac:dyDescent="0.2">
      <c r="A249" t="s">
        <v>20</v>
      </c>
      <c r="B249" t="s">
        <v>803</v>
      </c>
      <c r="C249" t="s">
        <v>804</v>
      </c>
      <c r="D249" t="s">
        <v>767</v>
      </c>
      <c r="E249" t="s">
        <v>24</v>
      </c>
      <c r="G249" s="1">
        <v>-0.1613</v>
      </c>
      <c r="H249" s="1">
        <v>-0.46129999999999999</v>
      </c>
      <c r="I249" s="6">
        <v>0.35770000000000002</v>
      </c>
      <c r="J249" s="1">
        <v>0.1923</v>
      </c>
      <c r="K249">
        <v>64</v>
      </c>
      <c r="L249" s="1">
        <v>0.68059999999999998</v>
      </c>
      <c r="M249" s="7">
        <v>0.49890000000000001</v>
      </c>
      <c r="N249">
        <v>4.8</v>
      </c>
      <c r="O249" s="1">
        <v>0.57689999999999997</v>
      </c>
      <c r="P249" s="1">
        <v>0.3553</v>
      </c>
      <c r="Q249" s="8">
        <v>7.4999999999999997E-2</v>
      </c>
      <c r="R249">
        <v>0.12</v>
      </c>
      <c r="S249" s="1">
        <v>5.3E-3</v>
      </c>
      <c r="T249" s="10">
        <f>G249*(-0.5)+(1-I249)+(1-M249)+Q249+S249</f>
        <v>1.3043500000000001</v>
      </c>
      <c r="U249" t="s">
        <v>889</v>
      </c>
    </row>
    <row r="250" spans="1:21" x14ac:dyDescent="0.2">
      <c r="A250" t="s">
        <v>20</v>
      </c>
      <c r="B250" t="s">
        <v>887</v>
      </c>
      <c r="C250" t="s">
        <v>327</v>
      </c>
      <c r="D250" t="s">
        <v>888</v>
      </c>
      <c r="E250" t="s">
        <v>24</v>
      </c>
      <c r="G250" s="1">
        <v>-0.28510000000000002</v>
      </c>
      <c r="H250" s="1">
        <v>-0.58389999999999997</v>
      </c>
      <c r="I250" s="6">
        <v>0.41799999999999998</v>
      </c>
      <c r="J250" s="1">
        <v>0.39879999999999999</v>
      </c>
      <c r="K250">
        <v>55</v>
      </c>
      <c r="L250" s="1">
        <v>0.47620000000000001</v>
      </c>
      <c r="M250" s="7">
        <v>0.50009999999999999</v>
      </c>
      <c r="N250">
        <v>4</v>
      </c>
      <c r="O250" s="1">
        <v>0.37109999999999999</v>
      </c>
      <c r="P250" s="1">
        <v>0.37519999999999998</v>
      </c>
      <c r="Q250" s="8">
        <v>7.2700000000000001E-2</v>
      </c>
      <c r="R250">
        <v>0.13</v>
      </c>
      <c r="S250" s="1">
        <v>6.6E-3</v>
      </c>
      <c r="T250" s="10">
        <f>G250*(-0.5)+(1-I250)+(1-M250)+Q250+S250</f>
        <v>1.30375</v>
      </c>
      <c r="U250" t="s">
        <v>859</v>
      </c>
    </row>
    <row r="251" spans="1:21" x14ac:dyDescent="0.2">
      <c r="A251" t="s">
        <v>20</v>
      </c>
      <c r="B251" t="s">
        <v>856</v>
      </c>
      <c r="C251" t="s">
        <v>857</v>
      </c>
      <c r="D251" t="s">
        <v>858</v>
      </c>
      <c r="E251" t="s">
        <v>24</v>
      </c>
      <c r="G251" s="1">
        <v>-0.2452</v>
      </c>
      <c r="H251" s="1">
        <v>-0.54170000000000007</v>
      </c>
      <c r="I251" s="6">
        <v>0.39279999999999998</v>
      </c>
      <c r="J251" s="1">
        <v>0.32490000000000002</v>
      </c>
      <c r="K251">
        <v>45</v>
      </c>
      <c r="L251" s="1">
        <v>0.66680000000000006</v>
      </c>
      <c r="M251" s="7">
        <v>0.52839999999999998</v>
      </c>
      <c r="N251">
        <v>3.7</v>
      </c>
      <c r="O251" s="1">
        <v>0.26429999999999998</v>
      </c>
      <c r="P251" s="1">
        <v>0.30449999999999999</v>
      </c>
      <c r="Q251" s="8">
        <v>8.2200000000000009E-2</v>
      </c>
      <c r="R251">
        <v>0.18</v>
      </c>
      <c r="S251" s="1">
        <v>9.5999999999999992E-3</v>
      </c>
      <c r="T251" s="10">
        <f>G251*(-0.5)+(1-I251)+(1-M251)+Q251+S251</f>
        <v>1.2932000000000001</v>
      </c>
      <c r="U251" t="s">
        <v>852</v>
      </c>
    </row>
    <row r="252" spans="1:21" x14ac:dyDescent="0.2">
      <c r="A252" t="s">
        <v>20</v>
      </c>
      <c r="B252" t="s">
        <v>850</v>
      </c>
      <c r="C252" t="s">
        <v>53</v>
      </c>
      <c r="D252" t="s">
        <v>851</v>
      </c>
      <c r="E252" t="s">
        <v>24</v>
      </c>
      <c r="G252" s="1">
        <v>-0.28799999999999998</v>
      </c>
      <c r="H252" s="1">
        <v>-0.56619999999999993</v>
      </c>
      <c r="I252" s="6">
        <v>0.39069999999999999</v>
      </c>
      <c r="J252" s="1">
        <v>0.40450000000000003</v>
      </c>
      <c r="K252">
        <v>68</v>
      </c>
      <c r="L252" s="1">
        <v>1</v>
      </c>
      <c r="M252" s="7">
        <v>0.54730000000000001</v>
      </c>
      <c r="N252">
        <v>5.2</v>
      </c>
      <c r="O252" s="1">
        <v>0.65900000000000003</v>
      </c>
      <c r="P252" s="1">
        <v>0.37159999999999999</v>
      </c>
      <c r="Q252" s="8">
        <v>7.6499999999999999E-2</v>
      </c>
      <c r="R252">
        <v>0.11</v>
      </c>
      <c r="S252" s="1">
        <v>4.8999999999999998E-3</v>
      </c>
      <c r="T252" s="10">
        <f>G252*(-0.5)+(1-I252)+(1-M252)+Q252+S252</f>
        <v>1.2873999999999999</v>
      </c>
      <c r="U252" t="s">
        <v>398</v>
      </c>
    </row>
    <row r="253" spans="1:21" x14ac:dyDescent="0.2">
      <c r="A253" t="s">
        <v>181</v>
      </c>
      <c r="B253" t="s">
        <v>395</v>
      </c>
      <c r="C253" t="s">
        <v>396</v>
      </c>
      <c r="D253" t="s">
        <v>397</v>
      </c>
      <c r="E253" t="s">
        <v>24</v>
      </c>
      <c r="G253" s="1">
        <v>-0.60770000000000002</v>
      </c>
      <c r="H253" s="1">
        <v>-0.6764</v>
      </c>
      <c r="I253" s="6">
        <v>0.17510000000000001</v>
      </c>
      <c r="J253" s="1">
        <v>1.5490999999999999</v>
      </c>
      <c r="K253">
        <v>150</v>
      </c>
      <c r="L253" s="1">
        <v>0.81430000000000002</v>
      </c>
      <c r="M253" s="7">
        <v>0.89119999999999999</v>
      </c>
      <c r="N253">
        <v>2.5</v>
      </c>
      <c r="O253" s="1">
        <v>0.29299999999999998</v>
      </c>
      <c r="P253" s="1">
        <v>0.22109999999999999</v>
      </c>
      <c r="Q253" s="8">
        <v>1.67E-2</v>
      </c>
      <c r="R253">
        <v>1.0999999999999999E-2</v>
      </c>
      <c r="S253" s="1">
        <v>1.09E-2</v>
      </c>
      <c r="T253" s="10">
        <f>G253*(-0.5)+(1-I253)+(1-M253)+Q253+S253</f>
        <v>1.2651499999999998</v>
      </c>
      <c r="U253" t="s">
        <v>1015</v>
      </c>
    </row>
    <row r="254" spans="1:21" x14ac:dyDescent="0.2">
      <c r="A254" t="s">
        <v>20</v>
      </c>
      <c r="B254" t="s">
        <v>1013</v>
      </c>
      <c r="C254" t="s">
        <v>819</v>
      </c>
      <c r="D254" t="s">
        <v>1014</v>
      </c>
      <c r="E254" t="s">
        <v>24</v>
      </c>
      <c r="G254" s="1">
        <v>0</v>
      </c>
      <c r="H254" s="1">
        <v>-0.55830000000000002</v>
      </c>
      <c r="I254" s="6">
        <v>0.55830000000000002</v>
      </c>
      <c r="J254" s="1">
        <v>0</v>
      </c>
      <c r="K254">
        <v>36</v>
      </c>
      <c r="L254" s="1">
        <v>0.58020000000000005</v>
      </c>
      <c r="M254" s="7">
        <v>0.33110000000000001</v>
      </c>
      <c r="N254">
        <v>5.3</v>
      </c>
      <c r="O254" s="1">
        <v>0.1646</v>
      </c>
      <c r="P254" s="1">
        <v>0.32540000000000002</v>
      </c>
      <c r="Q254" s="8">
        <v>0.1472</v>
      </c>
      <c r="R254">
        <v>0.41</v>
      </c>
      <c r="S254" s="1">
        <v>1.2999999999999999E-3</v>
      </c>
      <c r="T254" s="10">
        <f>G254*(-0.5)+(1-I254)+(1-M254)+Q254+S254</f>
        <v>1.2591000000000001</v>
      </c>
      <c r="U254" t="s">
        <v>786</v>
      </c>
    </row>
    <row r="255" spans="1:21" x14ac:dyDescent="0.2">
      <c r="A255" t="s">
        <v>20</v>
      </c>
      <c r="B255" t="s">
        <v>783</v>
      </c>
      <c r="C255" t="s">
        <v>784</v>
      </c>
      <c r="D255" t="s">
        <v>785</v>
      </c>
      <c r="E255" t="s">
        <v>24</v>
      </c>
      <c r="G255" s="1">
        <v>-0.2059</v>
      </c>
      <c r="H255" s="1">
        <v>-0.47749999999999998</v>
      </c>
      <c r="I255" s="6">
        <v>0.34200000000000003</v>
      </c>
      <c r="J255" s="1">
        <v>0.25929999999999997</v>
      </c>
      <c r="K255">
        <v>98</v>
      </c>
      <c r="L255" s="1">
        <v>0.99529999999999996</v>
      </c>
      <c r="M255" s="7">
        <v>0.57579999999999998</v>
      </c>
      <c r="N255">
        <v>5.7</v>
      </c>
      <c r="O255" s="1">
        <v>0.72640000000000005</v>
      </c>
      <c r="P255" s="1">
        <v>0.33119999999999999</v>
      </c>
      <c r="Q255" s="8">
        <v>5.8200000000000002E-2</v>
      </c>
      <c r="R255">
        <v>5.8999999999999997E-2</v>
      </c>
      <c r="S255" s="1">
        <v>2E-3</v>
      </c>
      <c r="T255" s="10">
        <f>G255*(-0.5)+(1-I255)+(1-M255)+Q255+S255</f>
        <v>1.24535</v>
      </c>
      <c r="U255" t="s">
        <v>714</v>
      </c>
    </row>
    <row r="256" spans="1:21" x14ac:dyDescent="0.2">
      <c r="A256" t="s">
        <v>20</v>
      </c>
      <c r="B256" t="s">
        <v>712</v>
      </c>
      <c r="C256" t="s">
        <v>251</v>
      </c>
      <c r="D256" t="s">
        <v>713</v>
      </c>
      <c r="E256" t="s">
        <v>24</v>
      </c>
      <c r="G256" s="1">
        <v>-0.31709999999999999</v>
      </c>
      <c r="H256" s="1">
        <v>-0.52639999999999998</v>
      </c>
      <c r="I256" s="6">
        <v>0.30649999999999999</v>
      </c>
      <c r="J256" s="1">
        <v>0.46429999999999999</v>
      </c>
      <c r="K256">
        <v>55</v>
      </c>
      <c r="L256" s="1">
        <v>0.68980000000000008</v>
      </c>
      <c r="M256" s="7">
        <v>0.6765000000000001</v>
      </c>
      <c r="N256">
        <v>2.6</v>
      </c>
      <c r="O256" s="1">
        <v>0.27950000000000003</v>
      </c>
      <c r="P256" s="1">
        <v>0.21959999999999999</v>
      </c>
      <c r="Q256" s="8">
        <v>4.7300000000000002E-2</v>
      </c>
      <c r="R256">
        <v>8.5999999999999993E-2</v>
      </c>
      <c r="S256" s="1">
        <v>7.8000000000000014E-3</v>
      </c>
      <c r="T256" s="10">
        <f>G256*(-0.5)+(1-I256)+(1-M256)+Q256+S256</f>
        <v>1.2306499999999998</v>
      </c>
      <c r="U256" t="s">
        <v>969</v>
      </c>
    </row>
    <row r="257" spans="1:21" x14ac:dyDescent="0.2">
      <c r="A257" t="s">
        <v>20</v>
      </c>
      <c r="B257" t="s">
        <v>966</v>
      </c>
      <c r="C257" t="s">
        <v>967</v>
      </c>
      <c r="D257" t="s">
        <v>968</v>
      </c>
      <c r="E257" t="s">
        <v>24</v>
      </c>
      <c r="G257" s="1">
        <v>-0.17699999999999999</v>
      </c>
      <c r="H257" s="1">
        <v>-0.57950000000000002</v>
      </c>
      <c r="I257" s="6">
        <v>0.48909999999999998</v>
      </c>
      <c r="J257" s="1">
        <v>0.21510000000000001</v>
      </c>
      <c r="K257">
        <v>41</v>
      </c>
      <c r="L257" s="1">
        <v>0.37709999999999999</v>
      </c>
      <c r="M257" s="7">
        <v>0.45979999999999999</v>
      </c>
      <c r="N257">
        <v>2.7</v>
      </c>
      <c r="O257" s="1">
        <v>0.1847</v>
      </c>
      <c r="P257" s="1">
        <v>0.2339</v>
      </c>
      <c r="Q257" s="8">
        <v>6.59E-2</v>
      </c>
      <c r="R257">
        <v>0.16</v>
      </c>
      <c r="S257" s="1">
        <v>9.8999999999999991E-3</v>
      </c>
      <c r="T257" s="10">
        <f>G257*(-0.5)+(1-I257)+(1-M257)+Q257+S257</f>
        <v>1.2154000000000003</v>
      </c>
      <c r="U257" t="s">
        <v>448</v>
      </c>
    </row>
    <row r="258" spans="1:21" x14ac:dyDescent="0.2">
      <c r="A258" t="s">
        <v>20</v>
      </c>
      <c r="B258" t="s">
        <v>445</v>
      </c>
      <c r="C258" t="s">
        <v>446</v>
      </c>
      <c r="D258" t="s">
        <v>447</v>
      </c>
      <c r="E258" t="s">
        <v>41</v>
      </c>
      <c r="G258" s="1">
        <v>-0.47660000000000002</v>
      </c>
      <c r="H258" s="1">
        <v>-0.57769999999999999</v>
      </c>
      <c r="I258" s="6">
        <v>0.19320000000000001</v>
      </c>
      <c r="J258" s="1">
        <v>0.91060000000000008</v>
      </c>
      <c r="K258">
        <v>49</v>
      </c>
      <c r="L258" s="1">
        <v>0.74650000000000005</v>
      </c>
      <c r="M258" s="7">
        <v>0.87849999999999995</v>
      </c>
      <c r="N258">
        <v>0.91</v>
      </c>
      <c r="O258" s="1">
        <v>5.0999999999999997E-2</v>
      </c>
      <c r="P258" s="1">
        <v>9.3699999999999992E-2</v>
      </c>
      <c r="Q258" s="8">
        <v>1.8599999999999998E-2</v>
      </c>
      <c r="R258">
        <v>3.7999999999999999E-2</v>
      </c>
      <c r="S258" s="1">
        <v>2.5000000000000001E-2</v>
      </c>
      <c r="T258" s="10">
        <f>G258*(-0.5)+(1-I258)+(1-M258)+Q258+S258</f>
        <v>1.2101999999999997</v>
      </c>
      <c r="U258" t="s">
        <v>973</v>
      </c>
    </row>
    <row r="259" spans="1:21" x14ac:dyDescent="0.2">
      <c r="A259" t="s">
        <v>20</v>
      </c>
      <c r="B259" t="s">
        <v>970</v>
      </c>
      <c r="C259" t="s">
        <v>971</v>
      </c>
      <c r="D259" t="s">
        <v>972</v>
      </c>
      <c r="E259" t="s">
        <v>24</v>
      </c>
      <c r="G259" s="1">
        <v>-0.28079999999999999</v>
      </c>
      <c r="H259" s="1">
        <v>-0.6361</v>
      </c>
      <c r="I259" s="6">
        <v>0.49399999999999999</v>
      </c>
      <c r="J259" s="1">
        <v>0.39040000000000002</v>
      </c>
      <c r="K259">
        <v>35</v>
      </c>
      <c r="L259" s="1">
        <v>0.64549999999999996</v>
      </c>
      <c r="M259" s="7">
        <v>0.51080000000000003</v>
      </c>
      <c r="N259">
        <v>1.8</v>
      </c>
      <c r="O259" s="1">
        <v>0.34250000000000003</v>
      </c>
      <c r="P259" s="1">
        <v>0.21940000000000001</v>
      </c>
      <c r="Q259" s="8">
        <v>5.1399999999999987E-2</v>
      </c>
      <c r="R259">
        <v>0.15</v>
      </c>
      <c r="S259" s="1">
        <v>1.1900000000000001E-2</v>
      </c>
      <c r="T259" s="10">
        <f>G259*(-0.5)+(1-I259)+(1-M259)+Q259+S259</f>
        <v>1.1988999999999999</v>
      </c>
      <c r="U259" t="s">
        <v>577</v>
      </c>
    </row>
    <row r="260" spans="1:21" x14ac:dyDescent="0.2">
      <c r="A260" t="s">
        <v>20</v>
      </c>
      <c r="B260" t="s">
        <v>574</v>
      </c>
      <c r="C260" t="s">
        <v>575</v>
      </c>
      <c r="D260" t="s">
        <v>576</v>
      </c>
      <c r="E260" t="s">
        <v>41</v>
      </c>
      <c r="G260" s="1">
        <v>-0.47249999999999998</v>
      </c>
      <c r="H260" s="1">
        <v>-0.59570000000000001</v>
      </c>
      <c r="I260" s="6">
        <v>0.2336</v>
      </c>
      <c r="J260" s="1">
        <v>0.89569999999999994</v>
      </c>
      <c r="K260">
        <v>41</v>
      </c>
      <c r="L260" s="1">
        <v>0.72030000000000005</v>
      </c>
      <c r="M260" s="7">
        <v>0.85880000000000001</v>
      </c>
      <c r="N260">
        <v>0.9</v>
      </c>
      <c r="O260" s="1">
        <v>4.6600000000000003E-2</v>
      </c>
      <c r="P260" s="1">
        <v>8.8499999999999995E-2</v>
      </c>
      <c r="Q260" s="8">
        <v>2.1999999999999999E-2</v>
      </c>
      <c r="R260">
        <v>5.3999999999999999E-2</v>
      </c>
      <c r="S260" s="1">
        <v>2.5899999999999999E-2</v>
      </c>
      <c r="T260" s="10">
        <f>G260*(-0.5)+(1-I260)+(1-M260)+Q260+S260</f>
        <v>1.1917500000000001</v>
      </c>
      <c r="U260" t="s">
        <v>659</v>
      </c>
    </row>
    <row r="261" spans="1:21" x14ac:dyDescent="0.2">
      <c r="A261" t="s">
        <v>20</v>
      </c>
      <c r="B261" t="s">
        <v>657</v>
      </c>
      <c r="C261" t="s">
        <v>91</v>
      </c>
      <c r="D261" t="s">
        <v>658</v>
      </c>
      <c r="E261" t="s">
        <v>71</v>
      </c>
      <c r="G261" s="1">
        <v>-0.14480000000000001</v>
      </c>
      <c r="H261" s="1">
        <v>-0.38500000000000001</v>
      </c>
      <c r="I261" s="6">
        <v>0.28089999999999998</v>
      </c>
      <c r="J261" s="1">
        <v>0.16930000000000001</v>
      </c>
      <c r="K261">
        <v>28</v>
      </c>
      <c r="L261" s="1">
        <v>0.86629999999999996</v>
      </c>
      <c r="M261" s="7">
        <v>0.68779999999999997</v>
      </c>
      <c r="N261">
        <v>1.8</v>
      </c>
      <c r="O261" s="1">
        <v>0.74170000000000003</v>
      </c>
      <c r="P261" s="1">
        <v>0.33539999999999998</v>
      </c>
      <c r="Q261" s="8">
        <v>6.4299999999999996E-2</v>
      </c>
      <c r="R261">
        <v>0.23</v>
      </c>
      <c r="S261" s="1">
        <v>2.07E-2</v>
      </c>
      <c r="T261" s="10">
        <f>G261*(-0.5)+(1-I261)+(1-M261)+Q261+S261</f>
        <v>1.1887000000000001</v>
      </c>
      <c r="U261" t="s">
        <v>220</v>
      </c>
    </row>
    <row r="262" spans="1:21" x14ac:dyDescent="0.2">
      <c r="A262" t="s">
        <v>20</v>
      </c>
      <c r="B262" t="s">
        <v>218</v>
      </c>
      <c r="C262" t="s">
        <v>91</v>
      </c>
      <c r="D262" t="s">
        <v>219</v>
      </c>
      <c r="E262" t="s">
        <v>71</v>
      </c>
      <c r="G262" s="1">
        <v>-0.43469999999999998</v>
      </c>
      <c r="H262" s="1">
        <v>-0.49880000000000002</v>
      </c>
      <c r="I262" s="6">
        <v>0.1134</v>
      </c>
      <c r="J262" s="1">
        <v>0.76900000000000002</v>
      </c>
      <c r="K262">
        <v>150</v>
      </c>
      <c r="L262" s="1">
        <v>0.98010000000000008</v>
      </c>
      <c r="M262" s="7">
        <v>0.95409999999999995</v>
      </c>
      <c r="N262">
        <v>0.86</v>
      </c>
      <c r="O262" s="1">
        <v>1.32E-2</v>
      </c>
      <c r="P262" s="1">
        <v>8.09E-2</v>
      </c>
      <c r="Q262" s="8">
        <v>5.6999999999999993E-3</v>
      </c>
      <c r="R262">
        <v>3.8E-3</v>
      </c>
      <c r="S262" s="1">
        <v>1.9800000000000002E-2</v>
      </c>
      <c r="T262" s="10">
        <f>G262*(-0.5)+(1-I262)+(1-M262)+Q262+S262</f>
        <v>1.1753500000000001</v>
      </c>
      <c r="U262" t="s">
        <v>1002</v>
      </c>
    </row>
    <row r="263" spans="1:21" x14ac:dyDescent="0.2">
      <c r="A263" t="s">
        <v>20</v>
      </c>
      <c r="B263" t="s">
        <v>999</v>
      </c>
      <c r="C263" t="s">
        <v>1000</v>
      </c>
      <c r="D263" t="s">
        <v>1001</v>
      </c>
      <c r="E263" t="s">
        <v>216</v>
      </c>
      <c r="G263" s="1">
        <v>-0.17219999999999999</v>
      </c>
      <c r="H263" s="1">
        <v>-0.61609999999999998</v>
      </c>
      <c r="I263" s="6">
        <v>0.53620000000000001</v>
      </c>
      <c r="J263" s="1">
        <v>0.20799999999999999</v>
      </c>
      <c r="K263">
        <v>37</v>
      </c>
      <c r="L263" s="1">
        <v>0.39379999999999998</v>
      </c>
      <c r="M263" s="7">
        <v>0.48899999999999999</v>
      </c>
      <c r="N263">
        <v>2.4</v>
      </c>
      <c r="O263" s="1">
        <v>0.24879999999999999</v>
      </c>
      <c r="P263" s="1">
        <v>0.2732</v>
      </c>
      <c r="Q263" s="8">
        <v>6.4899999999999999E-2</v>
      </c>
      <c r="R263">
        <v>0.18</v>
      </c>
      <c r="S263" s="1">
        <v>1.11E-2</v>
      </c>
      <c r="T263" s="10">
        <f>G263*(-0.5)+(1-I263)+(1-M263)+Q263+S263</f>
        <v>1.1369</v>
      </c>
      <c r="U263" t="s">
        <v>1005</v>
      </c>
    </row>
    <row r="264" spans="1:21" x14ac:dyDescent="0.2">
      <c r="A264" t="s">
        <v>20</v>
      </c>
      <c r="B264" t="s">
        <v>1003</v>
      </c>
      <c r="C264" t="s">
        <v>384</v>
      </c>
      <c r="D264" t="s">
        <v>1004</v>
      </c>
      <c r="E264" t="s">
        <v>24</v>
      </c>
      <c r="G264" s="1">
        <v>-0.2303</v>
      </c>
      <c r="H264" s="1">
        <v>-0.65099999999999991</v>
      </c>
      <c r="I264" s="6">
        <v>0.54659999999999997</v>
      </c>
      <c r="J264" s="1">
        <v>0.29920000000000002</v>
      </c>
      <c r="K264">
        <v>70</v>
      </c>
      <c r="L264" s="1">
        <v>0.75739999999999996</v>
      </c>
      <c r="M264" s="7">
        <v>0.51780000000000004</v>
      </c>
      <c r="N264">
        <v>5.0999999999999996</v>
      </c>
      <c r="O264" s="1">
        <v>0.66269999999999996</v>
      </c>
      <c r="P264" s="1">
        <v>0.42909999999999998</v>
      </c>
      <c r="Q264" s="8">
        <v>7.2900000000000006E-2</v>
      </c>
      <c r="R264">
        <v>0.1</v>
      </c>
      <c r="S264" s="1">
        <v>5.6999999999999993E-3</v>
      </c>
      <c r="T264" s="10">
        <f>G264*(-0.5)+(1-I264)+(1-M264)+Q264+S264</f>
        <v>1.1293499999999999</v>
      </c>
      <c r="U264" t="s">
        <v>981</v>
      </c>
    </row>
    <row r="265" spans="1:21" x14ac:dyDescent="0.2">
      <c r="A265" t="s">
        <v>20</v>
      </c>
      <c r="B265" t="s">
        <v>978</v>
      </c>
      <c r="C265" t="s">
        <v>979</v>
      </c>
      <c r="D265" t="s">
        <v>980</v>
      </c>
      <c r="E265" t="s">
        <v>216</v>
      </c>
      <c r="G265" s="1">
        <v>-0.1113</v>
      </c>
      <c r="H265" s="1">
        <v>-0.55659999999999998</v>
      </c>
      <c r="I265" s="6">
        <v>0.50109999999999999</v>
      </c>
      <c r="J265" s="1">
        <v>0.12520000000000001</v>
      </c>
      <c r="K265">
        <v>46</v>
      </c>
      <c r="L265" s="1">
        <v>0.53210000000000002</v>
      </c>
      <c r="M265" s="7">
        <v>0.49459999999999998</v>
      </c>
      <c r="N265">
        <v>2.4</v>
      </c>
      <c r="O265" s="1">
        <v>0.38329999999999997</v>
      </c>
      <c r="P265" s="1">
        <v>0.27200000000000002</v>
      </c>
      <c r="Q265" s="8">
        <v>5.2200000000000003E-2</v>
      </c>
      <c r="R265">
        <v>0.11</v>
      </c>
      <c r="S265" s="1">
        <v>1.03E-2</v>
      </c>
      <c r="T265" s="10">
        <f>G265*(-0.5)+(1-I265)+(1-M265)+Q265+S265</f>
        <v>1.1224500000000002</v>
      </c>
      <c r="U265" t="s">
        <v>985</v>
      </c>
    </row>
    <row r="266" spans="1:21" x14ac:dyDescent="0.2">
      <c r="A266" t="s">
        <v>20</v>
      </c>
      <c r="B266" t="s">
        <v>982</v>
      </c>
      <c r="C266" t="s">
        <v>983</v>
      </c>
      <c r="D266" t="s">
        <v>984</v>
      </c>
      <c r="E266" t="s">
        <v>24</v>
      </c>
      <c r="G266" s="1">
        <v>-0.18329999999999999</v>
      </c>
      <c r="H266" s="1">
        <v>-0.59279999999999999</v>
      </c>
      <c r="I266" s="6">
        <v>0.50139999999999996</v>
      </c>
      <c r="J266" s="1">
        <v>0.22439999999999999</v>
      </c>
      <c r="K266">
        <v>49</v>
      </c>
      <c r="L266" s="1">
        <v>0.71329999999999993</v>
      </c>
      <c r="M266" s="7">
        <v>0.56740000000000002</v>
      </c>
      <c r="N266">
        <v>3.9</v>
      </c>
      <c r="O266" s="1">
        <v>0.29120000000000001</v>
      </c>
      <c r="P266" s="1">
        <v>0.30859999999999999</v>
      </c>
      <c r="Q266" s="8">
        <v>7.9600000000000004E-2</v>
      </c>
      <c r="R266">
        <v>0.16</v>
      </c>
      <c r="S266" s="1">
        <v>7.9000000000000008E-3</v>
      </c>
      <c r="T266" s="10">
        <f>G266*(-0.5)+(1-I266)+(1-M266)+Q266+S266</f>
        <v>1.1103500000000002</v>
      </c>
      <c r="U266" t="s">
        <v>919</v>
      </c>
    </row>
    <row r="267" spans="1:21" x14ac:dyDescent="0.2">
      <c r="A267" t="s">
        <v>20</v>
      </c>
      <c r="B267" t="s">
        <v>917</v>
      </c>
      <c r="C267" t="s">
        <v>57</v>
      </c>
      <c r="D267" t="s">
        <v>918</v>
      </c>
      <c r="E267" t="s">
        <v>24</v>
      </c>
      <c r="G267" s="1">
        <v>-0.30530000000000002</v>
      </c>
      <c r="H267" s="1">
        <v>-0.60719999999999996</v>
      </c>
      <c r="I267" s="6">
        <v>0.43459999999999999</v>
      </c>
      <c r="J267" s="1">
        <v>0.4395</v>
      </c>
      <c r="K267">
        <v>110</v>
      </c>
      <c r="L267" s="1">
        <v>0.93140000000000001</v>
      </c>
      <c r="M267" s="7">
        <v>0.6502</v>
      </c>
      <c r="N267">
        <v>3.6</v>
      </c>
      <c r="O267" s="1">
        <v>0.6794</v>
      </c>
      <c r="P267" s="1">
        <v>0.43340000000000001</v>
      </c>
      <c r="Q267" s="8">
        <v>3.27E-2</v>
      </c>
      <c r="R267">
        <v>0.03</v>
      </c>
      <c r="S267" s="1">
        <v>5.8999999999999999E-3</v>
      </c>
      <c r="T267" s="10">
        <f>G267*(-0.5)+(1-I267)+(1-M267)+Q267+S267</f>
        <v>1.1064499999999999</v>
      </c>
      <c r="U267" t="s">
        <v>933</v>
      </c>
    </row>
    <row r="268" spans="1:21" x14ac:dyDescent="0.2">
      <c r="A268" t="s">
        <v>20</v>
      </c>
      <c r="B268" t="s">
        <v>930</v>
      </c>
      <c r="C268" t="s">
        <v>931</v>
      </c>
      <c r="D268" t="s">
        <v>932</v>
      </c>
      <c r="E268" t="s">
        <v>24</v>
      </c>
      <c r="G268" s="1">
        <v>-0.27600000000000002</v>
      </c>
      <c r="H268" s="1">
        <v>-0.60250000000000004</v>
      </c>
      <c r="I268" s="6">
        <v>0.45100000000000001</v>
      </c>
      <c r="J268" s="1">
        <v>0.38119999999999998</v>
      </c>
      <c r="K268">
        <v>100</v>
      </c>
      <c r="L268" s="1">
        <v>0.81379999999999997</v>
      </c>
      <c r="M268" s="7">
        <v>0.63350000000000006</v>
      </c>
      <c r="N268">
        <v>5</v>
      </c>
      <c r="O268" s="1">
        <v>0.89950000000000008</v>
      </c>
      <c r="P268" s="1">
        <v>0.48880000000000001</v>
      </c>
      <c r="Q268" s="8">
        <v>0.05</v>
      </c>
      <c r="R268">
        <v>4.9000000000000002E-2</v>
      </c>
      <c r="S268" s="1">
        <v>2.8E-3</v>
      </c>
      <c r="T268" s="10">
        <f>G268*(-0.5)+(1-I268)+(1-M268)+Q268+S268</f>
        <v>1.1062999999999998</v>
      </c>
      <c r="U268" t="s">
        <v>868</v>
      </c>
    </row>
    <row r="269" spans="1:21" x14ac:dyDescent="0.2">
      <c r="A269" t="s">
        <v>20</v>
      </c>
      <c r="B269" t="s">
        <v>866</v>
      </c>
      <c r="C269" t="s">
        <v>661</v>
      </c>
      <c r="D269" t="s">
        <v>867</v>
      </c>
      <c r="E269" t="s">
        <v>24</v>
      </c>
      <c r="G269" s="1">
        <v>-0.2198</v>
      </c>
      <c r="H269" s="1">
        <v>-0.53339999999999999</v>
      </c>
      <c r="I269" s="6">
        <v>0.40189999999999998</v>
      </c>
      <c r="J269" s="1">
        <v>0.28170000000000001</v>
      </c>
      <c r="K269">
        <v>81</v>
      </c>
      <c r="L269" s="1">
        <v>0.99010000000000009</v>
      </c>
      <c r="M269" s="7">
        <v>0.69450000000000001</v>
      </c>
      <c r="N269">
        <v>5.5</v>
      </c>
      <c r="O269" s="1">
        <v>0.79159999999999997</v>
      </c>
      <c r="P269" s="1">
        <v>0.48480000000000001</v>
      </c>
      <c r="Q269" s="8">
        <v>6.7900000000000002E-2</v>
      </c>
      <c r="R269">
        <v>8.4000000000000005E-2</v>
      </c>
      <c r="S269" s="1">
        <v>4.5000000000000014E-3</v>
      </c>
      <c r="T269" s="10">
        <f>G269*(-0.5)+(1-I269)+(1-M269)+Q269+S269</f>
        <v>1.0859000000000001</v>
      </c>
      <c r="U269" t="s">
        <v>977</v>
      </c>
    </row>
    <row r="270" spans="1:21" x14ac:dyDescent="0.2">
      <c r="A270" t="s">
        <v>20</v>
      </c>
      <c r="B270" t="s">
        <v>974</v>
      </c>
      <c r="C270" t="s">
        <v>975</v>
      </c>
      <c r="D270" t="s">
        <v>976</v>
      </c>
      <c r="E270" t="s">
        <v>24</v>
      </c>
      <c r="G270" s="1">
        <v>-0.26069999999999999</v>
      </c>
      <c r="H270" s="1">
        <v>-0.62950000000000006</v>
      </c>
      <c r="I270" s="6">
        <v>0.49890000000000001</v>
      </c>
      <c r="J270" s="1">
        <v>0.35260000000000002</v>
      </c>
      <c r="K270">
        <v>88</v>
      </c>
      <c r="L270" s="1">
        <v>0.78939999999999999</v>
      </c>
      <c r="M270" s="7">
        <v>0.6028</v>
      </c>
      <c r="N270">
        <v>4.2</v>
      </c>
      <c r="O270" s="1">
        <v>0.49030000000000001</v>
      </c>
      <c r="P270" s="1">
        <v>0.34820000000000001</v>
      </c>
      <c r="Q270" s="8">
        <v>4.7699999999999992E-2</v>
      </c>
      <c r="R270">
        <v>5.3999999999999999E-2</v>
      </c>
      <c r="S270" s="1">
        <v>5.1000000000000004E-3</v>
      </c>
      <c r="T270" s="10">
        <f>G270*(-0.5)+(1-I270)+(1-M270)+Q270+S270</f>
        <v>1.08145</v>
      </c>
      <c r="U270" t="s">
        <v>893</v>
      </c>
    </row>
    <row r="271" spans="1:21" x14ac:dyDescent="0.2">
      <c r="A271" t="s">
        <v>20</v>
      </c>
      <c r="B271" t="s">
        <v>890</v>
      </c>
      <c r="C271" t="s">
        <v>891</v>
      </c>
      <c r="D271" t="s">
        <v>892</v>
      </c>
      <c r="E271" t="s">
        <v>24</v>
      </c>
      <c r="G271" s="1">
        <v>-0.2989</v>
      </c>
      <c r="H271" s="1">
        <v>-0.5958</v>
      </c>
      <c r="I271" s="6">
        <v>0.42349999999999999</v>
      </c>
      <c r="J271" s="1">
        <v>0.42630000000000001</v>
      </c>
      <c r="K271">
        <v>89</v>
      </c>
      <c r="L271" s="1">
        <v>0.86809999999999998</v>
      </c>
      <c r="M271" s="7">
        <v>0.71420000000000006</v>
      </c>
      <c r="N271">
        <v>3.7</v>
      </c>
      <c r="O271" s="1">
        <v>0.62490000000000001</v>
      </c>
      <c r="P271" s="1">
        <v>0.41959999999999997</v>
      </c>
      <c r="Q271" s="8">
        <v>4.1599999999999998E-2</v>
      </c>
      <c r="R271">
        <v>4.7E-2</v>
      </c>
      <c r="S271" s="1">
        <v>5.1000000000000004E-3</v>
      </c>
      <c r="T271" s="10">
        <f>G271*(-0.5)+(1-I271)+(1-M271)+Q271+S271</f>
        <v>1.0584500000000001</v>
      </c>
      <c r="U271" t="s">
        <v>916</v>
      </c>
    </row>
    <row r="272" spans="1:21" x14ac:dyDescent="0.2">
      <c r="A272" t="s">
        <v>20</v>
      </c>
      <c r="B272" t="s">
        <v>914</v>
      </c>
      <c r="C272" t="s">
        <v>91</v>
      </c>
      <c r="D272" t="s">
        <v>915</v>
      </c>
      <c r="E272" t="s">
        <v>24</v>
      </c>
      <c r="G272" s="1">
        <v>-0.16719999999999999</v>
      </c>
      <c r="H272" s="1">
        <v>-0.52859999999999996</v>
      </c>
      <c r="I272" s="6">
        <v>0.434</v>
      </c>
      <c r="J272" s="1">
        <v>0.20080000000000001</v>
      </c>
      <c r="K272">
        <v>150</v>
      </c>
      <c r="L272" s="1">
        <v>0.90400000000000003</v>
      </c>
      <c r="M272" s="7">
        <v>0.69030000000000002</v>
      </c>
      <c r="N272">
        <v>6.4</v>
      </c>
      <c r="O272" s="1">
        <v>0.54880000000000007</v>
      </c>
      <c r="P272" s="1">
        <v>0.43169999999999997</v>
      </c>
      <c r="Q272" s="8">
        <v>4.2699999999999988E-2</v>
      </c>
      <c r="R272">
        <v>2.9000000000000001E-2</v>
      </c>
      <c r="S272" s="1">
        <v>3.0000000000000001E-3</v>
      </c>
      <c r="T272" s="10">
        <f>G272*(-0.5)+(1-I272)+(1-M272)+Q272+S272</f>
        <v>1.0049999999999999</v>
      </c>
      <c r="U272" t="s">
        <v>904</v>
      </c>
    </row>
    <row r="273" spans="1:21" x14ac:dyDescent="0.2">
      <c r="A273" t="s">
        <v>20</v>
      </c>
      <c r="B273" t="s">
        <v>901</v>
      </c>
      <c r="C273" t="s">
        <v>902</v>
      </c>
      <c r="D273" t="s">
        <v>903</v>
      </c>
      <c r="E273" t="s">
        <v>24</v>
      </c>
      <c r="G273" s="1">
        <v>-0.29980000000000001</v>
      </c>
      <c r="H273" s="1">
        <v>-0.60009999999999997</v>
      </c>
      <c r="I273" s="6">
        <v>0.4289</v>
      </c>
      <c r="J273" s="1">
        <v>0.42820000000000003</v>
      </c>
      <c r="K273">
        <v>140</v>
      </c>
      <c r="L273" s="1">
        <v>0.92659999999999998</v>
      </c>
      <c r="M273" s="7">
        <v>0.79049999999999998</v>
      </c>
      <c r="N273">
        <v>6.3</v>
      </c>
      <c r="O273" s="1">
        <v>0.70519999999999994</v>
      </c>
      <c r="P273" s="1">
        <v>0.56769999999999998</v>
      </c>
      <c r="Q273" s="8">
        <v>4.4999999999999998E-2</v>
      </c>
      <c r="R273">
        <v>3.2000000000000001E-2</v>
      </c>
      <c r="S273" s="1">
        <v>3.3E-3</v>
      </c>
      <c r="T273" s="10">
        <f>G273*(-0.5)+(1-I273)+(1-M273)+Q273+S273</f>
        <v>0.9788</v>
      </c>
      <c r="U273" t="s">
        <v>995</v>
      </c>
    </row>
    <row r="274" spans="1:21" x14ac:dyDescent="0.2">
      <c r="A274" t="s">
        <v>20</v>
      </c>
      <c r="B274" t="s">
        <v>993</v>
      </c>
      <c r="C274" t="s">
        <v>583</v>
      </c>
      <c r="D274" t="s">
        <v>994</v>
      </c>
      <c r="E274" t="s">
        <v>24</v>
      </c>
      <c r="G274" s="1">
        <v>-0.16009999999999999</v>
      </c>
      <c r="H274" s="1">
        <v>-0.59599999999999997</v>
      </c>
      <c r="I274" s="6">
        <v>0.51900000000000002</v>
      </c>
      <c r="J274" s="1">
        <v>0.19059999999999999</v>
      </c>
      <c r="K274">
        <v>110</v>
      </c>
      <c r="L274" s="1">
        <v>0.86170000000000002</v>
      </c>
      <c r="M274" s="7">
        <v>0.66749999999999998</v>
      </c>
      <c r="N274">
        <v>6</v>
      </c>
      <c r="O274" s="1">
        <v>0.9645999999999999</v>
      </c>
      <c r="P274" s="1">
        <v>0.54559999999999997</v>
      </c>
      <c r="Q274" s="8">
        <v>5.45E-2</v>
      </c>
      <c r="R274">
        <v>4.9000000000000002E-2</v>
      </c>
      <c r="S274" s="1">
        <v>2.5000000000000001E-3</v>
      </c>
      <c r="T274" s="10">
        <f>G274*(-0.5)+(1-I274)+(1-M274)+Q274+S274</f>
        <v>0.9505499999999999</v>
      </c>
      <c r="U274" t="s">
        <v>1025</v>
      </c>
    </row>
    <row r="275" spans="1:21" x14ac:dyDescent="0.2">
      <c r="A275" t="s">
        <v>20</v>
      </c>
      <c r="B275" t="s">
        <v>1023</v>
      </c>
      <c r="C275" t="s">
        <v>963</v>
      </c>
      <c r="D275" t="s">
        <v>1024</v>
      </c>
      <c r="E275" t="s">
        <v>24</v>
      </c>
      <c r="G275" s="1">
        <v>-0.1166</v>
      </c>
      <c r="H275" s="1">
        <v>-0.6905</v>
      </c>
      <c r="I275" s="6">
        <v>0.64959999999999996</v>
      </c>
      <c r="J275" s="1">
        <v>0.13200000000000001</v>
      </c>
      <c r="K275">
        <v>72</v>
      </c>
      <c r="L275" s="1">
        <v>0.92390000000000005</v>
      </c>
      <c r="M275" s="7">
        <v>0.73329999999999995</v>
      </c>
      <c r="N275">
        <v>2.9</v>
      </c>
      <c r="O275" s="1">
        <v>0.43909999999999999</v>
      </c>
      <c r="P275" s="1">
        <v>0.47789999999999999</v>
      </c>
      <c r="Q275" s="8">
        <v>4.0300000000000002E-2</v>
      </c>
      <c r="R275">
        <v>5.6000000000000001E-2</v>
      </c>
      <c r="S275" s="1">
        <v>1.38E-2</v>
      </c>
      <c r="T275" s="10">
        <f>G275*(-0.5)+(1-I275)+(1-M275)+Q275+S275</f>
        <v>0.72950000000000015</v>
      </c>
      <c r="U275" t="s">
        <v>1022</v>
      </c>
    </row>
    <row r="276" spans="1:21" x14ac:dyDescent="0.2">
      <c r="A276" t="s">
        <v>20</v>
      </c>
      <c r="B276" t="s">
        <v>1019</v>
      </c>
      <c r="C276" t="s">
        <v>1020</v>
      </c>
      <c r="D276" t="s">
        <v>1021</v>
      </c>
      <c r="E276" t="s">
        <v>24</v>
      </c>
      <c r="G276" s="1">
        <v>-0.15679999999999999</v>
      </c>
      <c r="H276" s="1">
        <v>-0.69689999999999996</v>
      </c>
      <c r="I276" s="6">
        <v>0.64049999999999996</v>
      </c>
      <c r="J276" s="1">
        <v>0.186</v>
      </c>
      <c r="K276">
        <v>83</v>
      </c>
      <c r="L276" s="1">
        <v>0.96250000000000002</v>
      </c>
      <c r="M276" s="7">
        <v>0.7853</v>
      </c>
      <c r="N276">
        <v>4</v>
      </c>
      <c r="O276" s="1">
        <v>0.68299999999999994</v>
      </c>
      <c r="P276" s="1">
        <v>0.47910000000000003</v>
      </c>
      <c r="Q276" s="8">
        <v>4.82E-2</v>
      </c>
      <c r="R276">
        <v>5.8000000000000003E-2</v>
      </c>
      <c r="S276" s="1">
        <v>1.09E-2</v>
      </c>
      <c r="T276" s="10">
        <f>G276*(-0.5)+(1-I276)+(1-M276)+Q276+S276</f>
        <v>0.71170000000000011</v>
      </c>
      <c r="U276" t="s">
        <v>1012</v>
      </c>
    </row>
    <row r="277" spans="1:21" x14ac:dyDescent="0.2">
      <c r="A277" t="s">
        <v>20</v>
      </c>
      <c r="B277" t="s">
        <v>1010</v>
      </c>
      <c r="C277" t="s">
        <v>699</v>
      </c>
      <c r="D277" t="s">
        <v>1011</v>
      </c>
      <c r="E277" t="s">
        <v>24</v>
      </c>
      <c r="G277" s="1">
        <v>-0.26040000000000002</v>
      </c>
      <c r="H277" s="1">
        <v>-0.66909999999999992</v>
      </c>
      <c r="I277" s="6">
        <v>0.55259999999999998</v>
      </c>
      <c r="J277" s="1">
        <v>0.35210000000000002</v>
      </c>
      <c r="K277">
        <v>-1200</v>
      </c>
      <c r="L277" s="1">
        <v>0.55840000000000001</v>
      </c>
      <c r="M277" s="7">
        <v>1.0137</v>
      </c>
      <c r="N277">
        <v>2.5</v>
      </c>
      <c r="O277" s="1">
        <v>0.36049999999999999</v>
      </c>
      <c r="P277" s="1">
        <v>0.31859999999999999</v>
      </c>
      <c r="Q277" s="8">
        <v>-2.0999999999999999E-3</v>
      </c>
      <c r="S277" s="1">
        <v>5.1999999999999998E-3</v>
      </c>
      <c r="T277" s="10">
        <f>G277*(-0.5)+(1-I277)+(1-M277)+Q277+S277</f>
        <v>0.56699999999999995</v>
      </c>
      <c r="U277" t="s">
        <v>1018</v>
      </c>
    </row>
    <row r="278" spans="1:21" x14ac:dyDescent="0.2">
      <c r="A278" t="s">
        <v>20</v>
      </c>
      <c r="B278" t="s">
        <v>1016</v>
      </c>
      <c r="C278" t="s">
        <v>931</v>
      </c>
      <c r="D278" t="s">
        <v>1017</v>
      </c>
      <c r="E278" t="s">
        <v>24</v>
      </c>
      <c r="G278" s="1">
        <v>-0.1075</v>
      </c>
      <c r="H278" s="1">
        <v>-0.63429999999999997</v>
      </c>
      <c r="I278" s="6">
        <v>0.59030000000000005</v>
      </c>
      <c r="J278" s="1">
        <v>0.12039999999999999</v>
      </c>
      <c r="K278">
        <v>1100</v>
      </c>
      <c r="L278" s="1">
        <v>0.81499999999999995</v>
      </c>
      <c r="M278" s="7">
        <v>0.98480000000000001</v>
      </c>
      <c r="N278">
        <v>4.4000000000000004</v>
      </c>
      <c r="O278" s="1">
        <v>0.81010000000000004</v>
      </c>
      <c r="P278" s="1">
        <v>0.60680000000000001</v>
      </c>
      <c r="Q278" s="8">
        <v>4.0000000000000001E-3</v>
      </c>
      <c r="R278">
        <v>3.5E-4</v>
      </c>
      <c r="S278" s="1">
        <v>7.9000000000000008E-3</v>
      </c>
      <c r="T278" s="10">
        <f>G278*(-0.5)+(1-I278)+(1-M278)+Q278+S278</f>
        <v>0.49054999999999999</v>
      </c>
      <c r="U278" t="s">
        <v>711</v>
      </c>
    </row>
    <row r="279" spans="1:21" x14ac:dyDescent="0.2">
      <c r="A279" t="s">
        <v>20</v>
      </c>
      <c r="B279" t="s">
        <v>709</v>
      </c>
      <c r="C279" t="s">
        <v>27</v>
      </c>
      <c r="D279" t="s">
        <v>710</v>
      </c>
      <c r="E279" t="s">
        <v>24</v>
      </c>
      <c r="G279" s="1">
        <v>-0.21690000000000001</v>
      </c>
      <c r="H279" s="1">
        <v>-0.45650000000000002</v>
      </c>
      <c r="I279" s="6">
        <v>0.30599999999999999</v>
      </c>
      <c r="J279" s="1">
        <v>0.27700000000000002</v>
      </c>
      <c r="K279">
        <v>-10</v>
      </c>
      <c r="L279" s="1">
        <v>0.99140000000000006</v>
      </c>
      <c r="M279" s="7">
        <v>2.5912999999999999</v>
      </c>
      <c r="N279">
        <v>3.1</v>
      </c>
      <c r="O279" s="1">
        <v>0.81359999999999999</v>
      </c>
      <c r="P279" s="1">
        <v>0.46400000000000002</v>
      </c>
      <c r="Q279" s="8">
        <v>-0.31</v>
      </c>
      <c r="S279" s="1">
        <v>1.6999999999999999E-3</v>
      </c>
      <c r="T279" s="10">
        <f>G279*(-0.5)+(1-I279)+(1-M279)+Q279+S279</f>
        <v>-1.0971499999999998</v>
      </c>
    </row>
  </sheetData>
  <autoFilter ref="A1:U1" xr:uid="{00000000-0009-0000-0000-000000000000}">
    <sortState xmlns:xlrd2="http://schemas.microsoft.com/office/spreadsheetml/2017/richdata2" ref="A2:U278">
      <sortCondition descending="1" ref="T1:T2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Ren, Brett</cp:lastModifiedBy>
  <dcterms:created xsi:type="dcterms:W3CDTF">2023-06-18T08:35:01Z</dcterms:created>
  <dcterms:modified xsi:type="dcterms:W3CDTF">2023-06-18T16:04:42Z</dcterms:modified>
</cp:coreProperties>
</file>