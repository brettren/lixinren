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i336543/PycharmProjects/lixinren/"/>
    </mc:Choice>
  </mc:AlternateContent>
  <xr:revisionPtr revIDLastSave="0" documentId="13_ncr:1_{D341611A-80BC-5A40-8904-CC053032E059}" xr6:coauthVersionLast="47" xr6:coauthVersionMax="47" xr10:uidLastSave="{00000000-0000-0000-0000-000000000000}"/>
  <bookViews>
    <workbookView xWindow="0" yWindow="680" windowWidth="29920" windowHeight="17040" activeTab="9" xr2:uid="{00000000-000D-0000-FFFF-FFFF00000000}"/>
  </bookViews>
  <sheets>
    <sheet name="marked" sheetId="1" r:id="rId1"/>
    <sheet name="港股指数" sheetId="2" r:id="rId2"/>
    <sheet name="国证C1" sheetId="3" r:id="rId3"/>
    <sheet name="国证C2" sheetId="4" r:id="rId4"/>
    <sheet name="国证C3" sheetId="5" r:id="rId5"/>
    <sheet name="申万一级" sheetId="6" r:id="rId6"/>
    <sheet name="申万二级" sheetId="7" r:id="rId7"/>
    <sheet name="指数净资产增幅" sheetId="8" r:id="rId8"/>
    <sheet name="全指数估值" sheetId="9" r:id="rId9"/>
    <sheet name="portfolio" sheetId="11" r:id="rId10"/>
    <sheet name="结婚红包" sheetId="12" r:id="rId11"/>
  </sheets>
  <externalReferences>
    <externalReference r:id="rId12"/>
  </externalReferences>
  <definedNames>
    <definedName name="_xlnm._FilterDatabase" localSheetId="8" hidden="1">全指数估值!$A$1:$L$358</definedName>
    <definedName name="_xlnm._FilterDatabase" localSheetId="2" hidden="1">国证C1!$Q$1:$Q$313</definedName>
    <definedName name="_xlnm._FilterDatabase" localSheetId="5" hidden="1">申万一级!$B$2:$Q$30</definedName>
    <definedName name="_xlnm._FilterDatabase" localSheetId="6" hidden="1">申万二级!$J$1:$J$105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4" i="12" l="1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9" i="12"/>
  <c r="E8" i="12"/>
  <c r="E7" i="12"/>
  <c r="E6" i="12"/>
  <c r="E5" i="12"/>
  <c r="E4" i="12"/>
  <c r="E3" i="12"/>
  <c r="E2" i="12"/>
  <c r="E1" i="12"/>
  <c r="H60" i="11"/>
  <c r="D55" i="11"/>
  <c r="C55" i="11"/>
  <c r="D53" i="11"/>
  <c r="H53" i="11" s="1"/>
  <c r="C53" i="11"/>
  <c r="G53" i="11" s="1"/>
  <c r="D51" i="11"/>
  <c r="C51" i="11"/>
  <c r="G49" i="11" s="1"/>
  <c r="H49" i="11"/>
  <c r="D49" i="11"/>
  <c r="C49" i="11"/>
  <c r="D47" i="11"/>
  <c r="C47" i="11"/>
  <c r="D45" i="11"/>
  <c r="H45" i="11" s="1"/>
  <c r="C45" i="11"/>
  <c r="G45" i="11" s="1"/>
  <c r="E38" i="11"/>
  <c r="D38" i="11"/>
  <c r="E35" i="11"/>
  <c r="E34" i="11"/>
  <c r="E33" i="11"/>
  <c r="D33" i="11"/>
  <c r="C33" i="11"/>
  <c r="D29" i="11"/>
  <c r="C29" i="11"/>
  <c r="C30" i="11" s="1"/>
  <c r="N24" i="11"/>
  <c r="M24" i="11"/>
  <c r="L24" i="11"/>
  <c r="K24" i="11"/>
  <c r="J24" i="11"/>
  <c r="I24" i="11"/>
  <c r="H24" i="11"/>
  <c r="G24" i="11"/>
  <c r="F24" i="11"/>
  <c r="E24" i="11"/>
  <c r="D24" i="11"/>
  <c r="C24" i="11"/>
  <c r="C25" i="11" s="1"/>
  <c r="D25" i="11" s="1"/>
  <c r="N19" i="11"/>
  <c r="M19" i="11"/>
  <c r="L19" i="11"/>
  <c r="K19" i="11"/>
  <c r="J19" i="11"/>
  <c r="I19" i="11"/>
  <c r="H19" i="11"/>
  <c r="G19" i="11"/>
  <c r="F19" i="11"/>
  <c r="E19" i="11"/>
  <c r="D19" i="11"/>
  <c r="C19" i="11"/>
  <c r="C20" i="11" s="1"/>
  <c r="D20" i="11" s="1"/>
  <c r="E20" i="11" s="1"/>
  <c r="F20" i="11" s="1"/>
  <c r="G20" i="11" s="1"/>
  <c r="H20" i="11" s="1"/>
  <c r="I20" i="11" s="1"/>
  <c r="J20" i="11" s="1"/>
  <c r="K20" i="11" s="1"/>
  <c r="L20" i="11" s="1"/>
  <c r="M20" i="11" s="1"/>
  <c r="N20" i="11" s="1"/>
  <c r="O20" i="11" s="1"/>
  <c r="E15" i="11"/>
  <c r="C14" i="11"/>
  <c r="F13" i="11"/>
  <c r="C13" i="11"/>
  <c r="C15" i="11" s="1"/>
  <c r="F12" i="11"/>
  <c r="E12" i="11"/>
  <c r="D12" i="11"/>
  <c r="C12" i="11"/>
  <c r="B12" i="11"/>
  <c r="F11" i="11"/>
  <c r="E11" i="11"/>
  <c r="E13" i="11" s="1"/>
  <c r="E14" i="11" s="1"/>
  <c r="D11" i="11"/>
  <c r="D13" i="11" s="1"/>
  <c r="D15" i="11" s="1"/>
  <c r="C11" i="11"/>
  <c r="B11" i="11"/>
  <c r="G6" i="11"/>
  <c r="F5" i="11"/>
  <c r="E5" i="11"/>
  <c r="D5" i="11"/>
  <c r="C5" i="11"/>
  <c r="B5" i="11"/>
  <c r="L358" i="9"/>
  <c r="L357" i="9"/>
  <c r="L356" i="9"/>
  <c r="L355" i="9"/>
  <c r="L354" i="9"/>
  <c r="L353" i="9"/>
  <c r="L352" i="9"/>
  <c r="L351" i="9"/>
  <c r="L350" i="9"/>
  <c r="L349" i="9"/>
  <c r="L348" i="9"/>
  <c r="L347" i="9"/>
  <c r="L346" i="9"/>
  <c r="L345" i="9"/>
  <c r="L344" i="9"/>
  <c r="L343" i="9"/>
  <c r="L342" i="9"/>
  <c r="L341" i="9"/>
  <c r="L340" i="9"/>
  <c r="L339" i="9"/>
  <c r="L338" i="9"/>
  <c r="L337" i="9"/>
  <c r="L336" i="9"/>
  <c r="L335" i="9"/>
  <c r="L334" i="9"/>
  <c r="L333" i="9"/>
  <c r="L332" i="9"/>
  <c r="L331" i="9"/>
  <c r="L330" i="9"/>
  <c r="L329" i="9"/>
  <c r="L328" i="9"/>
  <c r="L327" i="9"/>
  <c r="L326" i="9"/>
  <c r="L325" i="9"/>
  <c r="L324" i="9"/>
  <c r="L323" i="9"/>
  <c r="L322" i="9"/>
  <c r="L321" i="9"/>
  <c r="L320" i="9"/>
  <c r="L319" i="9"/>
  <c r="L318" i="9"/>
  <c r="L317" i="9"/>
  <c r="L316" i="9"/>
  <c r="L315" i="9"/>
  <c r="L314" i="9"/>
  <c r="L313" i="9"/>
  <c r="L312" i="9"/>
  <c r="L311" i="9"/>
  <c r="L310" i="9"/>
  <c r="L309" i="9"/>
  <c r="L308" i="9"/>
  <c r="L307" i="9"/>
  <c r="L306" i="9"/>
  <c r="L305" i="9"/>
  <c r="L304" i="9"/>
  <c r="L303" i="9"/>
  <c r="L302" i="9"/>
  <c r="L301" i="9"/>
  <c r="L300" i="9"/>
  <c r="L299" i="9"/>
  <c r="L298" i="9"/>
  <c r="L297" i="9"/>
  <c r="L296" i="9"/>
  <c r="L295" i="9"/>
  <c r="L294" i="9"/>
  <c r="L293" i="9"/>
  <c r="L292" i="9"/>
  <c r="L291" i="9"/>
  <c r="L290" i="9"/>
  <c r="L289" i="9"/>
  <c r="L288" i="9"/>
  <c r="L287" i="9"/>
  <c r="L286" i="9"/>
  <c r="L285" i="9"/>
  <c r="L284" i="9"/>
  <c r="L283" i="9"/>
  <c r="L282" i="9"/>
  <c r="L281" i="9"/>
  <c r="L280" i="9"/>
  <c r="L279" i="9"/>
  <c r="L278" i="9"/>
  <c r="L277" i="9"/>
  <c r="L276" i="9"/>
  <c r="L275" i="9"/>
  <c r="L274" i="9"/>
  <c r="L273" i="9"/>
  <c r="L272" i="9"/>
  <c r="L271" i="9"/>
  <c r="L270" i="9"/>
  <c r="L269" i="9"/>
  <c r="L268" i="9"/>
  <c r="L267" i="9"/>
  <c r="L266" i="9"/>
  <c r="L265" i="9"/>
  <c r="L264" i="9"/>
  <c r="L263" i="9"/>
  <c r="L262" i="9"/>
  <c r="L261" i="9"/>
  <c r="L260" i="9"/>
  <c r="L259" i="9"/>
  <c r="L258" i="9"/>
  <c r="L257" i="9"/>
  <c r="L256" i="9"/>
  <c r="L255" i="9"/>
  <c r="L254" i="9"/>
  <c r="L253" i="9"/>
  <c r="L252" i="9"/>
  <c r="L251" i="9"/>
  <c r="L250" i="9"/>
  <c r="L249" i="9"/>
  <c r="L248" i="9"/>
  <c r="L247" i="9"/>
  <c r="L246" i="9"/>
  <c r="L245" i="9"/>
  <c r="L244" i="9"/>
  <c r="L243" i="9"/>
  <c r="L242" i="9"/>
  <c r="L241" i="9"/>
  <c r="L240" i="9"/>
  <c r="L239" i="9"/>
  <c r="L238" i="9"/>
  <c r="L237" i="9"/>
  <c r="L236" i="9"/>
  <c r="L235" i="9"/>
  <c r="L234" i="9"/>
  <c r="L233" i="9"/>
  <c r="L232" i="9"/>
  <c r="L231" i="9"/>
  <c r="L230" i="9"/>
  <c r="L229" i="9"/>
  <c r="L228" i="9"/>
  <c r="L227" i="9"/>
  <c r="L226" i="9"/>
  <c r="L225" i="9"/>
  <c r="L224" i="9"/>
  <c r="L223" i="9"/>
  <c r="L222" i="9"/>
  <c r="L221" i="9"/>
  <c r="L220" i="9"/>
  <c r="L219" i="9"/>
  <c r="L218" i="9"/>
  <c r="L217" i="9"/>
  <c r="L216" i="9"/>
  <c r="L215" i="9"/>
  <c r="L214" i="9"/>
  <c r="L213" i="9"/>
  <c r="L212" i="9"/>
  <c r="L211" i="9"/>
  <c r="L210" i="9"/>
  <c r="L209" i="9"/>
  <c r="L208" i="9"/>
  <c r="L207" i="9"/>
  <c r="L206" i="9"/>
  <c r="L205" i="9"/>
  <c r="L204" i="9"/>
  <c r="L203" i="9"/>
  <c r="L202" i="9"/>
  <c r="L201" i="9"/>
  <c r="L200" i="9"/>
  <c r="L199" i="9"/>
  <c r="L198" i="9"/>
  <c r="L197" i="9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" i="9"/>
  <c r="K346" i="8"/>
  <c r="H346" i="8"/>
  <c r="E343" i="8"/>
  <c r="D343" i="8"/>
  <c r="E342" i="8"/>
  <c r="D342" i="8"/>
  <c r="C342" i="8"/>
  <c r="K340" i="8"/>
  <c r="H340" i="8"/>
  <c r="E337" i="8"/>
  <c r="D337" i="8"/>
  <c r="E336" i="8"/>
  <c r="D336" i="8"/>
  <c r="C336" i="8"/>
  <c r="B336" i="8"/>
  <c r="K334" i="8"/>
  <c r="H334" i="8"/>
  <c r="E331" i="8"/>
  <c r="D331" i="8"/>
  <c r="E330" i="8"/>
  <c r="C330" i="8" s="1"/>
  <c r="D330" i="8"/>
  <c r="K327" i="8"/>
  <c r="H327" i="8"/>
  <c r="E324" i="8"/>
  <c r="D324" i="8"/>
  <c r="E323" i="8"/>
  <c r="D323" i="8"/>
  <c r="C323" i="8"/>
  <c r="B323" i="8"/>
  <c r="K321" i="8"/>
  <c r="H321" i="8"/>
  <c r="E318" i="8"/>
  <c r="D318" i="8"/>
  <c r="E317" i="8"/>
  <c r="C317" i="8" s="1"/>
  <c r="D317" i="8"/>
  <c r="B317" i="8"/>
  <c r="K314" i="8"/>
  <c r="H314" i="8"/>
  <c r="E311" i="8"/>
  <c r="B310" i="8" s="1"/>
  <c r="D311" i="8"/>
  <c r="E310" i="8"/>
  <c r="D310" i="8"/>
  <c r="K306" i="8"/>
  <c r="H306" i="8"/>
  <c r="E303" i="8"/>
  <c r="D303" i="8"/>
  <c r="E302" i="8"/>
  <c r="D302" i="8"/>
  <c r="C302" i="8" s="1"/>
  <c r="B302" i="8"/>
  <c r="K300" i="8"/>
  <c r="H300" i="8"/>
  <c r="E297" i="8"/>
  <c r="D297" i="8"/>
  <c r="E296" i="8"/>
  <c r="C296" i="8" s="1"/>
  <c r="D296" i="8"/>
  <c r="B296" i="8"/>
  <c r="K294" i="8"/>
  <c r="H294" i="8"/>
  <c r="E291" i="8"/>
  <c r="D291" i="8"/>
  <c r="E290" i="8"/>
  <c r="C290" i="8" s="1"/>
  <c r="D290" i="8"/>
  <c r="K288" i="8"/>
  <c r="H288" i="8"/>
  <c r="E285" i="8"/>
  <c r="B284" i="8" s="1"/>
  <c r="D285" i="8"/>
  <c r="E284" i="8"/>
  <c r="C284" i="8" s="1"/>
  <c r="D284" i="8"/>
  <c r="K282" i="8"/>
  <c r="H282" i="8"/>
  <c r="E279" i="8"/>
  <c r="D279" i="8"/>
  <c r="E278" i="8"/>
  <c r="D278" i="8"/>
  <c r="C278" i="8"/>
  <c r="B278" i="8"/>
  <c r="K276" i="8"/>
  <c r="H276" i="8"/>
  <c r="E273" i="8"/>
  <c r="D273" i="8"/>
  <c r="E272" i="8"/>
  <c r="D272" i="8"/>
  <c r="K271" i="8"/>
  <c r="H271" i="8"/>
  <c r="E268" i="8"/>
  <c r="D268" i="8"/>
  <c r="B267" i="8" s="1"/>
  <c r="E267" i="8"/>
  <c r="D267" i="8"/>
  <c r="K266" i="8"/>
  <c r="H266" i="8"/>
  <c r="E263" i="8"/>
  <c r="D263" i="8"/>
  <c r="E262" i="8"/>
  <c r="C262" i="8" s="1"/>
  <c r="D262" i="8"/>
  <c r="B262" i="8"/>
  <c r="K261" i="8"/>
  <c r="H261" i="8"/>
  <c r="E258" i="8"/>
  <c r="B257" i="8" s="1"/>
  <c r="D258" i="8"/>
  <c r="E257" i="8"/>
  <c r="D257" i="8"/>
  <c r="K256" i="8"/>
  <c r="H256" i="8"/>
  <c r="E253" i="8"/>
  <c r="D253" i="8"/>
  <c r="E252" i="8"/>
  <c r="D252" i="8"/>
  <c r="C252" i="8"/>
  <c r="B252" i="8"/>
  <c r="K251" i="8"/>
  <c r="H251" i="8"/>
  <c r="E248" i="8"/>
  <c r="D248" i="8"/>
  <c r="E247" i="8"/>
  <c r="D247" i="8"/>
  <c r="C247" i="8"/>
  <c r="B247" i="8"/>
  <c r="K241" i="8"/>
  <c r="H241" i="8"/>
  <c r="E238" i="8"/>
  <c r="D238" i="8"/>
  <c r="E237" i="8"/>
  <c r="C237" i="8" s="1"/>
  <c r="D237" i="8"/>
  <c r="K236" i="8"/>
  <c r="H236" i="8"/>
  <c r="E233" i="8"/>
  <c r="D233" i="8"/>
  <c r="E232" i="8"/>
  <c r="C232" i="8" s="1"/>
  <c r="D232" i="8"/>
  <c r="B232" i="8"/>
  <c r="E227" i="8"/>
  <c r="K226" i="8"/>
  <c r="H226" i="8"/>
  <c r="E223" i="8"/>
  <c r="D223" i="8"/>
  <c r="E222" i="8"/>
  <c r="D222" i="8"/>
  <c r="C222" i="8"/>
  <c r="B222" i="8"/>
  <c r="E218" i="8"/>
  <c r="E217" i="8"/>
  <c r="D217" i="8"/>
  <c r="C217" i="8" s="1"/>
  <c r="K216" i="8"/>
  <c r="H216" i="8"/>
  <c r="E213" i="8"/>
  <c r="D213" i="8"/>
  <c r="E212" i="8"/>
  <c r="D212" i="8"/>
  <c r="C212" i="8"/>
  <c r="B212" i="8"/>
  <c r="K211" i="8"/>
  <c r="H211" i="8"/>
  <c r="E208" i="8"/>
  <c r="B207" i="8" s="1"/>
  <c r="D208" i="8"/>
  <c r="E207" i="8"/>
  <c r="C207" i="8" s="1"/>
  <c r="D207" i="8"/>
  <c r="K206" i="8"/>
  <c r="H206" i="8"/>
  <c r="E203" i="8"/>
  <c r="D203" i="8"/>
  <c r="E202" i="8"/>
  <c r="C202" i="8" s="1"/>
  <c r="D202" i="8"/>
  <c r="B202" i="8"/>
  <c r="K201" i="8"/>
  <c r="H201" i="8"/>
  <c r="E198" i="8"/>
  <c r="D198" i="8"/>
  <c r="E197" i="8"/>
  <c r="D197" i="8"/>
  <c r="C197" i="8"/>
  <c r="B197" i="8"/>
  <c r="K196" i="8"/>
  <c r="H196" i="8"/>
  <c r="E193" i="8"/>
  <c r="D193" i="8"/>
  <c r="B192" i="8" s="1"/>
  <c r="E192" i="8"/>
  <c r="C192" i="8" s="1"/>
  <c r="D192" i="8"/>
  <c r="K191" i="8"/>
  <c r="H191" i="8"/>
  <c r="E188" i="8"/>
  <c r="D188" i="8"/>
  <c r="E187" i="8"/>
  <c r="C187" i="8" s="1"/>
  <c r="D187" i="8"/>
  <c r="B187" i="8"/>
  <c r="K186" i="8"/>
  <c r="H186" i="8"/>
  <c r="E183" i="8"/>
  <c r="D183" i="8"/>
  <c r="B182" i="8" s="1"/>
  <c r="E182" i="8"/>
  <c r="D182" i="8"/>
  <c r="C182" i="8"/>
  <c r="K181" i="8"/>
  <c r="H181" i="8"/>
  <c r="E178" i="8"/>
  <c r="D178" i="8"/>
  <c r="E177" i="8"/>
  <c r="C177" i="8" s="1"/>
  <c r="D177" i="8"/>
  <c r="B177" i="8"/>
  <c r="K176" i="8"/>
  <c r="H176" i="8"/>
  <c r="E173" i="8"/>
  <c r="D173" i="8"/>
  <c r="E172" i="8"/>
  <c r="D172" i="8"/>
  <c r="C172" i="8" s="1"/>
  <c r="B172" i="8"/>
  <c r="K171" i="8"/>
  <c r="H171" i="8"/>
  <c r="E168" i="8"/>
  <c r="D168" i="8"/>
  <c r="B167" i="8" s="1"/>
  <c r="E167" i="8"/>
  <c r="D167" i="8"/>
  <c r="C167" i="8" s="1"/>
  <c r="K166" i="8"/>
  <c r="H166" i="8"/>
  <c r="E163" i="8"/>
  <c r="B162" i="8" s="1"/>
  <c r="D163" i="8"/>
  <c r="E162" i="8"/>
  <c r="C162" i="8" s="1"/>
  <c r="D162" i="8"/>
  <c r="K161" i="8"/>
  <c r="H161" i="8"/>
  <c r="E158" i="8"/>
  <c r="D158" i="8"/>
  <c r="E157" i="8"/>
  <c r="D157" i="8"/>
  <c r="C157" i="8"/>
  <c r="B157" i="8"/>
  <c r="K156" i="8"/>
  <c r="H156" i="8"/>
  <c r="E153" i="8"/>
  <c r="D153" i="8"/>
  <c r="B152" i="8" s="1"/>
  <c r="E152" i="8"/>
  <c r="D152" i="8"/>
  <c r="C152" i="8" s="1"/>
  <c r="K151" i="8"/>
  <c r="H151" i="8"/>
  <c r="E148" i="8"/>
  <c r="D148" i="8"/>
  <c r="E147" i="8"/>
  <c r="C147" i="8" s="1"/>
  <c r="D147" i="8"/>
  <c r="B147" i="8"/>
  <c r="K146" i="8"/>
  <c r="H146" i="8"/>
  <c r="E143" i="8"/>
  <c r="D143" i="8"/>
  <c r="E142" i="8"/>
  <c r="D142" i="8"/>
  <c r="C142" i="8"/>
  <c r="B142" i="8"/>
  <c r="K141" i="8"/>
  <c r="H141" i="8"/>
  <c r="E138" i="8"/>
  <c r="D138" i="8"/>
  <c r="B137" i="8" s="1"/>
  <c r="E137" i="8"/>
  <c r="D137" i="8"/>
  <c r="C137" i="8" s="1"/>
  <c r="K136" i="8"/>
  <c r="H136" i="8"/>
  <c r="E133" i="8"/>
  <c r="D133" i="8"/>
  <c r="B132" i="8" s="1"/>
  <c r="E132" i="8"/>
  <c r="C132" i="8" s="1"/>
  <c r="D132" i="8"/>
  <c r="K131" i="8"/>
  <c r="H131" i="8"/>
  <c r="E128" i="8"/>
  <c r="D128" i="8"/>
  <c r="E127" i="8"/>
  <c r="C127" i="8" s="1"/>
  <c r="D127" i="8"/>
  <c r="K126" i="8"/>
  <c r="H126" i="8"/>
  <c r="E123" i="8"/>
  <c r="D123" i="8"/>
  <c r="E122" i="8"/>
  <c r="D122" i="8"/>
  <c r="C122" i="8"/>
  <c r="B122" i="8"/>
  <c r="K121" i="8"/>
  <c r="H121" i="8"/>
  <c r="E118" i="8"/>
  <c r="D118" i="8"/>
  <c r="E117" i="8"/>
  <c r="C117" i="8" s="1"/>
  <c r="D117" i="8"/>
  <c r="B117" i="8"/>
  <c r="K116" i="8"/>
  <c r="H116" i="8"/>
  <c r="E113" i="8"/>
  <c r="D113" i="8"/>
  <c r="E112" i="8"/>
  <c r="C112" i="8" s="1"/>
  <c r="D112" i="8"/>
  <c r="K111" i="8"/>
  <c r="H111" i="8"/>
  <c r="E108" i="8"/>
  <c r="D108" i="8"/>
  <c r="E107" i="8"/>
  <c r="D107" i="8"/>
  <c r="C107" i="8" s="1"/>
  <c r="B107" i="8"/>
  <c r="K106" i="8"/>
  <c r="H106" i="8"/>
  <c r="E103" i="8"/>
  <c r="D103" i="8"/>
  <c r="E102" i="8"/>
  <c r="C102" i="8" s="1"/>
  <c r="D102" i="8"/>
  <c r="B102" i="8"/>
  <c r="K101" i="8"/>
  <c r="H101" i="8"/>
  <c r="E98" i="8"/>
  <c r="B97" i="8" s="1"/>
  <c r="D98" i="8"/>
  <c r="E97" i="8"/>
  <c r="C97" i="8" s="1"/>
  <c r="D97" i="8"/>
  <c r="K96" i="8"/>
  <c r="H96" i="8"/>
  <c r="E93" i="8"/>
  <c r="D93" i="8"/>
  <c r="B92" i="8" s="1"/>
  <c r="E92" i="8"/>
  <c r="D92" i="8"/>
  <c r="C92" i="8"/>
  <c r="K91" i="8"/>
  <c r="H91" i="8"/>
  <c r="E88" i="8"/>
  <c r="D88" i="8"/>
  <c r="E87" i="8"/>
  <c r="C87" i="8" s="1"/>
  <c r="D87" i="8"/>
  <c r="B87" i="8"/>
  <c r="K86" i="8"/>
  <c r="H86" i="8"/>
  <c r="E83" i="8"/>
  <c r="D83" i="8"/>
  <c r="B82" i="8" s="1"/>
  <c r="E82" i="8"/>
  <c r="C82" i="8" s="1"/>
  <c r="D82" i="8"/>
  <c r="K81" i="8"/>
  <c r="H81" i="8"/>
  <c r="E78" i="8"/>
  <c r="D78" i="8"/>
  <c r="B77" i="8" s="1"/>
  <c r="E77" i="8"/>
  <c r="D77" i="8"/>
  <c r="C77" i="8" s="1"/>
  <c r="K76" i="8"/>
  <c r="H76" i="8"/>
  <c r="E73" i="8"/>
  <c r="B72" i="8" s="1"/>
  <c r="D73" i="8"/>
  <c r="E72" i="8"/>
  <c r="C72" i="8" s="1"/>
  <c r="D72" i="8"/>
  <c r="K71" i="8"/>
  <c r="H71" i="8"/>
  <c r="E68" i="8"/>
  <c r="D68" i="8"/>
  <c r="E67" i="8"/>
  <c r="C67" i="8" s="1"/>
  <c r="D67" i="8"/>
  <c r="B67" i="8"/>
  <c r="K66" i="8"/>
  <c r="H66" i="8"/>
  <c r="E63" i="8"/>
  <c r="D63" i="8"/>
  <c r="E62" i="8"/>
  <c r="D62" i="8"/>
  <c r="C62" i="8" s="1"/>
  <c r="B62" i="8"/>
  <c r="K61" i="8"/>
  <c r="H61" i="8"/>
  <c r="E58" i="8"/>
  <c r="B57" i="8" s="1"/>
  <c r="D58" i="8"/>
  <c r="E57" i="8"/>
  <c r="C57" i="8" s="1"/>
  <c r="D57" i="8"/>
  <c r="K56" i="8"/>
  <c r="H56" i="8"/>
  <c r="E53" i="8"/>
  <c r="D53" i="8"/>
  <c r="E52" i="8"/>
  <c r="D52" i="8"/>
  <c r="C52" i="8"/>
  <c r="B52" i="8"/>
  <c r="K51" i="8"/>
  <c r="H51" i="8"/>
  <c r="E48" i="8"/>
  <c r="D48" i="8"/>
  <c r="E47" i="8"/>
  <c r="D47" i="8"/>
  <c r="C47" i="8"/>
  <c r="B47" i="8"/>
  <c r="K46" i="8"/>
  <c r="H46" i="8"/>
  <c r="E43" i="8"/>
  <c r="B42" i="8" s="1"/>
  <c r="D43" i="8"/>
  <c r="E42" i="8"/>
  <c r="C42" i="8" s="1"/>
  <c r="D42" i="8"/>
  <c r="K41" i="8"/>
  <c r="H41" i="8"/>
  <c r="E38" i="8"/>
  <c r="D38" i="8"/>
  <c r="E37" i="8"/>
  <c r="D37" i="8"/>
  <c r="C37" i="8"/>
  <c r="B37" i="8"/>
  <c r="K36" i="8"/>
  <c r="H36" i="8"/>
  <c r="Q33" i="8"/>
  <c r="P33" i="8"/>
  <c r="O33" i="8"/>
  <c r="N33" i="8"/>
  <c r="M33" i="8"/>
  <c r="E33" i="8"/>
  <c r="D33" i="8"/>
  <c r="E32" i="8"/>
  <c r="D32" i="8"/>
  <c r="C32" i="8"/>
  <c r="B32" i="8"/>
  <c r="K31" i="8"/>
  <c r="H31" i="8"/>
  <c r="E28" i="8"/>
  <c r="D28" i="8"/>
  <c r="E27" i="8"/>
  <c r="D27" i="8"/>
  <c r="C27" i="8" s="1"/>
  <c r="B27" i="8"/>
  <c r="K26" i="8"/>
  <c r="H26" i="8"/>
  <c r="E23" i="8"/>
  <c r="D23" i="8"/>
  <c r="E22" i="8"/>
  <c r="D22" i="8"/>
  <c r="C22" i="8"/>
  <c r="K21" i="8"/>
  <c r="H21" i="8"/>
  <c r="E18" i="8"/>
  <c r="D18" i="8"/>
  <c r="E17" i="8"/>
  <c r="D17" i="8"/>
  <c r="C17" i="8"/>
  <c r="B17" i="8"/>
  <c r="K16" i="8"/>
  <c r="H16" i="8"/>
  <c r="E13" i="8"/>
  <c r="B12" i="8" s="1"/>
  <c r="D13" i="8"/>
  <c r="E12" i="8"/>
  <c r="D12" i="8"/>
  <c r="C12" i="8"/>
  <c r="K11" i="8"/>
  <c r="H11" i="8"/>
  <c r="E8" i="8"/>
  <c r="D8" i="8"/>
  <c r="E7" i="8"/>
  <c r="D7" i="8"/>
  <c r="C7" i="8"/>
  <c r="K6" i="8"/>
  <c r="H6" i="8"/>
  <c r="E3" i="8"/>
  <c r="D3" i="8"/>
  <c r="B2" i="8" s="1"/>
  <c r="E2" i="8"/>
  <c r="C2" i="8" s="1"/>
  <c r="D2" i="8"/>
  <c r="M105" i="7"/>
  <c r="M104" i="7"/>
  <c r="M103" i="7"/>
  <c r="M102" i="7"/>
  <c r="M101" i="7"/>
  <c r="M100" i="7"/>
  <c r="M99" i="7"/>
  <c r="M98" i="7"/>
  <c r="M97" i="7"/>
  <c r="M96" i="7"/>
  <c r="M95" i="7"/>
  <c r="M94" i="7"/>
  <c r="M93" i="7"/>
  <c r="M92" i="7"/>
  <c r="M91" i="7"/>
  <c r="M90" i="7"/>
  <c r="M89" i="7"/>
  <c r="M88" i="7"/>
  <c r="M87" i="7"/>
  <c r="M86" i="7"/>
  <c r="M85" i="7"/>
  <c r="M84" i="7"/>
  <c r="M83" i="7"/>
  <c r="M82" i="7"/>
  <c r="M81" i="7"/>
  <c r="M80" i="7"/>
  <c r="M79" i="7"/>
  <c r="M78" i="7"/>
  <c r="M77" i="7"/>
  <c r="M76" i="7"/>
  <c r="M75" i="7"/>
  <c r="M74" i="7"/>
  <c r="M73" i="7"/>
  <c r="M72" i="7"/>
  <c r="M71" i="7"/>
  <c r="M70" i="7"/>
  <c r="M69" i="7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M47" i="7"/>
  <c r="M46" i="7"/>
  <c r="M45" i="7"/>
  <c r="M44" i="7"/>
  <c r="M43" i="7"/>
  <c r="M42" i="7"/>
  <c r="M41" i="7"/>
  <c r="M40" i="7"/>
  <c r="M39" i="7"/>
  <c r="M38" i="7"/>
  <c r="M37" i="7"/>
  <c r="M36" i="7"/>
  <c r="M35" i="7"/>
  <c r="M34" i="7"/>
  <c r="M33" i="7"/>
  <c r="M32" i="7"/>
  <c r="M31" i="7"/>
  <c r="M30" i="7"/>
  <c r="M29" i="7"/>
  <c r="M28" i="7"/>
  <c r="M27" i="7"/>
  <c r="M26" i="7"/>
  <c r="M25" i="7"/>
  <c r="M24" i="7"/>
  <c r="M23" i="7"/>
  <c r="M22" i="7"/>
  <c r="M21" i="7"/>
  <c r="M20" i="7"/>
  <c r="M19" i="7"/>
  <c r="M18" i="7"/>
  <c r="M17" i="7"/>
  <c r="M16" i="7"/>
  <c r="M15" i="7"/>
  <c r="M14" i="7"/>
  <c r="M13" i="7"/>
  <c r="M12" i="7"/>
  <c r="M11" i="7"/>
  <c r="M10" i="7"/>
  <c r="M9" i="7"/>
  <c r="M8" i="7"/>
  <c r="M7" i="7"/>
  <c r="M6" i="7"/>
  <c r="M5" i="7"/>
  <c r="M4" i="7"/>
  <c r="M3" i="7"/>
  <c r="M2" i="7"/>
  <c r="M30" i="6"/>
  <c r="M29" i="6"/>
  <c r="M28" i="6"/>
  <c r="M27" i="6"/>
  <c r="M26" i="6"/>
  <c r="M25" i="6"/>
  <c r="M24" i="6"/>
  <c r="M23" i="6"/>
  <c r="M22" i="6"/>
  <c r="M21" i="6"/>
  <c r="M20" i="6"/>
  <c r="M19" i="6"/>
  <c r="M18" i="6"/>
  <c r="M17" i="6"/>
  <c r="M16" i="6"/>
  <c r="M15" i="6"/>
  <c r="M14" i="6"/>
  <c r="M13" i="6"/>
  <c r="M12" i="6"/>
  <c r="M11" i="6"/>
  <c r="M10" i="6"/>
  <c r="M9" i="6"/>
  <c r="M8" i="6"/>
  <c r="M7" i="6"/>
  <c r="M6" i="6"/>
  <c r="M5" i="6"/>
  <c r="M4" i="6"/>
  <c r="M3" i="6"/>
  <c r="X390" i="5"/>
  <c r="X389" i="5"/>
  <c r="X388" i="5"/>
  <c r="W388" i="5"/>
  <c r="V388" i="5"/>
  <c r="W390" i="5" s="1"/>
  <c r="U388" i="5"/>
  <c r="V387" i="5"/>
  <c r="W389" i="5" s="1"/>
  <c r="U387" i="5"/>
  <c r="W383" i="5"/>
  <c r="V383" i="5"/>
  <c r="U383" i="5"/>
  <c r="V382" i="5"/>
  <c r="U382" i="5"/>
  <c r="X379" i="5"/>
  <c r="X378" i="5"/>
  <c r="V378" i="5"/>
  <c r="W380" i="5" s="1"/>
  <c r="U378" i="5"/>
  <c r="X377" i="5"/>
  <c r="W377" i="5"/>
  <c r="V377" i="5"/>
  <c r="W379" i="5" s="1"/>
  <c r="U377" i="5"/>
  <c r="X375" i="5"/>
  <c r="V373" i="5"/>
  <c r="U373" i="5"/>
  <c r="U372" i="5"/>
  <c r="V372" i="5" s="1"/>
  <c r="V368" i="5"/>
  <c r="U368" i="5"/>
  <c r="V367" i="5"/>
  <c r="U367" i="5"/>
  <c r="U363" i="5"/>
  <c r="V363" i="5" s="1"/>
  <c r="X362" i="5"/>
  <c r="W362" i="5"/>
  <c r="V362" i="5"/>
  <c r="U362" i="5"/>
  <c r="X360" i="5"/>
  <c r="X358" i="5"/>
  <c r="W358" i="5"/>
  <c r="V358" i="5"/>
  <c r="W360" i="5" s="1"/>
  <c r="U358" i="5"/>
  <c r="U357" i="5"/>
  <c r="V357" i="5" s="1"/>
  <c r="X355" i="5"/>
  <c r="V353" i="5"/>
  <c r="U353" i="5"/>
  <c r="V352" i="5"/>
  <c r="U352" i="5"/>
  <c r="X349" i="5"/>
  <c r="V348" i="5"/>
  <c r="U348" i="5"/>
  <c r="X347" i="5"/>
  <c r="W347" i="5"/>
  <c r="V347" i="5"/>
  <c r="W349" i="5" s="1"/>
  <c r="U347" i="5"/>
  <c r="U343" i="5"/>
  <c r="V343" i="5" s="1"/>
  <c r="U342" i="5"/>
  <c r="V342" i="5" s="1"/>
  <c r="X338" i="5"/>
  <c r="V338" i="5"/>
  <c r="U338" i="5"/>
  <c r="X337" i="5"/>
  <c r="U337" i="5"/>
  <c r="V337" i="5" s="1"/>
  <c r="U333" i="5"/>
  <c r="V333" i="5" s="1"/>
  <c r="V332" i="5"/>
  <c r="U332" i="5"/>
  <c r="X330" i="5"/>
  <c r="X329" i="5"/>
  <c r="X328" i="5"/>
  <c r="W328" i="5"/>
  <c r="V328" i="5"/>
  <c r="W330" i="5" s="1"/>
  <c r="U328" i="5"/>
  <c r="V327" i="5"/>
  <c r="U327" i="5"/>
  <c r="V323" i="5"/>
  <c r="U323" i="5"/>
  <c r="V322" i="5"/>
  <c r="U322" i="5"/>
  <c r="X319" i="5"/>
  <c r="X318" i="5"/>
  <c r="V318" i="5"/>
  <c r="U318" i="5"/>
  <c r="X317" i="5"/>
  <c r="W317" i="5"/>
  <c r="V317" i="5"/>
  <c r="W319" i="5" s="1"/>
  <c r="U317" i="5"/>
  <c r="X315" i="5"/>
  <c r="V313" i="5"/>
  <c r="U313" i="5"/>
  <c r="V312" i="5"/>
  <c r="U312" i="5"/>
  <c r="V308" i="5"/>
  <c r="U308" i="5"/>
  <c r="V307" i="5"/>
  <c r="U307" i="5"/>
  <c r="V303" i="5"/>
  <c r="U303" i="5"/>
  <c r="X302" i="5"/>
  <c r="W302" i="5"/>
  <c r="V302" i="5"/>
  <c r="U302" i="5"/>
  <c r="X300" i="5"/>
  <c r="X298" i="5"/>
  <c r="W298" i="5"/>
  <c r="V298" i="5"/>
  <c r="W300" i="5" s="1"/>
  <c r="U298" i="5"/>
  <c r="X297" i="5"/>
  <c r="W297" i="5"/>
  <c r="U297" i="5"/>
  <c r="V297" i="5" s="1"/>
  <c r="X295" i="5"/>
  <c r="V293" i="5"/>
  <c r="U293" i="5"/>
  <c r="V292" i="5"/>
  <c r="U292" i="5"/>
  <c r="X289" i="5"/>
  <c r="V288" i="5"/>
  <c r="U288" i="5"/>
  <c r="X287" i="5"/>
  <c r="W287" i="5"/>
  <c r="V287" i="5"/>
  <c r="W289" i="5" s="1"/>
  <c r="U287" i="5"/>
  <c r="U283" i="5"/>
  <c r="V283" i="5" s="1"/>
  <c r="U282" i="5"/>
  <c r="V282" i="5" s="1"/>
  <c r="D281" i="5"/>
  <c r="C281" i="5"/>
  <c r="B281" i="5"/>
  <c r="A281" i="5"/>
  <c r="X279" i="5"/>
  <c r="W279" i="5"/>
  <c r="U278" i="5"/>
  <c r="V278" i="5" s="1"/>
  <c r="W278" i="5" s="1"/>
  <c r="X277" i="5"/>
  <c r="V277" i="5"/>
  <c r="W277" i="5" s="1"/>
  <c r="U277" i="5"/>
  <c r="X275" i="5"/>
  <c r="W275" i="5"/>
  <c r="X274" i="5"/>
  <c r="W274" i="5"/>
  <c r="X273" i="5"/>
  <c r="W273" i="5"/>
  <c r="V273" i="5"/>
  <c r="U273" i="5"/>
  <c r="X272" i="5"/>
  <c r="V272" i="5"/>
  <c r="W272" i="5" s="1"/>
  <c r="U272" i="5"/>
  <c r="X270" i="5"/>
  <c r="X269" i="5"/>
  <c r="W269" i="5"/>
  <c r="X268" i="5"/>
  <c r="V268" i="5"/>
  <c r="W270" i="5" s="1"/>
  <c r="U268" i="5"/>
  <c r="V267" i="5"/>
  <c r="W267" i="5" s="1"/>
  <c r="U267" i="5"/>
  <c r="X264" i="5"/>
  <c r="W264" i="5"/>
  <c r="U263" i="5"/>
  <c r="V263" i="5" s="1"/>
  <c r="X262" i="5"/>
  <c r="V262" i="5"/>
  <c r="W262" i="5" s="1"/>
  <c r="U262" i="5"/>
  <c r="U258" i="5"/>
  <c r="V258" i="5" s="1"/>
  <c r="V257" i="5"/>
  <c r="U257" i="5"/>
  <c r="V253" i="5"/>
  <c r="U253" i="5"/>
  <c r="X252" i="5"/>
  <c r="V252" i="5"/>
  <c r="U252" i="5"/>
  <c r="X250" i="5"/>
  <c r="W250" i="5"/>
  <c r="X248" i="5"/>
  <c r="W248" i="5"/>
  <c r="V248" i="5"/>
  <c r="U248" i="5"/>
  <c r="V247" i="5"/>
  <c r="U247" i="5"/>
  <c r="X245" i="5"/>
  <c r="X244" i="5"/>
  <c r="U243" i="5"/>
  <c r="V243" i="5" s="1"/>
  <c r="X242" i="5"/>
  <c r="V242" i="5"/>
  <c r="U242" i="5"/>
  <c r="W240" i="5"/>
  <c r="U238" i="5"/>
  <c r="V238" i="5" s="1"/>
  <c r="V237" i="5"/>
  <c r="U237" i="5"/>
  <c r="X235" i="5"/>
  <c r="X233" i="5"/>
  <c r="U233" i="5"/>
  <c r="V233" i="5" s="1"/>
  <c r="W233" i="5" s="1"/>
  <c r="X232" i="5"/>
  <c r="V232" i="5"/>
  <c r="W232" i="5" s="1"/>
  <c r="U232" i="5"/>
  <c r="X230" i="5"/>
  <c r="W230" i="5"/>
  <c r="X229" i="5"/>
  <c r="W229" i="5"/>
  <c r="X228" i="5"/>
  <c r="W228" i="5"/>
  <c r="V228" i="5"/>
  <c r="U228" i="5"/>
  <c r="V227" i="5"/>
  <c r="U227" i="5"/>
  <c r="X225" i="5"/>
  <c r="W225" i="5"/>
  <c r="X224" i="5"/>
  <c r="W224" i="5"/>
  <c r="X223" i="5"/>
  <c r="W223" i="5"/>
  <c r="V223" i="5"/>
  <c r="U223" i="5"/>
  <c r="V222" i="5"/>
  <c r="U222" i="5"/>
  <c r="X219" i="5"/>
  <c r="W219" i="5"/>
  <c r="W218" i="5"/>
  <c r="V218" i="5"/>
  <c r="U218" i="5"/>
  <c r="X217" i="5"/>
  <c r="V217" i="5"/>
  <c r="W217" i="5" s="1"/>
  <c r="U217" i="5"/>
  <c r="X214" i="5"/>
  <c r="W214" i="5"/>
  <c r="U213" i="5"/>
  <c r="V213" i="5" s="1"/>
  <c r="X212" i="5"/>
  <c r="V212" i="5"/>
  <c r="W212" i="5" s="1"/>
  <c r="U212" i="5"/>
  <c r="X209" i="5"/>
  <c r="W209" i="5"/>
  <c r="U208" i="5"/>
  <c r="V208" i="5" s="1"/>
  <c r="X207" i="5"/>
  <c r="V207" i="5"/>
  <c r="W207" i="5" s="1"/>
  <c r="U207" i="5"/>
  <c r="X204" i="5"/>
  <c r="V203" i="5"/>
  <c r="U203" i="5"/>
  <c r="V202" i="5"/>
  <c r="U202" i="5"/>
  <c r="U198" i="5"/>
  <c r="V198" i="5" s="1"/>
  <c r="V197" i="5"/>
  <c r="U197" i="5"/>
  <c r="W194" i="5"/>
  <c r="U193" i="5"/>
  <c r="V193" i="5" s="1"/>
  <c r="X192" i="5"/>
  <c r="V192" i="5"/>
  <c r="U192" i="5"/>
  <c r="U188" i="5"/>
  <c r="V188" i="5" s="1"/>
  <c r="X187" i="5"/>
  <c r="V187" i="5"/>
  <c r="U187" i="5"/>
  <c r="X184" i="5"/>
  <c r="U183" i="5"/>
  <c r="V183" i="5" s="1"/>
  <c r="V182" i="5"/>
  <c r="U182" i="5"/>
  <c r="U178" i="5"/>
  <c r="V178" i="5" s="1"/>
  <c r="V177" i="5"/>
  <c r="U177" i="5"/>
  <c r="X175" i="5"/>
  <c r="W175" i="5"/>
  <c r="X174" i="5"/>
  <c r="U173" i="5"/>
  <c r="V173" i="5" s="1"/>
  <c r="W173" i="5" s="1"/>
  <c r="X172" i="5"/>
  <c r="V172" i="5"/>
  <c r="W172" i="5" s="1"/>
  <c r="U172" i="5"/>
  <c r="X170" i="5"/>
  <c r="W170" i="5"/>
  <c r="X169" i="5"/>
  <c r="W169" i="5"/>
  <c r="X168" i="5"/>
  <c r="W168" i="5"/>
  <c r="V168" i="5"/>
  <c r="U168" i="5"/>
  <c r="V167" i="5"/>
  <c r="U167" i="5"/>
  <c r="X164" i="5"/>
  <c r="W164" i="5"/>
  <c r="V163" i="5"/>
  <c r="U163" i="5"/>
  <c r="V162" i="5"/>
  <c r="U162" i="5"/>
  <c r="X159" i="5"/>
  <c r="W159" i="5"/>
  <c r="U158" i="5"/>
  <c r="V158" i="5" s="1"/>
  <c r="X157" i="5"/>
  <c r="V157" i="5"/>
  <c r="W157" i="5" s="1"/>
  <c r="U157" i="5"/>
  <c r="X154" i="5"/>
  <c r="W154" i="5"/>
  <c r="U153" i="5"/>
  <c r="V153" i="5" s="1"/>
  <c r="X152" i="5"/>
  <c r="V152" i="5"/>
  <c r="W152" i="5" s="1"/>
  <c r="U152" i="5"/>
  <c r="X149" i="5"/>
  <c r="U148" i="5"/>
  <c r="V148" i="5" s="1"/>
  <c r="X147" i="5"/>
  <c r="V147" i="5"/>
  <c r="U147" i="5"/>
  <c r="V143" i="5"/>
  <c r="U143" i="5"/>
  <c r="V142" i="5"/>
  <c r="U142" i="5"/>
  <c r="U138" i="5"/>
  <c r="V138" i="5" s="1"/>
  <c r="V137" i="5"/>
  <c r="U137" i="5"/>
  <c r="W134" i="5"/>
  <c r="V133" i="5"/>
  <c r="W135" i="5" s="1"/>
  <c r="U133" i="5"/>
  <c r="V132" i="5"/>
  <c r="U132" i="5"/>
  <c r="V128" i="5"/>
  <c r="U128" i="5"/>
  <c r="V127" i="5"/>
  <c r="U127" i="5"/>
  <c r="V123" i="5"/>
  <c r="U123" i="5"/>
  <c r="V122" i="5"/>
  <c r="U122" i="5"/>
  <c r="X120" i="5"/>
  <c r="W120" i="5"/>
  <c r="U118" i="5"/>
  <c r="V118" i="5" s="1"/>
  <c r="V117" i="5"/>
  <c r="U117" i="5"/>
  <c r="X115" i="5"/>
  <c r="W115" i="5"/>
  <c r="X113" i="5"/>
  <c r="U113" i="5"/>
  <c r="V113" i="5" s="1"/>
  <c r="W113" i="5" s="1"/>
  <c r="U112" i="5"/>
  <c r="V112" i="5" s="1"/>
  <c r="X110" i="5"/>
  <c r="W110" i="5"/>
  <c r="W109" i="5"/>
  <c r="X108" i="5"/>
  <c r="W108" i="5"/>
  <c r="V108" i="5"/>
  <c r="U108" i="5"/>
  <c r="U107" i="5"/>
  <c r="V107" i="5" s="1"/>
  <c r="X104" i="5"/>
  <c r="X103" i="5"/>
  <c r="V103" i="5"/>
  <c r="U103" i="5"/>
  <c r="V102" i="5"/>
  <c r="U102" i="5"/>
  <c r="U98" i="5"/>
  <c r="V98" i="5" s="1"/>
  <c r="U97" i="5"/>
  <c r="V97" i="5" s="1"/>
  <c r="X95" i="5"/>
  <c r="W95" i="5"/>
  <c r="X94" i="5"/>
  <c r="W94" i="5"/>
  <c r="W93" i="5"/>
  <c r="U93" i="5"/>
  <c r="V93" i="5" s="1"/>
  <c r="X93" i="5" s="1"/>
  <c r="X92" i="5"/>
  <c r="V92" i="5"/>
  <c r="W92" i="5" s="1"/>
  <c r="U92" i="5"/>
  <c r="X89" i="5"/>
  <c r="V88" i="5"/>
  <c r="U88" i="5"/>
  <c r="X87" i="5"/>
  <c r="V87" i="5"/>
  <c r="W87" i="5" s="1"/>
  <c r="U87" i="5"/>
  <c r="W85" i="5"/>
  <c r="U83" i="5"/>
  <c r="V83" i="5" s="1"/>
  <c r="U82" i="5"/>
  <c r="V82" i="5" s="1"/>
  <c r="W82" i="5" s="1"/>
  <c r="W79" i="5"/>
  <c r="U78" i="5"/>
  <c r="V78" i="5" s="1"/>
  <c r="U77" i="5"/>
  <c r="V77" i="5" s="1"/>
  <c r="U73" i="5"/>
  <c r="V73" i="5" s="1"/>
  <c r="U72" i="5"/>
  <c r="V72" i="5" s="1"/>
  <c r="W68" i="5"/>
  <c r="U68" i="5"/>
  <c r="V68" i="5" s="1"/>
  <c r="W67" i="5"/>
  <c r="V67" i="5"/>
  <c r="U67" i="5"/>
  <c r="U63" i="5"/>
  <c r="V63" i="5" s="1"/>
  <c r="U62" i="5"/>
  <c r="V62" i="5" s="1"/>
  <c r="X60" i="5"/>
  <c r="W60" i="5"/>
  <c r="X58" i="5"/>
  <c r="W58" i="5"/>
  <c r="V58" i="5"/>
  <c r="U58" i="5"/>
  <c r="W57" i="5"/>
  <c r="U57" i="5"/>
  <c r="V57" i="5" s="1"/>
  <c r="U53" i="5"/>
  <c r="V53" i="5" s="1"/>
  <c r="U52" i="5"/>
  <c r="V52" i="5" s="1"/>
  <c r="U48" i="5"/>
  <c r="V48" i="5" s="1"/>
  <c r="X47" i="5"/>
  <c r="W47" i="5"/>
  <c r="V47" i="5"/>
  <c r="U47" i="5"/>
  <c r="U43" i="5"/>
  <c r="V43" i="5" s="1"/>
  <c r="X42" i="5"/>
  <c r="U42" i="5"/>
  <c r="V42" i="5" s="1"/>
  <c r="W38" i="5"/>
  <c r="U38" i="5"/>
  <c r="V38" i="5" s="1"/>
  <c r="U37" i="5"/>
  <c r="V37" i="5" s="1"/>
  <c r="U33" i="5"/>
  <c r="V33" i="5" s="1"/>
  <c r="U32" i="5"/>
  <c r="V32" i="5" s="1"/>
  <c r="X30" i="5"/>
  <c r="W30" i="5"/>
  <c r="X28" i="5"/>
  <c r="W28" i="5"/>
  <c r="V28" i="5"/>
  <c r="U28" i="5"/>
  <c r="U27" i="5"/>
  <c r="V27" i="5" s="1"/>
  <c r="V23" i="5"/>
  <c r="U23" i="5"/>
  <c r="U22" i="5"/>
  <c r="V22" i="5" s="1"/>
  <c r="W20" i="5"/>
  <c r="W18" i="5"/>
  <c r="V18" i="5"/>
  <c r="U18" i="5"/>
  <c r="X17" i="5"/>
  <c r="W17" i="5"/>
  <c r="V17" i="5"/>
  <c r="U17" i="5"/>
  <c r="W15" i="5"/>
  <c r="W13" i="5"/>
  <c r="U13" i="5"/>
  <c r="V13" i="5" s="1"/>
  <c r="X12" i="5"/>
  <c r="W12" i="5"/>
  <c r="V12" i="5"/>
  <c r="U12" i="5"/>
  <c r="U8" i="5"/>
  <c r="V8" i="5" s="1"/>
  <c r="U7" i="5"/>
  <c r="V7" i="5" s="1"/>
  <c r="X5" i="5"/>
  <c r="W5" i="5"/>
  <c r="U3" i="5"/>
  <c r="V3" i="5" s="1"/>
  <c r="U2" i="5"/>
  <c r="V2" i="5" s="1"/>
  <c r="X140" i="4"/>
  <c r="W140" i="4"/>
  <c r="X138" i="4"/>
  <c r="W138" i="4"/>
  <c r="V138" i="4"/>
  <c r="U138" i="4"/>
  <c r="U137" i="4"/>
  <c r="V137" i="4" s="1"/>
  <c r="W133" i="4"/>
  <c r="V133" i="4"/>
  <c r="U133" i="4"/>
  <c r="U132" i="4"/>
  <c r="V132" i="4" s="1"/>
  <c r="U128" i="4"/>
  <c r="V128" i="4" s="1"/>
  <c r="X127" i="4"/>
  <c r="W127" i="4"/>
  <c r="V127" i="4"/>
  <c r="U127" i="4"/>
  <c r="W125" i="4"/>
  <c r="W123" i="4"/>
  <c r="U123" i="4"/>
  <c r="V123" i="4" s="1"/>
  <c r="X122" i="4"/>
  <c r="U122" i="4"/>
  <c r="V122" i="4" s="1"/>
  <c r="U118" i="4"/>
  <c r="V118" i="4" s="1"/>
  <c r="U117" i="4"/>
  <c r="V117" i="4" s="1"/>
  <c r="X115" i="4"/>
  <c r="U113" i="4"/>
  <c r="V113" i="4" s="1"/>
  <c r="W112" i="4"/>
  <c r="U112" i="4"/>
  <c r="V112" i="4" s="1"/>
  <c r="X110" i="4"/>
  <c r="W110" i="4"/>
  <c r="X108" i="4"/>
  <c r="W108" i="4"/>
  <c r="V108" i="4"/>
  <c r="U108" i="4"/>
  <c r="U107" i="4"/>
  <c r="V107" i="4" s="1"/>
  <c r="U103" i="4"/>
  <c r="V103" i="4" s="1"/>
  <c r="U102" i="4"/>
  <c r="V102" i="4" s="1"/>
  <c r="W98" i="4"/>
  <c r="V98" i="4"/>
  <c r="U98" i="4"/>
  <c r="X97" i="4"/>
  <c r="W97" i="4"/>
  <c r="V97" i="4"/>
  <c r="U97" i="4"/>
  <c r="W95" i="4"/>
  <c r="U93" i="4"/>
  <c r="V93" i="4" s="1"/>
  <c r="U92" i="4"/>
  <c r="V92" i="4" s="1"/>
  <c r="U88" i="4"/>
  <c r="V88" i="4" s="1"/>
  <c r="U87" i="4"/>
  <c r="V87" i="4" s="1"/>
  <c r="X85" i="4"/>
  <c r="U83" i="4"/>
  <c r="V83" i="4" s="1"/>
  <c r="U82" i="4"/>
  <c r="V82" i="4" s="1"/>
  <c r="X80" i="4"/>
  <c r="W80" i="4"/>
  <c r="X78" i="4"/>
  <c r="W78" i="4"/>
  <c r="V78" i="4"/>
  <c r="U78" i="4"/>
  <c r="W77" i="4"/>
  <c r="U77" i="4"/>
  <c r="V77" i="4" s="1"/>
  <c r="U73" i="4"/>
  <c r="V73" i="4" s="1"/>
  <c r="U72" i="4"/>
  <c r="V72" i="4" s="1"/>
  <c r="W68" i="4"/>
  <c r="U68" i="4"/>
  <c r="V68" i="4" s="1"/>
  <c r="X67" i="4"/>
  <c r="W67" i="4"/>
  <c r="V67" i="4"/>
  <c r="U67" i="4"/>
  <c r="U63" i="4"/>
  <c r="V63" i="4" s="1"/>
  <c r="U62" i="4"/>
  <c r="V62" i="4" s="1"/>
  <c r="W58" i="4"/>
  <c r="U58" i="4"/>
  <c r="V58" i="4" s="1"/>
  <c r="U57" i="4"/>
  <c r="V57" i="4" s="1"/>
  <c r="U53" i="4"/>
  <c r="V53" i="4" s="1"/>
  <c r="U52" i="4"/>
  <c r="V52" i="4" s="1"/>
  <c r="X50" i="4"/>
  <c r="W50" i="4"/>
  <c r="X48" i="4"/>
  <c r="W48" i="4"/>
  <c r="V48" i="4"/>
  <c r="U48" i="4"/>
  <c r="U47" i="4"/>
  <c r="V47" i="4" s="1"/>
  <c r="V43" i="4"/>
  <c r="U43" i="4"/>
  <c r="U42" i="4"/>
  <c r="V42" i="4" s="1"/>
  <c r="W40" i="4"/>
  <c r="V38" i="4"/>
  <c r="U38" i="4"/>
  <c r="X37" i="4"/>
  <c r="W37" i="4"/>
  <c r="V37" i="4"/>
  <c r="U37" i="4"/>
  <c r="W35" i="4"/>
  <c r="W33" i="4"/>
  <c r="U33" i="4"/>
  <c r="V33" i="4" s="1"/>
  <c r="U32" i="4"/>
  <c r="V32" i="4" s="1"/>
  <c r="U28" i="4"/>
  <c r="V28" i="4" s="1"/>
  <c r="U27" i="4"/>
  <c r="V27" i="4" s="1"/>
  <c r="X25" i="4"/>
  <c r="U23" i="4"/>
  <c r="V23" i="4" s="1"/>
  <c r="U22" i="4"/>
  <c r="V22" i="4" s="1"/>
  <c r="W22" i="4" s="1"/>
  <c r="X20" i="4"/>
  <c r="W20" i="4"/>
  <c r="X18" i="4"/>
  <c r="W18" i="4"/>
  <c r="V18" i="4"/>
  <c r="U18" i="4"/>
  <c r="U17" i="4"/>
  <c r="V17" i="4" s="1"/>
  <c r="W15" i="4"/>
  <c r="W14" i="4"/>
  <c r="X13" i="4"/>
  <c r="W13" i="4"/>
  <c r="V13" i="4"/>
  <c r="X15" i="4" s="1"/>
  <c r="U13" i="4"/>
  <c r="V12" i="4"/>
  <c r="U12" i="4"/>
  <c r="V8" i="4"/>
  <c r="U8" i="4"/>
  <c r="V7" i="4"/>
  <c r="U7" i="4"/>
  <c r="X5" i="4"/>
  <c r="V3" i="4"/>
  <c r="U3" i="4"/>
  <c r="V2" i="4"/>
  <c r="U2" i="4"/>
  <c r="X50" i="3"/>
  <c r="X49" i="3"/>
  <c r="W49" i="3"/>
  <c r="X48" i="3"/>
  <c r="V48" i="3"/>
  <c r="W50" i="3" s="1"/>
  <c r="U48" i="3"/>
  <c r="V47" i="3"/>
  <c r="U47" i="3"/>
  <c r="X44" i="3"/>
  <c r="W44" i="3"/>
  <c r="U43" i="3"/>
  <c r="V43" i="3" s="1"/>
  <c r="V42" i="3"/>
  <c r="U42" i="3"/>
  <c r="W39" i="3"/>
  <c r="X38" i="3"/>
  <c r="U38" i="3"/>
  <c r="V38" i="3" s="1"/>
  <c r="V37" i="3"/>
  <c r="U37" i="3"/>
  <c r="U33" i="3"/>
  <c r="V33" i="3" s="1"/>
  <c r="V32" i="3"/>
  <c r="U32" i="3"/>
  <c r="X30" i="3"/>
  <c r="X29" i="3"/>
  <c r="W29" i="3"/>
  <c r="U28" i="3"/>
  <c r="V28" i="3" s="1"/>
  <c r="V27" i="3"/>
  <c r="U27" i="3"/>
  <c r="X24" i="3"/>
  <c r="W24" i="3"/>
  <c r="V23" i="3"/>
  <c r="U23" i="3"/>
  <c r="V22" i="3"/>
  <c r="U22" i="3"/>
  <c r="U18" i="3"/>
  <c r="V18" i="3" s="1"/>
  <c r="V17" i="3"/>
  <c r="U17" i="3"/>
  <c r="V13" i="3"/>
  <c r="U13" i="3"/>
  <c r="V12" i="3"/>
  <c r="U12" i="3"/>
  <c r="X10" i="3"/>
  <c r="X9" i="3"/>
  <c r="W9" i="3"/>
  <c r="U8" i="3"/>
  <c r="V8" i="3" s="1"/>
  <c r="V7" i="3"/>
  <c r="U7" i="3"/>
  <c r="X5" i="3"/>
  <c r="X4" i="3"/>
  <c r="W4" i="3"/>
  <c r="X3" i="3"/>
  <c r="V3" i="3"/>
  <c r="W5" i="3" s="1"/>
  <c r="U3" i="3"/>
  <c r="V2" i="3"/>
  <c r="U2" i="3"/>
  <c r="X40" i="2"/>
  <c r="W40" i="2"/>
  <c r="I39" i="2"/>
  <c r="W39" i="2" s="1"/>
  <c r="E39" i="2"/>
  <c r="X38" i="2"/>
  <c r="W38" i="2"/>
  <c r="V38" i="2"/>
  <c r="W37" i="2"/>
  <c r="U37" i="2"/>
  <c r="Q37" i="2"/>
  <c r="V37" i="2" s="1"/>
  <c r="I37" i="2"/>
  <c r="E37" i="2"/>
  <c r="X35" i="2"/>
  <c r="W35" i="2"/>
  <c r="X34" i="2"/>
  <c r="J34" i="2"/>
  <c r="I34" i="2"/>
  <c r="H34" i="2"/>
  <c r="E34" i="2"/>
  <c r="V33" i="2"/>
  <c r="W33" i="2" s="1"/>
  <c r="U32" i="2"/>
  <c r="Q32" i="2"/>
  <c r="V32" i="2" s="1"/>
  <c r="W34" i="2" s="1"/>
  <c r="J32" i="2"/>
  <c r="I32" i="2"/>
  <c r="H32" i="2"/>
  <c r="E32" i="2"/>
  <c r="J29" i="2"/>
  <c r="I29" i="2"/>
  <c r="H29" i="2"/>
  <c r="E29" i="2"/>
  <c r="V28" i="2"/>
  <c r="U28" i="2"/>
  <c r="X27" i="2"/>
  <c r="W27" i="2"/>
  <c r="V27" i="2"/>
  <c r="U27" i="2"/>
  <c r="Q27" i="2"/>
  <c r="J27" i="2"/>
  <c r="I27" i="2"/>
  <c r="H27" i="2"/>
  <c r="E27" i="2"/>
  <c r="W24" i="2"/>
  <c r="U23" i="2"/>
  <c r="V23" i="2" s="1"/>
  <c r="V22" i="2"/>
  <c r="X24" i="2" s="1"/>
  <c r="U22" i="2"/>
  <c r="Q22" i="2"/>
  <c r="X20" i="2"/>
  <c r="J19" i="2"/>
  <c r="I19" i="2"/>
  <c r="H19" i="2"/>
  <c r="G19" i="2"/>
  <c r="E19" i="2"/>
  <c r="U18" i="2"/>
  <c r="V18" i="2" s="1"/>
  <c r="V17" i="2"/>
  <c r="U17" i="2"/>
  <c r="Q17" i="2"/>
  <c r="J17" i="2"/>
  <c r="I17" i="2"/>
  <c r="H17" i="2"/>
  <c r="G17" i="2"/>
  <c r="E17" i="2"/>
  <c r="J14" i="2"/>
  <c r="I14" i="2"/>
  <c r="H14" i="2"/>
  <c r="G14" i="2"/>
  <c r="E14" i="2"/>
  <c r="W13" i="2"/>
  <c r="U13" i="2"/>
  <c r="V13" i="2" s="1"/>
  <c r="V12" i="2"/>
  <c r="U12" i="2"/>
  <c r="Q12" i="2"/>
  <c r="J12" i="2"/>
  <c r="I12" i="2"/>
  <c r="H12" i="2"/>
  <c r="G12" i="2"/>
  <c r="E12" i="2"/>
  <c r="U8" i="2"/>
  <c r="V8" i="2" s="1"/>
  <c r="U7" i="2"/>
  <c r="V7" i="2" s="1"/>
  <c r="X4" i="2"/>
  <c r="U3" i="2"/>
  <c r="V3" i="2" s="1"/>
  <c r="X2" i="2"/>
  <c r="V2" i="2"/>
  <c r="W4" i="2" s="1"/>
  <c r="U2" i="2"/>
  <c r="I323" i="1"/>
  <c r="E323" i="1"/>
  <c r="V322" i="1"/>
  <c r="X322" i="1" s="1"/>
  <c r="V321" i="1"/>
  <c r="U321" i="1"/>
  <c r="Q321" i="1"/>
  <c r="I321" i="1"/>
  <c r="E321" i="1"/>
  <c r="Y319" i="1"/>
  <c r="X319" i="1"/>
  <c r="W319" i="1"/>
  <c r="J318" i="1"/>
  <c r="I318" i="1"/>
  <c r="H318" i="1"/>
  <c r="E318" i="1"/>
  <c r="W317" i="1"/>
  <c r="V317" i="1"/>
  <c r="U316" i="1"/>
  <c r="Q316" i="1"/>
  <c r="V316" i="1" s="1"/>
  <c r="J316" i="1"/>
  <c r="I316" i="1"/>
  <c r="H316" i="1"/>
  <c r="E316" i="1"/>
  <c r="X314" i="1"/>
  <c r="W314" i="1"/>
  <c r="J313" i="1"/>
  <c r="I313" i="1"/>
  <c r="H313" i="1"/>
  <c r="E313" i="1"/>
  <c r="Y312" i="1"/>
  <c r="V312" i="1"/>
  <c r="X312" i="1" s="1"/>
  <c r="U311" i="1"/>
  <c r="Q311" i="1"/>
  <c r="V311" i="1" s="1"/>
  <c r="J311" i="1"/>
  <c r="I311" i="1"/>
  <c r="H311" i="1"/>
  <c r="E311" i="1"/>
  <c r="X309" i="1"/>
  <c r="W309" i="1"/>
  <c r="J308" i="1"/>
  <c r="I308" i="1"/>
  <c r="H308" i="1"/>
  <c r="E308" i="1"/>
  <c r="Y307" i="1"/>
  <c r="X307" i="1"/>
  <c r="W307" i="1"/>
  <c r="V307" i="1"/>
  <c r="Y309" i="1" s="1"/>
  <c r="V306" i="1"/>
  <c r="U306" i="1"/>
  <c r="Q306" i="1"/>
  <c r="J306" i="1"/>
  <c r="I306" i="1"/>
  <c r="H306" i="1"/>
  <c r="E306" i="1"/>
  <c r="J303" i="1"/>
  <c r="I303" i="1"/>
  <c r="H303" i="1"/>
  <c r="E303" i="1"/>
  <c r="Y302" i="1"/>
  <c r="X302" i="1"/>
  <c r="V302" i="1"/>
  <c r="U301" i="1"/>
  <c r="Q301" i="1"/>
  <c r="V301" i="1" s="1"/>
  <c r="J301" i="1"/>
  <c r="I301" i="1"/>
  <c r="H301" i="1"/>
  <c r="E301" i="1"/>
  <c r="Y299" i="1"/>
  <c r="X299" i="1"/>
  <c r="W299" i="1"/>
  <c r="Y298" i="1"/>
  <c r="J298" i="1"/>
  <c r="I298" i="1"/>
  <c r="H298" i="1"/>
  <c r="E298" i="1"/>
  <c r="W297" i="1"/>
  <c r="V297" i="1"/>
  <c r="Y297" i="1" s="1"/>
  <c r="Y296" i="1"/>
  <c r="V296" i="1"/>
  <c r="U296" i="1"/>
  <c r="Q296" i="1"/>
  <c r="J296" i="1"/>
  <c r="I296" i="1"/>
  <c r="H296" i="1"/>
  <c r="E296" i="1"/>
  <c r="Y289" i="1"/>
  <c r="X289" i="1"/>
  <c r="W289" i="1"/>
  <c r="Y270" i="1"/>
  <c r="W270" i="1"/>
  <c r="V270" i="1"/>
  <c r="T270" i="1"/>
  <c r="W269" i="1"/>
  <c r="X268" i="1"/>
  <c r="W268" i="1"/>
  <c r="V268" i="1"/>
  <c r="X270" i="1" s="1"/>
  <c r="V267" i="1"/>
  <c r="U267" i="1"/>
  <c r="Y263" i="1"/>
  <c r="V263" i="1"/>
  <c r="U262" i="1"/>
  <c r="V262" i="1" s="1"/>
  <c r="Y260" i="1"/>
  <c r="X260" i="1"/>
  <c r="W260" i="1"/>
  <c r="V260" i="1"/>
  <c r="T260" i="1"/>
  <c r="Y258" i="1"/>
  <c r="X258" i="1"/>
  <c r="W258" i="1"/>
  <c r="V258" i="1"/>
  <c r="V257" i="1"/>
  <c r="X259" i="1" s="1"/>
  <c r="U257" i="1"/>
  <c r="X255" i="1"/>
  <c r="W255" i="1"/>
  <c r="Y253" i="1"/>
  <c r="U253" i="1"/>
  <c r="V253" i="1" s="1"/>
  <c r="V252" i="1"/>
  <c r="U252" i="1"/>
  <c r="Y250" i="1"/>
  <c r="X250" i="1"/>
  <c r="W250" i="1"/>
  <c r="V250" i="1"/>
  <c r="T250" i="1"/>
  <c r="U248" i="1"/>
  <c r="V248" i="1" s="1"/>
  <c r="X247" i="1"/>
  <c r="V247" i="1"/>
  <c r="U247" i="1"/>
  <c r="Y244" i="1"/>
  <c r="X244" i="1"/>
  <c r="W244" i="1"/>
  <c r="U243" i="1"/>
  <c r="V243" i="1" s="1"/>
  <c r="Y242" i="1"/>
  <c r="U242" i="1"/>
  <c r="V242" i="1" s="1"/>
  <c r="X242" i="1" s="1"/>
  <c r="C241" i="1"/>
  <c r="X240" i="1"/>
  <c r="V240" i="1"/>
  <c r="T240" i="1"/>
  <c r="U238" i="1"/>
  <c r="V238" i="1" s="1"/>
  <c r="X237" i="1"/>
  <c r="W237" i="1"/>
  <c r="V237" i="1"/>
  <c r="U237" i="1"/>
  <c r="Y235" i="1"/>
  <c r="U233" i="1"/>
  <c r="V233" i="1" s="1"/>
  <c r="V232" i="1"/>
  <c r="U232" i="1"/>
  <c r="C231" i="1"/>
  <c r="X228" i="1"/>
  <c r="W228" i="1"/>
  <c r="V228" i="1"/>
  <c r="U228" i="1"/>
  <c r="V227" i="1"/>
  <c r="U227" i="1"/>
  <c r="Y225" i="1"/>
  <c r="U223" i="1"/>
  <c r="V223" i="1" s="1"/>
  <c r="U222" i="1"/>
  <c r="V222" i="1" s="1"/>
  <c r="V218" i="1"/>
  <c r="U218" i="1"/>
  <c r="Y217" i="1"/>
  <c r="X217" i="1"/>
  <c r="W217" i="1"/>
  <c r="U217" i="1"/>
  <c r="V217" i="1" s="1"/>
  <c r="V213" i="1"/>
  <c r="Y215" i="1" s="1"/>
  <c r="U213" i="1"/>
  <c r="X212" i="1"/>
  <c r="W212" i="1"/>
  <c r="U212" i="1"/>
  <c r="V212" i="1" s="1"/>
  <c r="U208" i="1"/>
  <c r="V208" i="1" s="1"/>
  <c r="U207" i="1"/>
  <c r="V207" i="1" s="1"/>
  <c r="Y205" i="1"/>
  <c r="U203" i="1"/>
  <c r="V203" i="1" s="1"/>
  <c r="Y202" i="1"/>
  <c r="X202" i="1"/>
  <c r="W202" i="1"/>
  <c r="U202" i="1"/>
  <c r="V202" i="1" s="1"/>
  <c r="Y200" i="1"/>
  <c r="X200" i="1"/>
  <c r="V198" i="1"/>
  <c r="U198" i="1"/>
  <c r="U197" i="1"/>
  <c r="V197" i="1" s="1"/>
  <c r="Y195" i="1"/>
  <c r="U193" i="1"/>
  <c r="V193" i="1" s="1"/>
  <c r="U192" i="1"/>
  <c r="V192" i="1" s="1"/>
  <c r="V188" i="1"/>
  <c r="U188" i="1"/>
  <c r="U187" i="1"/>
  <c r="V187" i="1" s="1"/>
  <c r="Y185" i="1"/>
  <c r="X185" i="1"/>
  <c r="W185" i="1"/>
  <c r="Y183" i="1"/>
  <c r="X183" i="1"/>
  <c r="V183" i="1"/>
  <c r="W183" i="1" s="1"/>
  <c r="U183" i="1"/>
  <c r="U182" i="1"/>
  <c r="V182" i="1" s="1"/>
  <c r="Y180" i="1"/>
  <c r="W180" i="1"/>
  <c r="U178" i="1"/>
  <c r="V178" i="1" s="1"/>
  <c r="U177" i="1"/>
  <c r="V177" i="1" s="1"/>
  <c r="Y174" i="1"/>
  <c r="X174" i="1"/>
  <c r="W174" i="1"/>
  <c r="W173" i="1"/>
  <c r="V173" i="1"/>
  <c r="U173" i="1"/>
  <c r="Y172" i="1"/>
  <c r="X172" i="1"/>
  <c r="W172" i="1"/>
  <c r="U172" i="1"/>
  <c r="V172" i="1" s="1"/>
  <c r="X168" i="1"/>
  <c r="V168" i="1"/>
  <c r="U168" i="1"/>
  <c r="V167" i="1"/>
  <c r="U167" i="1"/>
  <c r="U163" i="1"/>
  <c r="V163" i="1" s="1"/>
  <c r="U162" i="1"/>
  <c r="V162" i="1" s="1"/>
  <c r="X160" i="1"/>
  <c r="W158" i="1"/>
  <c r="V158" i="1"/>
  <c r="U158" i="1"/>
  <c r="Y157" i="1"/>
  <c r="X157" i="1"/>
  <c r="W157" i="1"/>
  <c r="V157" i="1"/>
  <c r="U157" i="1"/>
  <c r="V153" i="1"/>
  <c r="Y153" i="1" s="1"/>
  <c r="U153" i="1"/>
  <c r="U152" i="1"/>
  <c r="V152" i="1" s="1"/>
  <c r="U148" i="1"/>
  <c r="V148" i="1" s="1"/>
  <c r="V147" i="1"/>
  <c r="U147" i="1"/>
  <c r="U143" i="1"/>
  <c r="V143" i="1" s="1"/>
  <c r="Y142" i="1"/>
  <c r="X142" i="1"/>
  <c r="W142" i="1"/>
  <c r="V142" i="1"/>
  <c r="U142" i="1"/>
  <c r="W139" i="1"/>
  <c r="U138" i="1"/>
  <c r="V138" i="1" s="1"/>
  <c r="V137" i="1"/>
  <c r="U137" i="1"/>
  <c r="X134" i="1"/>
  <c r="W134" i="1"/>
  <c r="U133" i="1"/>
  <c r="V133" i="1" s="1"/>
  <c r="Y135" i="1" s="1"/>
  <c r="Y132" i="1"/>
  <c r="X132" i="1"/>
  <c r="U132" i="1"/>
  <c r="V132" i="1" s="1"/>
  <c r="Y134" i="1" s="1"/>
  <c r="U128" i="1"/>
  <c r="V128" i="1" s="1"/>
  <c r="V127" i="1"/>
  <c r="Y127" i="1" s="1"/>
  <c r="U127" i="1"/>
  <c r="X124" i="1"/>
  <c r="U123" i="1"/>
  <c r="V123" i="1" s="1"/>
  <c r="U122" i="1"/>
  <c r="V122" i="1" s="1"/>
  <c r="Y119" i="1"/>
  <c r="X119" i="1"/>
  <c r="W119" i="1"/>
  <c r="Y118" i="1"/>
  <c r="U118" i="1"/>
  <c r="V118" i="1" s="1"/>
  <c r="X117" i="1"/>
  <c r="V117" i="1"/>
  <c r="W117" i="1" s="1"/>
  <c r="U117" i="1"/>
  <c r="U113" i="1"/>
  <c r="V113" i="1" s="1"/>
  <c r="Y112" i="1"/>
  <c r="W112" i="1"/>
  <c r="V112" i="1"/>
  <c r="U112" i="1"/>
  <c r="W110" i="1"/>
  <c r="V110" i="1"/>
  <c r="T110" i="1"/>
  <c r="Y108" i="1"/>
  <c r="X108" i="1"/>
  <c r="W108" i="1"/>
  <c r="V108" i="1"/>
  <c r="Y110" i="1" s="1"/>
  <c r="U108" i="1"/>
  <c r="U107" i="1"/>
  <c r="V107" i="1" s="1"/>
  <c r="V105" i="1"/>
  <c r="T105" i="1"/>
  <c r="U103" i="1"/>
  <c r="V103" i="1" s="1"/>
  <c r="Y103" i="1" s="1"/>
  <c r="AA102" i="1"/>
  <c r="AA103" i="1" s="1"/>
  <c r="Y102" i="1"/>
  <c r="U102" i="1"/>
  <c r="V102" i="1" s="1"/>
  <c r="D101" i="1"/>
  <c r="C101" i="1"/>
  <c r="B101" i="1"/>
  <c r="A101" i="1"/>
  <c r="Y99" i="1"/>
  <c r="X99" i="1"/>
  <c r="W99" i="1"/>
  <c r="V98" i="1"/>
  <c r="U98" i="1"/>
  <c r="Y97" i="1"/>
  <c r="W97" i="1"/>
  <c r="V97" i="1"/>
  <c r="X97" i="1" s="1"/>
  <c r="U97" i="1"/>
  <c r="Y95" i="1"/>
  <c r="X95" i="1"/>
  <c r="V95" i="1"/>
  <c r="T95" i="1"/>
  <c r="Y94" i="1"/>
  <c r="X94" i="1"/>
  <c r="W94" i="1"/>
  <c r="Y93" i="1"/>
  <c r="W93" i="1"/>
  <c r="V93" i="1"/>
  <c r="W95" i="1" s="1"/>
  <c r="U93" i="1"/>
  <c r="V92" i="1"/>
  <c r="U92" i="1"/>
  <c r="Y90" i="1"/>
  <c r="X90" i="1"/>
  <c r="W90" i="1"/>
  <c r="Y89" i="1"/>
  <c r="X89" i="1"/>
  <c r="Y88" i="1"/>
  <c r="X88" i="1"/>
  <c r="U88" i="1"/>
  <c r="V88" i="1" s="1"/>
  <c r="W88" i="1" s="1"/>
  <c r="V87" i="1"/>
  <c r="U87" i="1"/>
  <c r="U83" i="1"/>
  <c r="V83" i="1" s="1"/>
  <c r="U82" i="1"/>
  <c r="V82" i="1" s="1"/>
  <c r="U78" i="1"/>
  <c r="V78" i="1" s="1"/>
  <c r="Y77" i="1"/>
  <c r="W77" i="1"/>
  <c r="U77" i="1"/>
  <c r="V77" i="1" s="1"/>
  <c r="V75" i="1"/>
  <c r="T75" i="1"/>
  <c r="Y73" i="1"/>
  <c r="V73" i="1"/>
  <c r="U73" i="1"/>
  <c r="AA72" i="1"/>
  <c r="U72" i="1"/>
  <c r="V72" i="1" s="1"/>
  <c r="V68" i="1"/>
  <c r="Y68" i="1" s="1"/>
  <c r="U68" i="1"/>
  <c r="V67" i="1"/>
  <c r="W67" i="1" s="1"/>
  <c r="U67" i="1"/>
  <c r="Y65" i="1"/>
  <c r="V65" i="1"/>
  <c r="T65" i="1"/>
  <c r="Y63" i="1"/>
  <c r="U63" i="1"/>
  <c r="V63" i="1" s="1"/>
  <c r="U62" i="1"/>
  <c r="V62" i="1" s="1"/>
  <c r="D61" i="1"/>
  <c r="C61" i="1"/>
  <c r="B61" i="1"/>
  <c r="A61" i="1"/>
  <c r="U58" i="1"/>
  <c r="V58" i="1" s="1"/>
  <c r="Y57" i="1"/>
  <c r="V57" i="1"/>
  <c r="U57" i="1"/>
  <c r="X55" i="1"/>
  <c r="W55" i="1"/>
  <c r="U53" i="1"/>
  <c r="V53" i="1" s="1"/>
  <c r="Y55" i="1" s="1"/>
  <c r="U52" i="1"/>
  <c r="V52" i="1" s="1"/>
  <c r="Y50" i="1"/>
  <c r="X50" i="1"/>
  <c r="V50" i="1"/>
  <c r="T50" i="1"/>
  <c r="V48" i="1"/>
  <c r="Y48" i="1" s="1"/>
  <c r="U48" i="1"/>
  <c r="W47" i="1"/>
  <c r="V47" i="1"/>
  <c r="U47" i="1"/>
  <c r="V45" i="1"/>
  <c r="T45" i="1"/>
  <c r="AA43" i="1"/>
  <c r="V43" i="1"/>
  <c r="Y43" i="1" s="1"/>
  <c r="U43" i="1"/>
  <c r="AA42" i="1"/>
  <c r="U42" i="1"/>
  <c r="V42" i="1" s="1"/>
  <c r="V40" i="1"/>
  <c r="T40" i="1"/>
  <c r="W39" i="1"/>
  <c r="U38" i="1"/>
  <c r="V38" i="1" s="1"/>
  <c r="AA37" i="1"/>
  <c r="AA38" i="1" s="1"/>
  <c r="U37" i="1"/>
  <c r="V37" i="1" s="1"/>
  <c r="Y35" i="1"/>
  <c r="X35" i="1"/>
  <c r="W35" i="1"/>
  <c r="Y33" i="1"/>
  <c r="W33" i="1"/>
  <c r="V33" i="1"/>
  <c r="X33" i="1" s="1"/>
  <c r="U33" i="1"/>
  <c r="V32" i="1"/>
  <c r="Y34" i="1" s="1"/>
  <c r="U32" i="1"/>
  <c r="V28" i="1"/>
  <c r="Y28" i="1" s="1"/>
  <c r="U28" i="1"/>
  <c r="W27" i="1"/>
  <c r="V27" i="1"/>
  <c r="U27" i="1"/>
  <c r="V25" i="1"/>
  <c r="T25" i="1"/>
  <c r="AA23" i="1"/>
  <c r="V23" i="1"/>
  <c r="Y23" i="1" s="1"/>
  <c r="U23" i="1"/>
  <c r="AA22" i="1"/>
  <c r="U22" i="1"/>
  <c r="V22" i="1" s="1"/>
  <c r="V20" i="1"/>
  <c r="T20" i="1"/>
  <c r="W19" i="1"/>
  <c r="U18" i="1"/>
  <c r="V18" i="1" s="1"/>
  <c r="AA17" i="1"/>
  <c r="AA18" i="1" s="1"/>
  <c r="U17" i="1"/>
  <c r="V17" i="1" s="1"/>
  <c r="Y15" i="1"/>
  <c r="X15" i="1"/>
  <c r="W15" i="1"/>
  <c r="Y13" i="1"/>
  <c r="W13" i="1"/>
  <c r="V13" i="1"/>
  <c r="X13" i="1" s="1"/>
  <c r="U13" i="1"/>
  <c r="V12" i="1"/>
  <c r="Y14" i="1" s="1"/>
  <c r="U12" i="1"/>
  <c r="X9" i="1"/>
  <c r="W9" i="1"/>
  <c r="U8" i="1"/>
  <c r="V8" i="1" s="1"/>
  <c r="Y7" i="1"/>
  <c r="X7" i="1"/>
  <c r="W7" i="1"/>
  <c r="V7" i="1"/>
  <c r="Y9" i="1" s="1"/>
  <c r="U7" i="1"/>
  <c r="V3" i="1"/>
  <c r="W5" i="1" s="1"/>
  <c r="U3" i="1"/>
  <c r="AB2" i="1"/>
  <c r="U2" i="1"/>
  <c r="V2" i="1" s="1"/>
  <c r="Y2" i="1" l="1"/>
  <c r="W2" i="1"/>
  <c r="W4" i="1"/>
  <c r="X2" i="1"/>
  <c r="X4" i="1"/>
  <c r="Y4" i="1"/>
  <c r="Y207" i="1"/>
  <c r="X207" i="1"/>
  <c r="W207" i="1"/>
  <c r="Y209" i="1"/>
  <c r="X209" i="1"/>
  <c r="W209" i="1"/>
  <c r="X94" i="4"/>
  <c r="W94" i="4"/>
  <c r="X92" i="4"/>
  <c r="W92" i="4"/>
  <c r="W199" i="1"/>
  <c r="Y199" i="1"/>
  <c r="X199" i="1"/>
  <c r="Y197" i="1"/>
  <c r="X197" i="1"/>
  <c r="W197" i="1"/>
  <c r="Y208" i="1"/>
  <c r="Y210" i="1"/>
  <c r="W210" i="1"/>
  <c r="X208" i="1"/>
  <c r="X210" i="1"/>
  <c r="W208" i="1"/>
  <c r="Y224" i="1"/>
  <c r="X224" i="1"/>
  <c r="W224" i="1"/>
  <c r="Y222" i="1"/>
  <c r="X222" i="1"/>
  <c r="W222" i="1"/>
  <c r="Y152" i="1"/>
  <c r="X152" i="1"/>
  <c r="W152" i="1"/>
  <c r="Y154" i="1"/>
  <c r="X154" i="1"/>
  <c r="W154" i="1"/>
  <c r="X5" i="2"/>
  <c r="W5" i="2"/>
  <c r="X3" i="2"/>
  <c r="W3" i="2"/>
  <c r="X25" i="2"/>
  <c r="W25" i="2"/>
  <c r="X23" i="2"/>
  <c r="W23" i="2"/>
  <c r="Y22" i="1"/>
  <c r="X22" i="1"/>
  <c r="W22" i="1"/>
  <c r="X24" i="1"/>
  <c r="W24" i="1"/>
  <c r="Y24" i="1"/>
  <c r="Y140" i="1"/>
  <c r="X140" i="1"/>
  <c r="W140" i="1"/>
  <c r="W138" i="1"/>
  <c r="Y138" i="1"/>
  <c r="X138" i="1"/>
  <c r="X318" i="1"/>
  <c r="W316" i="1"/>
  <c r="Y316" i="1"/>
  <c r="X316" i="1"/>
  <c r="Y318" i="1"/>
  <c r="W318" i="1"/>
  <c r="Y38" i="1"/>
  <c r="Y40" i="1"/>
  <c r="X38" i="1"/>
  <c r="W38" i="1"/>
  <c r="X40" i="1"/>
  <c r="W40" i="1"/>
  <c r="Y107" i="1"/>
  <c r="X107" i="1"/>
  <c r="W107" i="1"/>
  <c r="Y109" i="1"/>
  <c r="X109" i="1"/>
  <c r="W109" i="1"/>
  <c r="Y115" i="1"/>
  <c r="X115" i="1"/>
  <c r="X113" i="1"/>
  <c r="W115" i="1"/>
  <c r="Y113" i="1"/>
  <c r="W113" i="1"/>
  <c r="X72" i="1"/>
  <c r="W72" i="1"/>
  <c r="Y74" i="1"/>
  <c r="X74" i="1"/>
  <c r="W74" i="1"/>
  <c r="Y72" i="1"/>
  <c r="X184" i="1"/>
  <c r="W184" i="1"/>
  <c r="Y184" i="1"/>
  <c r="X182" i="1"/>
  <c r="Y182" i="1"/>
  <c r="W182" i="1"/>
  <c r="Y125" i="1"/>
  <c r="X125" i="1"/>
  <c r="W125" i="1"/>
  <c r="Y123" i="1"/>
  <c r="X123" i="1"/>
  <c r="W123" i="1"/>
  <c r="X60" i="1"/>
  <c r="Y58" i="1"/>
  <c r="X58" i="1"/>
  <c r="W58" i="1"/>
  <c r="Y60" i="1"/>
  <c r="W60" i="1"/>
  <c r="Y42" i="1"/>
  <c r="X44" i="1"/>
  <c r="X42" i="1"/>
  <c r="W42" i="1"/>
  <c r="Y44" i="1"/>
  <c r="W44" i="1"/>
  <c r="Y130" i="1"/>
  <c r="X130" i="1"/>
  <c r="W130" i="1"/>
  <c r="Y128" i="1"/>
  <c r="X128" i="1"/>
  <c r="W128" i="1"/>
  <c r="X179" i="1"/>
  <c r="W179" i="1"/>
  <c r="Y179" i="1"/>
  <c r="Y177" i="1"/>
  <c r="X177" i="1"/>
  <c r="W177" i="1"/>
  <c r="Y83" i="1"/>
  <c r="X83" i="1"/>
  <c r="W83" i="1"/>
  <c r="Y85" i="1"/>
  <c r="X85" i="1"/>
  <c r="W85" i="1"/>
  <c r="Y8" i="1"/>
  <c r="Y10" i="1"/>
  <c r="X10" i="1"/>
  <c r="W10" i="1"/>
  <c r="X8" i="1"/>
  <c r="W8" i="1"/>
  <c r="Y18" i="1"/>
  <c r="Y20" i="1"/>
  <c r="X18" i="1"/>
  <c r="W18" i="1"/>
  <c r="X20" i="1"/>
  <c r="W20" i="1"/>
  <c r="Y164" i="1"/>
  <c r="X164" i="1"/>
  <c r="W164" i="1"/>
  <c r="W162" i="1"/>
  <c r="Y162" i="1"/>
  <c r="X162" i="1"/>
  <c r="Y80" i="1"/>
  <c r="X80" i="1"/>
  <c r="X78" i="1"/>
  <c r="W80" i="1"/>
  <c r="Y78" i="1"/>
  <c r="W78" i="1"/>
  <c r="X84" i="1"/>
  <c r="Y84" i="1"/>
  <c r="X82" i="1"/>
  <c r="W82" i="1"/>
  <c r="W84" i="1"/>
  <c r="Y82" i="1"/>
  <c r="Y52" i="1"/>
  <c r="X52" i="1"/>
  <c r="Y54" i="1"/>
  <c r="X54" i="1"/>
  <c r="W54" i="1"/>
  <c r="W52" i="1"/>
  <c r="Y62" i="1"/>
  <c r="X62" i="1"/>
  <c r="W64" i="1"/>
  <c r="W62" i="1"/>
  <c r="Y64" i="1"/>
  <c r="X64" i="1"/>
  <c r="X145" i="1"/>
  <c r="W145" i="1"/>
  <c r="Y143" i="1"/>
  <c r="X143" i="1"/>
  <c r="W143" i="1"/>
  <c r="Y145" i="1"/>
  <c r="Y29" i="1"/>
  <c r="W29" i="1"/>
  <c r="Y49" i="1"/>
  <c r="W49" i="1"/>
  <c r="X118" i="1"/>
  <c r="W118" i="1"/>
  <c r="Y120" i="1"/>
  <c r="X120" i="1"/>
  <c r="W120" i="1"/>
  <c r="Y160" i="1"/>
  <c r="W160" i="1"/>
  <c r="Y158" i="1"/>
  <c r="X158" i="1"/>
  <c r="W175" i="1"/>
  <c r="X175" i="1"/>
  <c r="Y173" i="1"/>
  <c r="X173" i="1"/>
  <c r="Y193" i="1"/>
  <c r="X195" i="1"/>
  <c r="W195" i="1"/>
  <c r="X193" i="1"/>
  <c r="W193" i="1"/>
  <c r="Y214" i="1"/>
  <c r="X214" i="1"/>
  <c r="W214" i="1"/>
  <c r="W220" i="1"/>
  <c r="Y218" i="1"/>
  <c r="X218" i="1"/>
  <c r="Y220" i="1"/>
  <c r="X220" i="1"/>
  <c r="W218" i="1"/>
  <c r="Y230" i="1"/>
  <c r="X230" i="1"/>
  <c r="W230" i="1"/>
  <c r="Y228" i="1"/>
  <c r="Y239" i="1"/>
  <c r="X239" i="1"/>
  <c r="W239" i="1"/>
  <c r="X308" i="1"/>
  <c r="W306" i="1"/>
  <c r="Y306" i="1"/>
  <c r="X306" i="1"/>
  <c r="W177" i="5"/>
  <c r="X179" i="5"/>
  <c r="X177" i="5"/>
  <c r="W179" i="5"/>
  <c r="X9" i="5"/>
  <c r="W9" i="5"/>
  <c r="X7" i="5"/>
  <c r="W7" i="5"/>
  <c r="X80" i="5"/>
  <c r="W80" i="5"/>
  <c r="W78" i="5"/>
  <c r="X78" i="5"/>
  <c r="X178" i="5"/>
  <c r="W178" i="5"/>
  <c r="X180" i="5"/>
  <c r="W180" i="5"/>
  <c r="W3" i="1"/>
  <c r="Y149" i="1"/>
  <c r="X149" i="1"/>
  <c r="W153" i="1"/>
  <c r="W257" i="1"/>
  <c r="X39" i="2"/>
  <c r="W45" i="3"/>
  <c r="X45" i="3"/>
  <c r="X43" i="3"/>
  <c r="W43" i="3"/>
  <c r="X139" i="4"/>
  <c r="W139" i="4"/>
  <c r="X137" i="4"/>
  <c r="W137" i="4"/>
  <c r="W305" i="5"/>
  <c r="X303" i="5"/>
  <c r="W303" i="5"/>
  <c r="W245" i="1"/>
  <c r="Y245" i="1"/>
  <c r="X245" i="1"/>
  <c r="Y243" i="1"/>
  <c r="X243" i="1"/>
  <c r="W243" i="1"/>
  <c r="Y212" i="1"/>
  <c r="X155" i="5"/>
  <c r="X153" i="5"/>
  <c r="W153" i="5"/>
  <c r="W155" i="5"/>
  <c r="X265" i="5"/>
  <c r="W265" i="5"/>
  <c r="W263" i="5"/>
  <c r="X263" i="5"/>
  <c r="X305" i="5"/>
  <c r="Y262" i="1"/>
  <c r="X262" i="1"/>
  <c r="W262" i="1"/>
  <c r="W20" i="3"/>
  <c r="X20" i="3"/>
  <c r="X18" i="3"/>
  <c r="W18" i="3"/>
  <c r="X3" i="1"/>
  <c r="X12" i="1"/>
  <c r="Y17" i="1"/>
  <c r="Y19" i="1"/>
  <c r="W17" i="1"/>
  <c r="X19" i="1"/>
  <c r="Y27" i="1"/>
  <c r="X32" i="1"/>
  <c r="Y37" i="1"/>
  <c r="Y39" i="1"/>
  <c r="W37" i="1"/>
  <c r="X39" i="1"/>
  <c r="Y47" i="1"/>
  <c r="W57" i="1"/>
  <c r="Y59" i="1"/>
  <c r="X59" i="1"/>
  <c r="X68" i="1"/>
  <c r="W73" i="1"/>
  <c r="Y75" i="1"/>
  <c r="X75" i="1"/>
  <c r="W75" i="1"/>
  <c r="X127" i="1"/>
  <c r="Y133" i="1"/>
  <c r="W147" i="1"/>
  <c r="X153" i="1"/>
  <c r="Y170" i="1"/>
  <c r="X170" i="1"/>
  <c r="W170" i="1"/>
  <c r="Y168" i="1"/>
  <c r="Y187" i="1"/>
  <c r="X187" i="1"/>
  <c r="W187" i="1"/>
  <c r="X189" i="1"/>
  <c r="W189" i="1"/>
  <c r="W205" i="1"/>
  <c r="W203" i="1"/>
  <c r="Y203" i="1"/>
  <c r="X203" i="1"/>
  <c r="Y237" i="1"/>
  <c r="X298" i="1"/>
  <c r="W296" i="1"/>
  <c r="W298" i="1"/>
  <c r="Y321" i="1"/>
  <c r="X321" i="1"/>
  <c r="Y323" i="1"/>
  <c r="X323" i="1"/>
  <c r="W323" i="1"/>
  <c r="Y3" i="1"/>
  <c r="Y12" i="1"/>
  <c r="X17" i="1"/>
  <c r="Y32" i="1"/>
  <c r="X37" i="1"/>
  <c r="X57" i="1"/>
  <c r="X69" i="1"/>
  <c r="X73" i="1"/>
  <c r="X147" i="1"/>
  <c r="W168" i="1"/>
  <c r="X205" i="1"/>
  <c r="X238" i="1"/>
  <c r="Y238" i="1"/>
  <c r="W238" i="1"/>
  <c r="W264" i="1"/>
  <c r="X296" i="1"/>
  <c r="W321" i="1"/>
  <c r="X29" i="2"/>
  <c r="W29" i="2"/>
  <c r="X32" i="3"/>
  <c r="W32" i="3"/>
  <c r="X34" i="3"/>
  <c r="W34" i="3"/>
  <c r="X70" i="4"/>
  <c r="X68" i="4"/>
  <c r="W70" i="4"/>
  <c r="X50" i="5"/>
  <c r="X48" i="5"/>
  <c r="W48" i="5"/>
  <c r="W50" i="5"/>
  <c r="W43" i="1"/>
  <c r="X45" i="1"/>
  <c r="W45" i="1"/>
  <c r="Y98" i="1"/>
  <c r="X98" i="1"/>
  <c r="Y100" i="1"/>
  <c r="X100" i="1"/>
  <c r="W100" i="1"/>
  <c r="Y167" i="1"/>
  <c r="X167" i="1"/>
  <c r="W167" i="1"/>
  <c r="X169" i="1"/>
  <c r="W169" i="1"/>
  <c r="X43" i="1"/>
  <c r="X103" i="1"/>
  <c r="W103" i="1"/>
  <c r="X32" i="2"/>
  <c r="W32" i="2"/>
  <c r="W25" i="3"/>
  <c r="X25" i="3"/>
  <c r="W23" i="3"/>
  <c r="W35" i="3"/>
  <c r="X33" i="3"/>
  <c r="W33" i="3"/>
  <c r="X35" i="3"/>
  <c r="W12" i="1"/>
  <c r="X47" i="1"/>
  <c r="W68" i="1"/>
  <c r="Y129" i="1"/>
  <c r="X129" i="1"/>
  <c r="W129" i="1"/>
  <c r="W127" i="1"/>
  <c r="W70" i="1"/>
  <c r="Y147" i="1"/>
  <c r="W190" i="1"/>
  <c r="Y190" i="1"/>
  <c r="Y188" i="1"/>
  <c r="X188" i="1"/>
  <c r="W188" i="1"/>
  <c r="Y234" i="1"/>
  <c r="X234" i="1"/>
  <c r="W234" i="1"/>
  <c r="X313" i="1"/>
  <c r="W311" i="1"/>
  <c r="Y313" i="1"/>
  <c r="W313" i="1"/>
  <c r="W53" i="1"/>
  <c r="X70" i="1"/>
  <c r="W105" i="1"/>
  <c r="X148" i="1"/>
  <c r="W148" i="1"/>
  <c r="Y150" i="1"/>
  <c r="W150" i="1"/>
  <c r="Y169" i="1"/>
  <c r="Y189" i="1"/>
  <c r="Y223" i="1"/>
  <c r="W223" i="1"/>
  <c r="X225" i="1"/>
  <c r="W225" i="1"/>
  <c r="W232" i="1"/>
  <c r="Y249" i="1"/>
  <c r="X249" i="1"/>
  <c r="W249" i="1"/>
  <c r="Y264" i="1"/>
  <c r="W9" i="2"/>
  <c r="X7" i="2"/>
  <c r="W7" i="2"/>
  <c r="X9" i="2"/>
  <c r="X23" i="3"/>
  <c r="X19" i="4"/>
  <c r="W19" i="4"/>
  <c r="X17" i="4"/>
  <c r="W17" i="4"/>
  <c r="X53" i="4"/>
  <c r="W53" i="4"/>
  <c r="X55" i="4"/>
  <c r="W55" i="4"/>
  <c r="X130" i="5"/>
  <c r="X128" i="5"/>
  <c r="W130" i="5"/>
  <c r="W128" i="5"/>
  <c r="W32" i="1"/>
  <c r="Y175" i="1"/>
  <c r="W322" i="1"/>
  <c r="X17" i="2"/>
  <c r="X19" i="2"/>
  <c r="W19" i="2"/>
  <c r="X28" i="1"/>
  <c r="X48" i="1"/>
  <c r="X53" i="1"/>
  <c r="Y70" i="1"/>
  <c r="X105" i="1"/>
  <c r="Y148" i="1"/>
  <c r="Y159" i="1"/>
  <c r="X159" i="1"/>
  <c r="W159" i="1"/>
  <c r="X190" i="1"/>
  <c r="W219" i="1"/>
  <c r="Y219" i="1"/>
  <c r="X219" i="1"/>
  <c r="X223" i="1"/>
  <c r="X232" i="1"/>
  <c r="W240" i="1"/>
  <c r="W247" i="1"/>
  <c r="X311" i="1"/>
  <c r="X10" i="2"/>
  <c r="W10" i="2"/>
  <c r="X8" i="2"/>
  <c r="W8" i="2"/>
  <c r="W17" i="2"/>
  <c r="X34" i="4"/>
  <c r="W34" i="4"/>
  <c r="X32" i="4"/>
  <c r="W32" i="4"/>
  <c r="X59" i="4"/>
  <c r="W59" i="4"/>
  <c r="X57" i="4"/>
  <c r="W57" i="4"/>
  <c r="X89" i="4"/>
  <c r="W89" i="4"/>
  <c r="X87" i="4"/>
  <c r="W87" i="4"/>
  <c r="W23" i="1"/>
  <c r="X25" i="1"/>
  <c r="W25" i="1"/>
  <c r="Y259" i="1"/>
  <c r="Y257" i="1"/>
  <c r="X257" i="1"/>
  <c r="W259" i="1"/>
  <c r="X27" i="1"/>
  <c r="X12" i="3"/>
  <c r="W12" i="3"/>
  <c r="X14" i="3"/>
  <c r="W14" i="3"/>
  <c r="W40" i="3"/>
  <c r="X40" i="3"/>
  <c r="X45" i="4"/>
  <c r="W45" i="4"/>
  <c r="X43" i="4"/>
  <c r="Y122" i="1"/>
  <c r="X122" i="1"/>
  <c r="W122" i="1"/>
  <c r="Y124" i="1"/>
  <c r="X252" i="1"/>
  <c r="W254" i="1"/>
  <c r="Y252" i="1"/>
  <c r="W252" i="1"/>
  <c r="Y324" i="1"/>
  <c r="X324" i="1"/>
  <c r="W324" i="1"/>
  <c r="Y322" i="1"/>
  <c r="W48" i="1"/>
  <c r="X5" i="1"/>
  <c r="X29" i="1"/>
  <c r="X49" i="1"/>
  <c r="Y53" i="1"/>
  <c r="W89" i="1"/>
  <c r="Y87" i="1"/>
  <c r="X92" i="1"/>
  <c r="W92" i="1"/>
  <c r="Y92" i="1"/>
  <c r="Y105" i="1"/>
  <c r="W149" i="1"/>
  <c r="X163" i="1"/>
  <c r="W163" i="1"/>
  <c r="X165" i="1"/>
  <c r="Y194" i="1"/>
  <c r="X194" i="1"/>
  <c r="W194" i="1"/>
  <c r="Y232" i="1"/>
  <c r="X254" i="1"/>
  <c r="X267" i="1"/>
  <c r="Y269" i="1"/>
  <c r="X269" i="1"/>
  <c r="Y267" i="1"/>
  <c r="Y311" i="1"/>
  <c r="Y5" i="1"/>
  <c r="W14" i="1"/>
  <c r="W30" i="1"/>
  <c r="W34" i="1"/>
  <c r="X65" i="1"/>
  <c r="W65" i="1"/>
  <c r="W87" i="1"/>
  <c r="X150" i="1"/>
  <c r="Y163" i="1"/>
  <c r="W192" i="1"/>
  <c r="Y233" i="1"/>
  <c r="X235" i="1"/>
  <c r="W235" i="1"/>
  <c r="X233" i="1"/>
  <c r="W233" i="1"/>
  <c r="Y240" i="1"/>
  <c r="Y247" i="1"/>
  <c r="Y254" i="1"/>
  <c r="W267" i="1"/>
  <c r="W308" i="1"/>
  <c r="W38" i="3"/>
  <c r="W10" i="4"/>
  <c r="X10" i="4"/>
  <c r="X8" i="4"/>
  <c r="W8" i="4"/>
  <c r="W43" i="4"/>
  <c r="X105" i="4"/>
  <c r="W105" i="4"/>
  <c r="X103" i="4"/>
  <c r="X205" i="5"/>
  <c r="W205" i="5"/>
  <c r="W203" i="5"/>
  <c r="X215" i="5"/>
  <c r="W215" i="5"/>
  <c r="X213" i="5"/>
  <c r="W213" i="5"/>
  <c r="Y155" i="1"/>
  <c r="X155" i="1"/>
  <c r="X24" i="4"/>
  <c r="W24" i="4"/>
  <c r="X22" i="4"/>
  <c r="W98" i="1"/>
  <c r="X133" i="1"/>
  <c r="W133" i="1"/>
  <c r="X135" i="1"/>
  <c r="W135" i="1"/>
  <c r="W155" i="1"/>
  <c r="W215" i="1"/>
  <c r="X215" i="1"/>
  <c r="Y213" i="1"/>
  <c r="X213" i="1"/>
  <c r="W213" i="1"/>
  <c r="X64" i="4"/>
  <c r="W64" i="4"/>
  <c r="X62" i="4"/>
  <c r="W62" i="4"/>
  <c r="W103" i="4"/>
  <c r="X119" i="4"/>
  <c r="W119" i="4"/>
  <c r="X117" i="4"/>
  <c r="W117" i="4"/>
  <c r="X203" i="5"/>
  <c r="X23" i="1"/>
  <c r="X264" i="1"/>
  <c r="W28" i="1"/>
  <c r="Y69" i="1"/>
  <c r="W69" i="1"/>
  <c r="Y137" i="1"/>
  <c r="X137" i="1"/>
  <c r="W137" i="1"/>
  <c r="Y139" i="1"/>
  <c r="X139" i="1"/>
  <c r="X14" i="1"/>
  <c r="Y25" i="1"/>
  <c r="X30" i="1"/>
  <c r="X34" i="1"/>
  <c r="Y45" i="1"/>
  <c r="W63" i="1"/>
  <c r="X67" i="1"/>
  <c r="X87" i="1"/>
  <c r="Y104" i="1"/>
  <c r="W102" i="1"/>
  <c r="X104" i="1"/>
  <c r="W104" i="1"/>
  <c r="W165" i="1"/>
  <c r="X192" i="1"/>
  <c r="Y227" i="1"/>
  <c r="X227" i="1"/>
  <c r="W227" i="1"/>
  <c r="Y229" i="1"/>
  <c r="X229" i="1"/>
  <c r="W229" i="1"/>
  <c r="Y248" i="1"/>
  <c r="X248" i="1"/>
  <c r="W248" i="1"/>
  <c r="W304" i="1"/>
  <c r="Y304" i="1"/>
  <c r="X304" i="1"/>
  <c r="Y308" i="1"/>
  <c r="W15" i="3"/>
  <c r="X13" i="3"/>
  <c r="W13" i="3"/>
  <c r="X15" i="3"/>
  <c r="Y30" i="1"/>
  <c r="W50" i="1"/>
  <c r="W59" i="1"/>
  <c r="X63" i="1"/>
  <c r="Y67" i="1"/>
  <c r="X77" i="1"/>
  <c r="Y79" i="1"/>
  <c r="X79" i="1"/>
  <c r="W79" i="1"/>
  <c r="X102" i="1"/>
  <c r="Y117" i="1"/>
  <c r="W124" i="1"/>
  <c r="W132" i="1"/>
  <c r="Y165" i="1"/>
  <c r="Y178" i="1"/>
  <c r="X178" i="1"/>
  <c r="X180" i="1"/>
  <c r="W178" i="1"/>
  <c r="Y192" i="1"/>
  <c r="Y204" i="1"/>
  <c r="X204" i="1"/>
  <c r="W204" i="1"/>
  <c r="W302" i="1"/>
  <c r="X109" i="4"/>
  <c r="W109" i="4"/>
  <c r="X107" i="4"/>
  <c r="W107" i="4"/>
  <c r="X7" i="4"/>
  <c r="W7" i="4"/>
  <c r="X9" i="4"/>
  <c r="X23" i="4"/>
  <c r="W23" i="4"/>
  <c r="X113" i="4"/>
  <c r="W113" i="4"/>
  <c r="W72" i="5"/>
  <c r="X74" i="5"/>
  <c r="W74" i="5"/>
  <c r="X72" i="5"/>
  <c r="W165" i="5"/>
  <c r="X165" i="5"/>
  <c r="X163" i="5"/>
  <c r="W195" i="5"/>
  <c r="W193" i="5"/>
  <c r="W255" i="5"/>
  <c r="X253" i="5"/>
  <c r="W253" i="5"/>
  <c r="X255" i="5"/>
  <c r="W25" i="4"/>
  <c r="X60" i="4"/>
  <c r="W60" i="4"/>
  <c r="X58" i="4"/>
  <c r="W115" i="4"/>
  <c r="W75" i="5"/>
  <c r="W73" i="5"/>
  <c r="X75" i="5"/>
  <c r="X73" i="5"/>
  <c r="W163" i="5"/>
  <c r="X193" i="5"/>
  <c r="W237" i="5"/>
  <c r="X239" i="5"/>
  <c r="W290" i="5"/>
  <c r="X290" i="5"/>
  <c r="X288" i="5"/>
  <c r="X34" i="5"/>
  <c r="W34" i="5"/>
  <c r="X32" i="5"/>
  <c r="X88" i="5"/>
  <c r="W88" i="5"/>
  <c r="X90" i="5"/>
  <c r="W90" i="5"/>
  <c r="X100" i="5"/>
  <c r="W100" i="5"/>
  <c r="W98" i="5"/>
  <c r="X98" i="5"/>
  <c r="X183" i="5"/>
  <c r="W185" i="5"/>
  <c r="W183" i="5"/>
  <c r="X237" i="5"/>
  <c r="W257" i="5"/>
  <c r="X259" i="5"/>
  <c r="W259" i="5"/>
  <c r="X257" i="5"/>
  <c r="W288" i="5"/>
  <c r="W344" i="5"/>
  <c r="W342" i="5"/>
  <c r="X344" i="5"/>
  <c r="X342" i="5"/>
  <c r="X17" i="3"/>
  <c r="W17" i="3"/>
  <c r="X19" i="3"/>
  <c r="X29" i="4"/>
  <c r="W29" i="4"/>
  <c r="X27" i="4"/>
  <c r="W27" i="4"/>
  <c r="X24" i="5"/>
  <c r="W24" i="5"/>
  <c r="X22" i="5"/>
  <c r="W22" i="5"/>
  <c r="W32" i="5"/>
  <c r="X195" i="5"/>
  <c r="W345" i="5"/>
  <c r="X345" i="5"/>
  <c r="X343" i="5"/>
  <c r="W343" i="5"/>
  <c r="W365" i="5"/>
  <c r="X363" i="5"/>
  <c r="W363" i="5"/>
  <c r="X365" i="5"/>
  <c r="X28" i="2"/>
  <c r="W28" i="2"/>
  <c r="W30" i="2"/>
  <c r="W10" i="3"/>
  <c r="W8" i="3"/>
  <c r="X74" i="4"/>
  <c r="W74" i="4"/>
  <c r="X72" i="4"/>
  <c r="W72" i="4"/>
  <c r="X130" i="4"/>
  <c r="X128" i="4"/>
  <c r="W130" i="4"/>
  <c r="W128" i="4"/>
  <c r="W122" i="5"/>
  <c r="W124" i="5"/>
  <c r="X124" i="5"/>
  <c r="X185" i="5"/>
  <c r="W210" i="5"/>
  <c r="X208" i="5"/>
  <c r="W208" i="5"/>
  <c r="W239" i="5"/>
  <c r="W359" i="5"/>
  <c r="X359" i="5"/>
  <c r="X357" i="5"/>
  <c r="Y198" i="1"/>
  <c r="X198" i="1"/>
  <c r="X297" i="1"/>
  <c r="X14" i="2"/>
  <c r="W12" i="2"/>
  <c r="W14" i="2"/>
  <c r="X8" i="3"/>
  <c r="W9" i="4"/>
  <c r="X40" i="4"/>
  <c r="X38" i="4"/>
  <c r="X75" i="4"/>
  <c r="W75" i="4"/>
  <c r="X73" i="4"/>
  <c r="W73" i="4"/>
  <c r="X134" i="4"/>
  <c r="W134" i="4"/>
  <c r="X132" i="4"/>
  <c r="W132" i="4"/>
  <c r="X4" i="5"/>
  <c r="W4" i="5"/>
  <c r="X2" i="5"/>
  <c r="X25" i="5"/>
  <c r="W25" i="5"/>
  <c r="X23" i="5"/>
  <c r="X39" i="5"/>
  <c r="W39" i="5"/>
  <c r="X37" i="5"/>
  <c r="W37" i="5"/>
  <c r="X122" i="5"/>
  <c r="X150" i="5"/>
  <c r="W150" i="5"/>
  <c r="W148" i="5"/>
  <c r="W284" i="5"/>
  <c r="W282" i="5"/>
  <c r="X284" i="5"/>
  <c r="W314" i="5"/>
  <c r="X314" i="5"/>
  <c r="W312" i="5"/>
  <c r="W357" i="5"/>
  <c r="AA73" i="1"/>
  <c r="AC2" i="1" s="1"/>
  <c r="AD2" i="1" s="1"/>
  <c r="W198" i="1"/>
  <c r="X12" i="2"/>
  <c r="W38" i="4"/>
  <c r="X79" i="4"/>
  <c r="W79" i="4"/>
  <c r="X77" i="4"/>
  <c r="X120" i="4"/>
  <c r="W120" i="4"/>
  <c r="X118" i="4"/>
  <c r="W118" i="4"/>
  <c r="W2" i="5"/>
  <c r="W23" i="5"/>
  <c r="W105" i="5"/>
  <c r="X105" i="5"/>
  <c r="W103" i="5"/>
  <c r="X148" i="5"/>
  <c r="W160" i="5"/>
  <c r="X158" i="5"/>
  <c r="W158" i="5"/>
  <c r="X160" i="5"/>
  <c r="W220" i="5"/>
  <c r="X220" i="5"/>
  <c r="X218" i="5"/>
  <c r="X282" i="5"/>
  <c r="X312" i="5"/>
  <c r="Y114" i="1"/>
  <c r="X114" i="1"/>
  <c r="W114" i="1"/>
  <c r="Y255" i="1"/>
  <c r="X253" i="1"/>
  <c r="W253" i="1"/>
  <c r="X303" i="1"/>
  <c r="W301" i="1"/>
  <c r="X301" i="1"/>
  <c r="Y303" i="1"/>
  <c r="W303" i="1"/>
  <c r="Y317" i="1"/>
  <c r="X317" i="1"/>
  <c r="X15" i="2"/>
  <c r="W15" i="2"/>
  <c r="X37" i="3"/>
  <c r="W37" i="3"/>
  <c r="X39" i="3"/>
  <c r="X2" i="4"/>
  <c r="W2" i="4"/>
  <c r="X4" i="4"/>
  <c r="W4" i="4"/>
  <c r="X65" i="4"/>
  <c r="X63" i="4"/>
  <c r="W65" i="4"/>
  <c r="W63" i="4"/>
  <c r="X100" i="4"/>
  <c r="X98" i="4"/>
  <c r="W100" i="4"/>
  <c r="X124" i="4"/>
  <c r="W124" i="4"/>
  <c r="W122" i="4"/>
  <c r="X135" i="4"/>
  <c r="X133" i="4"/>
  <c r="X54" i="5"/>
  <c r="W54" i="5"/>
  <c r="X52" i="5"/>
  <c r="W52" i="5"/>
  <c r="W137" i="5"/>
  <c r="X137" i="5"/>
  <c r="W139" i="5"/>
  <c r="X210" i="5"/>
  <c r="W285" i="5"/>
  <c r="X285" i="5"/>
  <c r="X283" i="5"/>
  <c r="W283" i="5"/>
  <c r="W19" i="3"/>
  <c r="X44" i="5"/>
  <c r="W44" i="5"/>
  <c r="X55" i="5"/>
  <c r="W55" i="5"/>
  <c r="X53" i="5"/>
  <c r="W53" i="5"/>
  <c r="X69" i="5"/>
  <c r="W69" i="5"/>
  <c r="X67" i="5"/>
  <c r="X140" i="5"/>
  <c r="W140" i="5"/>
  <c r="X138" i="5"/>
  <c r="W138" i="5"/>
  <c r="X190" i="5"/>
  <c r="W190" i="5"/>
  <c r="X188" i="5"/>
  <c r="W188" i="5"/>
  <c r="W315" i="5"/>
  <c r="X313" i="5"/>
  <c r="W313" i="5"/>
  <c r="W263" i="1"/>
  <c r="Y265" i="1"/>
  <c r="X265" i="1"/>
  <c r="W265" i="1"/>
  <c r="W30" i="3"/>
  <c r="W28" i="3"/>
  <c r="X44" i="4"/>
  <c r="W44" i="4"/>
  <c r="X42" i="4"/>
  <c r="W42" i="4"/>
  <c r="X54" i="4"/>
  <c r="W54" i="4"/>
  <c r="X52" i="4"/>
  <c r="X90" i="4"/>
  <c r="W90" i="4"/>
  <c r="X88" i="4"/>
  <c r="X93" i="1"/>
  <c r="X112" i="1"/>
  <c r="Y144" i="1"/>
  <c r="X144" i="1"/>
  <c r="W144" i="1"/>
  <c r="W200" i="1"/>
  <c r="X263" i="1"/>
  <c r="Y268" i="1"/>
  <c r="Y301" i="1"/>
  <c r="W2" i="2"/>
  <c r="X13" i="2"/>
  <c r="X30" i="2"/>
  <c r="W3" i="3"/>
  <c r="X28" i="3"/>
  <c r="W5" i="4"/>
  <c r="X3" i="4"/>
  <c r="W3" i="4"/>
  <c r="X35" i="4"/>
  <c r="X33" i="4"/>
  <c r="W52" i="4"/>
  <c r="W88" i="4"/>
  <c r="X125" i="4"/>
  <c r="X123" i="4"/>
  <c r="W135" i="4"/>
  <c r="W42" i="5"/>
  <c r="X139" i="5"/>
  <c r="X243" i="5"/>
  <c r="W245" i="5"/>
  <c r="W243" i="5"/>
  <c r="W299" i="5"/>
  <c r="X299" i="5"/>
  <c r="W325" i="5"/>
  <c r="X325" i="5"/>
  <c r="X323" i="5"/>
  <c r="W323" i="5"/>
  <c r="W339" i="5"/>
  <c r="X339" i="5"/>
  <c r="W337" i="5"/>
  <c r="W350" i="5"/>
  <c r="X350" i="5"/>
  <c r="X348" i="5"/>
  <c r="W348" i="5"/>
  <c r="X14" i="5"/>
  <c r="W14" i="5"/>
  <c r="X40" i="5"/>
  <c r="W40" i="5"/>
  <c r="X38" i="5"/>
  <c r="W77" i="5"/>
  <c r="X77" i="5"/>
  <c r="X79" i="5"/>
  <c r="W102" i="5"/>
  <c r="X102" i="5"/>
  <c r="W104" i="5"/>
  <c r="X118" i="5"/>
  <c r="W118" i="5"/>
  <c r="W147" i="5"/>
  <c r="W149" i="5"/>
  <c r="W295" i="5"/>
  <c r="X293" i="5"/>
  <c r="W293" i="5"/>
  <c r="W304" i="5"/>
  <c r="X304" i="5"/>
  <c r="W355" i="5"/>
  <c r="X353" i="5"/>
  <c r="W353" i="5"/>
  <c r="W385" i="5"/>
  <c r="X385" i="5"/>
  <c r="X383" i="5"/>
  <c r="E25" i="11"/>
  <c r="F25" i="11" s="1"/>
  <c r="G25" i="11" s="1"/>
  <c r="H25" i="11" s="1"/>
  <c r="I25" i="11" s="1"/>
  <c r="J25" i="11" s="1"/>
  <c r="K25" i="11" s="1"/>
  <c r="L25" i="11" s="1"/>
  <c r="M25" i="11" s="1"/>
  <c r="N25" i="11" s="1"/>
  <c r="O25" i="11" s="1"/>
  <c r="O30" i="11" s="1"/>
  <c r="X3" i="5"/>
  <c r="W3" i="5"/>
  <c r="X15" i="5"/>
  <c r="X13" i="5"/>
  <c r="X70" i="5"/>
  <c r="W70" i="5"/>
  <c r="X68" i="5"/>
  <c r="W112" i="5"/>
  <c r="X112" i="5"/>
  <c r="X238" i="5"/>
  <c r="W238" i="5"/>
  <c r="X240" i="5"/>
  <c r="W247" i="5"/>
  <c r="X249" i="5"/>
  <c r="W249" i="5"/>
  <c r="X247" i="5"/>
  <c r="W324" i="5"/>
  <c r="X322" i="5"/>
  <c r="W322" i="5"/>
  <c r="X324" i="5"/>
  <c r="W340" i="5"/>
  <c r="X340" i="5"/>
  <c r="W338" i="5"/>
  <c r="W369" i="5"/>
  <c r="X369" i="5"/>
  <c r="X367" i="5"/>
  <c r="W367" i="5"/>
  <c r="X33" i="5"/>
  <c r="W33" i="5"/>
  <c r="X45" i="5"/>
  <c r="X43" i="5"/>
  <c r="W97" i="5"/>
  <c r="X97" i="5"/>
  <c r="W99" i="5"/>
  <c r="W114" i="5"/>
  <c r="W142" i="5"/>
  <c r="X144" i="5"/>
  <c r="W144" i="5"/>
  <c r="W197" i="5"/>
  <c r="X199" i="5"/>
  <c r="W199" i="5"/>
  <c r="X197" i="5"/>
  <c r="W334" i="5"/>
  <c r="X334" i="5"/>
  <c r="W332" i="5"/>
  <c r="W370" i="5"/>
  <c r="X370" i="5"/>
  <c r="B22" i="8"/>
  <c r="C267" i="8"/>
  <c r="X7" i="3"/>
  <c r="W7" i="3"/>
  <c r="X27" i="3"/>
  <c r="W27" i="3"/>
  <c r="X47" i="3"/>
  <c r="W47" i="3"/>
  <c r="X84" i="4"/>
  <c r="W84" i="4"/>
  <c r="X82" i="4"/>
  <c r="W35" i="5"/>
  <c r="W43" i="5"/>
  <c r="X64" i="5"/>
  <c r="W64" i="5"/>
  <c r="X62" i="5"/>
  <c r="X82" i="5"/>
  <c r="W107" i="5"/>
  <c r="X107" i="5"/>
  <c r="X109" i="5"/>
  <c r="X114" i="5"/>
  <c r="X123" i="5"/>
  <c r="X125" i="5"/>
  <c r="W125" i="5"/>
  <c r="W123" i="5"/>
  <c r="X142" i="5"/>
  <c r="X200" i="5"/>
  <c r="W200" i="5"/>
  <c r="X198" i="5"/>
  <c r="X260" i="5"/>
  <c r="W260" i="5"/>
  <c r="X258" i="5"/>
  <c r="X278" i="5"/>
  <c r="W309" i="5"/>
  <c r="X309" i="5"/>
  <c r="X307" i="5"/>
  <c r="W307" i="5"/>
  <c r="X332" i="5"/>
  <c r="W368" i="5"/>
  <c r="X110" i="1"/>
  <c r="Y314" i="1"/>
  <c r="W18" i="2"/>
  <c r="W20" i="2"/>
  <c r="X49" i="4"/>
  <c r="W49" i="4"/>
  <c r="X47" i="4"/>
  <c r="W82" i="4"/>
  <c r="X104" i="4"/>
  <c r="W104" i="4"/>
  <c r="X102" i="4"/>
  <c r="W102" i="4"/>
  <c r="X29" i="5"/>
  <c r="W29" i="5"/>
  <c r="X27" i="5"/>
  <c r="X35" i="5"/>
  <c r="W45" i="5"/>
  <c r="W62" i="5"/>
  <c r="X85" i="5"/>
  <c r="W83" i="5"/>
  <c r="W133" i="5"/>
  <c r="W182" i="5"/>
  <c r="W184" i="5"/>
  <c r="W198" i="5"/>
  <c r="W258" i="5"/>
  <c r="W335" i="5"/>
  <c r="X333" i="5"/>
  <c r="W333" i="5"/>
  <c r="X368" i="5"/>
  <c r="W242" i="1"/>
  <c r="W312" i="1"/>
  <c r="X18" i="2"/>
  <c r="W22" i="2"/>
  <c r="X37" i="2"/>
  <c r="X30" i="4"/>
  <c r="W30" i="4"/>
  <c r="X28" i="4"/>
  <c r="W47" i="4"/>
  <c r="X83" i="4"/>
  <c r="W83" i="4"/>
  <c r="X95" i="4"/>
  <c r="X93" i="4"/>
  <c r="X10" i="5"/>
  <c r="W10" i="5"/>
  <c r="X8" i="5"/>
  <c r="W27" i="5"/>
  <c r="X63" i="5"/>
  <c r="W63" i="5"/>
  <c r="X83" i="5"/>
  <c r="X133" i="5"/>
  <c r="X145" i="5"/>
  <c r="W145" i="5"/>
  <c r="W143" i="5"/>
  <c r="X182" i="5"/>
  <c r="W227" i="5"/>
  <c r="X227" i="5"/>
  <c r="W310" i="5"/>
  <c r="X310" i="5"/>
  <c r="X335" i="5"/>
  <c r="W374" i="5"/>
  <c r="X374" i="5"/>
  <c r="X372" i="5"/>
  <c r="W372" i="5"/>
  <c r="X22" i="2"/>
  <c r="X33" i="2"/>
  <c r="X2" i="3"/>
  <c r="W2" i="3"/>
  <c r="X22" i="3"/>
  <c r="W22" i="3"/>
  <c r="X42" i="3"/>
  <c r="W42" i="3"/>
  <c r="W48" i="3"/>
  <c r="X14" i="4"/>
  <c r="X12" i="4"/>
  <c r="W12" i="4"/>
  <c r="W28" i="4"/>
  <c r="W85" i="4"/>
  <c r="W93" i="4"/>
  <c r="X114" i="4"/>
  <c r="W114" i="4"/>
  <c r="X112" i="4"/>
  <c r="W8" i="5"/>
  <c r="W65" i="5"/>
  <c r="W84" i="5"/>
  <c r="X99" i="5"/>
  <c r="W127" i="5"/>
  <c r="X129" i="5"/>
  <c r="W129" i="5"/>
  <c r="X143" i="5"/>
  <c r="W202" i="5"/>
  <c r="W204" i="5"/>
  <c r="W280" i="5"/>
  <c r="W294" i="5"/>
  <c r="X292" i="5"/>
  <c r="W292" i="5"/>
  <c r="X294" i="5"/>
  <c r="W308" i="5"/>
  <c r="W329" i="5"/>
  <c r="X327" i="5"/>
  <c r="W327" i="5"/>
  <c r="X20" i="5"/>
  <c r="X18" i="5"/>
  <c r="X59" i="5"/>
  <c r="W59" i="5"/>
  <c r="X57" i="5"/>
  <c r="X65" i="5"/>
  <c r="X84" i="5"/>
  <c r="W117" i="5"/>
  <c r="X119" i="5"/>
  <c r="W119" i="5"/>
  <c r="X117" i="5"/>
  <c r="X127" i="5"/>
  <c r="X135" i="5"/>
  <c r="W167" i="5"/>
  <c r="X167" i="5"/>
  <c r="X202" i="5"/>
  <c r="W222" i="5"/>
  <c r="X222" i="5"/>
  <c r="W268" i="5"/>
  <c r="X280" i="5"/>
  <c r="X308" i="5"/>
  <c r="W320" i="5"/>
  <c r="X320" i="5"/>
  <c r="W318" i="5"/>
  <c r="W364" i="5"/>
  <c r="X364" i="5"/>
  <c r="W375" i="5"/>
  <c r="X373" i="5"/>
  <c r="W373" i="5"/>
  <c r="B127" i="8"/>
  <c r="W384" i="5"/>
  <c r="X382" i="5"/>
  <c r="W382" i="5"/>
  <c r="B342" i="8"/>
  <c r="B7" i="8"/>
  <c r="B237" i="8"/>
  <c r="W252" i="5"/>
  <c r="X254" i="5"/>
  <c r="X384" i="5"/>
  <c r="B112" i="8"/>
  <c r="W354" i="5"/>
  <c r="X352" i="5"/>
  <c r="W352" i="5"/>
  <c r="W192" i="5"/>
  <c r="X194" i="5"/>
  <c r="W378" i="5"/>
  <c r="W132" i="5"/>
  <c r="X134" i="5"/>
  <c r="W234" i="5"/>
  <c r="W387" i="5"/>
  <c r="X132" i="5"/>
  <c r="W162" i="5"/>
  <c r="X162" i="5"/>
  <c r="X173" i="5"/>
  <c r="W187" i="5"/>
  <c r="X189" i="5"/>
  <c r="W189" i="5"/>
  <c r="X234" i="5"/>
  <c r="X267" i="5"/>
  <c r="X380" i="5"/>
  <c r="X387" i="5"/>
  <c r="X39" i="4"/>
  <c r="W39" i="4"/>
  <c r="X69" i="4"/>
  <c r="W69" i="4"/>
  <c r="X99" i="4"/>
  <c r="W99" i="4"/>
  <c r="X129" i="4"/>
  <c r="W129" i="4"/>
  <c r="X19" i="5"/>
  <c r="W19" i="5"/>
  <c r="X49" i="5"/>
  <c r="W49" i="5"/>
  <c r="W89" i="5"/>
  <c r="W174" i="5"/>
  <c r="W235" i="5"/>
  <c r="W242" i="5"/>
  <c r="W244" i="5"/>
  <c r="W254" i="5"/>
  <c r="X354" i="5"/>
  <c r="F14" i="11"/>
  <c r="F15" i="11"/>
  <c r="E25" i="12"/>
  <c r="B13" i="11"/>
  <c r="D14" i="11"/>
  <c r="C310" i="8"/>
  <c r="B330" i="8"/>
  <c r="C272" i="8"/>
  <c r="B290" i="8"/>
  <c r="C257" i="8"/>
  <c r="B272" i="8"/>
  <c r="B15" i="11" l="1"/>
  <c r="B14" i="11"/>
</calcChain>
</file>

<file path=xl/sharedStrings.xml><?xml version="1.0" encoding="utf-8"?>
<sst xmlns="http://schemas.openxmlformats.org/spreadsheetml/2006/main" count="3092" uniqueCount="1203">
  <si>
    <t>2023-02-17T00:00:00+08:00</t>
  </si>
  <si>
    <t>current</t>
  </si>
  <si>
    <t>lowest_y10</t>
  </si>
  <si>
    <t>falling_to_lowest_y10</t>
  </si>
  <si>
    <t>highest_y10</t>
  </si>
  <si>
    <t>rising_to_highest_y10</t>
  </si>
  <si>
    <t>rising_to_chance_y10_col</t>
  </si>
  <si>
    <t>rising_to_median_y10_col</t>
  </si>
  <si>
    <t>rising_to_risk_y10_col</t>
  </si>
  <si>
    <t>highest_to_lowest_y10</t>
  </si>
  <si>
    <t>lowest_y5</t>
  </si>
  <si>
    <t>falling_to_lowest_y5</t>
  </si>
  <si>
    <t>highest_y5</t>
  </si>
  <si>
    <t>rising_to_highest_y5</t>
  </si>
  <si>
    <t>highest_to_lowest_y5</t>
  </si>
  <si>
    <t>roe_weighted</t>
  </si>
  <si>
    <t>roe_equal</t>
  </si>
  <si>
    <t>dividend(weighted/equal)</t>
  </si>
  <si>
    <t>close_point</t>
  </si>
  <si>
    <t>dividend ratio</t>
  </si>
  <si>
    <t>return</t>
  </si>
  <si>
    <t>3 yrs average return</t>
  </si>
  <si>
    <t>5yrs average return</t>
  </si>
  <si>
    <t>1yrs worst return</t>
  </si>
  <si>
    <t>position</t>
  </si>
  <si>
    <t>worst loss</t>
  </si>
  <si>
    <t>SUM</t>
  </si>
  <si>
    <t>risk point</t>
  </si>
  <si>
    <t>total worst loss</t>
  </si>
  <si>
    <t>上证50</t>
  </si>
  <si>
    <t>pe weighted</t>
  </si>
  <si>
    <t>000016</t>
  </si>
  <si>
    <t>pe equal</t>
  </si>
  <si>
    <t>2004-01-01T16:00:00.000Z</t>
  </si>
  <si>
    <t>pb weighted</t>
  </si>
  <si>
    <t>pb equal</t>
  </si>
  <si>
    <t>沪深300</t>
  </si>
  <si>
    <t>000300</t>
  </si>
  <si>
    <t>2005-04-07T16:00:00.000Z</t>
  </si>
  <si>
    <t>中证200</t>
  </si>
  <si>
    <t>000904</t>
  </si>
  <si>
    <t>2007-01-14T16:00:00.000Z</t>
  </si>
  <si>
    <t>中证500</t>
  </si>
  <si>
    <t>000905</t>
  </si>
  <si>
    <t>300地产</t>
  </si>
  <si>
    <t>000958</t>
  </si>
  <si>
    <t>2009-10-27T16:00:00.000Z</t>
  </si>
  <si>
    <t>创业成长</t>
  </si>
  <si>
    <t>1000002</t>
  </si>
  <si>
    <t>2010-03-23T16:00:00.000Z</t>
  </si>
  <si>
    <t>沪深A股</t>
  </si>
  <si>
    <t>000991</t>
  </si>
  <si>
    <t>1993-12-31T16:00:00.000Z</t>
  </si>
  <si>
    <t>全指医药</t>
  </si>
  <si>
    <t>000922</t>
  </si>
  <si>
    <t>2011-08-01T16:00:00.000Z</t>
  </si>
  <si>
    <t>中证红利</t>
  </si>
  <si>
    <t>000827</t>
  </si>
  <si>
    <t>2008-05-25T16:00:00.000Z</t>
  </si>
  <si>
    <t>中证环保</t>
  </si>
  <si>
    <t>000852</t>
  </si>
  <si>
    <t>2012-09-24T16:00:00.000Z</t>
  </si>
  <si>
    <t>中证1000</t>
  </si>
  <si>
    <t>000932</t>
  </si>
  <si>
    <t>2014-10-16T16:00:00.000Z</t>
  </si>
  <si>
    <t>中证消费</t>
  </si>
  <si>
    <t>000992</t>
  </si>
  <si>
    <t>2009-07-02T16:00:00.000Z</t>
  </si>
  <si>
    <t>全指金融</t>
  </si>
  <si>
    <t>000993</t>
  </si>
  <si>
    <t>全指信息</t>
  </si>
  <si>
    <t>399975</t>
  </si>
  <si>
    <t>证券公司</t>
  </si>
  <si>
    <t>399005</t>
  </si>
  <si>
    <t>2013-07-14T16:00:00.000Z</t>
  </si>
  <si>
    <t>中小板指</t>
  </si>
  <si>
    <t>399006</t>
  </si>
  <si>
    <t>2006-01-23T16:00:00.000Z</t>
  </si>
  <si>
    <t>创业板指</t>
  </si>
  <si>
    <t>399673</t>
  </si>
  <si>
    <t>2010-05-31T16:00:00.000Z</t>
  </si>
  <si>
    <t>创业板50</t>
  </si>
  <si>
    <t>399812</t>
  </si>
  <si>
    <t>2014-06-17T16:00:00.000Z</t>
  </si>
  <si>
    <t>养老产业</t>
  </si>
  <si>
    <t>399967</t>
  </si>
  <si>
    <t>2014-06-05T16:00:00.000Z</t>
  </si>
  <si>
    <t>中证军工</t>
  </si>
  <si>
    <t>399986</t>
  </si>
  <si>
    <t>2013-12-25T16:00:00.000Z</t>
  </si>
  <si>
    <t>中证银行</t>
  </si>
  <si>
    <t>399971</t>
  </si>
  <si>
    <t>中证传媒</t>
  </si>
  <si>
    <t>000933</t>
  </si>
  <si>
    <t>2014-04-14T16:00:00.000Z</t>
  </si>
  <si>
    <t>中证医药</t>
  </si>
  <si>
    <t>399989</t>
  </si>
  <si>
    <t>中证医疗</t>
  </si>
  <si>
    <t>000807</t>
  </si>
  <si>
    <t>2014-10-30T16:00:00.000Z</t>
  </si>
  <si>
    <t>食品饮料</t>
  </si>
  <si>
    <t>399806</t>
  </si>
  <si>
    <t>2012-02-16T16:00:00.000Z</t>
  </si>
  <si>
    <t>环境治理</t>
  </si>
  <si>
    <t>000935</t>
  </si>
  <si>
    <t>2014-07-20T16:00:00.000Z</t>
  </si>
  <si>
    <t>中证信息</t>
  </si>
  <si>
    <t>000989</t>
  </si>
  <si>
    <t>全指可选</t>
  </si>
  <si>
    <t>399997</t>
  </si>
  <si>
    <t>中证白酒</t>
  </si>
  <si>
    <t>000931</t>
  </si>
  <si>
    <t>2015-01-20T16:00:00.000Z</t>
  </si>
  <si>
    <t>中证可选</t>
  </si>
  <si>
    <t>000934</t>
  </si>
  <si>
    <t>中证金融</t>
  </si>
  <si>
    <t>399998</t>
  </si>
  <si>
    <t>中证煤炭</t>
  </si>
  <si>
    <t>399970</t>
  </si>
  <si>
    <t>2015-02-12T16:00:00.000Z</t>
  </si>
  <si>
    <t>移动互联</t>
  </si>
  <si>
    <t>000986</t>
  </si>
  <si>
    <t>2014-05-04T16:00:00.000Z</t>
  </si>
  <si>
    <t>全指能源</t>
  </si>
  <si>
    <t>000929</t>
  </si>
  <si>
    <t>中证材料</t>
  </si>
  <si>
    <t>000987</t>
  </si>
  <si>
    <t>全指材料</t>
  </si>
  <si>
    <t>000928</t>
  </si>
  <si>
    <t>中证能源</t>
  </si>
  <si>
    <t>000988</t>
  </si>
  <si>
    <t>全指工业</t>
  </si>
  <si>
    <t>000930</t>
  </si>
  <si>
    <t>中证工业</t>
  </si>
  <si>
    <t>000937</t>
  </si>
  <si>
    <t>中证公用</t>
  </si>
  <si>
    <t>000995</t>
  </si>
  <si>
    <t>全指公用</t>
  </si>
  <si>
    <t>000994</t>
  </si>
  <si>
    <t>全指电信</t>
  </si>
  <si>
    <t>000936</t>
  </si>
  <si>
    <t>中证电信</t>
  </si>
  <si>
    <t>000808</t>
  </si>
  <si>
    <t>医药生物</t>
  </si>
  <si>
    <t>000990</t>
  </si>
  <si>
    <t>全指消费</t>
  </si>
  <si>
    <t>399976</t>
  </si>
  <si>
    <t>CS新能车</t>
  </si>
  <si>
    <t>000015</t>
  </si>
  <si>
    <t>2014-11-27T16:00:00.000Z</t>
  </si>
  <si>
    <t>红利指数</t>
  </si>
  <si>
    <t>000978</t>
  </si>
  <si>
    <t>2005-01-03T16:00:00.000Z</t>
  </si>
  <si>
    <t>医药100</t>
  </si>
  <si>
    <t>399974</t>
  </si>
  <si>
    <t>2011-03-17T16:00:00.000Z</t>
  </si>
  <si>
    <t>国企改革</t>
  </si>
  <si>
    <t>399809</t>
  </si>
  <si>
    <t>2014-08-06T16:00:00.000Z</t>
  </si>
  <si>
    <t>保险主题</t>
  </si>
  <si>
    <t>000979</t>
  </si>
  <si>
    <t>大宗商品</t>
  </si>
  <si>
    <t>399394</t>
  </si>
  <si>
    <t>2011-08-21T16:00:00.000Z</t>
  </si>
  <si>
    <t>国证医药</t>
  </si>
  <si>
    <t>399324</t>
  </si>
  <si>
    <t>2012-10-28T16:00:00.000Z</t>
  </si>
  <si>
    <t>深证红利</t>
  </si>
  <si>
    <t>000919</t>
  </si>
  <si>
    <t>300价值</t>
  </si>
  <si>
    <t>930782</t>
  </si>
  <si>
    <t>2008-01-20T16:00:00.000Z</t>
  </si>
  <si>
    <t>500SNLV</t>
  </si>
  <si>
    <t>950090</t>
  </si>
  <si>
    <t>2016-02-03T16:00:00.000Z</t>
  </si>
  <si>
    <t>上证50优选</t>
  </si>
  <si>
    <t>H11136</t>
  </si>
  <si>
    <t>2015-12-09T16:00:00.000Z</t>
  </si>
  <si>
    <t>中国互联网</t>
  </si>
  <si>
    <t>2011-09-19T16:00:00.000Z</t>
  </si>
  <si>
    <t>价值指数（等权）</t>
  </si>
  <si>
    <t>.</t>
  </si>
  <si>
    <t>2008-12-11T</t>
  </si>
  <si>
    <t>标普红利</t>
  </si>
  <si>
    <t>CSPSAPRP</t>
  </si>
  <si>
    <t>2009-01-06T</t>
  </si>
  <si>
    <t>标普价值</t>
  </si>
  <si>
    <t>SPACEVCP</t>
  </si>
  <si>
    <t>2012-11-30T</t>
  </si>
  <si>
    <t>HKC非银</t>
  </si>
  <si>
    <t>SHS红利成长LV</t>
  </si>
  <si>
    <t>中证中药（max 10%）</t>
  </si>
  <si>
    <t>医药，红利，地产，500snlv，互联网</t>
  </si>
  <si>
    <t>3 yrs return</t>
  </si>
  <si>
    <t>5yrs return</t>
  </si>
  <si>
    <t>恒生指数</t>
  </si>
  <si>
    <t>HSI</t>
  </si>
  <si>
    <t>1969-11-23T16:00:00.000Z</t>
  </si>
  <si>
    <t>国企指数</t>
  </si>
  <si>
    <t>HSCEI</t>
  </si>
  <si>
    <t>1994-07-10T16:00:00.000Z</t>
  </si>
  <si>
    <t>香港中小</t>
  </si>
  <si>
    <t>2011-06-01T16:00:00.000Z</t>
  </si>
  <si>
    <t>香港大盘</t>
  </si>
  <si>
    <t>2008-09-10T16:00:00.000Z</t>
  </si>
  <si>
    <t>标普生物</t>
  </si>
  <si>
    <t>IBB</t>
  </si>
  <si>
    <t>标普500</t>
  </si>
  <si>
    <t>DAX</t>
  </si>
  <si>
    <t>SAP</t>
  </si>
  <si>
    <t>能源</t>
  </si>
  <si>
    <t>C01</t>
  </si>
  <si>
    <t>原材料</t>
  </si>
  <si>
    <t>C02</t>
  </si>
  <si>
    <t>工业</t>
  </si>
  <si>
    <t>C03</t>
  </si>
  <si>
    <t>可选消费</t>
  </si>
  <si>
    <t>C04</t>
  </si>
  <si>
    <t>主要消费</t>
  </si>
  <si>
    <t>C05</t>
  </si>
  <si>
    <t>医药卫生</t>
  </si>
  <si>
    <t>C06</t>
  </si>
  <si>
    <t>金融</t>
  </si>
  <si>
    <t>C07</t>
  </si>
  <si>
    <t>信息技术</t>
  </si>
  <si>
    <t>C08</t>
  </si>
  <si>
    <t>电信业务</t>
  </si>
  <si>
    <t>C09</t>
  </si>
  <si>
    <t>公用事业</t>
  </si>
  <si>
    <t>C10</t>
  </si>
  <si>
    <t>房地产 </t>
  </si>
  <si>
    <t>C11</t>
  </si>
  <si>
    <t>C0101</t>
  </si>
  <si>
    <t>基础化工</t>
  </si>
  <si>
    <t>C0201</t>
  </si>
  <si>
    <t>基础材料</t>
  </si>
  <si>
    <t>C0202</t>
  </si>
  <si>
    <t>工业品</t>
  </si>
  <si>
    <t>C0301</t>
  </si>
  <si>
    <t>工业服务</t>
  </si>
  <si>
    <t>C0302</t>
  </si>
  <si>
    <t>运输</t>
  </si>
  <si>
    <t>C0303</t>
  </si>
  <si>
    <t>汽车与汽车零配件</t>
  </si>
  <si>
    <t>C0401</t>
  </si>
  <si>
    <t>耐用消费品</t>
  </si>
  <si>
    <t>C0402</t>
  </si>
  <si>
    <t>纺织服装与奢侈品</t>
  </si>
  <si>
    <t>C0403</t>
  </si>
  <si>
    <t>消费者服务</t>
  </si>
  <si>
    <t>C0404</t>
  </si>
  <si>
    <t>传媒</t>
  </si>
  <si>
    <t>C0405</t>
  </si>
  <si>
    <t>零售业</t>
  </si>
  <si>
    <t>C0406</t>
  </si>
  <si>
    <t>食品与主要用品零售</t>
  </si>
  <si>
    <t>C0501</t>
  </si>
  <si>
    <t>农牧渔产品</t>
  </si>
  <si>
    <t>C0502</t>
  </si>
  <si>
    <t>食品饮料与烟草</t>
  </si>
  <si>
    <t>C0503</t>
  </si>
  <si>
    <t>家庭与个人用品</t>
  </si>
  <si>
    <t>C0504</t>
  </si>
  <si>
    <t>医疗保健设备与服务</t>
  </si>
  <si>
    <t>C0601</t>
  </si>
  <si>
    <t>制药</t>
  </si>
  <si>
    <t>C0602</t>
  </si>
  <si>
    <t>生物科技</t>
  </si>
  <si>
    <t>C0603</t>
  </si>
  <si>
    <t>银行</t>
  </si>
  <si>
    <t>C0701</t>
  </si>
  <si>
    <t>综合金融</t>
  </si>
  <si>
    <t>C0702</t>
  </si>
  <si>
    <t>房地产</t>
  </si>
  <si>
    <t>C0703</t>
  </si>
  <si>
    <t>软件与互联网</t>
  </si>
  <si>
    <t>C0801</t>
  </si>
  <si>
    <t>技术硬件与设备</t>
  </si>
  <si>
    <t>C0802</t>
  </si>
  <si>
    <t>半导体</t>
  </si>
  <si>
    <t>C0803</t>
  </si>
  <si>
    <t>电信服务</t>
  </si>
  <si>
    <t>C0901</t>
  </si>
  <si>
    <t>通信设备及技术服务</t>
  </si>
  <si>
    <t>C0902</t>
  </si>
  <si>
    <t>C1001</t>
  </si>
  <si>
    <t>房地产开发和管理</t>
  </si>
  <si>
    <t>C1101</t>
  </si>
  <si>
    <t>房地产服务</t>
  </si>
  <si>
    <t>C1102</t>
  </si>
  <si>
    <t>能源设备与服务</t>
  </si>
  <si>
    <t>C010101</t>
  </si>
  <si>
    <t>石油天然气</t>
  </si>
  <si>
    <t>C010102</t>
  </si>
  <si>
    <t>煤炭</t>
  </si>
  <si>
    <t>C010103</t>
  </si>
  <si>
    <t>可替代能源</t>
  </si>
  <si>
    <t>C010104</t>
  </si>
  <si>
    <t>化学原料</t>
  </si>
  <si>
    <t>C020101</t>
  </si>
  <si>
    <t>化学制品</t>
  </si>
  <si>
    <t>C020102</t>
  </si>
  <si>
    <t>农用化工</t>
  </si>
  <si>
    <t>C020103</t>
  </si>
  <si>
    <t>合成纤维</t>
  </si>
  <si>
    <t>C020104</t>
  </si>
  <si>
    <t>建筑材料</t>
  </si>
  <si>
    <t>C020201</t>
  </si>
  <si>
    <t>容器与包装</t>
  </si>
  <si>
    <t>C020202</t>
  </si>
  <si>
    <t>黑色金属</t>
  </si>
  <si>
    <t>C020203</t>
  </si>
  <si>
    <t>有色金属</t>
  </si>
  <si>
    <t>C020204</t>
  </si>
  <si>
    <t>非金属材料与制品</t>
  </si>
  <si>
    <t>C020205</t>
  </si>
  <si>
    <t>纸类与林业产品</t>
  </si>
  <si>
    <t>C020206</t>
  </si>
  <si>
    <t>航天航空</t>
  </si>
  <si>
    <t>C020207</t>
  </si>
  <si>
    <t>建筑产品</t>
  </si>
  <si>
    <t>C030101</t>
  </si>
  <si>
    <t>电气部件与设备</t>
  </si>
  <si>
    <t>C030102</t>
  </si>
  <si>
    <t>重型电气设备</t>
  </si>
  <si>
    <t>C030103</t>
  </si>
  <si>
    <t>通用机械</t>
  </si>
  <si>
    <t>C030104</t>
  </si>
  <si>
    <t>专用设备</t>
  </si>
  <si>
    <t>C030105</t>
  </si>
  <si>
    <t>工业集团企业</t>
  </si>
  <si>
    <t>C030106</t>
  </si>
  <si>
    <t>建筑与工程</t>
  </si>
  <si>
    <t>C030107</t>
  </si>
  <si>
    <t>工业贸易经销商</t>
  </si>
  <si>
    <t>C030201</t>
  </si>
  <si>
    <t>商业用品与服务</t>
  </si>
  <si>
    <t>C030202</t>
  </si>
  <si>
    <t>物流</t>
  </si>
  <si>
    <t>C030203</t>
  </si>
  <si>
    <t>航空运输</t>
  </si>
  <si>
    <t>C030301</t>
  </si>
  <si>
    <t>水上运输</t>
  </si>
  <si>
    <t>C030302</t>
  </si>
  <si>
    <t>陆运</t>
  </si>
  <si>
    <t>C030303</t>
  </si>
  <si>
    <t>交通基本设施</t>
  </si>
  <si>
    <t>C030304</t>
  </si>
  <si>
    <t>汽车零配件与设备</t>
  </si>
  <si>
    <t>C030305</t>
  </si>
  <si>
    <t>汽车</t>
  </si>
  <si>
    <t>C040101</t>
  </si>
  <si>
    <t>家用电器</t>
  </si>
  <si>
    <t>C040102</t>
  </si>
  <si>
    <t>耐用家居用品</t>
  </si>
  <si>
    <t>C040201</t>
  </si>
  <si>
    <t>休闲设备与用品</t>
  </si>
  <si>
    <t>C040202</t>
  </si>
  <si>
    <t>服装与配饰</t>
  </si>
  <si>
    <t>C040203</t>
  </si>
  <si>
    <t>纺织品</t>
  </si>
  <si>
    <t>C040301</t>
  </si>
  <si>
    <t>酒店餐饮与休闲</t>
  </si>
  <si>
    <t>C040302</t>
  </si>
  <si>
    <t>其他消费者服务</t>
  </si>
  <si>
    <t>C040303</t>
  </si>
  <si>
    <t>C040401</t>
  </si>
  <si>
    <t>消费品经销商</t>
  </si>
  <si>
    <t>C040402</t>
  </si>
  <si>
    <t>网络零售</t>
  </si>
  <si>
    <t>C040501</t>
  </si>
  <si>
    <t>百货商店</t>
  </si>
  <si>
    <t>C040601</t>
  </si>
  <si>
    <t>专营零售</t>
  </si>
  <si>
    <t>C040602</t>
  </si>
  <si>
    <t>C040603</t>
  </si>
  <si>
    <t>C040604</t>
  </si>
  <si>
    <t>食品</t>
  </si>
  <si>
    <t>C050101</t>
  </si>
  <si>
    <t>饮料</t>
  </si>
  <si>
    <t>C050201</t>
  </si>
  <si>
    <t>家常用品</t>
  </si>
  <si>
    <t>C050301</t>
  </si>
  <si>
    <t>个人用品</t>
  </si>
  <si>
    <t>C050302</t>
  </si>
  <si>
    <t>医疗保健设备与用品</t>
  </si>
  <si>
    <t>C050401</t>
  </si>
  <si>
    <t>医疗保健提供商与服务</t>
  </si>
  <si>
    <t>C050402</t>
  </si>
  <si>
    <t>化学原料药</t>
  </si>
  <si>
    <t>C060101</t>
  </si>
  <si>
    <t>化学制剂</t>
  </si>
  <si>
    <t>C060102</t>
  </si>
  <si>
    <t>中药</t>
  </si>
  <si>
    <t>C060201</t>
  </si>
  <si>
    <t>C060202</t>
  </si>
  <si>
    <t>C060203</t>
  </si>
  <si>
    <t>证券</t>
  </si>
  <si>
    <t>C060204</t>
  </si>
  <si>
    <t>保险</t>
  </si>
  <si>
    <t>C060301</t>
  </si>
  <si>
    <t>投资信托</t>
  </si>
  <si>
    <t>C070101</t>
  </si>
  <si>
    <t>其他金融服务</t>
  </si>
  <si>
    <t>C070201</t>
  </si>
  <si>
    <t>C070202</t>
  </si>
  <si>
    <t>C070203</t>
  </si>
  <si>
    <t>互联网软件与服务</t>
  </si>
  <si>
    <t>C070204</t>
  </si>
  <si>
    <t>信息技术服务</t>
  </si>
  <si>
    <t>C070205</t>
  </si>
  <si>
    <t>计算机软件</t>
  </si>
  <si>
    <t>C070301</t>
  </si>
  <si>
    <t>电脑与外围设备</t>
  </si>
  <si>
    <t>C080101</t>
  </si>
  <si>
    <t>电子设备及服务</t>
  </si>
  <si>
    <t>C080102</t>
  </si>
  <si>
    <t>电子元器件</t>
  </si>
  <si>
    <t>C080103</t>
  </si>
  <si>
    <t>光电子器件</t>
  </si>
  <si>
    <t>C080201</t>
  </si>
  <si>
    <t>C080202</t>
  </si>
  <si>
    <t>电信运营</t>
  </si>
  <si>
    <t>C080203</t>
  </si>
  <si>
    <t>电信增值服务</t>
  </si>
  <si>
    <t>C080204</t>
  </si>
  <si>
    <t>通信设备</t>
  </si>
  <si>
    <t>C080301</t>
  </si>
  <si>
    <t>通信技术服务</t>
  </si>
  <si>
    <t>C090101</t>
  </si>
  <si>
    <t>电力公用事业</t>
  </si>
  <si>
    <t>C090102</t>
  </si>
  <si>
    <t>燃气公用事业</t>
  </si>
  <si>
    <t>C090201</t>
  </si>
  <si>
    <t>水公用事业</t>
  </si>
  <si>
    <t>C090202</t>
  </si>
  <si>
    <t>复合型公用事业</t>
  </si>
  <si>
    <t>C100101</t>
  </si>
  <si>
    <t>药品流通</t>
  </si>
  <si>
    <t>C100102</t>
  </si>
  <si>
    <t>消费金融</t>
  </si>
  <si>
    <t>C100103</t>
  </si>
  <si>
    <t>住宅地产开发和管理</t>
  </si>
  <si>
    <t>C100104</t>
  </si>
  <si>
    <t>商业地产开发和管理</t>
  </si>
  <si>
    <t>C110101</t>
  </si>
  <si>
    <t>工业地产开发和管理</t>
  </si>
  <si>
    <t>C110102</t>
  </si>
  <si>
    <t>房地产租赁</t>
  </si>
  <si>
    <t>C110103</t>
  </si>
  <si>
    <t>其他房地产服务</t>
  </si>
  <si>
    <t>C110202</t>
  </si>
  <si>
    <t>C110203</t>
  </si>
  <si>
    <t>指数代码</t>
  </si>
  <si>
    <t>指数名称</t>
  </si>
  <si>
    <t>点位</t>
  </si>
  <si>
    <t>涨跌幅(%)</t>
  </si>
  <si>
    <t>今年收益(%)</t>
  </si>
  <si>
    <t>最新PE</t>
  </si>
  <si>
    <t>pe分位</t>
  </si>
  <si>
    <t>最新PB</t>
  </si>
  <si>
    <t>PB分位</t>
  </si>
  <si>
    <t>基期</t>
  </si>
  <si>
    <t>查看基金</t>
  </si>
  <si>
    <t>roe</t>
  </si>
  <si>
    <t>si801760</t>
  </si>
  <si>
    <t>传媒(申万)</t>
  </si>
  <si>
    <t>si801080</t>
  </si>
  <si>
    <t>电子(申万)</t>
  </si>
  <si>
    <t>si801750</t>
  </si>
  <si>
    <t>计算机(申万)</t>
  </si>
  <si>
    <t>si801770</t>
  </si>
  <si>
    <t>通信(申万)</t>
  </si>
  <si>
    <t>si801170</t>
  </si>
  <si>
    <t>交通运输(申万)</t>
  </si>
  <si>
    <t>si801740</t>
  </si>
  <si>
    <t>国防军工(申万)</t>
  </si>
  <si>
    <t>si801150</t>
  </si>
  <si>
    <t>医药生物(申万)</t>
  </si>
  <si>
    <t>si801180</t>
  </si>
  <si>
    <t>房地产(申万)</t>
  </si>
  <si>
    <t>si801010</t>
  </si>
  <si>
    <t>农林牧渔(申万)</t>
  </si>
  <si>
    <t>si801200</t>
  </si>
  <si>
    <t>商业贸易(申万)</t>
  </si>
  <si>
    <t>si801110</t>
  </si>
  <si>
    <t>家用电器(申万)</t>
  </si>
  <si>
    <t>si801880</t>
  </si>
  <si>
    <t>汽车(申万)</t>
  </si>
  <si>
    <t>si801130</t>
  </si>
  <si>
    <t>纺织服装(申万)</t>
  </si>
  <si>
    <t>si801120</t>
  </si>
  <si>
    <t>食品饮料(申万)</t>
  </si>
  <si>
    <t>si801710</t>
  </si>
  <si>
    <t>建筑材料(申万)</t>
  </si>
  <si>
    <t>si801720</t>
  </si>
  <si>
    <t>建筑装饰(申万)</t>
  </si>
  <si>
    <t>si801890</t>
  </si>
  <si>
    <t>机械设备(申万)</t>
  </si>
  <si>
    <t>si801210</t>
  </si>
  <si>
    <t>休闲服务(申万)</t>
  </si>
  <si>
    <t>si801160</t>
  </si>
  <si>
    <t>公用事业(申万)</t>
  </si>
  <si>
    <t>si801730</t>
  </si>
  <si>
    <t>电气设备(申万)</t>
  </si>
  <si>
    <t>si801230</t>
  </si>
  <si>
    <t>综合(申万)</t>
  </si>
  <si>
    <t>si801030</t>
  </si>
  <si>
    <t>化工(申万)</t>
  </si>
  <si>
    <t>si801050</t>
  </si>
  <si>
    <t>有色金属(申万)</t>
  </si>
  <si>
    <t>si801020</t>
  </si>
  <si>
    <t>采掘(申万)</t>
  </si>
  <si>
    <t>si801040</t>
  </si>
  <si>
    <t>钢铁(申万)</t>
  </si>
  <si>
    <t>si801140</t>
  </si>
  <si>
    <t>轻工制造(申万)</t>
  </si>
  <si>
    <t>si801790</t>
  </si>
  <si>
    <t>非银金融(申万)</t>
  </si>
  <si>
    <t>si801780</t>
  </si>
  <si>
    <t>银行(申万)</t>
  </si>
  <si>
    <t>si801761</t>
  </si>
  <si>
    <t>文化传媒(申万)</t>
  </si>
  <si>
    <t>si801752</t>
  </si>
  <si>
    <t>互联网传媒(申万)</t>
  </si>
  <si>
    <t>si801751</t>
  </si>
  <si>
    <t>营销传播(申万)</t>
  </si>
  <si>
    <t>si801085</t>
  </si>
  <si>
    <t>电子制造Ⅱ(申万)</t>
  </si>
  <si>
    <t>si801084</t>
  </si>
  <si>
    <t>光学光电子(申万)</t>
  </si>
  <si>
    <t>si801083</t>
  </si>
  <si>
    <t>元件Ⅱ(申万)</t>
  </si>
  <si>
    <t>si801082</t>
  </si>
  <si>
    <t>其他电子Ⅱ(申万)</t>
  </si>
  <si>
    <t>si801081</t>
  </si>
  <si>
    <t>半导体(申万)</t>
  </si>
  <si>
    <t>si801222</t>
  </si>
  <si>
    <t>计算机应用(申万)</t>
  </si>
  <si>
    <t>si801101</t>
  </si>
  <si>
    <t>计算机设备Ⅱ(申万)</t>
  </si>
  <si>
    <t>si801223</t>
  </si>
  <si>
    <t>通信运营Ⅱ(申万)</t>
  </si>
  <si>
    <t>si801102</t>
  </si>
  <si>
    <t>通信设备(申万)</t>
  </si>
  <si>
    <t>si801881</t>
  </si>
  <si>
    <t>其他交运设备Ⅱ(申万)</t>
  </si>
  <si>
    <t>si801172</t>
  </si>
  <si>
    <t>公交Ⅱ(申万)</t>
  </si>
  <si>
    <t>si801174</t>
  </si>
  <si>
    <t>机场Ⅱ(申万)</t>
  </si>
  <si>
    <t>si801171</t>
  </si>
  <si>
    <t>港口Ⅱ(申万)</t>
  </si>
  <si>
    <t>si801178</t>
  </si>
  <si>
    <t>物流Ⅱ(申万)</t>
  </si>
  <si>
    <t>si801173</t>
  </si>
  <si>
    <t>航空运输Ⅱ(申万)</t>
  </si>
  <si>
    <t>si801176</t>
  </si>
  <si>
    <t>航运Ⅱ(申万)</t>
  </si>
  <si>
    <t>si801076</t>
  </si>
  <si>
    <t>运输设备Ⅱ(申万)</t>
  </si>
  <si>
    <t>si801177</t>
  </si>
  <si>
    <t>铁路运输Ⅱ(申万)</t>
  </si>
  <si>
    <t>si801175</t>
  </si>
  <si>
    <t>高速公路Ⅱ(申万)</t>
  </si>
  <si>
    <t>si801743</t>
  </si>
  <si>
    <t>地面兵装Ⅱ(申万)</t>
  </si>
  <si>
    <t>si801742</t>
  </si>
  <si>
    <t>航空装备Ⅱ(申万)</t>
  </si>
  <si>
    <t>si801741</t>
  </si>
  <si>
    <t>航天装备Ⅱ(申万)</t>
  </si>
  <si>
    <t>si801744</t>
  </si>
  <si>
    <t>船舶制造Ⅱ(申万)</t>
  </si>
  <si>
    <t>si801155</t>
  </si>
  <si>
    <t>中药Ⅱ(申万)</t>
  </si>
  <si>
    <t>si801156</t>
  </si>
  <si>
    <t>医疗服务Ⅱ(申万)</t>
  </si>
  <si>
    <t>si801153</t>
  </si>
  <si>
    <t>医疗器械Ⅱ(申万)</t>
  </si>
  <si>
    <t>si801154</t>
  </si>
  <si>
    <t>医药商业Ⅱ(申万)</t>
  </si>
  <si>
    <t>si801152</t>
  </si>
  <si>
    <t>生物制品Ⅱ(申万)</t>
  </si>
  <si>
    <t>si801151</t>
  </si>
  <si>
    <t>化学制药(申万)</t>
  </si>
  <si>
    <t>si801182</t>
  </si>
  <si>
    <t>园区开发Ⅱ(申万)</t>
  </si>
  <si>
    <t>si801181</t>
  </si>
  <si>
    <t>房地产开发Ⅱ(申万)</t>
  </si>
  <si>
    <t>si801013</t>
  </si>
  <si>
    <t>农业综合Ⅱ(申万)</t>
  </si>
  <si>
    <t>si801012</t>
  </si>
  <si>
    <t>农产品加工(申万)</t>
  </si>
  <si>
    <t>si801018</t>
  </si>
  <si>
    <t>动物保健Ⅱ(申万)</t>
  </si>
  <si>
    <t>si801011</t>
  </si>
  <si>
    <t>林业Ⅱ(申万)</t>
  </si>
  <si>
    <t>si801015</t>
  </si>
  <si>
    <t>渔业(申万)</t>
  </si>
  <si>
    <t>si801017</t>
  </si>
  <si>
    <t>畜禽养殖Ⅱ(申万)</t>
  </si>
  <si>
    <t>si801016</t>
  </si>
  <si>
    <t>种植业(申万)</t>
  </si>
  <si>
    <t>si801014</t>
  </si>
  <si>
    <t>饲料Ⅱ(申万)</t>
  </si>
  <si>
    <t>si801205</t>
  </si>
  <si>
    <t>商业物业经营(申万)</t>
  </si>
  <si>
    <t>si801202</t>
  </si>
  <si>
    <t>贸易Ⅱ(申万)</t>
  </si>
  <si>
    <t>si801112</t>
  </si>
  <si>
    <t>视听器材(申万)</t>
  </si>
  <si>
    <t>si801111</t>
  </si>
  <si>
    <t>白色家电(申万)</t>
  </si>
  <si>
    <t>si801094</t>
  </si>
  <si>
    <t>汽车整车(申万)</t>
  </si>
  <si>
    <t>si801093</t>
  </si>
  <si>
    <t>汽车零部件Ⅱ(申万)</t>
  </si>
  <si>
    <t>si801092</t>
  </si>
  <si>
    <t>汽车服务Ⅱ(申万)</t>
  </si>
  <si>
    <t>si801132</t>
  </si>
  <si>
    <t>服装家纺(申万)</t>
  </si>
  <si>
    <t>si801131</t>
  </si>
  <si>
    <t>纺织制造(申万)</t>
  </si>
  <si>
    <t>si801123</t>
  </si>
  <si>
    <t>饮料制造(申万)</t>
  </si>
  <si>
    <t>si801204</t>
  </si>
  <si>
    <t>专业零售(申万)</t>
  </si>
  <si>
    <t>---</t>
  </si>
  <si>
    <t>si801203</t>
  </si>
  <si>
    <t>一般零售(申万)</t>
  </si>
  <si>
    <t>si801124</t>
  </si>
  <si>
    <t>食品加工(申万)</t>
  </si>
  <si>
    <t>si801725</t>
  </si>
  <si>
    <t>园林工程Ⅱ(申万)</t>
  </si>
  <si>
    <t>si801724</t>
  </si>
  <si>
    <t>专业工程(申万)</t>
  </si>
  <si>
    <t>si801723</t>
  </si>
  <si>
    <t>基础建设(申万)</t>
  </si>
  <si>
    <t>si801711</t>
  </si>
  <si>
    <t>水泥制造Ⅱ(申万)</t>
  </si>
  <si>
    <t>si801712</t>
  </si>
  <si>
    <t>玻璃制造Ⅱ(申万)</t>
  </si>
  <si>
    <t>si801713</t>
  </si>
  <si>
    <t>其他建材Ⅱ(申万)</t>
  </si>
  <si>
    <t>si801721</t>
  </si>
  <si>
    <t>房屋建设Ⅱ(申万)</t>
  </si>
  <si>
    <t>si801074</t>
  </si>
  <si>
    <t>专用设备(申万)</t>
  </si>
  <si>
    <t>si801072</t>
  </si>
  <si>
    <t>通用机械(申万)</t>
  </si>
  <si>
    <t>si801722</t>
  </si>
  <si>
    <t>装修装饰Ⅱ(申万)</t>
  </si>
  <si>
    <t>si801215</t>
  </si>
  <si>
    <t>其他休闲服务Ⅱ(申万)</t>
  </si>
  <si>
    <t>si801214</t>
  </si>
  <si>
    <t>旅游综合Ⅱ(申万)</t>
  </si>
  <si>
    <t>si801212</t>
  </si>
  <si>
    <t>景点(申万)</t>
  </si>
  <si>
    <t>si801213</t>
  </si>
  <si>
    <t>酒店Ⅱ(申万)</t>
  </si>
  <si>
    <t>si801211</t>
  </si>
  <si>
    <t>餐饮Ⅱ(申万)</t>
  </si>
  <si>
    <t>si801162</t>
  </si>
  <si>
    <t>环保工程及服务Ⅱ(申万)</t>
  </si>
  <si>
    <t>si801164</t>
  </si>
  <si>
    <t>水务Ⅱ(申万)</t>
  </si>
  <si>
    <t>si801163</t>
  </si>
  <si>
    <t>燃气Ⅱ(申万)</t>
  </si>
  <si>
    <t>si801161</t>
  </si>
  <si>
    <t>电力(申万)</t>
  </si>
  <si>
    <t>si801734</t>
  </si>
  <si>
    <t>高低压设备(申万)</t>
  </si>
  <si>
    <t>si801733</t>
  </si>
  <si>
    <t>电源设备(申万)</t>
  </si>
  <si>
    <t>si801731</t>
  </si>
  <si>
    <t>电机Ⅱ(申万)</t>
  </si>
  <si>
    <t>si801732</t>
  </si>
  <si>
    <t>电气自动化设备(申万)</t>
  </si>
  <si>
    <t>si801231</t>
  </si>
  <si>
    <t>综合Ⅱ(申万)</t>
  </si>
  <si>
    <t>si801037</t>
  </si>
  <si>
    <t>橡胶(申万)</t>
  </si>
  <si>
    <t>si801036</t>
  </si>
  <si>
    <t>塑料Ⅱ(申万)</t>
  </si>
  <si>
    <t>si801035</t>
  </si>
  <si>
    <t>石油化工(申万)</t>
  </si>
  <si>
    <t>si801034</t>
  </si>
  <si>
    <t>化学制品(申万)</t>
  </si>
  <si>
    <t>si801033</t>
  </si>
  <si>
    <t>化学原料(申万)</t>
  </si>
  <si>
    <t>si801032</t>
  </si>
  <si>
    <t>化学纤维(申万)</t>
  </si>
  <si>
    <t>si801055</t>
  </si>
  <si>
    <t>工业金属(申万)</t>
  </si>
  <si>
    <t>si801054</t>
  </si>
  <si>
    <t>稀有金属(申万)</t>
  </si>
  <si>
    <t>si801053</t>
  </si>
  <si>
    <t>黄金Ⅱ(申万)</t>
  </si>
  <si>
    <t>si801051</t>
  </si>
  <si>
    <t>金属非金属新材料(申万)</t>
  </si>
  <si>
    <t>si801021</t>
  </si>
  <si>
    <t>煤炭开采Ⅱ(申万)</t>
  </si>
  <si>
    <t>si801023</t>
  </si>
  <si>
    <t>石油开采Ⅱ(申万)</t>
  </si>
  <si>
    <t>si801024</t>
  </si>
  <si>
    <t>采掘服务Ⅱ(申万)</t>
  </si>
  <si>
    <t>si801075</t>
  </si>
  <si>
    <t>金属制品Ⅱ(申万)</t>
  </si>
  <si>
    <t>si801041</t>
  </si>
  <si>
    <t>钢铁Ⅱ(申万)</t>
  </si>
  <si>
    <t>si801022</t>
  </si>
  <si>
    <t>其他采掘Ⅱ(申万)</t>
  </si>
  <si>
    <t>si801144</t>
  </si>
  <si>
    <t>其他轻工制造Ⅱ(申万)</t>
  </si>
  <si>
    <t>si801141</t>
  </si>
  <si>
    <t>包装印刷Ⅱ(申万)</t>
  </si>
  <si>
    <t>si801142</t>
  </si>
  <si>
    <t>家用轻工(申万)</t>
  </si>
  <si>
    <t>si801143</t>
  </si>
  <si>
    <t>造纸Ⅱ(申万)</t>
  </si>
  <si>
    <t>si801194</t>
  </si>
  <si>
    <t>保险Ⅱ(申万)</t>
  </si>
  <si>
    <t>si801193</t>
  </si>
  <si>
    <t>券商Ⅱ(申万)</t>
  </si>
  <si>
    <t>si801192</t>
  </si>
  <si>
    <t>银行Ⅱ(申万)</t>
  </si>
  <si>
    <t>si801191</t>
  </si>
  <si>
    <t>多元金融Ⅱ(申万)</t>
  </si>
  <si>
    <t>si801073</t>
  </si>
  <si>
    <t>仪器仪表Ⅱ(申万)</t>
  </si>
  <si>
    <t>earning icrease ytoy</t>
  </si>
  <si>
    <t>book icrease ytoy</t>
  </si>
  <si>
    <t>中证500 SNLV</t>
  </si>
  <si>
    <t>000952</t>
  </si>
  <si>
    <t>地产等权</t>
  </si>
  <si>
    <t>399904</t>
  </si>
  <si>
    <t>399958</t>
  </si>
  <si>
    <t>军工指数</t>
  </si>
  <si>
    <t>中国互联</t>
  </si>
  <si>
    <t>价值指数</t>
  </si>
  <si>
    <t>中证中药</t>
  </si>
  <si>
    <t>2015-02-13T</t>
  </si>
  <si>
    <t>500信息</t>
  </si>
  <si>
    <t>XBI</t>
  </si>
  <si>
    <t>基建工程</t>
  </si>
  <si>
    <t>美的</t>
  </si>
  <si>
    <t>消费红利</t>
  </si>
  <si>
    <t>信息红利</t>
  </si>
  <si>
    <t>500质量</t>
  </si>
  <si>
    <t>cs生物</t>
  </si>
  <si>
    <t>纳指100</t>
  </si>
  <si>
    <t>ROE</t>
  </si>
  <si>
    <t>sh000066</t>
  </si>
  <si>
    <t>上证商品</t>
  </si>
  <si>
    <t>sh000986</t>
  </si>
  <si>
    <t>sh000944</t>
  </si>
  <si>
    <t>内地资源</t>
  </si>
  <si>
    <t>cicspsadrp</t>
  </si>
  <si>
    <t>标普A股红利</t>
  </si>
  <si>
    <t>sh000068</t>
  </si>
  <si>
    <t>上证资源</t>
  </si>
  <si>
    <t>sh000928</t>
  </si>
  <si>
    <t>sz399806</t>
  </si>
  <si>
    <t>sh000979</t>
  </si>
  <si>
    <t>sz399998</t>
  </si>
  <si>
    <t>sz399990</t>
  </si>
  <si>
    <t>煤炭等权</t>
  </si>
  <si>
    <t>sh950090</t>
  </si>
  <si>
    <t>50AH优选</t>
  </si>
  <si>
    <t>sh000805</t>
  </si>
  <si>
    <t>A股资源</t>
  </si>
  <si>
    <t>sh000042</t>
  </si>
  <si>
    <t>上证央企</t>
  </si>
  <si>
    <t>sh000015</t>
  </si>
  <si>
    <t>csih30263</t>
  </si>
  <si>
    <t>中证腾安</t>
  </si>
  <si>
    <t>sh000919</t>
  </si>
  <si>
    <t>sh000961</t>
  </si>
  <si>
    <t>中证上游</t>
  </si>
  <si>
    <t>sh000964</t>
  </si>
  <si>
    <t>中证新兴</t>
  </si>
  <si>
    <t>csi930620</t>
  </si>
  <si>
    <t>CSSW丝路</t>
  </si>
  <si>
    <t>sz399991</t>
  </si>
  <si>
    <t>一带一路</t>
  </si>
  <si>
    <t>csi931008</t>
  </si>
  <si>
    <t>中证全指汽车指数</t>
  </si>
  <si>
    <t>sz399986</t>
  </si>
  <si>
    <t>sh000940</t>
  </si>
  <si>
    <t>财富大盘</t>
  </si>
  <si>
    <t>sz399995</t>
  </si>
  <si>
    <t>sz399992</t>
  </si>
  <si>
    <t>CSWD并购</t>
  </si>
  <si>
    <t>sh000806</t>
  </si>
  <si>
    <t>消费服务</t>
  </si>
  <si>
    <t>sh000032</t>
  </si>
  <si>
    <t>上证能源</t>
  </si>
  <si>
    <t>sz399416</t>
  </si>
  <si>
    <t>I300</t>
  </si>
  <si>
    <t>sh000029</t>
  </si>
  <si>
    <t>180价值</t>
  </si>
  <si>
    <t>sh000021</t>
  </si>
  <si>
    <t>180治理</t>
  </si>
  <si>
    <t>sh000905</t>
  </si>
  <si>
    <t>sz399807</t>
  </si>
  <si>
    <t>高铁产业</t>
  </si>
  <si>
    <t>hihsml25</t>
  </si>
  <si>
    <t>恒生中国(香港上市)25</t>
  </si>
  <si>
    <t>sh000854</t>
  </si>
  <si>
    <t>中证500原料</t>
  </si>
  <si>
    <t>sh000001</t>
  </si>
  <si>
    <t>上证指数</t>
  </si>
  <si>
    <t>hihsi</t>
  </si>
  <si>
    <t>sh000984</t>
  </si>
  <si>
    <t>300等权</t>
  </si>
  <si>
    <t>sz399802</t>
  </si>
  <si>
    <t>500深市</t>
  </si>
  <si>
    <t>sh000982</t>
  </si>
  <si>
    <t>500等权</t>
  </si>
  <si>
    <t>sz399440</t>
  </si>
  <si>
    <t>国证钢铁</t>
  </si>
  <si>
    <t>csi000922</t>
  </si>
  <si>
    <t>sz399429</t>
  </si>
  <si>
    <t>新丝路</t>
  </si>
  <si>
    <t>sh000904</t>
  </si>
  <si>
    <t>sh000989</t>
  </si>
  <si>
    <t>csih30165</t>
  </si>
  <si>
    <t>中证全指房地产</t>
  </si>
  <si>
    <t>csi950096</t>
  </si>
  <si>
    <t>上海国企</t>
  </si>
  <si>
    <t>sh000067</t>
  </si>
  <si>
    <t>上证新兴</t>
  </si>
  <si>
    <t>sh000901</t>
  </si>
  <si>
    <t>小康指数</t>
  </si>
  <si>
    <t>sh000063</t>
  </si>
  <si>
    <t>上证周期</t>
  </si>
  <si>
    <t>wi881001</t>
  </si>
  <si>
    <t>万得全A</t>
  </si>
  <si>
    <t>csi930875</t>
  </si>
  <si>
    <t>空天一体</t>
  </si>
  <si>
    <t>sh000016</t>
  </si>
  <si>
    <t>sz399101</t>
  </si>
  <si>
    <t>中小板综</t>
  </si>
  <si>
    <t>sz399008</t>
  </si>
  <si>
    <t>中小300</t>
  </si>
  <si>
    <t>sh000802</t>
  </si>
  <si>
    <t>500沪市</t>
  </si>
  <si>
    <t>sz399965</t>
  </si>
  <si>
    <t>800地产</t>
  </si>
  <si>
    <t>sz399393</t>
  </si>
  <si>
    <t>国证地产</t>
  </si>
  <si>
    <t>sh000819</t>
  </si>
  <si>
    <t>csi930782</t>
  </si>
  <si>
    <t>sh000056</t>
  </si>
  <si>
    <t>上证国企</t>
  </si>
  <si>
    <t>sh000966</t>
  </si>
  <si>
    <t>基本400</t>
  </si>
  <si>
    <t>sh000925</t>
  </si>
  <si>
    <t>基本面50</t>
  </si>
  <si>
    <t>csi000985</t>
  </si>
  <si>
    <t>中证全指</t>
  </si>
  <si>
    <t>hihshkmi</t>
  </si>
  <si>
    <t>恒生中型股</t>
  </si>
  <si>
    <t>sz399624</t>
  </si>
  <si>
    <t>中创400</t>
  </si>
  <si>
    <t>sh000852</t>
  </si>
  <si>
    <t>sz399412</t>
  </si>
  <si>
    <t>国证新能</t>
  </si>
  <si>
    <t>sz399005</t>
  </si>
  <si>
    <t>sh000010</t>
  </si>
  <si>
    <t>上证180</t>
  </si>
  <si>
    <t>sz399634</t>
  </si>
  <si>
    <t>中小板EW</t>
  </si>
  <si>
    <t>sh000934</t>
  </si>
  <si>
    <t>sh000038</t>
  </si>
  <si>
    <t>上证金融</t>
  </si>
  <si>
    <t>sh000018</t>
  </si>
  <si>
    <t>180金融</t>
  </si>
  <si>
    <t>sz399967</t>
  </si>
  <si>
    <t>sh000987</t>
  </si>
  <si>
    <t>sh000846</t>
  </si>
  <si>
    <t>ESG 100</t>
  </si>
  <si>
    <t>hihshksi</t>
  </si>
  <si>
    <t>恒生小型股</t>
  </si>
  <si>
    <t>sh000914</t>
  </si>
  <si>
    <t>300金融</t>
  </si>
  <si>
    <t>sh000963</t>
  </si>
  <si>
    <t>中证下游</t>
  </si>
  <si>
    <t>csi930641</t>
  </si>
  <si>
    <t>sh000906</t>
  </si>
  <si>
    <t>中证800</t>
  </si>
  <si>
    <t>sh000842</t>
  </si>
  <si>
    <t>800等权</t>
  </si>
  <si>
    <t>sh000992</t>
  </si>
  <si>
    <t>sh000977</t>
  </si>
  <si>
    <t>内地低碳</t>
  </si>
  <si>
    <t>sh000823</t>
  </si>
  <si>
    <t>800有色</t>
  </si>
  <si>
    <t>sz399415</t>
  </si>
  <si>
    <t>I100</t>
  </si>
  <si>
    <t>sz399971</t>
  </si>
  <si>
    <t>csi930793</t>
  </si>
  <si>
    <t>HK银行(CNY)</t>
  </si>
  <si>
    <t>sh000050</t>
  </si>
  <si>
    <t>50等权</t>
  </si>
  <si>
    <t>csih30531</t>
  </si>
  <si>
    <t>精工制造</t>
  </si>
  <si>
    <t>sz399368</t>
  </si>
  <si>
    <t>国证军工</t>
  </si>
  <si>
    <t>sh000827</t>
  </si>
  <si>
    <t>sz399417</t>
  </si>
  <si>
    <t>新能源车</t>
  </si>
  <si>
    <t>sh000841</t>
  </si>
  <si>
    <t>800医药</t>
  </si>
  <si>
    <t>sz399808</t>
  </si>
  <si>
    <t>中证新能</t>
  </si>
  <si>
    <t>sz399395</t>
  </si>
  <si>
    <t>国证有色</t>
  </si>
  <si>
    <t>csih30372</t>
  </si>
  <si>
    <t>中证安全</t>
  </si>
  <si>
    <t>sh000300</t>
  </si>
  <si>
    <t>sh000958</t>
  </si>
  <si>
    <t>sz399973</t>
  </si>
  <si>
    <t>中证国防</t>
  </si>
  <si>
    <t>sz399975</t>
  </si>
  <si>
    <t>sz399805</t>
  </si>
  <si>
    <t>互联金融</t>
  </si>
  <si>
    <t>sz399959</t>
  </si>
  <si>
    <t>csi930720</t>
  </si>
  <si>
    <t>CS互医疗</t>
  </si>
  <si>
    <t>hihscei</t>
  </si>
  <si>
    <t>恒生国企指数</t>
  </si>
  <si>
    <t>sz399983</t>
  </si>
  <si>
    <t>sh000051</t>
  </si>
  <si>
    <t>180等权</t>
  </si>
  <si>
    <t>sh000933</t>
  </si>
  <si>
    <t>sh000903</t>
  </si>
  <si>
    <t>中证100</t>
  </si>
  <si>
    <t>gidjsoep</t>
  </si>
  <si>
    <t>道琼斯美国石油开发与生产</t>
  </si>
  <si>
    <t>sh000974</t>
  </si>
  <si>
    <t>800金融</t>
  </si>
  <si>
    <t>csi930648</t>
  </si>
  <si>
    <t>CS智消费</t>
  </si>
  <si>
    <t>csi930659</t>
  </si>
  <si>
    <t>CS能源互</t>
  </si>
  <si>
    <t>sz399422</t>
  </si>
  <si>
    <t>中关村A</t>
  </si>
  <si>
    <t>sh000048</t>
  </si>
  <si>
    <t>责任指数</t>
  </si>
  <si>
    <t>sz399996</t>
  </si>
  <si>
    <t>智能家居</t>
  </si>
  <si>
    <t>sz399810</t>
  </si>
  <si>
    <t>CSSW传媒</t>
  </si>
  <si>
    <t>csi930790</t>
  </si>
  <si>
    <t>CS娱乐TI</t>
  </si>
  <si>
    <t>csi930654</t>
  </si>
  <si>
    <t>CS休闲娱</t>
  </si>
  <si>
    <t>sh000033</t>
  </si>
  <si>
    <t>上证材料</t>
  </si>
  <si>
    <t>csi930713</t>
  </si>
  <si>
    <t>CS人工智</t>
  </si>
  <si>
    <t>sz399313</t>
  </si>
  <si>
    <t>巨潮100</t>
  </si>
  <si>
    <t>sh000009</t>
  </si>
  <si>
    <t>上证380</t>
  </si>
  <si>
    <t>sh000991</t>
  </si>
  <si>
    <t>csi930734</t>
  </si>
  <si>
    <t>360互联+</t>
  </si>
  <si>
    <t>csi930599</t>
  </si>
  <si>
    <t>中证高装</t>
  </si>
  <si>
    <t>sz399974</t>
  </si>
  <si>
    <t>sz399707</t>
  </si>
  <si>
    <t>CSSW证券</t>
  </si>
  <si>
    <t>sh000816</t>
  </si>
  <si>
    <t>细分地产</t>
  </si>
  <si>
    <t>csih30171</t>
  </si>
  <si>
    <t>中证全指运输指数</t>
  </si>
  <si>
    <t>csih30588</t>
  </si>
  <si>
    <t>中证证保</t>
  </si>
  <si>
    <t>hihsmsi</t>
  </si>
  <si>
    <t>恒生中小型股</t>
  </si>
  <si>
    <t>sh000043</t>
  </si>
  <si>
    <t>超大盘</t>
  </si>
  <si>
    <t>sh000046</t>
  </si>
  <si>
    <t>上证中小</t>
  </si>
  <si>
    <t>sh000969</t>
  </si>
  <si>
    <t>300非周</t>
  </si>
  <si>
    <t>csih30318</t>
  </si>
  <si>
    <t>TMT150</t>
  </si>
  <si>
    <t>csi930820</t>
  </si>
  <si>
    <t>CS高端制</t>
  </si>
  <si>
    <t>sh000971</t>
  </si>
  <si>
    <t>等权90</t>
  </si>
  <si>
    <t>sz399637</t>
  </si>
  <si>
    <t>深证地产</t>
  </si>
  <si>
    <t>csi930777</t>
  </si>
  <si>
    <t>CS定增</t>
  </si>
  <si>
    <t>csih20839</t>
  </si>
  <si>
    <t>HK高股息(全)HKD</t>
  </si>
  <si>
    <t>sz399612</t>
  </si>
  <si>
    <t>中创100</t>
  </si>
  <si>
    <t>csi930836</t>
  </si>
  <si>
    <t>沪港深高股息(CNY)</t>
  </si>
  <si>
    <t>csi930791</t>
  </si>
  <si>
    <t>CS医药TI</t>
  </si>
  <si>
    <t>sz399001</t>
  </si>
  <si>
    <t>深证成指</t>
  </si>
  <si>
    <t>sz399102</t>
  </si>
  <si>
    <t>创业板综</t>
  </si>
  <si>
    <t>sz399348</t>
  </si>
  <si>
    <t>深证价值</t>
  </si>
  <si>
    <t>sz399007</t>
  </si>
  <si>
    <t>深证300</t>
  </si>
  <si>
    <t>csi930652</t>
  </si>
  <si>
    <t>CS电子</t>
  </si>
  <si>
    <t>sz399966</t>
  </si>
  <si>
    <t>800非银</t>
  </si>
  <si>
    <t>sh000814</t>
  </si>
  <si>
    <t>细分医药</t>
  </si>
  <si>
    <t>sh000044</t>
  </si>
  <si>
    <t>上证中盘</t>
  </si>
  <si>
    <t>sh000993</t>
  </si>
  <si>
    <t>sz399809</t>
  </si>
  <si>
    <t>csih30124</t>
  </si>
  <si>
    <t>安中动态</t>
  </si>
  <si>
    <t>csi930697</t>
  </si>
  <si>
    <t>csih30035</t>
  </si>
  <si>
    <t>300非银</t>
  </si>
  <si>
    <t>sz399703</t>
  </si>
  <si>
    <t>深证F200</t>
  </si>
  <si>
    <t>sh000065</t>
  </si>
  <si>
    <t>上证龙头</t>
  </si>
  <si>
    <t>sz399994</t>
  </si>
  <si>
    <t>信息安全</t>
  </si>
  <si>
    <t>sh000037</t>
  </si>
  <si>
    <t>上证医药</t>
  </si>
  <si>
    <t>sh000998</t>
  </si>
  <si>
    <t>中证TMT</t>
  </si>
  <si>
    <t>csi930651</t>
  </si>
  <si>
    <t>CS计算机</t>
  </si>
  <si>
    <t>sh000952</t>
  </si>
  <si>
    <t>gigdaxi</t>
  </si>
  <si>
    <t>德国DAX</t>
  </si>
  <si>
    <t>sz399337</t>
  </si>
  <si>
    <t>深证民营</t>
  </si>
  <si>
    <t>sz399702</t>
  </si>
  <si>
    <t>深证F120</t>
  </si>
  <si>
    <t>sh000935</t>
  </si>
  <si>
    <t>csi931009</t>
  </si>
  <si>
    <t>中证全指建筑材料</t>
  </si>
  <si>
    <t>csih11136</t>
  </si>
  <si>
    <t>sz399673</t>
  </si>
  <si>
    <t>sz399804</t>
  </si>
  <si>
    <t>中证体育</t>
  </si>
  <si>
    <t>sz399006</t>
  </si>
  <si>
    <t>sz399812</t>
  </si>
  <si>
    <t>sz399610</t>
  </si>
  <si>
    <t>TMT50</t>
  </si>
  <si>
    <t>sz399441</t>
  </si>
  <si>
    <t>生物医药</t>
  </si>
  <si>
    <t>csi930729</t>
  </si>
  <si>
    <t>银智100</t>
  </si>
  <si>
    <t>sz399813</t>
  </si>
  <si>
    <t>中证国安</t>
  </si>
  <si>
    <t>sz399326</t>
  </si>
  <si>
    <t>成长40</t>
  </si>
  <si>
    <t>sz399701</t>
  </si>
  <si>
    <t>深证F60</t>
  </si>
  <si>
    <t>sz399811</t>
  </si>
  <si>
    <t>CSSW电子</t>
  </si>
  <si>
    <t>sz399976</t>
  </si>
  <si>
    <t>sz399550</t>
  </si>
  <si>
    <t>央视50</t>
  </si>
  <si>
    <t>sz399989</t>
  </si>
  <si>
    <t>sh000913</t>
  </si>
  <si>
    <t>300医药</t>
  </si>
  <si>
    <t>sh000064</t>
  </si>
  <si>
    <t>非周期</t>
  </si>
  <si>
    <t>csi930723</t>
  </si>
  <si>
    <t>沪港深F100</t>
  </si>
  <si>
    <t>sz399993</t>
  </si>
  <si>
    <t>CSWD生科</t>
  </si>
  <si>
    <t>sz399330</t>
  </si>
  <si>
    <t>深证100</t>
  </si>
  <si>
    <t>sz399004</t>
  </si>
  <si>
    <t>深证100R</t>
  </si>
  <si>
    <t>sz399324</t>
  </si>
  <si>
    <t>csih30344</t>
  </si>
  <si>
    <t>健康产业</t>
  </si>
  <si>
    <t>sz399394</t>
  </si>
  <si>
    <t>sh000808</t>
  </si>
  <si>
    <t>csi930629</t>
  </si>
  <si>
    <t>CSSW健康</t>
  </si>
  <si>
    <t>csih30535</t>
  </si>
  <si>
    <t>互联网</t>
  </si>
  <si>
    <t>sh000049</t>
  </si>
  <si>
    <t>上证民企</t>
  </si>
  <si>
    <t>sz399814</t>
  </si>
  <si>
    <t>大农业</t>
  </si>
  <si>
    <t>sh000069</t>
  </si>
  <si>
    <t>消费80</t>
  </si>
  <si>
    <t>sh000028</t>
  </si>
  <si>
    <t>180成长</t>
  </si>
  <si>
    <t>csi930743</t>
  </si>
  <si>
    <t>中证生科</t>
  </si>
  <si>
    <t>sz399632</t>
  </si>
  <si>
    <t>深100EW</t>
  </si>
  <si>
    <t>sz399970</t>
  </si>
  <si>
    <t>csi000978</t>
  </si>
  <si>
    <t>spisphcmshp</t>
  </si>
  <si>
    <t>标普香港上市中国中小盘精选指数</t>
  </si>
  <si>
    <t>sh000918</t>
  </si>
  <si>
    <t>300成长</t>
  </si>
  <si>
    <t>sh000828</t>
  </si>
  <si>
    <t>300高贝</t>
  </si>
  <si>
    <t>sz399803</t>
  </si>
  <si>
    <t>工业4.0</t>
  </si>
  <si>
    <t>csi930721</t>
  </si>
  <si>
    <t>CS智汽车</t>
  </si>
  <si>
    <t>sh000932</t>
  </si>
  <si>
    <t>csi930719</t>
  </si>
  <si>
    <t>CS精准医</t>
  </si>
  <si>
    <t>sh000990</t>
  </si>
  <si>
    <t>sz399997</t>
  </si>
  <si>
    <t>giixic</t>
  </si>
  <si>
    <t>纳斯达克指数</t>
  </si>
  <si>
    <t>csi930653</t>
  </si>
  <si>
    <t>CS食品饮</t>
  </si>
  <si>
    <t>sz399987</t>
  </si>
  <si>
    <t>中证酒</t>
  </si>
  <si>
    <t>csih30021</t>
  </si>
  <si>
    <t>中证800食品</t>
  </si>
  <si>
    <t>sz399396</t>
  </si>
  <si>
    <t>国证食品</t>
  </si>
  <si>
    <t>spisp500</t>
  </si>
  <si>
    <t>S&amp;P 500</t>
  </si>
  <si>
    <t>spispxewtr</t>
  </si>
  <si>
    <t>标普500等权重指数</t>
  </si>
  <si>
    <t>gispx</t>
  </si>
  <si>
    <t>csi133333</t>
  </si>
  <si>
    <t>MSCI中国A股指数</t>
  </si>
  <si>
    <t>sh000036</t>
  </si>
  <si>
    <t>上证消费</t>
  </si>
  <si>
    <t>gidji</t>
  </si>
  <si>
    <t>道琼斯工业指数</t>
  </si>
  <si>
    <t>gindx</t>
  </si>
  <si>
    <t>纳斯达克100</t>
  </si>
  <si>
    <t>标普沪港深</t>
  </si>
  <si>
    <t>500snlv</t>
  </si>
  <si>
    <t>地产</t>
  </si>
  <si>
    <t>互联</t>
  </si>
  <si>
    <t>15-20 + 4</t>
  </si>
  <si>
    <t>8-12+ 4</t>
  </si>
  <si>
    <t>15-17 + 2</t>
  </si>
  <si>
    <t>13-18</t>
  </si>
  <si>
    <t>19-24</t>
  </si>
  <si>
    <t>12-16</t>
  </si>
  <si>
    <t>17-19</t>
  </si>
  <si>
    <t>b</t>
  </si>
  <si>
    <t>c</t>
  </si>
  <si>
    <t>growth</t>
  </si>
  <si>
    <t>b+growth</t>
  </si>
  <si>
    <t>c-growth</t>
  </si>
  <si>
    <t>p</t>
  </si>
  <si>
    <t>pw/c-pl/b</t>
  </si>
  <si>
    <t>pw*b-pl*c</t>
  </si>
  <si>
    <t>总和</t>
  </si>
  <si>
    <t>东财</t>
  </si>
  <si>
    <t>魔方</t>
  </si>
  <si>
    <t>2016.10</t>
  </si>
  <si>
    <t>2019.12</t>
  </si>
  <si>
    <t>to 50%</t>
  </si>
  <si>
    <t>to 70%</t>
  </si>
  <si>
    <t xml:space="preserve">divident </t>
  </si>
  <si>
    <t>pb</t>
  </si>
  <si>
    <t>pe</t>
  </si>
  <si>
    <t>凯利公式</t>
  </si>
  <si>
    <t>rL</t>
  </si>
  <si>
    <t>rW</t>
  </si>
  <si>
    <t>f</t>
  </si>
  <si>
    <t>橡皮筋</t>
  </si>
  <si>
    <t>信封</t>
  </si>
  <si>
    <t>牛财旺盛</t>
  </si>
  <si>
    <t>行运天下</t>
  </si>
  <si>
    <t>富贵临门</t>
  </si>
  <si>
    <t>福气</t>
  </si>
  <si>
    <t>工银安盛</t>
  </si>
  <si>
    <t>大吉大利</t>
  </si>
  <si>
    <t>小令</t>
  </si>
  <si>
    <t>王亚力</t>
  </si>
  <si>
    <t>王绪平 张百X</t>
  </si>
  <si>
    <t>任克强</t>
  </si>
  <si>
    <t>王绪虹</t>
  </si>
  <si>
    <t>黄冬、婉芳</t>
  </si>
  <si>
    <t>王小芬</t>
  </si>
  <si>
    <t>缪欢庆</t>
  </si>
  <si>
    <t>韩立波</t>
  </si>
  <si>
    <t>任允文</t>
  </si>
  <si>
    <t>叶萧敏</t>
  </si>
  <si>
    <t>孙菲</t>
  </si>
  <si>
    <t>孙华</t>
  </si>
  <si>
    <t>沈丽华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</si>
</sst>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%"/>
  </numFmts>
  <fonts count="5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4"/>
      <name val="Calibri"/>
      <family val="2"/>
      <scheme val="minor"/>
    </font>
    <font>
      <sz val="12"/>
      <color rgb="FFC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FFFFFF"/>
      <name val="Calibri"/>
      <family val="2"/>
    </font>
    <font>
      <sz val="13"/>
      <color rgb="FF333333"/>
      <name val="Menlo"/>
      <family val="2"/>
    </font>
    <font>
      <sz val="12"/>
      <color theme="1"/>
      <name val="Calibri"/>
      <family val="2"/>
    </font>
    <font>
      <sz val="12"/>
      <color rgb="FF666666"/>
      <name val="Arial"/>
      <family val="2"/>
    </font>
    <font>
      <sz val="12"/>
      <color rgb="FF008000"/>
      <name val="Calibri"/>
      <family val="2"/>
    </font>
    <font>
      <sz val="14"/>
      <color rgb="FF333333"/>
      <name val="Helvetica Neue"/>
      <family val="2"/>
    </font>
    <font>
      <b/>
      <sz val="13"/>
      <color rgb="FF797979"/>
      <name val="Arial"/>
      <family val="2"/>
    </font>
    <font>
      <sz val="13"/>
      <color rgb="FF797979"/>
      <name val="Arial"/>
      <family val="2"/>
    </font>
    <font>
      <u/>
      <sz val="12"/>
      <color theme="10"/>
      <name val="Calibri"/>
      <family val="2"/>
      <scheme val="minor"/>
    </font>
    <font>
      <sz val="12"/>
      <color rgb="FF008000"/>
      <name val="Calibri"/>
      <family val="2"/>
    </font>
    <font>
      <sz val="12"/>
      <color rgb="FF00FF00"/>
      <name val="Calibri"/>
      <family val="2"/>
    </font>
    <font>
      <sz val="12"/>
      <color rgb="FFFF0000"/>
      <name val="Calibri"/>
      <family val="2"/>
    </font>
    <font>
      <sz val="12"/>
      <color rgb="FF800000"/>
      <name val="Calibri"/>
      <family val="2"/>
    </font>
    <font>
      <sz val="12"/>
      <color rgb="FF00FF00"/>
      <name val="Calibri"/>
      <family val="2"/>
    </font>
    <font>
      <sz val="12"/>
      <color rgb="FF008000"/>
      <name val="Calibri"/>
      <family val="2"/>
    </font>
    <font>
      <sz val="12"/>
      <color rgb="FF800000"/>
      <name val="Calibri"/>
      <family val="2"/>
    </font>
    <font>
      <sz val="12"/>
      <color rgb="FFFF0000"/>
      <name val="Calibri"/>
      <family val="2"/>
    </font>
    <font>
      <sz val="20"/>
      <color rgb="FF222222"/>
      <name val="Helvetica"/>
      <family val="2"/>
    </font>
    <font>
      <sz val="12"/>
      <color rgb="FF00FF00"/>
      <name val="Calibri"/>
      <family val="2"/>
    </font>
    <font>
      <sz val="12"/>
      <color rgb="FF008000"/>
      <name val="Calibri"/>
      <family val="2"/>
    </font>
    <font>
      <sz val="12"/>
      <color rgb="FFFF0000"/>
      <name val="Calibri"/>
      <family val="2"/>
      <scheme val="minor"/>
    </font>
    <font>
      <sz val="14"/>
      <color rgb="FF777777"/>
      <name val="Helvetica Neue"/>
      <family val="2"/>
    </font>
    <font>
      <sz val="16"/>
      <color rgb="FF33353C"/>
      <name val="Helvetica Neue"/>
      <family val="2"/>
    </font>
    <font>
      <sz val="12"/>
      <name val="Calibri"/>
      <family val="2"/>
    </font>
    <font>
      <sz val="12"/>
      <color rgb="FF800000"/>
      <name val="Calibri"/>
      <family val="2"/>
    </font>
    <font>
      <sz val="12"/>
      <color rgb="FF00FF00"/>
      <name val="Calibri"/>
      <family val="2"/>
    </font>
    <font>
      <sz val="12"/>
      <color rgb="FF008000"/>
      <name val="Calibri"/>
      <family val="2"/>
    </font>
    <font>
      <sz val="12"/>
      <color rgb="FF00FF00"/>
      <name val="Calibri"/>
      <family val="2"/>
    </font>
    <font>
      <sz val="12"/>
      <color rgb="FF800000"/>
      <name val="Calibri"/>
      <family val="2"/>
    </font>
    <font>
      <sz val="12"/>
      <color rgb="FF008000"/>
      <name val="Calibri"/>
      <family val="2"/>
    </font>
    <font>
      <sz val="12"/>
      <color rgb="FF00FF00"/>
      <name val="Calibri"/>
      <family val="2"/>
    </font>
    <font>
      <sz val="12"/>
      <color rgb="FF00FF00"/>
      <name val="Calibri"/>
      <family val="2"/>
    </font>
    <font>
      <sz val="13"/>
      <color rgb="FF3D3D3D"/>
      <name val="Arial"/>
      <family val="2"/>
    </font>
    <font>
      <i/>
      <sz val="13"/>
      <color rgb="FFAAAAAA"/>
      <name val="Arial"/>
      <family val="2"/>
    </font>
    <font>
      <sz val="13"/>
      <color rgb="FF444444"/>
      <name val="Helvetica Neue"/>
      <family val="2"/>
    </font>
    <font>
      <sz val="12"/>
      <color rgb="FF800000"/>
      <name val="Calibri"/>
      <family val="2"/>
    </font>
    <font>
      <sz val="12"/>
      <color rgb="FF008000"/>
      <name val="Calibri"/>
      <family val="2"/>
    </font>
    <font>
      <sz val="12"/>
      <color rgb="FFFF0000"/>
      <name val="Calibri"/>
      <family val="2"/>
    </font>
    <font>
      <sz val="12"/>
      <color rgb="FF00FF00"/>
      <name val="Calibri"/>
      <family val="2"/>
    </font>
    <font>
      <sz val="14"/>
      <color rgb="FF000000"/>
      <name val="Helvetica Neue"/>
      <family val="2"/>
    </font>
    <font>
      <sz val="12"/>
      <color rgb="FFFF0000"/>
      <name val="Calibri"/>
      <family val="2"/>
    </font>
    <font>
      <sz val="12"/>
      <color rgb="FF800000"/>
      <name val="Calibri"/>
      <family val="2"/>
    </font>
    <font>
      <sz val="12"/>
      <color rgb="FFFF0000"/>
      <name val="Calibri"/>
      <family val="2"/>
    </font>
    <font>
      <sz val="12"/>
      <color rgb="FF800000"/>
      <name val="Calibri"/>
      <family val="2"/>
    </font>
    <font>
      <sz val="12"/>
      <color rgb="FF008000"/>
      <name val="Calibri"/>
      <family val="2"/>
    </font>
    <font>
      <sz val="12"/>
      <color rgb="FF00FF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1" fillId="0" borderId="0"/>
    <xf numFmtId="0" fontId="13" fillId="0" borderId="0"/>
    <xf numFmtId="0" fontId="13" fillId="0" borderId="0"/>
    <xf numFmtId="0" fontId="1" fillId="0" borderId="0"/>
  </cellStyleXfs>
  <cellXfs count="149">
    <xf numFmtId="0" fontId="0" fillId="0" borderId="0" xfId="0"/>
    <xf numFmtId="164" fontId="0" fillId="0" borderId="0" xfId="0" applyNumberFormat="1"/>
    <xf numFmtId="0" fontId="2" fillId="0" borderId="0" xfId="0" applyFont="1"/>
    <xf numFmtId="2" fontId="2" fillId="0" borderId="0" xfId="1" applyNumberFormat="1" applyFont="1"/>
    <xf numFmtId="0" fontId="2" fillId="0" borderId="0" xfId="0" applyFont="1" applyAlignment="1">
      <alignment horizontal="right"/>
    </xf>
    <xf numFmtId="9" fontId="2" fillId="0" borderId="0" xfId="1" applyNumberFormat="1" applyFont="1" applyAlignment="1">
      <alignment horizontal="right"/>
    </xf>
    <xf numFmtId="2" fontId="2" fillId="0" borderId="0" xfId="0" applyNumberFormat="1" applyFont="1" applyAlignment="1">
      <alignment horizontal="right"/>
    </xf>
    <xf numFmtId="2" fontId="3" fillId="0" borderId="0" xfId="0" applyNumberFormat="1" applyFont="1"/>
    <xf numFmtId="0" fontId="3" fillId="0" borderId="0" xfId="0" applyFont="1" applyAlignment="1">
      <alignment horizontal="right"/>
    </xf>
    <xf numFmtId="9" fontId="3" fillId="0" borderId="0" xfId="1" applyNumberFormat="1" applyFont="1" applyAlignment="1">
      <alignment horizontal="right"/>
    </xf>
    <xf numFmtId="2" fontId="3" fillId="0" borderId="0" xfId="0" applyNumberFormat="1" applyFont="1" applyAlignment="1">
      <alignment horizontal="right"/>
    </xf>
    <xf numFmtId="0" fontId="6" fillId="0" borderId="0" xfId="0" applyFont="1"/>
    <xf numFmtId="10" fontId="2" fillId="0" borderId="0" xfId="0" applyNumberFormat="1" applyFont="1"/>
    <xf numFmtId="10" fontId="2" fillId="0" borderId="0" xfId="0" applyNumberFormat="1" applyFont="1" applyAlignment="1">
      <alignment horizontal="right"/>
    </xf>
    <xf numFmtId="10" fontId="3" fillId="0" borderId="0" xfId="0" applyNumberFormat="1" applyFont="1"/>
    <xf numFmtId="10" fontId="3" fillId="0" borderId="0" xfId="0" applyNumberFormat="1" applyFont="1" applyAlignment="1">
      <alignment horizontal="right"/>
    </xf>
    <xf numFmtId="10" fontId="2" fillId="0" borderId="0" xfId="1" applyNumberFormat="1" applyFont="1"/>
    <xf numFmtId="14" fontId="8" fillId="0" borderId="0" xfId="0" applyNumberFormat="1" applyFont="1"/>
    <xf numFmtId="0" fontId="6" fillId="2" borderId="0" xfId="0" applyFont="1" applyFill="1"/>
    <xf numFmtId="164" fontId="2" fillId="2" borderId="0" xfId="0" applyNumberFormat="1" applyFont="1" applyFill="1"/>
    <xf numFmtId="2" fontId="2" fillId="2" borderId="0" xfId="0" applyNumberFormat="1" applyFont="1" applyFill="1"/>
    <xf numFmtId="9" fontId="2" fillId="2" borderId="0" xfId="0" applyNumberFormat="1" applyFont="1" applyFill="1"/>
    <xf numFmtId="164" fontId="3" fillId="2" borderId="0" xfId="0" applyNumberFormat="1" applyFont="1" applyFill="1"/>
    <xf numFmtId="2" fontId="3" fillId="2" borderId="0" xfId="1" applyNumberFormat="1" applyFont="1" applyFill="1"/>
    <xf numFmtId="9" fontId="3" fillId="2" borderId="0" xfId="0" applyNumberFormat="1" applyFont="1" applyFill="1"/>
    <xf numFmtId="165" fontId="3" fillId="2" borderId="0" xfId="0" applyNumberFormat="1" applyFont="1" applyFill="1"/>
    <xf numFmtId="10" fontId="1" fillId="2" borderId="0" xfId="1" applyNumberFormat="1" applyFill="1"/>
    <xf numFmtId="10" fontId="0" fillId="2" borderId="0" xfId="0" applyNumberFormat="1" applyFill="1"/>
    <xf numFmtId="166" fontId="2" fillId="0" borderId="0" xfId="1" applyNumberFormat="1" applyFont="1" applyAlignment="1">
      <alignment horizontal="right"/>
    </xf>
    <xf numFmtId="166" fontId="2" fillId="2" borderId="0" xfId="1" applyNumberFormat="1" applyFont="1" applyFill="1"/>
    <xf numFmtId="166" fontId="3" fillId="0" borderId="0" xfId="0" applyNumberFormat="1" applyFont="1"/>
    <xf numFmtId="166" fontId="3" fillId="0" borderId="0" xfId="1" applyNumberFormat="1" applyFont="1" applyAlignment="1">
      <alignment horizontal="right"/>
    </xf>
    <xf numFmtId="166" fontId="3" fillId="2" borderId="0" xfId="1" applyNumberFormat="1" applyFont="1" applyFill="1"/>
    <xf numFmtId="0" fontId="3" fillId="2" borderId="0" xfId="0" applyFont="1" applyFill="1"/>
    <xf numFmtId="2" fontId="3" fillId="2" borderId="0" xfId="0" applyNumberFormat="1" applyFont="1" applyFill="1"/>
    <xf numFmtId="10" fontId="7" fillId="2" borderId="0" xfId="1" applyNumberFormat="1" applyFont="1" applyFill="1"/>
    <xf numFmtId="10" fontId="7" fillId="2" borderId="0" xfId="0" applyNumberFormat="1" applyFont="1" applyFill="1"/>
    <xf numFmtId="0" fontId="5" fillId="2" borderId="0" xfId="0" applyFont="1" applyFill="1"/>
    <xf numFmtId="0" fontId="10" fillId="0" borderId="0" xfId="0" applyFont="1"/>
    <xf numFmtId="9" fontId="2" fillId="2" borderId="0" xfId="0" applyNumberFormat="1" applyFont="1" applyFill="1" applyAlignment="1">
      <alignment horizontal="right"/>
    </xf>
    <xf numFmtId="164" fontId="14" fillId="2" borderId="0" xfId="0" applyNumberFormat="1" applyFont="1" applyFill="1"/>
    <xf numFmtId="164" fontId="15" fillId="2" borderId="0" xfId="0" applyNumberFormat="1" applyFont="1" applyFill="1"/>
    <xf numFmtId="164" fontId="14" fillId="0" borderId="0" xfId="0" applyNumberFormat="1" applyFont="1"/>
    <xf numFmtId="164" fontId="16" fillId="0" borderId="0" xfId="0" applyNumberFormat="1" applyFont="1"/>
    <xf numFmtId="164" fontId="17" fillId="0" borderId="0" xfId="0" applyNumberFormat="1" applyFont="1"/>
    <xf numFmtId="164" fontId="17" fillId="2" borderId="0" xfId="0" applyNumberFormat="1" applyFont="1" applyFill="1"/>
    <xf numFmtId="164" fontId="16" fillId="2" borderId="0" xfId="0" applyNumberFormat="1" applyFont="1" applyFill="1"/>
    <xf numFmtId="164" fontId="18" fillId="2" borderId="0" xfId="0" applyNumberFormat="1" applyFont="1" applyFill="1"/>
    <xf numFmtId="164" fontId="19" fillId="2" borderId="0" xfId="0" applyNumberFormat="1" applyFont="1" applyFill="1"/>
    <xf numFmtId="164" fontId="20" fillId="0" borderId="0" xfId="0" applyNumberFormat="1" applyFont="1"/>
    <xf numFmtId="164" fontId="21" fillId="0" borderId="0" xfId="0" applyNumberFormat="1" applyFont="1"/>
    <xf numFmtId="164" fontId="18" fillId="0" borderId="0" xfId="0" applyNumberFormat="1" applyFont="1"/>
    <xf numFmtId="164" fontId="21" fillId="2" borderId="0" xfId="0" applyNumberFormat="1" applyFont="1" applyFill="1"/>
    <xf numFmtId="164" fontId="20" fillId="2" borderId="0" xfId="0" applyNumberFormat="1" applyFont="1" applyFill="1"/>
    <xf numFmtId="164" fontId="19" fillId="0" borderId="0" xfId="0" applyNumberFormat="1" applyFont="1"/>
    <xf numFmtId="0" fontId="1" fillId="0" borderId="0" xfId="1"/>
    <xf numFmtId="0" fontId="22" fillId="0" borderId="0" xfId="0" applyFont="1"/>
    <xf numFmtId="164" fontId="9" fillId="0" borderId="0" xfId="0" applyNumberFormat="1" applyFont="1"/>
    <xf numFmtId="2" fontId="0" fillId="2" borderId="0" xfId="0" applyNumberFormat="1" applyFill="1"/>
    <xf numFmtId="10" fontId="2" fillId="2" borderId="0" xfId="0" applyNumberFormat="1" applyFont="1" applyFill="1"/>
    <xf numFmtId="164" fontId="23" fillId="2" borderId="0" xfId="0" applyNumberFormat="1" applyFont="1" applyFill="1"/>
    <xf numFmtId="164" fontId="9" fillId="2" borderId="0" xfId="0" applyNumberFormat="1" applyFont="1" applyFill="1"/>
    <xf numFmtId="164" fontId="24" fillId="2" borderId="0" xfId="0" applyNumberFormat="1" applyFont="1" applyFill="1"/>
    <xf numFmtId="164" fontId="24" fillId="0" borderId="0" xfId="0" applyNumberFormat="1" applyFont="1"/>
    <xf numFmtId="0" fontId="25" fillId="0" borderId="0" xfId="0" applyFont="1"/>
    <xf numFmtId="0" fontId="0" fillId="0" borderId="0" xfId="0" applyAlignment="1">
      <alignment horizontal="left"/>
    </xf>
    <xf numFmtId="0" fontId="27" fillId="0" borderId="0" xfId="0" applyFont="1"/>
    <xf numFmtId="0" fontId="2" fillId="0" borderId="0" xfId="1" applyFont="1"/>
    <xf numFmtId="0" fontId="4" fillId="0" borderId="0" xfId="0" applyFont="1"/>
    <xf numFmtId="10" fontId="0" fillId="0" borderId="0" xfId="0" applyNumberFormat="1" applyAlignment="1">
      <alignment horizontal="right"/>
    </xf>
    <xf numFmtId="0" fontId="5" fillId="0" borderId="0" xfId="0" applyFont="1"/>
    <xf numFmtId="2" fontId="0" fillId="0" borderId="0" xfId="0" applyNumberFormat="1" applyAlignment="1">
      <alignment horizontal="right"/>
    </xf>
    <xf numFmtId="10" fontId="16" fillId="2" borderId="0" xfId="0" applyNumberFormat="1" applyFont="1" applyFill="1"/>
    <xf numFmtId="164" fontId="30" fillId="0" borderId="0" xfId="0" applyNumberFormat="1" applyFont="1"/>
    <xf numFmtId="164" fontId="29" fillId="0" borderId="0" xfId="0" applyNumberFormat="1" applyFont="1"/>
    <xf numFmtId="0" fontId="7" fillId="2" borderId="0" xfId="0" applyFont="1" applyFill="1"/>
    <xf numFmtId="2" fontId="7" fillId="0" borderId="0" xfId="0" applyNumberFormat="1" applyFont="1"/>
    <xf numFmtId="10" fontId="28" fillId="0" borderId="0" xfId="0" applyNumberFormat="1" applyFont="1"/>
    <xf numFmtId="0" fontId="3" fillId="0" borderId="0" xfId="0" applyFont="1"/>
    <xf numFmtId="0" fontId="26" fillId="0" borderId="0" xfId="0" applyFont="1"/>
    <xf numFmtId="0" fontId="0" fillId="3" borderId="0" xfId="0" applyFill="1"/>
    <xf numFmtId="0" fontId="3" fillId="3" borderId="0" xfId="0" applyFont="1" applyFill="1"/>
    <xf numFmtId="164" fontId="31" fillId="0" borderId="0" xfId="0" applyNumberFormat="1" applyFont="1"/>
    <xf numFmtId="164" fontId="32" fillId="0" borderId="0" xfId="0" applyNumberFormat="1" applyFont="1"/>
    <xf numFmtId="164" fontId="33" fillId="0" borderId="0" xfId="0" applyNumberFormat="1" applyFont="1"/>
    <xf numFmtId="164" fontId="34" fillId="0" borderId="0" xfId="0" applyNumberFormat="1" applyFont="1"/>
    <xf numFmtId="164" fontId="15" fillId="0" borderId="0" xfId="0" applyNumberFormat="1" applyFont="1"/>
    <xf numFmtId="164" fontId="35" fillId="0" borderId="0" xfId="0" applyNumberFormat="1" applyFont="1"/>
    <xf numFmtId="164" fontId="2" fillId="0" borderId="0" xfId="0" applyNumberFormat="1" applyFont="1"/>
    <xf numFmtId="166" fontId="2" fillId="0" borderId="0" xfId="1" applyNumberFormat="1" applyFont="1"/>
    <xf numFmtId="2" fontId="2" fillId="0" borderId="0" xfId="0" applyNumberFormat="1" applyFont="1"/>
    <xf numFmtId="9" fontId="2" fillId="0" borderId="0" xfId="0" applyNumberFormat="1" applyFont="1" applyAlignment="1">
      <alignment horizontal="right"/>
    </xf>
    <xf numFmtId="9" fontId="2" fillId="0" borderId="0" xfId="0" applyNumberFormat="1" applyFont="1"/>
    <xf numFmtId="164" fontId="3" fillId="0" borderId="0" xfId="0" applyNumberFormat="1" applyFont="1"/>
    <xf numFmtId="166" fontId="3" fillId="0" borderId="0" xfId="1" applyNumberFormat="1" applyFont="1"/>
    <xf numFmtId="2" fontId="3" fillId="0" borderId="0" xfId="1" applyNumberFormat="1" applyFont="1"/>
    <xf numFmtId="9" fontId="3" fillId="0" borderId="0" xfId="0" applyNumberFormat="1" applyFont="1"/>
    <xf numFmtId="165" fontId="3" fillId="0" borderId="0" xfId="0" applyNumberFormat="1" applyFont="1"/>
    <xf numFmtId="10" fontId="1" fillId="0" borderId="0" xfId="1" applyNumberFormat="1"/>
    <xf numFmtId="10" fontId="0" fillId="0" borderId="0" xfId="0" applyNumberFormat="1"/>
    <xf numFmtId="0" fontId="7" fillId="0" borderId="0" xfId="0" applyFont="1"/>
    <xf numFmtId="2" fontId="0" fillId="0" borderId="0" xfId="0" applyNumberFormat="1"/>
    <xf numFmtId="10" fontId="16" fillId="0" borderId="0" xfId="0" applyNumberFormat="1" applyFont="1"/>
    <xf numFmtId="164" fontId="36" fillId="0" borderId="0" xfId="0" applyNumberFormat="1" applyFont="1"/>
    <xf numFmtId="10" fontId="37" fillId="0" borderId="0" xfId="0" applyNumberFormat="1" applyFont="1"/>
    <xf numFmtId="14" fontId="37" fillId="0" borderId="0" xfId="0" applyNumberFormat="1" applyFont="1"/>
    <xf numFmtId="10" fontId="38" fillId="0" borderId="0" xfId="0" applyNumberFormat="1" applyFont="1"/>
    <xf numFmtId="14" fontId="38" fillId="0" borderId="0" xfId="0" applyNumberFormat="1" applyFont="1"/>
    <xf numFmtId="0" fontId="38" fillId="0" borderId="0" xfId="0" applyFont="1"/>
    <xf numFmtId="0" fontId="39" fillId="0" borderId="0" xfId="0" applyFont="1"/>
    <xf numFmtId="49" fontId="0" fillId="0" borderId="0" xfId="0" applyNumberFormat="1"/>
    <xf numFmtId="10" fontId="39" fillId="0" borderId="0" xfId="0" applyNumberFormat="1" applyFont="1"/>
    <xf numFmtId="14" fontId="0" fillId="0" borderId="0" xfId="0" applyNumberFormat="1"/>
    <xf numFmtId="9" fontId="0" fillId="0" borderId="0" xfId="0" applyNumberFormat="1"/>
    <xf numFmtId="0" fontId="11" fillId="0" borderId="0" xfId="0" applyFont="1"/>
    <xf numFmtId="0" fontId="12" fillId="0" borderId="0" xfId="0" applyFont="1"/>
    <xf numFmtId="14" fontId="12" fillId="0" borderId="0" xfId="0" applyNumberFormat="1" applyFont="1"/>
    <xf numFmtId="10" fontId="7" fillId="0" borderId="0" xfId="0" applyNumberFormat="1" applyFont="1"/>
    <xf numFmtId="10" fontId="12" fillId="0" borderId="0" xfId="0" applyNumberFormat="1" applyFont="1"/>
    <xf numFmtId="49" fontId="0" fillId="0" borderId="0" xfId="0" applyNumberFormat="1" applyAlignment="1">
      <alignment horizontal="right"/>
    </xf>
    <xf numFmtId="2" fontId="40" fillId="0" borderId="0" xfId="0" applyNumberFormat="1" applyFont="1"/>
    <xf numFmtId="2" fontId="41" fillId="0" borderId="0" xfId="0" applyNumberFormat="1" applyFont="1"/>
    <xf numFmtId="2" fontId="42" fillId="0" borderId="0" xfId="0" applyNumberFormat="1" applyFont="1"/>
    <xf numFmtId="165" fontId="0" fillId="0" borderId="0" xfId="0" applyNumberFormat="1"/>
    <xf numFmtId="164" fontId="43" fillId="0" borderId="0" xfId="0" applyNumberFormat="1" applyFont="1"/>
    <xf numFmtId="9" fontId="0" fillId="0" borderId="0" xfId="0" applyNumberFormat="1" applyAlignment="1">
      <alignment horizontal="right"/>
    </xf>
    <xf numFmtId="0" fontId="44" fillId="0" borderId="0" xfId="0" applyFont="1"/>
    <xf numFmtId="0" fontId="0" fillId="0" borderId="0" xfId="0" applyAlignment="1">
      <alignment horizontal="right"/>
    </xf>
    <xf numFmtId="0" fontId="0" fillId="2" borderId="0" xfId="0" applyFill="1"/>
    <xf numFmtId="0" fontId="0" fillId="4" borderId="0" xfId="0" applyFill="1"/>
    <xf numFmtId="164" fontId="45" fillId="0" borderId="0" xfId="0" applyNumberFormat="1" applyFont="1"/>
    <xf numFmtId="164" fontId="46" fillId="0" borderId="0" xfId="0" applyNumberFormat="1" applyFont="1"/>
    <xf numFmtId="0" fontId="13" fillId="0" borderId="0" xfId="2"/>
    <xf numFmtId="0" fontId="37" fillId="0" borderId="0" xfId="0" applyFont="1"/>
    <xf numFmtId="10" fontId="1" fillId="0" borderId="0" xfId="4" applyNumberFormat="1"/>
    <xf numFmtId="164" fontId="47" fillId="2" borderId="0" xfId="0" applyNumberFormat="1" applyFont="1" applyFill="1"/>
    <xf numFmtId="164" fontId="48" fillId="2" borderId="0" xfId="0" applyNumberFormat="1" applyFont="1" applyFill="1"/>
    <xf numFmtId="164" fontId="49" fillId="2" borderId="0" xfId="0" applyNumberFormat="1" applyFont="1" applyFill="1"/>
    <xf numFmtId="164" fontId="50" fillId="2" borderId="0" xfId="0" applyNumberFormat="1" applyFont="1" applyFill="1"/>
    <xf numFmtId="164" fontId="47" fillId="0" borderId="0" xfId="0" applyNumberFormat="1" applyFont="1"/>
    <xf numFmtId="164" fontId="49" fillId="0" borderId="0" xfId="0" applyNumberFormat="1" applyFont="1"/>
    <xf numFmtId="164" fontId="48" fillId="0" borderId="0" xfId="0" applyNumberFormat="1" applyFont="1"/>
    <xf numFmtId="164" fontId="50" fillId="0" borderId="0" xfId="0" applyNumberFormat="1" applyFont="1"/>
    <xf numFmtId="2" fontId="49" fillId="0" borderId="0" xfId="0" applyNumberFormat="1" applyFont="1"/>
    <xf numFmtId="2" fontId="47" fillId="0" borderId="0" xfId="0" applyNumberFormat="1" applyFont="1"/>
    <xf numFmtId="2" fontId="50" fillId="0" borderId="0" xfId="0" applyNumberFormat="1" applyFont="1"/>
    <xf numFmtId="2" fontId="48" fillId="0" borderId="0" xfId="0" applyNumberFormat="1" applyFont="1"/>
    <xf numFmtId="0" fontId="49" fillId="0" borderId="0" xfId="0" applyFont="1"/>
    <xf numFmtId="0" fontId="50" fillId="0" borderId="0" xfId="0" applyFont="1"/>
  </cellXfs>
  <cellStyles count="5">
    <cellStyle name="Hyperlink" xfId="2" builtinId="8"/>
    <cellStyle name="Hyperlink 2" xfId="3" xr:uid="{00000000-0005-0000-0000-000003000000}"/>
    <cellStyle name="Normal" xfId="0" builtinId="0"/>
    <cellStyle name="Percent" xfId="1" builtinId="5"/>
    <cellStyle name="Percent 2" xfId="4" xr:uid="{00000000-0005-0000-0000-000004000000}"/>
  </cellStyles>
  <dxfs count="7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i336543/Invest/financial/portfolio.xlsx" TargetMode="External"/><Relationship Id="rId1" Type="http://schemas.openxmlformats.org/officeDocument/2006/relationships/externalLinkPath" Target="/Users/i336543/Invest/financial/portfoli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基金配置比例"/>
      <sheetName val="分红率"/>
      <sheetName val="涨跌幅表"/>
      <sheetName val="持仓"/>
      <sheetName val="可转债双低"/>
      <sheetName val="Sheet1"/>
      <sheetName val="资产负债表"/>
      <sheetName val="退市可转债"/>
      <sheetName val="房租"/>
      <sheetName val="IRR"/>
      <sheetName val="终身寿险"/>
    </sheetNames>
    <sheetDataSet>
      <sheetData sheetId="0"/>
      <sheetData sheetId="1"/>
      <sheetData sheetId="2"/>
      <sheetData sheetId="3"/>
      <sheetData sheetId="4">
        <row r="1">
          <cell r="A1" t="str">
            <v>日期</v>
          </cell>
          <cell r="E1" t="str">
            <v>平均价格</v>
          </cell>
          <cell r="F1" t="str">
            <v>中位数价格</v>
          </cell>
          <cell r="H1" t="str">
            <v>平均</v>
          </cell>
          <cell r="J1" t="str">
            <v>平均</v>
          </cell>
          <cell r="T1" t="str">
            <v>≥130</v>
          </cell>
        </row>
        <row r="2">
          <cell r="E2" t="str">
            <v>(元)</v>
          </cell>
          <cell r="F2" t="str">
            <v>(元)</v>
          </cell>
          <cell r="H2" t="str">
            <v>双低</v>
          </cell>
          <cell r="J2" t="str">
            <v>收益率</v>
          </cell>
          <cell r="U2" t="str">
            <v>中位+溢价</v>
          </cell>
        </row>
        <row r="3">
          <cell r="A3">
            <v>43098</v>
          </cell>
          <cell r="E3">
            <v>103.956</v>
          </cell>
          <cell r="F3">
            <v>104.111</v>
          </cell>
          <cell r="H3">
            <v>126.75</v>
          </cell>
          <cell r="I3">
            <v>0.22789999999999999</v>
          </cell>
          <cell r="T3" t="str">
            <v>1 0.07%</v>
          </cell>
          <cell r="U3">
            <v>0</v>
          </cell>
        </row>
        <row r="4">
          <cell r="A4">
            <v>43102</v>
          </cell>
          <cell r="E4">
            <v>104.907</v>
          </cell>
          <cell r="F4">
            <v>104.8</v>
          </cell>
          <cell r="H4">
            <v>126.96</v>
          </cell>
          <cell r="I4">
            <v>0.2205</v>
          </cell>
          <cell r="T4" t="str">
            <v>1 4.05%</v>
          </cell>
          <cell r="U4">
            <v>0</v>
          </cell>
        </row>
        <row r="5">
          <cell r="A5">
            <v>43103</v>
          </cell>
          <cell r="E5">
            <v>105.90300000000001</v>
          </cell>
          <cell r="F5">
            <v>105.21</v>
          </cell>
          <cell r="H5">
            <v>127.43</v>
          </cell>
          <cell r="I5">
            <v>0.2152</v>
          </cell>
          <cell r="T5" t="str">
            <v>6 2.10%</v>
          </cell>
          <cell r="U5">
            <v>0</v>
          </cell>
        </row>
        <row r="6">
          <cell r="A6">
            <v>43104</v>
          </cell>
          <cell r="E6">
            <v>106.295</v>
          </cell>
          <cell r="F6">
            <v>104.655</v>
          </cell>
          <cell r="H6">
            <v>127.74</v>
          </cell>
          <cell r="I6">
            <v>0.2145</v>
          </cell>
          <cell r="T6" t="str">
            <v>6 0.41%</v>
          </cell>
          <cell r="U6">
            <v>0</v>
          </cell>
        </row>
        <row r="7">
          <cell r="A7">
            <v>43105</v>
          </cell>
          <cell r="E7">
            <v>107.336</v>
          </cell>
          <cell r="F7">
            <v>107</v>
          </cell>
          <cell r="H7">
            <v>129.61000000000001</v>
          </cell>
          <cell r="I7">
            <v>0.22270000000000001</v>
          </cell>
          <cell r="T7" t="str">
            <v>4 0.97%</v>
          </cell>
          <cell r="U7" t="str">
            <v>1 2.42%</v>
          </cell>
        </row>
        <row r="8">
          <cell r="A8">
            <v>43108</v>
          </cell>
          <cell r="E8">
            <v>107.667</v>
          </cell>
          <cell r="F8">
            <v>107.80500000000001</v>
          </cell>
          <cell r="H8">
            <v>129.83000000000001</v>
          </cell>
          <cell r="I8">
            <v>0.22159999999999999</v>
          </cell>
          <cell r="T8" t="str">
            <v>3 -0.08%</v>
          </cell>
          <cell r="U8" t="str">
            <v>1 1.68%</v>
          </cell>
        </row>
        <row r="9">
          <cell r="A9">
            <v>43109</v>
          </cell>
          <cell r="E9">
            <v>107.069</v>
          </cell>
          <cell r="F9">
            <v>106.371</v>
          </cell>
          <cell r="H9">
            <v>128.74</v>
          </cell>
          <cell r="I9">
            <v>0.2167</v>
          </cell>
          <cell r="T9" t="str">
            <v>4 -0.22%</v>
          </cell>
          <cell r="U9" t="str">
            <v>1 -1.38%</v>
          </cell>
        </row>
        <row r="10">
          <cell r="A10">
            <v>43110</v>
          </cell>
          <cell r="E10">
            <v>106.51600000000001</v>
          </cell>
          <cell r="F10">
            <v>105.75</v>
          </cell>
          <cell r="H10">
            <v>128.34</v>
          </cell>
          <cell r="I10">
            <v>0.21829999999999999</v>
          </cell>
          <cell r="T10" t="str">
            <v>3 -0.65%</v>
          </cell>
          <cell r="U10" t="str">
            <v>1 0.36%</v>
          </cell>
        </row>
        <row r="11">
          <cell r="A11">
            <v>43111</v>
          </cell>
          <cell r="E11">
            <v>106.631</v>
          </cell>
          <cell r="F11">
            <v>106.08</v>
          </cell>
          <cell r="H11">
            <v>127.73</v>
          </cell>
          <cell r="I11">
            <v>0.2109</v>
          </cell>
          <cell r="T11" t="str">
            <v>4 -0.30%</v>
          </cell>
          <cell r="U11">
            <v>0</v>
          </cell>
        </row>
        <row r="12">
          <cell r="A12">
            <v>43112</v>
          </cell>
          <cell r="E12">
            <v>106.542</v>
          </cell>
          <cell r="F12">
            <v>105.836</v>
          </cell>
          <cell r="H12">
            <v>128.51</v>
          </cell>
          <cell r="I12">
            <v>0.21959999999999999</v>
          </cell>
          <cell r="T12" t="str">
            <v>4 0.30%</v>
          </cell>
          <cell r="U12">
            <v>0</v>
          </cell>
        </row>
        <row r="13">
          <cell r="A13">
            <v>43115</v>
          </cell>
          <cell r="E13">
            <v>105.417</v>
          </cell>
          <cell r="F13">
            <v>104.145</v>
          </cell>
          <cell r="H13">
            <v>129.1</v>
          </cell>
          <cell r="I13">
            <v>0.23680000000000001</v>
          </cell>
          <cell r="T13" t="str">
            <v>2 -0.86%</v>
          </cell>
          <cell r="U13">
            <v>0</v>
          </cell>
        </row>
        <row r="14">
          <cell r="A14">
            <v>43116</v>
          </cell>
          <cell r="E14">
            <v>105.39400000000001</v>
          </cell>
          <cell r="F14">
            <v>103.72</v>
          </cell>
          <cell r="H14">
            <v>127.48</v>
          </cell>
          <cell r="I14">
            <v>0.22090000000000001</v>
          </cell>
          <cell r="T14" t="str">
            <v>3 7.39%</v>
          </cell>
          <cell r="U14">
            <v>0</v>
          </cell>
        </row>
        <row r="15">
          <cell r="A15">
            <v>43117</v>
          </cell>
          <cell r="E15">
            <v>105.79600000000001</v>
          </cell>
          <cell r="F15">
            <v>104.176</v>
          </cell>
          <cell r="H15">
            <v>127.63</v>
          </cell>
          <cell r="I15">
            <v>0.21829999999999999</v>
          </cell>
          <cell r="T15" t="str">
            <v>4 -1.07%</v>
          </cell>
          <cell r="U15">
            <v>0</v>
          </cell>
        </row>
        <row r="16">
          <cell r="A16">
            <v>43118</v>
          </cell>
          <cell r="E16">
            <v>106.301</v>
          </cell>
          <cell r="F16">
            <v>104.35</v>
          </cell>
          <cell r="H16">
            <v>128.37</v>
          </cell>
          <cell r="I16">
            <v>0.22070000000000001</v>
          </cell>
          <cell r="T16" t="str">
            <v>4 2.63%</v>
          </cell>
          <cell r="U16">
            <v>0</v>
          </cell>
        </row>
        <row r="17">
          <cell r="A17">
            <v>43119</v>
          </cell>
          <cell r="E17">
            <v>106.914</v>
          </cell>
          <cell r="F17">
            <v>104.51</v>
          </cell>
          <cell r="H17">
            <v>129.57</v>
          </cell>
          <cell r="I17">
            <v>0.2266</v>
          </cell>
          <cell r="T17" t="str">
            <v>6 1.31%</v>
          </cell>
          <cell r="U17">
            <v>0</v>
          </cell>
        </row>
        <row r="18">
          <cell r="A18">
            <v>43122</v>
          </cell>
          <cell r="E18">
            <v>108.014</v>
          </cell>
          <cell r="F18">
            <v>105.74</v>
          </cell>
          <cell r="H18">
            <v>130.52000000000001</v>
          </cell>
          <cell r="I18">
            <v>0.22500000000000001</v>
          </cell>
          <cell r="T18" t="str">
            <v>4 0.84%</v>
          </cell>
          <cell r="U18" t="str">
            <v>1 3.41%</v>
          </cell>
        </row>
        <row r="19">
          <cell r="A19">
            <v>43123</v>
          </cell>
          <cell r="E19">
            <v>108.589</v>
          </cell>
          <cell r="F19">
            <v>106.271</v>
          </cell>
          <cell r="H19">
            <v>131.15</v>
          </cell>
          <cell r="I19">
            <v>0.22559999999999999</v>
          </cell>
          <cell r="T19" t="str">
            <v>4 0.90%</v>
          </cell>
          <cell r="U19" t="str">
            <v>2 0.70%</v>
          </cell>
        </row>
        <row r="20">
          <cell r="A20">
            <v>43124</v>
          </cell>
          <cell r="E20">
            <v>109.634</v>
          </cell>
          <cell r="F20">
            <v>106.71</v>
          </cell>
          <cell r="H20">
            <v>132.09</v>
          </cell>
          <cell r="I20">
            <v>0.22459999999999999</v>
          </cell>
          <cell r="T20" t="str">
            <v>6 1.02%</v>
          </cell>
          <cell r="U20" t="str">
            <v>3 0.80%</v>
          </cell>
        </row>
        <row r="21">
          <cell r="A21">
            <v>43125</v>
          </cell>
          <cell r="E21">
            <v>110.325</v>
          </cell>
          <cell r="F21">
            <v>107.322</v>
          </cell>
          <cell r="H21">
            <v>133.18</v>
          </cell>
          <cell r="I21">
            <v>0.22850000000000001</v>
          </cell>
          <cell r="T21" t="str">
            <v>5 -0.09%</v>
          </cell>
          <cell r="U21" t="str">
            <v>2 2.68%</v>
          </cell>
        </row>
        <row r="22">
          <cell r="A22">
            <v>43126</v>
          </cell>
          <cell r="E22">
            <v>109.996</v>
          </cell>
          <cell r="F22">
            <v>106.19499999999999</v>
          </cell>
          <cell r="H22">
            <v>132.47</v>
          </cell>
          <cell r="I22">
            <v>0.22470000000000001</v>
          </cell>
          <cell r="T22" t="str">
            <v>6 0.22%</v>
          </cell>
          <cell r="U22" t="str">
            <v>2 -0.71%</v>
          </cell>
        </row>
        <row r="23">
          <cell r="A23">
            <v>43129</v>
          </cell>
          <cell r="E23">
            <v>107.95</v>
          </cell>
          <cell r="F23">
            <v>104.968</v>
          </cell>
          <cell r="H23">
            <v>129.62</v>
          </cell>
          <cell r="I23">
            <v>0.2167</v>
          </cell>
          <cell r="T23" t="str">
            <v>5 1.46%</v>
          </cell>
          <cell r="U23" t="str">
            <v>1 -0.70%</v>
          </cell>
        </row>
        <row r="24">
          <cell r="A24">
            <v>43130</v>
          </cell>
          <cell r="E24">
            <v>107.666</v>
          </cell>
          <cell r="F24">
            <v>105.5</v>
          </cell>
          <cell r="H24">
            <v>127.83</v>
          </cell>
          <cell r="I24">
            <v>0.20169999999999999</v>
          </cell>
          <cell r="T24" t="str">
            <v>5 -0.71%</v>
          </cell>
          <cell r="U24" t="str">
            <v>1 1.30%</v>
          </cell>
        </row>
        <row r="25">
          <cell r="A25">
            <v>43131</v>
          </cell>
          <cell r="E25">
            <v>107.148</v>
          </cell>
          <cell r="F25">
            <v>105.14</v>
          </cell>
          <cell r="H25">
            <v>128.46</v>
          </cell>
          <cell r="I25">
            <v>0.21310000000000001</v>
          </cell>
          <cell r="T25" t="str">
            <v>4 -0.02%</v>
          </cell>
          <cell r="U25" t="str">
            <v>1 1.46%</v>
          </cell>
        </row>
        <row r="26">
          <cell r="A26">
            <v>43132</v>
          </cell>
          <cell r="E26">
            <v>105.812</v>
          </cell>
          <cell r="F26">
            <v>103.846</v>
          </cell>
          <cell r="H26">
            <v>130.66999999999999</v>
          </cell>
          <cell r="I26">
            <v>0.24859999999999999</v>
          </cell>
          <cell r="T26" t="str">
            <v>4 -1.48%</v>
          </cell>
          <cell r="U26" t="str">
            <v>1 -1.39%</v>
          </cell>
        </row>
        <row r="27">
          <cell r="A27">
            <v>43133</v>
          </cell>
          <cell r="E27">
            <v>106.474</v>
          </cell>
          <cell r="F27">
            <v>103.76</v>
          </cell>
          <cell r="H27">
            <v>132.03</v>
          </cell>
          <cell r="I27">
            <v>0.2555</v>
          </cell>
          <cell r="T27" t="str">
            <v>5 1.12%</v>
          </cell>
          <cell r="U27" t="str">
            <v>1 -0.49%</v>
          </cell>
        </row>
        <row r="28">
          <cell r="A28">
            <v>43136</v>
          </cell>
          <cell r="E28">
            <v>106.976</v>
          </cell>
          <cell r="F28">
            <v>103.63</v>
          </cell>
          <cell r="H28">
            <v>133.01</v>
          </cell>
          <cell r="I28">
            <v>0.26040000000000002</v>
          </cell>
          <cell r="T28" t="str">
            <v>5 2.65%</v>
          </cell>
          <cell r="U28" t="str">
            <v>2 3.64%</v>
          </cell>
        </row>
        <row r="29">
          <cell r="A29">
            <v>43137</v>
          </cell>
          <cell r="E29">
            <v>105.42700000000001</v>
          </cell>
          <cell r="F29">
            <v>102.084</v>
          </cell>
          <cell r="H29">
            <v>136.04</v>
          </cell>
          <cell r="I29">
            <v>0.30609999999999998</v>
          </cell>
          <cell r="T29" t="str">
            <v>5 -2.10%</v>
          </cell>
          <cell r="U29" t="str">
            <v>1 -2.73%</v>
          </cell>
        </row>
        <row r="30">
          <cell r="A30">
            <v>43138</v>
          </cell>
          <cell r="E30">
            <v>105.41500000000001</v>
          </cell>
          <cell r="F30">
            <v>102</v>
          </cell>
          <cell r="H30">
            <v>134.79</v>
          </cell>
          <cell r="I30">
            <v>0.29380000000000001</v>
          </cell>
          <cell r="T30" t="str">
            <v>4 -1.14%</v>
          </cell>
          <cell r="U30" t="str">
            <v>1 0.07%</v>
          </cell>
        </row>
        <row r="31">
          <cell r="A31">
            <v>43139</v>
          </cell>
          <cell r="E31">
            <v>105.315</v>
          </cell>
          <cell r="F31">
            <v>102.39100000000001</v>
          </cell>
          <cell r="H31">
            <v>133.44</v>
          </cell>
          <cell r="I31">
            <v>0.28120000000000001</v>
          </cell>
          <cell r="T31" t="str">
            <v>3 0.10%</v>
          </cell>
          <cell r="U31" t="str">
            <v>1 -0.14%</v>
          </cell>
        </row>
        <row r="32">
          <cell r="A32">
            <v>43140</v>
          </cell>
          <cell r="E32">
            <v>102.91800000000001</v>
          </cell>
          <cell r="F32">
            <v>101.98</v>
          </cell>
          <cell r="H32">
            <v>134.05000000000001</v>
          </cell>
          <cell r="I32">
            <v>0.31130000000000002</v>
          </cell>
          <cell r="T32" t="str">
            <v>1 -8.56%</v>
          </cell>
          <cell r="U32">
            <v>0</v>
          </cell>
        </row>
        <row r="33">
          <cell r="A33">
            <v>43143</v>
          </cell>
          <cell r="E33">
            <v>104.839</v>
          </cell>
          <cell r="F33">
            <v>103.91</v>
          </cell>
          <cell r="H33">
            <v>133.88</v>
          </cell>
          <cell r="I33">
            <v>0.29039999999999999</v>
          </cell>
          <cell r="T33" t="str">
            <v>1 5.48%</v>
          </cell>
          <cell r="U33" t="str">
            <v>1 3.17%</v>
          </cell>
        </row>
        <row r="34">
          <cell r="A34">
            <v>43144</v>
          </cell>
          <cell r="E34">
            <v>105.59699999999999</v>
          </cell>
          <cell r="F34">
            <v>103.92</v>
          </cell>
          <cell r="H34">
            <v>134.56</v>
          </cell>
          <cell r="I34">
            <v>0.28960000000000002</v>
          </cell>
          <cell r="T34" t="str">
            <v>2 2.42%</v>
          </cell>
          <cell r="U34" t="str">
            <v>1 3.77%</v>
          </cell>
        </row>
        <row r="35">
          <cell r="A35">
            <v>43145</v>
          </cell>
          <cell r="E35">
            <v>105.893</v>
          </cell>
          <cell r="F35">
            <v>104.2</v>
          </cell>
          <cell r="H35">
            <v>134.74</v>
          </cell>
          <cell r="I35">
            <v>0.28849999999999998</v>
          </cell>
          <cell r="T35" t="str">
            <v>4 1.16%</v>
          </cell>
          <cell r="U35" t="str">
            <v>1 0.82%</v>
          </cell>
        </row>
        <row r="36">
          <cell r="A36">
            <v>43153</v>
          </cell>
          <cell r="E36">
            <v>106.637</v>
          </cell>
          <cell r="F36">
            <v>104.429</v>
          </cell>
          <cell r="H36">
            <v>133.82</v>
          </cell>
          <cell r="I36">
            <v>0.27189999999999998</v>
          </cell>
          <cell r="T36" t="str">
            <v>7 1.83%</v>
          </cell>
          <cell r="U36" t="str">
            <v>1 0.96%</v>
          </cell>
        </row>
        <row r="37">
          <cell r="A37">
            <v>43154</v>
          </cell>
          <cell r="E37">
            <v>106.527</v>
          </cell>
          <cell r="F37">
            <v>104.11</v>
          </cell>
          <cell r="H37">
            <v>133.18</v>
          </cell>
          <cell r="I37">
            <v>0.26650000000000001</v>
          </cell>
          <cell r="T37" t="str">
            <v>5 0.12%</v>
          </cell>
          <cell r="U37" t="str">
            <v>1 1.32%</v>
          </cell>
        </row>
        <row r="38">
          <cell r="A38">
            <v>43157</v>
          </cell>
          <cell r="E38">
            <v>107.724</v>
          </cell>
          <cell r="F38">
            <v>105.72499999999999</v>
          </cell>
          <cell r="H38">
            <v>132.44</v>
          </cell>
          <cell r="I38">
            <v>0.24709999999999999</v>
          </cell>
          <cell r="T38" t="str">
            <v>7 1.02%</v>
          </cell>
          <cell r="U38" t="str">
            <v>1 4.23%</v>
          </cell>
        </row>
        <row r="39">
          <cell r="A39">
            <v>43158</v>
          </cell>
          <cell r="E39">
            <v>107.431</v>
          </cell>
          <cell r="F39">
            <v>105.845</v>
          </cell>
          <cell r="H39">
            <v>131.80000000000001</v>
          </cell>
          <cell r="I39">
            <v>0.2437</v>
          </cell>
          <cell r="T39" t="str">
            <v>4 0.46%</v>
          </cell>
          <cell r="U39" t="str">
            <v>1 -1.03%</v>
          </cell>
        </row>
        <row r="40">
          <cell r="A40">
            <v>43159</v>
          </cell>
          <cell r="E40">
            <v>107.16</v>
          </cell>
          <cell r="F40">
            <v>105.771</v>
          </cell>
          <cell r="H40">
            <v>131.22999999999999</v>
          </cell>
          <cell r="I40">
            <v>0.2407</v>
          </cell>
          <cell r="T40" t="str">
            <v>3 -0.43%</v>
          </cell>
          <cell r="U40" t="str">
            <v>1 0.00%</v>
          </cell>
        </row>
        <row r="41">
          <cell r="A41">
            <v>43160</v>
          </cell>
          <cell r="E41">
            <v>107.374</v>
          </cell>
          <cell r="F41">
            <v>106.03</v>
          </cell>
          <cell r="H41">
            <v>130.29</v>
          </cell>
          <cell r="I41">
            <v>0.22919999999999999</v>
          </cell>
          <cell r="T41" t="str">
            <v>3 0.39%</v>
          </cell>
          <cell r="U41" t="str">
            <v>2 3.36%</v>
          </cell>
        </row>
        <row r="42">
          <cell r="A42">
            <v>43161</v>
          </cell>
          <cell r="E42">
            <v>106.694</v>
          </cell>
          <cell r="F42">
            <v>105.61499999999999</v>
          </cell>
          <cell r="H42">
            <v>130.03</v>
          </cell>
          <cell r="I42">
            <v>0.2334</v>
          </cell>
          <cell r="T42" t="str">
            <v>1 -0.72%</v>
          </cell>
          <cell r="U42" t="str">
            <v>2 -2.49%</v>
          </cell>
        </row>
        <row r="43">
          <cell r="A43">
            <v>43164</v>
          </cell>
          <cell r="E43">
            <v>106.625</v>
          </cell>
          <cell r="F43">
            <v>105.25</v>
          </cell>
          <cell r="H43">
            <v>129.04</v>
          </cell>
          <cell r="I43">
            <v>0.22420000000000001</v>
          </cell>
          <cell r="T43" t="str">
            <v>1 0.28%</v>
          </cell>
          <cell r="U43" t="str">
            <v>2 -1.03%</v>
          </cell>
        </row>
        <row r="44">
          <cell r="A44">
            <v>43165</v>
          </cell>
          <cell r="E44">
            <v>107.117</v>
          </cell>
          <cell r="F44">
            <v>105.72499999999999</v>
          </cell>
          <cell r="H44">
            <v>128.63999999999999</v>
          </cell>
          <cell r="I44">
            <v>0.2152</v>
          </cell>
          <cell r="T44" t="str">
            <v>3 0.19%</v>
          </cell>
          <cell r="U44" t="str">
            <v>1 1.94%</v>
          </cell>
        </row>
        <row r="45">
          <cell r="A45">
            <v>43166</v>
          </cell>
          <cell r="E45">
            <v>106.919</v>
          </cell>
          <cell r="F45">
            <v>106</v>
          </cell>
          <cell r="H45">
            <v>128.91</v>
          </cell>
          <cell r="I45">
            <v>0.21990000000000001</v>
          </cell>
          <cell r="T45" t="str">
            <v>3 -1.12%</v>
          </cell>
          <cell r="U45" t="str">
            <v>1 -1.35%</v>
          </cell>
        </row>
        <row r="46">
          <cell r="A46">
            <v>43167</v>
          </cell>
          <cell r="E46">
            <v>107.03100000000001</v>
          </cell>
          <cell r="F46">
            <v>105.83499999999999</v>
          </cell>
          <cell r="H46">
            <v>128.69999999999999</v>
          </cell>
          <cell r="I46">
            <v>0.2167</v>
          </cell>
          <cell r="T46" t="str">
            <v>3 0.43%</v>
          </cell>
          <cell r="U46" t="str">
            <v>1 0.24%</v>
          </cell>
        </row>
        <row r="47">
          <cell r="A47">
            <v>43168</v>
          </cell>
          <cell r="E47">
            <v>107.58</v>
          </cell>
          <cell r="F47">
            <v>105.875</v>
          </cell>
          <cell r="H47">
            <v>127.87</v>
          </cell>
          <cell r="I47">
            <v>0.2029</v>
          </cell>
          <cell r="T47" t="str">
            <v>2 0.94%</v>
          </cell>
          <cell r="U47" t="str">
            <v>2 0.89%</v>
          </cell>
        </row>
        <row r="48">
          <cell r="A48">
            <v>43171</v>
          </cell>
          <cell r="E48">
            <v>108.758</v>
          </cell>
          <cell r="F48">
            <v>107.065</v>
          </cell>
          <cell r="H48">
            <v>128.32</v>
          </cell>
          <cell r="I48">
            <v>0.1956</v>
          </cell>
          <cell r="T48" t="str">
            <v>6 1.49%</v>
          </cell>
          <cell r="U48" t="str">
            <v>2 1.39%</v>
          </cell>
        </row>
        <row r="49">
          <cell r="A49">
            <v>43172</v>
          </cell>
          <cell r="E49">
            <v>108.676</v>
          </cell>
          <cell r="F49">
            <v>107.23699999999999</v>
          </cell>
          <cell r="H49">
            <v>128.88999999999999</v>
          </cell>
          <cell r="I49">
            <v>0.2021</v>
          </cell>
          <cell r="T49" t="str">
            <v>6 -0.22%</v>
          </cell>
          <cell r="U49" t="str">
            <v>2 -2.74%</v>
          </cell>
        </row>
        <row r="50">
          <cell r="A50">
            <v>43173</v>
          </cell>
          <cell r="E50">
            <v>108.129</v>
          </cell>
          <cell r="F50">
            <v>106.685</v>
          </cell>
          <cell r="H50">
            <v>128.88999999999999</v>
          </cell>
          <cell r="I50">
            <v>0.2077</v>
          </cell>
          <cell r="T50" t="str">
            <v>5 -0.87%</v>
          </cell>
          <cell r="U50" t="str">
            <v>1 0.37%</v>
          </cell>
        </row>
        <row r="51">
          <cell r="A51">
            <v>43174</v>
          </cell>
          <cell r="E51">
            <v>107.789</v>
          </cell>
          <cell r="F51">
            <v>106.7</v>
          </cell>
          <cell r="H51">
            <v>128.59</v>
          </cell>
          <cell r="I51">
            <v>0.20799999999999999</v>
          </cell>
          <cell r="T51" t="str">
            <v>6 0.58%</v>
          </cell>
          <cell r="U51" t="str">
            <v>1 -0.15%</v>
          </cell>
        </row>
        <row r="52">
          <cell r="A52">
            <v>43175</v>
          </cell>
          <cell r="E52">
            <v>107.761</v>
          </cell>
          <cell r="F52">
            <v>105.82</v>
          </cell>
          <cell r="H52">
            <v>129.08000000000001</v>
          </cell>
          <cell r="I52">
            <v>0.2132</v>
          </cell>
          <cell r="T52" t="str">
            <v>7 -0.06%</v>
          </cell>
          <cell r="U52" t="str">
            <v>1 -1.58%</v>
          </cell>
        </row>
        <row r="53">
          <cell r="A53">
            <v>43178</v>
          </cell>
          <cell r="E53">
            <v>107.88</v>
          </cell>
          <cell r="F53">
            <v>106.598</v>
          </cell>
          <cell r="H53">
            <v>129.03</v>
          </cell>
          <cell r="I53">
            <v>0.21149999999999999</v>
          </cell>
          <cell r="T53" t="str">
            <v>6 0.79%</v>
          </cell>
          <cell r="U53" t="str">
            <v>2 1.17%</v>
          </cell>
        </row>
        <row r="54">
          <cell r="A54">
            <v>43179</v>
          </cell>
          <cell r="E54">
            <v>107.965</v>
          </cell>
          <cell r="F54">
            <v>105.76</v>
          </cell>
          <cell r="H54">
            <v>128.76</v>
          </cell>
          <cell r="I54">
            <v>0.2079</v>
          </cell>
          <cell r="T54" t="str">
            <v>7 0.03%</v>
          </cell>
          <cell r="U54" t="str">
            <v>2 1.04%</v>
          </cell>
        </row>
        <row r="55">
          <cell r="A55">
            <v>43180</v>
          </cell>
          <cell r="E55">
            <v>107.79600000000001</v>
          </cell>
          <cell r="F55">
            <v>106</v>
          </cell>
          <cell r="H55">
            <v>129.43</v>
          </cell>
          <cell r="I55">
            <v>0.21629999999999999</v>
          </cell>
          <cell r="T55" t="str">
            <v>7 -0.73%</v>
          </cell>
          <cell r="U55" t="str">
            <v>1 -1.63%</v>
          </cell>
        </row>
        <row r="56">
          <cell r="A56">
            <v>43181</v>
          </cell>
          <cell r="E56">
            <v>107.578</v>
          </cell>
          <cell r="F56">
            <v>106.13</v>
          </cell>
          <cell r="H56">
            <v>128.96</v>
          </cell>
          <cell r="I56">
            <v>0.21379999999999999</v>
          </cell>
          <cell r="T56" t="str">
            <v>3 0.15%</v>
          </cell>
          <cell r="U56" t="str">
            <v>1 -0.87%</v>
          </cell>
        </row>
        <row r="57">
          <cell r="A57">
            <v>43182</v>
          </cell>
          <cell r="E57">
            <v>105.748</v>
          </cell>
          <cell r="F57">
            <v>104.78</v>
          </cell>
          <cell r="H57">
            <v>131.52000000000001</v>
          </cell>
          <cell r="I57">
            <v>0.25779999999999997</v>
          </cell>
          <cell r="T57" t="str">
            <v>4 -3.16%</v>
          </cell>
          <cell r="U57">
            <v>0</v>
          </cell>
        </row>
        <row r="58">
          <cell r="A58">
            <v>43185</v>
          </cell>
          <cell r="E58">
            <v>106.504</v>
          </cell>
          <cell r="F58">
            <v>105.155</v>
          </cell>
          <cell r="H58">
            <v>130.65</v>
          </cell>
          <cell r="I58">
            <v>0.24149999999999999</v>
          </cell>
          <cell r="T58" t="str">
            <v>4 2.24%</v>
          </cell>
          <cell r="U58" t="str">
            <v>1 4.17%</v>
          </cell>
        </row>
        <row r="59">
          <cell r="A59">
            <v>43186</v>
          </cell>
          <cell r="E59">
            <v>107.414</v>
          </cell>
          <cell r="F59">
            <v>106.035</v>
          </cell>
          <cell r="H59">
            <v>129.5</v>
          </cell>
          <cell r="I59">
            <v>0.22090000000000001</v>
          </cell>
          <cell r="T59" t="str">
            <v>4 1.48%</v>
          </cell>
          <cell r="U59" t="str">
            <v>1 2.54%</v>
          </cell>
        </row>
        <row r="60">
          <cell r="A60">
            <v>43187</v>
          </cell>
          <cell r="E60">
            <v>106.95699999999999</v>
          </cell>
          <cell r="F60">
            <v>105.4</v>
          </cell>
          <cell r="H60">
            <v>129.07</v>
          </cell>
          <cell r="I60">
            <v>0.22120000000000001</v>
          </cell>
          <cell r="T60" t="str">
            <v>4 -1.17%</v>
          </cell>
          <cell r="U60" t="str">
            <v>1 -0.44%</v>
          </cell>
        </row>
        <row r="61">
          <cell r="A61">
            <v>43188</v>
          </cell>
          <cell r="E61">
            <v>107.06100000000001</v>
          </cell>
          <cell r="F61">
            <v>105.2</v>
          </cell>
          <cell r="H61">
            <v>128.31</v>
          </cell>
          <cell r="I61">
            <v>0.21249999999999999</v>
          </cell>
          <cell r="T61" t="str">
            <v>4 0.72%</v>
          </cell>
          <cell r="U61" t="str">
            <v>1 0.90%</v>
          </cell>
        </row>
        <row r="62">
          <cell r="A62">
            <v>43189</v>
          </cell>
          <cell r="E62">
            <v>107.919</v>
          </cell>
          <cell r="F62">
            <v>105.8</v>
          </cell>
          <cell r="H62">
            <v>128.26</v>
          </cell>
          <cell r="I62">
            <v>0.2034</v>
          </cell>
          <cell r="T62" t="str">
            <v>3 2.16%</v>
          </cell>
          <cell r="U62" t="str">
            <v>3 3.21%</v>
          </cell>
        </row>
        <row r="63">
          <cell r="A63">
            <v>43192</v>
          </cell>
          <cell r="E63">
            <v>108.675</v>
          </cell>
          <cell r="F63">
            <v>105.8</v>
          </cell>
          <cell r="H63">
            <v>129.12</v>
          </cell>
          <cell r="I63">
            <v>0.2044</v>
          </cell>
          <cell r="T63" t="str">
            <v>4 0.94%</v>
          </cell>
          <cell r="U63" t="str">
            <v>3 2.43%</v>
          </cell>
        </row>
        <row r="64">
          <cell r="A64">
            <v>43193</v>
          </cell>
          <cell r="E64">
            <v>108.459</v>
          </cell>
          <cell r="F64">
            <v>105.72799999999999</v>
          </cell>
          <cell r="H64">
            <v>129.74</v>
          </cell>
          <cell r="I64">
            <v>0.21279999999999999</v>
          </cell>
          <cell r="T64" t="str">
            <v>4 -0.29%</v>
          </cell>
          <cell r="U64" t="str">
            <v>3 0.44%</v>
          </cell>
        </row>
        <row r="65">
          <cell r="A65">
            <v>43194</v>
          </cell>
          <cell r="E65">
            <v>108.39400000000001</v>
          </cell>
          <cell r="F65">
            <v>105.47</v>
          </cell>
          <cell r="H65">
            <v>131.09</v>
          </cell>
          <cell r="I65">
            <v>0.22700000000000001</v>
          </cell>
          <cell r="T65" t="str">
            <v>5 -0.57%</v>
          </cell>
          <cell r="U65" t="str">
            <v>2 -2.12%</v>
          </cell>
        </row>
        <row r="66">
          <cell r="A66">
            <v>43199</v>
          </cell>
          <cell r="E66">
            <v>108.523</v>
          </cell>
          <cell r="F66">
            <v>105.99</v>
          </cell>
          <cell r="H66">
            <v>131.13</v>
          </cell>
          <cell r="I66">
            <v>0.2261</v>
          </cell>
          <cell r="T66" t="str">
            <v>6 0.79%</v>
          </cell>
          <cell r="U66" t="str">
            <v>2 0.15%</v>
          </cell>
        </row>
        <row r="67">
          <cell r="A67">
            <v>43200</v>
          </cell>
          <cell r="E67">
            <v>108.32299999999999</v>
          </cell>
          <cell r="F67">
            <v>105.72499999999999</v>
          </cell>
          <cell r="H67">
            <v>130.69999999999999</v>
          </cell>
          <cell r="I67">
            <v>0.2238</v>
          </cell>
          <cell r="T67" t="str">
            <v>6 -0.02%</v>
          </cell>
          <cell r="U67" t="str">
            <v>3 0.30%</v>
          </cell>
        </row>
        <row r="68">
          <cell r="A68">
            <v>43201</v>
          </cell>
          <cell r="E68">
            <v>108.75700000000001</v>
          </cell>
          <cell r="F68">
            <v>105.992</v>
          </cell>
          <cell r="H68">
            <v>130.5</v>
          </cell>
          <cell r="I68">
            <v>0.21740000000000001</v>
          </cell>
          <cell r="T68" t="str">
            <v>5 0.29%</v>
          </cell>
          <cell r="U68" t="str">
            <v>3 1.91%</v>
          </cell>
        </row>
        <row r="69">
          <cell r="A69">
            <v>43202</v>
          </cell>
          <cell r="E69">
            <v>108.378</v>
          </cell>
          <cell r="F69">
            <v>106.139</v>
          </cell>
          <cell r="H69">
            <v>130.6</v>
          </cell>
          <cell r="I69">
            <v>0.22220000000000001</v>
          </cell>
          <cell r="T69" t="str">
            <v>5 -0.16%</v>
          </cell>
          <cell r="U69" t="str">
            <v>3 -0.80%</v>
          </cell>
        </row>
        <row r="70">
          <cell r="A70">
            <v>43203</v>
          </cell>
          <cell r="E70">
            <v>108.081</v>
          </cell>
          <cell r="F70">
            <v>105.82899999999999</v>
          </cell>
          <cell r="H70">
            <v>130.27000000000001</v>
          </cell>
          <cell r="I70">
            <v>0.2218</v>
          </cell>
          <cell r="T70" t="str">
            <v>5 -0.47%</v>
          </cell>
          <cell r="U70" t="str">
            <v>3 -0.01%</v>
          </cell>
        </row>
        <row r="71">
          <cell r="A71">
            <v>43206</v>
          </cell>
          <cell r="E71">
            <v>107.761</v>
          </cell>
          <cell r="F71">
            <v>105.21299999999999</v>
          </cell>
          <cell r="H71">
            <v>130.26</v>
          </cell>
          <cell r="I71">
            <v>0.22500000000000001</v>
          </cell>
          <cell r="T71" t="str">
            <v>5 0.08%</v>
          </cell>
          <cell r="U71" t="str">
            <v>2 3.43%</v>
          </cell>
        </row>
        <row r="72">
          <cell r="A72">
            <v>43207</v>
          </cell>
          <cell r="E72">
            <v>107.17</v>
          </cell>
          <cell r="F72">
            <v>104.80500000000001</v>
          </cell>
          <cell r="H72">
            <v>131.68</v>
          </cell>
          <cell r="I72">
            <v>0.24510000000000001</v>
          </cell>
          <cell r="T72" t="str">
            <v>4 -0.87%</v>
          </cell>
          <cell r="U72" t="str">
            <v>2 -1.13%</v>
          </cell>
        </row>
        <row r="73">
          <cell r="A73">
            <v>43208</v>
          </cell>
          <cell r="E73">
            <v>107.857</v>
          </cell>
          <cell r="F73">
            <v>105.17</v>
          </cell>
          <cell r="H73">
            <v>131.63</v>
          </cell>
          <cell r="I73">
            <v>0.23769999999999999</v>
          </cell>
          <cell r="T73" t="str">
            <v>4 2.00%</v>
          </cell>
          <cell r="U73" t="str">
            <v>4 3.83%</v>
          </cell>
        </row>
        <row r="74">
          <cell r="A74">
            <v>43209</v>
          </cell>
          <cell r="E74">
            <v>108.09</v>
          </cell>
          <cell r="F74">
            <v>106</v>
          </cell>
          <cell r="H74">
            <v>131.91</v>
          </cell>
          <cell r="I74">
            <v>0.2382</v>
          </cell>
          <cell r="T74" t="str">
            <v>6 0.20%</v>
          </cell>
          <cell r="U74" t="str">
            <v>3 0.25%</v>
          </cell>
        </row>
        <row r="75">
          <cell r="A75">
            <v>43210</v>
          </cell>
          <cell r="E75">
            <v>107.16200000000001</v>
          </cell>
          <cell r="F75">
            <v>104.23</v>
          </cell>
          <cell r="H75">
            <v>132.56</v>
          </cell>
          <cell r="I75">
            <v>0.254</v>
          </cell>
          <cell r="T75" t="str">
            <v>6 -0.55%</v>
          </cell>
          <cell r="U75" t="str">
            <v>2 -2.18%</v>
          </cell>
        </row>
        <row r="76">
          <cell r="A76">
            <v>43213</v>
          </cell>
          <cell r="E76">
            <v>105.643</v>
          </cell>
          <cell r="F76">
            <v>103.87</v>
          </cell>
          <cell r="H76">
            <v>130.44999999999999</v>
          </cell>
          <cell r="I76">
            <v>0.24809999999999999</v>
          </cell>
          <cell r="T76" t="str">
            <v>5 -1.35%</v>
          </cell>
          <cell r="U76" t="str">
            <v>2 -3.58%</v>
          </cell>
        </row>
        <row r="77">
          <cell r="A77">
            <v>43214</v>
          </cell>
          <cell r="E77">
            <v>107.04</v>
          </cell>
          <cell r="F77">
            <v>104.59</v>
          </cell>
          <cell r="H77">
            <v>129.94</v>
          </cell>
          <cell r="I77">
            <v>0.22900000000000001</v>
          </cell>
          <cell r="T77" t="str">
            <v>6 2.88%</v>
          </cell>
          <cell r="U77" t="str">
            <v>3 3.60%</v>
          </cell>
        </row>
        <row r="78">
          <cell r="A78">
            <v>43215</v>
          </cell>
          <cell r="E78">
            <v>107.035</v>
          </cell>
          <cell r="F78">
            <v>105.03</v>
          </cell>
          <cell r="H78">
            <v>130</v>
          </cell>
          <cell r="I78">
            <v>0.22969999999999999</v>
          </cell>
          <cell r="T78" t="str">
            <v>6 0.10%</v>
          </cell>
          <cell r="U78" t="str">
            <v>3 2.65%</v>
          </cell>
        </row>
        <row r="79">
          <cell r="A79">
            <v>43216</v>
          </cell>
          <cell r="E79">
            <v>106.128</v>
          </cell>
          <cell r="F79">
            <v>103.205</v>
          </cell>
          <cell r="H79">
            <v>130.34</v>
          </cell>
          <cell r="I79">
            <v>0.2422</v>
          </cell>
          <cell r="T79" t="str">
            <v>4 -0.53%</v>
          </cell>
          <cell r="U79" t="str">
            <v>3 -1.33%</v>
          </cell>
        </row>
        <row r="80">
          <cell r="A80">
            <v>43217</v>
          </cell>
          <cell r="E80">
            <v>106.318</v>
          </cell>
          <cell r="F80">
            <v>103.505</v>
          </cell>
          <cell r="H80">
            <v>130.75</v>
          </cell>
          <cell r="I80">
            <v>0.24429999999999999</v>
          </cell>
          <cell r="T80" t="str">
            <v>3 0.36%</v>
          </cell>
          <cell r="U80" t="str">
            <v>4 1.44%</v>
          </cell>
        </row>
        <row r="81">
          <cell r="A81">
            <v>43222</v>
          </cell>
          <cell r="E81">
            <v>106.099</v>
          </cell>
          <cell r="F81">
            <v>103.235</v>
          </cell>
          <cell r="H81">
            <v>130.13999999999999</v>
          </cell>
          <cell r="I81">
            <v>0.2404</v>
          </cell>
          <cell r="T81" t="str">
            <v>3 -0.44%</v>
          </cell>
          <cell r="U81" t="str">
            <v>4 0.53%</v>
          </cell>
        </row>
        <row r="82">
          <cell r="A82">
            <v>43223</v>
          </cell>
          <cell r="E82">
            <v>106.6</v>
          </cell>
          <cell r="F82">
            <v>103.845</v>
          </cell>
          <cell r="H82">
            <v>129.34</v>
          </cell>
          <cell r="I82">
            <v>0.22739999999999999</v>
          </cell>
          <cell r="T82" t="str">
            <v>3 0.71%</v>
          </cell>
          <cell r="U82" t="str">
            <v>4 0.08%</v>
          </cell>
        </row>
        <row r="83">
          <cell r="A83">
            <v>43224</v>
          </cell>
          <cell r="E83">
            <v>106.944</v>
          </cell>
          <cell r="F83">
            <v>104.379</v>
          </cell>
          <cell r="H83">
            <v>130.71</v>
          </cell>
          <cell r="I83">
            <v>0.23769999999999999</v>
          </cell>
          <cell r="T83" t="str">
            <v>3 0.67%</v>
          </cell>
          <cell r="U83" t="str">
            <v>4 1.81%</v>
          </cell>
        </row>
        <row r="84">
          <cell r="A84">
            <v>43227</v>
          </cell>
          <cell r="E84">
            <v>108.196</v>
          </cell>
          <cell r="F84">
            <v>104.85</v>
          </cell>
          <cell r="H84">
            <v>130.49</v>
          </cell>
          <cell r="I84">
            <v>0.223</v>
          </cell>
          <cell r="T84" t="str">
            <v>6 1.25%</v>
          </cell>
          <cell r="U84" t="str">
            <v>4 3.76%</v>
          </cell>
        </row>
        <row r="85">
          <cell r="A85">
            <v>43228</v>
          </cell>
          <cell r="E85">
            <v>108.593</v>
          </cell>
          <cell r="F85">
            <v>104.995</v>
          </cell>
          <cell r="H85">
            <v>130.05000000000001</v>
          </cell>
          <cell r="I85">
            <v>0.21460000000000001</v>
          </cell>
          <cell r="T85" t="str">
            <v>5 1.66%</v>
          </cell>
          <cell r="U85" t="str">
            <v>5 1.37%</v>
          </cell>
        </row>
        <row r="86">
          <cell r="A86">
            <v>43229</v>
          </cell>
          <cell r="E86">
            <v>108.60599999999999</v>
          </cell>
          <cell r="F86">
            <v>104.815</v>
          </cell>
          <cell r="H86">
            <v>129.85</v>
          </cell>
          <cell r="I86">
            <v>0.21249999999999999</v>
          </cell>
          <cell r="T86" t="str">
            <v>5 -0.23%</v>
          </cell>
          <cell r="U86" t="str">
            <v>5 1.25%</v>
          </cell>
        </row>
        <row r="87">
          <cell r="A87">
            <v>43230</v>
          </cell>
          <cell r="E87">
            <v>108.742</v>
          </cell>
          <cell r="F87">
            <v>104.78</v>
          </cell>
          <cell r="H87">
            <v>129.72</v>
          </cell>
          <cell r="I87">
            <v>0.20979999999999999</v>
          </cell>
          <cell r="T87" t="str">
            <v>5 0.67%</v>
          </cell>
          <cell r="U87" t="str">
            <v>5 1.04%</v>
          </cell>
        </row>
        <row r="88">
          <cell r="A88">
            <v>43231</v>
          </cell>
          <cell r="E88">
            <v>108.227</v>
          </cell>
          <cell r="F88">
            <v>104.62</v>
          </cell>
          <cell r="H88">
            <v>129.6</v>
          </cell>
          <cell r="I88">
            <v>0.21379999999999999</v>
          </cell>
          <cell r="T88" t="str">
            <v>6 -0.48%</v>
          </cell>
          <cell r="U88" t="str">
            <v>4 -1.40%</v>
          </cell>
        </row>
        <row r="89">
          <cell r="A89">
            <v>43234</v>
          </cell>
          <cell r="E89">
            <v>107.655</v>
          </cell>
          <cell r="F89">
            <v>104.47499999999999</v>
          </cell>
          <cell r="H89">
            <v>129.12</v>
          </cell>
          <cell r="I89">
            <v>0.21460000000000001</v>
          </cell>
          <cell r="T89" t="str">
            <v>5 -0.72%</v>
          </cell>
          <cell r="U89" t="str">
            <v>4 -2.23%</v>
          </cell>
        </row>
        <row r="90">
          <cell r="A90">
            <v>43235</v>
          </cell>
          <cell r="E90">
            <v>108.39100000000001</v>
          </cell>
          <cell r="F90">
            <v>104.645</v>
          </cell>
          <cell r="H90">
            <v>128.4</v>
          </cell>
          <cell r="I90">
            <v>0.2001</v>
          </cell>
          <cell r="T90" t="str">
            <v>5 1.20%</v>
          </cell>
          <cell r="U90" t="str">
            <v>5 4.42%</v>
          </cell>
        </row>
        <row r="91">
          <cell r="A91">
            <v>43236</v>
          </cell>
          <cell r="E91">
            <v>108.021</v>
          </cell>
          <cell r="F91">
            <v>104.73</v>
          </cell>
          <cell r="H91">
            <v>128.44999999999999</v>
          </cell>
          <cell r="I91">
            <v>0.20430000000000001</v>
          </cell>
          <cell r="T91" t="str">
            <v>6 -1.25%</v>
          </cell>
          <cell r="U91" t="str">
            <v>4 -0.61%</v>
          </cell>
        </row>
        <row r="92">
          <cell r="A92">
            <v>43237</v>
          </cell>
          <cell r="E92">
            <v>107.712</v>
          </cell>
          <cell r="F92">
            <v>104.82</v>
          </cell>
          <cell r="H92">
            <v>128.13999999999999</v>
          </cell>
          <cell r="I92">
            <v>0.20430000000000001</v>
          </cell>
          <cell r="T92" t="str">
            <v>6 -1.13%</v>
          </cell>
          <cell r="U92" t="str">
            <v>4 -1.26%</v>
          </cell>
        </row>
        <row r="93">
          <cell r="A93">
            <v>43238</v>
          </cell>
          <cell r="E93">
            <v>107.925</v>
          </cell>
          <cell r="F93">
            <v>104.69</v>
          </cell>
          <cell r="H93">
            <v>127.94</v>
          </cell>
          <cell r="I93">
            <v>0.2001</v>
          </cell>
          <cell r="T93" t="str">
            <v>6 -0.14%</v>
          </cell>
          <cell r="U93" t="str">
            <v>4 2.00%</v>
          </cell>
        </row>
        <row r="94">
          <cell r="A94">
            <v>43241</v>
          </cell>
          <cell r="E94">
            <v>108.572</v>
          </cell>
          <cell r="F94">
            <v>105.36</v>
          </cell>
          <cell r="H94">
            <v>127.1</v>
          </cell>
          <cell r="I94">
            <v>0.18529999999999999</v>
          </cell>
          <cell r="T94" t="str">
            <v>6 1.06%</v>
          </cell>
          <cell r="U94" t="str">
            <v>5 1.52%</v>
          </cell>
        </row>
        <row r="95">
          <cell r="A95">
            <v>43242</v>
          </cell>
          <cell r="E95">
            <v>108.858</v>
          </cell>
          <cell r="F95">
            <v>105.245</v>
          </cell>
          <cell r="H95">
            <v>127.05</v>
          </cell>
          <cell r="I95">
            <v>0.18190000000000001</v>
          </cell>
          <cell r="T95" t="str">
            <v>5 1.14%</v>
          </cell>
          <cell r="U95" t="str">
            <v>6 1.25%</v>
          </cell>
        </row>
        <row r="96">
          <cell r="A96">
            <v>43243</v>
          </cell>
          <cell r="E96">
            <v>108.126</v>
          </cell>
          <cell r="F96">
            <v>105.1</v>
          </cell>
          <cell r="H96">
            <v>127.2</v>
          </cell>
          <cell r="I96">
            <v>0.19070000000000001</v>
          </cell>
          <cell r="T96" t="str">
            <v>7 -0.79%</v>
          </cell>
          <cell r="U96" t="str">
            <v>4 -1.53%</v>
          </cell>
        </row>
        <row r="97">
          <cell r="A97">
            <v>43244</v>
          </cell>
          <cell r="E97">
            <v>107.89100000000001</v>
          </cell>
          <cell r="F97">
            <v>104.67</v>
          </cell>
          <cell r="H97">
            <v>127.2</v>
          </cell>
          <cell r="I97">
            <v>0.19309999999999999</v>
          </cell>
          <cell r="T97" t="str">
            <v>7 -0.68%</v>
          </cell>
          <cell r="U97" t="str">
            <v>4 0.69%</v>
          </cell>
        </row>
        <row r="98">
          <cell r="A98">
            <v>43245</v>
          </cell>
          <cell r="E98">
            <v>107.151</v>
          </cell>
          <cell r="F98">
            <v>104.15</v>
          </cell>
          <cell r="H98">
            <v>127.08</v>
          </cell>
          <cell r="I98">
            <v>0.1993</v>
          </cell>
          <cell r="T98" t="str">
            <v>5 -0.84%</v>
          </cell>
          <cell r="U98" t="str">
            <v>4 -0.42%</v>
          </cell>
        </row>
        <row r="99">
          <cell r="A99">
            <v>43248</v>
          </cell>
          <cell r="E99">
            <v>106.794</v>
          </cell>
          <cell r="F99">
            <v>103.76</v>
          </cell>
          <cell r="H99">
            <v>126.58</v>
          </cell>
          <cell r="I99">
            <v>0.1978</v>
          </cell>
          <cell r="T99" t="str">
            <v>4 -0.26%</v>
          </cell>
          <cell r="U99" t="str">
            <v>4 0.38%</v>
          </cell>
        </row>
        <row r="100">
          <cell r="A100">
            <v>43249</v>
          </cell>
          <cell r="E100">
            <v>105.64700000000001</v>
          </cell>
          <cell r="F100">
            <v>103.42</v>
          </cell>
          <cell r="H100">
            <v>125.82</v>
          </cell>
          <cell r="I100">
            <v>0.20180000000000001</v>
          </cell>
          <cell r="T100" t="str">
            <v>4 -1.74%</v>
          </cell>
          <cell r="U100" t="str">
            <v>3 -4.51%</v>
          </cell>
        </row>
        <row r="101">
          <cell r="A101">
            <v>43250</v>
          </cell>
          <cell r="E101">
            <v>104.154</v>
          </cell>
          <cell r="F101">
            <v>101.77</v>
          </cell>
          <cell r="H101">
            <v>127</v>
          </cell>
          <cell r="I101">
            <v>0.22850000000000001</v>
          </cell>
          <cell r="T101" t="str">
            <v>2 -1.07%</v>
          </cell>
          <cell r="U101" t="str">
            <v>3 0.03%</v>
          </cell>
        </row>
        <row r="102">
          <cell r="A102">
            <v>43251</v>
          </cell>
          <cell r="E102">
            <v>104.66500000000001</v>
          </cell>
          <cell r="F102">
            <v>102.22</v>
          </cell>
          <cell r="H102">
            <v>126.19</v>
          </cell>
          <cell r="I102">
            <v>0.2152</v>
          </cell>
          <cell r="T102" t="str">
            <v>3 2.18%</v>
          </cell>
          <cell r="U102" t="str">
            <v>3 1.67%</v>
          </cell>
        </row>
        <row r="103">
          <cell r="A103">
            <v>43252</v>
          </cell>
          <cell r="E103">
            <v>104.173</v>
          </cell>
          <cell r="F103">
            <v>102</v>
          </cell>
          <cell r="H103">
            <v>126.06</v>
          </cell>
          <cell r="I103">
            <v>0.21890000000000001</v>
          </cell>
          <cell r="T103" t="str">
            <v>3 -0.40%</v>
          </cell>
          <cell r="U103" t="str">
            <v>3 -2.46%</v>
          </cell>
        </row>
        <row r="104">
          <cell r="A104">
            <v>43255</v>
          </cell>
          <cell r="E104">
            <v>103.21599999999999</v>
          </cell>
          <cell r="F104">
            <v>101.04</v>
          </cell>
          <cell r="H104">
            <v>124.37</v>
          </cell>
          <cell r="I104">
            <v>0.21149999999999999</v>
          </cell>
          <cell r="T104" t="str">
            <v>2 0.66%</v>
          </cell>
          <cell r="U104" t="str">
            <v>3 2.75%</v>
          </cell>
        </row>
        <row r="105">
          <cell r="A105">
            <v>43256</v>
          </cell>
          <cell r="E105">
            <v>104.322</v>
          </cell>
          <cell r="F105">
            <v>101.645</v>
          </cell>
          <cell r="H105">
            <v>124.29</v>
          </cell>
          <cell r="I105">
            <v>0.1996</v>
          </cell>
          <cell r="T105" t="str">
            <v>4 3.36%</v>
          </cell>
          <cell r="U105" t="str">
            <v>4 2.80%</v>
          </cell>
        </row>
        <row r="106">
          <cell r="A106">
            <v>43257</v>
          </cell>
          <cell r="E106">
            <v>104.878</v>
          </cell>
          <cell r="F106">
            <v>102.07</v>
          </cell>
          <cell r="H106">
            <v>124.48</v>
          </cell>
          <cell r="I106">
            <v>0.19600000000000001</v>
          </cell>
          <cell r="T106" t="str">
            <v>3 1.07%</v>
          </cell>
          <cell r="U106" t="str">
            <v>4 1.46%</v>
          </cell>
        </row>
        <row r="107">
          <cell r="A107">
            <v>43258</v>
          </cell>
          <cell r="E107">
            <v>105.15300000000001</v>
          </cell>
          <cell r="F107">
            <v>102.2</v>
          </cell>
          <cell r="H107">
            <v>125.79</v>
          </cell>
          <cell r="I107">
            <v>0.2064</v>
          </cell>
          <cell r="T107" t="str">
            <v>4 0.21%</v>
          </cell>
          <cell r="U107" t="str">
            <v>3 0.13%</v>
          </cell>
        </row>
        <row r="108">
          <cell r="A108">
            <v>43259</v>
          </cell>
          <cell r="E108">
            <v>104.60899999999999</v>
          </cell>
          <cell r="F108">
            <v>101.51</v>
          </cell>
          <cell r="H108">
            <v>126.2</v>
          </cell>
          <cell r="I108">
            <v>0.21590000000000001</v>
          </cell>
          <cell r="T108" t="str">
            <v>4 -0.87%</v>
          </cell>
          <cell r="U108" t="str">
            <v>3 0.52%</v>
          </cell>
        </row>
        <row r="109">
          <cell r="A109">
            <v>43262</v>
          </cell>
          <cell r="E109">
            <v>104.42</v>
          </cell>
          <cell r="F109">
            <v>101</v>
          </cell>
          <cell r="H109">
            <v>126.86</v>
          </cell>
          <cell r="I109">
            <v>0.22439999999999999</v>
          </cell>
          <cell r="T109" t="str">
            <v>3 -1.80%</v>
          </cell>
          <cell r="U109" t="str">
            <v>3 -0.89%</v>
          </cell>
        </row>
        <row r="110">
          <cell r="A110">
            <v>43263</v>
          </cell>
          <cell r="E110">
            <v>104.899</v>
          </cell>
          <cell r="F110">
            <v>101.1</v>
          </cell>
          <cell r="H110">
            <v>126.66</v>
          </cell>
          <cell r="I110">
            <v>0.21759999999999999</v>
          </cell>
          <cell r="T110" t="str">
            <v>6 1.33%</v>
          </cell>
          <cell r="U110" t="str">
            <v>3 1.46%</v>
          </cell>
        </row>
        <row r="111">
          <cell r="A111">
            <v>43264</v>
          </cell>
          <cell r="E111">
            <v>104.54</v>
          </cell>
          <cell r="F111">
            <v>101.392</v>
          </cell>
          <cell r="H111">
            <v>127.85</v>
          </cell>
          <cell r="I111">
            <v>0.2331</v>
          </cell>
          <cell r="T111" t="str">
            <v>5 -0.44%</v>
          </cell>
          <cell r="U111" t="str">
            <v>3 -1.07%</v>
          </cell>
        </row>
        <row r="112">
          <cell r="A112">
            <v>43265</v>
          </cell>
          <cell r="E112">
            <v>104.06699999999999</v>
          </cell>
          <cell r="F112">
            <v>100.386</v>
          </cell>
          <cell r="H112">
            <v>127.53</v>
          </cell>
          <cell r="I112">
            <v>0.23469999999999999</v>
          </cell>
          <cell r="T112" t="str">
            <v>5 0.31%</v>
          </cell>
          <cell r="U112" t="str">
            <v>3 -2.03%</v>
          </cell>
        </row>
        <row r="113">
          <cell r="A113">
            <v>43266</v>
          </cell>
          <cell r="E113">
            <v>102.72499999999999</v>
          </cell>
          <cell r="F113">
            <v>99.864999999999995</v>
          </cell>
          <cell r="H113">
            <v>128.07</v>
          </cell>
          <cell r="I113">
            <v>0.2535</v>
          </cell>
          <cell r="T113" t="str">
            <v>5 -1.58%</v>
          </cell>
          <cell r="U113" t="str">
            <v>2 -7.96%</v>
          </cell>
        </row>
        <row r="114">
          <cell r="A114">
            <v>43270</v>
          </cell>
          <cell r="E114">
            <v>99.200999999999993</v>
          </cell>
          <cell r="F114">
            <v>96.42</v>
          </cell>
          <cell r="H114">
            <v>129.38999999999999</v>
          </cell>
          <cell r="I114">
            <v>0.3019</v>
          </cell>
          <cell r="T114" t="str">
            <v>2 -1.87%</v>
          </cell>
          <cell r="U114" t="str">
            <v>2 -4.70%</v>
          </cell>
        </row>
        <row r="115">
          <cell r="A115">
            <v>43271</v>
          </cell>
          <cell r="E115">
            <v>99.682000000000002</v>
          </cell>
          <cell r="F115">
            <v>97.1</v>
          </cell>
          <cell r="H115">
            <v>129.34</v>
          </cell>
          <cell r="I115">
            <v>0.29659999999999997</v>
          </cell>
          <cell r="T115" t="str">
            <v>4 3.29%</v>
          </cell>
          <cell r="U115" t="str">
            <v>2 -1.47%</v>
          </cell>
        </row>
        <row r="116">
          <cell r="A116">
            <v>43272</v>
          </cell>
          <cell r="E116">
            <v>99.287999999999997</v>
          </cell>
          <cell r="F116">
            <v>96.344999999999999</v>
          </cell>
          <cell r="H116">
            <v>131.33000000000001</v>
          </cell>
          <cell r="I116">
            <v>0.32040000000000002</v>
          </cell>
          <cell r="T116" t="str">
            <v>2 0.21%</v>
          </cell>
          <cell r="U116" t="str">
            <v>2 1.89%</v>
          </cell>
        </row>
        <row r="117">
          <cell r="A117">
            <v>43273</v>
          </cell>
          <cell r="E117">
            <v>99.878</v>
          </cell>
          <cell r="F117">
            <v>96.093999999999994</v>
          </cell>
          <cell r="H117">
            <v>129.76</v>
          </cell>
          <cell r="I117">
            <v>0.29880000000000001</v>
          </cell>
          <cell r="T117" t="str">
            <v>5 2.67%</v>
          </cell>
          <cell r="U117" t="str">
            <v>2 1.92%</v>
          </cell>
        </row>
        <row r="118">
          <cell r="A118">
            <v>43276</v>
          </cell>
          <cell r="E118">
            <v>100.087</v>
          </cell>
          <cell r="F118">
            <v>97.28</v>
          </cell>
          <cell r="H118">
            <v>130.41</v>
          </cell>
          <cell r="I118">
            <v>0.30320000000000003</v>
          </cell>
          <cell r="T118" t="str">
            <v>5 0.13%</v>
          </cell>
          <cell r="U118" t="str">
            <v>2 -1.71%</v>
          </cell>
        </row>
        <row r="119">
          <cell r="A119">
            <v>43277</v>
          </cell>
          <cell r="E119">
            <v>100.252</v>
          </cell>
          <cell r="F119">
            <v>97.25</v>
          </cell>
          <cell r="H119">
            <v>129.69999999999999</v>
          </cell>
          <cell r="I119">
            <v>0.29449999999999998</v>
          </cell>
          <cell r="T119" t="str">
            <v>4 0.93%</v>
          </cell>
          <cell r="U119" t="str">
            <v>2 2.49%</v>
          </cell>
        </row>
        <row r="120">
          <cell r="A120">
            <v>43278</v>
          </cell>
          <cell r="E120">
            <v>99.543999999999997</v>
          </cell>
          <cell r="F120">
            <v>96.698999999999998</v>
          </cell>
          <cell r="H120">
            <v>128.51</v>
          </cell>
          <cell r="I120">
            <v>0.28970000000000001</v>
          </cell>
          <cell r="T120" t="str">
            <v>2 -0.34%</v>
          </cell>
          <cell r="U120" t="str">
            <v>3 -1.44%</v>
          </cell>
        </row>
        <row r="121">
          <cell r="A121">
            <v>43279</v>
          </cell>
          <cell r="E121">
            <v>99.584000000000003</v>
          </cell>
          <cell r="F121">
            <v>96.56</v>
          </cell>
          <cell r="H121">
            <v>129.57</v>
          </cell>
          <cell r="I121">
            <v>0.29980000000000001</v>
          </cell>
          <cell r="T121" t="str">
            <v>1 -0.03%</v>
          </cell>
          <cell r="U121" t="str">
            <v>3 1.15%</v>
          </cell>
        </row>
        <row r="122">
          <cell r="A122">
            <v>43280</v>
          </cell>
          <cell r="E122">
            <v>101.35899999999999</v>
          </cell>
          <cell r="F122">
            <v>97.938000000000002</v>
          </cell>
          <cell r="H122">
            <v>128.76</v>
          </cell>
          <cell r="I122">
            <v>0.27400000000000002</v>
          </cell>
          <cell r="T122" t="str">
            <v>5 3.10%</v>
          </cell>
          <cell r="U122" t="str">
            <v>3 7.23%</v>
          </cell>
        </row>
        <row r="123">
          <cell r="A123">
            <v>43283</v>
          </cell>
          <cell r="E123">
            <v>100.467</v>
          </cell>
          <cell r="F123">
            <v>97.164000000000001</v>
          </cell>
          <cell r="H123">
            <v>128.96</v>
          </cell>
          <cell r="I123">
            <v>0.28499999999999998</v>
          </cell>
          <cell r="T123" t="str">
            <v>2 -1.90%</v>
          </cell>
          <cell r="U123" t="str">
            <v>3 0.41%</v>
          </cell>
        </row>
        <row r="124">
          <cell r="A124">
            <v>43284</v>
          </cell>
          <cell r="E124">
            <v>101.102</v>
          </cell>
          <cell r="F124">
            <v>97.965000000000003</v>
          </cell>
          <cell r="H124">
            <v>128.51</v>
          </cell>
          <cell r="I124">
            <v>0.27410000000000001</v>
          </cell>
          <cell r="T124" t="str">
            <v>3 0.96%</v>
          </cell>
          <cell r="U124" t="str">
            <v>3 1.78%</v>
          </cell>
        </row>
        <row r="125">
          <cell r="A125">
            <v>43285</v>
          </cell>
          <cell r="E125">
            <v>100.80800000000001</v>
          </cell>
          <cell r="F125">
            <v>97.855000000000004</v>
          </cell>
          <cell r="H125">
            <v>130.54</v>
          </cell>
          <cell r="I125">
            <v>0.29730000000000001</v>
          </cell>
          <cell r="T125" t="str">
            <v>3 -0.60%</v>
          </cell>
          <cell r="U125" t="str">
            <v>3 -0.43%</v>
          </cell>
        </row>
        <row r="126">
          <cell r="A126">
            <v>43286</v>
          </cell>
          <cell r="E126">
            <v>100.611</v>
          </cell>
          <cell r="F126">
            <v>97.444999999999993</v>
          </cell>
          <cell r="H126">
            <v>133.75</v>
          </cell>
          <cell r="I126">
            <v>0.33139999999999997</v>
          </cell>
          <cell r="T126" t="str">
            <v>2 -0.59%</v>
          </cell>
          <cell r="U126" t="str">
            <v>3 0.05%</v>
          </cell>
        </row>
        <row r="127">
          <cell r="A127">
            <v>43287</v>
          </cell>
          <cell r="E127">
            <v>100.624</v>
          </cell>
          <cell r="F127">
            <v>97.74</v>
          </cell>
          <cell r="H127">
            <v>133.26</v>
          </cell>
          <cell r="I127">
            <v>0.32629999999999998</v>
          </cell>
          <cell r="T127" t="str">
            <v>3 0.33%</v>
          </cell>
          <cell r="U127" t="str">
            <v>3 -0.53%</v>
          </cell>
        </row>
        <row r="128">
          <cell r="A128">
            <v>43290</v>
          </cell>
          <cell r="E128">
            <v>100.93899999999999</v>
          </cell>
          <cell r="F128">
            <v>98.7</v>
          </cell>
          <cell r="H128">
            <v>132.27000000000001</v>
          </cell>
          <cell r="I128">
            <v>0.31330000000000002</v>
          </cell>
          <cell r="T128" t="str">
            <v>4 2.47%</v>
          </cell>
          <cell r="U128" t="str">
            <v>2 -4.94%</v>
          </cell>
        </row>
        <row r="129">
          <cell r="A129">
            <v>43291</v>
          </cell>
          <cell r="E129">
            <v>101.26300000000001</v>
          </cell>
          <cell r="F129">
            <v>99.3</v>
          </cell>
          <cell r="H129">
            <v>132.13999999999999</v>
          </cell>
          <cell r="I129">
            <v>0.30880000000000002</v>
          </cell>
          <cell r="T129" t="str">
            <v>4 0.63%</v>
          </cell>
          <cell r="U129" t="str">
            <v>2 4.91%</v>
          </cell>
        </row>
        <row r="130">
          <cell r="A130">
            <v>43292</v>
          </cell>
          <cell r="E130">
            <v>100.717</v>
          </cell>
          <cell r="F130">
            <v>98.125</v>
          </cell>
          <cell r="H130">
            <v>134.05000000000001</v>
          </cell>
          <cell r="I130">
            <v>0.33329999999999999</v>
          </cell>
          <cell r="T130" t="str">
            <v>2 -0.87%</v>
          </cell>
          <cell r="U130" t="str">
            <v>3 -0.12%</v>
          </cell>
        </row>
        <row r="131">
          <cell r="A131">
            <v>43293</v>
          </cell>
          <cell r="E131">
            <v>102.149</v>
          </cell>
          <cell r="F131">
            <v>99.974999999999994</v>
          </cell>
          <cell r="H131">
            <v>133.32</v>
          </cell>
          <cell r="I131">
            <v>0.31169999999999998</v>
          </cell>
          <cell r="T131" t="str">
            <v>5 2.27%</v>
          </cell>
          <cell r="U131" t="str">
            <v>3 3.94%</v>
          </cell>
        </row>
        <row r="132">
          <cell r="A132">
            <v>43294</v>
          </cell>
          <cell r="E132">
            <v>102.384</v>
          </cell>
          <cell r="F132">
            <v>100.66</v>
          </cell>
          <cell r="H132">
            <v>132.96</v>
          </cell>
          <cell r="I132">
            <v>0.30570000000000003</v>
          </cell>
          <cell r="T132" t="str">
            <v>5 0.15%</v>
          </cell>
          <cell r="U132" t="str">
            <v>3 0.36%</v>
          </cell>
        </row>
        <row r="133">
          <cell r="A133">
            <v>43297</v>
          </cell>
          <cell r="E133">
            <v>101.965</v>
          </cell>
          <cell r="F133">
            <v>99.614999999999995</v>
          </cell>
          <cell r="H133">
            <v>132.35</v>
          </cell>
          <cell r="I133">
            <v>0.30380000000000001</v>
          </cell>
          <cell r="T133" t="str">
            <v>5 -0.59%</v>
          </cell>
          <cell r="U133" t="str">
            <v>3 -0.75%</v>
          </cell>
        </row>
        <row r="134">
          <cell r="A134">
            <v>43298</v>
          </cell>
          <cell r="E134">
            <v>102.22799999999999</v>
          </cell>
          <cell r="F134">
            <v>99.905000000000001</v>
          </cell>
          <cell r="H134">
            <v>132.53</v>
          </cell>
          <cell r="I134">
            <v>0.30309999999999998</v>
          </cell>
          <cell r="T134" t="str">
            <v>4 -0.67%</v>
          </cell>
          <cell r="U134" t="str">
            <v>3 0.72%</v>
          </cell>
        </row>
        <row r="135">
          <cell r="A135">
            <v>43299</v>
          </cell>
          <cell r="E135">
            <v>102.494</v>
          </cell>
          <cell r="F135">
            <v>99.915000000000006</v>
          </cell>
          <cell r="H135">
            <v>133.88999999999999</v>
          </cell>
          <cell r="I135">
            <v>0.314</v>
          </cell>
          <cell r="T135" t="str">
            <v>4 0.32%</v>
          </cell>
          <cell r="U135" t="str">
            <v>3 -0.49%</v>
          </cell>
        </row>
        <row r="136">
          <cell r="A136">
            <v>43300</v>
          </cell>
          <cell r="E136">
            <v>102.535</v>
          </cell>
          <cell r="F136">
            <v>100.02500000000001</v>
          </cell>
          <cell r="H136">
            <v>135.41</v>
          </cell>
          <cell r="I136">
            <v>0.32869999999999999</v>
          </cell>
          <cell r="T136" t="str">
            <v>4 -0.11%</v>
          </cell>
          <cell r="U136" t="str">
            <v>3 -3.04%</v>
          </cell>
        </row>
        <row r="137">
          <cell r="A137">
            <v>43301</v>
          </cell>
          <cell r="E137">
            <v>103.411</v>
          </cell>
          <cell r="F137">
            <v>100.178</v>
          </cell>
          <cell r="H137">
            <v>135.53</v>
          </cell>
          <cell r="I137">
            <v>0.32119999999999999</v>
          </cell>
          <cell r="T137" t="str">
            <v>4 0.94%</v>
          </cell>
          <cell r="U137" t="str">
            <v>3 2.47%</v>
          </cell>
        </row>
        <row r="138">
          <cell r="A138">
            <v>43304</v>
          </cell>
          <cell r="E138">
            <v>103.303</v>
          </cell>
          <cell r="F138">
            <v>100.238</v>
          </cell>
          <cell r="H138">
            <v>134.56</v>
          </cell>
          <cell r="I138">
            <v>0.31259999999999999</v>
          </cell>
          <cell r="T138" t="str">
            <v>4 0.95%</v>
          </cell>
          <cell r="U138" t="str">
            <v>3 -8.12%</v>
          </cell>
        </row>
        <row r="139">
          <cell r="A139">
            <v>43305</v>
          </cell>
          <cell r="E139">
            <v>103.732</v>
          </cell>
          <cell r="F139">
            <v>101.02</v>
          </cell>
          <cell r="H139">
            <v>132.97999999999999</v>
          </cell>
          <cell r="I139">
            <v>0.29249999999999998</v>
          </cell>
          <cell r="T139" t="str">
            <v>5 4.19%</v>
          </cell>
          <cell r="U139" t="str">
            <v>3 2.00%</v>
          </cell>
        </row>
        <row r="140">
          <cell r="A140">
            <v>43306</v>
          </cell>
          <cell r="E140">
            <v>103.745</v>
          </cell>
          <cell r="F140">
            <v>100.56</v>
          </cell>
          <cell r="H140">
            <v>132.54</v>
          </cell>
          <cell r="I140">
            <v>0.28789999999999999</v>
          </cell>
          <cell r="T140" t="str">
            <v>5 -0.41%</v>
          </cell>
          <cell r="U140" t="str">
            <v>3 -1.05%</v>
          </cell>
        </row>
        <row r="141">
          <cell r="A141">
            <v>43307</v>
          </cell>
          <cell r="E141">
            <v>102.95399999999999</v>
          </cell>
          <cell r="F141">
            <v>99.94</v>
          </cell>
          <cell r="H141">
            <v>131.63999999999999</v>
          </cell>
          <cell r="I141">
            <v>0.28689999999999999</v>
          </cell>
          <cell r="T141" t="str">
            <v>5 -1.29%</v>
          </cell>
          <cell r="U141" t="str">
            <v>3 -0.89%</v>
          </cell>
        </row>
        <row r="142">
          <cell r="A142">
            <v>43308</v>
          </cell>
          <cell r="E142">
            <v>102.596</v>
          </cell>
          <cell r="F142">
            <v>99.745000000000005</v>
          </cell>
          <cell r="H142">
            <v>132.19999999999999</v>
          </cell>
          <cell r="I142">
            <v>0.29609999999999997</v>
          </cell>
          <cell r="T142" t="str">
            <v>4 0.36%</v>
          </cell>
          <cell r="U142" t="str">
            <v>3 -1.27%</v>
          </cell>
        </row>
        <row r="143">
          <cell r="A143">
            <v>43311</v>
          </cell>
          <cell r="E143">
            <v>101.99</v>
          </cell>
          <cell r="F143">
            <v>99.394999999999996</v>
          </cell>
          <cell r="H143">
            <v>131.94</v>
          </cell>
          <cell r="I143">
            <v>0.29949999999999999</v>
          </cell>
          <cell r="T143" t="str">
            <v>4 -0.21%</v>
          </cell>
          <cell r="U143" t="str">
            <v>3 0.95%</v>
          </cell>
        </row>
        <row r="144">
          <cell r="A144">
            <v>43312</v>
          </cell>
          <cell r="E144">
            <v>102.017</v>
          </cell>
          <cell r="F144">
            <v>99.25</v>
          </cell>
          <cell r="H144">
            <v>131.94</v>
          </cell>
          <cell r="I144">
            <v>0.29920000000000002</v>
          </cell>
          <cell r="T144" t="str">
            <v>4 0.47%</v>
          </cell>
          <cell r="U144" t="str">
            <v>3 -1.57%</v>
          </cell>
        </row>
        <row r="145">
          <cell r="A145">
            <v>43313</v>
          </cell>
          <cell r="E145">
            <v>101.67100000000001</v>
          </cell>
          <cell r="F145">
            <v>99.444000000000003</v>
          </cell>
          <cell r="H145">
            <v>132.53</v>
          </cell>
          <cell r="I145">
            <v>0.30859999999999999</v>
          </cell>
          <cell r="T145" t="str">
            <v>4 -0.70%</v>
          </cell>
          <cell r="U145" t="str">
            <v>3 -0.03%</v>
          </cell>
        </row>
        <row r="146">
          <cell r="A146">
            <v>43314</v>
          </cell>
          <cell r="E146">
            <v>100.877</v>
          </cell>
          <cell r="F146">
            <v>98.47</v>
          </cell>
          <cell r="H146">
            <v>133.96</v>
          </cell>
          <cell r="I146">
            <v>0.33079999999999998</v>
          </cell>
          <cell r="T146" t="str">
            <v>3 -0.05%</v>
          </cell>
          <cell r="U146" t="str">
            <v>3 0.52%</v>
          </cell>
        </row>
        <row r="147">
          <cell r="A147">
            <v>43315</v>
          </cell>
          <cell r="E147">
            <v>100.581</v>
          </cell>
          <cell r="F147">
            <v>98</v>
          </cell>
          <cell r="H147">
            <v>134.82</v>
          </cell>
          <cell r="I147">
            <v>0.34239999999999998</v>
          </cell>
          <cell r="T147" t="str">
            <v>5 -1.33%</v>
          </cell>
          <cell r="U147" t="str">
            <v>2 -1.30%</v>
          </cell>
        </row>
        <row r="148">
          <cell r="A148">
            <v>43318</v>
          </cell>
          <cell r="E148">
            <v>99.65</v>
          </cell>
          <cell r="F148">
            <v>97.89</v>
          </cell>
          <cell r="H148">
            <v>136.13</v>
          </cell>
          <cell r="I148">
            <v>0.36480000000000001</v>
          </cell>
          <cell r="T148" t="str">
            <v>5 -3.86%</v>
          </cell>
          <cell r="U148" t="str">
            <v>1 -9.37%</v>
          </cell>
        </row>
        <row r="149">
          <cell r="A149">
            <v>43319</v>
          </cell>
          <cell r="E149">
            <v>100.604</v>
          </cell>
          <cell r="F149">
            <v>98.58</v>
          </cell>
          <cell r="H149">
            <v>135.30000000000001</v>
          </cell>
          <cell r="I149">
            <v>0.34699999999999998</v>
          </cell>
          <cell r="T149" t="str">
            <v>4 1.20%</v>
          </cell>
          <cell r="U149" t="str">
            <v>3 3.99%</v>
          </cell>
        </row>
        <row r="150">
          <cell r="A150">
            <v>43320</v>
          </cell>
          <cell r="E150">
            <v>100.084</v>
          </cell>
          <cell r="F150">
            <v>98.58</v>
          </cell>
          <cell r="H150">
            <v>136.54</v>
          </cell>
          <cell r="I150">
            <v>0.36459999999999998</v>
          </cell>
          <cell r="T150" t="str">
            <v>5 -2.64%</v>
          </cell>
          <cell r="U150" t="str">
            <v>2 -0.58%</v>
          </cell>
        </row>
        <row r="151">
          <cell r="A151">
            <v>43321</v>
          </cell>
          <cell r="E151">
            <v>101.139</v>
          </cell>
          <cell r="F151">
            <v>99.64</v>
          </cell>
          <cell r="H151">
            <v>135.66999999999999</v>
          </cell>
          <cell r="I151">
            <v>0.3453</v>
          </cell>
          <cell r="T151" t="str">
            <v>6 2.92%</v>
          </cell>
          <cell r="U151" t="str">
            <v>2 1.77%</v>
          </cell>
        </row>
        <row r="152">
          <cell r="A152">
            <v>43322</v>
          </cell>
          <cell r="E152">
            <v>101.306</v>
          </cell>
          <cell r="F152">
            <v>99.385000000000005</v>
          </cell>
          <cell r="H152">
            <v>134.30000000000001</v>
          </cell>
          <cell r="I152">
            <v>0.32990000000000003</v>
          </cell>
          <cell r="T152" t="str">
            <v>6 0.53%</v>
          </cell>
          <cell r="U152" t="str">
            <v>2 5.25%</v>
          </cell>
        </row>
        <row r="153">
          <cell r="A153">
            <v>43325</v>
          </cell>
          <cell r="E153">
            <v>101.705</v>
          </cell>
          <cell r="F153">
            <v>99.48</v>
          </cell>
          <cell r="H153">
            <v>131.93</v>
          </cell>
          <cell r="I153">
            <v>0.30230000000000001</v>
          </cell>
          <cell r="T153" t="str">
            <v>5 0.10%</v>
          </cell>
          <cell r="U153" t="str">
            <v>3 1.30%</v>
          </cell>
        </row>
        <row r="154">
          <cell r="A154">
            <v>43326</v>
          </cell>
          <cell r="E154">
            <v>100.883</v>
          </cell>
          <cell r="F154">
            <v>99.2</v>
          </cell>
          <cell r="H154">
            <v>132.25</v>
          </cell>
          <cell r="I154">
            <v>0.31359999999999999</v>
          </cell>
          <cell r="T154" t="str">
            <v>6 -1.11%</v>
          </cell>
          <cell r="U154" t="str">
            <v>2 -0.10%</v>
          </cell>
        </row>
        <row r="155">
          <cell r="A155">
            <v>43327</v>
          </cell>
          <cell r="E155">
            <v>99.525000000000006</v>
          </cell>
          <cell r="F155">
            <v>98.74</v>
          </cell>
          <cell r="H155">
            <v>131.5</v>
          </cell>
          <cell r="I155">
            <v>0.31979999999999997</v>
          </cell>
          <cell r="T155" t="str">
            <v>3 -0.96%</v>
          </cell>
          <cell r="U155" t="str">
            <v>1 0.28%</v>
          </cell>
        </row>
        <row r="156">
          <cell r="A156">
            <v>43328</v>
          </cell>
          <cell r="E156">
            <v>99.367000000000004</v>
          </cell>
          <cell r="F156">
            <v>97.921000000000006</v>
          </cell>
          <cell r="H156">
            <v>132.19999999999999</v>
          </cell>
          <cell r="I156">
            <v>0.32829999999999998</v>
          </cell>
          <cell r="T156" t="str">
            <v>3 -0.54%</v>
          </cell>
          <cell r="U156" t="str">
            <v>1 1.66%</v>
          </cell>
        </row>
        <row r="157">
          <cell r="A157">
            <v>43329</v>
          </cell>
          <cell r="E157">
            <v>98.953000000000003</v>
          </cell>
          <cell r="F157">
            <v>97.32</v>
          </cell>
          <cell r="H157">
            <v>133.66999999999999</v>
          </cell>
          <cell r="I157">
            <v>0.34720000000000001</v>
          </cell>
          <cell r="T157" t="str">
            <v>3 -0.56%</v>
          </cell>
          <cell r="U157" t="str">
            <v>1 -5.82%</v>
          </cell>
        </row>
        <row r="158">
          <cell r="A158">
            <v>43332</v>
          </cell>
          <cell r="E158">
            <v>98.805000000000007</v>
          </cell>
          <cell r="F158">
            <v>97.95</v>
          </cell>
          <cell r="H158">
            <v>132.53</v>
          </cell>
          <cell r="I158">
            <v>0.33729999999999999</v>
          </cell>
          <cell r="T158" t="str">
            <v>4 0.50%</v>
          </cell>
          <cell r="U158" t="str">
            <v>1 -5.09%</v>
          </cell>
        </row>
        <row r="159">
          <cell r="A159">
            <v>43333</v>
          </cell>
          <cell r="E159">
            <v>99.325000000000003</v>
          </cell>
          <cell r="F159">
            <v>98.17</v>
          </cell>
          <cell r="H159">
            <v>131.63</v>
          </cell>
          <cell r="I159">
            <v>0.3231</v>
          </cell>
          <cell r="T159" t="str">
            <v>3 1.14%</v>
          </cell>
          <cell r="U159" t="str">
            <v>1 3.56%</v>
          </cell>
        </row>
        <row r="160">
          <cell r="A160">
            <v>43334</v>
          </cell>
          <cell r="E160">
            <v>98.93</v>
          </cell>
          <cell r="F160">
            <v>97.594999999999999</v>
          </cell>
          <cell r="H160">
            <v>132.04</v>
          </cell>
          <cell r="I160">
            <v>0.33110000000000001</v>
          </cell>
          <cell r="T160" t="str">
            <v>2 -0.87%</v>
          </cell>
          <cell r="U160" t="str">
            <v>1 0.28%</v>
          </cell>
        </row>
        <row r="161">
          <cell r="A161">
            <v>43335</v>
          </cell>
          <cell r="E161">
            <v>99.113</v>
          </cell>
          <cell r="F161">
            <v>98.015000000000001</v>
          </cell>
          <cell r="H161">
            <v>131.76</v>
          </cell>
          <cell r="I161">
            <v>0.32650000000000001</v>
          </cell>
          <cell r="T161" t="str">
            <v>2 1.19%</v>
          </cell>
          <cell r="U161" t="str">
            <v>1 2.98%</v>
          </cell>
        </row>
        <row r="162">
          <cell r="A162">
            <v>43336</v>
          </cell>
          <cell r="E162">
            <v>99.353999999999999</v>
          </cell>
          <cell r="F162">
            <v>97.62</v>
          </cell>
          <cell r="H162">
            <v>132.13</v>
          </cell>
          <cell r="I162">
            <v>0.32779999999999998</v>
          </cell>
          <cell r="T162" t="str">
            <v>2 0.04%</v>
          </cell>
          <cell r="U162" t="str">
            <v>1 3.32%</v>
          </cell>
        </row>
        <row r="163">
          <cell r="A163">
            <v>43339</v>
          </cell>
          <cell r="E163">
            <v>100.09099999999999</v>
          </cell>
          <cell r="F163">
            <v>98.88</v>
          </cell>
          <cell r="H163">
            <v>130.59</v>
          </cell>
          <cell r="I163">
            <v>0.30499999999999999</v>
          </cell>
          <cell r="T163" t="str">
            <v>3 1.57%</v>
          </cell>
          <cell r="U163" t="str">
            <v>1 5.11%</v>
          </cell>
        </row>
        <row r="164">
          <cell r="A164">
            <v>43340</v>
          </cell>
          <cell r="E164">
            <v>100.428</v>
          </cell>
          <cell r="F164">
            <v>98.97</v>
          </cell>
          <cell r="H164">
            <v>130.21</v>
          </cell>
          <cell r="I164">
            <v>0.29780000000000001</v>
          </cell>
          <cell r="T164" t="str">
            <v>3 0.60%</v>
          </cell>
          <cell r="U164" t="str">
            <v>1 1.51%</v>
          </cell>
        </row>
        <row r="165">
          <cell r="A165">
            <v>43341</v>
          </cell>
          <cell r="E165">
            <v>100.146</v>
          </cell>
          <cell r="F165">
            <v>98.6</v>
          </cell>
          <cell r="H165">
            <v>130.27000000000001</v>
          </cell>
          <cell r="I165">
            <v>0.30120000000000002</v>
          </cell>
          <cell r="T165" t="str">
            <v>3 -1.07%</v>
          </cell>
          <cell r="U165" t="str">
            <v>1 -2.50%</v>
          </cell>
        </row>
        <row r="166">
          <cell r="A166">
            <v>43342</v>
          </cell>
          <cell r="E166">
            <v>99.585999999999999</v>
          </cell>
          <cell r="F166">
            <v>98.457999999999998</v>
          </cell>
          <cell r="H166">
            <v>130.78</v>
          </cell>
          <cell r="I166">
            <v>0.312</v>
          </cell>
          <cell r="T166" t="str">
            <v>3 -1.27%</v>
          </cell>
          <cell r="U166" t="str">
            <v>1 -1.59%</v>
          </cell>
        </row>
        <row r="167">
          <cell r="A167">
            <v>43343</v>
          </cell>
          <cell r="E167">
            <v>99.465000000000003</v>
          </cell>
          <cell r="F167">
            <v>98.031999999999996</v>
          </cell>
          <cell r="H167">
            <v>131.38999999999999</v>
          </cell>
          <cell r="I167">
            <v>0.31919999999999998</v>
          </cell>
          <cell r="T167" t="str">
            <v>3 0.37%</v>
          </cell>
          <cell r="U167" t="str">
            <v>1 -2.46%</v>
          </cell>
        </row>
        <row r="168">
          <cell r="A168">
            <v>43346</v>
          </cell>
          <cell r="E168">
            <v>99.375</v>
          </cell>
          <cell r="F168">
            <v>97.915000000000006</v>
          </cell>
          <cell r="H168">
            <v>131.5</v>
          </cell>
          <cell r="I168">
            <v>0.32119999999999999</v>
          </cell>
          <cell r="T168" t="str">
            <v>3 0.07%</v>
          </cell>
          <cell r="U168" t="str">
            <v>1 1.23%</v>
          </cell>
        </row>
        <row r="169">
          <cell r="A169">
            <v>43347</v>
          </cell>
          <cell r="E169">
            <v>99.596000000000004</v>
          </cell>
          <cell r="F169">
            <v>98.07</v>
          </cell>
          <cell r="H169">
            <v>130.38999999999999</v>
          </cell>
          <cell r="I169">
            <v>0.30790000000000001</v>
          </cell>
          <cell r="T169" t="str">
            <v>3 0.58%</v>
          </cell>
          <cell r="U169" t="str">
            <v>1 -1.62%</v>
          </cell>
        </row>
        <row r="170">
          <cell r="A170">
            <v>43348</v>
          </cell>
          <cell r="E170">
            <v>99.173000000000002</v>
          </cell>
          <cell r="F170">
            <v>97.802999999999997</v>
          </cell>
          <cell r="H170">
            <v>131.18</v>
          </cell>
          <cell r="I170">
            <v>0.3201</v>
          </cell>
          <cell r="T170" t="str">
            <v>3 -0.66%</v>
          </cell>
          <cell r="U170" t="str">
            <v>1 -6.50%</v>
          </cell>
        </row>
        <row r="171">
          <cell r="A171">
            <v>43349</v>
          </cell>
          <cell r="E171">
            <v>99.097999999999999</v>
          </cell>
          <cell r="F171">
            <v>97.706000000000003</v>
          </cell>
          <cell r="H171">
            <v>131.71</v>
          </cell>
          <cell r="I171">
            <v>0.3261</v>
          </cell>
          <cell r="T171" t="str">
            <v>3 -0.31%</v>
          </cell>
          <cell r="U171" t="str">
            <v>1 2.84%</v>
          </cell>
        </row>
        <row r="172">
          <cell r="A172">
            <v>43350</v>
          </cell>
          <cell r="E172">
            <v>99.08</v>
          </cell>
          <cell r="F172">
            <v>97.745000000000005</v>
          </cell>
          <cell r="H172">
            <v>131.36000000000001</v>
          </cell>
          <cell r="I172">
            <v>0.32279999999999998</v>
          </cell>
          <cell r="T172" t="str">
            <v>3 -0.47%</v>
          </cell>
          <cell r="U172" t="str">
            <v>1 1.27%</v>
          </cell>
        </row>
        <row r="173">
          <cell r="A173">
            <v>43353</v>
          </cell>
          <cell r="E173">
            <v>98.599000000000004</v>
          </cell>
          <cell r="F173">
            <v>97.26</v>
          </cell>
          <cell r="H173">
            <v>133.07</v>
          </cell>
          <cell r="I173">
            <v>0.34470000000000001</v>
          </cell>
          <cell r="T173" t="str">
            <v>2 0.31%</v>
          </cell>
          <cell r="U173" t="str">
            <v>1 1.42%</v>
          </cell>
        </row>
        <row r="174">
          <cell r="A174">
            <v>43354</v>
          </cell>
          <cell r="E174">
            <v>98.591999999999999</v>
          </cell>
          <cell r="F174">
            <v>97.275000000000006</v>
          </cell>
          <cell r="H174">
            <v>132.05000000000001</v>
          </cell>
          <cell r="I174">
            <v>0.33460000000000001</v>
          </cell>
          <cell r="T174" t="str">
            <v>2 -0.95%</v>
          </cell>
          <cell r="U174" t="str">
            <v>1 1.94%</v>
          </cell>
        </row>
        <row r="175">
          <cell r="A175">
            <v>43355</v>
          </cell>
          <cell r="E175">
            <v>98.448999999999998</v>
          </cell>
          <cell r="F175">
            <v>97.344999999999999</v>
          </cell>
          <cell r="H175">
            <v>131.4</v>
          </cell>
          <cell r="I175">
            <v>0.3296</v>
          </cell>
          <cell r="T175" t="str">
            <v>2 -0.30%</v>
          </cell>
          <cell r="U175" t="str">
            <v>1 -5.40%</v>
          </cell>
        </row>
        <row r="176">
          <cell r="A176">
            <v>43356</v>
          </cell>
          <cell r="E176">
            <v>98.450999999999993</v>
          </cell>
          <cell r="F176">
            <v>97.39</v>
          </cell>
          <cell r="H176">
            <v>130.44</v>
          </cell>
          <cell r="I176">
            <v>0.31990000000000002</v>
          </cell>
          <cell r="T176" t="str">
            <v>2 -0.31%</v>
          </cell>
          <cell r="U176" t="str">
            <v>1 -2.16%</v>
          </cell>
        </row>
        <row r="177">
          <cell r="A177">
            <v>43357</v>
          </cell>
          <cell r="E177">
            <v>98.293000000000006</v>
          </cell>
          <cell r="F177">
            <v>97.12</v>
          </cell>
          <cell r="H177">
            <v>131.24</v>
          </cell>
          <cell r="I177">
            <v>0.32950000000000002</v>
          </cell>
          <cell r="T177" t="str">
            <v>1 -0.70%</v>
          </cell>
          <cell r="U177" t="str">
            <v>1 -4.03%</v>
          </cell>
        </row>
        <row r="178">
          <cell r="A178">
            <v>43360</v>
          </cell>
          <cell r="E178">
            <v>97.921999999999997</v>
          </cell>
          <cell r="F178">
            <v>96.747</v>
          </cell>
          <cell r="H178">
            <v>132.22</v>
          </cell>
          <cell r="I178">
            <v>0.34300000000000003</v>
          </cell>
          <cell r="T178" t="str">
            <v>2 -1.26%</v>
          </cell>
          <cell r="U178">
            <v>0</v>
          </cell>
        </row>
        <row r="179">
          <cell r="A179">
            <v>43361</v>
          </cell>
          <cell r="E179">
            <v>98.162000000000006</v>
          </cell>
          <cell r="F179">
            <v>96.861000000000004</v>
          </cell>
          <cell r="H179">
            <v>130.52000000000001</v>
          </cell>
          <cell r="I179">
            <v>0.3236</v>
          </cell>
          <cell r="T179" t="str">
            <v>1 0.97%</v>
          </cell>
          <cell r="U179" t="str">
            <v>1 2.92%</v>
          </cell>
        </row>
        <row r="180">
          <cell r="A180">
            <v>43362</v>
          </cell>
          <cell r="E180">
            <v>98.653000000000006</v>
          </cell>
          <cell r="F180">
            <v>97.015000000000001</v>
          </cell>
          <cell r="H180">
            <v>130.13999999999999</v>
          </cell>
          <cell r="I180">
            <v>0.31490000000000001</v>
          </cell>
          <cell r="T180" t="str">
            <v>2 0.38%</v>
          </cell>
          <cell r="U180">
            <v>0</v>
          </cell>
        </row>
        <row r="181">
          <cell r="A181">
            <v>43363</v>
          </cell>
          <cell r="E181">
            <v>98.506</v>
          </cell>
          <cell r="F181">
            <v>97.07</v>
          </cell>
          <cell r="H181">
            <v>130.38</v>
          </cell>
          <cell r="I181">
            <v>0.31869999999999998</v>
          </cell>
          <cell r="T181" t="str">
            <v>2 -0.92%</v>
          </cell>
          <cell r="U181">
            <v>0</v>
          </cell>
        </row>
        <row r="182">
          <cell r="A182">
            <v>43364</v>
          </cell>
          <cell r="E182">
            <v>99.2</v>
          </cell>
          <cell r="F182">
            <v>97.489000000000004</v>
          </cell>
          <cell r="H182">
            <v>128.55000000000001</v>
          </cell>
          <cell r="I182">
            <v>0.29349999999999998</v>
          </cell>
          <cell r="T182" t="str">
            <v>1 0.69%</v>
          </cell>
          <cell r="U182" t="str">
            <v>1 3.93%</v>
          </cell>
        </row>
        <row r="183">
          <cell r="A183">
            <v>43368</v>
          </cell>
          <cell r="E183">
            <v>99.137</v>
          </cell>
          <cell r="F183">
            <v>97.51</v>
          </cell>
          <cell r="H183">
            <v>128.87</v>
          </cell>
          <cell r="I183">
            <v>0.29730000000000001</v>
          </cell>
          <cell r="T183" t="str">
            <v>1 -0.27%</v>
          </cell>
          <cell r="U183" t="str">
            <v>1 2.20%</v>
          </cell>
        </row>
        <row r="184">
          <cell r="A184">
            <v>43369</v>
          </cell>
          <cell r="E184">
            <v>99.3</v>
          </cell>
          <cell r="F184">
            <v>97.578000000000003</v>
          </cell>
          <cell r="H184">
            <v>128.66</v>
          </cell>
          <cell r="I184">
            <v>0.29360000000000003</v>
          </cell>
          <cell r="T184" t="str">
            <v>1 1.70%</v>
          </cell>
          <cell r="U184" t="str">
            <v>1 1.71%</v>
          </cell>
        </row>
        <row r="185">
          <cell r="A185">
            <v>43370</v>
          </cell>
          <cell r="E185">
            <v>98.870999999999995</v>
          </cell>
          <cell r="F185">
            <v>97.001999999999995</v>
          </cell>
          <cell r="H185">
            <v>129.72999999999999</v>
          </cell>
          <cell r="I185">
            <v>0.30859999999999999</v>
          </cell>
          <cell r="T185" t="str">
            <v>1 -2.76%</v>
          </cell>
          <cell r="U185" t="str">
            <v>1 2.30%</v>
          </cell>
        </row>
        <row r="186">
          <cell r="A186">
            <v>43371</v>
          </cell>
          <cell r="E186">
            <v>99.082999999999998</v>
          </cell>
          <cell r="F186">
            <v>97.474999999999994</v>
          </cell>
          <cell r="H186">
            <v>128.84</v>
          </cell>
          <cell r="I186">
            <v>0.29749999999999999</v>
          </cell>
          <cell r="T186" t="str">
            <v>1 2.38%</v>
          </cell>
          <cell r="U186" t="str">
            <v>1 -1.54%</v>
          </cell>
        </row>
        <row r="187">
          <cell r="A187">
            <v>43381</v>
          </cell>
          <cell r="E187">
            <v>97.924000000000007</v>
          </cell>
          <cell r="F187">
            <v>96.552999999999997</v>
          </cell>
          <cell r="H187">
            <v>130.66999999999999</v>
          </cell>
          <cell r="I187">
            <v>0.32750000000000001</v>
          </cell>
          <cell r="T187" t="str">
            <v>1 -1.74%</v>
          </cell>
          <cell r="U187" t="str">
            <v>1 -4.50%</v>
          </cell>
        </row>
        <row r="188">
          <cell r="A188">
            <v>43382</v>
          </cell>
          <cell r="E188">
            <v>97.650999999999996</v>
          </cell>
          <cell r="F188">
            <v>96.558000000000007</v>
          </cell>
          <cell r="H188">
            <v>130.44</v>
          </cell>
          <cell r="I188">
            <v>0.32790000000000002</v>
          </cell>
          <cell r="T188" t="str">
            <v>1 -1.39%</v>
          </cell>
          <cell r="U188" t="str">
            <v>1 -0.34%</v>
          </cell>
        </row>
        <row r="189">
          <cell r="A189">
            <v>43383</v>
          </cell>
          <cell r="E189">
            <v>97.614999999999995</v>
          </cell>
          <cell r="F189">
            <v>96.48</v>
          </cell>
          <cell r="H189">
            <v>130.1</v>
          </cell>
          <cell r="I189">
            <v>0.32479999999999998</v>
          </cell>
          <cell r="T189" t="str">
            <v>2 -0.66%</v>
          </cell>
          <cell r="U189">
            <v>0</v>
          </cell>
        </row>
        <row r="190">
          <cell r="A190">
            <v>43384</v>
          </cell>
          <cell r="E190">
            <v>96.037999999999997</v>
          </cell>
          <cell r="F190">
            <v>94.42</v>
          </cell>
          <cell r="H190">
            <v>136.91999999999999</v>
          </cell>
          <cell r="I190">
            <v>0.4088</v>
          </cell>
          <cell r="T190" t="str">
            <v>2 -2.32%</v>
          </cell>
          <cell r="U190">
            <v>0</v>
          </cell>
        </row>
        <row r="191">
          <cell r="A191">
            <v>43385</v>
          </cell>
          <cell r="E191">
            <v>96.215000000000003</v>
          </cell>
          <cell r="F191">
            <v>94.6</v>
          </cell>
          <cell r="H191">
            <v>138.13</v>
          </cell>
          <cell r="I191">
            <v>0.41909999999999997</v>
          </cell>
          <cell r="T191" t="str">
            <v>2 2.06%</v>
          </cell>
          <cell r="U191">
            <v>0</v>
          </cell>
        </row>
        <row r="192">
          <cell r="A192">
            <v>43388</v>
          </cell>
          <cell r="E192">
            <v>95.98</v>
          </cell>
          <cell r="F192">
            <v>94.18</v>
          </cell>
          <cell r="H192">
            <v>139.30000000000001</v>
          </cell>
          <cell r="I192">
            <v>0.43319999999999997</v>
          </cell>
          <cell r="T192" t="str">
            <v>2 0.79%</v>
          </cell>
          <cell r="U192">
            <v>0</v>
          </cell>
        </row>
        <row r="193">
          <cell r="A193">
            <v>43389</v>
          </cell>
          <cell r="E193">
            <v>95.498999999999995</v>
          </cell>
          <cell r="F193">
            <v>93.75</v>
          </cell>
          <cell r="H193">
            <v>141.28</v>
          </cell>
          <cell r="I193">
            <v>0.45779999999999998</v>
          </cell>
          <cell r="T193" t="str">
            <v>2 -0.96%</v>
          </cell>
          <cell r="U193">
            <v>0</v>
          </cell>
        </row>
        <row r="194">
          <cell r="A194">
            <v>43390</v>
          </cell>
          <cell r="E194">
            <v>95.396000000000001</v>
          </cell>
          <cell r="F194">
            <v>93.79</v>
          </cell>
          <cell r="H194">
            <v>140.08000000000001</v>
          </cell>
          <cell r="I194">
            <v>0.44679999999999997</v>
          </cell>
          <cell r="T194" t="str">
            <v>2 -2.16%</v>
          </cell>
          <cell r="U194">
            <v>0</v>
          </cell>
        </row>
        <row r="195">
          <cell r="A195">
            <v>43391</v>
          </cell>
          <cell r="E195">
            <v>94.741</v>
          </cell>
          <cell r="F195">
            <v>93.132000000000005</v>
          </cell>
          <cell r="H195">
            <v>141.74</v>
          </cell>
          <cell r="I195">
            <v>0.47</v>
          </cell>
          <cell r="T195" t="str">
            <v>1 -1.19%</v>
          </cell>
          <cell r="U195">
            <v>0</v>
          </cell>
        </row>
        <row r="196">
          <cell r="A196">
            <v>43392</v>
          </cell>
          <cell r="E196">
            <v>95.543000000000006</v>
          </cell>
          <cell r="F196">
            <v>93.51</v>
          </cell>
          <cell r="H196">
            <v>139.16999999999999</v>
          </cell>
          <cell r="I196">
            <v>0.43630000000000002</v>
          </cell>
          <cell r="T196" t="str">
            <v>2 3.61%</v>
          </cell>
          <cell r="U196">
            <v>0</v>
          </cell>
        </row>
        <row r="197">
          <cell r="A197">
            <v>43395</v>
          </cell>
          <cell r="E197">
            <v>96.706000000000003</v>
          </cell>
          <cell r="F197">
            <v>95.299000000000007</v>
          </cell>
          <cell r="H197">
            <v>134.86000000000001</v>
          </cell>
          <cell r="I197">
            <v>0.38150000000000001</v>
          </cell>
          <cell r="T197" t="str">
            <v>3 2.12%</v>
          </cell>
          <cell r="U197">
            <v>0</v>
          </cell>
        </row>
        <row r="198">
          <cell r="A198">
            <v>43396</v>
          </cell>
          <cell r="E198">
            <v>96.37</v>
          </cell>
          <cell r="F198">
            <v>94.763999999999996</v>
          </cell>
          <cell r="H198">
            <v>136.22999999999999</v>
          </cell>
          <cell r="I198">
            <v>0.39860000000000001</v>
          </cell>
          <cell r="T198" t="str">
            <v>3 -0.74%</v>
          </cell>
          <cell r="U198">
            <v>0</v>
          </cell>
        </row>
        <row r="199">
          <cell r="A199">
            <v>43397</v>
          </cell>
          <cell r="E199">
            <v>96.456999999999994</v>
          </cell>
          <cell r="F199">
            <v>94.8</v>
          </cell>
          <cell r="H199">
            <v>136.52000000000001</v>
          </cell>
          <cell r="I199">
            <v>0.4007</v>
          </cell>
          <cell r="T199" t="str">
            <v>2 0.16%</v>
          </cell>
          <cell r="U199">
            <v>0</v>
          </cell>
        </row>
        <row r="200">
          <cell r="A200">
            <v>43398</v>
          </cell>
          <cell r="E200">
            <v>96.3</v>
          </cell>
          <cell r="F200">
            <v>94.51</v>
          </cell>
          <cell r="H200">
            <v>136.91</v>
          </cell>
          <cell r="I200">
            <v>0.40610000000000002</v>
          </cell>
          <cell r="T200" t="str">
            <v>3 -0.24%</v>
          </cell>
          <cell r="U200">
            <v>0</v>
          </cell>
        </row>
        <row r="201">
          <cell r="A201">
            <v>43399</v>
          </cell>
          <cell r="E201">
            <v>96.566999999999993</v>
          </cell>
          <cell r="F201">
            <v>95.001999999999995</v>
          </cell>
          <cell r="H201">
            <v>137.44999999999999</v>
          </cell>
          <cell r="I201">
            <v>0.40889999999999999</v>
          </cell>
          <cell r="T201" t="str">
            <v>2 -0.30%</v>
          </cell>
          <cell r="U201">
            <v>0</v>
          </cell>
        </row>
        <row r="202">
          <cell r="A202">
            <v>43402</v>
          </cell>
          <cell r="E202">
            <v>96.222999999999999</v>
          </cell>
          <cell r="F202">
            <v>94.45</v>
          </cell>
          <cell r="H202">
            <v>139.55000000000001</v>
          </cell>
          <cell r="I202">
            <v>0.43330000000000002</v>
          </cell>
          <cell r="T202" t="str">
            <v>2 -1.25%</v>
          </cell>
          <cell r="U202">
            <v>0</v>
          </cell>
        </row>
        <row r="203">
          <cell r="A203">
            <v>43403</v>
          </cell>
          <cell r="E203">
            <v>96.375</v>
          </cell>
          <cell r="F203">
            <v>94.49</v>
          </cell>
          <cell r="H203">
            <v>138.25</v>
          </cell>
          <cell r="I203">
            <v>0.41880000000000001</v>
          </cell>
          <cell r="T203" t="str">
            <v>2 0.81%</v>
          </cell>
          <cell r="U203">
            <v>0</v>
          </cell>
        </row>
        <row r="204">
          <cell r="A204">
            <v>43404</v>
          </cell>
          <cell r="E204">
            <v>96.731999999999999</v>
          </cell>
          <cell r="F204">
            <v>94.888000000000005</v>
          </cell>
          <cell r="H204">
            <v>137.08000000000001</v>
          </cell>
          <cell r="I204">
            <v>0.40350000000000003</v>
          </cell>
          <cell r="T204" t="str">
            <v>2 1.14%</v>
          </cell>
          <cell r="U204">
            <v>0</v>
          </cell>
        </row>
        <row r="205">
          <cell r="A205">
            <v>43405</v>
          </cell>
          <cell r="E205">
            <v>97.052000000000007</v>
          </cell>
          <cell r="F205">
            <v>95.25</v>
          </cell>
          <cell r="H205">
            <v>136.94</v>
          </cell>
          <cell r="I205">
            <v>0.39889999999999998</v>
          </cell>
          <cell r="T205" t="str">
            <v>1 1.40%</v>
          </cell>
          <cell r="U205" t="str">
            <v>1 1.00%</v>
          </cell>
        </row>
        <row r="206">
          <cell r="A206">
            <v>43406</v>
          </cell>
          <cell r="E206">
            <v>98.313000000000002</v>
          </cell>
          <cell r="F206">
            <v>96.399000000000001</v>
          </cell>
          <cell r="H206">
            <v>135.24</v>
          </cell>
          <cell r="I206">
            <v>0.36930000000000002</v>
          </cell>
          <cell r="T206" t="str">
            <v>2 1.88%</v>
          </cell>
          <cell r="U206" t="str">
            <v>1 2.23%</v>
          </cell>
        </row>
        <row r="207">
          <cell r="A207">
            <v>43409</v>
          </cell>
          <cell r="E207">
            <v>98.587000000000003</v>
          </cell>
          <cell r="F207">
            <v>96.78</v>
          </cell>
          <cell r="H207">
            <v>135.26</v>
          </cell>
          <cell r="I207">
            <v>0.36670000000000003</v>
          </cell>
          <cell r="T207" t="str">
            <v>3 -1.41%</v>
          </cell>
          <cell r="U207">
            <v>0</v>
          </cell>
        </row>
        <row r="208">
          <cell r="A208">
            <v>43410</v>
          </cell>
          <cell r="E208">
            <v>98.260999999999996</v>
          </cell>
          <cell r="F208">
            <v>96.3</v>
          </cell>
          <cell r="H208">
            <v>134.16999999999999</v>
          </cell>
          <cell r="I208">
            <v>0.35909999999999997</v>
          </cell>
          <cell r="T208" t="str">
            <v>2 0.06%</v>
          </cell>
          <cell r="U208" t="str">
            <v>1 1.16%</v>
          </cell>
        </row>
        <row r="209">
          <cell r="A209">
            <v>43411</v>
          </cell>
          <cell r="E209">
            <v>98.263000000000005</v>
          </cell>
          <cell r="F209">
            <v>96.6</v>
          </cell>
          <cell r="H209">
            <v>134.66999999999999</v>
          </cell>
          <cell r="I209">
            <v>0.36409999999999998</v>
          </cell>
          <cell r="T209" t="str">
            <v>2 -0.03%</v>
          </cell>
          <cell r="U209" t="str">
            <v>1 -0.74%</v>
          </cell>
        </row>
        <row r="210">
          <cell r="A210">
            <v>43412</v>
          </cell>
          <cell r="E210">
            <v>98.15</v>
          </cell>
          <cell r="F210">
            <v>96.352999999999994</v>
          </cell>
          <cell r="H210">
            <v>135.07</v>
          </cell>
          <cell r="I210">
            <v>0.36919999999999997</v>
          </cell>
          <cell r="T210" t="str">
            <v>2 -0.76%</v>
          </cell>
          <cell r="U210" t="str">
            <v>1 1.98%</v>
          </cell>
        </row>
        <row r="211">
          <cell r="A211">
            <v>43413</v>
          </cell>
          <cell r="E211">
            <v>97.733999999999995</v>
          </cell>
          <cell r="F211">
            <v>96.2</v>
          </cell>
          <cell r="H211">
            <v>134.87</v>
          </cell>
          <cell r="I211">
            <v>0.37130000000000002</v>
          </cell>
          <cell r="T211" t="str">
            <v>2 -0.19%</v>
          </cell>
          <cell r="U211">
            <v>0</v>
          </cell>
        </row>
        <row r="212">
          <cell r="A212">
            <v>43416</v>
          </cell>
          <cell r="E212">
            <v>98.367999999999995</v>
          </cell>
          <cell r="F212">
            <v>96.671000000000006</v>
          </cell>
          <cell r="H212">
            <v>132.07</v>
          </cell>
          <cell r="I212">
            <v>0.33700000000000002</v>
          </cell>
          <cell r="T212" t="str">
            <v>3 1.28%</v>
          </cell>
          <cell r="U212">
            <v>0</v>
          </cell>
        </row>
        <row r="213">
          <cell r="A213">
            <v>43417</v>
          </cell>
          <cell r="E213">
            <v>98.89</v>
          </cell>
          <cell r="F213">
            <v>97.206000000000003</v>
          </cell>
          <cell r="H213">
            <v>131.03</v>
          </cell>
          <cell r="I213">
            <v>0.32140000000000002</v>
          </cell>
          <cell r="T213" t="str">
            <v>3 0.36%</v>
          </cell>
          <cell r="U213">
            <v>0</v>
          </cell>
        </row>
        <row r="214">
          <cell r="A214">
            <v>43418</v>
          </cell>
          <cell r="E214">
            <v>99.204999999999998</v>
          </cell>
          <cell r="F214">
            <v>97.94</v>
          </cell>
          <cell r="H214">
            <v>131.96</v>
          </cell>
          <cell r="I214">
            <v>0.32750000000000001</v>
          </cell>
          <cell r="T214" t="str">
            <v>3 2.18%</v>
          </cell>
          <cell r="U214">
            <v>0</v>
          </cell>
        </row>
        <row r="215">
          <cell r="A215">
            <v>43419</v>
          </cell>
          <cell r="E215">
            <v>100.021</v>
          </cell>
          <cell r="F215">
            <v>98.204999999999998</v>
          </cell>
          <cell r="H215">
            <v>131.35</v>
          </cell>
          <cell r="I215">
            <v>0.31330000000000002</v>
          </cell>
          <cell r="T215" t="str">
            <v>3 0.89%</v>
          </cell>
          <cell r="U215">
            <v>0</v>
          </cell>
        </row>
        <row r="216">
          <cell r="A216">
            <v>43420</v>
          </cell>
          <cell r="E216">
            <v>100.5</v>
          </cell>
          <cell r="F216">
            <v>99.18</v>
          </cell>
          <cell r="H216">
            <v>130.88999999999999</v>
          </cell>
          <cell r="I216">
            <v>0.3039</v>
          </cell>
          <cell r="T216" t="str">
            <v>2 -0.01%</v>
          </cell>
          <cell r="U216" t="str">
            <v>1 2.56%</v>
          </cell>
        </row>
        <row r="217">
          <cell r="A217">
            <v>43423</v>
          </cell>
          <cell r="E217">
            <v>100.587</v>
          </cell>
          <cell r="F217">
            <v>99.361000000000004</v>
          </cell>
          <cell r="H217">
            <v>130.56</v>
          </cell>
          <cell r="I217">
            <v>0.29970000000000002</v>
          </cell>
          <cell r="T217" t="str">
            <v>3 1.15%</v>
          </cell>
          <cell r="U217" t="str">
            <v>1 -1.28%</v>
          </cell>
        </row>
        <row r="218">
          <cell r="A218">
            <v>43424</v>
          </cell>
          <cell r="E218">
            <v>99.463999999999999</v>
          </cell>
          <cell r="F218">
            <v>98.54</v>
          </cell>
          <cell r="H218">
            <v>132.31</v>
          </cell>
          <cell r="I218">
            <v>0.32850000000000001</v>
          </cell>
          <cell r="T218" t="str">
            <v>3 -1.88%</v>
          </cell>
          <cell r="U218">
            <v>0</v>
          </cell>
        </row>
        <row r="219">
          <cell r="A219">
            <v>43425</v>
          </cell>
          <cell r="E219">
            <v>99.543999999999997</v>
          </cell>
          <cell r="F219">
            <v>98.481999999999999</v>
          </cell>
          <cell r="H219">
            <v>131.63999999999999</v>
          </cell>
          <cell r="I219">
            <v>0.32090000000000002</v>
          </cell>
          <cell r="T219" t="str">
            <v>2 -0.06%</v>
          </cell>
          <cell r="U219" t="str">
            <v>1 4.47%</v>
          </cell>
        </row>
        <row r="220">
          <cell r="A220">
            <v>43426</v>
          </cell>
          <cell r="E220">
            <v>99.510999999999996</v>
          </cell>
          <cell r="F220">
            <v>98.5</v>
          </cell>
          <cell r="H220">
            <v>131.11000000000001</v>
          </cell>
          <cell r="I220">
            <v>0.316</v>
          </cell>
          <cell r="T220" t="str">
            <v>2 -0.35%</v>
          </cell>
          <cell r="U220" t="str">
            <v>1 0.00%</v>
          </cell>
        </row>
        <row r="221">
          <cell r="A221">
            <v>43427</v>
          </cell>
          <cell r="E221">
            <v>98.965999999999994</v>
          </cell>
          <cell r="F221">
            <v>97.444999999999993</v>
          </cell>
          <cell r="H221">
            <v>135.04</v>
          </cell>
          <cell r="I221">
            <v>0.36070000000000002</v>
          </cell>
          <cell r="T221" t="str">
            <v>2 -1.16%</v>
          </cell>
          <cell r="U221" t="str">
            <v>1 -1.43%</v>
          </cell>
        </row>
        <row r="222">
          <cell r="A222">
            <v>43430</v>
          </cell>
          <cell r="E222">
            <v>98.924999999999997</v>
          </cell>
          <cell r="F222">
            <v>97.45</v>
          </cell>
          <cell r="H222">
            <v>135</v>
          </cell>
          <cell r="I222">
            <v>0.36070000000000002</v>
          </cell>
          <cell r="T222" t="str">
            <v>3 -0.82%</v>
          </cell>
          <cell r="U222">
            <v>0</v>
          </cell>
        </row>
        <row r="223">
          <cell r="A223">
            <v>43431</v>
          </cell>
          <cell r="E223">
            <v>99.123000000000005</v>
          </cell>
          <cell r="F223">
            <v>97.67</v>
          </cell>
          <cell r="H223">
            <v>134.19</v>
          </cell>
          <cell r="I223">
            <v>0.35060000000000002</v>
          </cell>
          <cell r="T223" t="str">
            <v>2 0.22%</v>
          </cell>
          <cell r="U223" t="str">
            <v>1 1.99%</v>
          </cell>
        </row>
        <row r="224">
          <cell r="A224">
            <v>43432</v>
          </cell>
          <cell r="E224">
            <v>99.6</v>
          </cell>
          <cell r="F224">
            <v>98.3</v>
          </cell>
          <cell r="H224">
            <v>133.13</v>
          </cell>
          <cell r="I224">
            <v>0.33529999999999999</v>
          </cell>
          <cell r="T224" t="str">
            <v>2 0.55%</v>
          </cell>
          <cell r="U224" t="str">
            <v>1 0.08%</v>
          </cell>
        </row>
        <row r="225">
          <cell r="A225">
            <v>43433</v>
          </cell>
          <cell r="E225">
            <v>99.198999999999998</v>
          </cell>
          <cell r="F225">
            <v>97.72</v>
          </cell>
          <cell r="H225">
            <v>135.33000000000001</v>
          </cell>
          <cell r="I225">
            <v>0.36130000000000001</v>
          </cell>
          <cell r="T225" t="str">
            <v>3 -0.70%</v>
          </cell>
          <cell r="U225">
            <v>0</v>
          </cell>
        </row>
        <row r="226">
          <cell r="A226">
            <v>43434</v>
          </cell>
          <cell r="E226">
            <v>99.311000000000007</v>
          </cell>
          <cell r="F226">
            <v>97.715000000000003</v>
          </cell>
          <cell r="H226">
            <v>134.13999999999999</v>
          </cell>
          <cell r="I226">
            <v>0.3483</v>
          </cell>
          <cell r="T226" t="str">
            <v>2 0.60%</v>
          </cell>
          <cell r="U226" t="str">
            <v>1 0.77%</v>
          </cell>
        </row>
        <row r="227">
          <cell r="A227">
            <v>43437</v>
          </cell>
          <cell r="E227">
            <v>100.34399999999999</v>
          </cell>
          <cell r="F227">
            <v>98.91</v>
          </cell>
          <cell r="H227">
            <v>131.58000000000001</v>
          </cell>
          <cell r="I227">
            <v>0.31240000000000001</v>
          </cell>
          <cell r="T227" t="str">
            <v>2 0.93%</v>
          </cell>
          <cell r="U227" t="str">
            <v>1 2.61%</v>
          </cell>
        </row>
        <row r="228">
          <cell r="A228">
            <v>43438</v>
          </cell>
          <cell r="E228">
            <v>100.456</v>
          </cell>
          <cell r="F228">
            <v>99.37</v>
          </cell>
          <cell r="H228">
            <v>131.03</v>
          </cell>
          <cell r="I228">
            <v>0.30570000000000003</v>
          </cell>
          <cell r="T228" t="str">
            <v>2 0.36%</v>
          </cell>
          <cell r="U228" t="str">
            <v>1 -0.07%</v>
          </cell>
        </row>
        <row r="229">
          <cell r="A229">
            <v>43439</v>
          </cell>
          <cell r="E229">
            <v>100.489</v>
          </cell>
          <cell r="F229">
            <v>99.239000000000004</v>
          </cell>
          <cell r="H229">
            <v>132.08000000000001</v>
          </cell>
          <cell r="I229">
            <v>0.316</v>
          </cell>
          <cell r="T229" t="str">
            <v>2 0.10%</v>
          </cell>
          <cell r="U229" t="str">
            <v>1 2.50%</v>
          </cell>
        </row>
        <row r="230">
          <cell r="A230">
            <v>43440</v>
          </cell>
          <cell r="E230">
            <v>100.206</v>
          </cell>
          <cell r="F230">
            <v>98.89</v>
          </cell>
          <cell r="H230">
            <v>133.91999999999999</v>
          </cell>
          <cell r="I230">
            <v>0.33710000000000001</v>
          </cell>
          <cell r="T230" t="str">
            <v>2 -0.94%</v>
          </cell>
          <cell r="U230" t="str">
            <v>1 -2.30%</v>
          </cell>
        </row>
        <row r="231">
          <cell r="A231">
            <v>43441</v>
          </cell>
          <cell r="E231">
            <v>100.178</v>
          </cell>
          <cell r="F231">
            <v>98.84</v>
          </cell>
          <cell r="H231">
            <v>133.41999999999999</v>
          </cell>
          <cell r="I231">
            <v>0.33239999999999997</v>
          </cell>
          <cell r="T231" t="str">
            <v>2 0.25%</v>
          </cell>
          <cell r="U231" t="str">
            <v>1 -0.82%</v>
          </cell>
        </row>
        <row r="232">
          <cell r="A232">
            <v>43444</v>
          </cell>
          <cell r="E232">
            <v>99.831000000000003</v>
          </cell>
          <cell r="F232">
            <v>98.594999999999999</v>
          </cell>
          <cell r="H232">
            <v>134.13</v>
          </cell>
          <cell r="I232">
            <v>0.34300000000000003</v>
          </cell>
          <cell r="T232" t="str">
            <v>3 -0.76%</v>
          </cell>
          <cell r="U232">
            <v>0</v>
          </cell>
        </row>
        <row r="233">
          <cell r="A233">
            <v>43445</v>
          </cell>
          <cell r="E233">
            <v>99.781999999999996</v>
          </cell>
          <cell r="F233">
            <v>98.66</v>
          </cell>
          <cell r="H233">
            <v>132.55000000000001</v>
          </cell>
          <cell r="I233">
            <v>0.3276</v>
          </cell>
          <cell r="T233" t="str">
            <v>2 0.01%</v>
          </cell>
          <cell r="U233" t="str">
            <v>1 0.15%</v>
          </cell>
        </row>
        <row r="234">
          <cell r="A234">
            <v>43446</v>
          </cell>
          <cell r="E234">
            <v>99.878</v>
          </cell>
          <cell r="F234">
            <v>98.85</v>
          </cell>
          <cell r="H234">
            <v>131.15</v>
          </cell>
          <cell r="I234">
            <v>0.31269999999999998</v>
          </cell>
          <cell r="T234" t="str">
            <v>3 -0.17%</v>
          </cell>
          <cell r="U234">
            <v>0</v>
          </cell>
        </row>
        <row r="235">
          <cell r="A235">
            <v>43447</v>
          </cell>
          <cell r="E235">
            <v>100.396</v>
          </cell>
          <cell r="F235">
            <v>99.3</v>
          </cell>
          <cell r="H235">
            <v>130.71</v>
          </cell>
          <cell r="I235">
            <v>0.30320000000000003</v>
          </cell>
          <cell r="T235" t="str">
            <v>3 1.07%</v>
          </cell>
          <cell r="U235">
            <v>0</v>
          </cell>
        </row>
        <row r="236">
          <cell r="A236">
            <v>43448</v>
          </cell>
          <cell r="E236">
            <v>100.01600000000001</v>
          </cell>
          <cell r="F236">
            <v>99.1</v>
          </cell>
          <cell r="H236">
            <v>133.18</v>
          </cell>
          <cell r="I236">
            <v>0.33160000000000001</v>
          </cell>
          <cell r="T236" t="str">
            <v>3 -0.63%</v>
          </cell>
          <cell r="U236">
            <v>0</v>
          </cell>
        </row>
        <row r="237">
          <cell r="A237">
            <v>43451</v>
          </cell>
          <cell r="E237">
            <v>99.799000000000007</v>
          </cell>
          <cell r="F237">
            <v>98.6</v>
          </cell>
          <cell r="H237">
            <v>133.07</v>
          </cell>
          <cell r="I237">
            <v>0.3327</v>
          </cell>
          <cell r="T237" t="str">
            <v>3 0.35%</v>
          </cell>
          <cell r="U237">
            <v>0</v>
          </cell>
        </row>
        <row r="238">
          <cell r="A238">
            <v>43452</v>
          </cell>
          <cell r="E238">
            <v>99.387</v>
          </cell>
          <cell r="F238">
            <v>98.49</v>
          </cell>
          <cell r="H238">
            <v>133.35</v>
          </cell>
          <cell r="I238">
            <v>0.33960000000000001</v>
          </cell>
          <cell r="T238" t="str">
            <v>3 -0.47%</v>
          </cell>
          <cell r="U238">
            <v>0</v>
          </cell>
        </row>
        <row r="239">
          <cell r="A239">
            <v>43453</v>
          </cell>
          <cell r="E239">
            <v>98.991</v>
          </cell>
          <cell r="F239">
            <v>98.295000000000002</v>
          </cell>
          <cell r="H239">
            <v>133.81</v>
          </cell>
          <cell r="I239">
            <v>0.34820000000000001</v>
          </cell>
          <cell r="T239" t="str">
            <v>3 -1.15%</v>
          </cell>
          <cell r="U239">
            <v>0</v>
          </cell>
        </row>
        <row r="240">
          <cell r="A240">
            <v>43454</v>
          </cell>
          <cell r="E240">
            <v>98.658000000000001</v>
          </cell>
          <cell r="F240">
            <v>98.09</v>
          </cell>
          <cell r="H240">
            <v>132.63999999999999</v>
          </cell>
          <cell r="I240">
            <v>0.33989999999999998</v>
          </cell>
          <cell r="T240" t="str">
            <v>3 -0.28%</v>
          </cell>
          <cell r="U240">
            <v>0</v>
          </cell>
        </row>
        <row r="241">
          <cell r="A241">
            <v>43455</v>
          </cell>
          <cell r="E241">
            <v>98.015000000000001</v>
          </cell>
          <cell r="F241">
            <v>97.626000000000005</v>
          </cell>
          <cell r="H241">
            <v>132.31</v>
          </cell>
          <cell r="I241">
            <v>0.34289999999999998</v>
          </cell>
          <cell r="T241" t="str">
            <v>2 -1.73%</v>
          </cell>
          <cell r="U241">
            <v>0</v>
          </cell>
        </row>
        <row r="242">
          <cell r="A242">
            <v>43458</v>
          </cell>
          <cell r="E242">
            <v>98.114999999999995</v>
          </cell>
          <cell r="F242">
            <v>97.760999999999996</v>
          </cell>
          <cell r="H242">
            <v>130.69</v>
          </cell>
          <cell r="I242">
            <v>0.32569999999999999</v>
          </cell>
          <cell r="T242" t="str">
            <v>2 0.25%</v>
          </cell>
          <cell r="U242">
            <v>0</v>
          </cell>
        </row>
        <row r="243">
          <cell r="A243">
            <v>43459</v>
          </cell>
          <cell r="E243">
            <v>97.771000000000001</v>
          </cell>
          <cell r="F243">
            <v>97.504999999999995</v>
          </cell>
          <cell r="H243">
            <v>131.13999999999999</v>
          </cell>
          <cell r="I243">
            <v>0.3337</v>
          </cell>
          <cell r="T243" t="str">
            <v>2 0.32%</v>
          </cell>
          <cell r="U243">
            <v>0</v>
          </cell>
        </row>
        <row r="244">
          <cell r="A244">
            <v>43460</v>
          </cell>
          <cell r="E244">
            <v>97.733000000000004</v>
          </cell>
          <cell r="F244">
            <v>97.3</v>
          </cell>
          <cell r="H244">
            <v>130.94999999999999</v>
          </cell>
          <cell r="I244">
            <v>0.3322</v>
          </cell>
          <cell r="T244" t="str">
            <v>2 0.55%</v>
          </cell>
          <cell r="U244">
            <v>0</v>
          </cell>
        </row>
        <row r="245">
          <cell r="A245">
            <v>43461</v>
          </cell>
          <cell r="E245">
            <v>97.7</v>
          </cell>
          <cell r="F245">
            <v>97.51</v>
          </cell>
          <cell r="H245">
            <v>132.63999999999999</v>
          </cell>
          <cell r="I245">
            <v>0.34939999999999999</v>
          </cell>
          <cell r="T245" t="str">
            <v>2 -0.79%</v>
          </cell>
          <cell r="U245">
            <v>0</v>
          </cell>
        </row>
        <row r="246">
          <cell r="A246">
            <v>43462</v>
          </cell>
          <cell r="E246">
            <v>97.796000000000006</v>
          </cell>
          <cell r="F246">
            <v>97.602000000000004</v>
          </cell>
          <cell r="H246">
            <v>132.55000000000001</v>
          </cell>
          <cell r="I246">
            <v>0.34749999999999998</v>
          </cell>
          <cell r="T246" t="str">
            <v>2 -0.32%</v>
          </cell>
          <cell r="U246">
            <v>0</v>
          </cell>
        </row>
        <row r="247">
          <cell r="A247">
            <v>43467</v>
          </cell>
          <cell r="E247">
            <v>97.597999999999999</v>
          </cell>
          <cell r="F247">
            <v>97.21</v>
          </cell>
          <cell r="H247">
            <v>132.1</v>
          </cell>
          <cell r="I247">
            <v>0.34510000000000002</v>
          </cell>
          <cell r="T247" t="str">
            <v>1 -1.29%</v>
          </cell>
          <cell r="U247">
            <v>0</v>
          </cell>
        </row>
        <row r="248">
          <cell r="A248">
            <v>43468</v>
          </cell>
          <cell r="E248">
            <v>97.78</v>
          </cell>
          <cell r="F248">
            <v>97.06</v>
          </cell>
          <cell r="H248">
            <v>133.47</v>
          </cell>
          <cell r="I248">
            <v>0.3569</v>
          </cell>
          <cell r="T248" t="str">
            <v>1 -0.78%</v>
          </cell>
          <cell r="U248">
            <v>0</v>
          </cell>
        </row>
        <row r="249">
          <cell r="A249">
            <v>43469</v>
          </cell>
          <cell r="E249">
            <v>98.631</v>
          </cell>
          <cell r="F249">
            <v>97.77</v>
          </cell>
          <cell r="H249">
            <v>131.69999999999999</v>
          </cell>
          <cell r="I249">
            <v>0.33069999999999999</v>
          </cell>
          <cell r="T249" t="str">
            <v>1 0.70%</v>
          </cell>
          <cell r="U249">
            <v>0</v>
          </cell>
        </row>
        <row r="250">
          <cell r="A250">
            <v>43472</v>
          </cell>
          <cell r="E250">
            <v>99.846999999999994</v>
          </cell>
          <cell r="F250">
            <v>98.5</v>
          </cell>
          <cell r="H250">
            <v>132.13999999999999</v>
          </cell>
          <cell r="I250">
            <v>0.32290000000000002</v>
          </cell>
          <cell r="T250" t="str">
            <v>4 4.13%</v>
          </cell>
          <cell r="U250">
            <v>0</v>
          </cell>
        </row>
        <row r="251">
          <cell r="A251">
            <v>43473</v>
          </cell>
          <cell r="E251">
            <v>100.036</v>
          </cell>
          <cell r="F251">
            <v>98.450999999999993</v>
          </cell>
          <cell r="H251">
            <v>132.55000000000001</v>
          </cell>
          <cell r="I251">
            <v>0.32519999999999999</v>
          </cell>
          <cell r="T251" t="str">
            <v>4 0.37%</v>
          </cell>
          <cell r="U251">
            <v>0</v>
          </cell>
        </row>
        <row r="252">
          <cell r="A252">
            <v>43474</v>
          </cell>
          <cell r="E252">
            <v>100.651</v>
          </cell>
          <cell r="F252">
            <v>99.545000000000002</v>
          </cell>
          <cell r="H252">
            <v>133.38</v>
          </cell>
          <cell r="I252">
            <v>0.32729999999999998</v>
          </cell>
          <cell r="T252" t="str">
            <v>4 -0.57%</v>
          </cell>
          <cell r="U252">
            <v>0</v>
          </cell>
        </row>
        <row r="253">
          <cell r="A253">
            <v>43475</v>
          </cell>
          <cell r="E253">
            <v>100.884</v>
          </cell>
          <cell r="F253">
            <v>99.8</v>
          </cell>
          <cell r="H253">
            <v>133.96</v>
          </cell>
          <cell r="I253">
            <v>0.33079999999999998</v>
          </cell>
          <cell r="T253" t="str">
            <v>2 -0.09%</v>
          </cell>
          <cell r="U253" t="str">
            <v>1 8.74%</v>
          </cell>
        </row>
        <row r="254">
          <cell r="A254">
            <v>43476</v>
          </cell>
          <cell r="E254">
            <v>101.256</v>
          </cell>
          <cell r="F254">
            <v>99.81</v>
          </cell>
          <cell r="H254">
            <v>133.79</v>
          </cell>
          <cell r="I254">
            <v>0.32529999999999998</v>
          </cell>
          <cell r="T254" t="str">
            <v>2 0.45%</v>
          </cell>
          <cell r="U254" t="str">
            <v>1 -1.80%</v>
          </cell>
        </row>
        <row r="255">
          <cell r="A255">
            <v>43479</v>
          </cell>
          <cell r="E255">
            <v>100.952</v>
          </cell>
          <cell r="F255">
            <v>99.911000000000001</v>
          </cell>
          <cell r="H255">
            <v>133.85</v>
          </cell>
          <cell r="I255">
            <v>0.32900000000000001</v>
          </cell>
          <cell r="T255" t="str">
            <v>2 0.11%</v>
          </cell>
          <cell r="U255" t="str">
            <v>1 -1.05%</v>
          </cell>
        </row>
        <row r="256">
          <cell r="A256">
            <v>43480</v>
          </cell>
          <cell r="E256">
            <v>101.473</v>
          </cell>
          <cell r="F256">
            <v>100.425</v>
          </cell>
          <cell r="H256">
            <v>133.54</v>
          </cell>
          <cell r="I256">
            <v>0.32069999999999999</v>
          </cell>
          <cell r="T256" t="str">
            <v>3 0.57%</v>
          </cell>
          <cell r="U256">
            <v>0</v>
          </cell>
        </row>
        <row r="257">
          <cell r="A257">
            <v>43481</v>
          </cell>
          <cell r="E257">
            <v>101.623</v>
          </cell>
          <cell r="F257">
            <v>100.51</v>
          </cell>
          <cell r="H257">
            <v>134.38</v>
          </cell>
          <cell r="I257">
            <v>0.3276</v>
          </cell>
          <cell r="T257" t="str">
            <v>2 -0.45%</v>
          </cell>
          <cell r="U257" t="str">
            <v>1 6.08%</v>
          </cell>
        </row>
        <row r="258">
          <cell r="A258">
            <v>43482</v>
          </cell>
          <cell r="E258">
            <v>101.30200000000001</v>
          </cell>
          <cell r="F258">
            <v>99.963999999999999</v>
          </cell>
          <cell r="H258">
            <v>135.22999999999999</v>
          </cell>
          <cell r="I258">
            <v>0.33929999999999999</v>
          </cell>
          <cell r="T258" t="str">
            <v>2 -0.37%</v>
          </cell>
          <cell r="U258" t="str">
            <v>1 -1.73%</v>
          </cell>
        </row>
        <row r="259">
          <cell r="A259">
            <v>43483</v>
          </cell>
          <cell r="E259">
            <v>101.497</v>
          </cell>
          <cell r="F259">
            <v>100.267</v>
          </cell>
          <cell r="H259">
            <v>134.63999999999999</v>
          </cell>
          <cell r="I259">
            <v>0.33150000000000002</v>
          </cell>
          <cell r="T259" t="str">
            <v>2 1.00%</v>
          </cell>
          <cell r="U259" t="str">
            <v>1 -3.26%</v>
          </cell>
        </row>
        <row r="260">
          <cell r="A260">
            <v>43486</v>
          </cell>
          <cell r="E260">
            <v>101.883</v>
          </cell>
          <cell r="F260">
            <v>100.5</v>
          </cell>
          <cell r="H260">
            <v>133.38</v>
          </cell>
          <cell r="I260">
            <v>0.315</v>
          </cell>
          <cell r="T260" t="str">
            <v>2 -0.07%</v>
          </cell>
          <cell r="U260" t="str">
            <v>1 -0.51%</v>
          </cell>
        </row>
        <row r="261">
          <cell r="A261">
            <v>43487</v>
          </cell>
          <cell r="E261">
            <v>101.599</v>
          </cell>
          <cell r="F261">
            <v>100.23</v>
          </cell>
          <cell r="H261">
            <v>133.94</v>
          </cell>
          <cell r="I261">
            <v>0.32350000000000001</v>
          </cell>
          <cell r="T261" t="str">
            <v>2 -0.90%</v>
          </cell>
          <cell r="U261" t="str">
            <v>1 0.07%</v>
          </cell>
        </row>
        <row r="262">
          <cell r="A262">
            <v>43488</v>
          </cell>
          <cell r="E262">
            <v>101.73399999999999</v>
          </cell>
          <cell r="F262">
            <v>100.24</v>
          </cell>
          <cell r="H262">
            <v>133.78</v>
          </cell>
          <cell r="I262">
            <v>0.32050000000000001</v>
          </cell>
          <cell r="T262" t="str">
            <v>3 0.18%</v>
          </cell>
          <cell r="U262">
            <v>0</v>
          </cell>
        </row>
        <row r="263">
          <cell r="A263">
            <v>43489</v>
          </cell>
          <cell r="E263">
            <v>102.256</v>
          </cell>
          <cell r="F263">
            <v>100.36499999999999</v>
          </cell>
          <cell r="H263">
            <v>134.11000000000001</v>
          </cell>
          <cell r="I263">
            <v>0.31859999999999999</v>
          </cell>
          <cell r="T263" t="str">
            <v>2 1.23%</v>
          </cell>
          <cell r="U263" t="str">
            <v>1 1.37%</v>
          </cell>
        </row>
        <row r="264">
          <cell r="A264">
            <v>43490</v>
          </cell>
          <cell r="E264">
            <v>102.745</v>
          </cell>
          <cell r="F264">
            <v>101.125</v>
          </cell>
          <cell r="H264">
            <v>135.78</v>
          </cell>
          <cell r="I264">
            <v>0.33040000000000003</v>
          </cell>
          <cell r="T264" t="str">
            <v>3 0.06%</v>
          </cell>
          <cell r="U264">
            <v>0</v>
          </cell>
        </row>
        <row r="265">
          <cell r="A265">
            <v>43493</v>
          </cell>
          <cell r="E265">
            <v>102.325</v>
          </cell>
          <cell r="F265">
            <v>100.735</v>
          </cell>
          <cell r="H265">
            <v>135.47999999999999</v>
          </cell>
          <cell r="I265">
            <v>0.33150000000000002</v>
          </cell>
          <cell r="T265" t="str">
            <v>3 -1.34%</v>
          </cell>
          <cell r="U265">
            <v>0</v>
          </cell>
        </row>
        <row r="266">
          <cell r="A266">
            <v>43494</v>
          </cell>
          <cell r="E266">
            <v>101.873</v>
          </cell>
          <cell r="F266">
            <v>100.49</v>
          </cell>
          <cell r="H266">
            <v>136.19</v>
          </cell>
          <cell r="I266">
            <v>0.34310000000000002</v>
          </cell>
          <cell r="T266" t="str">
            <v>3 -0.34%</v>
          </cell>
          <cell r="U266">
            <v>0</v>
          </cell>
        </row>
        <row r="267">
          <cell r="A267">
            <v>43495</v>
          </cell>
          <cell r="E267">
            <v>101.739</v>
          </cell>
          <cell r="F267">
            <v>100.205</v>
          </cell>
          <cell r="H267">
            <v>137.53</v>
          </cell>
          <cell r="I267">
            <v>0.35799999999999998</v>
          </cell>
          <cell r="T267" t="str">
            <v>3 -0.06%</v>
          </cell>
          <cell r="U267">
            <v>0</v>
          </cell>
        </row>
        <row r="268">
          <cell r="A268">
            <v>43496</v>
          </cell>
          <cell r="E268">
            <v>101.69499999999999</v>
          </cell>
          <cell r="F268">
            <v>100.07</v>
          </cell>
          <cell r="H268">
            <v>138.56</v>
          </cell>
          <cell r="I268">
            <v>0.36870000000000003</v>
          </cell>
          <cell r="T268" t="str">
            <v>3 0.91%</v>
          </cell>
          <cell r="U268">
            <v>0</v>
          </cell>
        </row>
        <row r="269">
          <cell r="A269">
            <v>43497</v>
          </cell>
          <cell r="E269">
            <v>102.89700000000001</v>
          </cell>
          <cell r="F269">
            <v>100.91</v>
          </cell>
          <cell r="H269">
            <v>135.94</v>
          </cell>
          <cell r="I269">
            <v>0.33050000000000002</v>
          </cell>
          <cell r="T269" t="str">
            <v>4 1.39%</v>
          </cell>
          <cell r="U269" t="str">
            <v>1 0.93%</v>
          </cell>
        </row>
        <row r="270">
          <cell r="A270">
            <v>43507</v>
          </cell>
          <cell r="E270">
            <v>103.85599999999999</v>
          </cell>
          <cell r="F270">
            <v>102.01</v>
          </cell>
          <cell r="H270">
            <v>135.62</v>
          </cell>
          <cell r="I270">
            <v>0.31759999999999999</v>
          </cell>
          <cell r="T270" t="str">
            <v>6 2.93%</v>
          </cell>
          <cell r="U270" t="str">
            <v>1 -0.17%</v>
          </cell>
        </row>
        <row r="271">
          <cell r="A271">
            <v>43508</v>
          </cell>
          <cell r="E271">
            <v>104.486</v>
          </cell>
          <cell r="F271">
            <v>102.66</v>
          </cell>
          <cell r="H271">
            <v>134.91999999999999</v>
          </cell>
          <cell r="I271">
            <v>0.3044</v>
          </cell>
          <cell r="T271" t="str">
            <v>7 0.80%</v>
          </cell>
          <cell r="U271" t="str">
            <v>1 1.62%</v>
          </cell>
        </row>
        <row r="272">
          <cell r="A272">
            <v>43509</v>
          </cell>
          <cell r="E272">
            <v>105.452</v>
          </cell>
          <cell r="F272">
            <v>103.5</v>
          </cell>
          <cell r="H272">
            <v>134.58000000000001</v>
          </cell>
          <cell r="I272">
            <v>0.2913</v>
          </cell>
          <cell r="T272" t="str">
            <v>8 1.20%</v>
          </cell>
          <cell r="U272" t="str">
            <v>1 0.70%</v>
          </cell>
        </row>
        <row r="273">
          <cell r="A273">
            <v>43510</v>
          </cell>
          <cell r="E273">
            <v>105.917</v>
          </cell>
          <cell r="F273">
            <v>104.01</v>
          </cell>
          <cell r="H273">
            <v>135.09</v>
          </cell>
          <cell r="I273">
            <v>0.29170000000000001</v>
          </cell>
          <cell r="T273" t="str">
            <v>7 0.42%</v>
          </cell>
          <cell r="U273" t="str">
            <v>2 1.37%</v>
          </cell>
        </row>
        <row r="274">
          <cell r="A274">
            <v>43511</v>
          </cell>
          <cell r="E274">
            <v>105.566</v>
          </cell>
          <cell r="F274">
            <v>104.32899999999999</v>
          </cell>
          <cell r="H274">
            <v>135.08000000000001</v>
          </cell>
          <cell r="I274">
            <v>0.29509999999999997</v>
          </cell>
          <cell r="T274" t="str">
            <v>5 -0.97%</v>
          </cell>
          <cell r="U274" t="str">
            <v>2 -1.01%</v>
          </cell>
        </row>
        <row r="275">
          <cell r="A275">
            <v>43514</v>
          </cell>
          <cell r="E275">
            <v>107.303</v>
          </cell>
          <cell r="F275">
            <v>105.61</v>
          </cell>
          <cell r="H275">
            <v>134.33000000000001</v>
          </cell>
          <cell r="I275">
            <v>0.2702</v>
          </cell>
          <cell r="T275" t="str">
            <v>6 2.47%</v>
          </cell>
          <cell r="U275" t="str">
            <v>4 3.06%</v>
          </cell>
        </row>
        <row r="276">
          <cell r="A276">
            <v>43515</v>
          </cell>
          <cell r="E276">
            <v>106.83799999999999</v>
          </cell>
          <cell r="F276">
            <v>105.81</v>
          </cell>
          <cell r="H276">
            <v>133.32</v>
          </cell>
          <cell r="I276">
            <v>0.26479999999999998</v>
          </cell>
          <cell r="T276" t="str">
            <v>7 -0.52%</v>
          </cell>
          <cell r="U276" t="str">
            <v>2 -1.24%</v>
          </cell>
        </row>
        <row r="277">
          <cell r="A277">
            <v>43516</v>
          </cell>
          <cell r="E277">
            <v>107.164</v>
          </cell>
          <cell r="F277">
            <v>105.84</v>
          </cell>
          <cell r="H277">
            <v>133.41</v>
          </cell>
          <cell r="I277">
            <v>0.26250000000000001</v>
          </cell>
          <cell r="T277" t="str">
            <v>10 2.00%</v>
          </cell>
          <cell r="U277" t="str">
            <v>2 0.06%</v>
          </cell>
        </row>
        <row r="278">
          <cell r="A278">
            <v>43517</v>
          </cell>
          <cell r="E278">
            <v>107.661</v>
          </cell>
          <cell r="F278">
            <v>106.07</v>
          </cell>
          <cell r="H278">
            <v>134.43</v>
          </cell>
          <cell r="I278">
            <v>0.2676</v>
          </cell>
          <cell r="T278" t="str">
            <v>10 0.20%</v>
          </cell>
          <cell r="U278" t="str">
            <v>3 4.30%</v>
          </cell>
        </row>
        <row r="279">
          <cell r="A279">
            <v>43518</v>
          </cell>
          <cell r="E279">
            <v>109.184</v>
          </cell>
          <cell r="F279">
            <v>107.146</v>
          </cell>
          <cell r="H279">
            <v>133.82</v>
          </cell>
          <cell r="I279">
            <v>0.24640000000000001</v>
          </cell>
          <cell r="T279" t="str">
            <v>10 2.48%</v>
          </cell>
          <cell r="U279" t="str">
            <v>4 8.93%</v>
          </cell>
        </row>
        <row r="280">
          <cell r="A280">
            <v>43521</v>
          </cell>
          <cell r="E280">
            <v>112.438</v>
          </cell>
          <cell r="F280">
            <v>109.99</v>
          </cell>
          <cell r="H280">
            <v>133.65</v>
          </cell>
          <cell r="I280">
            <v>0.2122</v>
          </cell>
          <cell r="T280" t="str">
            <v>14 3.30%</v>
          </cell>
          <cell r="U280" t="str">
            <v>9 10.84%</v>
          </cell>
        </row>
        <row r="281">
          <cell r="A281">
            <v>43522</v>
          </cell>
          <cell r="E281">
            <v>111.438</v>
          </cell>
          <cell r="F281">
            <v>109.45</v>
          </cell>
          <cell r="H281">
            <v>132.26</v>
          </cell>
          <cell r="I281">
            <v>0.2082</v>
          </cell>
          <cell r="T281" t="str">
            <v>11 -1.18%</v>
          </cell>
          <cell r="U281" t="str">
            <v>8 -4.62%</v>
          </cell>
        </row>
        <row r="282">
          <cell r="A282">
            <v>43523</v>
          </cell>
          <cell r="E282">
            <v>111.07</v>
          </cell>
          <cell r="F282">
            <v>109.6</v>
          </cell>
          <cell r="H282">
            <v>131.96</v>
          </cell>
          <cell r="I282">
            <v>0.2089</v>
          </cell>
          <cell r="T282" t="str">
            <v>12 -0.78%</v>
          </cell>
          <cell r="U282" t="str">
            <v>7 0.68%</v>
          </cell>
        </row>
        <row r="283">
          <cell r="A283">
            <v>43524</v>
          </cell>
          <cell r="E283">
            <v>111.26600000000001</v>
          </cell>
          <cell r="F283">
            <v>109.6</v>
          </cell>
          <cell r="H283">
            <v>132.25</v>
          </cell>
          <cell r="I283">
            <v>0.20979999999999999</v>
          </cell>
          <cell r="T283" t="str">
            <v>13 0.38%</v>
          </cell>
          <cell r="U283" t="str">
            <v>8 1.37%</v>
          </cell>
        </row>
        <row r="284">
          <cell r="A284">
            <v>43525</v>
          </cell>
          <cell r="E284">
            <v>111.633</v>
          </cell>
          <cell r="F284">
            <v>110.20099999999999</v>
          </cell>
          <cell r="H284">
            <v>132.34</v>
          </cell>
          <cell r="I284">
            <v>0.20710000000000001</v>
          </cell>
          <cell r="T284" t="str">
            <v>13 0.86%</v>
          </cell>
          <cell r="U284" t="str">
            <v>8 -0.24%</v>
          </cell>
        </row>
        <row r="285">
          <cell r="A285">
            <v>43528</v>
          </cell>
          <cell r="E285">
            <v>113.003</v>
          </cell>
          <cell r="F285">
            <v>111</v>
          </cell>
          <cell r="H285">
            <v>132.72999999999999</v>
          </cell>
          <cell r="I285">
            <v>0.19719999999999999</v>
          </cell>
          <cell r="T285" t="str">
            <v>15 2.43%</v>
          </cell>
          <cell r="U285" t="str">
            <v>9 2.73%</v>
          </cell>
        </row>
        <row r="286">
          <cell r="A286">
            <v>43529</v>
          </cell>
          <cell r="E286">
            <v>114.98699999999999</v>
          </cell>
          <cell r="F286">
            <v>112.34</v>
          </cell>
          <cell r="H286">
            <v>134.1</v>
          </cell>
          <cell r="I286">
            <v>0.19109999999999999</v>
          </cell>
          <cell r="T286" t="str">
            <v>22 2.57%</v>
          </cell>
          <cell r="U286" t="str">
            <v>10 2.70%</v>
          </cell>
        </row>
        <row r="287">
          <cell r="A287">
            <v>43530</v>
          </cell>
          <cell r="E287">
            <v>116.232</v>
          </cell>
          <cell r="F287">
            <v>113.35</v>
          </cell>
          <cell r="H287">
            <v>134.88999999999999</v>
          </cell>
          <cell r="I287">
            <v>0.1865</v>
          </cell>
          <cell r="T287" t="str">
            <v>23 1.62%</v>
          </cell>
          <cell r="U287" t="str">
            <v>11 1.10%</v>
          </cell>
        </row>
        <row r="288">
          <cell r="A288">
            <v>43531</v>
          </cell>
          <cell r="E288">
            <v>116.258</v>
          </cell>
          <cell r="F288">
            <v>113.22</v>
          </cell>
          <cell r="H288">
            <v>133.71</v>
          </cell>
          <cell r="I288">
            <v>0.17449999999999999</v>
          </cell>
          <cell r="T288" t="str">
            <v>20 -0.28%</v>
          </cell>
          <cell r="U288" t="str">
            <v>13 2.31%</v>
          </cell>
        </row>
        <row r="289">
          <cell r="A289">
            <v>43532</v>
          </cell>
          <cell r="E289">
            <v>113.70399999999999</v>
          </cell>
          <cell r="F289">
            <v>112.255</v>
          </cell>
          <cell r="H289">
            <v>133.99</v>
          </cell>
          <cell r="I289">
            <v>0.2029</v>
          </cell>
          <cell r="T289" t="str">
            <v>11 -1.42%</v>
          </cell>
          <cell r="U289" t="str">
            <v>11 -4.56%</v>
          </cell>
        </row>
        <row r="290">
          <cell r="A290">
            <v>43535</v>
          </cell>
          <cell r="E290">
            <v>116.286</v>
          </cell>
          <cell r="F290">
            <v>114.55</v>
          </cell>
          <cell r="H290">
            <v>133.94</v>
          </cell>
          <cell r="I290">
            <v>0.17649999999999999</v>
          </cell>
          <cell r="T290" t="str">
            <v>21 3.66%</v>
          </cell>
          <cell r="U290" t="str">
            <v>14 3.34%</v>
          </cell>
        </row>
        <row r="291">
          <cell r="A291">
            <v>43536</v>
          </cell>
          <cell r="E291">
            <v>117.77200000000001</v>
          </cell>
          <cell r="F291">
            <v>115.49</v>
          </cell>
          <cell r="H291">
            <v>134.56</v>
          </cell>
          <cell r="I291">
            <v>0.16789999999999999</v>
          </cell>
          <cell r="T291" t="str">
            <v>24 1.28%</v>
          </cell>
          <cell r="U291" t="str">
            <v>16 3.34%</v>
          </cell>
        </row>
        <row r="292">
          <cell r="A292">
            <v>43537</v>
          </cell>
          <cell r="E292">
            <v>116.483</v>
          </cell>
          <cell r="F292">
            <v>113.61499999999999</v>
          </cell>
          <cell r="H292">
            <v>134.63</v>
          </cell>
          <cell r="I292">
            <v>0.18140000000000001</v>
          </cell>
          <cell r="T292" t="str">
            <v>16 -0.96%</v>
          </cell>
          <cell r="U292" t="str">
            <v>15 -1.46%</v>
          </cell>
        </row>
        <row r="293">
          <cell r="A293">
            <v>43538</v>
          </cell>
          <cell r="E293">
            <v>114.10599999999999</v>
          </cell>
          <cell r="F293">
            <v>111.571</v>
          </cell>
          <cell r="H293">
            <v>133.63</v>
          </cell>
          <cell r="I293">
            <v>0.19520000000000001</v>
          </cell>
          <cell r="T293" t="str">
            <v>15 -3.34%</v>
          </cell>
          <cell r="U293" t="str">
            <v>11 -2.88%</v>
          </cell>
        </row>
        <row r="294">
          <cell r="A294">
            <v>43539</v>
          </cell>
          <cell r="E294">
            <v>115.396</v>
          </cell>
          <cell r="F294">
            <v>112.29900000000001</v>
          </cell>
          <cell r="H294">
            <v>134.34</v>
          </cell>
          <cell r="I294">
            <v>0.18940000000000001</v>
          </cell>
          <cell r="T294" t="str">
            <v>16 0.90%</v>
          </cell>
          <cell r="U294" t="str">
            <v>12 4.27%</v>
          </cell>
        </row>
        <row r="295">
          <cell r="A295">
            <v>43542</v>
          </cell>
          <cell r="E295">
            <v>117.58</v>
          </cell>
          <cell r="F295">
            <v>114.66</v>
          </cell>
          <cell r="H295">
            <v>135.65</v>
          </cell>
          <cell r="I295">
            <v>0.1807</v>
          </cell>
          <cell r="T295" t="str">
            <v>20 2.49%</v>
          </cell>
          <cell r="U295" t="str">
            <v>16 2.02%</v>
          </cell>
        </row>
        <row r="296">
          <cell r="A296">
            <v>43543</v>
          </cell>
          <cell r="E296">
            <v>118.52200000000001</v>
          </cell>
          <cell r="F296">
            <v>116.2</v>
          </cell>
          <cell r="H296">
            <v>136.88999999999999</v>
          </cell>
          <cell r="I296">
            <v>0.1837</v>
          </cell>
          <cell r="T296" t="str">
            <v>27 1.41%</v>
          </cell>
          <cell r="U296" t="str">
            <v>18 0.91%</v>
          </cell>
        </row>
        <row r="297">
          <cell r="A297">
            <v>43544</v>
          </cell>
          <cell r="E297">
            <v>117.71899999999999</v>
          </cell>
          <cell r="F297">
            <v>115.76</v>
          </cell>
          <cell r="H297">
            <v>136.47</v>
          </cell>
          <cell r="I297">
            <v>0.1875</v>
          </cell>
          <cell r="T297" t="str">
            <v>22 -0.77%</v>
          </cell>
          <cell r="U297" t="str">
            <v>15 0.69%</v>
          </cell>
        </row>
        <row r="298">
          <cell r="A298">
            <v>43545</v>
          </cell>
          <cell r="E298">
            <v>119.098</v>
          </cell>
          <cell r="F298">
            <v>116.571</v>
          </cell>
          <cell r="H298">
            <v>137.85</v>
          </cell>
          <cell r="I298">
            <v>0.1875</v>
          </cell>
          <cell r="T298" t="str">
            <v>32 1.10%</v>
          </cell>
          <cell r="U298" t="str">
            <v>17 2.66%</v>
          </cell>
        </row>
        <row r="299">
          <cell r="A299">
            <v>43546</v>
          </cell>
          <cell r="E299">
            <v>119.003</v>
          </cell>
          <cell r="F299">
            <v>116.85599999999999</v>
          </cell>
          <cell r="H299">
            <v>137.38999999999999</v>
          </cell>
          <cell r="I299">
            <v>0.18379999999999999</v>
          </cell>
          <cell r="T299" t="str">
            <v>31 -0.10%</v>
          </cell>
          <cell r="U299" t="str">
            <v>15 -0.27%</v>
          </cell>
        </row>
        <row r="300">
          <cell r="A300">
            <v>43549</v>
          </cell>
          <cell r="E300">
            <v>117.619</v>
          </cell>
          <cell r="F300">
            <v>115</v>
          </cell>
          <cell r="H300">
            <v>136.13</v>
          </cell>
          <cell r="I300">
            <v>0.18509999999999999</v>
          </cell>
          <cell r="T300" t="str">
            <v>27 -1.10%</v>
          </cell>
          <cell r="U300" t="str">
            <v>13 -0.74%</v>
          </cell>
        </row>
        <row r="301">
          <cell r="A301">
            <v>43550</v>
          </cell>
          <cell r="E301">
            <v>114.98699999999999</v>
          </cell>
          <cell r="F301">
            <v>113.005</v>
          </cell>
          <cell r="H301">
            <v>134.30000000000001</v>
          </cell>
          <cell r="I301">
            <v>0.19309999999999999</v>
          </cell>
          <cell r="T301" t="str">
            <v>16 -1.96%</v>
          </cell>
          <cell r="U301" t="str">
            <v>10 -2.70%</v>
          </cell>
        </row>
        <row r="302">
          <cell r="A302">
            <v>43551</v>
          </cell>
          <cell r="E302">
            <v>115.402</v>
          </cell>
          <cell r="F302">
            <v>112.625</v>
          </cell>
          <cell r="H302">
            <v>134.35</v>
          </cell>
          <cell r="I302">
            <v>0.1895</v>
          </cell>
          <cell r="T302" t="str">
            <v>18 0.20%</v>
          </cell>
          <cell r="U302" t="str">
            <v>12 2.76%</v>
          </cell>
        </row>
        <row r="303">
          <cell r="A303">
            <v>43552</v>
          </cell>
          <cell r="E303">
            <v>114.864</v>
          </cell>
          <cell r="F303">
            <v>112.69</v>
          </cell>
          <cell r="H303">
            <v>134.51</v>
          </cell>
          <cell r="I303">
            <v>0.19650000000000001</v>
          </cell>
          <cell r="T303" t="str">
            <v>15 -1.39%</v>
          </cell>
          <cell r="U303" t="str">
            <v>11 -0.58%</v>
          </cell>
        </row>
        <row r="304">
          <cell r="A304">
            <v>43553</v>
          </cell>
          <cell r="E304">
            <v>116.889</v>
          </cell>
          <cell r="F304">
            <v>114.01</v>
          </cell>
          <cell r="H304">
            <v>135.04</v>
          </cell>
          <cell r="I304">
            <v>0.18149999999999999</v>
          </cell>
          <cell r="T304" t="str">
            <v>24 2.44%</v>
          </cell>
          <cell r="U304" t="str">
            <v>12 2.72%</v>
          </cell>
        </row>
        <row r="305">
          <cell r="A305">
            <v>43556</v>
          </cell>
          <cell r="E305">
            <v>120.167</v>
          </cell>
          <cell r="F305">
            <v>117.31</v>
          </cell>
          <cell r="H305">
            <v>135.91999999999999</v>
          </cell>
          <cell r="I305">
            <v>0.1575</v>
          </cell>
          <cell r="T305" t="str">
            <v>33 3.22%</v>
          </cell>
          <cell r="U305" t="str">
            <v>19 5.26%</v>
          </cell>
        </row>
        <row r="306">
          <cell r="A306">
            <v>43557</v>
          </cell>
          <cell r="E306">
            <v>120.54900000000001</v>
          </cell>
          <cell r="F306">
            <v>118.1</v>
          </cell>
          <cell r="H306">
            <v>136.53</v>
          </cell>
          <cell r="I306">
            <v>0.1598</v>
          </cell>
          <cell r="T306" t="str">
            <v>35 1.87%</v>
          </cell>
          <cell r="U306" t="str">
            <v>20 -0.25%</v>
          </cell>
        </row>
        <row r="307">
          <cell r="A307">
            <v>43558</v>
          </cell>
          <cell r="E307">
            <v>121.06</v>
          </cell>
          <cell r="F307">
            <v>118.432</v>
          </cell>
          <cell r="H307">
            <v>136.24</v>
          </cell>
          <cell r="I307">
            <v>0.15179999999999999</v>
          </cell>
          <cell r="T307" t="str">
            <v>38 0.94%</v>
          </cell>
          <cell r="U307" t="str">
            <v>19 0.91%</v>
          </cell>
        </row>
        <row r="308">
          <cell r="A308">
            <v>43559</v>
          </cell>
          <cell r="E308">
            <v>121.741</v>
          </cell>
          <cell r="F308">
            <v>119.40600000000001</v>
          </cell>
          <cell r="H308">
            <v>136.49</v>
          </cell>
          <cell r="I308">
            <v>0.14749999999999999</v>
          </cell>
          <cell r="T308" t="str">
            <v>43 1.08%</v>
          </cell>
          <cell r="U308" t="str">
            <v>22 2.20%</v>
          </cell>
        </row>
        <row r="309">
          <cell r="A309">
            <v>43563</v>
          </cell>
          <cell r="E309">
            <v>121.532</v>
          </cell>
          <cell r="F309">
            <v>119.6</v>
          </cell>
          <cell r="H309">
            <v>136.59</v>
          </cell>
          <cell r="I309">
            <v>0.15060000000000001</v>
          </cell>
          <cell r="T309" t="str">
            <v>37 -0.99%</v>
          </cell>
          <cell r="U309" t="str">
            <v>25 1.89%</v>
          </cell>
        </row>
        <row r="310">
          <cell r="A310">
            <v>43564</v>
          </cell>
          <cell r="E310">
            <v>120.515</v>
          </cell>
          <cell r="F310">
            <v>118.988</v>
          </cell>
          <cell r="H310">
            <v>134.65</v>
          </cell>
          <cell r="I310">
            <v>0.1414</v>
          </cell>
          <cell r="T310" t="str">
            <v>39 -1.54%</v>
          </cell>
          <cell r="U310" t="str">
            <v>17 -1.06%</v>
          </cell>
        </row>
        <row r="311">
          <cell r="A311">
            <v>43565</v>
          </cell>
          <cell r="E311">
            <v>119.82</v>
          </cell>
          <cell r="F311">
            <v>118.3</v>
          </cell>
          <cell r="H311">
            <v>133.69999999999999</v>
          </cell>
          <cell r="I311">
            <v>0.13880000000000001</v>
          </cell>
          <cell r="T311" t="str">
            <v>31 -0.79%</v>
          </cell>
          <cell r="U311" t="str">
            <v>17 0.00%</v>
          </cell>
        </row>
        <row r="312">
          <cell r="A312">
            <v>43566</v>
          </cell>
          <cell r="E312">
            <v>117.992</v>
          </cell>
          <cell r="F312">
            <v>116.27500000000001</v>
          </cell>
          <cell r="H312">
            <v>132.44999999999999</v>
          </cell>
          <cell r="I312">
            <v>0.14460000000000001</v>
          </cell>
          <cell r="T312" t="str">
            <v>30 -1.52%</v>
          </cell>
          <cell r="U312" t="str">
            <v>13 -2.02%</v>
          </cell>
        </row>
        <row r="313">
          <cell r="A313">
            <v>43567</v>
          </cell>
          <cell r="E313">
            <v>118.256</v>
          </cell>
          <cell r="F313">
            <v>116.145</v>
          </cell>
          <cell r="H313">
            <v>132.63</v>
          </cell>
          <cell r="I313">
            <v>0.14369999999999999</v>
          </cell>
          <cell r="T313" t="str">
            <v>30 0.26%</v>
          </cell>
          <cell r="U313" t="str">
            <v>14 1.98%</v>
          </cell>
        </row>
        <row r="314">
          <cell r="A314">
            <v>43570</v>
          </cell>
          <cell r="E314">
            <v>117.438</v>
          </cell>
          <cell r="F314">
            <v>114.95</v>
          </cell>
          <cell r="H314">
            <v>132.18</v>
          </cell>
          <cell r="I314">
            <v>0.1474</v>
          </cell>
          <cell r="T314" t="str">
            <v>24 -0.55%</v>
          </cell>
          <cell r="U314" t="str">
            <v>14 -0.05%</v>
          </cell>
        </row>
        <row r="315">
          <cell r="A315">
            <v>43571</v>
          </cell>
          <cell r="E315">
            <v>118.212</v>
          </cell>
          <cell r="F315">
            <v>114.919</v>
          </cell>
          <cell r="H315">
            <v>130.93</v>
          </cell>
          <cell r="I315">
            <v>0.12720000000000001</v>
          </cell>
          <cell r="T315" t="str">
            <v>26 0.61%</v>
          </cell>
          <cell r="U315" t="str">
            <v>16 4.42%</v>
          </cell>
        </row>
        <row r="316">
          <cell r="A316">
            <v>43572</v>
          </cell>
          <cell r="E316">
            <v>118.867</v>
          </cell>
          <cell r="F316">
            <v>114.874</v>
          </cell>
          <cell r="H316">
            <v>130.81</v>
          </cell>
          <cell r="I316">
            <v>0.11940000000000001</v>
          </cell>
          <cell r="T316" t="str">
            <v>28 0.71%</v>
          </cell>
          <cell r="U316" t="str">
            <v>18 2.17%</v>
          </cell>
        </row>
        <row r="317">
          <cell r="A317">
            <v>43573</v>
          </cell>
          <cell r="E317">
            <v>118.66</v>
          </cell>
          <cell r="F317">
            <v>115.03</v>
          </cell>
          <cell r="H317">
            <v>130.66</v>
          </cell>
          <cell r="I317">
            <v>0.12</v>
          </cell>
          <cell r="T317" t="str">
            <v>31 -0.06%</v>
          </cell>
          <cell r="U317" t="str">
            <v>17 -0.67%</v>
          </cell>
        </row>
        <row r="318">
          <cell r="A318">
            <v>43574</v>
          </cell>
          <cell r="E318">
            <v>118.876</v>
          </cell>
          <cell r="F318">
            <v>115.295</v>
          </cell>
          <cell r="H318">
            <v>130.38999999999999</v>
          </cell>
          <cell r="I318">
            <v>0.11509999999999999</v>
          </cell>
          <cell r="T318" t="str">
            <v>31 0.54%</v>
          </cell>
          <cell r="U318" t="str">
            <v>18 0.99%</v>
          </cell>
        </row>
        <row r="319">
          <cell r="A319">
            <v>43577</v>
          </cell>
          <cell r="E319">
            <v>118.35299999999999</v>
          </cell>
          <cell r="F319">
            <v>114.13</v>
          </cell>
          <cell r="H319">
            <v>130.66</v>
          </cell>
          <cell r="I319">
            <v>0.1231</v>
          </cell>
          <cell r="T319" t="str">
            <v>29 -1.58%</v>
          </cell>
          <cell r="U319" t="str">
            <v>16 4.70%</v>
          </cell>
        </row>
        <row r="320">
          <cell r="A320">
            <v>43578</v>
          </cell>
          <cell r="E320">
            <v>116.43600000000001</v>
          </cell>
          <cell r="F320">
            <v>113</v>
          </cell>
          <cell r="H320">
            <v>128.88</v>
          </cell>
          <cell r="I320">
            <v>0.1244</v>
          </cell>
          <cell r="T320" t="str">
            <v>25 -2.17%</v>
          </cell>
          <cell r="U320" t="str">
            <v>13 -1.96%</v>
          </cell>
        </row>
        <row r="321">
          <cell r="A321">
            <v>43579</v>
          </cell>
          <cell r="E321">
            <v>116.196</v>
          </cell>
          <cell r="F321">
            <v>112.26</v>
          </cell>
          <cell r="H321">
            <v>127.54</v>
          </cell>
          <cell r="I321">
            <v>0.1134</v>
          </cell>
          <cell r="T321" t="str">
            <v>21 1.50%</v>
          </cell>
          <cell r="U321" t="str">
            <v>14 0.90%</v>
          </cell>
        </row>
        <row r="322">
          <cell r="A322">
            <v>43580</v>
          </cell>
          <cell r="E322">
            <v>113.875</v>
          </cell>
          <cell r="F322">
            <v>109.685</v>
          </cell>
          <cell r="H322">
            <v>127.15</v>
          </cell>
          <cell r="I322">
            <v>0.1328</v>
          </cell>
          <cell r="T322" t="str">
            <v>11 -2.29%</v>
          </cell>
          <cell r="U322" t="str">
            <v>14 1.59%</v>
          </cell>
        </row>
        <row r="323">
          <cell r="A323">
            <v>43581</v>
          </cell>
          <cell r="E323">
            <v>113.113</v>
          </cell>
          <cell r="F323">
            <v>108.98099999999999</v>
          </cell>
          <cell r="H323">
            <v>127.01</v>
          </cell>
          <cell r="I323">
            <v>0.13900000000000001</v>
          </cell>
          <cell r="T323" t="str">
            <v>9 -0.68%</v>
          </cell>
          <cell r="U323" t="str">
            <v>13 0.53%</v>
          </cell>
        </row>
        <row r="324">
          <cell r="A324">
            <v>43584</v>
          </cell>
          <cell r="E324">
            <v>110.79</v>
          </cell>
          <cell r="F324">
            <v>107.14</v>
          </cell>
          <cell r="H324">
            <v>126.85</v>
          </cell>
          <cell r="I324">
            <v>0.16059999999999999</v>
          </cell>
          <cell r="T324" t="str">
            <v>11 0.65%</v>
          </cell>
          <cell r="U324" t="str">
            <v>10 -6.14%</v>
          </cell>
        </row>
        <row r="325">
          <cell r="A325">
            <v>43585</v>
          </cell>
          <cell r="E325">
            <v>111.675</v>
          </cell>
          <cell r="F325">
            <v>108.14</v>
          </cell>
          <cell r="H325">
            <v>127.26</v>
          </cell>
          <cell r="I325">
            <v>0.15590000000000001</v>
          </cell>
          <cell r="T325" t="str">
            <v>12 1.12%</v>
          </cell>
          <cell r="U325" t="str">
            <v>11 2.09%</v>
          </cell>
        </row>
        <row r="326">
          <cell r="A326">
            <v>43591</v>
          </cell>
          <cell r="E326">
            <v>107.657</v>
          </cell>
          <cell r="F326">
            <v>104.79</v>
          </cell>
          <cell r="H326">
            <v>128.37</v>
          </cell>
          <cell r="I326">
            <v>0.20710000000000001</v>
          </cell>
          <cell r="T326" t="str">
            <v>7 -4.01%</v>
          </cell>
          <cell r="U326" t="str">
            <v>7 -7.00%</v>
          </cell>
        </row>
        <row r="327">
          <cell r="A327">
            <v>43592</v>
          </cell>
          <cell r="E327">
            <v>108.208</v>
          </cell>
          <cell r="F327">
            <v>105.447</v>
          </cell>
          <cell r="H327">
            <v>127.92</v>
          </cell>
          <cell r="I327">
            <v>0.1971</v>
          </cell>
          <cell r="T327" t="str">
            <v>10 2.12%</v>
          </cell>
          <cell r="U327" t="str">
            <v>8 -0.37%</v>
          </cell>
        </row>
        <row r="328">
          <cell r="A328">
            <v>43593</v>
          </cell>
          <cell r="E328">
            <v>108.44499999999999</v>
          </cell>
          <cell r="F328">
            <v>105.83</v>
          </cell>
          <cell r="H328">
            <v>129.15</v>
          </cell>
          <cell r="I328">
            <v>0.20699999999999999</v>
          </cell>
          <cell r="T328" t="str">
            <v>11 1.33%</v>
          </cell>
          <cell r="U328" t="str">
            <v>8 -2.02%</v>
          </cell>
        </row>
        <row r="329">
          <cell r="A329">
            <v>43594</v>
          </cell>
          <cell r="E329">
            <v>108.328</v>
          </cell>
          <cell r="F329">
            <v>105.55500000000001</v>
          </cell>
          <cell r="H329">
            <v>130.13</v>
          </cell>
          <cell r="I329">
            <v>0.218</v>
          </cell>
          <cell r="T329" t="str">
            <v>10 -0.48%</v>
          </cell>
          <cell r="U329" t="str">
            <v>7 -0.14%</v>
          </cell>
        </row>
        <row r="330">
          <cell r="A330">
            <v>43595</v>
          </cell>
          <cell r="E330">
            <v>110.498</v>
          </cell>
          <cell r="F330">
            <v>107.508</v>
          </cell>
          <cell r="H330">
            <v>130.29</v>
          </cell>
          <cell r="I330">
            <v>0.19800000000000001</v>
          </cell>
          <cell r="T330" t="str">
            <v>12 3.28%</v>
          </cell>
          <cell r="U330" t="str">
            <v>11 5.46%</v>
          </cell>
        </row>
        <row r="331">
          <cell r="A331">
            <v>43598</v>
          </cell>
          <cell r="E331">
            <v>109.738</v>
          </cell>
          <cell r="F331">
            <v>107.099</v>
          </cell>
          <cell r="H331">
            <v>130.19999999999999</v>
          </cell>
          <cell r="I331">
            <v>0.2046</v>
          </cell>
          <cell r="T331" t="str">
            <v>13 -0.32%</v>
          </cell>
          <cell r="U331" t="str">
            <v>7 0.83%</v>
          </cell>
        </row>
        <row r="332">
          <cell r="A332">
            <v>43599</v>
          </cell>
          <cell r="E332">
            <v>109.982</v>
          </cell>
          <cell r="F332">
            <v>107.25</v>
          </cell>
          <cell r="H332">
            <v>131.5</v>
          </cell>
          <cell r="I332">
            <v>0.2152</v>
          </cell>
          <cell r="T332" t="str">
            <v>12 0.26%</v>
          </cell>
          <cell r="U332" t="str">
            <v>8 1.57%</v>
          </cell>
        </row>
        <row r="333">
          <cell r="A333">
            <v>43600</v>
          </cell>
          <cell r="E333">
            <v>111.39400000000001</v>
          </cell>
          <cell r="F333">
            <v>108.22</v>
          </cell>
          <cell r="H333">
            <v>131.68</v>
          </cell>
          <cell r="I333">
            <v>0.20280000000000001</v>
          </cell>
          <cell r="T333" t="str">
            <v>9 1.90%</v>
          </cell>
          <cell r="U333" t="str">
            <v>14 3.59%</v>
          </cell>
        </row>
        <row r="334">
          <cell r="A334">
            <v>43601</v>
          </cell>
          <cell r="E334">
            <v>111.60599999999999</v>
          </cell>
          <cell r="F334">
            <v>109.35</v>
          </cell>
          <cell r="H334">
            <v>131.5</v>
          </cell>
          <cell r="I334">
            <v>0.19900000000000001</v>
          </cell>
          <cell r="T334" t="str">
            <v>11 -0.02%</v>
          </cell>
          <cell r="U334" t="str">
            <v>13 -0.34%</v>
          </cell>
        </row>
        <row r="335">
          <cell r="A335">
            <v>43602</v>
          </cell>
          <cell r="E335">
            <v>109.584</v>
          </cell>
          <cell r="F335">
            <v>106.75</v>
          </cell>
          <cell r="H335">
            <v>132.03</v>
          </cell>
          <cell r="I335">
            <v>0.22439999999999999</v>
          </cell>
          <cell r="T335" t="str">
            <v>10 -2.53%</v>
          </cell>
          <cell r="U335" t="str">
            <v>10 -3.28%</v>
          </cell>
        </row>
        <row r="336">
          <cell r="A336">
            <v>43605</v>
          </cell>
          <cell r="E336">
            <v>108.904</v>
          </cell>
          <cell r="F336">
            <v>106.056</v>
          </cell>
          <cell r="H336">
            <v>131.53</v>
          </cell>
          <cell r="I336">
            <v>0.22620000000000001</v>
          </cell>
          <cell r="T336" t="str">
            <v>10 -0.98%</v>
          </cell>
          <cell r="U336" t="str">
            <v>9 -0.53%</v>
          </cell>
        </row>
        <row r="337">
          <cell r="A337">
            <v>43606</v>
          </cell>
          <cell r="E337">
            <v>109.675</v>
          </cell>
          <cell r="F337">
            <v>106.895</v>
          </cell>
          <cell r="H337">
            <v>130.94</v>
          </cell>
          <cell r="I337">
            <v>0.2127</v>
          </cell>
          <cell r="T337" t="str">
            <v>10 0.89%</v>
          </cell>
          <cell r="U337" t="str">
            <v>10 2.79%</v>
          </cell>
        </row>
        <row r="338">
          <cell r="A338">
            <v>43607</v>
          </cell>
          <cell r="E338">
            <v>109.608</v>
          </cell>
          <cell r="F338">
            <v>106.905</v>
          </cell>
          <cell r="H338">
            <v>131.61000000000001</v>
          </cell>
          <cell r="I338">
            <v>0.22</v>
          </cell>
          <cell r="T338" t="str">
            <v>10 -0.04%</v>
          </cell>
          <cell r="U338" t="str">
            <v>10 0.62%</v>
          </cell>
        </row>
        <row r="339">
          <cell r="A339">
            <v>43608</v>
          </cell>
          <cell r="E339">
            <v>108.548</v>
          </cell>
          <cell r="F339">
            <v>106.08</v>
          </cell>
          <cell r="H339">
            <v>132.68</v>
          </cell>
          <cell r="I339">
            <v>0.24129999999999999</v>
          </cell>
          <cell r="T339" t="str">
            <v>8 -1.54%</v>
          </cell>
          <cell r="U339" t="str">
            <v>9 -3.49%</v>
          </cell>
        </row>
        <row r="340">
          <cell r="A340">
            <v>43609</v>
          </cell>
          <cell r="E340">
            <v>108.315</v>
          </cell>
          <cell r="F340">
            <v>105.952</v>
          </cell>
          <cell r="H340">
            <v>132.97</v>
          </cell>
          <cell r="I340">
            <v>0.2465</v>
          </cell>
          <cell r="T340" t="str">
            <v>8 -0.77%</v>
          </cell>
          <cell r="U340" t="str">
            <v>7 -0.62%</v>
          </cell>
        </row>
        <row r="341">
          <cell r="A341">
            <v>43612</v>
          </cell>
          <cell r="E341">
            <v>108.934</v>
          </cell>
          <cell r="F341">
            <v>106.251</v>
          </cell>
          <cell r="H341">
            <v>130.96</v>
          </cell>
          <cell r="I341">
            <v>0.22020000000000001</v>
          </cell>
          <cell r="T341" t="str">
            <v>9 1.36%</v>
          </cell>
          <cell r="U341" t="str">
            <v>10 4.29%</v>
          </cell>
        </row>
        <row r="342">
          <cell r="A342">
            <v>43613</v>
          </cell>
          <cell r="E342">
            <v>109.146</v>
          </cell>
          <cell r="F342">
            <v>106.294</v>
          </cell>
          <cell r="H342">
            <v>131.06</v>
          </cell>
          <cell r="I342">
            <v>0.21920000000000001</v>
          </cell>
          <cell r="T342" t="str">
            <v>8 0.55%</v>
          </cell>
          <cell r="U342" t="str">
            <v>10 2.02%</v>
          </cell>
        </row>
        <row r="343">
          <cell r="A343">
            <v>43614</v>
          </cell>
          <cell r="E343">
            <v>109.242</v>
          </cell>
          <cell r="F343">
            <v>105.99</v>
          </cell>
          <cell r="H343">
            <v>130.86000000000001</v>
          </cell>
          <cell r="I343">
            <v>0.2162</v>
          </cell>
          <cell r="T343" t="str">
            <v>7 -0.24%</v>
          </cell>
          <cell r="U343" t="str">
            <v>10 1.46%</v>
          </cell>
        </row>
        <row r="344">
          <cell r="A344">
            <v>43615</v>
          </cell>
          <cell r="E344">
            <v>108.41200000000001</v>
          </cell>
          <cell r="F344">
            <v>105.03100000000001</v>
          </cell>
          <cell r="H344">
            <v>130.15</v>
          </cell>
          <cell r="I344">
            <v>0.21740000000000001</v>
          </cell>
          <cell r="T344" t="str">
            <v>8 -0.72%</v>
          </cell>
          <cell r="U344" t="str">
            <v>9 -2.56%</v>
          </cell>
        </row>
        <row r="345">
          <cell r="A345">
            <v>43616</v>
          </cell>
          <cell r="E345">
            <v>108.20399999999999</v>
          </cell>
          <cell r="F345">
            <v>104.63500000000001</v>
          </cell>
          <cell r="H345">
            <v>129.69</v>
          </cell>
          <cell r="I345">
            <v>0.21490000000000001</v>
          </cell>
          <cell r="T345" t="str">
            <v>9 0.71%</v>
          </cell>
          <cell r="U345" t="str">
            <v>9 -1.31%</v>
          </cell>
        </row>
        <row r="346">
          <cell r="A346">
            <v>43619</v>
          </cell>
          <cell r="E346">
            <v>107.398</v>
          </cell>
          <cell r="F346">
            <v>103.75</v>
          </cell>
          <cell r="H346">
            <v>129.07</v>
          </cell>
          <cell r="I346">
            <v>0.2167</v>
          </cell>
          <cell r="T346" t="str">
            <v>7 -0.96%</v>
          </cell>
          <cell r="U346" t="str">
            <v>9 -0.34%</v>
          </cell>
        </row>
        <row r="347">
          <cell r="A347">
            <v>43620</v>
          </cell>
          <cell r="E347">
            <v>106.34699999999999</v>
          </cell>
          <cell r="F347">
            <v>102.99</v>
          </cell>
          <cell r="H347">
            <v>128.96</v>
          </cell>
          <cell r="I347">
            <v>0.22620000000000001</v>
          </cell>
          <cell r="T347" t="str">
            <v>5 -0.71%</v>
          </cell>
          <cell r="U347" t="str">
            <v>9 -1.14%</v>
          </cell>
        </row>
        <row r="348">
          <cell r="A348">
            <v>43621</v>
          </cell>
          <cell r="E348">
            <v>106.295</v>
          </cell>
          <cell r="F348">
            <v>102.96899999999999</v>
          </cell>
          <cell r="H348">
            <v>128.52000000000001</v>
          </cell>
          <cell r="I348">
            <v>0.2223</v>
          </cell>
          <cell r="T348" t="str">
            <v>8 -1.42%</v>
          </cell>
          <cell r="U348" t="str">
            <v>6 2.31%</v>
          </cell>
        </row>
        <row r="349">
          <cell r="A349">
            <v>43622</v>
          </cell>
          <cell r="E349">
            <v>105.161</v>
          </cell>
          <cell r="F349">
            <v>101.89</v>
          </cell>
          <cell r="H349">
            <v>129.18</v>
          </cell>
          <cell r="I349">
            <v>0.2402</v>
          </cell>
          <cell r="T349" t="str">
            <v>6 -1.80%</v>
          </cell>
          <cell r="U349" t="str">
            <v>7 -4.07%</v>
          </cell>
        </row>
        <row r="350">
          <cell r="A350">
            <v>43626</v>
          </cell>
          <cell r="E350">
            <v>105.73699999999999</v>
          </cell>
          <cell r="F350">
            <v>102.371</v>
          </cell>
          <cell r="H350">
            <v>128.71</v>
          </cell>
          <cell r="I350">
            <v>0.2298</v>
          </cell>
          <cell r="T350" t="str">
            <v>6 2.28%</v>
          </cell>
          <cell r="U350" t="str">
            <v>8 2.01%</v>
          </cell>
        </row>
        <row r="351">
          <cell r="A351">
            <v>43627</v>
          </cell>
          <cell r="E351">
            <v>107.71299999999999</v>
          </cell>
          <cell r="F351">
            <v>104.235</v>
          </cell>
          <cell r="H351">
            <v>128.59</v>
          </cell>
          <cell r="I351">
            <v>0.20880000000000001</v>
          </cell>
          <cell r="T351" t="str">
            <v>8 2.39%</v>
          </cell>
          <cell r="U351" t="str">
            <v>8 4.96%</v>
          </cell>
        </row>
        <row r="352">
          <cell r="A352">
            <v>43628</v>
          </cell>
          <cell r="E352">
            <v>107.32299999999999</v>
          </cell>
          <cell r="F352">
            <v>104.2</v>
          </cell>
          <cell r="H352">
            <v>128.55000000000001</v>
          </cell>
          <cell r="I352">
            <v>0.21229999999999999</v>
          </cell>
          <cell r="T352" t="str">
            <v>9 -1.19%</v>
          </cell>
          <cell r="U352" t="str">
            <v>7 -0.59%</v>
          </cell>
        </row>
        <row r="353">
          <cell r="A353">
            <v>43629</v>
          </cell>
          <cell r="E353">
            <v>107.399</v>
          </cell>
          <cell r="F353">
            <v>104.12</v>
          </cell>
          <cell r="H353">
            <v>127.87</v>
          </cell>
          <cell r="I353">
            <v>0.20469999999999999</v>
          </cell>
          <cell r="T353" t="str">
            <v>7 -0.25%</v>
          </cell>
          <cell r="U353" t="str">
            <v>8 1.79%</v>
          </cell>
        </row>
        <row r="354">
          <cell r="A354">
            <v>43630</v>
          </cell>
          <cell r="E354">
            <v>106.54300000000001</v>
          </cell>
          <cell r="F354">
            <v>103.399</v>
          </cell>
          <cell r="H354">
            <v>128.6</v>
          </cell>
          <cell r="I354">
            <v>0.2205</v>
          </cell>
          <cell r="T354" t="str">
            <v>6 -1.56%</v>
          </cell>
          <cell r="U354" t="str">
            <v>8 -2.44%</v>
          </cell>
        </row>
        <row r="355">
          <cell r="A355">
            <v>43633</v>
          </cell>
          <cell r="E355">
            <v>106.38800000000001</v>
          </cell>
          <cell r="F355">
            <v>103.03</v>
          </cell>
          <cell r="H355">
            <v>128.30000000000001</v>
          </cell>
          <cell r="I355">
            <v>0.21909999999999999</v>
          </cell>
          <cell r="T355" t="str">
            <v>4 -1.07%</v>
          </cell>
          <cell r="U355" t="str">
            <v>8 0.30%</v>
          </cell>
        </row>
        <row r="356">
          <cell r="A356">
            <v>43634</v>
          </cell>
          <cell r="E356">
            <v>106.295</v>
          </cell>
          <cell r="F356">
            <v>102.67</v>
          </cell>
          <cell r="H356">
            <v>128.19</v>
          </cell>
          <cell r="I356">
            <v>0.219</v>
          </cell>
          <cell r="T356" t="str">
            <v>5 0.37%</v>
          </cell>
          <cell r="U356" t="str">
            <v>8 1.00%</v>
          </cell>
        </row>
        <row r="357">
          <cell r="A357">
            <v>43635</v>
          </cell>
          <cell r="E357">
            <v>107.01900000000001</v>
          </cell>
          <cell r="F357">
            <v>103.02500000000001</v>
          </cell>
          <cell r="H357">
            <v>127.84</v>
          </cell>
          <cell r="I357">
            <v>0.2082</v>
          </cell>
          <cell r="T357" t="str">
            <v>6 1.14%</v>
          </cell>
          <cell r="U357" t="str">
            <v>8 2.05%</v>
          </cell>
        </row>
        <row r="358">
          <cell r="A358">
            <v>43636</v>
          </cell>
          <cell r="E358">
            <v>108.28100000000001</v>
          </cell>
          <cell r="F358">
            <v>104.63</v>
          </cell>
          <cell r="H358">
            <v>128.11000000000001</v>
          </cell>
          <cell r="I358">
            <v>0.1983</v>
          </cell>
          <cell r="T358" t="str">
            <v>7 2.83%</v>
          </cell>
          <cell r="U358" t="str">
            <v>9 0.90%</v>
          </cell>
        </row>
        <row r="359">
          <cell r="A359">
            <v>43637</v>
          </cell>
          <cell r="E359">
            <v>109.306</v>
          </cell>
          <cell r="F359">
            <v>105.815</v>
          </cell>
          <cell r="H359">
            <v>128.4</v>
          </cell>
          <cell r="I359">
            <v>0.19089999999999999</v>
          </cell>
          <cell r="T359" t="str">
            <v>8 1.37%</v>
          </cell>
          <cell r="U359" t="str">
            <v>9 -0.15%</v>
          </cell>
        </row>
        <row r="360">
          <cell r="A360">
            <v>43640</v>
          </cell>
          <cell r="E360">
            <v>109.13500000000001</v>
          </cell>
          <cell r="F360">
            <v>105.71</v>
          </cell>
          <cell r="H360">
            <v>128.13999999999999</v>
          </cell>
          <cell r="I360">
            <v>0.19009999999999999</v>
          </cell>
          <cell r="T360" t="str">
            <v>9 0.67%</v>
          </cell>
          <cell r="U360" t="str">
            <v>9 0.10%</v>
          </cell>
        </row>
        <row r="361">
          <cell r="A361">
            <v>43641</v>
          </cell>
          <cell r="E361">
            <v>108.54300000000001</v>
          </cell>
          <cell r="F361">
            <v>105.5</v>
          </cell>
          <cell r="H361">
            <v>128.22</v>
          </cell>
          <cell r="I361">
            <v>0.1968</v>
          </cell>
          <cell r="T361" t="str">
            <v>7 -0.70%</v>
          </cell>
          <cell r="U361" t="str">
            <v>9 -0.86%</v>
          </cell>
        </row>
        <row r="362">
          <cell r="A362">
            <v>43642</v>
          </cell>
          <cell r="E362">
            <v>108.892</v>
          </cell>
          <cell r="F362">
            <v>105.58</v>
          </cell>
          <cell r="H362">
            <v>129.11000000000001</v>
          </cell>
          <cell r="I362">
            <v>0.20219999999999999</v>
          </cell>
          <cell r="T362" t="str">
            <v>11 1.95%</v>
          </cell>
          <cell r="U362" t="str">
            <v>9 -0.02%</v>
          </cell>
        </row>
        <row r="363">
          <cell r="A363">
            <v>43643</v>
          </cell>
          <cell r="E363">
            <v>109.64</v>
          </cell>
          <cell r="F363">
            <v>106.11499999999999</v>
          </cell>
          <cell r="H363">
            <v>129.46</v>
          </cell>
          <cell r="I363">
            <v>0.19819999999999999</v>
          </cell>
          <cell r="T363" t="str">
            <v>15 1.79%</v>
          </cell>
          <cell r="U363" t="str">
            <v>10 1.50%</v>
          </cell>
        </row>
        <row r="364">
          <cell r="A364">
            <v>43644</v>
          </cell>
          <cell r="E364">
            <v>109.60899999999999</v>
          </cell>
          <cell r="F364">
            <v>105.52500000000001</v>
          </cell>
          <cell r="H364">
            <v>130.84</v>
          </cell>
          <cell r="I364">
            <v>0.21229999999999999</v>
          </cell>
          <cell r="T364" t="str">
            <v>9 0.26%</v>
          </cell>
          <cell r="U364" t="str">
            <v>12 1.76%</v>
          </cell>
        </row>
        <row r="365">
          <cell r="A365">
            <v>43647</v>
          </cell>
          <cell r="E365">
            <v>111.503</v>
          </cell>
          <cell r="F365">
            <v>106.794</v>
          </cell>
          <cell r="H365">
            <v>130.88999999999999</v>
          </cell>
          <cell r="I365">
            <v>0.19389999999999999</v>
          </cell>
          <cell r="T365" t="str">
            <v>13 2.13%</v>
          </cell>
          <cell r="U365" t="str">
            <v>14 5.92%</v>
          </cell>
        </row>
        <row r="366">
          <cell r="A366">
            <v>43648</v>
          </cell>
          <cell r="E366">
            <v>111.212</v>
          </cell>
          <cell r="F366">
            <v>107.29</v>
          </cell>
          <cell r="H366">
            <v>130.19999999999999</v>
          </cell>
          <cell r="I366">
            <v>0.18990000000000001</v>
          </cell>
          <cell r="T366" t="str">
            <v>13 -0.24%</v>
          </cell>
          <cell r="U366" t="str">
            <v>14 -3.36%</v>
          </cell>
        </row>
        <row r="367">
          <cell r="A367">
            <v>43649</v>
          </cell>
          <cell r="E367">
            <v>110.645</v>
          </cell>
          <cell r="F367">
            <v>107.08499999999999</v>
          </cell>
          <cell r="H367">
            <v>130.38</v>
          </cell>
          <cell r="I367">
            <v>0.19739999999999999</v>
          </cell>
          <cell r="T367" t="str">
            <v>12 -1.61%</v>
          </cell>
          <cell r="U367" t="str">
            <v>12 -2.28%</v>
          </cell>
        </row>
        <row r="368">
          <cell r="A368">
            <v>43650</v>
          </cell>
          <cell r="E368">
            <v>110.565</v>
          </cell>
          <cell r="F368">
            <v>107.13</v>
          </cell>
          <cell r="H368">
            <v>130.28</v>
          </cell>
          <cell r="I368">
            <v>0.1971</v>
          </cell>
          <cell r="T368" t="str">
            <v>14 0.47%</v>
          </cell>
          <cell r="U368" t="str">
            <v>11 -1.14%</v>
          </cell>
        </row>
        <row r="369">
          <cell r="A369">
            <v>43651</v>
          </cell>
          <cell r="E369">
            <v>110.292</v>
          </cell>
          <cell r="F369">
            <v>107.137</v>
          </cell>
          <cell r="H369">
            <v>129.80000000000001</v>
          </cell>
          <cell r="I369">
            <v>0.1951</v>
          </cell>
          <cell r="T369" t="str">
            <v>14 0.51%</v>
          </cell>
          <cell r="U369" t="str">
            <v>10 0.09%</v>
          </cell>
        </row>
        <row r="370">
          <cell r="A370">
            <v>43654</v>
          </cell>
          <cell r="E370">
            <v>108.85599999999999</v>
          </cell>
          <cell r="F370">
            <v>105.88</v>
          </cell>
          <cell r="H370">
            <v>130.84</v>
          </cell>
          <cell r="I370">
            <v>0.21990000000000001</v>
          </cell>
          <cell r="T370" t="str">
            <v>14 -0.29%</v>
          </cell>
          <cell r="U370" t="str">
            <v>9 -2.86%</v>
          </cell>
        </row>
        <row r="371">
          <cell r="A371">
            <v>43655</v>
          </cell>
          <cell r="E371">
            <v>108.81</v>
          </cell>
          <cell r="F371">
            <v>105.97499999999999</v>
          </cell>
          <cell r="H371">
            <v>130.37</v>
          </cell>
          <cell r="I371">
            <v>0.21560000000000001</v>
          </cell>
          <cell r="T371" t="str">
            <v>12 -0.38%</v>
          </cell>
          <cell r="U371" t="str">
            <v>9 -0.50%</v>
          </cell>
        </row>
        <row r="372">
          <cell r="A372">
            <v>43656</v>
          </cell>
          <cell r="E372">
            <v>108.479</v>
          </cell>
          <cell r="F372">
            <v>105.801</v>
          </cell>
          <cell r="H372">
            <v>130.54</v>
          </cell>
          <cell r="I372">
            <v>0.22059999999999999</v>
          </cell>
          <cell r="T372" t="str">
            <v>10 -0.13%</v>
          </cell>
          <cell r="U372" t="str">
            <v>8 -1.89%</v>
          </cell>
        </row>
        <row r="373">
          <cell r="A373">
            <v>43657</v>
          </cell>
          <cell r="E373">
            <v>108.41</v>
          </cell>
          <cell r="F373">
            <v>105.66</v>
          </cell>
          <cell r="H373">
            <v>130.34</v>
          </cell>
          <cell r="I373">
            <v>0.21929999999999999</v>
          </cell>
          <cell r="T373" t="str">
            <v>10 -0.29%</v>
          </cell>
          <cell r="U373" t="str">
            <v>8 -0.25%</v>
          </cell>
        </row>
        <row r="374">
          <cell r="A374">
            <v>43658</v>
          </cell>
          <cell r="E374">
            <v>108.574</v>
          </cell>
          <cell r="F374">
            <v>105.855</v>
          </cell>
          <cell r="H374">
            <v>130.24</v>
          </cell>
          <cell r="I374">
            <v>0.21659999999999999</v>
          </cell>
          <cell r="T374" t="str">
            <v>12 1.19%</v>
          </cell>
          <cell r="U374" t="str">
            <v>8 -0.18%</v>
          </cell>
        </row>
        <row r="375">
          <cell r="A375">
            <v>43661</v>
          </cell>
          <cell r="E375">
            <v>108.81100000000001</v>
          </cell>
          <cell r="F375">
            <v>105.875</v>
          </cell>
          <cell r="H375">
            <v>130.13</v>
          </cell>
          <cell r="I375">
            <v>0.2132</v>
          </cell>
          <cell r="T375" t="str">
            <v>11 0.58%</v>
          </cell>
          <cell r="U375" t="str">
            <v>9 0.91%</v>
          </cell>
        </row>
        <row r="376">
          <cell r="A376">
            <v>43662</v>
          </cell>
          <cell r="E376">
            <v>108.907</v>
          </cell>
          <cell r="F376">
            <v>106.283</v>
          </cell>
          <cell r="H376">
            <v>129.9</v>
          </cell>
          <cell r="I376">
            <v>0.2099</v>
          </cell>
          <cell r="T376" t="str">
            <v>13 -0.49%</v>
          </cell>
          <cell r="U376" t="str">
            <v>8 0.94%</v>
          </cell>
        </row>
        <row r="377">
          <cell r="A377">
            <v>43663</v>
          </cell>
          <cell r="E377">
            <v>109.20399999999999</v>
          </cell>
          <cell r="F377">
            <v>106.429</v>
          </cell>
          <cell r="H377">
            <v>130.09</v>
          </cell>
          <cell r="I377">
            <v>0.2089</v>
          </cell>
          <cell r="T377" t="str">
            <v>11 0.32%</v>
          </cell>
          <cell r="U377" t="str">
            <v>9 -0.06%</v>
          </cell>
        </row>
        <row r="378">
          <cell r="A378">
            <v>43664</v>
          </cell>
          <cell r="E378">
            <v>108.512</v>
          </cell>
          <cell r="F378">
            <v>106.051</v>
          </cell>
          <cell r="H378">
            <v>130.99</v>
          </cell>
          <cell r="I378">
            <v>0.2248</v>
          </cell>
          <cell r="T378" t="str">
            <v>10 -1.18%</v>
          </cell>
          <cell r="U378" t="str">
            <v>8 -1.66%</v>
          </cell>
        </row>
        <row r="379">
          <cell r="A379">
            <v>43665</v>
          </cell>
          <cell r="E379">
            <v>108.718</v>
          </cell>
          <cell r="F379">
            <v>106.126</v>
          </cell>
          <cell r="H379">
            <v>130.94</v>
          </cell>
          <cell r="I379">
            <v>0.22220000000000001</v>
          </cell>
          <cell r="T379" t="str">
            <v>10 0.51%</v>
          </cell>
          <cell r="U379" t="str">
            <v>9 0.41%</v>
          </cell>
        </row>
        <row r="380">
          <cell r="A380">
            <v>43668</v>
          </cell>
          <cell r="E380">
            <v>107.768</v>
          </cell>
          <cell r="F380">
            <v>105.23</v>
          </cell>
          <cell r="H380">
            <v>132.46</v>
          </cell>
          <cell r="I380">
            <v>0.247</v>
          </cell>
          <cell r="T380" t="str">
            <v>8 -0.73%</v>
          </cell>
          <cell r="U380" t="str">
            <v>8 -3.41%</v>
          </cell>
        </row>
        <row r="381">
          <cell r="A381">
            <v>43669</v>
          </cell>
          <cell r="E381">
            <v>108.044</v>
          </cell>
          <cell r="F381">
            <v>105.255</v>
          </cell>
          <cell r="H381">
            <v>131.47</v>
          </cell>
          <cell r="I381">
            <v>0.23430000000000001</v>
          </cell>
          <cell r="T381" t="str">
            <v>12 0.76%</v>
          </cell>
          <cell r="U381" t="str">
            <v>7 0.59%</v>
          </cell>
        </row>
        <row r="382">
          <cell r="A382">
            <v>43670</v>
          </cell>
          <cell r="E382">
            <v>108.35299999999999</v>
          </cell>
          <cell r="F382">
            <v>105.55</v>
          </cell>
          <cell r="H382">
            <v>130.69</v>
          </cell>
          <cell r="I382">
            <v>0.2233</v>
          </cell>
          <cell r="T382" t="str">
            <v>12 0.55%</v>
          </cell>
          <cell r="U382" t="str">
            <v>9 1.26%</v>
          </cell>
        </row>
        <row r="383">
          <cell r="A383">
            <v>43671</v>
          </cell>
          <cell r="E383">
            <v>108.88200000000001</v>
          </cell>
          <cell r="F383">
            <v>105.94</v>
          </cell>
          <cell r="H383">
            <v>131.36000000000001</v>
          </cell>
          <cell r="I383">
            <v>0.22470000000000001</v>
          </cell>
          <cell r="T383" t="str">
            <v>14 0.82%</v>
          </cell>
          <cell r="U383" t="str">
            <v>10 2.02%</v>
          </cell>
        </row>
        <row r="384">
          <cell r="A384">
            <v>43672</v>
          </cell>
          <cell r="E384">
            <v>109.4</v>
          </cell>
          <cell r="F384">
            <v>106.88</v>
          </cell>
          <cell r="H384">
            <v>131.88999999999999</v>
          </cell>
          <cell r="I384">
            <v>0.22489999999999999</v>
          </cell>
          <cell r="T384" t="str">
            <v>12 1.04%</v>
          </cell>
          <cell r="U384" t="str">
            <v>12 0.83%</v>
          </cell>
        </row>
        <row r="385">
          <cell r="A385">
            <v>43675</v>
          </cell>
          <cell r="E385">
            <v>109.63500000000001</v>
          </cell>
          <cell r="F385">
            <v>107.17</v>
          </cell>
          <cell r="H385">
            <v>132.05000000000001</v>
          </cell>
          <cell r="I385">
            <v>0.22420000000000001</v>
          </cell>
          <cell r="T385" t="str">
            <v>13 0.36%</v>
          </cell>
          <cell r="U385" t="str">
            <v>12 0.71%</v>
          </cell>
        </row>
        <row r="386">
          <cell r="A386">
            <v>43676</v>
          </cell>
          <cell r="E386">
            <v>110.15300000000001</v>
          </cell>
          <cell r="F386">
            <v>107.435</v>
          </cell>
          <cell r="H386">
            <v>132.68</v>
          </cell>
          <cell r="I386">
            <v>0.2253</v>
          </cell>
          <cell r="T386" t="str">
            <v>16 0.48%</v>
          </cell>
          <cell r="U386" t="str">
            <v>11 0.51%</v>
          </cell>
        </row>
        <row r="387">
          <cell r="A387">
            <v>43677</v>
          </cell>
          <cell r="E387">
            <v>110.20699999999999</v>
          </cell>
          <cell r="F387">
            <v>107.51</v>
          </cell>
          <cell r="H387">
            <v>133.56</v>
          </cell>
          <cell r="I387">
            <v>0.23350000000000001</v>
          </cell>
          <cell r="T387" t="str">
            <v>15 0.39%</v>
          </cell>
          <cell r="U387" t="str">
            <v>11 -0.01%</v>
          </cell>
        </row>
        <row r="388">
          <cell r="A388">
            <v>43678</v>
          </cell>
          <cell r="E388">
            <v>109.602</v>
          </cell>
          <cell r="F388">
            <v>107.1</v>
          </cell>
          <cell r="H388">
            <v>133.29</v>
          </cell>
          <cell r="I388">
            <v>0.2369</v>
          </cell>
          <cell r="T388" t="str">
            <v>14 0.00%</v>
          </cell>
          <cell r="U388" t="str">
            <v>10 -1.24%</v>
          </cell>
        </row>
        <row r="389">
          <cell r="A389">
            <v>43679</v>
          </cell>
          <cell r="E389">
            <v>109.123</v>
          </cell>
          <cell r="F389">
            <v>106.66</v>
          </cell>
          <cell r="H389">
            <v>134.44999999999999</v>
          </cell>
          <cell r="I389">
            <v>0.25319999999999998</v>
          </cell>
          <cell r="T389" t="str">
            <v>14 -0.76%</v>
          </cell>
          <cell r="U389" t="str">
            <v>9 -1.21%</v>
          </cell>
        </row>
        <row r="390">
          <cell r="A390">
            <v>43682</v>
          </cell>
          <cell r="E390">
            <v>108.476</v>
          </cell>
          <cell r="F390">
            <v>106.01</v>
          </cell>
          <cell r="H390">
            <v>134.91999999999999</v>
          </cell>
          <cell r="I390">
            <v>0.26450000000000001</v>
          </cell>
          <cell r="T390" t="str">
            <v>9 -0.28%</v>
          </cell>
          <cell r="U390" t="str">
            <v>9 -1.04%</v>
          </cell>
        </row>
        <row r="391">
          <cell r="A391">
            <v>43683</v>
          </cell>
          <cell r="E391">
            <v>107.53100000000001</v>
          </cell>
          <cell r="F391">
            <v>105.55</v>
          </cell>
          <cell r="H391">
            <v>137.11000000000001</v>
          </cell>
          <cell r="I391">
            <v>0.29580000000000001</v>
          </cell>
          <cell r="T391" t="str">
            <v>12 -1.91%</v>
          </cell>
          <cell r="U391" t="str">
            <v>6 -1.86%</v>
          </cell>
        </row>
        <row r="392">
          <cell r="A392">
            <v>43684</v>
          </cell>
          <cell r="E392">
            <v>107.991</v>
          </cell>
          <cell r="F392">
            <v>105.785</v>
          </cell>
          <cell r="H392">
            <v>138.02000000000001</v>
          </cell>
          <cell r="I392">
            <v>0.30030000000000001</v>
          </cell>
          <cell r="T392" t="str">
            <v>15 1.09%</v>
          </cell>
          <cell r="U392" t="str">
            <v>6 1.13%</v>
          </cell>
        </row>
        <row r="393">
          <cell r="A393">
            <v>43685</v>
          </cell>
          <cell r="E393">
            <v>108.30500000000001</v>
          </cell>
          <cell r="F393">
            <v>105.765</v>
          </cell>
          <cell r="H393">
            <v>137.97999999999999</v>
          </cell>
          <cell r="I393">
            <v>0.29680000000000001</v>
          </cell>
          <cell r="T393" t="str">
            <v>14 0.79%</v>
          </cell>
          <cell r="U393" t="str">
            <v>8 1.47%</v>
          </cell>
        </row>
        <row r="394">
          <cell r="A394">
            <v>43686</v>
          </cell>
          <cell r="E394">
            <v>108.16500000000001</v>
          </cell>
          <cell r="F394">
            <v>105.83</v>
          </cell>
          <cell r="H394">
            <v>138.99</v>
          </cell>
          <cell r="I394">
            <v>0.30830000000000002</v>
          </cell>
          <cell r="T394" t="str">
            <v>14 0.08%</v>
          </cell>
          <cell r="U394" t="str">
            <v>7 -0.97%</v>
          </cell>
        </row>
        <row r="395">
          <cell r="A395">
            <v>43689</v>
          </cell>
          <cell r="E395">
            <v>108.69199999999999</v>
          </cell>
          <cell r="F395">
            <v>106.206</v>
          </cell>
          <cell r="H395">
            <v>137.97</v>
          </cell>
          <cell r="I395">
            <v>0.2928</v>
          </cell>
          <cell r="T395" t="str">
            <v>14 1.43%</v>
          </cell>
          <cell r="U395" t="str">
            <v>9 2.19%</v>
          </cell>
        </row>
        <row r="396">
          <cell r="A396">
            <v>43690</v>
          </cell>
          <cell r="E396">
            <v>108.63800000000001</v>
          </cell>
          <cell r="F396">
            <v>106.08499999999999</v>
          </cell>
          <cell r="H396">
            <v>138.53</v>
          </cell>
          <cell r="I396">
            <v>0.2989</v>
          </cell>
          <cell r="T396" t="str">
            <v>15 0.05%</v>
          </cell>
          <cell r="U396" t="str">
            <v>10 0.32%</v>
          </cell>
        </row>
        <row r="397">
          <cell r="A397">
            <v>43691</v>
          </cell>
          <cell r="E397">
            <v>108.77500000000001</v>
          </cell>
          <cell r="F397">
            <v>106.02</v>
          </cell>
          <cell r="H397">
            <v>138.08000000000001</v>
          </cell>
          <cell r="I397">
            <v>0.29310000000000003</v>
          </cell>
          <cell r="T397" t="str">
            <v>15 0.09%</v>
          </cell>
          <cell r="U397" t="str">
            <v>9 0.26%</v>
          </cell>
        </row>
        <row r="398">
          <cell r="A398">
            <v>43692</v>
          </cell>
          <cell r="E398">
            <v>108.962</v>
          </cell>
          <cell r="F398">
            <v>106.07</v>
          </cell>
          <cell r="H398">
            <v>137.97999999999999</v>
          </cell>
          <cell r="I398">
            <v>0.29020000000000001</v>
          </cell>
          <cell r="T398" t="str">
            <v>13 0.38%</v>
          </cell>
          <cell r="U398" t="str">
            <v>11 1.20%</v>
          </cell>
        </row>
        <row r="399">
          <cell r="A399">
            <v>43693</v>
          </cell>
          <cell r="E399">
            <v>109.46599999999999</v>
          </cell>
          <cell r="F399">
            <v>106.15</v>
          </cell>
          <cell r="H399">
            <v>138.41</v>
          </cell>
          <cell r="I399">
            <v>0.28939999999999999</v>
          </cell>
          <cell r="T399" t="str">
            <v>13 0.67%</v>
          </cell>
          <cell r="U399" t="str">
            <v>12 0.31%</v>
          </cell>
        </row>
        <row r="400">
          <cell r="A400">
            <v>43696</v>
          </cell>
          <cell r="E400">
            <v>111.009</v>
          </cell>
          <cell r="F400">
            <v>107.596</v>
          </cell>
          <cell r="H400">
            <v>137.53</v>
          </cell>
          <cell r="I400">
            <v>0.26519999999999999</v>
          </cell>
          <cell r="T400" t="str">
            <v>19 1.60%</v>
          </cell>
          <cell r="U400" t="str">
            <v>16 3.73%</v>
          </cell>
        </row>
        <row r="401">
          <cell r="A401">
            <v>43697</v>
          </cell>
          <cell r="E401">
            <v>111.09399999999999</v>
          </cell>
          <cell r="F401">
            <v>107.774</v>
          </cell>
          <cell r="H401">
            <v>137.74</v>
          </cell>
          <cell r="I401">
            <v>0.26650000000000001</v>
          </cell>
          <cell r="T401" t="str">
            <v>22 -0.58%</v>
          </cell>
          <cell r="U401" t="str">
            <v>14 0.59%</v>
          </cell>
        </row>
        <row r="402">
          <cell r="A402">
            <v>43698</v>
          </cell>
          <cell r="E402">
            <v>111.068</v>
          </cell>
          <cell r="F402">
            <v>107.7</v>
          </cell>
          <cell r="H402">
            <v>137.65</v>
          </cell>
          <cell r="I402">
            <v>0.26579999999999998</v>
          </cell>
          <cell r="T402" t="str">
            <v>19 -0.48%</v>
          </cell>
          <cell r="U402" t="str">
            <v>15 1.23%</v>
          </cell>
        </row>
        <row r="403">
          <cell r="A403">
            <v>43699</v>
          </cell>
          <cell r="E403">
            <v>110.971</v>
          </cell>
          <cell r="F403">
            <v>107.49</v>
          </cell>
          <cell r="H403">
            <v>137.41999999999999</v>
          </cell>
          <cell r="I403">
            <v>0.26450000000000001</v>
          </cell>
          <cell r="T403" t="str">
            <v>19 -0.24%</v>
          </cell>
          <cell r="U403" t="str">
            <v>13 0.23%</v>
          </cell>
        </row>
        <row r="404">
          <cell r="A404">
            <v>43700</v>
          </cell>
          <cell r="E404">
            <v>111.20399999999999</v>
          </cell>
          <cell r="F404">
            <v>107.79300000000001</v>
          </cell>
          <cell r="H404">
            <v>138.07</v>
          </cell>
          <cell r="I404">
            <v>0.26860000000000001</v>
          </cell>
          <cell r="T404" t="str">
            <v>22 0.47%</v>
          </cell>
          <cell r="U404" t="str">
            <v>13 0.76%</v>
          </cell>
        </row>
        <row r="405">
          <cell r="A405">
            <v>43703</v>
          </cell>
          <cell r="E405">
            <v>111.029</v>
          </cell>
          <cell r="F405">
            <v>107.87</v>
          </cell>
          <cell r="H405">
            <v>138.54</v>
          </cell>
          <cell r="I405">
            <v>0.2752</v>
          </cell>
          <cell r="T405" t="str">
            <v>20 -0.44%</v>
          </cell>
          <cell r="U405" t="str">
            <v>12 1.86%</v>
          </cell>
        </row>
        <row r="406">
          <cell r="A406">
            <v>43704</v>
          </cell>
          <cell r="E406">
            <v>111.883</v>
          </cell>
          <cell r="F406">
            <v>108.17</v>
          </cell>
          <cell r="H406">
            <v>137.77000000000001</v>
          </cell>
          <cell r="I406">
            <v>0.25879999999999997</v>
          </cell>
          <cell r="T406" t="str">
            <v>21 1.43%</v>
          </cell>
          <cell r="U406" t="str">
            <v>15 1.46%</v>
          </cell>
        </row>
        <row r="407">
          <cell r="A407">
            <v>43705</v>
          </cell>
          <cell r="E407">
            <v>112.084</v>
          </cell>
          <cell r="F407">
            <v>108.62</v>
          </cell>
          <cell r="H407">
            <v>138.05000000000001</v>
          </cell>
          <cell r="I407">
            <v>0.25969999999999999</v>
          </cell>
          <cell r="T407" t="str">
            <v>18 0.07%</v>
          </cell>
          <cell r="U407" t="str">
            <v>17 0.86%</v>
          </cell>
        </row>
        <row r="408">
          <cell r="A408">
            <v>43706</v>
          </cell>
          <cell r="E408">
            <v>112.05500000000001</v>
          </cell>
          <cell r="F408">
            <v>108.5</v>
          </cell>
          <cell r="H408">
            <v>138.18</v>
          </cell>
          <cell r="I408">
            <v>0.26119999999999999</v>
          </cell>
          <cell r="T408" t="str">
            <v>18 0.60%</v>
          </cell>
          <cell r="U408" t="str">
            <v>17 -0.19%</v>
          </cell>
        </row>
        <row r="409">
          <cell r="A409">
            <v>43707</v>
          </cell>
          <cell r="E409">
            <v>111.69199999999999</v>
          </cell>
          <cell r="F409">
            <v>108</v>
          </cell>
          <cell r="H409">
            <v>139.27000000000001</v>
          </cell>
          <cell r="I409">
            <v>0.27579999999999999</v>
          </cell>
          <cell r="T409" t="str">
            <v>22 -0.60%</v>
          </cell>
          <cell r="U409" t="str">
            <v>14 -1.15%</v>
          </cell>
        </row>
        <row r="410">
          <cell r="A410">
            <v>43710</v>
          </cell>
          <cell r="E410">
            <v>112.517</v>
          </cell>
          <cell r="F410">
            <v>108.3</v>
          </cell>
          <cell r="H410">
            <v>138.16</v>
          </cell>
          <cell r="I410">
            <v>0.25640000000000002</v>
          </cell>
          <cell r="T410" t="str">
            <v>22 0.87%</v>
          </cell>
          <cell r="U410" t="str">
            <v>16 1.89%</v>
          </cell>
        </row>
        <row r="411">
          <cell r="A411">
            <v>43711</v>
          </cell>
          <cell r="E411">
            <v>112.93300000000001</v>
          </cell>
          <cell r="F411">
            <v>108.35</v>
          </cell>
          <cell r="H411">
            <v>138.28</v>
          </cell>
          <cell r="I411">
            <v>0.25340000000000001</v>
          </cell>
          <cell r="T411" t="str">
            <v>26 0.13%</v>
          </cell>
          <cell r="U411" t="str">
            <v>15 1.69%</v>
          </cell>
        </row>
        <row r="412">
          <cell r="A412">
            <v>43712</v>
          </cell>
          <cell r="E412">
            <v>112.91800000000001</v>
          </cell>
          <cell r="F412">
            <v>108.52</v>
          </cell>
          <cell r="H412">
            <v>137.63999999999999</v>
          </cell>
          <cell r="I412">
            <v>0.24729999999999999</v>
          </cell>
          <cell r="T412" t="str">
            <v>28 1.03%</v>
          </cell>
          <cell r="U412" t="str">
            <v>14 0.88%</v>
          </cell>
        </row>
        <row r="413">
          <cell r="A413">
            <v>43713</v>
          </cell>
          <cell r="E413">
            <v>113.937</v>
          </cell>
          <cell r="F413">
            <v>109.8</v>
          </cell>
          <cell r="H413">
            <v>138.37</v>
          </cell>
          <cell r="I413">
            <v>0.24429999999999999</v>
          </cell>
          <cell r="T413" t="str">
            <v>35 0.95%</v>
          </cell>
          <cell r="U413" t="str">
            <v>18 1.27%</v>
          </cell>
        </row>
        <row r="414">
          <cell r="A414">
            <v>43714</v>
          </cell>
          <cell r="E414">
            <v>114.533</v>
          </cell>
          <cell r="F414">
            <v>110.01</v>
          </cell>
          <cell r="H414">
            <v>138.65</v>
          </cell>
          <cell r="I414">
            <v>0.2412</v>
          </cell>
          <cell r="T414" t="str">
            <v>39 0.43%</v>
          </cell>
          <cell r="U414" t="str">
            <v>16 1.06%</v>
          </cell>
        </row>
        <row r="415">
          <cell r="A415">
            <v>43717</v>
          </cell>
          <cell r="E415">
            <v>115.79300000000001</v>
          </cell>
          <cell r="F415">
            <v>110.96</v>
          </cell>
          <cell r="H415">
            <v>138.66999999999999</v>
          </cell>
          <cell r="I415">
            <v>0.2288</v>
          </cell>
          <cell r="T415" t="str">
            <v>36 0.53%</v>
          </cell>
          <cell r="U415" t="str">
            <v>22 2.70%</v>
          </cell>
        </row>
        <row r="416">
          <cell r="A416">
            <v>43718</v>
          </cell>
          <cell r="E416">
            <v>115.93300000000001</v>
          </cell>
          <cell r="F416">
            <v>111.226</v>
          </cell>
          <cell r="H416">
            <v>138.81</v>
          </cell>
          <cell r="I416">
            <v>0.2288</v>
          </cell>
          <cell r="T416" t="str">
            <v>37 0.20%</v>
          </cell>
          <cell r="U416" t="str">
            <v>20 -0.03%</v>
          </cell>
        </row>
        <row r="417">
          <cell r="A417">
            <v>43719</v>
          </cell>
          <cell r="E417">
            <v>115.404</v>
          </cell>
          <cell r="F417">
            <v>110.96</v>
          </cell>
          <cell r="H417">
            <v>138.57</v>
          </cell>
          <cell r="I417">
            <v>0.23169999999999999</v>
          </cell>
          <cell r="T417" t="str">
            <v>42 -0.80%</v>
          </cell>
          <cell r="U417" t="str">
            <v>15 -1.28%</v>
          </cell>
        </row>
        <row r="418">
          <cell r="A418">
            <v>43720</v>
          </cell>
          <cell r="E418">
            <v>115.523</v>
          </cell>
          <cell r="F418">
            <v>110.66</v>
          </cell>
          <cell r="H418">
            <v>138.04</v>
          </cell>
          <cell r="I418">
            <v>0.22520000000000001</v>
          </cell>
          <cell r="T418" t="str">
            <v>37 0.07%</v>
          </cell>
          <cell r="U418" t="str">
            <v>18 1.02%</v>
          </cell>
        </row>
        <row r="419">
          <cell r="A419">
            <v>43724</v>
          </cell>
          <cell r="E419">
            <v>115.44</v>
          </cell>
          <cell r="F419">
            <v>110.41</v>
          </cell>
          <cell r="H419">
            <v>137.41</v>
          </cell>
          <cell r="I419">
            <v>0.21970000000000001</v>
          </cell>
          <cell r="T419" t="str">
            <v>40 -0.19%</v>
          </cell>
          <cell r="U419" t="str">
            <v>16 0.76%</v>
          </cell>
        </row>
        <row r="420">
          <cell r="A420">
            <v>43725</v>
          </cell>
          <cell r="E420">
            <v>113.917</v>
          </cell>
          <cell r="F420">
            <v>109.065</v>
          </cell>
          <cell r="H420">
            <v>137.07</v>
          </cell>
          <cell r="I420">
            <v>0.23150000000000001</v>
          </cell>
          <cell r="T420" t="str">
            <v>24 -0.77%</v>
          </cell>
          <cell r="U420" t="str">
            <v>15 -2.13%</v>
          </cell>
        </row>
        <row r="421">
          <cell r="A421">
            <v>43726</v>
          </cell>
          <cell r="E421">
            <v>113.892</v>
          </cell>
          <cell r="F421">
            <v>109.23</v>
          </cell>
          <cell r="H421">
            <v>136.97</v>
          </cell>
          <cell r="I421">
            <v>0.23080000000000001</v>
          </cell>
          <cell r="T421" t="str">
            <v>25 0.10%</v>
          </cell>
          <cell r="U421" t="str">
            <v>16 0.01%</v>
          </cell>
        </row>
        <row r="422">
          <cell r="A422">
            <v>43727</v>
          </cell>
          <cell r="E422">
            <v>114.35899999999999</v>
          </cell>
          <cell r="F422">
            <v>109.501</v>
          </cell>
          <cell r="H422">
            <v>136.69999999999999</v>
          </cell>
          <cell r="I422">
            <v>0.22339999999999999</v>
          </cell>
          <cell r="T422" t="str">
            <v>28 0.43%</v>
          </cell>
          <cell r="U422" t="str">
            <v>15 1.06%</v>
          </cell>
        </row>
        <row r="423">
          <cell r="A423">
            <v>43728</v>
          </cell>
          <cell r="E423">
            <v>114.79900000000001</v>
          </cell>
          <cell r="F423">
            <v>109.8</v>
          </cell>
          <cell r="H423">
            <v>137.19999999999999</v>
          </cell>
          <cell r="I423">
            <v>0.224</v>
          </cell>
          <cell r="T423" t="str">
            <v>29 0.80%</v>
          </cell>
          <cell r="U423" t="str">
            <v>17 1.11%</v>
          </cell>
        </row>
        <row r="424">
          <cell r="A424">
            <v>43731</v>
          </cell>
          <cell r="E424">
            <v>114.22799999999999</v>
          </cell>
          <cell r="F424">
            <v>109.35</v>
          </cell>
          <cell r="H424">
            <v>137.07</v>
          </cell>
          <cell r="I424">
            <v>0.22839999999999999</v>
          </cell>
          <cell r="T424" t="str">
            <v>22 -1.19%</v>
          </cell>
          <cell r="U424" t="str">
            <v>16 -0.67%</v>
          </cell>
        </row>
        <row r="425">
          <cell r="A425">
            <v>43732</v>
          </cell>
          <cell r="E425">
            <v>114.428</v>
          </cell>
          <cell r="F425">
            <v>109.73</v>
          </cell>
          <cell r="H425">
            <v>136.81</v>
          </cell>
          <cell r="I425">
            <v>0.2238</v>
          </cell>
          <cell r="T425" t="str">
            <v>22 0.52%</v>
          </cell>
          <cell r="U425" t="str">
            <v>18 1.13%</v>
          </cell>
        </row>
        <row r="426">
          <cell r="A426">
            <v>43733</v>
          </cell>
          <cell r="E426">
            <v>113.622</v>
          </cell>
          <cell r="F426">
            <v>109.568</v>
          </cell>
          <cell r="H426">
            <v>137.47999999999999</v>
          </cell>
          <cell r="I426">
            <v>0.23860000000000001</v>
          </cell>
          <cell r="T426" t="str">
            <v>22 -0.94%</v>
          </cell>
          <cell r="U426" t="str">
            <v>14 -1.54%</v>
          </cell>
        </row>
        <row r="427">
          <cell r="A427">
            <v>43734</v>
          </cell>
          <cell r="E427">
            <v>112.497</v>
          </cell>
          <cell r="F427">
            <v>108.55</v>
          </cell>
          <cell r="H427">
            <v>138.05000000000001</v>
          </cell>
          <cell r="I427">
            <v>0.2555</v>
          </cell>
          <cell r="T427" t="str">
            <v>22 -1.55%</v>
          </cell>
          <cell r="U427" t="str">
            <v>10 -3.38%</v>
          </cell>
        </row>
        <row r="428">
          <cell r="A428">
            <v>43735</v>
          </cell>
          <cell r="E428">
            <v>112.759</v>
          </cell>
          <cell r="F428">
            <v>109.23099999999999</v>
          </cell>
          <cell r="H428">
            <v>137.56</v>
          </cell>
          <cell r="I428">
            <v>0.248</v>
          </cell>
          <cell r="T428" t="str">
            <v>21 0.44%</v>
          </cell>
          <cell r="U428" t="str">
            <v>11 0.47%</v>
          </cell>
        </row>
        <row r="429">
          <cell r="A429">
            <v>43738</v>
          </cell>
          <cell r="E429">
            <v>112.55200000000001</v>
          </cell>
          <cell r="F429">
            <v>108.84399999999999</v>
          </cell>
          <cell r="H429">
            <v>138.56</v>
          </cell>
          <cell r="I429">
            <v>0.2601</v>
          </cell>
          <cell r="T429" t="str">
            <v>21 -0.60%</v>
          </cell>
          <cell r="U429" t="str">
            <v>11 -0.23%</v>
          </cell>
        </row>
        <row r="430">
          <cell r="A430">
            <v>43746</v>
          </cell>
          <cell r="E430">
            <v>112.557</v>
          </cell>
          <cell r="F430">
            <v>109.036</v>
          </cell>
          <cell r="H430">
            <v>138.16999999999999</v>
          </cell>
          <cell r="I430">
            <v>0.25619999999999998</v>
          </cell>
          <cell r="T430" t="str">
            <v>23 -0.37%</v>
          </cell>
          <cell r="U430" t="str">
            <v>11 0.72%</v>
          </cell>
        </row>
        <row r="431">
          <cell r="A431">
            <v>43747</v>
          </cell>
          <cell r="E431">
            <v>112.749</v>
          </cell>
          <cell r="F431">
            <v>109.099</v>
          </cell>
          <cell r="H431">
            <v>137.41</v>
          </cell>
          <cell r="I431">
            <v>0.24660000000000001</v>
          </cell>
          <cell r="T431" t="str">
            <v>22 -0.06%</v>
          </cell>
          <cell r="U431" t="str">
            <v>13 0.46%</v>
          </cell>
        </row>
        <row r="432">
          <cell r="A432">
            <v>43748</v>
          </cell>
          <cell r="E432">
            <v>113.486</v>
          </cell>
          <cell r="F432">
            <v>110</v>
          </cell>
          <cell r="H432">
            <v>137.61000000000001</v>
          </cell>
          <cell r="I432">
            <v>0.24129999999999999</v>
          </cell>
          <cell r="T432" t="str">
            <v>22 1.69%</v>
          </cell>
          <cell r="U432" t="str">
            <v>13 1.67%</v>
          </cell>
        </row>
        <row r="433">
          <cell r="A433">
            <v>43749</v>
          </cell>
          <cell r="E433">
            <v>113.696</v>
          </cell>
          <cell r="F433">
            <v>110.13500000000001</v>
          </cell>
          <cell r="H433">
            <v>138.36000000000001</v>
          </cell>
          <cell r="I433">
            <v>0.2467</v>
          </cell>
          <cell r="T433" t="str">
            <v>29 0.53%</v>
          </cell>
          <cell r="U433" t="str">
            <v>12 0.45%</v>
          </cell>
        </row>
        <row r="434">
          <cell r="A434">
            <v>43752</v>
          </cell>
          <cell r="E434">
            <v>114.459</v>
          </cell>
          <cell r="F434">
            <v>110.881</v>
          </cell>
          <cell r="H434">
            <v>137.65</v>
          </cell>
          <cell r="I434">
            <v>0.2319</v>
          </cell>
          <cell r="T434" t="str">
            <v>27 0.68%</v>
          </cell>
          <cell r="U434" t="str">
            <v>17 2.40%</v>
          </cell>
        </row>
        <row r="435">
          <cell r="A435">
            <v>43753</v>
          </cell>
          <cell r="E435">
            <v>113.78700000000001</v>
          </cell>
          <cell r="F435">
            <v>110.58</v>
          </cell>
          <cell r="H435">
            <v>138.04</v>
          </cell>
          <cell r="I435">
            <v>0.24249999999999999</v>
          </cell>
          <cell r="T435" t="str">
            <v>28 -0.89%</v>
          </cell>
          <cell r="U435" t="str">
            <v>12 -0.87%</v>
          </cell>
        </row>
        <row r="436">
          <cell r="A436">
            <v>43754</v>
          </cell>
          <cell r="E436">
            <v>113.474</v>
          </cell>
          <cell r="F436">
            <v>110.29</v>
          </cell>
          <cell r="H436">
            <v>138.52000000000001</v>
          </cell>
          <cell r="I436">
            <v>0.2505</v>
          </cell>
          <cell r="T436" t="str">
            <v>24 -0.02%</v>
          </cell>
          <cell r="U436" t="str">
            <v>13 -0.12%</v>
          </cell>
        </row>
        <row r="437">
          <cell r="A437">
            <v>43755</v>
          </cell>
          <cell r="E437">
            <v>113.43</v>
          </cell>
          <cell r="F437">
            <v>110.3</v>
          </cell>
          <cell r="H437">
            <v>138.55000000000001</v>
          </cell>
          <cell r="I437">
            <v>0.25119999999999998</v>
          </cell>
          <cell r="T437" t="str">
            <v>23 -0.09%</v>
          </cell>
          <cell r="U437" t="str">
            <v>14 -0.17%</v>
          </cell>
        </row>
        <row r="438">
          <cell r="A438">
            <v>43756</v>
          </cell>
          <cell r="E438">
            <v>112.932</v>
          </cell>
          <cell r="F438">
            <v>109.80800000000001</v>
          </cell>
          <cell r="H438">
            <v>139.19</v>
          </cell>
          <cell r="I438">
            <v>0.2626</v>
          </cell>
          <cell r="T438" t="str">
            <v>26 -0.87%</v>
          </cell>
          <cell r="U438" t="str">
            <v>9 -0.86%</v>
          </cell>
        </row>
        <row r="439">
          <cell r="A439">
            <v>43759</v>
          </cell>
          <cell r="E439">
            <v>112.36199999999999</v>
          </cell>
          <cell r="F439">
            <v>108.851</v>
          </cell>
          <cell r="H439">
            <v>138.72</v>
          </cell>
          <cell r="I439">
            <v>0.2636</v>
          </cell>
          <cell r="T439" t="str">
            <v>23 -0.22%</v>
          </cell>
          <cell r="U439" t="str">
            <v>10 -1.04%</v>
          </cell>
        </row>
        <row r="440">
          <cell r="A440">
            <v>43760</v>
          </cell>
          <cell r="E440">
            <v>112.676</v>
          </cell>
          <cell r="F440">
            <v>109.175</v>
          </cell>
          <cell r="H440">
            <v>138.08000000000001</v>
          </cell>
          <cell r="I440">
            <v>0.254</v>
          </cell>
          <cell r="T440" t="str">
            <v>24 0.39%</v>
          </cell>
          <cell r="U440" t="str">
            <v>11 0.99%</v>
          </cell>
        </row>
        <row r="441">
          <cell r="A441">
            <v>43761</v>
          </cell>
          <cell r="E441">
            <v>112.48099999999999</v>
          </cell>
          <cell r="F441">
            <v>109.22799999999999</v>
          </cell>
          <cell r="H441">
            <v>138.4</v>
          </cell>
          <cell r="I441">
            <v>0.2591</v>
          </cell>
          <cell r="T441" t="str">
            <v>22 -0.51%</v>
          </cell>
          <cell r="U441" t="str">
            <v>10 -0.11%</v>
          </cell>
        </row>
        <row r="442">
          <cell r="A442">
            <v>43762</v>
          </cell>
          <cell r="E442">
            <v>112.15300000000001</v>
          </cell>
          <cell r="F442">
            <v>109.005</v>
          </cell>
          <cell r="H442">
            <v>137.75</v>
          </cell>
          <cell r="I442">
            <v>0.25590000000000002</v>
          </cell>
          <cell r="T442" t="str">
            <v>21 -0.24%</v>
          </cell>
          <cell r="U442" t="str">
            <v>10 -0.38%</v>
          </cell>
        </row>
        <row r="443">
          <cell r="A443">
            <v>43763</v>
          </cell>
          <cell r="E443">
            <v>112.708</v>
          </cell>
          <cell r="F443">
            <v>109.563</v>
          </cell>
          <cell r="H443">
            <v>137.88999999999999</v>
          </cell>
          <cell r="I443">
            <v>0.25180000000000002</v>
          </cell>
          <cell r="T443" t="str">
            <v>20 0.84%</v>
          </cell>
          <cell r="U443" t="str">
            <v>13 1.99%</v>
          </cell>
        </row>
        <row r="444">
          <cell r="A444">
            <v>43766</v>
          </cell>
          <cell r="E444">
            <v>113.80500000000001</v>
          </cell>
          <cell r="F444">
            <v>110.16</v>
          </cell>
          <cell r="H444">
            <v>137.5</v>
          </cell>
          <cell r="I444">
            <v>0.2369</v>
          </cell>
          <cell r="T444" t="str">
            <v>27 2.04%</v>
          </cell>
          <cell r="U444" t="str">
            <v>13 2.68%</v>
          </cell>
        </row>
        <row r="445">
          <cell r="A445">
            <v>43767</v>
          </cell>
          <cell r="E445">
            <v>113.39100000000001</v>
          </cell>
          <cell r="F445">
            <v>109.7</v>
          </cell>
          <cell r="H445">
            <v>138.46</v>
          </cell>
          <cell r="I445">
            <v>0.25069999999999998</v>
          </cell>
          <cell r="T445" t="str">
            <v>25 -0.31%</v>
          </cell>
          <cell r="U445" t="str">
            <v>12 0.34%</v>
          </cell>
        </row>
        <row r="446">
          <cell r="A446">
            <v>43768</v>
          </cell>
          <cell r="E446">
            <v>112.307</v>
          </cell>
          <cell r="F446">
            <v>108.82599999999999</v>
          </cell>
          <cell r="H446">
            <v>138.13999999999999</v>
          </cell>
          <cell r="I446">
            <v>0.25829999999999997</v>
          </cell>
          <cell r="T446" t="str">
            <v>19 -1.01%</v>
          </cell>
          <cell r="U446" t="str">
            <v>11 -1.74%</v>
          </cell>
        </row>
        <row r="447">
          <cell r="A447">
            <v>43769</v>
          </cell>
          <cell r="E447">
            <v>111.791</v>
          </cell>
          <cell r="F447">
            <v>108.31699999999999</v>
          </cell>
          <cell r="H447">
            <v>138.22999999999999</v>
          </cell>
          <cell r="I447">
            <v>0.26440000000000002</v>
          </cell>
          <cell r="T447" t="str">
            <v>19 -0.42%</v>
          </cell>
          <cell r="U447" t="str">
            <v>11 -2.18%</v>
          </cell>
        </row>
        <row r="448">
          <cell r="A448">
            <v>43770</v>
          </cell>
          <cell r="E448">
            <v>112.11799999999999</v>
          </cell>
          <cell r="F448">
            <v>108.545</v>
          </cell>
          <cell r="H448">
            <v>137.69</v>
          </cell>
          <cell r="I448">
            <v>0.25569999999999998</v>
          </cell>
          <cell r="T448" t="str">
            <v>22 0.90%</v>
          </cell>
          <cell r="U448" t="str">
            <v>11 1.70%</v>
          </cell>
        </row>
        <row r="449">
          <cell r="A449">
            <v>43773</v>
          </cell>
          <cell r="E449">
            <v>112.535</v>
          </cell>
          <cell r="F449">
            <v>108.425</v>
          </cell>
          <cell r="H449">
            <v>137.94999999999999</v>
          </cell>
          <cell r="I449">
            <v>0.25419999999999998</v>
          </cell>
          <cell r="T449" t="str">
            <v>21 0.88%</v>
          </cell>
          <cell r="U449" t="str">
            <v>12 1.66%</v>
          </cell>
        </row>
        <row r="450">
          <cell r="A450">
            <v>43774</v>
          </cell>
          <cell r="E450">
            <v>112.908</v>
          </cell>
          <cell r="F450">
            <v>108.678</v>
          </cell>
          <cell r="H450">
            <v>138.32</v>
          </cell>
          <cell r="I450">
            <v>0.25409999999999999</v>
          </cell>
          <cell r="T450" t="str">
            <v>23 1.05%</v>
          </cell>
          <cell r="U450" t="str">
            <v>13 0.27%</v>
          </cell>
        </row>
        <row r="451">
          <cell r="A451">
            <v>43775</v>
          </cell>
          <cell r="E451">
            <v>112.69</v>
          </cell>
          <cell r="F451">
            <v>108.723</v>
          </cell>
          <cell r="H451">
            <v>138.97999999999999</v>
          </cell>
          <cell r="I451">
            <v>0.26290000000000002</v>
          </cell>
          <cell r="T451" t="str">
            <v>23 0.02%</v>
          </cell>
          <cell r="U451" t="str">
            <v>12 -0.82%</v>
          </cell>
        </row>
        <row r="452">
          <cell r="A452">
            <v>43776</v>
          </cell>
          <cell r="E452">
            <v>113.24</v>
          </cell>
          <cell r="F452">
            <v>108.9</v>
          </cell>
          <cell r="H452">
            <v>139.31</v>
          </cell>
          <cell r="I452">
            <v>0.26069999999999999</v>
          </cell>
          <cell r="T452" t="str">
            <v>23 0.09%</v>
          </cell>
          <cell r="U452" t="str">
            <v>15 2.73%</v>
          </cell>
        </row>
        <row r="453">
          <cell r="A453">
            <v>43777</v>
          </cell>
          <cell r="E453">
            <v>113.071</v>
          </cell>
          <cell r="F453">
            <v>109.057</v>
          </cell>
          <cell r="H453">
            <v>139.13999999999999</v>
          </cell>
          <cell r="I453">
            <v>0.26069999999999999</v>
          </cell>
          <cell r="T453" t="str">
            <v>25 0.33%</v>
          </cell>
          <cell r="U453" t="str">
            <v>14 -0.55%</v>
          </cell>
        </row>
        <row r="454">
          <cell r="A454">
            <v>43780</v>
          </cell>
          <cell r="E454">
            <v>112.13500000000001</v>
          </cell>
          <cell r="F454">
            <v>108.3</v>
          </cell>
          <cell r="H454">
            <v>140.51</v>
          </cell>
          <cell r="I454">
            <v>0.2838</v>
          </cell>
          <cell r="T454" t="str">
            <v>28 -1.18%</v>
          </cell>
          <cell r="U454" t="str">
            <v>11 -1.83%</v>
          </cell>
        </row>
        <row r="455">
          <cell r="A455">
            <v>43781</v>
          </cell>
          <cell r="E455">
            <v>112.039</v>
          </cell>
          <cell r="F455">
            <v>108.157</v>
          </cell>
          <cell r="H455">
            <v>140.21</v>
          </cell>
          <cell r="I455">
            <v>0.28170000000000001</v>
          </cell>
          <cell r="T455" t="str">
            <v>25 0.07%</v>
          </cell>
          <cell r="U455" t="str">
            <v>11 -0.07%</v>
          </cell>
        </row>
        <row r="456">
          <cell r="A456">
            <v>43782</v>
          </cell>
          <cell r="E456">
            <v>111.83199999999999</v>
          </cell>
          <cell r="F456">
            <v>108.25</v>
          </cell>
          <cell r="H456">
            <v>140.5</v>
          </cell>
          <cell r="I456">
            <v>0.28670000000000001</v>
          </cell>
          <cell r="T456" t="str">
            <v>25 -0.27%</v>
          </cell>
          <cell r="U456" t="str">
            <v>9 -0.42%</v>
          </cell>
        </row>
        <row r="457">
          <cell r="A457">
            <v>43783</v>
          </cell>
          <cell r="E457">
            <v>112.027</v>
          </cell>
          <cell r="F457">
            <v>108.3</v>
          </cell>
          <cell r="H457">
            <v>140.41999999999999</v>
          </cell>
          <cell r="I457">
            <v>0.28389999999999999</v>
          </cell>
          <cell r="T457" t="str">
            <v>23 0.51%</v>
          </cell>
          <cell r="U457" t="str">
            <v>10 1.58%</v>
          </cell>
        </row>
        <row r="458">
          <cell r="A458">
            <v>43784</v>
          </cell>
          <cell r="E458">
            <v>111.54600000000001</v>
          </cell>
          <cell r="F458">
            <v>107.7</v>
          </cell>
          <cell r="H458">
            <v>141.13999999999999</v>
          </cell>
          <cell r="I458">
            <v>0.2959</v>
          </cell>
          <cell r="T458" t="str">
            <v>23 -0.51%</v>
          </cell>
          <cell r="U458" t="str">
            <v>9 -1.30%</v>
          </cell>
        </row>
        <row r="459">
          <cell r="A459">
            <v>43787</v>
          </cell>
          <cell r="E459">
            <v>111.76300000000001</v>
          </cell>
          <cell r="F459">
            <v>108.18</v>
          </cell>
          <cell r="H459">
            <v>140.51</v>
          </cell>
          <cell r="I459">
            <v>0.28739999999999999</v>
          </cell>
          <cell r="T459" t="str">
            <v>24 0.48%</v>
          </cell>
          <cell r="U459" t="str">
            <v>11 1.34%</v>
          </cell>
        </row>
        <row r="460">
          <cell r="A460">
            <v>43788</v>
          </cell>
          <cell r="E460">
            <v>112.465</v>
          </cell>
          <cell r="F460">
            <v>108.81</v>
          </cell>
          <cell r="H460">
            <v>139.77000000000001</v>
          </cell>
          <cell r="I460">
            <v>0.27300000000000002</v>
          </cell>
          <cell r="T460" t="str">
            <v>28 1.11%</v>
          </cell>
          <cell r="U460" t="str">
            <v>11 1.23%</v>
          </cell>
        </row>
        <row r="461">
          <cell r="A461">
            <v>43789</v>
          </cell>
          <cell r="E461">
            <v>112.35599999999999</v>
          </cell>
          <cell r="F461">
            <v>108.85</v>
          </cell>
          <cell r="H461">
            <v>140.54</v>
          </cell>
          <cell r="I461">
            <v>0.28189999999999998</v>
          </cell>
          <cell r="T461" t="str">
            <v>24 -0.32%</v>
          </cell>
          <cell r="U461" t="str">
            <v>12 0.79%</v>
          </cell>
        </row>
        <row r="462">
          <cell r="A462">
            <v>43790</v>
          </cell>
          <cell r="E462">
            <v>112.056</v>
          </cell>
          <cell r="F462">
            <v>108.36199999999999</v>
          </cell>
          <cell r="H462">
            <v>139.87</v>
          </cell>
          <cell r="I462">
            <v>0.27810000000000001</v>
          </cell>
          <cell r="T462" t="str">
            <v>25 -0.37%</v>
          </cell>
          <cell r="U462" t="str">
            <v>13 0.02%</v>
          </cell>
        </row>
        <row r="463">
          <cell r="A463">
            <v>43791</v>
          </cell>
          <cell r="E463">
            <v>111.26</v>
          </cell>
          <cell r="F463">
            <v>108.05</v>
          </cell>
          <cell r="H463">
            <v>139.63999999999999</v>
          </cell>
          <cell r="I463">
            <v>0.2838</v>
          </cell>
          <cell r="T463" t="str">
            <v>27 -0.90%</v>
          </cell>
          <cell r="U463" t="str">
            <v>8 -1.73%</v>
          </cell>
        </row>
        <row r="464">
          <cell r="A464">
            <v>43794</v>
          </cell>
          <cell r="E464">
            <v>111.05800000000001</v>
          </cell>
          <cell r="F464">
            <v>108.309</v>
          </cell>
          <cell r="H464">
            <v>138.87</v>
          </cell>
          <cell r="I464">
            <v>0.27810000000000001</v>
          </cell>
          <cell r="T464" t="str">
            <v>29 -0.20%</v>
          </cell>
          <cell r="U464" t="str">
            <v>8 -2.08%</v>
          </cell>
        </row>
        <row r="465">
          <cell r="A465">
            <v>43795</v>
          </cell>
          <cell r="E465">
            <v>111.15300000000001</v>
          </cell>
          <cell r="F465">
            <v>108.03</v>
          </cell>
          <cell r="H465">
            <v>138.82</v>
          </cell>
          <cell r="I465">
            <v>0.2767</v>
          </cell>
          <cell r="T465" t="str">
            <v>28 0.22%</v>
          </cell>
          <cell r="U465" t="str">
            <v>8 0.02%</v>
          </cell>
        </row>
        <row r="466">
          <cell r="A466">
            <v>43796</v>
          </cell>
          <cell r="E466">
            <v>111.09399999999999</v>
          </cell>
          <cell r="F466">
            <v>108.5</v>
          </cell>
          <cell r="H466">
            <v>138.97</v>
          </cell>
          <cell r="I466">
            <v>0.27879999999999999</v>
          </cell>
          <cell r="T466" t="str">
            <v>25 0.10%</v>
          </cell>
          <cell r="U466" t="str">
            <v>10 -0.22%</v>
          </cell>
        </row>
        <row r="467">
          <cell r="A467">
            <v>43797</v>
          </cell>
          <cell r="E467">
            <v>110.821</v>
          </cell>
          <cell r="F467">
            <v>108.22499999999999</v>
          </cell>
          <cell r="H467">
            <v>138.94999999999999</v>
          </cell>
          <cell r="I467">
            <v>0.28129999999999999</v>
          </cell>
          <cell r="T467" t="str">
            <v>24 -0.33%</v>
          </cell>
          <cell r="U467" t="str">
            <v>10 0.34%</v>
          </cell>
        </row>
        <row r="468">
          <cell r="A468">
            <v>43798</v>
          </cell>
          <cell r="E468">
            <v>110.65600000000001</v>
          </cell>
          <cell r="F468">
            <v>107.8</v>
          </cell>
          <cell r="H468">
            <v>138.29</v>
          </cell>
          <cell r="I468">
            <v>0.27629999999999999</v>
          </cell>
          <cell r="T468" t="str">
            <v>24 -0.08%</v>
          </cell>
          <cell r="U468" t="str">
            <v>9 -0.56%</v>
          </cell>
        </row>
        <row r="469">
          <cell r="A469">
            <v>43801</v>
          </cell>
          <cell r="E469">
            <v>110.551</v>
          </cell>
          <cell r="F469">
            <v>107.8</v>
          </cell>
          <cell r="H469">
            <v>138.19999999999999</v>
          </cell>
          <cell r="I469">
            <v>0.27650000000000002</v>
          </cell>
          <cell r="T469" t="str">
            <v>22 0.14%</v>
          </cell>
          <cell r="U469" t="str">
            <v>10 -0.84%</v>
          </cell>
        </row>
        <row r="470">
          <cell r="A470">
            <v>43802</v>
          </cell>
          <cell r="E470">
            <v>110.759</v>
          </cell>
          <cell r="F470">
            <v>108.07</v>
          </cell>
          <cell r="H470">
            <v>137.76</v>
          </cell>
          <cell r="I470">
            <v>0.27</v>
          </cell>
          <cell r="T470" t="str">
            <v>21 0.09%</v>
          </cell>
          <cell r="U470" t="str">
            <v>10 1.60%</v>
          </cell>
        </row>
        <row r="471">
          <cell r="A471">
            <v>43803</v>
          </cell>
          <cell r="E471">
            <v>110.926</v>
          </cell>
          <cell r="F471">
            <v>108.41800000000001</v>
          </cell>
          <cell r="H471">
            <v>137.58000000000001</v>
          </cell>
          <cell r="I471">
            <v>0.26650000000000001</v>
          </cell>
          <cell r="T471" t="str">
            <v>21 0.42%</v>
          </cell>
          <cell r="U471" t="str">
            <v>11 -0.12%</v>
          </cell>
        </row>
        <row r="472">
          <cell r="A472">
            <v>43804</v>
          </cell>
          <cell r="E472">
            <v>111.479</v>
          </cell>
          <cell r="F472">
            <v>108.601</v>
          </cell>
          <cell r="H472">
            <v>137.46</v>
          </cell>
          <cell r="I472">
            <v>0.25979999999999998</v>
          </cell>
          <cell r="T472" t="str">
            <v>21 1.09%</v>
          </cell>
          <cell r="U472" t="str">
            <v>13 1.21%</v>
          </cell>
        </row>
        <row r="473">
          <cell r="A473">
            <v>43805</v>
          </cell>
          <cell r="E473">
            <v>111.89400000000001</v>
          </cell>
          <cell r="F473">
            <v>108.983</v>
          </cell>
          <cell r="H473">
            <v>137.38</v>
          </cell>
          <cell r="I473">
            <v>0.25490000000000002</v>
          </cell>
          <cell r="T473" t="str">
            <v>22 0.67%</v>
          </cell>
          <cell r="U473" t="str">
            <v>13 1.07%</v>
          </cell>
        </row>
        <row r="474">
          <cell r="A474">
            <v>43808</v>
          </cell>
          <cell r="E474">
            <v>112.08</v>
          </cell>
          <cell r="F474">
            <v>109.185</v>
          </cell>
          <cell r="H474">
            <v>137.61000000000001</v>
          </cell>
          <cell r="I474">
            <v>0.25530000000000003</v>
          </cell>
          <cell r="T474" t="str">
            <v>22 0.32%</v>
          </cell>
          <cell r="U474" t="str">
            <v>15 0.63%</v>
          </cell>
        </row>
        <row r="475">
          <cell r="A475">
            <v>43809</v>
          </cell>
          <cell r="E475">
            <v>112.61499999999999</v>
          </cell>
          <cell r="F475">
            <v>109.95</v>
          </cell>
          <cell r="H475">
            <v>137.91999999999999</v>
          </cell>
          <cell r="I475">
            <v>0.25309999999999999</v>
          </cell>
          <cell r="T475" t="str">
            <v>25 0.88%</v>
          </cell>
          <cell r="U475" t="str">
            <v>16 1.55%</v>
          </cell>
        </row>
        <row r="476">
          <cell r="A476">
            <v>43810</v>
          </cell>
          <cell r="E476">
            <v>112.97199999999999</v>
          </cell>
          <cell r="F476">
            <v>110.13</v>
          </cell>
          <cell r="H476">
            <v>138.78</v>
          </cell>
          <cell r="I476">
            <v>0.2581</v>
          </cell>
          <cell r="T476" t="str">
            <v>27 1.13%</v>
          </cell>
          <cell r="U476" t="str">
            <v>16 1.32%</v>
          </cell>
        </row>
        <row r="477">
          <cell r="A477">
            <v>43811</v>
          </cell>
          <cell r="E477">
            <v>113.02500000000001</v>
          </cell>
          <cell r="F477">
            <v>110.06</v>
          </cell>
          <cell r="H477">
            <v>139.13999999999999</v>
          </cell>
          <cell r="I477">
            <v>0.2611</v>
          </cell>
          <cell r="T477" t="str">
            <v>29 0.30%</v>
          </cell>
          <cell r="U477" t="str">
            <v>16 0.40%</v>
          </cell>
        </row>
        <row r="478">
          <cell r="A478">
            <v>43812</v>
          </cell>
          <cell r="E478">
            <v>113.595</v>
          </cell>
          <cell r="F478">
            <v>110.77200000000001</v>
          </cell>
          <cell r="H478">
            <v>138.66999999999999</v>
          </cell>
          <cell r="I478">
            <v>0.25069999999999998</v>
          </cell>
          <cell r="T478" t="str">
            <v>30 0.97%</v>
          </cell>
          <cell r="U478" t="str">
            <v>17 0.38%</v>
          </cell>
        </row>
        <row r="479">
          <cell r="A479">
            <v>43815</v>
          </cell>
          <cell r="E479">
            <v>114.86799999999999</v>
          </cell>
          <cell r="F479">
            <v>112.348</v>
          </cell>
          <cell r="H479">
            <v>139.08000000000001</v>
          </cell>
          <cell r="I479">
            <v>0.24210000000000001</v>
          </cell>
          <cell r="T479" t="str">
            <v>30 1.08%</v>
          </cell>
          <cell r="U479" t="str">
            <v>22 2.60%</v>
          </cell>
        </row>
        <row r="480">
          <cell r="A480">
            <v>43816</v>
          </cell>
          <cell r="E480">
            <v>114.96899999999999</v>
          </cell>
          <cell r="F480">
            <v>113.11</v>
          </cell>
          <cell r="H480">
            <v>138.72999999999999</v>
          </cell>
          <cell r="I480">
            <v>0.23760000000000001</v>
          </cell>
          <cell r="T480" t="str">
            <v>32 1.26%</v>
          </cell>
          <cell r="U480" t="str">
            <v>21 1.12%</v>
          </cell>
        </row>
        <row r="481">
          <cell r="A481">
            <v>43817</v>
          </cell>
          <cell r="E481">
            <v>116.128</v>
          </cell>
          <cell r="F481">
            <v>113.496</v>
          </cell>
          <cell r="H481">
            <v>139.56</v>
          </cell>
          <cell r="I481">
            <v>0.23430000000000001</v>
          </cell>
          <cell r="T481" t="str">
            <v>31 0.13%</v>
          </cell>
          <cell r="U481" t="str">
            <v>24 1.31%</v>
          </cell>
        </row>
        <row r="482">
          <cell r="A482">
            <v>43818</v>
          </cell>
          <cell r="E482">
            <v>116.011</v>
          </cell>
          <cell r="F482">
            <v>113.255</v>
          </cell>
          <cell r="H482">
            <v>138.57</v>
          </cell>
          <cell r="I482">
            <v>0.22559999999999999</v>
          </cell>
          <cell r="T482" t="str">
            <v>32 0.29%</v>
          </cell>
          <cell r="U482" t="str">
            <v>24 -0.29%</v>
          </cell>
        </row>
        <row r="483">
          <cell r="A483">
            <v>43819</v>
          </cell>
          <cell r="E483">
            <v>115.872</v>
          </cell>
          <cell r="F483">
            <v>113.26</v>
          </cell>
          <cell r="H483">
            <v>139.19</v>
          </cell>
          <cell r="I483">
            <v>0.23319999999999999</v>
          </cell>
          <cell r="T483" t="str">
            <v>32 -0.20%</v>
          </cell>
          <cell r="U483" t="str">
            <v>25 -0.16%</v>
          </cell>
        </row>
        <row r="484">
          <cell r="A484">
            <v>43822</v>
          </cell>
          <cell r="E484">
            <v>114.98399999999999</v>
          </cell>
          <cell r="F484">
            <v>112.289</v>
          </cell>
          <cell r="H484">
            <v>139.74</v>
          </cell>
          <cell r="I484">
            <v>0.2475</v>
          </cell>
          <cell r="T484" t="str">
            <v>33 -0.41%</v>
          </cell>
          <cell r="U484" t="str">
            <v>21 -1.14%</v>
          </cell>
        </row>
        <row r="485">
          <cell r="A485">
            <v>43823</v>
          </cell>
          <cell r="E485">
            <v>116.068</v>
          </cell>
          <cell r="F485">
            <v>113.1</v>
          </cell>
          <cell r="H485">
            <v>139.44</v>
          </cell>
          <cell r="I485">
            <v>0.23380000000000001</v>
          </cell>
          <cell r="T485" t="str">
            <v>39 1.47%</v>
          </cell>
          <cell r="U485" t="str">
            <v>21 1.86%</v>
          </cell>
        </row>
        <row r="486">
          <cell r="A486">
            <v>43824</v>
          </cell>
          <cell r="E486">
            <v>116.248</v>
          </cell>
          <cell r="F486">
            <v>113.093</v>
          </cell>
          <cell r="H486">
            <v>139.53</v>
          </cell>
          <cell r="I486">
            <v>0.23280000000000001</v>
          </cell>
          <cell r="T486" t="str">
            <v>38 0.64%</v>
          </cell>
          <cell r="U486" t="str">
            <v>24 0.25%</v>
          </cell>
        </row>
        <row r="487">
          <cell r="A487">
            <v>43825</v>
          </cell>
          <cell r="E487">
            <v>117.02</v>
          </cell>
          <cell r="F487">
            <v>113.93300000000001</v>
          </cell>
          <cell r="H487">
            <v>139.9</v>
          </cell>
          <cell r="I487">
            <v>0.2288</v>
          </cell>
          <cell r="T487" t="str">
            <v>38 0.78%</v>
          </cell>
          <cell r="U487" t="str">
            <v>27 0.92%</v>
          </cell>
        </row>
        <row r="488">
          <cell r="A488">
            <v>43826</v>
          </cell>
          <cell r="E488">
            <v>116.717</v>
          </cell>
          <cell r="F488">
            <v>113.75</v>
          </cell>
          <cell r="H488">
            <v>139.71</v>
          </cell>
          <cell r="I488">
            <v>0.22989999999999999</v>
          </cell>
          <cell r="T488" t="str">
            <v>41 -0.35%</v>
          </cell>
          <cell r="U488" t="str">
            <v>24 -1.19%</v>
          </cell>
        </row>
        <row r="489">
          <cell r="A489">
            <v>43829</v>
          </cell>
          <cell r="E489">
            <v>117.11199999999999</v>
          </cell>
          <cell r="F489">
            <v>114.845</v>
          </cell>
          <cell r="H489">
            <v>139.6</v>
          </cell>
          <cell r="I489">
            <v>0.22489999999999999</v>
          </cell>
          <cell r="T489" t="str">
            <v>46 0.58%</v>
          </cell>
          <cell r="U489" t="str">
            <v>24 0.17%</v>
          </cell>
        </row>
        <row r="490">
          <cell r="A490">
            <v>43830</v>
          </cell>
          <cell r="E490">
            <v>117.83</v>
          </cell>
          <cell r="F490">
            <v>116.25</v>
          </cell>
          <cell r="H490">
            <v>140.44</v>
          </cell>
          <cell r="I490">
            <v>0.2261</v>
          </cell>
          <cell r="T490" t="str">
            <v>47 0.48%</v>
          </cell>
          <cell r="U490" t="str">
            <v>24 0.79%</v>
          </cell>
        </row>
        <row r="491">
          <cell r="A491">
            <v>43832</v>
          </cell>
          <cell r="E491">
            <v>119.364</v>
          </cell>
          <cell r="F491">
            <v>116.77</v>
          </cell>
          <cell r="H491">
            <v>141.35</v>
          </cell>
          <cell r="I491">
            <v>0.21990000000000001</v>
          </cell>
          <cell r="T491" t="str">
            <v>45 1.21%</v>
          </cell>
          <cell r="U491" t="str">
            <v>33 2.75%</v>
          </cell>
        </row>
        <row r="492">
          <cell r="A492">
            <v>43833</v>
          </cell>
          <cell r="E492">
            <v>119.544</v>
          </cell>
          <cell r="F492">
            <v>117</v>
          </cell>
          <cell r="H492">
            <v>141.28</v>
          </cell>
          <cell r="I492">
            <v>0.21740000000000001</v>
          </cell>
          <cell r="T492" t="str">
            <v>51 0.53%</v>
          </cell>
          <cell r="U492" t="str">
            <v>32 -0.12%</v>
          </cell>
        </row>
        <row r="493">
          <cell r="A493">
            <v>43836</v>
          </cell>
          <cell r="E493">
            <v>120.295</v>
          </cell>
          <cell r="F493">
            <v>117.47</v>
          </cell>
          <cell r="H493">
            <v>141.49</v>
          </cell>
          <cell r="I493">
            <v>0.21199999999999999</v>
          </cell>
          <cell r="T493" t="str">
            <v>51 0.35%</v>
          </cell>
          <cell r="U493" t="str">
            <v>34 1.84%</v>
          </cell>
        </row>
        <row r="494">
          <cell r="A494">
            <v>43837</v>
          </cell>
          <cell r="E494">
            <v>121.154</v>
          </cell>
          <cell r="F494">
            <v>118</v>
          </cell>
          <cell r="H494">
            <v>141.47</v>
          </cell>
          <cell r="I494">
            <v>0.20319999999999999</v>
          </cell>
          <cell r="T494" t="str">
            <v>51 1.39%</v>
          </cell>
          <cell r="U494" t="str">
            <v>36 1.50%</v>
          </cell>
        </row>
        <row r="495">
          <cell r="A495">
            <v>43838</v>
          </cell>
          <cell r="E495">
            <v>120.42</v>
          </cell>
          <cell r="F495">
            <v>117.21</v>
          </cell>
          <cell r="H495">
            <v>141.5</v>
          </cell>
          <cell r="I495">
            <v>0.21079999999999999</v>
          </cell>
          <cell r="T495" t="str">
            <v>55 -0.49%</v>
          </cell>
          <cell r="U495" t="str">
            <v>33 -0.91%</v>
          </cell>
        </row>
        <row r="496">
          <cell r="A496">
            <v>43839</v>
          </cell>
          <cell r="E496">
            <v>121.676</v>
          </cell>
          <cell r="F496">
            <v>117.98</v>
          </cell>
          <cell r="H496">
            <v>141.74</v>
          </cell>
          <cell r="I496">
            <v>0.2006</v>
          </cell>
          <cell r="T496" t="str">
            <v>55 1.59%</v>
          </cell>
          <cell r="U496" t="str">
            <v>36 1.72%</v>
          </cell>
        </row>
        <row r="497">
          <cell r="A497">
            <v>43840</v>
          </cell>
          <cell r="E497">
            <v>121.367</v>
          </cell>
          <cell r="F497">
            <v>117.69</v>
          </cell>
          <cell r="H497">
            <v>141.32</v>
          </cell>
          <cell r="I497">
            <v>0.1996</v>
          </cell>
          <cell r="T497" t="str">
            <v>54 0.42%</v>
          </cell>
          <cell r="U497" t="str">
            <v>37 1.18%</v>
          </cell>
        </row>
        <row r="498">
          <cell r="A498">
            <v>43843</v>
          </cell>
          <cell r="E498">
            <v>122.31699999999999</v>
          </cell>
          <cell r="F498">
            <v>118</v>
          </cell>
          <cell r="H498">
            <v>141.22999999999999</v>
          </cell>
          <cell r="I498">
            <v>0.18909999999999999</v>
          </cell>
          <cell r="T498" t="str">
            <v>53 0.72%</v>
          </cell>
          <cell r="U498" t="str">
            <v>41 2.26%</v>
          </cell>
        </row>
        <row r="499">
          <cell r="A499">
            <v>43844</v>
          </cell>
          <cell r="E499">
            <v>122.657</v>
          </cell>
          <cell r="F499">
            <v>118.8</v>
          </cell>
          <cell r="H499">
            <v>141.78</v>
          </cell>
          <cell r="I499">
            <v>0.1913</v>
          </cell>
          <cell r="T499" t="str">
            <v>50 0.88%</v>
          </cell>
          <cell r="U499" t="str">
            <v>49 0.42%</v>
          </cell>
        </row>
        <row r="500">
          <cell r="A500">
            <v>43845</v>
          </cell>
          <cell r="E500">
            <v>122.018</v>
          </cell>
          <cell r="F500">
            <v>118.35</v>
          </cell>
          <cell r="H500">
            <v>141.03</v>
          </cell>
          <cell r="I500">
            <v>0.19009999999999999</v>
          </cell>
          <cell r="T500" t="str">
            <v>53 -0.99%</v>
          </cell>
          <cell r="U500" t="str">
            <v>43 -0.01%</v>
          </cell>
        </row>
        <row r="501">
          <cell r="A501">
            <v>43846</v>
          </cell>
          <cell r="E501">
            <v>121.657</v>
          </cell>
          <cell r="F501">
            <v>117.675</v>
          </cell>
          <cell r="H501">
            <v>140.81</v>
          </cell>
          <cell r="I501">
            <v>0.19159999999999999</v>
          </cell>
          <cell r="T501" t="str">
            <v>50 0.12%</v>
          </cell>
          <cell r="U501" t="str">
            <v>40 0.34%</v>
          </cell>
        </row>
        <row r="502">
          <cell r="A502">
            <v>43847</v>
          </cell>
          <cell r="E502">
            <v>121.46899999999999</v>
          </cell>
          <cell r="F502">
            <v>117.434</v>
          </cell>
          <cell r="H502">
            <v>140.9</v>
          </cell>
          <cell r="I502">
            <v>0.1943</v>
          </cell>
          <cell r="T502" t="str">
            <v>52 0.08%</v>
          </cell>
          <cell r="U502" t="str">
            <v>39 0.15%</v>
          </cell>
        </row>
        <row r="503">
          <cell r="A503">
            <v>43850</v>
          </cell>
          <cell r="E503">
            <v>122.895</v>
          </cell>
          <cell r="F503">
            <v>117.9</v>
          </cell>
          <cell r="H503">
            <v>141.88999999999999</v>
          </cell>
          <cell r="I503">
            <v>0.19</v>
          </cell>
          <cell r="T503" t="str">
            <v>47 1.13%</v>
          </cell>
          <cell r="U503" t="str">
            <v>49 2.95%</v>
          </cell>
        </row>
        <row r="504">
          <cell r="A504">
            <v>43851</v>
          </cell>
          <cell r="E504">
            <v>122.574</v>
          </cell>
          <cell r="F504">
            <v>117.82</v>
          </cell>
          <cell r="H504">
            <v>142.69</v>
          </cell>
          <cell r="I504">
            <v>0.2011</v>
          </cell>
          <cell r="T504" t="str">
            <v>49 0.12%</v>
          </cell>
          <cell r="U504" t="str">
            <v>48 -0.26%</v>
          </cell>
        </row>
        <row r="505">
          <cell r="A505">
            <v>43852</v>
          </cell>
          <cell r="E505">
            <v>123.26300000000001</v>
          </cell>
          <cell r="F505">
            <v>117.85599999999999</v>
          </cell>
          <cell r="H505">
            <v>143.41</v>
          </cell>
          <cell r="I505">
            <v>0.20150000000000001</v>
          </cell>
          <cell r="T505" t="str">
            <v>49 0.35%</v>
          </cell>
          <cell r="U505" t="str">
            <v>52 2.52%</v>
          </cell>
        </row>
        <row r="506">
          <cell r="A506">
            <v>43853</v>
          </cell>
          <cell r="E506">
            <v>120.715</v>
          </cell>
          <cell r="F506">
            <v>116.14</v>
          </cell>
          <cell r="H506">
            <v>142.80000000000001</v>
          </cell>
          <cell r="I506">
            <v>0.22090000000000001</v>
          </cell>
          <cell r="T506" t="str">
            <v>50 -1.66%</v>
          </cell>
          <cell r="U506" t="str">
            <v>40 -2.21%</v>
          </cell>
        </row>
        <row r="507">
          <cell r="A507">
            <v>43864</v>
          </cell>
          <cell r="E507">
            <v>114.271</v>
          </cell>
          <cell r="F507">
            <v>110.861</v>
          </cell>
          <cell r="H507">
            <v>141.97999999999999</v>
          </cell>
          <cell r="I507">
            <v>0.27710000000000001</v>
          </cell>
          <cell r="T507" t="str">
            <v>26 -5.26%</v>
          </cell>
          <cell r="U507" t="str">
            <v>27 -7.34%</v>
          </cell>
        </row>
        <row r="508">
          <cell r="A508">
            <v>43865</v>
          </cell>
          <cell r="E508">
            <v>117.706</v>
          </cell>
          <cell r="F508">
            <v>113.5</v>
          </cell>
          <cell r="H508">
            <v>148.62</v>
          </cell>
          <cell r="I508">
            <v>0.30919999999999997</v>
          </cell>
          <cell r="T508" t="str">
            <v>46 3.43%</v>
          </cell>
          <cell r="U508" t="str">
            <v>31 8.03%</v>
          </cell>
        </row>
        <row r="509">
          <cell r="A509">
            <v>43866</v>
          </cell>
          <cell r="E509">
            <v>120.012</v>
          </cell>
          <cell r="F509">
            <v>115</v>
          </cell>
          <cell r="H509">
            <v>149.38</v>
          </cell>
          <cell r="I509">
            <v>0.29370000000000002</v>
          </cell>
          <cell r="T509" t="str">
            <v>41 1.68%</v>
          </cell>
          <cell r="U509" t="str">
            <v>42 3.84%</v>
          </cell>
        </row>
        <row r="510">
          <cell r="A510">
            <v>43867</v>
          </cell>
          <cell r="E510">
            <v>121.749</v>
          </cell>
          <cell r="F510">
            <v>115.7</v>
          </cell>
          <cell r="H510">
            <v>149.85</v>
          </cell>
          <cell r="I510">
            <v>0.28100000000000003</v>
          </cell>
          <cell r="T510" t="str">
            <v>43 1.57%</v>
          </cell>
          <cell r="U510" t="str">
            <v>45 3.70%</v>
          </cell>
        </row>
        <row r="511">
          <cell r="A511">
            <v>43868</v>
          </cell>
          <cell r="E511">
            <v>121.532</v>
          </cell>
          <cell r="F511">
            <v>115.68899999999999</v>
          </cell>
          <cell r="H511">
            <v>148.43</v>
          </cell>
          <cell r="I511">
            <v>0.26889999999999997</v>
          </cell>
          <cell r="T511" t="str">
            <v>38 0.26%</v>
          </cell>
          <cell r="U511" t="str">
            <v>50 -0.49%</v>
          </cell>
        </row>
        <row r="512">
          <cell r="A512">
            <v>43871</v>
          </cell>
          <cell r="E512">
            <v>122.23399999999999</v>
          </cell>
          <cell r="F512">
            <v>115.44</v>
          </cell>
          <cell r="H512">
            <v>148.1</v>
          </cell>
          <cell r="I512">
            <v>0.2586</v>
          </cell>
          <cell r="T512" t="str">
            <v>31 1.21%</v>
          </cell>
          <cell r="U512" t="str">
            <v>58 1.70%</v>
          </cell>
        </row>
        <row r="513">
          <cell r="A513">
            <v>43872</v>
          </cell>
          <cell r="E513">
            <v>122.08</v>
          </cell>
          <cell r="F513">
            <v>115.81</v>
          </cell>
          <cell r="H513">
            <v>148.59</v>
          </cell>
          <cell r="I513">
            <v>0.2651</v>
          </cell>
          <cell r="T513" t="str">
            <v>41 0.31%</v>
          </cell>
          <cell r="U513" t="str">
            <v>54 -0.42%</v>
          </cell>
        </row>
        <row r="514">
          <cell r="A514">
            <v>43873</v>
          </cell>
          <cell r="E514">
            <v>123.95099999999999</v>
          </cell>
          <cell r="F514">
            <v>116.71</v>
          </cell>
          <cell r="H514">
            <v>149.88</v>
          </cell>
          <cell r="I514">
            <v>0.25919999999999999</v>
          </cell>
          <cell r="T514" t="str">
            <v>31 1.27%</v>
          </cell>
          <cell r="U514" t="str">
            <v>65 3.00%</v>
          </cell>
        </row>
        <row r="515">
          <cell r="A515">
            <v>43874</v>
          </cell>
          <cell r="E515">
            <v>123.449</v>
          </cell>
          <cell r="F515">
            <v>115.995</v>
          </cell>
          <cell r="H515">
            <v>150.30000000000001</v>
          </cell>
          <cell r="I515">
            <v>0.26850000000000002</v>
          </cell>
          <cell r="T515" t="str">
            <v>29 -0.36%</v>
          </cell>
          <cell r="U515" t="str">
            <v>64 -0.18%</v>
          </cell>
        </row>
        <row r="516">
          <cell r="A516">
            <v>43875</v>
          </cell>
          <cell r="E516">
            <v>123.566</v>
          </cell>
          <cell r="F516">
            <v>116.785</v>
          </cell>
          <cell r="H516">
            <v>150.46</v>
          </cell>
          <cell r="I516">
            <v>0.26889999999999997</v>
          </cell>
          <cell r="T516" t="str">
            <v>30 1.11%</v>
          </cell>
          <cell r="U516" t="str">
            <v>63 0.06%</v>
          </cell>
        </row>
        <row r="517">
          <cell r="A517">
            <v>43878</v>
          </cell>
          <cell r="E517">
            <v>125.89400000000001</v>
          </cell>
          <cell r="F517">
            <v>118.901</v>
          </cell>
          <cell r="H517">
            <v>150.76</v>
          </cell>
          <cell r="I517">
            <v>0.2487</v>
          </cell>
          <cell r="T517" t="str">
            <v>33 1.55%</v>
          </cell>
          <cell r="U517" t="str">
            <v>74 3.33%</v>
          </cell>
        </row>
        <row r="518">
          <cell r="A518">
            <v>43879</v>
          </cell>
          <cell r="E518">
            <v>127.089</v>
          </cell>
          <cell r="F518">
            <v>119.05</v>
          </cell>
          <cell r="H518">
            <v>151.33000000000001</v>
          </cell>
          <cell r="I518">
            <v>0.2424</v>
          </cell>
          <cell r="T518" t="str">
            <v>36 0.48%</v>
          </cell>
          <cell r="U518" t="str">
            <v>74 1.38%</v>
          </cell>
        </row>
        <row r="519">
          <cell r="A519">
            <v>43880</v>
          </cell>
          <cell r="E519">
            <v>127.13200000000001</v>
          </cell>
          <cell r="F519">
            <v>119.76300000000001</v>
          </cell>
          <cell r="H519">
            <v>152.06</v>
          </cell>
          <cell r="I519">
            <v>0.24929999999999999</v>
          </cell>
          <cell r="T519" t="str">
            <v>36 0.31%</v>
          </cell>
          <cell r="U519" t="str">
            <v>72 0.21%</v>
          </cell>
        </row>
        <row r="520">
          <cell r="A520">
            <v>43881</v>
          </cell>
          <cell r="E520">
            <v>128.404</v>
          </cell>
          <cell r="F520">
            <v>121.25</v>
          </cell>
          <cell r="H520">
            <v>152.6</v>
          </cell>
          <cell r="I520">
            <v>0.24199999999999999</v>
          </cell>
          <cell r="T520" t="str">
            <v>39 0.67%</v>
          </cell>
          <cell r="U520" t="str">
            <v>77 1.51%</v>
          </cell>
        </row>
        <row r="521">
          <cell r="A521">
            <v>43882</v>
          </cell>
          <cell r="E521">
            <v>129.71799999999999</v>
          </cell>
          <cell r="F521">
            <v>121.83</v>
          </cell>
          <cell r="H521">
            <v>153.37</v>
          </cell>
          <cell r="I521">
            <v>0.23649999999999999</v>
          </cell>
          <cell r="T521" t="str">
            <v>36 0.48%</v>
          </cell>
          <cell r="U521" t="str">
            <v>84 1.58%</v>
          </cell>
        </row>
        <row r="522">
          <cell r="A522">
            <v>43885</v>
          </cell>
          <cell r="E522">
            <v>131.04599999999999</v>
          </cell>
          <cell r="F522">
            <v>122.85</v>
          </cell>
          <cell r="H522">
            <v>154.46</v>
          </cell>
          <cell r="I522">
            <v>0.2341</v>
          </cell>
          <cell r="T522" t="str">
            <v>36 1.60%</v>
          </cell>
          <cell r="U522" t="str">
            <v>86 1.84%</v>
          </cell>
        </row>
        <row r="523">
          <cell r="A523">
            <v>43886</v>
          </cell>
          <cell r="E523">
            <v>130.898</v>
          </cell>
          <cell r="F523">
            <v>122.996</v>
          </cell>
          <cell r="H523">
            <v>154.41</v>
          </cell>
          <cell r="I523">
            <v>0.23519999999999999</v>
          </cell>
          <cell r="T523" t="str">
            <v>39 0.07%</v>
          </cell>
          <cell r="U523" t="str">
            <v>86 0.23%</v>
          </cell>
        </row>
        <row r="524">
          <cell r="A524">
            <v>43887</v>
          </cell>
          <cell r="E524">
            <v>128.18299999999999</v>
          </cell>
          <cell r="F524">
            <v>121.498</v>
          </cell>
          <cell r="H524">
            <v>152.02000000000001</v>
          </cell>
          <cell r="I524">
            <v>0.2384</v>
          </cell>
          <cell r="T524" t="str">
            <v>42 -0.92%</v>
          </cell>
          <cell r="U524" t="str">
            <v>79 -3.63%</v>
          </cell>
        </row>
        <row r="525">
          <cell r="A525">
            <v>43888</v>
          </cell>
          <cell r="E525">
            <v>128.024</v>
          </cell>
          <cell r="F525">
            <v>121.33</v>
          </cell>
          <cell r="H525">
            <v>151.47999999999999</v>
          </cell>
          <cell r="I525">
            <v>0.23449999999999999</v>
          </cell>
          <cell r="T525" t="str">
            <v>40 -0.36%</v>
          </cell>
          <cell r="U525" t="str">
            <v>78 -0.09%</v>
          </cell>
        </row>
        <row r="526">
          <cell r="A526">
            <v>43889</v>
          </cell>
          <cell r="E526">
            <v>124.74299999999999</v>
          </cell>
          <cell r="F526">
            <v>118.06100000000001</v>
          </cell>
          <cell r="H526">
            <v>152.65</v>
          </cell>
          <cell r="I526">
            <v>0.27910000000000001</v>
          </cell>
          <cell r="T526" t="str">
            <v>39 -2.08%</v>
          </cell>
          <cell r="U526" t="str">
            <v>64 -3.21%</v>
          </cell>
        </row>
        <row r="527">
          <cell r="A527">
            <v>43892</v>
          </cell>
          <cell r="E527">
            <v>126.35299999999999</v>
          </cell>
          <cell r="F527">
            <v>119.84699999999999</v>
          </cell>
          <cell r="H527">
            <v>150.9</v>
          </cell>
          <cell r="I527">
            <v>0.2455</v>
          </cell>
          <cell r="T527" t="str">
            <v>44 1.64%</v>
          </cell>
          <cell r="U527" t="str">
            <v>67 1.39%</v>
          </cell>
        </row>
        <row r="528">
          <cell r="A528">
            <v>43893</v>
          </cell>
          <cell r="E528">
            <v>127.405</v>
          </cell>
          <cell r="F528">
            <v>120.28</v>
          </cell>
          <cell r="H528">
            <v>151.53</v>
          </cell>
          <cell r="I528">
            <v>0.24129999999999999</v>
          </cell>
          <cell r="T528" t="str">
            <v>40 0.66%</v>
          </cell>
          <cell r="U528" t="str">
            <v>74 1.43%</v>
          </cell>
        </row>
        <row r="529">
          <cell r="A529">
            <v>43894</v>
          </cell>
          <cell r="E529">
            <v>127.357</v>
          </cell>
          <cell r="F529">
            <v>120.87</v>
          </cell>
          <cell r="H529">
            <v>150.30000000000001</v>
          </cell>
          <cell r="I529">
            <v>0.22939999999999999</v>
          </cell>
          <cell r="T529" t="str">
            <v>43 -0.33%</v>
          </cell>
          <cell r="U529" t="str">
            <v>71 -0.01%</v>
          </cell>
        </row>
        <row r="530">
          <cell r="A530">
            <v>43895</v>
          </cell>
          <cell r="E530">
            <v>128.90199999999999</v>
          </cell>
          <cell r="F530">
            <v>123</v>
          </cell>
          <cell r="H530">
            <v>150.88999999999999</v>
          </cell>
          <cell r="I530">
            <v>0.21990000000000001</v>
          </cell>
          <cell r="T530" t="str">
            <v>49 1.37%</v>
          </cell>
          <cell r="U530" t="str">
            <v>74 1.42%</v>
          </cell>
        </row>
        <row r="531">
          <cell r="A531">
            <v>43896</v>
          </cell>
          <cell r="E531">
            <v>129.232</v>
          </cell>
          <cell r="F531">
            <v>123.02</v>
          </cell>
          <cell r="H531">
            <v>151.80000000000001</v>
          </cell>
          <cell r="I531">
            <v>0.22570000000000001</v>
          </cell>
          <cell r="T531" t="str">
            <v>49 -0.22%</v>
          </cell>
          <cell r="U531" t="str">
            <v>76 0.36%</v>
          </cell>
        </row>
        <row r="532">
          <cell r="A532">
            <v>43899</v>
          </cell>
          <cell r="E532">
            <v>127.747</v>
          </cell>
          <cell r="F532">
            <v>120.001</v>
          </cell>
          <cell r="H532">
            <v>152.83000000000001</v>
          </cell>
          <cell r="I532">
            <v>0.25080000000000002</v>
          </cell>
          <cell r="T532" t="str">
            <v>56 -3.15%</v>
          </cell>
          <cell r="U532" t="str">
            <v>57 0.15%</v>
          </cell>
        </row>
        <row r="533">
          <cell r="A533">
            <v>43900</v>
          </cell>
          <cell r="E533">
            <v>127.286</v>
          </cell>
          <cell r="F533">
            <v>121.3</v>
          </cell>
          <cell r="H533">
            <v>149.94999999999999</v>
          </cell>
          <cell r="I533">
            <v>0.22670000000000001</v>
          </cell>
          <cell r="T533" t="str">
            <v>56 0.96%</v>
          </cell>
          <cell r="U533" t="str">
            <v>66 0.12%</v>
          </cell>
        </row>
        <row r="534">
          <cell r="A534">
            <v>43901</v>
          </cell>
          <cell r="E534">
            <v>127.40600000000001</v>
          </cell>
          <cell r="F534">
            <v>121.545</v>
          </cell>
          <cell r="H534">
            <v>151.57</v>
          </cell>
          <cell r="I534">
            <v>0.2417</v>
          </cell>
          <cell r="T534" t="str">
            <v>50 -0.27%</v>
          </cell>
          <cell r="U534" t="str">
            <v>66 0.56%</v>
          </cell>
        </row>
        <row r="535">
          <cell r="A535">
            <v>43902</v>
          </cell>
          <cell r="E535">
            <v>126.68300000000001</v>
          </cell>
          <cell r="F535">
            <v>119.895</v>
          </cell>
          <cell r="H535">
            <v>152.28</v>
          </cell>
          <cell r="I535">
            <v>0.25600000000000001</v>
          </cell>
          <cell r="T535" t="str">
            <v>54 -1.35%</v>
          </cell>
          <cell r="U535" t="str">
            <v>55 0.36%</v>
          </cell>
        </row>
        <row r="536">
          <cell r="A536">
            <v>43903</v>
          </cell>
          <cell r="E536">
            <v>126.04600000000001</v>
          </cell>
          <cell r="F536">
            <v>118.95</v>
          </cell>
          <cell r="H536">
            <v>152.65</v>
          </cell>
          <cell r="I536">
            <v>0.26600000000000001</v>
          </cell>
          <cell r="T536" t="str">
            <v>47 -0.66%</v>
          </cell>
          <cell r="U536" t="str">
            <v>53 0.31%</v>
          </cell>
        </row>
        <row r="537">
          <cell r="A537">
            <v>43906</v>
          </cell>
          <cell r="E537">
            <v>123.548</v>
          </cell>
          <cell r="F537">
            <v>116.06</v>
          </cell>
          <cell r="H537">
            <v>153.16999999999999</v>
          </cell>
          <cell r="I537">
            <v>0.29620000000000002</v>
          </cell>
          <cell r="T537" t="str">
            <v>45 -3.06%</v>
          </cell>
          <cell r="U537" t="str">
            <v>35 -0.60%</v>
          </cell>
        </row>
        <row r="538">
          <cell r="A538">
            <v>43907</v>
          </cell>
          <cell r="E538">
            <v>123.494</v>
          </cell>
          <cell r="F538">
            <v>116.31</v>
          </cell>
          <cell r="H538">
            <v>153.9</v>
          </cell>
          <cell r="I538">
            <v>0.30399999999999999</v>
          </cell>
          <cell r="T538" t="str">
            <v>38 0.54%</v>
          </cell>
          <cell r="U538" t="str">
            <v>43 2.58%</v>
          </cell>
        </row>
        <row r="539">
          <cell r="A539">
            <v>43908</v>
          </cell>
          <cell r="E539">
            <v>124.52</v>
          </cell>
          <cell r="F539">
            <v>116.2</v>
          </cell>
          <cell r="H539">
            <v>157.6</v>
          </cell>
          <cell r="I539">
            <v>0.33079999999999998</v>
          </cell>
          <cell r="T539" t="str">
            <v>41 0.50%</v>
          </cell>
          <cell r="U539" t="str">
            <v>40 3.35%</v>
          </cell>
        </row>
        <row r="540">
          <cell r="A540">
            <v>43909</v>
          </cell>
          <cell r="E540">
            <v>126.938</v>
          </cell>
          <cell r="F540">
            <v>116.1</v>
          </cell>
          <cell r="H540">
            <v>160.76</v>
          </cell>
          <cell r="I540">
            <v>0.3382</v>
          </cell>
          <cell r="T540" t="str">
            <v>34 0.64%</v>
          </cell>
          <cell r="U540" t="str">
            <v>49 7.11%</v>
          </cell>
        </row>
        <row r="541">
          <cell r="A541">
            <v>43910</v>
          </cell>
          <cell r="E541">
            <v>128.50800000000001</v>
          </cell>
          <cell r="F541">
            <v>118.63500000000001</v>
          </cell>
          <cell r="H541">
            <v>163.16</v>
          </cell>
          <cell r="I541">
            <v>0.34649999999999997</v>
          </cell>
          <cell r="T541" t="str">
            <v>41 2.32%</v>
          </cell>
          <cell r="U541" t="str">
            <v>59 2.32%</v>
          </cell>
        </row>
        <row r="542">
          <cell r="A542">
            <v>43913</v>
          </cell>
          <cell r="E542">
            <v>121.467</v>
          </cell>
          <cell r="F542">
            <v>115.504</v>
          </cell>
          <cell r="H542">
            <v>155.94</v>
          </cell>
          <cell r="I542">
            <v>0.3448</v>
          </cell>
          <cell r="T542" t="str">
            <v>36 -5.05%</v>
          </cell>
          <cell r="U542" t="str">
            <v>37 -11.14%</v>
          </cell>
        </row>
        <row r="543">
          <cell r="A543">
            <v>43914</v>
          </cell>
          <cell r="E543">
            <v>124.05</v>
          </cell>
          <cell r="F543">
            <v>117.41500000000001</v>
          </cell>
          <cell r="H543">
            <v>158.57</v>
          </cell>
          <cell r="I543">
            <v>0.34520000000000001</v>
          </cell>
          <cell r="T543" t="str">
            <v>45 1.56%</v>
          </cell>
          <cell r="U543" t="str">
            <v>43 5.15%</v>
          </cell>
        </row>
        <row r="544">
          <cell r="A544">
            <v>43915</v>
          </cell>
          <cell r="E544">
            <v>128.01900000000001</v>
          </cell>
          <cell r="F544">
            <v>119.33499999999999</v>
          </cell>
          <cell r="H544">
            <v>162.94</v>
          </cell>
          <cell r="I544">
            <v>0.34920000000000001</v>
          </cell>
          <cell r="T544" t="str">
            <v>55 2.00%</v>
          </cell>
          <cell r="U544" t="str">
            <v>53 6.22%</v>
          </cell>
        </row>
        <row r="545">
          <cell r="A545">
            <v>43916</v>
          </cell>
          <cell r="E545">
            <v>127.68899999999999</v>
          </cell>
          <cell r="F545">
            <v>118.6</v>
          </cell>
          <cell r="H545">
            <v>163.76</v>
          </cell>
          <cell r="I545">
            <v>0.36080000000000001</v>
          </cell>
          <cell r="T545" t="str">
            <v>53 -0.87%</v>
          </cell>
          <cell r="U545" t="str">
            <v>45 0.72%</v>
          </cell>
        </row>
        <row r="546">
          <cell r="A546">
            <v>43917</v>
          </cell>
          <cell r="E546">
            <v>126.745</v>
          </cell>
          <cell r="F546">
            <v>118</v>
          </cell>
          <cell r="H546">
            <v>162.55000000000001</v>
          </cell>
          <cell r="I546">
            <v>0.35799999999999998</v>
          </cell>
          <cell r="T546" t="str">
            <v>53 -0.85%</v>
          </cell>
          <cell r="U546" t="str">
            <v>40 -0.37%</v>
          </cell>
        </row>
        <row r="547">
          <cell r="A547">
            <v>43920</v>
          </cell>
          <cell r="E547">
            <v>127.208</v>
          </cell>
          <cell r="F547">
            <v>117.36499999999999</v>
          </cell>
          <cell r="H547">
            <v>166.41</v>
          </cell>
          <cell r="I547">
            <v>0.3921</v>
          </cell>
          <cell r="T547" t="str">
            <v>38 -0.68%</v>
          </cell>
          <cell r="U547" t="str">
            <v>43 3.34%</v>
          </cell>
        </row>
        <row r="548">
          <cell r="A548">
            <v>43921</v>
          </cell>
          <cell r="E548">
            <v>128.57</v>
          </cell>
          <cell r="F548">
            <v>117.51</v>
          </cell>
          <cell r="H548">
            <v>169.14</v>
          </cell>
          <cell r="I548">
            <v>0.40570000000000001</v>
          </cell>
          <cell r="T548" t="str">
            <v>41 1.12%</v>
          </cell>
          <cell r="U548" t="str">
            <v>43 5.26%</v>
          </cell>
        </row>
        <row r="549">
          <cell r="A549">
            <v>43922</v>
          </cell>
          <cell r="E549">
            <v>129.197</v>
          </cell>
          <cell r="F549">
            <v>117.71</v>
          </cell>
          <cell r="H549">
            <v>170.82</v>
          </cell>
          <cell r="I549">
            <v>0.41620000000000001</v>
          </cell>
          <cell r="T549" t="str">
            <v>40 0.68%</v>
          </cell>
          <cell r="U549" t="str">
            <v>50 2.22%</v>
          </cell>
        </row>
        <row r="550">
          <cell r="A550">
            <v>43923</v>
          </cell>
          <cell r="E550">
            <v>127.059</v>
          </cell>
          <cell r="F550">
            <v>117.69499999999999</v>
          </cell>
          <cell r="H550">
            <v>163.96</v>
          </cell>
          <cell r="I550">
            <v>0.36899999999999999</v>
          </cell>
          <cell r="T550" t="str">
            <v>47 -0.29%</v>
          </cell>
          <cell r="U550" t="str">
            <v>46 -3.83%</v>
          </cell>
        </row>
        <row r="551">
          <cell r="A551">
            <v>43924</v>
          </cell>
          <cell r="E551">
            <v>124.985</v>
          </cell>
          <cell r="F551">
            <v>116.53</v>
          </cell>
          <cell r="H551">
            <v>160.85</v>
          </cell>
          <cell r="I551">
            <v>0.35870000000000002</v>
          </cell>
          <cell r="T551" t="str">
            <v>41 -1.49%</v>
          </cell>
          <cell r="U551" t="str">
            <v>41 -2.32%</v>
          </cell>
        </row>
        <row r="552">
          <cell r="A552">
            <v>43928</v>
          </cell>
          <cell r="E552">
            <v>126.65</v>
          </cell>
          <cell r="F552">
            <v>117.3</v>
          </cell>
          <cell r="H552">
            <v>160.02000000000001</v>
          </cell>
          <cell r="I552">
            <v>0.3337</v>
          </cell>
          <cell r="T552" t="str">
            <v>47 1.48%</v>
          </cell>
          <cell r="U552" t="str">
            <v>45 2.71%</v>
          </cell>
        </row>
        <row r="553">
          <cell r="A553">
            <v>43929</v>
          </cell>
          <cell r="E553">
            <v>125.776</v>
          </cell>
          <cell r="F553">
            <v>117.38</v>
          </cell>
          <cell r="H553">
            <v>158.38999999999999</v>
          </cell>
          <cell r="I553">
            <v>0.3261</v>
          </cell>
          <cell r="T553" t="str">
            <v>47 -0.12%</v>
          </cell>
          <cell r="U553" t="str">
            <v>44 -1.69%</v>
          </cell>
        </row>
        <row r="554">
          <cell r="A554">
            <v>43930</v>
          </cell>
          <cell r="E554">
            <v>125.437</v>
          </cell>
          <cell r="F554">
            <v>117.116</v>
          </cell>
          <cell r="H554">
            <v>157.25</v>
          </cell>
          <cell r="I554">
            <v>0.31809999999999999</v>
          </cell>
          <cell r="T554" t="str">
            <v>49 0.32%</v>
          </cell>
          <cell r="U554" t="str">
            <v>43 -0.80%</v>
          </cell>
        </row>
        <row r="555">
          <cell r="A555">
            <v>43931</v>
          </cell>
          <cell r="E555">
            <v>122.42700000000001</v>
          </cell>
          <cell r="F555">
            <v>115.2</v>
          </cell>
          <cell r="H555">
            <v>154.9</v>
          </cell>
          <cell r="I555">
            <v>0.32469999999999999</v>
          </cell>
          <cell r="T555" t="str">
            <v>46 -2.41%</v>
          </cell>
          <cell r="U555" t="str">
            <v>33 -4.52%</v>
          </cell>
        </row>
        <row r="556">
          <cell r="A556">
            <v>43934</v>
          </cell>
          <cell r="E556">
            <v>120.708</v>
          </cell>
          <cell r="F556">
            <v>114</v>
          </cell>
          <cell r="H556">
            <v>152.62</v>
          </cell>
          <cell r="I556">
            <v>0.31909999999999999</v>
          </cell>
          <cell r="T556" t="str">
            <v>32 -1.45%</v>
          </cell>
          <cell r="U556" t="str">
            <v>32 -1.68%</v>
          </cell>
        </row>
        <row r="557">
          <cell r="A557">
            <v>43935</v>
          </cell>
          <cell r="E557">
            <v>122.94199999999999</v>
          </cell>
          <cell r="F557">
            <v>115.15</v>
          </cell>
          <cell r="H557">
            <v>155.09</v>
          </cell>
          <cell r="I557">
            <v>0.32150000000000001</v>
          </cell>
          <cell r="T557" t="str">
            <v>36 1.38%</v>
          </cell>
          <cell r="U557" t="str">
            <v>38 7.39%</v>
          </cell>
        </row>
        <row r="558">
          <cell r="A558">
            <v>43936</v>
          </cell>
          <cell r="E558">
            <v>124.655</v>
          </cell>
          <cell r="F558">
            <v>116</v>
          </cell>
          <cell r="H558">
            <v>159.05000000000001</v>
          </cell>
          <cell r="I558">
            <v>0.34399999999999997</v>
          </cell>
          <cell r="T558" t="str">
            <v>38 0.81%</v>
          </cell>
          <cell r="U558" t="str">
            <v>39 4.29%</v>
          </cell>
        </row>
        <row r="559">
          <cell r="A559">
            <v>43937</v>
          </cell>
          <cell r="E559">
            <v>125.76600000000001</v>
          </cell>
          <cell r="F559">
            <v>116.1</v>
          </cell>
          <cell r="H559">
            <v>160.69999999999999</v>
          </cell>
          <cell r="I559">
            <v>0.34939999999999999</v>
          </cell>
          <cell r="T559" t="str">
            <v>42 0.97%</v>
          </cell>
          <cell r="U559" t="str">
            <v>42 2.44%</v>
          </cell>
        </row>
        <row r="560">
          <cell r="A560">
            <v>43938</v>
          </cell>
          <cell r="E560">
            <v>125.913</v>
          </cell>
          <cell r="F560">
            <v>116.56</v>
          </cell>
          <cell r="H560">
            <v>161.12</v>
          </cell>
          <cell r="I560">
            <v>0.35199999999999998</v>
          </cell>
          <cell r="T560" t="str">
            <v>45 -0.08%</v>
          </cell>
          <cell r="U560" t="str">
            <v>40 0.81%</v>
          </cell>
        </row>
        <row r="561">
          <cell r="A561">
            <v>43941</v>
          </cell>
          <cell r="E561">
            <v>127.95699999999999</v>
          </cell>
          <cell r="F561">
            <v>116.765</v>
          </cell>
          <cell r="H561">
            <v>163.79</v>
          </cell>
          <cell r="I561">
            <v>0.35830000000000001</v>
          </cell>
          <cell r="T561" t="str">
            <v>48 0.98%</v>
          </cell>
          <cell r="U561" t="str">
            <v>46 5.14%</v>
          </cell>
        </row>
        <row r="562">
          <cell r="A562">
            <v>43942</v>
          </cell>
          <cell r="E562">
            <v>127.643</v>
          </cell>
          <cell r="F562">
            <v>116.28700000000001</v>
          </cell>
          <cell r="H562">
            <v>163.32</v>
          </cell>
          <cell r="I562">
            <v>0.35670000000000002</v>
          </cell>
          <cell r="T562" t="str">
            <v>44 -0.26%</v>
          </cell>
          <cell r="U562" t="str">
            <v>48 2.05%</v>
          </cell>
        </row>
        <row r="563">
          <cell r="A563">
            <v>43943</v>
          </cell>
          <cell r="E563">
            <v>129.93100000000001</v>
          </cell>
          <cell r="F563">
            <v>117.09</v>
          </cell>
          <cell r="H563">
            <v>166.72</v>
          </cell>
          <cell r="I563">
            <v>0.3679</v>
          </cell>
          <cell r="T563" t="str">
            <v>40 0.64%</v>
          </cell>
          <cell r="U563" t="str">
            <v>56 3.07%</v>
          </cell>
        </row>
        <row r="564">
          <cell r="A564">
            <v>43944</v>
          </cell>
          <cell r="E564">
            <v>130.49100000000001</v>
          </cell>
          <cell r="F564">
            <v>117.22</v>
          </cell>
          <cell r="H564">
            <v>168.61</v>
          </cell>
          <cell r="I564">
            <v>0.38119999999999998</v>
          </cell>
          <cell r="T564" t="str">
            <v>41 0.15%</v>
          </cell>
          <cell r="U564" t="str">
            <v>54 1.15%</v>
          </cell>
        </row>
        <row r="565">
          <cell r="A565">
            <v>43945</v>
          </cell>
          <cell r="E565">
            <v>128.209</v>
          </cell>
          <cell r="F565">
            <v>115.9</v>
          </cell>
          <cell r="H565">
            <v>166.79</v>
          </cell>
          <cell r="I565">
            <v>0.38590000000000002</v>
          </cell>
          <cell r="T565" t="str">
            <v>45 -1.40%</v>
          </cell>
          <cell r="U565" t="str">
            <v>49 -3.33%</v>
          </cell>
        </row>
        <row r="566">
          <cell r="A566">
            <v>43948</v>
          </cell>
          <cell r="E566">
            <v>129.73699999999999</v>
          </cell>
          <cell r="F566">
            <v>116.6</v>
          </cell>
          <cell r="H566">
            <v>170.41</v>
          </cell>
          <cell r="I566">
            <v>0.40679999999999999</v>
          </cell>
          <cell r="T566" t="str">
            <v>42 0.48%</v>
          </cell>
          <cell r="U566" t="str">
            <v>51 3.17%</v>
          </cell>
        </row>
        <row r="567">
          <cell r="A567">
            <v>43949</v>
          </cell>
          <cell r="E567">
            <v>129.93899999999999</v>
          </cell>
          <cell r="F567">
            <v>116.18</v>
          </cell>
          <cell r="H567">
            <v>173.51</v>
          </cell>
          <cell r="I567">
            <v>0.43569999999999998</v>
          </cell>
          <cell r="T567" t="str">
            <v>41 -0.58%</v>
          </cell>
          <cell r="U567" t="str">
            <v>49 1.72%</v>
          </cell>
        </row>
        <row r="568">
          <cell r="A568">
            <v>43950</v>
          </cell>
          <cell r="E568">
            <v>128.92099999999999</v>
          </cell>
          <cell r="F568">
            <v>116.24</v>
          </cell>
          <cell r="H568">
            <v>170.89</v>
          </cell>
          <cell r="I568">
            <v>0.41959999999999997</v>
          </cell>
          <cell r="T568" t="str">
            <v>41 0.16%</v>
          </cell>
          <cell r="U568" t="str">
            <v>48 -2.22%</v>
          </cell>
        </row>
        <row r="569">
          <cell r="A569">
            <v>43951</v>
          </cell>
          <cell r="E569">
            <v>129.416</v>
          </cell>
          <cell r="F569">
            <v>116.58</v>
          </cell>
          <cell r="H569">
            <v>168.98</v>
          </cell>
          <cell r="I569">
            <v>0.39560000000000001</v>
          </cell>
          <cell r="T569" t="str">
            <v>46 0.99%</v>
          </cell>
          <cell r="U569" t="str">
            <v>49 0.21%</v>
          </cell>
        </row>
        <row r="570">
          <cell r="A570">
            <v>43957</v>
          </cell>
          <cell r="E570">
            <v>130.38800000000001</v>
          </cell>
          <cell r="F570">
            <v>117.01</v>
          </cell>
          <cell r="H570">
            <v>168.65</v>
          </cell>
          <cell r="I570">
            <v>0.3826</v>
          </cell>
          <cell r="T570" t="str">
            <v>44 1.18%</v>
          </cell>
          <cell r="U570" t="str">
            <v>55 1.69%</v>
          </cell>
        </row>
        <row r="571">
          <cell r="A571">
            <v>43958</v>
          </cell>
          <cell r="E571">
            <v>125.935</v>
          </cell>
          <cell r="F571">
            <v>115.979</v>
          </cell>
          <cell r="H571">
            <v>160.82</v>
          </cell>
          <cell r="I571">
            <v>0.34889999999999999</v>
          </cell>
          <cell r="T571" t="str">
            <v>45 -0.25%</v>
          </cell>
          <cell r="U571" t="str">
            <v>51 -6.88%</v>
          </cell>
        </row>
        <row r="572">
          <cell r="A572">
            <v>43959</v>
          </cell>
          <cell r="E572">
            <v>126.738</v>
          </cell>
          <cell r="F572">
            <v>116.521</v>
          </cell>
          <cell r="H572">
            <v>161.16</v>
          </cell>
          <cell r="I572">
            <v>0.34420000000000001</v>
          </cell>
          <cell r="T572" t="str">
            <v>41 1.17%</v>
          </cell>
          <cell r="U572" t="str">
            <v>57 1.56%</v>
          </cell>
        </row>
        <row r="573">
          <cell r="A573">
            <v>43962</v>
          </cell>
          <cell r="E573">
            <v>127.432</v>
          </cell>
          <cell r="F573">
            <v>116.319</v>
          </cell>
          <cell r="H573">
            <v>162.30000000000001</v>
          </cell>
          <cell r="I573">
            <v>0.34860000000000002</v>
          </cell>
          <cell r="T573" t="str">
            <v>44 -0.28%</v>
          </cell>
          <cell r="U573" t="str">
            <v>56 1.68%</v>
          </cell>
        </row>
        <row r="574">
          <cell r="A574">
            <v>43963</v>
          </cell>
          <cell r="E574">
            <v>127.619</v>
          </cell>
          <cell r="F574">
            <v>115.98</v>
          </cell>
          <cell r="H574">
            <v>162.63999999999999</v>
          </cell>
          <cell r="I574">
            <v>0.35020000000000001</v>
          </cell>
          <cell r="T574" t="str">
            <v>42 -0.43%</v>
          </cell>
          <cell r="U574" t="str">
            <v>52 1.21%</v>
          </cell>
        </row>
        <row r="575">
          <cell r="A575">
            <v>43964</v>
          </cell>
          <cell r="E575">
            <v>127.376</v>
          </cell>
          <cell r="F575">
            <v>115.54</v>
          </cell>
          <cell r="H575">
            <v>161.31</v>
          </cell>
          <cell r="I575">
            <v>0.33929999999999999</v>
          </cell>
          <cell r="T575" t="str">
            <v>44 1.06%</v>
          </cell>
          <cell r="U575" t="str">
            <v>53 -0.14%</v>
          </cell>
        </row>
        <row r="576">
          <cell r="A576">
            <v>43965</v>
          </cell>
          <cell r="E576">
            <v>125.901</v>
          </cell>
          <cell r="F576">
            <v>114.809</v>
          </cell>
          <cell r="H576">
            <v>160.13</v>
          </cell>
          <cell r="I576">
            <v>0.34229999999999999</v>
          </cell>
          <cell r="T576" t="str">
            <v>43 -1.07%</v>
          </cell>
          <cell r="U576" t="str">
            <v>47 -1.51%</v>
          </cell>
        </row>
        <row r="577">
          <cell r="A577">
            <v>43966</v>
          </cell>
          <cell r="E577">
            <v>125.375</v>
          </cell>
          <cell r="F577">
            <v>114.6</v>
          </cell>
          <cell r="H577">
            <v>158.69</v>
          </cell>
          <cell r="I577">
            <v>0.33310000000000001</v>
          </cell>
          <cell r="T577" t="str">
            <v>39 0.02%</v>
          </cell>
          <cell r="U577" t="str">
            <v>47 0.15%</v>
          </cell>
        </row>
        <row r="578">
          <cell r="A578">
            <v>43969</v>
          </cell>
          <cell r="E578">
            <v>123.956</v>
          </cell>
          <cell r="F578">
            <v>112.89</v>
          </cell>
          <cell r="H578">
            <v>156.07</v>
          </cell>
          <cell r="I578">
            <v>0.3211</v>
          </cell>
          <cell r="T578" t="str">
            <v>34 -0.58%</v>
          </cell>
          <cell r="U578" t="str">
            <v>47 -1.25%</v>
          </cell>
        </row>
        <row r="579">
          <cell r="A579">
            <v>43970</v>
          </cell>
          <cell r="E579">
            <v>124.089</v>
          </cell>
          <cell r="F579">
            <v>113</v>
          </cell>
          <cell r="H579">
            <v>154.83000000000001</v>
          </cell>
          <cell r="I579">
            <v>0.30740000000000001</v>
          </cell>
          <cell r="T579" t="str">
            <v>30 0.39%</v>
          </cell>
          <cell r="U579" t="str">
            <v>51 0.71%</v>
          </cell>
        </row>
        <row r="580">
          <cell r="A580">
            <v>43971</v>
          </cell>
          <cell r="E580">
            <v>122.919</v>
          </cell>
          <cell r="F580">
            <v>111.495</v>
          </cell>
          <cell r="H580">
            <v>153.84</v>
          </cell>
          <cell r="I580">
            <v>0.30930000000000002</v>
          </cell>
          <cell r="T580" t="str">
            <v>29 -1.25%</v>
          </cell>
          <cell r="U580" t="str">
            <v>47 0.21%</v>
          </cell>
        </row>
        <row r="581">
          <cell r="A581">
            <v>43972</v>
          </cell>
          <cell r="E581">
            <v>122.611</v>
          </cell>
          <cell r="F581">
            <v>110.96</v>
          </cell>
          <cell r="H581">
            <v>154.24</v>
          </cell>
          <cell r="I581">
            <v>0.31619999999999998</v>
          </cell>
          <cell r="T581" t="str">
            <v>32 -0.74%</v>
          </cell>
          <cell r="U581" t="str">
            <v>41 -0.14%</v>
          </cell>
        </row>
        <row r="582">
          <cell r="A582">
            <v>43973</v>
          </cell>
          <cell r="E582">
            <v>121.05</v>
          </cell>
          <cell r="F582">
            <v>110.095</v>
          </cell>
          <cell r="H582">
            <v>153.16</v>
          </cell>
          <cell r="I582">
            <v>0.3211</v>
          </cell>
          <cell r="T582" t="str">
            <v>32 -0.71%</v>
          </cell>
          <cell r="U582" t="str">
            <v>34 -2.79%</v>
          </cell>
        </row>
        <row r="583">
          <cell r="A583">
            <v>43976</v>
          </cell>
          <cell r="E583">
            <v>120.232</v>
          </cell>
          <cell r="F583">
            <v>109.9</v>
          </cell>
          <cell r="H583">
            <v>152.06</v>
          </cell>
          <cell r="I583">
            <v>0.31819999999999998</v>
          </cell>
          <cell r="T583" t="str">
            <v>32 -0.68%</v>
          </cell>
          <cell r="U583" t="str">
            <v>31 -0.28%</v>
          </cell>
        </row>
        <row r="584">
          <cell r="A584">
            <v>43977</v>
          </cell>
          <cell r="E584">
            <v>121.95099999999999</v>
          </cell>
          <cell r="F584">
            <v>110.70699999999999</v>
          </cell>
          <cell r="H584">
            <v>152.74</v>
          </cell>
          <cell r="I584">
            <v>0.30790000000000001</v>
          </cell>
          <cell r="T584" t="str">
            <v>35 1.97%</v>
          </cell>
          <cell r="U584" t="str">
            <v>38 2.44%</v>
          </cell>
        </row>
        <row r="585">
          <cell r="A585">
            <v>43978</v>
          </cell>
          <cell r="E585">
            <v>122.02200000000001</v>
          </cell>
          <cell r="F585">
            <v>110.955</v>
          </cell>
          <cell r="H585">
            <v>152.91</v>
          </cell>
          <cell r="I585">
            <v>0.30890000000000001</v>
          </cell>
          <cell r="T585" t="str">
            <v>37 -0.13%</v>
          </cell>
          <cell r="U585" t="str">
            <v>33 -0.70%</v>
          </cell>
        </row>
        <row r="586">
          <cell r="A586">
            <v>43979</v>
          </cell>
          <cell r="E586">
            <v>121.355</v>
          </cell>
          <cell r="F586">
            <v>111.045</v>
          </cell>
          <cell r="H586">
            <v>152.27000000000001</v>
          </cell>
          <cell r="I586">
            <v>0.30919999999999997</v>
          </cell>
          <cell r="T586" t="str">
            <v>36 -0.56%</v>
          </cell>
          <cell r="U586" t="str">
            <v>32 -1.66%</v>
          </cell>
        </row>
        <row r="587">
          <cell r="A587">
            <v>43980</v>
          </cell>
          <cell r="E587">
            <v>122.498</v>
          </cell>
          <cell r="F587">
            <v>111.9</v>
          </cell>
          <cell r="H587">
            <v>153.29</v>
          </cell>
          <cell r="I587">
            <v>0.30790000000000001</v>
          </cell>
          <cell r="T587" t="str">
            <v>36 1.29%</v>
          </cell>
          <cell r="U587" t="str">
            <v>36 1.55%</v>
          </cell>
        </row>
        <row r="588">
          <cell r="A588">
            <v>43983</v>
          </cell>
          <cell r="E588">
            <v>124.52800000000001</v>
          </cell>
          <cell r="F588">
            <v>113.57</v>
          </cell>
          <cell r="H588">
            <v>153.87</v>
          </cell>
          <cell r="I588">
            <v>0.29339999999999999</v>
          </cell>
          <cell r="T588" t="str">
            <v>37 2.20%</v>
          </cell>
          <cell r="U588" t="str">
            <v>51 2.60%</v>
          </cell>
        </row>
        <row r="589">
          <cell r="A589">
            <v>43984</v>
          </cell>
          <cell r="E589">
            <v>124.411</v>
          </cell>
          <cell r="F589">
            <v>114.17700000000001</v>
          </cell>
          <cell r="H589">
            <v>153.19</v>
          </cell>
          <cell r="I589">
            <v>0.2878</v>
          </cell>
          <cell r="T589" t="str">
            <v>41 0.21%</v>
          </cell>
          <cell r="U589" t="str">
            <v>48 -0.43%</v>
          </cell>
        </row>
        <row r="590">
          <cell r="A590">
            <v>43985</v>
          </cell>
          <cell r="E590">
            <v>124.43899999999999</v>
          </cell>
          <cell r="F590">
            <v>113.94499999999999</v>
          </cell>
          <cell r="H590">
            <v>153.12</v>
          </cell>
          <cell r="I590">
            <v>0.2868</v>
          </cell>
          <cell r="T590" t="str">
            <v>37 -0.13%</v>
          </cell>
          <cell r="U590" t="str">
            <v>50 0.77%</v>
          </cell>
        </row>
        <row r="591">
          <cell r="A591">
            <v>43986</v>
          </cell>
          <cell r="E591">
            <v>124.373</v>
          </cell>
          <cell r="F591">
            <v>113.358</v>
          </cell>
          <cell r="H591">
            <v>152.85</v>
          </cell>
          <cell r="I591">
            <v>0.2848</v>
          </cell>
          <cell r="T591" t="str">
            <v>38 -0.12%</v>
          </cell>
          <cell r="U591" t="str">
            <v>49 0.46%</v>
          </cell>
        </row>
        <row r="592">
          <cell r="A592">
            <v>43987</v>
          </cell>
          <cell r="E592">
            <v>124.09</v>
          </cell>
          <cell r="F592">
            <v>113.021</v>
          </cell>
          <cell r="H592">
            <v>152.19999999999999</v>
          </cell>
          <cell r="I592">
            <v>0.28110000000000002</v>
          </cell>
          <cell r="T592" t="str">
            <v>39 -0.41%</v>
          </cell>
          <cell r="U592" t="str">
            <v>47 0.46%</v>
          </cell>
        </row>
        <row r="593">
          <cell r="A593">
            <v>43990</v>
          </cell>
          <cell r="E593">
            <v>124.185</v>
          </cell>
          <cell r="F593">
            <v>112.90300000000001</v>
          </cell>
          <cell r="H593">
            <v>152.16</v>
          </cell>
          <cell r="I593">
            <v>0.2797</v>
          </cell>
          <cell r="T593" t="str">
            <v>39 0.33%</v>
          </cell>
          <cell r="U593" t="str">
            <v>48 0.41%</v>
          </cell>
        </row>
        <row r="594">
          <cell r="A594">
            <v>43991</v>
          </cell>
          <cell r="E594">
            <v>124.31699999999999</v>
          </cell>
          <cell r="F594">
            <v>113.01</v>
          </cell>
          <cell r="H594">
            <v>152.02000000000001</v>
          </cell>
          <cell r="I594">
            <v>0.27710000000000001</v>
          </cell>
          <cell r="T594" t="str">
            <v>40 -0.07%</v>
          </cell>
          <cell r="U594" t="str">
            <v>48 0.46%</v>
          </cell>
        </row>
        <row r="595">
          <cell r="A595">
            <v>43992</v>
          </cell>
          <cell r="E595">
            <v>124.133</v>
          </cell>
          <cell r="F595">
            <v>112.578</v>
          </cell>
          <cell r="H595">
            <v>152.03</v>
          </cell>
          <cell r="I595">
            <v>0.27900000000000003</v>
          </cell>
          <cell r="T595" t="str">
            <v>37 -0.10%</v>
          </cell>
          <cell r="U595" t="str">
            <v>48 0.22%</v>
          </cell>
        </row>
        <row r="596">
          <cell r="A596">
            <v>43993</v>
          </cell>
          <cell r="E596">
            <v>123.97199999999999</v>
          </cell>
          <cell r="F596">
            <v>112.15</v>
          </cell>
          <cell r="H596">
            <v>152.19</v>
          </cell>
          <cell r="I596">
            <v>0.28210000000000002</v>
          </cell>
          <cell r="T596" t="str">
            <v>34 -0.62%</v>
          </cell>
          <cell r="U596" t="str">
            <v>47 0.37%</v>
          </cell>
        </row>
        <row r="597">
          <cell r="A597">
            <v>43994</v>
          </cell>
          <cell r="E597">
            <v>123.999</v>
          </cell>
          <cell r="F597">
            <v>112.502</v>
          </cell>
          <cell r="H597">
            <v>152.29</v>
          </cell>
          <cell r="I597">
            <v>0.28289999999999998</v>
          </cell>
          <cell r="T597" t="str">
            <v>37 0.16%</v>
          </cell>
          <cell r="U597" t="str">
            <v>48 -0.29%</v>
          </cell>
        </row>
        <row r="598">
          <cell r="A598">
            <v>43997</v>
          </cell>
          <cell r="E598">
            <v>124.464</v>
          </cell>
          <cell r="F598">
            <v>112.77500000000001</v>
          </cell>
          <cell r="H598">
            <v>153.06</v>
          </cell>
          <cell r="I598">
            <v>0.28599999999999998</v>
          </cell>
          <cell r="T598" t="str">
            <v>33 -0.19%</v>
          </cell>
          <cell r="U598" t="str">
            <v>48 0.60%</v>
          </cell>
        </row>
        <row r="599">
          <cell r="A599">
            <v>43998</v>
          </cell>
          <cell r="E599">
            <v>125.718</v>
          </cell>
          <cell r="F599">
            <v>113.253</v>
          </cell>
          <cell r="H599">
            <v>153.11000000000001</v>
          </cell>
          <cell r="I599">
            <v>0.27389999999999998</v>
          </cell>
          <cell r="T599" t="str">
            <v>41 1.37%</v>
          </cell>
          <cell r="U599" t="str">
            <v>49 1.76%</v>
          </cell>
        </row>
        <row r="600">
          <cell r="A600">
            <v>43999</v>
          </cell>
          <cell r="E600">
            <v>125.884</v>
          </cell>
          <cell r="F600">
            <v>113.35299999999999</v>
          </cell>
          <cell r="H600">
            <v>152.84</v>
          </cell>
          <cell r="I600">
            <v>0.26950000000000002</v>
          </cell>
          <cell r="T600" t="str">
            <v>37 0.14%</v>
          </cell>
          <cell r="U600" t="str">
            <v>53 0.98%</v>
          </cell>
        </row>
        <row r="601">
          <cell r="A601">
            <v>44000</v>
          </cell>
          <cell r="E601">
            <v>125.65900000000001</v>
          </cell>
          <cell r="F601">
            <v>113.26</v>
          </cell>
          <cell r="H601">
            <v>152.65</v>
          </cell>
          <cell r="I601">
            <v>0.26989999999999997</v>
          </cell>
          <cell r="T601" t="str">
            <v>34 0.22%</v>
          </cell>
          <cell r="U601" t="str">
            <v>53 -0.10%</v>
          </cell>
        </row>
        <row r="602">
          <cell r="A602">
            <v>44001</v>
          </cell>
          <cell r="E602">
            <v>126.044</v>
          </cell>
          <cell r="F602">
            <v>113.545</v>
          </cell>
          <cell r="H602">
            <v>152.66</v>
          </cell>
          <cell r="I602">
            <v>0.2661</v>
          </cell>
          <cell r="T602" t="str">
            <v>36 0.42%</v>
          </cell>
          <cell r="U602" t="str">
            <v>54 1.44%</v>
          </cell>
        </row>
        <row r="603">
          <cell r="A603">
            <v>44004</v>
          </cell>
          <cell r="E603">
            <v>125.979</v>
          </cell>
          <cell r="F603">
            <v>113.51</v>
          </cell>
          <cell r="H603">
            <v>152.18</v>
          </cell>
          <cell r="I603">
            <v>0.26200000000000001</v>
          </cell>
          <cell r="T603" t="str">
            <v>37 -0.01%</v>
          </cell>
          <cell r="U603" t="str">
            <v>53 0.20%</v>
          </cell>
        </row>
        <row r="604">
          <cell r="A604">
            <v>44005</v>
          </cell>
          <cell r="E604">
            <v>125.18</v>
          </cell>
          <cell r="F604">
            <v>112.94499999999999</v>
          </cell>
          <cell r="H604">
            <v>150.97999999999999</v>
          </cell>
          <cell r="I604">
            <v>0.25800000000000001</v>
          </cell>
          <cell r="T604" t="str">
            <v>36 0.01%</v>
          </cell>
          <cell r="U604" t="str">
            <v>52 -0.37%</v>
          </cell>
        </row>
        <row r="605">
          <cell r="A605">
            <v>44006</v>
          </cell>
          <cell r="E605">
            <v>124.901</v>
          </cell>
          <cell r="F605">
            <v>113.1</v>
          </cell>
          <cell r="H605">
            <v>150.63999999999999</v>
          </cell>
          <cell r="I605">
            <v>0.25740000000000002</v>
          </cell>
          <cell r="T605" t="str">
            <v>34 1.02%</v>
          </cell>
          <cell r="U605" t="str">
            <v>53 -0.18%</v>
          </cell>
        </row>
        <row r="606">
          <cell r="A606">
            <v>44011</v>
          </cell>
          <cell r="E606">
            <v>124.569</v>
          </cell>
          <cell r="F606">
            <v>112.821</v>
          </cell>
          <cell r="H606">
            <v>150.19999999999999</v>
          </cell>
          <cell r="I606">
            <v>0.25629999999999997</v>
          </cell>
          <cell r="T606" t="str">
            <v>30 -0.30%</v>
          </cell>
          <cell r="U606" t="str">
            <v>55 0.04%</v>
          </cell>
        </row>
        <row r="607">
          <cell r="A607">
            <v>44012</v>
          </cell>
          <cell r="E607">
            <v>125.417</v>
          </cell>
          <cell r="F607">
            <v>112.76</v>
          </cell>
          <cell r="H607">
            <v>149.33000000000001</v>
          </cell>
          <cell r="I607">
            <v>0.2392</v>
          </cell>
          <cell r="T607" t="str">
            <v>28 1.09%</v>
          </cell>
          <cell r="U607" t="str">
            <v>58 1.86%</v>
          </cell>
        </row>
        <row r="608">
          <cell r="A608">
            <v>44013</v>
          </cell>
          <cell r="E608">
            <v>125.35899999999999</v>
          </cell>
          <cell r="F608">
            <v>113.44</v>
          </cell>
          <cell r="H608">
            <v>148.72999999999999</v>
          </cell>
          <cell r="I608">
            <v>0.23369999999999999</v>
          </cell>
          <cell r="T608" t="str">
            <v>27 0.81%</v>
          </cell>
          <cell r="U608" t="str">
            <v>60 0.74%</v>
          </cell>
        </row>
        <row r="609">
          <cell r="A609">
            <v>44014</v>
          </cell>
          <cell r="E609">
            <v>126.889</v>
          </cell>
          <cell r="F609">
            <v>115.235</v>
          </cell>
          <cell r="H609">
            <v>149.43</v>
          </cell>
          <cell r="I609">
            <v>0.22539999999999999</v>
          </cell>
          <cell r="T609" t="str">
            <v>39 2.66%</v>
          </cell>
          <cell r="U609" t="str">
            <v>65 0.78%</v>
          </cell>
        </row>
        <row r="610">
          <cell r="A610">
            <v>44015</v>
          </cell>
          <cell r="E610">
            <v>128.33600000000001</v>
          </cell>
          <cell r="F610">
            <v>116.37</v>
          </cell>
          <cell r="H610">
            <v>150.38999999999999</v>
          </cell>
          <cell r="I610">
            <v>0.22059999999999999</v>
          </cell>
          <cell r="T610" t="str">
            <v>42 1.49%</v>
          </cell>
          <cell r="U610" t="str">
            <v>70 0.86%</v>
          </cell>
        </row>
        <row r="611">
          <cell r="A611">
            <v>44018</v>
          </cell>
          <cell r="E611">
            <v>132.27699999999999</v>
          </cell>
          <cell r="F611">
            <v>119.795</v>
          </cell>
          <cell r="H611">
            <v>152.78</v>
          </cell>
          <cell r="I611">
            <v>0.20499999999999999</v>
          </cell>
          <cell r="T611" t="str">
            <v>44 3.12%</v>
          </cell>
          <cell r="U611" t="str">
            <v>85 3.86%</v>
          </cell>
        </row>
        <row r="612">
          <cell r="A612">
            <v>44019</v>
          </cell>
          <cell r="E612">
            <v>133.61000000000001</v>
          </cell>
          <cell r="F612">
            <v>120.02</v>
          </cell>
          <cell r="H612">
            <v>153.66</v>
          </cell>
          <cell r="I612">
            <v>0.20050000000000001</v>
          </cell>
          <cell r="T612" t="str">
            <v>44 1.53%</v>
          </cell>
          <cell r="U612" t="str">
            <v>87 2.45%</v>
          </cell>
        </row>
        <row r="613">
          <cell r="A613">
            <v>44020</v>
          </cell>
          <cell r="E613">
            <v>135.35599999999999</v>
          </cell>
          <cell r="F613">
            <v>121.74</v>
          </cell>
          <cell r="H613">
            <v>153.75</v>
          </cell>
          <cell r="I613">
            <v>0.18390000000000001</v>
          </cell>
          <cell r="T613" t="str">
            <v>53 1.08%</v>
          </cell>
          <cell r="U613" t="str">
            <v>88 1.92%</v>
          </cell>
        </row>
        <row r="614">
          <cell r="A614">
            <v>44021</v>
          </cell>
          <cell r="E614">
            <v>137.077</v>
          </cell>
          <cell r="F614">
            <v>123.17</v>
          </cell>
          <cell r="H614">
            <v>154.05000000000001</v>
          </cell>
          <cell r="I614">
            <v>0.16969999999999999</v>
          </cell>
          <cell r="T614" t="str">
            <v>48 1.56%</v>
          </cell>
          <cell r="U614" t="str">
            <v>100 2.28%</v>
          </cell>
        </row>
        <row r="615">
          <cell r="A615">
            <v>44022</v>
          </cell>
          <cell r="E615">
            <v>135.76900000000001</v>
          </cell>
          <cell r="F615">
            <v>121.861</v>
          </cell>
          <cell r="H615">
            <v>153.22</v>
          </cell>
          <cell r="I615">
            <v>0.17460000000000001</v>
          </cell>
          <cell r="T615" t="str">
            <v>49 -1.45%</v>
          </cell>
          <cell r="U615" t="str">
            <v>92 -0.78%</v>
          </cell>
        </row>
        <row r="616">
          <cell r="A616">
            <v>44025</v>
          </cell>
          <cell r="E616">
            <v>140.24199999999999</v>
          </cell>
          <cell r="F616">
            <v>124.6</v>
          </cell>
          <cell r="H616">
            <v>156.21</v>
          </cell>
          <cell r="I616">
            <v>0.15970000000000001</v>
          </cell>
          <cell r="T616" t="str">
            <v>44 2.57%</v>
          </cell>
          <cell r="U616" t="str">
            <v>107 5.02%</v>
          </cell>
        </row>
        <row r="617">
          <cell r="A617">
            <v>44026</v>
          </cell>
          <cell r="E617">
            <v>138.62799999999999</v>
          </cell>
          <cell r="F617">
            <v>124.13</v>
          </cell>
          <cell r="H617">
            <v>154.28</v>
          </cell>
          <cell r="I617">
            <v>0.1565</v>
          </cell>
          <cell r="T617" t="str">
            <v>46 -0.83%</v>
          </cell>
          <cell r="U617" t="str">
            <v>105 -0.65%</v>
          </cell>
        </row>
        <row r="618">
          <cell r="A618">
            <v>44027</v>
          </cell>
          <cell r="E618">
            <v>135.96600000000001</v>
          </cell>
          <cell r="F618">
            <v>122</v>
          </cell>
          <cell r="H618">
            <v>152.65</v>
          </cell>
          <cell r="I618">
            <v>0.1668</v>
          </cell>
          <cell r="T618" t="str">
            <v>50 -1.56%</v>
          </cell>
          <cell r="U618" t="str">
            <v>96 -1.51%</v>
          </cell>
        </row>
        <row r="619">
          <cell r="A619">
            <v>44028</v>
          </cell>
          <cell r="E619">
            <v>130.298</v>
          </cell>
          <cell r="F619">
            <v>118</v>
          </cell>
          <cell r="H619">
            <v>148.47</v>
          </cell>
          <cell r="I619">
            <v>0.1817</v>
          </cell>
          <cell r="T619" t="str">
            <v>47 -3.47%</v>
          </cell>
          <cell r="U619" t="str">
            <v>78 -5.40%</v>
          </cell>
        </row>
        <row r="620">
          <cell r="A620">
            <v>44029</v>
          </cell>
          <cell r="E620">
            <v>130.63200000000001</v>
          </cell>
          <cell r="F620">
            <v>118.29900000000001</v>
          </cell>
          <cell r="H620">
            <v>148.69999999999999</v>
          </cell>
          <cell r="I620">
            <v>0.18060000000000001</v>
          </cell>
          <cell r="T620" t="str">
            <v>47 0.37%</v>
          </cell>
          <cell r="U620" t="str">
            <v>80 0.47%</v>
          </cell>
        </row>
        <row r="621">
          <cell r="A621">
            <v>44032</v>
          </cell>
          <cell r="E621">
            <v>133.35900000000001</v>
          </cell>
          <cell r="F621">
            <v>122.07</v>
          </cell>
          <cell r="H621">
            <v>150.19</v>
          </cell>
          <cell r="I621">
            <v>0.16830000000000001</v>
          </cell>
          <cell r="T621" t="str">
            <v>51 2.73%</v>
          </cell>
          <cell r="U621" t="str">
            <v>94 2.74%</v>
          </cell>
        </row>
        <row r="622">
          <cell r="A622">
            <v>44033</v>
          </cell>
          <cell r="E622">
            <v>134.01499999999999</v>
          </cell>
          <cell r="F622">
            <v>121.64</v>
          </cell>
          <cell r="H622">
            <v>150.86000000000001</v>
          </cell>
          <cell r="I622">
            <v>0.16839999999999999</v>
          </cell>
          <cell r="T622" t="str">
            <v>51 -0.32%</v>
          </cell>
          <cell r="U622" t="str">
            <v>98 0.91%</v>
          </cell>
        </row>
        <row r="623">
          <cell r="A623">
            <v>44034</v>
          </cell>
          <cell r="E623">
            <v>134.89400000000001</v>
          </cell>
          <cell r="F623">
            <v>123.2</v>
          </cell>
          <cell r="H623">
            <v>151.85</v>
          </cell>
          <cell r="I623">
            <v>0.1696</v>
          </cell>
          <cell r="T623" t="str">
            <v>45 0.72%</v>
          </cell>
          <cell r="U623" t="str">
            <v>107 1.21%</v>
          </cell>
        </row>
        <row r="624">
          <cell r="A624">
            <v>44035</v>
          </cell>
          <cell r="E624">
            <v>134.874</v>
          </cell>
          <cell r="F624">
            <v>122.605</v>
          </cell>
          <cell r="H624">
            <v>152.12</v>
          </cell>
          <cell r="I624">
            <v>0.1724</v>
          </cell>
          <cell r="T624" t="str">
            <v>37 -0.18%</v>
          </cell>
          <cell r="U624" t="str">
            <v>108 0.34%</v>
          </cell>
        </row>
        <row r="625">
          <cell r="A625">
            <v>44036</v>
          </cell>
          <cell r="E625">
            <v>130.62700000000001</v>
          </cell>
          <cell r="F625">
            <v>119.84</v>
          </cell>
          <cell r="H625">
            <v>150.43</v>
          </cell>
          <cell r="I625">
            <v>0.19800000000000001</v>
          </cell>
          <cell r="T625" t="str">
            <v>48 -2.98%</v>
          </cell>
          <cell r="U625" t="str">
            <v>86 -3.60%</v>
          </cell>
        </row>
        <row r="626">
          <cell r="A626">
            <v>44039</v>
          </cell>
          <cell r="E626">
            <v>130.18799999999999</v>
          </cell>
          <cell r="F626">
            <v>119.02</v>
          </cell>
          <cell r="H626">
            <v>149.33000000000001</v>
          </cell>
          <cell r="I626">
            <v>0.19139999999999999</v>
          </cell>
          <cell r="T626" t="str">
            <v>44 -0.60%</v>
          </cell>
          <cell r="U626" t="str">
            <v>89 0.13%</v>
          </cell>
        </row>
        <row r="627">
          <cell r="A627">
            <v>44040</v>
          </cell>
          <cell r="E627">
            <v>132.029</v>
          </cell>
          <cell r="F627">
            <v>120</v>
          </cell>
          <cell r="H627">
            <v>150.19999999999999</v>
          </cell>
          <cell r="I627">
            <v>0.1817</v>
          </cell>
          <cell r="T627" t="str">
            <v>42 0.81%</v>
          </cell>
          <cell r="U627" t="str">
            <v>97 2.00%</v>
          </cell>
        </row>
        <row r="628">
          <cell r="A628">
            <v>44041</v>
          </cell>
          <cell r="E628">
            <v>133.994</v>
          </cell>
          <cell r="F628">
            <v>121</v>
          </cell>
          <cell r="H628">
            <v>151.27000000000001</v>
          </cell>
          <cell r="I628">
            <v>0.17269999999999999</v>
          </cell>
          <cell r="T628" t="str">
            <v>38 1.35%</v>
          </cell>
          <cell r="U628" t="str">
            <v>106 2.39%</v>
          </cell>
        </row>
        <row r="629">
          <cell r="A629">
            <v>44042</v>
          </cell>
          <cell r="E629">
            <v>134.11000000000001</v>
          </cell>
          <cell r="F629">
            <v>121.88</v>
          </cell>
          <cell r="H629">
            <v>151.72</v>
          </cell>
          <cell r="I629">
            <v>0.17610000000000001</v>
          </cell>
          <cell r="T629" t="str">
            <v>37 0.15%</v>
          </cell>
          <cell r="U629" t="str">
            <v>111 0.03%</v>
          </cell>
        </row>
        <row r="630">
          <cell r="A630">
            <v>44043</v>
          </cell>
          <cell r="E630">
            <v>135.16399999999999</v>
          </cell>
          <cell r="F630">
            <v>122.01</v>
          </cell>
          <cell r="H630">
            <v>152.32</v>
          </cell>
          <cell r="I630">
            <v>0.1716</v>
          </cell>
          <cell r="T630" t="str">
            <v>41 0.69%</v>
          </cell>
          <cell r="U630" t="str">
            <v>111 1.48%</v>
          </cell>
        </row>
        <row r="631">
          <cell r="A631">
            <v>44046</v>
          </cell>
          <cell r="E631">
            <v>137.89099999999999</v>
          </cell>
          <cell r="F631">
            <v>124.29</v>
          </cell>
          <cell r="H631">
            <v>153.46</v>
          </cell>
          <cell r="I631">
            <v>0.15570000000000001</v>
          </cell>
          <cell r="T631" t="str">
            <v>43 1.61%</v>
          </cell>
          <cell r="U631" t="str">
            <v>121 2.65%</v>
          </cell>
        </row>
        <row r="632">
          <cell r="A632">
            <v>44047</v>
          </cell>
          <cell r="E632">
            <v>136.97800000000001</v>
          </cell>
          <cell r="F632">
            <v>123.215</v>
          </cell>
          <cell r="H632">
            <v>152.63999999999999</v>
          </cell>
          <cell r="I632">
            <v>0.15659999999999999</v>
          </cell>
          <cell r="T632" t="str">
            <v>47 -0.64%</v>
          </cell>
          <cell r="U632" t="str">
            <v>114 -0.37%</v>
          </cell>
        </row>
        <row r="633">
          <cell r="A633">
            <v>44048</v>
          </cell>
          <cell r="E633">
            <v>138.30500000000001</v>
          </cell>
          <cell r="F633">
            <v>124</v>
          </cell>
          <cell r="H633">
            <v>153.66</v>
          </cell>
          <cell r="I633">
            <v>0.1535</v>
          </cell>
          <cell r="T633" t="str">
            <v>42 0.87%</v>
          </cell>
          <cell r="U633" t="str">
            <v>118 1.70%</v>
          </cell>
        </row>
        <row r="634">
          <cell r="A634">
            <v>44049</v>
          </cell>
          <cell r="E634">
            <v>137.696</v>
          </cell>
          <cell r="F634">
            <v>124.29</v>
          </cell>
          <cell r="H634">
            <v>153.02000000000001</v>
          </cell>
          <cell r="I634">
            <v>0.1532</v>
          </cell>
          <cell r="T634" t="str">
            <v>38 -0.18%</v>
          </cell>
          <cell r="U634" t="str">
            <v>117 -0.18%</v>
          </cell>
        </row>
        <row r="635">
          <cell r="A635">
            <v>44050</v>
          </cell>
          <cell r="E635">
            <v>137.10300000000001</v>
          </cell>
          <cell r="F635">
            <v>123.05</v>
          </cell>
          <cell r="H635">
            <v>154.19</v>
          </cell>
          <cell r="I635">
            <v>0.1709</v>
          </cell>
          <cell r="T635" t="str">
            <v>41 -0.32%</v>
          </cell>
          <cell r="U635" t="str">
            <v>113 1.40%</v>
          </cell>
        </row>
        <row r="636">
          <cell r="A636">
            <v>44053</v>
          </cell>
          <cell r="E636">
            <v>139.43700000000001</v>
          </cell>
          <cell r="F636">
            <v>124.65</v>
          </cell>
          <cell r="H636">
            <v>157.41</v>
          </cell>
          <cell r="I636">
            <v>0.1797</v>
          </cell>
          <cell r="T636" t="str">
            <v>46 0.89%</v>
          </cell>
          <cell r="U636" t="str">
            <v>120 2.82%</v>
          </cell>
        </row>
        <row r="637">
          <cell r="A637">
            <v>44054</v>
          </cell>
          <cell r="E637">
            <v>137.75700000000001</v>
          </cell>
          <cell r="F637">
            <v>123.7</v>
          </cell>
          <cell r="H637">
            <v>156.91999999999999</v>
          </cell>
          <cell r="I637">
            <v>0.19159999999999999</v>
          </cell>
          <cell r="T637" t="str">
            <v>45 -1.12%</v>
          </cell>
          <cell r="U637" t="str">
            <v>112 -1.83%</v>
          </cell>
        </row>
        <row r="638">
          <cell r="A638">
            <v>44055</v>
          </cell>
          <cell r="E638">
            <v>137.54400000000001</v>
          </cell>
          <cell r="F638">
            <v>122</v>
          </cell>
          <cell r="H638">
            <v>157</v>
          </cell>
          <cell r="I638">
            <v>0.1946</v>
          </cell>
          <cell r="T638" t="str">
            <v>46 -0.96%</v>
          </cell>
          <cell r="U638" t="str">
            <v>105 0.33%</v>
          </cell>
        </row>
        <row r="639">
          <cell r="A639">
            <v>44056</v>
          </cell>
          <cell r="E639">
            <v>138.91900000000001</v>
          </cell>
          <cell r="F639">
            <v>121.575</v>
          </cell>
          <cell r="H639">
            <v>158.82</v>
          </cell>
          <cell r="I639">
            <v>0.19900000000000001</v>
          </cell>
          <cell r="T639" t="str">
            <v>44 0.43%</v>
          </cell>
          <cell r="U639" t="str">
            <v>109 1.58%</v>
          </cell>
        </row>
        <row r="640">
          <cell r="A640">
            <v>44057</v>
          </cell>
          <cell r="E640">
            <v>137.852</v>
          </cell>
          <cell r="F640">
            <v>122.176</v>
          </cell>
          <cell r="H640">
            <v>156.07</v>
          </cell>
          <cell r="I640">
            <v>0.1822</v>
          </cell>
          <cell r="T640" t="str">
            <v>48 0.43%</v>
          </cell>
          <cell r="U640" t="str">
            <v>110 -1.17%</v>
          </cell>
        </row>
        <row r="641">
          <cell r="A641">
            <v>44060</v>
          </cell>
          <cell r="E641">
            <v>139.56399999999999</v>
          </cell>
          <cell r="F641">
            <v>123.575</v>
          </cell>
          <cell r="H641">
            <v>156.96</v>
          </cell>
          <cell r="I641">
            <v>0.1739</v>
          </cell>
          <cell r="T641" t="str">
            <v>50 1.62%</v>
          </cell>
          <cell r="U641" t="str">
            <v>114 2.31%</v>
          </cell>
        </row>
        <row r="642">
          <cell r="A642">
            <v>44061</v>
          </cell>
          <cell r="E642">
            <v>139.536</v>
          </cell>
          <cell r="F642">
            <v>124</v>
          </cell>
          <cell r="H642">
            <v>156.65</v>
          </cell>
          <cell r="I642">
            <v>0.1711</v>
          </cell>
          <cell r="T642" t="str">
            <v>51 0.45%</v>
          </cell>
          <cell r="U642" t="str">
            <v>120 0.93%</v>
          </cell>
        </row>
        <row r="643">
          <cell r="A643">
            <v>44062</v>
          </cell>
          <cell r="E643">
            <v>138.56399999999999</v>
          </cell>
          <cell r="F643">
            <v>123.39</v>
          </cell>
          <cell r="H643">
            <v>157.16</v>
          </cell>
          <cell r="I643">
            <v>0.18590000000000001</v>
          </cell>
          <cell r="T643" t="str">
            <v>50 -0.27%</v>
          </cell>
          <cell r="U643" t="str">
            <v>114 -0.64%</v>
          </cell>
        </row>
        <row r="644">
          <cell r="A644">
            <v>44063</v>
          </cell>
          <cell r="E644">
            <v>138.042</v>
          </cell>
          <cell r="F644">
            <v>122.336</v>
          </cell>
          <cell r="H644">
            <v>157.6</v>
          </cell>
          <cell r="I644">
            <v>0.1956</v>
          </cell>
          <cell r="T644" t="str">
            <v>58 -0.52%</v>
          </cell>
          <cell r="U644" t="str">
            <v>104 -0.47%</v>
          </cell>
        </row>
        <row r="645">
          <cell r="A645">
            <v>44064</v>
          </cell>
          <cell r="E645">
            <v>137.98099999999999</v>
          </cell>
          <cell r="F645">
            <v>122.355</v>
          </cell>
          <cell r="H645">
            <v>156.6</v>
          </cell>
          <cell r="I645">
            <v>0.1862</v>
          </cell>
          <cell r="T645" t="str">
            <v>55 0.54%</v>
          </cell>
          <cell r="U645" t="str">
            <v>105 0.19%</v>
          </cell>
        </row>
        <row r="646">
          <cell r="A646">
            <v>44067</v>
          </cell>
          <cell r="E646">
            <v>137.79400000000001</v>
          </cell>
          <cell r="F646">
            <v>122.553</v>
          </cell>
          <cell r="H646">
            <v>155.44999999999999</v>
          </cell>
          <cell r="I646">
            <v>0.17660000000000001</v>
          </cell>
          <cell r="T646" t="str">
            <v>51 0.07%</v>
          </cell>
          <cell r="U646" t="str">
            <v>108 0.08%</v>
          </cell>
        </row>
        <row r="647">
          <cell r="A647">
            <v>44068</v>
          </cell>
          <cell r="E647">
            <v>137.79499999999999</v>
          </cell>
          <cell r="F647">
            <v>122.47499999999999</v>
          </cell>
          <cell r="H647">
            <v>155.57</v>
          </cell>
          <cell r="I647">
            <v>0.17780000000000001</v>
          </cell>
          <cell r="T647" t="str">
            <v>61 0.36%</v>
          </cell>
          <cell r="U647" t="str">
            <v>106 0.13%</v>
          </cell>
        </row>
        <row r="648">
          <cell r="A648">
            <v>44069</v>
          </cell>
          <cell r="E648">
            <v>136.197</v>
          </cell>
          <cell r="F648">
            <v>120.495</v>
          </cell>
          <cell r="H648">
            <v>155.29</v>
          </cell>
          <cell r="I648">
            <v>0.191</v>
          </cell>
          <cell r="T648" t="str">
            <v>55 -1.19%</v>
          </cell>
          <cell r="U648" t="str">
            <v>99 -1.36%</v>
          </cell>
        </row>
        <row r="649">
          <cell r="A649">
            <v>44070</v>
          </cell>
          <cell r="E649">
            <v>137.12299999999999</v>
          </cell>
          <cell r="F649">
            <v>120.705</v>
          </cell>
          <cell r="H649">
            <v>155.58000000000001</v>
          </cell>
          <cell r="I649">
            <v>0.18459999999999999</v>
          </cell>
          <cell r="T649" t="str">
            <v>53 0.18%</v>
          </cell>
          <cell r="U649" t="str">
            <v>103 1.29%</v>
          </cell>
        </row>
        <row r="650">
          <cell r="A650">
            <v>44071</v>
          </cell>
          <cell r="E650">
            <v>136.75800000000001</v>
          </cell>
          <cell r="F650">
            <v>121.43600000000001</v>
          </cell>
          <cell r="H650">
            <v>154.57</v>
          </cell>
          <cell r="I650">
            <v>0.17810000000000001</v>
          </cell>
          <cell r="T650" t="str">
            <v>54 1.24%</v>
          </cell>
          <cell r="U650" t="str">
            <v>104 0.58%</v>
          </cell>
        </row>
        <row r="651">
          <cell r="A651">
            <v>44074</v>
          </cell>
          <cell r="E651">
            <v>137.43199999999999</v>
          </cell>
          <cell r="F651">
            <v>122.252</v>
          </cell>
          <cell r="H651">
            <v>155.88</v>
          </cell>
          <cell r="I651">
            <v>0.1845</v>
          </cell>
          <cell r="T651" t="str">
            <v>55 0.50%</v>
          </cell>
          <cell r="U651" t="str">
            <v>105 0.66%</v>
          </cell>
        </row>
        <row r="652">
          <cell r="A652">
            <v>44075</v>
          </cell>
          <cell r="E652">
            <v>137.87799999999999</v>
          </cell>
          <cell r="F652">
            <v>123.229</v>
          </cell>
          <cell r="H652">
            <v>155.9</v>
          </cell>
          <cell r="I652">
            <v>0.1802</v>
          </cell>
          <cell r="T652" t="str">
            <v>54 0.83%</v>
          </cell>
          <cell r="U652" t="str">
            <v>107 0.55%</v>
          </cell>
        </row>
        <row r="653">
          <cell r="A653">
            <v>44076</v>
          </cell>
          <cell r="E653">
            <v>138.17099999999999</v>
          </cell>
          <cell r="F653">
            <v>123.495</v>
          </cell>
          <cell r="H653">
            <v>155.88999999999999</v>
          </cell>
          <cell r="I653">
            <v>0.1772</v>
          </cell>
          <cell r="T653" t="str">
            <v>54 0.62%</v>
          </cell>
          <cell r="U653" t="str">
            <v>109 0.46%</v>
          </cell>
        </row>
        <row r="654">
          <cell r="A654">
            <v>44077</v>
          </cell>
          <cell r="E654">
            <v>137.85499999999999</v>
          </cell>
          <cell r="F654">
            <v>123.08</v>
          </cell>
          <cell r="H654">
            <v>156.38999999999999</v>
          </cell>
          <cell r="I654">
            <v>0.18529999999999999</v>
          </cell>
          <cell r="T654" t="str">
            <v>59 -0.73%</v>
          </cell>
          <cell r="U654" t="str">
            <v>105 -0.24%</v>
          </cell>
        </row>
        <row r="655">
          <cell r="A655">
            <v>44078</v>
          </cell>
          <cell r="E655">
            <v>137.08699999999999</v>
          </cell>
          <cell r="F655">
            <v>122.605</v>
          </cell>
          <cell r="H655">
            <v>155.56</v>
          </cell>
          <cell r="I655">
            <v>0.1847</v>
          </cell>
          <cell r="T655" t="str">
            <v>60 0.52%</v>
          </cell>
          <cell r="U655" t="str">
            <v>102 -0.73%</v>
          </cell>
        </row>
        <row r="656">
          <cell r="A656">
            <v>44081</v>
          </cell>
          <cell r="E656">
            <v>135.072</v>
          </cell>
          <cell r="F656">
            <v>121.3</v>
          </cell>
          <cell r="H656">
            <v>153.97</v>
          </cell>
          <cell r="I656">
            <v>0.189</v>
          </cell>
          <cell r="T656" t="str">
            <v>58 -0.76%</v>
          </cell>
          <cell r="U656" t="str">
            <v>97 -2.06%</v>
          </cell>
        </row>
        <row r="657">
          <cell r="A657">
            <v>44082</v>
          </cell>
          <cell r="E657">
            <v>134.38900000000001</v>
          </cell>
          <cell r="F657">
            <v>121.5</v>
          </cell>
          <cell r="H657">
            <v>151.80000000000001</v>
          </cell>
          <cell r="I657">
            <v>0.1741</v>
          </cell>
          <cell r="T657" t="str">
            <v>66 0.09%</v>
          </cell>
          <cell r="U657" t="str">
            <v>95 -0.92%</v>
          </cell>
        </row>
        <row r="658">
          <cell r="A658">
            <v>44083</v>
          </cell>
          <cell r="E658">
            <v>131.57300000000001</v>
          </cell>
          <cell r="F658">
            <v>120.1</v>
          </cell>
          <cell r="H658">
            <v>150.19999999999999</v>
          </cell>
          <cell r="I658">
            <v>0.18629999999999999</v>
          </cell>
          <cell r="T658" t="str">
            <v>61 -1.67%</v>
          </cell>
          <cell r="U658" t="str">
            <v>85 -3.45%</v>
          </cell>
        </row>
        <row r="659">
          <cell r="A659">
            <v>44084</v>
          </cell>
          <cell r="E659">
            <v>129.65600000000001</v>
          </cell>
          <cell r="F659">
            <v>118.35</v>
          </cell>
          <cell r="H659">
            <v>150.41999999999999</v>
          </cell>
          <cell r="I659">
            <v>0.20760000000000001</v>
          </cell>
          <cell r="T659" t="str">
            <v>60 -1.44%</v>
          </cell>
          <cell r="U659" t="str">
            <v>76 -1.72%</v>
          </cell>
        </row>
        <row r="660">
          <cell r="A660">
            <v>44085</v>
          </cell>
          <cell r="E660">
            <v>130.34399999999999</v>
          </cell>
          <cell r="F660">
            <v>118.925</v>
          </cell>
          <cell r="H660">
            <v>150.33000000000001</v>
          </cell>
          <cell r="I660">
            <v>0.19980000000000001</v>
          </cell>
          <cell r="T660" t="str">
            <v>51 0.49%</v>
          </cell>
          <cell r="U660" t="str">
            <v>82 1.66%</v>
          </cell>
        </row>
        <row r="661">
          <cell r="A661">
            <v>44088</v>
          </cell>
          <cell r="E661">
            <v>130.898</v>
          </cell>
          <cell r="F661">
            <v>119.16500000000001</v>
          </cell>
          <cell r="H661">
            <v>149.69</v>
          </cell>
          <cell r="I661">
            <v>0.18790000000000001</v>
          </cell>
          <cell r="T661" t="str">
            <v>51 0.47%</v>
          </cell>
          <cell r="U661" t="str">
            <v>84 1.23%</v>
          </cell>
        </row>
        <row r="662">
          <cell r="A662">
            <v>44089</v>
          </cell>
          <cell r="E662">
            <v>131.453</v>
          </cell>
          <cell r="F662">
            <v>119</v>
          </cell>
          <cell r="H662">
            <v>150.18</v>
          </cell>
          <cell r="I662">
            <v>0.18729999999999999</v>
          </cell>
          <cell r="T662" t="str">
            <v>52 0.08%</v>
          </cell>
          <cell r="U662" t="str">
            <v>86 1.27%</v>
          </cell>
        </row>
        <row r="663">
          <cell r="A663">
            <v>44090</v>
          </cell>
          <cell r="E663">
            <v>130.92699999999999</v>
          </cell>
          <cell r="F663">
            <v>118.02</v>
          </cell>
          <cell r="H663">
            <v>150.19</v>
          </cell>
          <cell r="I663">
            <v>0.19270000000000001</v>
          </cell>
          <cell r="T663" t="str">
            <v>51 -0.84%</v>
          </cell>
          <cell r="U663" t="str">
            <v>79 0.56%</v>
          </cell>
        </row>
        <row r="664">
          <cell r="A664">
            <v>44091</v>
          </cell>
          <cell r="E664">
            <v>131.10499999999999</v>
          </cell>
          <cell r="F664">
            <v>118.5</v>
          </cell>
          <cell r="H664">
            <v>149.94999999999999</v>
          </cell>
          <cell r="I664">
            <v>0.1885</v>
          </cell>
          <cell r="T664" t="str">
            <v>55 -0.02%</v>
          </cell>
          <cell r="U664" t="str">
            <v>75 0.14%</v>
          </cell>
        </row>
        <row r="665">
          <cell r="A665">
            <v>44092</v>
          </cell>
          <cell r="E665">
            <v>131.86699999999999</v>
          </cell>
          <cell r="F665">
            <v>119.17</v>
          </cell>
          <cell r="H665">
            <v>149.93</v>
          </cell>
          <cell r="I665">
            <v>0.18060000000000001</v>
          </cell>
          <cell r="T665" t="str">
            <v>54 0.57%</v>
          </cell>
          <cell r="U665" t="str">
            <v>79 0.85%</v>
          </cell>
        </row>
        <row r="666">
          <cell r="A666">
            <v>44095</v>
          </cell>
          <cell r="E666">
            <v>131.58799999999999</v>
          </cell>
          <cell r="F666">
            <v>118.93</v>
          </cell>
          <cell r="H666">
            <v>149.69</v>
          </cell>
          <cell r="I666">
            <v>0.18110000000000001</v>
          </cell>
          <cell r="T666" t="str">
            <v>61 -0.03%</v>
          </cell>
          <cell r="U666" t="str">
            <v>77 0.31%</v>
          </cell>
        </row>
        <row r="667">
          <cell r="A667">
            <v>44096</v>
          </cell>
          <cell r="E667">
            <v>130.92400000000001</v>
          </cell>
          <cell r="F667">
            <v>118.36499999999999</v>
          </cell>
          <cell r="H667">
            <v>150.13999999999999</v>
          </cell>
          <cell r="I667">
            <v>0.19220000000000001</v>
          </cell>
          <cell r="T667" t="str">
            <v>59 -0.62%</v>
          </cell>
          <cell r="U667" t="str">
            <v>72 -0.73%</v>
          </cell>
        </row>
        <row r="668">
          <cell r="A668">
            <v>44097</v>
          </cell>
          <cell r="E668">
            <v>130.74199999999999</v>
          </cell>
          <cell r="F668">
            <v>118.6</v>
          </cell>
          <cell r="H668">
            <v>149.31</v>
          </cell>
          <cell r="I668">
            <v>0.18559999999999999</v>
          </cell>
          <cell r="T668" t="str">
            <v>55 0.11%</v>
          </cell>
          <cell r="U668" t="str">
            <v>76 -0.14%</v>
          </cell>
        </row>
        <row r="669">
          <cell r="A669">
            <v>44098</v>
          </cell>
          <cell r="E669">
            <v>128.42599999999999</v>
          </cell>
          <cell r="F669">
            <v>116.85599999999999</v>
          </cell>
          <cell r="H669">
            <v>148.47</v>
          </cell>
          <cell r="I669">
            <v>0.20050000000000001</v>
          </cell>
          <cell r="T669" t="str">
            <v>51 -2.03%</v>
          </cell>
          <cell r="U669" t="str">
            <v>66 -2.51%</v>
          </cell>
        </row>
        <row r="670">
          <cell r="A670">
            <v>44099</v>
          </cell>
          <cell r="E670">
            <v>127.895</v>
          </cell>
          <cell r="F670">
            <v>116.05</v>
          </cell>
          <cell r="H670">
            <v>147.80000000000001</v>
          </cell>
          <cell r="I670">
            <v>0.19900000000000001</v>
          </cell>
          <cell r="T670" t="str">
            <v>49 -0.39%</v>
          </cell>
          <cell r="U670" t="str">
            <v>64 -0.11%</v>
          </cell>
        </row>
        <row r="671">
          <cell r="A671">
            <v>44102</v>
          </cell>
          <cell r="E671">
            <v>126.822</v>
          </cell>
          <cell r="F671">
            <v>114.34</v>
          </cell>
          <cell r="H671">
            <v>147.44</v>
          </cell>
          <cell r="I671">
            <v>0.20619999999999999</v>
          </cell>
          <cell r="T671" t="str">
            <v>47 -0.74%</v>
          </cell>
          <cell r="U671" t="str">
            <v>62 -0.72%</v>
          </cell>
        </row>
        <row r="672">
          <cell r="A672">
            <v>44103</v>
          </cell>
          <cell r="E672">
            <v>127.712</v>
          </cell>
          <cell r="F672">
            <v>115.726</v>
          </cell>
          <cell r="H672">
            <v>148.16</v>
          </cell>
          <cell r="I672">
            <v>0.2044</v>
          </cell>
          <cell r="T672" t="str">
            <v>51 1.38%</v>
          </cell>
          <cell r="U672" t="str">
            <v>67 1.10%</v>
          </cell>
        </row>
        <row r="673">
          <cell r="A673">
            <v>44104</v>
          </cell>
          <cell r="E673">
            <v>128.054</v>
          </cell>
          <cell r="F673">
            <v>115.949</v>
          </cell>
          <cell r="H673">
            <v>149.24</v>
          </cell>
          <cell r="I673">
            <v>0.21179999999999999</v>
          </cell>
          <cell r="T673" t="str">
            <v>48 0.71%</v>
          </cell>
          <cell r="U673" t="str">
            <v>70 -0.02%</v>
          </cell>
        </row>
        <row r="674">
          <cell r="A674">
            <v>44113</v>
          </cell>
          <cell r="E674">
            <v>130.28899999999999</v>
          </cell>
          <cell r="F674">
            <v>117.40600000000001</v>
          </cell>
          <cell r="H674">
            <v>149.72</v>
          </cell>
          <cell r="I674">
            <v>0.1943</v>
          </cell>
          <cell r="T674" t="str">
            <v>52 1.41%</v>
          </cell>
          <cell r="U674" t="str">
            <v>79 3.03%</v>
          </cell>
        </row>
        <row r="675">
          <cell r="A675">
            <v>44116</v>
          </cell>
          <cell r="E675">
            <v>132.67699999999999</v>
          </cell>
          <cell r="F675">
            <v>119.44</v>
          </cell>
          <cell r="H675">
            <v>150.66</v>
          </cell>
          <cell r="I675">
            <v>0.1799</v>
          </cell>
          <cell r="T675" t="str">
            <v>52 1.55%</v>
          </cell>
          <cell r="U675" t="str">
            <v>91 2.47%</v>
          </cell>
        </row>
        <row r="676">
          <cell r="A676">
            <v>44117</v>
          </cell>
          <cell r="E676">
            <v>133.53299999999999</v>
          </cell>
          <cell r="F676">
            <v>119.54</v>
          </cell>
          <cell r="H676">
            <v>151.61000000000001</v>
          </cell>
          <cell r="I676">
            <v>0.18079999999999999</v>
          </cell>
          <cell r="T676" t="str">
            <v>51 0.63%</v>
          </cell>
          <cell r="U676" t="str">
            <v>93 1.07%</v>
          </cell>
        </row>
        <row r="677">
          <cell r="A677">
            <v>44118</v>
          </cell>
          <cell r="E677">
            <v>133.46299999999999</v>
          </cell>
          <cell r="F677">
            <v>119.617</v>
          </cell>
          <cell r="H677">
            <v>151.94</v>
          </cell>
          <cell r="I677">
            <v>0.18479999999999999</v>
          </cell>
          <cell r="T677" t="str">
            <v>54 -0.12%</v>
          </cell>
          <cell r="U677" t="str">
            <v>91 -0.17%</v>
          </cell>
        </row>
        <row r="678">
          <cell r="A678">
            <v>44119</v>
          </cell>
          <cell r="E678">
            <v>133.11799999999999</v>
          </cell>
          <cell r="F678">
            <v>119.375</v>
          </cell>
          <cell r="H678">
            <v>152.13</v>
          </cell>
          <cell r="I678">
            <v>0.19009999999999999</v>
          </cell>
          <cell r="T678" t="str">
            <v>55 0.22%</v>
          </cell>
          <cell r="U678" t="str">
            <v>89 -0.19%</v>
          </cell>
        </row>
        <row r="679">
          <cell r="A679">
            <v>44120</v>
          </cell>
          <cell r="E679">
            <v>132.85400000000001</v>
          </cell>
          <cell r="F679">
            <v>119.80500000000001</v>
          </cell>
          <cell r="H679">
            <v>151.71</v>
          </cell>
          <cell r="I679">
            <v>0.1885</v>
          </cell>
          <cell r="T679" t="str">
            <v>61 -0.20%</v>
          </cell>
          <cell r="U679" t="str">
            <v>85 -0.55%</v>
          </cell>
        </row>
        <row r="680">
          <cell r="A680">
            <v>44123</v>
          </cell>
          <cell r="E680">
            <v>133.256</v>
          </cell>
          <cell r="F680">
            <v>118.965</v>
          </cell>
          <cell r="H680">
            <v>153.57</v>
          </cell>
          <cell r="I680">
            <v>0.20319999999999999</v>
          </cell>
          <cell r="T680" t="str">
            <v>66 -0.29%</v>
          </cell>
          <cell r="U680" t="str">
            <v>79 1.77%</v>
          </cell>
        </row>
        <row r="681">
          <cell r="A681">
            <v>44124</v>
          </cell>
          <cell r="E681">
            <v>135.76499999999999</v>
          </cell>
          <cell r="F681">
            <v>119.75</v>
          </cell>
          <cell r="H681">
            <v>156.94</v>
          </cell>
          <cell r="I681">
            <v>0.21179999999999999</v>
          </cell>
          <cell r="T681" t="str">
            <v>58 0.63%</v>
          </cell>
          <cell r="U681" t="str">
            <v>89 3.67%</v>
          </cell>
        </row>
        <row r="682">
          <cell r="A682">
            <v>44125</v>
          </cell>
          <cell r="E682">
            <v>135.93</v>
          </cell>
          <cell r="F682">
            <v>119.499</v>
          </cell>
          <cell r="H682">
            <v>158.49</v>
          </cell>
          <cell r="I682">
            <v>0.22559999999999999</v>
          </cell>
          <cell r="T682" t="str">
            <v>63 -0.34%</v>
          </cell>
          <cell r="U682" t="str">
            <v>83 1.14%</v>
          </cell>
        </row>
        <row r="683">
          <cell r="A683">
            <v>44126</v>
          </cell>
          <cell r="E683">
            <v>138.55699999999999</v>
          </cell>
          <cell r="F683">
            <v>121.44</v>
          </cell>
          <cell r="H683">
            <v>163.89</v>
          </cell>
          <cell r="I683">
            <v>0.25340000000000001</v>
          </cell>
          <cell r="T683" t="str">
            <v>68 1.14%</v>
          </cell>
          <cell r="U683" t="str">
            <v>93 4.37%</v>
          </cell>
        </row>
        <row r="684">
          <cell r="A684">
            <v>44127</v>
          </cell>
          <cell r="E684">
            <v>133.648</v>
          </cell>
          <cell r="F684">
            <v>119.485</v>
          </cell>
          <cell r="H684">
            <v>157.11000000000001</v>
          </cell>
          <cell r="I684">
            <v>0.23469999999999999</v>
          </cell>
          <cell r="T684" t="str">
            <v>62 -1.67%</v>
          </cell>
          <cell r="U684" t="str">
            <v>84 -4.64%</v>
          </cell>
        </row>
        <row r="685">
          <cell r="A685">
            <v>44130</v>
          </cell>
          <cell r="E685">
            <v>137.489</v>
          </cell>
          <cell r="F685">
            <v>120.16500000000001</v>
          </cell>
          <cell r="H685">
            <v>163.47999999999999</v>
          </cell>
          <cell r="I685">
            <v>0.25990000000000002</v>
          </cell>
          <cell r="T685" t="str">
            <v>57 0.61%</v>
          </cell>
          <cell r="U685" t="str">
            <v>93 7.39%</v>
          </cell>
        </row>
        <row r="686">
          <cell r="A686">
            <v>44131</v>
          </cell>
          <cell r="E686">
            <v>138.625</v>
          </cell>
          <cell r="F686">
            <v>121.255</v>
          </cell>
          <cell r="H686">
            <v>165.49</v>
          </cell>
          <cell r="I686">
            <v>0.26860000000000001</v>
          </cell>
          <cell r="T686" t="str">
            <v>59 0.40%</v>
          </cell>
          <cell r="U686" t="str">
            <v>99 1.92%</v>
          </cell>
        </row>
        <row r="687">
          <cell r="A687">
            <v>44132</v>
          </cell>
          <cell r="E687">
            <v>137.429</v>
          </cell>
          <cell r="F687">
            <v>121.15</v>
          </cell>
          <cell r="H687">
            <v>163.13999999999999</v>
          </cell>
          <cell r="I687">
            <v>0.2571</v>
          </cell>
          <cell r="T687" t="str">
            <v>62 -0.01%</v>
          </cell>
          <cell r="U687" t="str">
            <v>98 -1.64%</v>
          </cell>
        </row>
        <row r="688">
          <cell r="A688">
            <v>44133</v>
          </cell>
          <cell r="E688">
            <v>137.845</v>
          </cell>
          <cell r="F688">
            <v>121.01300000000001</v>
          </cell>
          <cell r="H688">
            <v>163.57</v>
          </cell>
          <cell r="I688">
            <v>0.25729999999999997</v>
          </cell>
          <cell r="T688" t="str">
            <v>63 -0.28%</v>
          </cell>
          <cell r="U688" t="str">
            <v>94 0.48%</v>
          </cell>
        </row>
        <row r="689">
          <cell r="A689">
            <v>44134</v>
          </cell>
          <cell r="E689">
            <v>135.30199999999999</v>
          </cell>
          <cell r="F689">
            <v>119.09</v>
          </cell>
          <cell r="H689">
            <v>162.28</v>
          </cell>
          <cell r="I689">
            <v>0.26979999999999998</v>
          </cell>
          <cell r="T689" t="str">
            <v>62 -2.08%</v>
          </cell>
          <cell r="U689" t="str">
            <v>86 -2.14%</v>
          </cell>
        </row>
        <row r="690">
          <cell r="A690">
            <v>44137</v>
          </cell>
          <cell r="E690">
            <v>132.55000000000001</v>
          </cell>
          <cell r="F690">
            <v>117.3</v>
          </cell>
          <cell r="H690">
            <v>156.86000000000001</v>
          </cell>
          <cell r="I690">
            <v>0.24310000000000001</v>
          </cell>
          <cell r="T690" t="str">
            <v>54 -1.76%</v>
          </cell>
          <cell r="U690" t="str">
            <v>76 -2.86%</v>
          </cell>
        </row>
        <row r="691">
          <cell r="A691">
            <v>44138</v>
          </cell>
          <cell r="E691">
            <v>131.48099999999999</v>
          </cell>
          <cell r="F691">
            <v>117.404</v>
          </cell>
          <cell r="H691">
            <v>153.38999999999999</v>
          </cell>
          <cell r="I691">
            <v>0.219</v>
          </cell>
          <cell r="T691" t="str">
            <v>52 0.87%</v>
          </cell>
          <cell r="U691" t="str">
            <v>82 -1.95%</v>
          </cell>
        </row>
        <row r="692">
          <cell r="A692">
            <v>44139</v>
          </cell>
          <cell r="E692">
            <v>131.911</v>
          </cell>
          <cell r="F692">
            <v>117.443</v>
          </cell>
          <cell r="H692">
            <v>154.77000000000001</v>
          </cell>
          <cell r="I692">
            <v>0.2286</v>
          </cell>
          <cell r="T692" t="str">
            <v>48 0.12%</v>
          </cell>
          <cell r="U692" t="str">
            <v>86 0.98%</v>
          </cell>
        </row>
        <row r="693">
          <cell r="A693">
            <v>44140</v>
          </cell>
          <cell r="E693">
            <v>133.32499999999999</v>
          </cell>
          <cell r="F693">
            <v>117.85899999999999</v>
          </cell>
          <cell r="H693">
            <v>154.84</v>
          </cell>
          <cell r="I693">
            <v>0.2152</v>
          </cell>
          <cell r="T693" t="str">
            <v>55 1.01%</v>
          </cell>
          <cell r="U693" t="str">
            <v>88 1.94%</v>
          </cell>
        </row>
        <row r="694">
          <cell r="A694">
            <v>44141</v>
          </cell>
          <cell r="E694">
            <v>132.21799999999999</v>
          </cell>
          <cell r="F694">
            <v>117.675</v>
          </cell>
          <cell r="H694">
            <v>153.93</v>
          </cell>
          <cell r="I694">
            <v>0.21709999999999999</v>
          </cell>
          <cell r="T694" t="str">
            <v>49 -0.19%</v>
          </cell>
          <cell r="U694" t="str">
            <v>86 -1.68%</v>
          </cell>
        </row>
        <row r="695">
          <cell r="A695">
            <v>44144</v>
          </cell>
          <cell r="E695">
            <v>134.58600000000001</v>
          </cell>
          <cell r="F695">
            <v>119</v>
          </cell>
          <cell r="H695">
            <v>155.28</v>
          </cell>
          <cell r="I695">
            <v>0.2069</v>
          </cell>
          <cell r="T695" t="str">
            <v>54 1.07%</v>
          </cell>
          <cell r="U695" t="str">
            <v>91 1.94%</v>
          </cell>
        </row>
        <row r="696">
          <cell r="A696">
            <v>44145</v>
          </cell>
          <cell r="E696">
            <v>132.97300000000001</v>
          </cell>
          <cell r="F696">
            <v>118.69</v>
          </cell>
          <cell r="H696">
            <v>154.30000000000001</v>
          </cell>
          <cell r="I696">
            <v>0.21329999999999999</v>
          </cell>
          <cell r="T696" t="str">
            <v>53 0.21%</v>
          </cell>
          <cell r="U696" t="str">
            <v>89 -0.67%</v>
          </cell>
        </row>
        <row r="697">
          <cell r="A697">
            <v>44146</v>
          </cell>
          <cell r="E697">
            <v>132.03200000000001</v>
          </cell>
          <cell r="F697">
            <v>118.672</v>
          </cell>
          <cell r="H697">
            <v>154.57</v>
          </cell>
          <cell r="I697">
            <v>0.22539999999999999</v>
          </cell>
          <cell r="T697" t="str">
            <v>47 -0.74%</v>
          </cell>
          <cell r="U697" t="str">
            <v>91 -0.72%</v>
          </cell>
        </row>
        <row r="698">
          <cell r="A698">
            <v>44147</v>
          </cell>
          <cell r="E698">
            <v>133.06700000000001</v>
          </cell>
          <cell r="F698">
            <v>118.47499999999999</v>
          </cell>
          <cell r="H698">
            <v>156.25</v>
          </cell>
          <cell r="I698">
            <v>0.23180000000000001</v>
          </cell>
          <cell r="T698" t="str">
            <v>47 0.05%</v>
          </cell>
          <cell r="U698" t="str">
            <v>91 2.14%</v>
          </cell>
        </row>
        <row r="699">
          <cell r="A699">
            <v>44148</v>
          </cell>
          <cell r="E699">
            <v>134.49799999999999</v>
          </cell>
          <cell r="F699">
            <v>119</v>
          </cell>
          <cell r="H699">
            <v>158.88</v>
          </cell>
          <cell r="I699">
            <v>0.24379999999999999</v>
          </cell>
          <cell r="T699" t="str">
            <v>41 0.61%</v>
          </cell>
          <cell r="U699" t="str">
            <v>98 3.44%</v>
          </cell>
        </row>
        <row r="700">
          <cell r="A700">
            <v>44151</v>
          </cell>
          <cell r="E700">
            <v>134.06</v>
          </cell>
          <cell r="F700">
            <v>119.008</v>
          </cell>
          <cell r="H700">
            <v>156.81</v>
          </cell>
          <cell r="I700">
            <v>0.22750000000000001</v>
          </cell>
          <cell r="T700" t="str">
            <v>41 1.55%</v>
          </cell>
          <cell r="U700" t="str">
            <v>100 -0.02%</v>
          </cell>
        </row>
        <row r="701">
          <cell r="A701">
            <v>44152</v>
          </cell>
          <cell r="E701">
            <v>132.38499999999999</v>
          </cell>
          <cell r="F701">
            <v>117.565</v>
          </cell>
          <cell r="H701">
            <v>154.97999999999999</v>
          </cell>
          <cell r="I701">
            <v>0.22600000000000001</v>
          </cell>
          <cell r="T701" t="str">
            <v>39 -0.41%</v>
          </cell>
          <cell r="U701" t="str">
            <v>97 -1.40%</v>
          </cell>
        </row>
        <row r="702">
          <cell r="A702">
            <v>44153</v>
          </cell>
          <cell r="E702">
            <v>132.07499999999999</v>
          </cell>
          <cell r="F702">
            <v>118.04</v>
          </cell>
          <cell r="H702">
            <v>153.93</v>
          </cell>
          <cell r="I702">
            <v>0.21859999999999999</v>
          </cell>
          <cell r="T702" t="str">
            <v>44 0.50%</v>
          </cell>
          <cell r="U702" t="str">
            <v>94 -0.84%</v>
          </cell>
        </row>
        <row r="703">
          <cell r="A703">
            <v>44154</v>
          </cell>
          <cell r="E703">
            <v>131.77199999999999</v>
          </cell>
          <cell r="F703">
            <v>118.3</v>
          </cell>
          <cell r="H703">
            <v>152.88</v>
          </cell>
          <cell r="I703">
            <v>0.21099999999999999</v>
          </cell>
          <cell r="T703" t="str">
            <v>51 -0.69%</v>
          </cell>
          <cell r="U703" t="str">
            <v>91 -0.18%</v>
          </cell>
        </row>
        <row r="704">
          <cell r="A704">
            <v>44155</v>
          </cell>
          <cell r="E704">
            <v>132</v>
          </cell>
          <cell r="F704">
            <v>118.035</v>
          </cell>
          <cell r="H704">
            <v>152.6</v>
          </cell>
          <cell r="I704">
            <v>0.20599999999999999</v>
          </cell>
          <cell r="T704" t="str">
            <v>47 0.51%</v>
          </cell>
          <cell r="U704" t="str">
            <v>93 0.50%</v>
          </cell>
        </row>
        <row r="705">
          <cell r="A705">
            <v>44158</v>
          </cell>
          <cell r="E705">
            <v>132.63499999999999</v>
          </cell>
          <cell r="F705">
            <v>118.47</v>
          </cell>
          <cell r="H705">
            <v>153.01</v>
          </cell>
          <cell r="I705">
            <v>0.20380000000000001</v>
          </cell>
          <cell r="T705" t="str">
            <v>50 0.41%</v>
          </cell>
          <cell r="U705" t="str">
            <v>95 1.15%</v>
          </cell>
        </row>
        <row r="706">
          <cell r="A706">
            <v>44159</v>
          </cell>
          <cell r="E706">
            <v>133.52500000000001</v>
          </cell>
          <cell r="F706">
            <v>119.2</v>
          </cell>
          <cell r="H706">
            <v>154.09</v>
          </cell>
          <cell r="I706">
            <v>0.2056</v>
          </cell>
          <cell r="T706" t="str">
            <v>50 -0.01%</v>
          </cell>
          <cell r="U706" t="str">
            <v>99 1.02%</v>
          </cell>
        </row>
        <row r="707">
          <cell r="A707">
            <v>44160</v>
          </cell>
          <cell r="E707">
            <v>133.06700000000001</v>
          </cell>
          <cell r="F707">
            <v>119.01</v>
          </cell>
          <cell r="H707">
            <v>155.22</v>
          </cell>
          <cell r="I707">
            <v>0.22159999999999999</v>
          </cell>
          <cell r="T707" t="str">
            <v>50 -0.14%</v>
          </cell>
          <cell r="U707" t="str">
            <v>100 -0.66%</v>
          </cell>
        </row>
        <row r="708">
          <cell r="A708">
            <v>44161</v>
          </cell>
          <cell r="E708">
            <v>132.30199999999999</v>
          </cell>
          <cell r="F708">
            <v>117.998</v>
          </cell>
          <cell r="H708">
            <v>154.77000000000001</v>
          </cell>
          <cell r="I708">
            <v>0.22459999999999999</v>
          </cell>
          <cell r="T708" t="str">
            <v>51 -0.68%</v>
          </cell>
          <cell r="U708" t="str">
            <v>93 -0.03%</v>
          </cell>
        </row>
        <row r="709">
          <cell r="A709">
            <v>44162</v>
          </cell>
          <cell r="E709">
            <v>131.52699999999999</v>
          </cell>
          <cell r="F709">
            <v>117.99</v>
          </cell>
          <cell r="H709">
            <v>153.71</v>
          </cell>
          <cell r="I709">
            <v>0.2218</v>
          </cell>
          <cell r="T709" t="str">
            <v>52 -0.52%</v>
          </cell>
          <cell r="U709" t="str">
            <v>87 -0.14%</v>
          </cell>
        </row>
        <row r="710">
          <cell r="A710">
            <v>44165</v>
          </cell>
          <cell r="E710">
            <v>131.38800000000001</v>
          </cell>
          <cell r="F710">
            <v>117.949</v>
          </cell>
          <cell r="H710">
            <v>153.96</v>
          </cell>
          <cell r="I710">
            <v>0.22570000000000001</v>
          </cell>
          <cell r="T710" t="str">
            <v>51 0.10%</v>
          </cell>
          <cell r="U710" t="str">
            <v>88 0.08%</v>
          </cell>
        </row>
        <row r="711">
          <cell r="A711">
            <v>44166</v>
          </cell>
          <cell r="E711">
            <v>132.089</v>
          </cell>
          <cell r="F711">
            <v>118.38</v>
          </cell>
          <cell r="H711">
            <v>153.72999999999999</v>
          </cell>
          <cell r="I711">
            <v>0.21640000000000001</v>
          </cell>
          <cell r="T711" t="str">
            <v>55 0.44%</v>
          </cell>
          <cell r="U711" t="str">
            <v>89 0.93%</v>
          </cell>
        </row>
        <row r="712">
          <cell r="A712">
            <v>44167</v>
          </cell>
          <cell r="E712">
            <v>131.93</v>
          </cell>
          <cell r="F712">
            <v>118.05</v>
          </cell>
          <cell r="H712">
            <v>153.21</v>
          </cell>
          <cell r="I712">
            <v>0.21279999999999999</v>
          </cell>
          <cell r="T712" t="str">
            <v>57 1.17%</v>
          </cell>
          <cell r="U712" t="str">
            <v>90 -0.25%</v>
          </cell>
        </row>
        <row r="713">
          <cell r="A713">
            <v>44168</v>
          </cell>
          <cell r="E713">
            <v>131.15899999999999</v>
          </cell>
          <cell r="F713">
            <v>118.9</v>
          </cell>
          <cell r="H713">
            <v>152.35</v>
          </cell>
          <cell r="I713">
            <v>0.21190000000000001</v>
          </cell>
          <cell r="T713" t="str">
            <v>60 -0.72%</v>
          </cell>
          <cell r="U713" t="str">
            <v>88 -0.77%</v>
          </cell>
        </row>
        <row r="714">
          <cell r="A714">
            <v>44169</v>
          </cell>
          <cell r="E714">
            <v>130.78299999999999</v>
          </cell>
          <cell r="F714">
            <v>118.5</v>
          </cell>
          <cell r="H714">
            <v>152.19999999999999</v>
          </cell>
          <cell r="I714">
            <v>0.2142</v>
          </cell>
          <cell r="T714" t="str">
            <v>55 -0.04%</v>
          </cell>
          <cell r="U714" t="str">
            <v>89 1.21%</v>
          </cell>
        </row>
        <row r="715">
          <cell r="A715">
            <v>44172</v>
          </cell>
          <cell r="E715">
            <v>131.18600000000001</v>
          </cell>
          <cell r="F715">
            <v>118.22499999999999</v>
          </cell>
          <cell r="H715">
            <v>153.06</v>
          </cell>
          <cell r="I715">
            <v>0.21870000000000001</v>
          </cell>
          <cell r="T715" t="str">
            <v>52 0.18%</v>
          </cell>
          <cell r="U715" t="str">
            <v>90 0.66%</v>
          </cell>
        </row>
        <row r="716">
          <cell r="A716">
            <v>44173</v>
          </cell>
          <cell r="E716">
            <v>131.017</v>
          </cell>
          <cell r="F716">
            <v>117.86</v>
          </cell>
          <cell r="H716">
            <v>152.75</v>
          </cell>
          <cell r="I716">
            <v>0.21729999999999999</v>
          </cell>
          <cell r="T716" t="str">
            <v>48 -0.18%</v>
          </cell>
          <cell r="U716" t="str">
            <v>90 0.05%</v>
          </cell>
        </row>
        <row r="717">
          <cell r="A717">
            <v>44174</v>
          </cell>
          <cell r="E717">
            <v>130.97900000000001</v>
          </cell>
          <cell r="F717">
            <v>117</v>
          </cell>
          <cell r="H717">
            <v>155.26</v>
          </cell>
          <cell r="I717">
            <v>0.24279999999999999</v>
          </cell>
          <cell r="T717" t="str">
            <v>48 -0.74%</v>
          </cell>
          <cell r="U717" t="str">
            <v>84 0.90%</v>
          </cell>
        </row>
        <row r="718">
          <cell r="A718">
            <v>44175</v>
          </cell>
          <cell r="E718">
            <v>131.244</v>
          </cell>
          <cell r="F718">
            <v>116.52800000000001</v>
          </cell>
          <cell r="H718">
            <v>156.28</v>
          </cell>
          <cell r="I718">
            <v>0.25040000000000001</v>
          </cell>
          <cell r="T718" t="str">
            <v>45 -0.16%</v>
          </cell>
          <cell r="U718" t="str">
            <v>85 1.32%</v>
          </cell>
        </row>
        <row r="719">
          <cell r="A719">
            <v>44176</v>
          </cell>
          <cell r="E719">
            <v>129.11799999999999</v>
          </cell>
          <cell r="F719">
            <v>115.04</v>
          </cell>
          <cell r="H719">
            <v>154.59</v>
          </cell>
          <cell r="I719">
            <v>0.25480000000000003</v>
          </cell>
          <cell r="T719" t="str">
            <v>45 -1.86%</v>
          </cell>
          <cell r="U719" t="str">
            <v>75 -1.91%</v>
          </cell>
        </row>
        <row r="720">
          <cell r="A720">
            <v>44179</v>
          </cell>
          <cell r="E720">
            <v>129.596</v>
          </cell>
          <cell r="F720">
            <v>115.21</v>
          </cell>
          <cell r="H720">
            <v>153.71</v>
          </cell>
          <cell r="I720">
            <v>0.2412</v>
          </cell>
          <cell r="T720" t="str">
            <v>41 -0.35%</v>
          </cell>
          <cell r="U720" t="str">
            <v>75 0.65%</v>
          </cell>
        </row>
        <row r="721">
          <cell r="A721">
            <v>44180</v>
          </cell>
          <cell r="E721">
            <v>129.249</v>
          </cell>
          <cell r="F721">
            <v>113.642</v>
          </cell>
          <cell r="H721">
            <v>152.46</v>
          </cell>
          <cell r="I721">
            <v>0.2321</v>
          </cell>
          <cell r="T721" t="str">
            <v>43 -0.18%</v>
          </cell>
          <cell r="U721" t="str">
            <v>72 0.62%</v>
          </cell>
        </row>
        <row r="722">
          <cell r="A722">
            <v>44181</v>
          </cell>
          <cell r="E722">
            <v>128.99299999999999</v>
          </cell>
          <cell r="F722">
            <v>113.002</v>
          </cell>
          <cell r="H722">
            <v>152.65</v>
          </cell>
          <cell r="I722">
            <v>0.2366</v>
          </cell>
          <cell r="T722" t="str">
            <v>33 -0.58%</v>
          </cell>
          <cell r="U722" t="str">
            <v>72 0.04%</v>
          </cell>
        </row>
        <row r="723">
          <cell r="A723">
            <v>44182</v>
          </cell>
          <cell r="E723">
            <v>129.393</v>
          </cell>
          <cell r="F723">
            <v>112.672</v>
          </cell>
          <cell r="H723">
            <v>152.69999999999999</v>
          </cell>
          <cell r="I723">
            <v>0.23300000000000001</v>
          </cell>
          <cell r="T723" t="str">
            <v>34 0.51%</v>
          </cell>
          <cell r="U723" t="str">
            <v>74 0.92%</v>
          </cell>
        </row>
        <row r="724">
          <cell r="A724">
            <v>44183</v>
          </cell>
          <cell r="E724">
            <v>129.518</v>
          </cell>
          <cell r="F724">
            <v>112.43</v>
          </cell>
          <cell r="H724">
            <v>153.62</v>
          </cell>
          <cell r="I724">
            <v>0.24099999999999999</v>
          </cell>
          <cell r="T724" t="str">
            <v>35 0.29%</v>
          </cell>
          <cell r="U724" t="str">
            <v>75 0.75%</v>
          </cell>
        </row>
        <row r="725">
          <cell r="A725">
            <v>44186</v>
          </cell>
          <cell r="E725">
            <v>131.69300000000001</v>
          </cell>
          <cell r="F725">
            <v>113.105</v>
          </cell>
          <cell r="H725">
            <v>155.52000000000001</v>
          </cell>
          <cell r="I725">
            <v>0.23830000000000001</v>
          </cell>
          <cell r="T725" t="str">
            <v>43 0.73%</v>
          </cell>
          <cell r="U725" t="str">
            <v>74 2.60%</v>
          </cell>
        </row>
        <row r="726">
          <cell r="A726">
            <v>44187</v>
          </cell>
          <cell r="E726">
            <v>132.14500000000001</v>
          </cell>
          <cell r="F726">
            <v>112.27</v>
          </cell>
          <cell r="H726">
            <v>158.94</v>
          </cell>
          <cell r="I726">
            <v>0.26800000000000002</v>
          </cell>
          <cell r="T726" t="str">
            <v>39 -0.54%</v>
          </cell>
          <cell r="U726" t="str">
            <v>74 2.40%</v>
          </cell>
        </row>
        <row r="727">
          <cell r="A727">
            <v>44188</v>
          </cell>
          <cell r="E727">
            <v>131.50700000000001</v>
          </cell>
          <cell r="F727">
            <v>111.744</v>
          </cell>
          <cell r="H727">
            <v>157.66</v>
          </cell>
          <cell r="I727">
            <v>0.2616</v>
          </cell>
          <cell r="T727" t="str">
            <v>35 -0.19%</v>
          </cell>
          <cell r="U727" t="str">
            <v>75 0.61%</v>
          </cell>
        </row>
        <row r="728">
          <cell r="A728">
            <v>44189</v>
          </cell>
          <cell r="E728">
            <v>129.68600000000001</v>
          </cell>
          <cell r="F728">
            <v>110.01</v>
          </cell>
          <cell r="H728">
            <v>156.53</v>
          </cell>
          <cell r="I728">
            <v>0.26840000000000003</v>
          </cell>
          <cell r="T728" t="str">
            <v>36 -0.89%</v>
          </cell>
          <cell r="U728" t="str">
            <v>71 -0.45%</v>
          </cell>
        </row>
        <row r="729">
          <cell r="A729">
            <v>44190</v>
          </cell>
          <cell r="E729">
            <v>130.11500000000001</v>
          </cell>
          <cell r="F729">
            <v>110.05</v>
          </cell>
          <cell r="H729">
            <v>156.22999999999999</v>
          </cell>
          <cell r="I729">
            <v>0.26119999999999999</v>
          </cell>
          <cell r="T729" t="str">
            <v>33 0.29%</v>
          </cell>
          <cell r="U729" t="str">
            <v>72 0.97%</v>
          </cell>
        </row>
        <row r="730">
          <cell r="A730">
            <v>44193</v>
          </cell>
          <cell r="E730">
            <v>129.99799999999999</v>
          </cell>
          <cell r="F730">
            <v>109.354</v>
          </cell>
          <cell r="H730">
            <v>157.19</v>
          </cell>
          <cell r="I730">
            <v>0.27189999999999998</v>
          </cell>
          <cell r="T730" t="str">
            <v>32 -0.65%</v>
          </cell>
          <cell r="U730" t="str">
            <v>72 0.95%</v>
          </cell>
        </row>
        <row r="731">
          <cell r="A731">
            <v>44194</v>
          </cell>
          <cell r="E731">
            <v>129.35499999999999</v>
          </cell>
          <cell r="F731">
            <v>109.81100000000001</v>
          </cell>
          <cell r="H731">
            <v>157.11000000000001</v>
          </cell>
          <cell r="I731">
            <v>0.27750000000000002</v>
          </cell>
          <cell r="T731" t="str">
            <v>31 -0.03%</v>
          </cell>
          <cell r="U731" t="str">
            <v>72 -1.52%</v>
          </cell>
        </row>
        <row r="732">
          <cell r="A732">
            <v>44195</v>
          </cell>
          <cell r="E732">
            <v>130.56299999999999</v>
          </cell>
          <cell r="F732">
            <v>110.199</v>
          </cell>
          <cell r="H732">
            <v>158.69999999999999</v>
          </cell>
          <cell r="I732">
            <v>0.28139999999999998</v>
          </cell>
          <cell r="T732" t="str">
            <v>32 0.86%</v>
          </cell>
          <cell r="U732" t="str">
            <v>76 1.54%</v>
          </cell>
        </row>
        <row r="733">
          <cell r="A733">
            <v>44196</v>
          </cell>
          <cell r="E733">
            <v>131.798</v>
          </cell>
          <cell r="F733">
            <v>111.535</v>
          </cell>
          <cell r="H733">
            <v>159.30000000000001</v>
          </cell>
          <cell r="I733">
            <v>0.27500000000000002</v>
          </cell>
          <cell r="T733" t="str">
            <v>34 0.84%</v>
          </cell>
          <cell r="U733" t="str">
            <v>77 1.00%</v>
          </cell>
        </row>
        <row r="734">
          <cell r="A734">
            <v>44200</v>
          </cell>
          <cell r="E734">
            <v>133.839</v>
          </cell>
          <cell r="F734">
            <v>112.465</v>
          </cell>
          <cell r="H734">
            <v>161.33000000000001</v>
          </cell>
          <cell r="I734">
            <v>0.27489999999999998</v>
          </cell>
          <cell r="T734" t="str">
            <v>33 1.18%</v>
          </cell>
          <cell r="U734" t="str">
            <v>83 4.37%</v>
          </cell>
        </row>
        <row r="735">
          <cell r="A735">
            <v>44201</v>
          </cell>
          <cell r="E735">
            <v>135.25800000000001</v>
          </cell>
          <cell r="F735">
            <v>112</v>
          </cell>
          <cell r="H735">
            <v>163.69999999999999</v>
          </cell>
          <cell r="I735">
            <v>0.28439999999999999</v>
          </cell>
          <cell r="T735" t="str">
            <v>33 0.51%</v>
          </cell>
          <cell r="U735" t="str">
            <v>86 2.98%</v>
          </cell>
        </row>
        <row r="736">
          <cell r="A736">
            <v>44202</v>
          </cell>
          <cell r="E736">
            <v>135.21700000000001</v>
          </cell>
          <cell r="F736">
            <v>111.605</v>
          </cell>
          <cell r="H736">
            <v>164.74</v>
          </cell>
          <cell r="I736">
            <v>0.29520000000000002</v>
          </cell>
          <cell r="T736" t="str">
            <v>32 0.13%</v>
          </cell>
          <cell r="U736" t="str">
            <v>86 -0.68%</v>
          </cell>
        </row>
        <row r="737">
          <cell r="A737">
            <v>44203</v>
          </cell>
          <cell r="E737">
            <v>133.90299999999999</v>
          </cell>
          <cell r="F737">
            <v>109.16</v>
          </cell>
          <cell r="H737">
            <v>165.63</v>
          </cell>
          <cell r="I737">
            <v>0.31730000000000003</v>
          </cell>
          <cell r="T737" t="str">
            <v>31 -0.73%</v>
          </cell>
          <cell r="U737" t="str">
            <v>82 0.75%</v>
          </cell>
        </row>
        <row r="738">
          <cell r="A738">
            <v>44204</v>
          </cell>
          <cell r="E738">
            <v>133.11600000000001</v>
          </cell>
          <cell r="F738">
            <v>109.43</v>
          </cell>
          <cell r="H738">
            <v>163.98</v>
          </cell>
          <cell r="I738">
            <v>0.30869999999999997</v>
          </cell>
          <cell r="T738" t="str">
            <v>34 -0.35%</v>
          </cell>
          <cell r="U738" t="str">
            <v>77 -1.26%</v>
          </cell>
        </row>
        <row r="739">
          <cell r="A739">
            <v>44207</v>
          </cell>
          <cell r="E739">
            <v>133.13399999999999</v>
          </cell>
          <cell r="F739">
            <v>108.405</v>
          </cell>
          <cell r="H739">
            <v>165.94</v>
          </cell>
          <cell r="I739">
            <v>0.3281</v>
          </cell>
          <cell r="T739" t="str">
            <v>34 -0.69%</v>
          </cell>
          <cell r="U739" t="str">
            <v>76 -0.35%</v>
          </cell>
        </row>
        <row r="740">
          <cell r="A740">
            <v>44208</v>
          </cell>
          <cell r="E740">
            <v>134.22</v>
          </cell>
          <cell r="F740">
            <v>108.905</v>
          </cell>
          <cell r="H740">
            <v>166.47</v>
          </cell>
          <cell r="I740">
            <v>0.32250000000000001</v>
          </cell>
          <cell r="T740" t="str">
            <v>32 1.33%</v>
          </cell>
          <cell r="U740" t="str">
            <v>77 2.22%</v>
          </cell>
        </row>
        <row r="741">
          <cell r="A741">
            <v>44209</v>
          </cell>
          <cell r="E741">
            <v>133.59100000000001</v>
          </cell>
          <cell r="F741">
            <v>107.98699999999999</v>
          </cell>
          <cell r="H741">
            <v>166.65</v>
          </cell>
          <cell r="I741">
            <v>0.3306</v>
          </cell>
          <cell r="T741" t="str">
            <v>29 -1.03%</v>
          </cell>
          <cell r="U741" t="str">
            <v>76 -0.25%</v>
          </cell>
        </row>
        <row r="742">
          <cell r="A742">
            <v>44210</v>
          </cell>
          <cell r="E742">
            <v>133.20599999999999</v>
          </cell>
          <cell r="F742">
            <v>108.634</v>
          </cell>
          <cell r="H742">
            <v>166.16</v>
          </cell>
          <cell r="I742">
            <v>0.3296</v>
          </cell>
          <cell r="T742" t="str">
            <v>34 0.19%</v>
          </cell>
          <cell r="U742" t="str">
            <v>73 -1.37%</v>
          </cell>
        </row>
        <row r="743">
          <cell r="A743">
            <v>44211</v>
          </cell>
          <cell r="E743">
            <v>133.23599999999999</v>
          </cell>
          <cell r="F743">
            <v>109.235</v>
          </cell>
          <cell r="H743">
            <v>165.04</v>
          </cell>
          <cell r="I743">
            <v>0.31809999999999999</v>
          </cell>
          <cell r="T743" t="str">
            <v>32 0.98%</v>
          </cell>
          <cell r="U743" t="str">
            <v>74 -0.03%</v>
          </cell>
        </row>
        <row r="744">
          <cell r="A744">
            <v>44214</v>
          </cell>
          <cell r="E744">
            <v>134.68899999999999</v>
          </cell>
          <cell r="F744">
            <v>110.31</v>
          </cell>
          <cell r="H744">
            <v>165.35</v>
          </cell>
          <cell r="I744">
            <v>0.30659999999999998</v>
          </cell>
          <cell r="T744" t="str">
            <v>33 0.92%</v>
          </cell>
          <cell r="U744" t="str">
            <v>79 1.44%</v>
          </cell>
        </row>
        <row r="745">
          <cell r="A745">
            <v>44215</v>
          </cell>
          <cell r="E745">
            <v>133.76900000000001</v>
          </cell>
          <cell r="F745">
            <v>110.3</v>
          </cell>
          <cell r="H745">
            <v>164.49</v>
          </cell>
          <cell r="I745">
            <v>0.30719999999999997</v>
          </cell>
          <cell r="T745" t="str">
            <v>37 0.75%</v>
          </cell>
          <cell r="U745" t="str">
            <v>78 -0.75%</v>
          </cell>
        </row>
        <row r="746">
          <cell r="A746">
            <v>44216</v>
          </cell>
          <cell r="E746">
            <v>133.72800000000001</v>
          </cell>
          <cell r="F746">
            <v>110.127</v>
          </cell>
          <cell r="H746">
            <v>164.32</v>
          </cell>
          <cell r="I746">
            <v>0.30590000000000001</v>
          </cell>
          <cell r="T746" t="str">
            <v>39 0.23%</v>
          </cell>
          <cell r="U746" t="str">
            <v>76 0.87%</v>
          </cell>
        </row>
        <row r="747">
          <cell r="A747">
            <v>44217</v>
          </cell>
          <cell r="E747">
            <v>134.703</v>
          </cell>
          <cell r="F747">
            <v>110.75</v>
          </cell>
          <cell r="H747">
            <v>164.73</v>
          </cell>
          <cell r="I747">
            <v>0.30030000000000001</v>
          </cell>
          <cell r="T747" t="str">
            <v>30 0.48%</v>
          </cell>
          <cell r="U747" t="str">
            <v>84 1.52%</v>
          </cell>
        </row>
        <row r="748">
          <cell r="A748">
            <v>44218</v>
          </cell>
          <cell r="E748">
            <v>135.53800000000001</v>
          </cell>
          <cell r="F748">
            <v>110.14</v>
          </cell>
          <cell r="H748">
            <v>166.3</v>
          </cell>
          <cell r="I748">
            <v>0.30769999999999997</v>
          </cell>
          <cell r="T748" t="str">
            <v>31 -0.36%</v>
          </cell>
          <cell r="U748" t="str">
            <v>82 1.83%</v>
          </cell>
        </row>
        <row r="749">
          <cell r="A749">
            <v>44221</v>
          </cell>
          <cell r="E749">
            <v>135.107</v>
          </cell>
          <cell r="F749">
            <v>109.075</v>
          </cell>
          <cell r="H749">
            <v>167.28</v>
          </cell>
          <cell r="I749">
            <v>0.32169999999999999</v>
          </cell>
          <cell r="T749" t="str">
            <v>28 0.19%</v>
          </cell>
          <cell r="U749" t="str">
            <v>84 0.78%</v>
          </cell>
        </row>
        <row r="750">
          <cell r="A750">
            <v>44222</v>
          </cell>
          <cell r="E750">
            <v>133.631</v>
          </cell>
          <cell r="F750">
            <v>108.1</v>
          </cell>
          <cell r="H750">
            <v>166.05</v>
          </cell>
          <cell r="I750">
            <v>0.32419999999999999</v>
          </cell>
          <cell r="T750" t="str">
            <v>29 -1.08%</v>
          </cell>
          <cell r="U750" t="str">
            <v>79 -1.07%</v>
          </cell>
        </row>
        <row r="751">
          <cell r="A751">
            <v>44223</v>
          </cell>
          <cell r="E751">
            <v>131.297</v>
          </cell>
          <cell r="F751">
            <v>107.01</v>
          </cell>
          <cell r="H751">
            <v>161.4</v>
          </cell>
          <cell r="I751">
            <v>0.30099999999999999</v>
          </cell>
          <cell r="T751" t="str">
            <v>28 -0.51%</v>
          </cell>
          <cell r="U751" t="str">
            <v>74 -3.07%</v>
          </cell>
        </row>
        <row r="752">
          <cell r="A752">
            <v>44224</v>
          </cell>
          <cell r="E752">
            <v>128.38800000000001</v>
          </cell>
          <cell r="F752">
            <v>106.32</v>
          </cell>
          <cell r="H752">
            <v>158.82</v>
          </cell>
          <cell r="I752">
            <v>0.30430000000000001</v>
          </cell>
          <cell r="T752" t="str">
            <v>27 -1.68%</v>
          </cell>
          <cell r="U752" t="str">
            <v>69 -2.72%</v>
          </cell>
        </row>
        <row r="753">
          <cell r="A753">
            <v>44225</v>
          </cell>
          <cell r="E753">
            <v>124.917</v>
          </cell>
          <cell r="F753">
            <v>104.521</v>
          </cell>
          <cell r="H753">
            <v>154.54</v>
          </cell>
          <cell r="I753">
            <v>0.29630000000000001</v>
          </cell>
          <cell r="T753" t="str">
            <v>30 -2.88%</v>
          </cell>
          <cell r="U753" t="str">
            <v>59 -3.83%</v>
          </cell>
        </row>
        <row r="754">
          <cell r="A754">
            <v>44228</v>
          </cell>
          <cell r="E754">
            <v>124.985</v>
          </cell>
          <cell r="F754">
            <v>104.04</v>
          </cell>
          <cell r="H754">
            <v>154.21</v>
          </cell>
          <cell r="I754">
            <v>0.29220000000000002</v>
          </cell>
          <cell r="T754" t="str">
            <v>28 0.98%</v>
          </cell>
          <cell r="U754" t="str">
            <v>62 1.49%</v>
          </cell>
        </row>
        <row r="755">
          <cell r="A755">
            <v>44229</v>
          </cell>
          <cell r="E755">
            <v>125.545</v>
          </cell>
          <cell r="F755">
            <v>103.995</v>
          </cell>
          <cell r="H755">
            <v>155.19999999999999</v>
          </cell>
          <cell r="I755">
            <v>0.29649999999999999</v>
          </cell>
          <cell r="T755" t="str">
            <v>30 -0.02%</v>
          </cell>
          <cell r="U755" t="str">
            <v>62 2.75%</v>
          </cell>
        </row>
        <row r="756">
          <cell r="A756">
            <v>44230</v>
          </cell>
          <cell r="E756">
            <v>124.825</v>
          </cell>
          <cell r="F756">
            <v>103</v>
          </cell>
          <cell r="H756">
            <v>155.54</v>
          </cell>
          <cell r="I756">
            <v>0.30709999999999998</v>
          </cell>
          <cell r="T756" t="str">
            <v>25 -1.09%</v>
          </cell>
          <cell r="U756" t="str">
            <v>61 -0.78%</v>
          </cell>
        </row>
        <row r="757">
          <cell r="A757">
            <v>44231</v>
          </cell>
          <cell r="E757">
            <v>122.01900000000001</v>
          </cell>
          <cell r="F757">
            <v>101.58499999999999</v>
          </cell>
          <cell r="H757">
            <v>153.15</v>
          </cell>
          <cell r="U757" t="str">
            <v>55 -2.64%</v>
          </cell>
        </row>
        <row r="758">
          <cell r="A758">
            <v>44232</v>
          </cell>
          <cell r="E758">
            <v>119.38800000000001</v>
          </cell>
          <cell r="F758">
            <v>100.69</v>
          </cell>
          <cell r="H758">
            <v>149.69</v>
          </cell>
          <cell r="U758" t="str">
            <v>54 -4.02%</v>
          </cell>
        </row>
        <row r="759">
          <cell r="A759">
            <v>44235</v>
          </cell>
          <cell r="E759">
            <v>119.95399999999999</v>
          </cell>
          <cell r="F759">
            <v>100.56</v>
          </cell>
          <cell r="H759">
            <v>150.19</v>
          </cell>
          <cell r="U759" t="str">
            <v>57 2.31%</v>
          </cell>
        </row>
        <row r="760">
          <cell r="A760">
            <v>44236</v>
          </cell>
          <cell r="E760">
            <v>122.4</v>
          </cell>
          <cell r="F760">
            <v>101.985</v>
          </cell>
          <cell r="H760">
            <v>152.34</v>
          </cell>
          <cell r="U760" t="str">
            <v>58 3.28%</v>
          </cell>
        </row>
        <row r="761">
          <cell r="A761">
            <v>44237</v>
          </cell>
          <cell r="E761">
            <v>123.08</v>
          </cell>
          <cell r="F761">
            <v>103.07</v>
          </cell>
          <cell r="H761">
            <v>153.13</v>
          </cell>
          <cell r="U761" t="str">
            <v>59 0.20%</v>
          </cell>
        </row>
        <row r="762">
          <cell r="A762">
            <v>44245</v>
          </cell>
          <cell r="E762">
            <v>123.848</v>
          </cell>
          <cell r="F762">
            <v>104.517</v>
          </cell>
          <cell r="H762">
            <v>152.5</v>
          </cell>
          <cell r="U762" t="str">
            <v>59 1.84%</v>
          </cell>
        </row>
        <row r="763">
          <cell r="A763">
            <v>44246</v>
          </cell>
          <cell r="E763">
            <v>125.422</v>
          </cell>
          <cell r="F763">
            <v>106.10299999999999</v>
          </cell>
          <cell r="H763">
            <v>152.19999999999999</v>
          </cell>
          <cell r="U763" t="str">
            <v>64 -0.09%</v>
          </cell>
        </row>
        <row r="764">
          <cell r="A764">
            <v>44249</v>
          </cell>
          <cell r="E764">
            <v>126.736</v>
          </cell>
          <cell r="F764">
            <v>106.77</v>
          </cell>
          <cell r="H764">
            <v>153.35</v>
          </cell>
          <cell r="U764" t="str">
            <v>66 1.02%</v>
          </cell>
        </row>
        <row r="765">
          <cell r="A765">
            <v>44250</v>
          </cell>
          <cell r="E765">
            <v>125.336</v>
          </cell>
          <cell r="F765">
            <v>106.63500000000001</v>
          </cell>
          <cell r="H765">
            <v>152.22999999999999</v>
          </cell>
          <cell r="U765" t="str">
            <v>61 -1.03%</v>
          </cell>
        </row>
        <row r="766">
          <cell r="A766">
            <v>44251</v>
          </cell>
          <cell r="E766">
            <v>123.274</v>
          </cell>
          <cell r="F766">
            <v>106.32</v>
          </cell>
          <cell r="H766">
            <v>149.38999999999999</v>
          </cell>
          <cell r="U766" t="str">
            <v>55 -1.91%</v>
          </cell>
        </row>
        <row r="767">
          <cell r="A767">
            <v>44252</v>
          </cell>
          <cell r="E767">
            <v>122.511</v>
          </cell>
          <cell r="F767">
            <v>105.5</v>
          </cell>
          <cell r="H767">
            <v>149.11000000000001</v>
          </cell>
          <cell r="U767" t="str">
            <v>51 -1.43%</v>
          </cell>
        </row>
        <row r="768">
          <cell r="A768">
            <v>44253</v>
          </cell>
          <cell r="E768">
            <v>122.215</v>
          </cell>
          <cell r="F768">
            <v>105.371</v>
          </cell>
          <cell r="H768">
            <v>149</v>
          </cell>
          <cell r="U768" t="str">
            <v>49 -1.57%</v>
          </cell>
        </row>
        <row r="769">
          <cell r="A769">
            <v>44256</v>
          </cell>
          <cell r="E769">
            <v>124.13500000000001</v>
          </cell>
          <cell r="F769">
            <v>106.24</v>
          </cell>
          <cell r="H769">
            <v>149.59</v>
          </cell>
          <cell r="U769" t="str">
            <v>54 2.41%</v>
          </cell>
        </row>
        <row r="770">
          <cell r="A770">
            <v>44257</v>
          </cell>
          <cell r="E770">
            <v>124.242</v>
          </cell>
          <cell r="F770">
            <v>105.39400000000001</v>
          </cell>
          <cell r="H770">
            <v>150.27000000000001</v>
          </cell>
          <cell r="U770" t="str">
            <v>52 0.83%</v>
          </cell>
        </row>
        <row r="771">
          <cell r="A771">
            <v>44258</v>
          </cell>
          <cell r="E771">
            <v>125.372</v>
          </cell>
          <cell r="F771">
            <v>106.5</v>
          </cell>
          <cell r="H771">
            <v>150.94999999999999</v>
          </cell>
          <cell r="U771" t="str">
            <v>57 1.24%</v>
          </cell>
        </row>
        <row r="772">
          <cell r="A772">
            <v>44259</v>
          </cell>
          <cell r="E772">
            <v>123.77200000000001</v>
          </cell>
          <cell r="F772">
            <v>105.955</v>
          </cell>
          <cell r="H772">
            <v>149.71</v>
          </cell>
          <cell r="U772" t="str">
            <v>53 -1.98%</v>
          </cell>
        </row>
        <row r="773">
          <cell r="A773">
            <v>44260</v>
          </cell>
          <cell r="E773">
            <v>123.92700000000001</v>
          </cell>
          <cell r="F773">
            <v>106.33</v>
          </cell>
          <cell r="H773">
            <v>149.26</v>
          </cell>
          <cell r="U773" t="str">
            <v>54 0.43%</v>
          </cell>
        </row>
        <row r="774">
          <cell r="A774">
            <v>44263</v>
          </cell>
          <cell r="E774">
            <v>122.488</v>
          </cell>
          <cell r="F774">
            <v>106.02800000000001</v>
          </cell>
          <cell r="H774">
            <v>148.75</v>
          </cell>
          <cell r="U774" t="str">
            <v>44 -1.91%</v>
          </cell>
        </row>
        <row r="775">
          <cell r="A775">
            <v>44264</v>
          </cell>
          <cell r="E775">
            <v>122.01900000000001</v>
          </cell>
          <cell r="F775">
            <v>105.322</v>
          </cell>
          <cell r="H775">
            <v>150.91</v>
          </cell>
          <cell r="U775" t="str">
            <v>41 1.35%</v>
          </cell>
        </row>
        <row r="776">
          <cell r="A776">
            <v>44265</v>
          </cell>
          <cell r="E776">
            <v>123.755</v>
          </cell>
          <cell r="F776">
            <v>105.88</v>
          </cell>
          <cell r="H776">
            <v>155.72</v>
          </cell>
          <cell r="U776" t="str">
            <v>49 4.55%</v>
          </cell>
        </row>
        <row r="777">
          <cell r="A777">
            <v>44266</v>
          </cell>
          <cell r="E777">
            <v>124.113</v>
          </cell>
          <cell r="F777">
            <v>106.557</v>
          </cell>
          <cell r="H777">
            <v>154.07</v>
          </cell>
          <cell r="U777" t="str">
            <v>53 1.54%</v>
          </cell>
        </row>
        <row r="778">
          <cell r="A778">
            <v>44267</v>
          </cell>
          <cell r="E778">
            <v>124.36499999999999</v>
          </cell>
          <cell r="F778">
            <v>107</v>
          </cell>
          <cell r="H778">
            <v>154.59</v>
          </cell>
          <cell r="U778" t="str">
            <v>51 0.33%</v>
          </cell>
        </row>
        <row r="779">
          <cell r="A779">
            <v>44270</v>
          </cell>
          <cell r="E779">
            <v>123.983</v>
          </cell>
          <cell r="F779">
            <v>107.425</v>
          </cell>
          <cell r="H779">
            <v>155.03</v>
          </cell>
          <cell r="U779" t="str">
            <v>48 0.25%</v>
          </cell>
        </row>
        <row r="780">
          <cell r="A780">
            <v>44271</v>
          </cell>
          <cell r="E780">
            <v>122.663</v>
          </cell>
          <cell r="F780">
            <v>107.76300000000001</v>
          </cell>
          <cell r="H780">
            <v>152.01</v>
          </cell>
          <cell r="U780" t="str">
            <v>47 -0.09%</v>
          </cell>
        </row>
        <row r="781">
          <cell r="A781">
            <v>44272</v>
          </cell>
          <cell r="E781">
            <v>123.03</v>
          </cell>
          <cell r="F781">
            <v>107.71</v>
          </cell>
          <cell r="H781">
            <v>152.05000000000001</v>
          </cell>
          <cell r="U781" t="str">
            <v>50 0.74%</v>
          </cell>
        </row>
        <row r="782">
          <cell r="A782">
            <v>44273</v>
          </cell>
          <cell r="E782">
            <v>122.78</v>
          </cell>
          <cell r="F782">
            <v>107.43</v>
          </cell>
          <cell r="H782">
            <v>151.79</v>
          </cell>
          <cell r="U782" t="str">
            <v>51 -0.17%</v>
          </cell>
        </row>
        <row r="783">
          <cell r="A783">
            <v>44274</v>
          </cell>
          <cell r="E783">
            <v>122.904</v>
          </cell>
          <cell r="F783">
            <v>107.5</v>
          </cell>
          <cell r="H783">
            <v>152.71</v>
          </cell>
          <cell r="U783" t="str">
            <v>49 -1.35%</v>
          </cell>
        </row>
        <row r="784">
          <cell r="A784">
            <v>44277</v>
          </cell>
          <cell r="E784">
            <v>123.836</v>
          </cell>
          <cell r="F784">
            <v>108.44</v>
          </cell>
          <cell r="H784">
            <v>152.66</v>
          </cell>
          <cell r="U784" t="str">
            <v>52 1.13%</v>
          </cell>
        </row>
        <row r="785">
          <cell r="A785">
            <v>44278</v>
          </cell>
          <cell r="E785">
            <v>122.997</v>
          </cell>
          <cell r="F785">
            <v>107.63</v>
          </cell>
          <cell r="H785">
            <v>152.77000000000001</v>
          </cell>
          <cell r="U785" t="str">
            <v>50 -0.10%</v>
          </cell>
        </row>
        <row r="786">
          <cell r="A786">
            <v>44279</v>
          </cell>
          <cell r="E786">
            <v>121.262</v>
          </cell>
          <cell r="F786">
            <v>107.01</v>
          </cell>
          <cell r="H786">
            <v>151.02000000000001</v>
          </cell>
          <cell r="U786" t="str">
            <v>44 -2.89%</v>
          </cell>
        </row>
        <row r="787">
          <cell r="A787">
            <v>44280</v>
          </cell>
          <cell r="E787">
            <v>120.572</v>
          </cell>
          <cell r="F787">
            <v>106.655</v>
          </cell>
          <cell r="H787">
            <v>150.31</v>
          </cell>
          <cell r="U787" t="str">
            <v>43 -0.18%</v>
          </cell>
        </row>
        <row r="788">
          <cell r="A788">
            <v>44281</v>
          </cell>
          <cell r="E788">
            <v>121.608</v>
          </cell>
          <cell r="F788">
            <v>107.05</v>
          </cell>
          <cell r="H788">
            <v>150.41999999999999</v>
          </cell>
          <cell r="U788" t="str">
            <v>50 2.02%</v>
          </cell>
        </row>
        <row r="789">
          <cell r="A789">
            <v>44284</v>
          </cell>
          <cell r="E789">
            <v>122.155</v>
          </cell>
          <cell r="F789">
            <v>107.02500000000001</v>
          </cell>
          <cell r="H789">
            <v>151.36000000000001</v>
          </cell>
          <cell r="U789" t="str">
            <v>51 1.42%</v>
          </cell>
        </row>
        <row r="790">
          <cell r="A790">
            <v>44285</v>
          </cell>
          <cell r="E790">
            <v>121.724</v>
          </cell>
          <cell r="F790">
            <v>106.502</v>
          </cell>
          <cell r="H790">
            <v>151.74</v>
          </cell>
          <cell r="U790" t="str">
            <v>49 0.17%</v>
          </cell>
        </row>
        <row r="791">
          <cell r="A791">
            <v>44286</v>
          </cell>
          <cell r="E791">
            <v>121.4</v>
          </cell>
          <cell r="F791">
            <v>106.77</v>
          </cell>
          <cell r="H791">
            <v>150.74</v>
          </cell>
          <cell r="U791" t="str">
            <v>48 -0.08%</v>
          </cell>
        </row>
        <row r="792">
          <cell r="A792">
            <v>44287</v>
          </cell>
          <cell r="E792">
            <v>121.676</v>
          </cell>
          <cell r="F792">
            <v>107.47499999999999</v>
          </cell>
          <cell r="H792">
            <v>150.66</v>
          </cell>
          <cell r="U792" t="str">
            <v>47 -0.32%</v>
          </cell>
        </row>
        <row r="793">
          <cell r="A793">
            <v>44288</v>
          </cell>
          <cell r="E793">
            <v>121.774</v>
          </cell>
          <cell r="F793">
            <v>107</v>
          </cell>
          <cell r="H793">
            <v>150.74</v>
          </cell>
          <cell r="U793" t="str">
            <v>49 0.52%</v>
          </cell>
        </row>
        <row r="794">
          <cell r="A794">
            <v>44292</v>
          </cell>
          <cell r="E794">
            <v>122.175</v>
          </cell>
          <cell r="F794">
            <v>107.75</v>
          </cell>
          <cell r="H794">
            <v>150.21</v>
          </cell>
          <cell r="U794" t="str">
            <v>49 0.50%</v>
          </cell>
        </row>
        <row r="795">
          <cell r="A795">
            <v>44293</v>
          </cell>
          <cell r="E795">
            <v>122.246</v>
          </cell>
          <cell r="F795">
            <v>108.02</v>
          </cell>
          <cell r="H795">
            <v>149.84</v>
          </cell>
          <cell r="U795" t="str">
            <v>50 -0.07%</v>
          </cell>
        </row>
        <row r="796">
          <cell r="A796">
            <v>44294</v>
          </cell>
          <cell r="E796">
            <v>122.527</v>
          </cell>
          <cell r="F796">
            <v>107.851</v>
          </cell>
          <cell r="H796">
            <v>151.28</v>
          </cell>
          <cell r="U796" t="str">
            <v>49 0.56%</v>
          </cell>
        </row>
        <row r="797">
          <cell r="A797">
            <v>44295</v>
          </cell>
          <cell r="E797">
            <v>122.512</v>
          </cell>
          <cell r="F797">
            <v>107.82</v>
          </cell>
          <cell r="H797">
            <v>151.13999999999999</v>
          </cell>
          <cell r="U797" t="str">
            <v>47 -0.78%</v>
          </cell>
        </row>
        <row r="798">
          <cell r="A798">
            <v>44298</v>
          </cell>
          <cell r="E798">
            <v>120.63500000000001</v>
          </cell>
          <cell r="F798">
            <v>107.206</v>
          </cell>
          <cell r="H798">
            <v>149.94</v>
          </cell>
          <cell r="U798" t="str">
            <v>40 -2.58%</v>
          </cell>
        </row>
        <row r="799">
          <cell r="A799">
            <v>44299</v>
          </cell>
          <cell r="E799">
            <v>120.58799999999999</v>
          </cell>
          <cell r="F799">
            <v>106.858</v>
          </cell>
          <cell r="H799">
            <v>150.66</v>
          </cell>
          <cell r="U799" t="str">
            <v>39 1.51%</v>
          </cell>
        </row>
        <row r="800">
          <cell r="A800">
            <v>44300</v>
          </cell>
          <cell r="E800">
            <v>121.008</v>
          </cell>
          <cell r="F800">
            <v>107.035</v>
          </cell>
          <cell r="H800">
            <v>149.94</v>
          </cell>
          <cell r="U800" t="str">
            <v>40 1.03%</v>
          </cell>
        </row>
        <row r="801">
          <cell r="A801">
            <v>44301</v>
          </cell>
          <cell r="E801">
            <v>120.867</v>
          </cell>
          <cell r="F801">
            <v>107.125</v>
          </cell>
          <cell r="H801">
            <v>149.96</v>
          </cell>
          <cell r="U801" t="str">
            <v>40 -0.66%</v>
          </cell>
        </row>
        <row r="802">
          <cell r="A802">
            <v>44302</v>
          </cell>
          <cell r="E802">
            <v>121.21899999999999</v>
          </cell>
          <cell r="F802">
            <v>107.45</v>
          </cell>
          <cell r="H802">
            <v>148.86000000000001</v>
          </cell>
          <cell r="U802" t="str">
            <v>41 0.32%</v>
          </cell>
        </row>
        <row r="803">
          <cell r="A803">
            <v>44305</v>
          </cell>
          <cell r="E803">
            <v>123.05500000000001</v>
          </cell>
          <cell r="F803">
            <v>108.413</v>
          </cell>
          <cell r="H803">
            <v>150.19999999999999</v>
          </cell>
          <cell r="U803" t="str">
            <v>51 4.28%</v>
          </cell>
        </row>
        <row r="804">
          <cell r="A804">
            <v>44306</v>
          </cell>
          <cell r="E804">
            <v>123.367</v>
          </cell>
          <cell r="F804">
            <v>108.607</v>
          </cell>
          <cell r="H804">
            <v>151.09</v>
          </cell>
          <cell r="U804" t="str">
            <v>52 0.27%</v>
          </cell>
        </row>
        <row r="805">
          <cell r="A805">
            <v>44307</v>
          </cell>
          <cell r="E805">
            <v>123.274</v>
          </cell>
          <cell r="F805">
            <v>108.51</v>
          </cell>
          <cell r="H805">
            <v>151.06</v>
          </cell>
          <cell r="U805" t="str">
            <v>48 -0.31%</v>
          </cell>
        </row>
        <row r="806">
          <cell r="A806">
            <v>44308</v>
          </cell>
          <cell r="E806">
            <v>123.3</v>
          </cell>
          <cell r="F806">
            <v>108.49</v>
          </cell>
          <cell r="H806">
            <v>150.69999999999999</v>
          </cell>
          <cell r="U806" t="str">
            <v>47 0.23%</v>
          </cell>
        </row>
        <row r="807">
          <cell r="A807">
            <v>44309</v>
          </cell>
          <cell r="E807">
            <v>123.642</v>
          </cell>
          <cell r="F807">
            <v>108.199</v>
          </cell>
          <cell r="H807">
            <v>151.51</v>
          </cell>
          <cell r="U807" t="str">
            <v>48 0.59%</v>
          </cell>
        </row>
        <row r="808">
          <cell r="A808">
            <v>44312</v>
          </cell>
          <cell r="E808">
            <v>123.611</v>
          </cell>
          <cell r="F808">
            <v>108.238</v>
          </cell>
          <cell r="H808">
            <v>151.61000000000001</v>
          </cell>
          <cell r="U808" t="str">
            <v>50 0.20%</v>
          </cell>
        </row>
        <row r="809">
          <cell r="A809">
            <v>44313</v>
          </cell>
          <cell r="E809">
            <v>123.083</v>
          </cell>
          <cell r="F809">
            <v>107.86499999999999</v>
          </cell>
          <cell r="H809">
            <v>151.41</v>
          </cell>
          <cell r="U809" t="str">
            <v>46 0.87%</v>
          </cell>
        </row>
        <row r="810">
          <cell r="A810">
            <v>44314</v>
          </cell>
          <cell r="E810">
            <v>123.126</v>
          </cell>
          <cell r="F810">
            <v>108.05</v>
          </cell>
          <cell r="H810">
            <v>151.37</v>
          </cell>
          <cell r="U810" t="str">
            <v>50 1.17%</v>
          </cell>
        </row>
        <row r="811">
          <cell r="A811">
            <v>44315</v>
          </cell>
          <cell r="E811">
            <v>123.318</v>
          </cell>
          <cell r="F811">
            <v>107.655</v>
          </cell>
          <cell r="H811">
            <v>151.86000000000001</v>
          </cell>
          <cell r="U811" t="str">
            <v>52 0.66%</v>
          </cell>
        </row>
        <row r="812">
          <cell r="A812">
            <v>44316</v>
          </cell>
          <cell r="E812">
            <v>123.223</v>
          </cell>
          <cell r="F812">
            <v>107.896</v>
          </cell>
          <cell r="H812">
            <v>152.51</v>
          </cell>
          <cell r="U812" t="str">
            <v>50 0.90%</v>
          </cell>
        </row>
        <row r="813">
          <cell r="A813">
            <v>44322</v>
          </cell>
          <cell r="E813">
            <v>123.876</v>
          </cell>
          <cell r="F813">
            <v>108.131</v>
          </cell>
          <cell r="H813">
            <v>153.62</v>
          </cell>
          <cell r="U813" t="str">
            <v>54 2.71%</v>
          </cell>
        </row>
        <row r="814">
          <cell r="A814">
            <v>44323</v>
          </cell>
          <cell r="E814">
            <v>123.461</v>
          </cell>
          <cell r="F814">
            <v>107.759</v>
          </cell>
          <cell r="H814">
            <v>154.32</v>
          </cell>
          <cell r="U814" t="str">
            <v>52 0.39%</v>
          </cell>
        </row>
        <row r="815">
          <cell r="A815">
            <v>44326</v>
          </cell>
          <cell r="E815">
            <v>125.667</v>
          </cell>
          <cell r="F815">
            <v>108.18899999999999</v>
          </cell>
          <cell r="H815">
            <v>158.57</v>
          </cell>
          <cell r="U815" t="str">
            <v>63 6.07%</v>
          </cell>
        </row>
        <row r="816">
          <cell r="A816">
            <v>44327</v>
          </cell>
          <cell r="E816">
            <v>125.97</v>
          </cell>
          <cell r="F816">
            <v>109.44199999999999</v>
          </cell>
          <cell r="H816">
            <v>159.5</v>
          </cell>
          <cell r="U816" t="str">
            <v>66 0.23%</v>
          </cell>
        </row>
        <row r="817">
          <cell r="A817">
            <v>44328</v>
          </cell>
          <cell r="E817">
            <v>126.319</v>
          </cell>
          <cell r="F817">
            <v>109.34</v>
          </cell>
          <cell r="H817">
            <v>158.72999999999999</v>
          </cell>
          <cell r="U817" t="str">
            <v>66 0.86%</v>
          </cell>
        </row>
        <row r="818">
          <cell r="A818">
            <v>44329</v>
          </cell>
          <cell r="E818">
            <v>125.506</v>
          </cell>
          <cell r="F818">
            <v>109.3</v>
          </cell>
          <cell r="H818">
            <v>158.13999999999999</v>
          </cell>
          <cell r="U818" t="str">
            <v>57 -1.11%</v>
          </cell>
        </row>
        <row r="819">
          <cell r="A819">
            <v>44330</v>
          </cell>
          <cell r="E819">
            <v>125.913</v>
          </cell>
          <cell r="F819">
            <v>109.328</v>
          </cell>
          <cell r="H819">
            <v>157.19</v>
          </cell>
          <cell r="U819" t="str">
            <v>59 0.36%</v>
          </cell>
        </row>
        <row r="820">
          <cell r="A820">
            <v>44333</v>
          </cell>
          <cell r="E820">
            <v>125.69499999999999</v>
          </cell>
          <cell r="F820">
            <v>109.289</v>
          </cell>
          <cell r="H820">
            <v>157.69999999999999</v>
          </cell>
          <cell r="U820" t="str">
            <v>59 0.58%</v>
          </cell>
        </row>
        <row r="821">
          <cell r="A821">
            <v>44334</v>
          </cell>
          <cell r="E821">
            <v>126.19</v>
          </cell>
          <cell r="F821">
            <v>109.595</v>
          </cell>
          <cell r="H821">
            <v>158.59</v>
          </cell>
          <cell r="U821" t="str">
            <v>61 1.69%</v>
          </cell>
        </row>
        <row r="822">
          <cell r="A822">
            <v>44335</v>
          </cell>
          <cell r="E822">
            <v>126.367</v>
          </cell>
          <cell r="F822">
            <v>109.66</v>
          </cell>
          <cell r="H822">
            <v>159.02000000000001</v>
          </cell>
          <cell r="U822" t="str">
            <v>65 0.89%</v>
          </cell>
        </row>
        <row r="823">
          <cell r="A823">
            <v>44336</v>
          </cell>
          <cell r="E823">
            <v>125.70699999999999</v>
          </cell>
          <cell r="F823">
            <v>109.88</v>
          </cell>
          <cell r="H823">
            <v>158.08000000000001</v>
          </cell>
          <cell r="U823" t="str">
            <v>61 -1.79%</v>
          </cell>
        </row>
        <row r="824">
          <cell r="A824">
            <v>44337</v>
          </cell>
          <cell r="E824">
            <v>125.94499999999999</v>
          </cell>
          <cell r="F824">
            <v>109.86</v>
          </cell>
          <cell r="H824">
            <v>158.62</v>
          </cell>
          <cell r="U824" t="str">
            <v>61 1.02%</v>
          </cell>
        </row>
        <row r="825">
          <cell r="A825">
            <v>44340</v>
          </cell>
          <cell r="E825">
            <v>126.373</v>
          </cell>
          <cell r="F825">
            <v>110.33199999999999</v>
          </cell>
          <cell r="H825">
            <v>158.62</v>
          </cell>
          <cell r="U825" t="str">
            <v>62 0.82%</v>
          </cell>
        </row>
        <row r="826">
          <cell r="A826">
            <v>44341</v>
          </cell>
          <cell r="E826">
            <v>126.693</v>
          </cell>
          <cell r="F826">
            <v>110.79</v>
          </cell>
          <cell r="H826">
            <v>158.29</v>
          </cell>
          <cell r="U826" t="str">
            <v>63 0.46%</v>
          </cell>
        </row>
        <row r="827">
          <cell r="A827">
            <v>44342</v>
          </cell>
          <cell r="E827">
            <v>127.408</v>
          </cell>
          <cell r="F827">
            <v>111.3</v>
          </cell>
          <cell r="H827">
            <v>158.65</v>
          </cell>
          <cell r="U827" t="str">
            <v>66 0.78%</v>
          </cell>
        </row>
        <row r="828">
          <cell r="A828">
            <v>44343</v>
          </cell>
          <cell r="E828">
            <v>128.08199999999999</v>
          </cell>
          <cell r="F828">
            <v>111.721</v>
          </cell>
          <cell r="H828">
            <v>159.1</v>
          </cell>
          <cell r="U828" t="str">
            <v>72 0.89%</v>
          </cell>
        </row>
        <row r="829">
          <cell r="A829">
            <v>44344</v>
          </cell>
          <cell r="E829">
            <v>127.85899999999999</v>
          </cell>
          <cell r="F829">
            <v>111.11</v>
          </cell>
          <cell r="H829">
            <v>159.08000000000001</v>
          </cell>
          <cell r="U829" t="str">
            <v>69 0.21%</v>
          </cell>
        </row>
        <row r="830">
          <cell r="A830">
            <v>44347</v>
          </cell>
          <cell r="E830">
            <v>128.78</v>
          </cell>
          <cell r="F830">
            <v>111.7</v>
          </cell>
          <cell r="H830">
            <v>159.16999999999999</v>
          </cell>
          <cell r="U830" t="str">
            <v>72 1.67%</v>
          </cell>
        </row>
        <row r="831">
          <cell r="A831">
            <v>44348</v>
          </cell>
          <cell r="E831">
            <v>128.98400000000001</v>
          </cell>
          <cell r="F831">
            <v>111.586</v>
          </cell>
          <cell r="H831">
            <v>158.78</v>
          </cell>
          <cell r="U831" t="str">
            <v>72 0.53%</v>
          </cell>
        </row>
        <row r="832">
          <cell r="A832">
            <v>44349</v>
          </cell>
          <cell r="E832">
            <v>127.465</v>
          </cell>
          <cell r="F832">
            <v>112.071</v>
          </cell>
          <cell r="H832">
            <v>157.66</v>
          </cell>
          <cell r="U832" t="str">
            <v>72 -1.10%</v>
          </cell>
        </row>
        <row r="833">
          <cell r="A833">
            <v>44350</v>
          </cell>
          <cell r="E833">
            <v>127.318</v>
          </cell>
          <cell r="F833">
            <v>112.48</v>
          </cell>
          <cell r="H833">
            <v>157.75</v>
          </cell>
          <cell r="U833" t="str">
            <v>69 -0.42%</v>
          </cell>
        </row>
        <row r="834">
          <cell r="A834">
            <v>44351</v>
          </cell>
          <cell r="E834">
            <v>127.27</v>
          </cell>
          <cell r="F834">
            <v>112.49</v>
          </cell>
          <cell r="H834">
            <v>157.22999999999999</v>
          </cell>
          <cell r="U834" t="str">
            <v>74 -0.17%</v>
          </cell>
        </row>
        <row r="835">
          <cell r="A835">
            <v>44354</v>
          </cell>
          <cell r="E835">
            <v>127.402</v>
          </cell>
          <cell r="F835">
            <v>112.13</v>
          </cell>
          <cell r="H835">
            <v>156.55000000000001</v>
          </cell>
          <cell r="U835" t="str">
            <v>75 0.51%</v>
          </cell>
        </row>
        <row r="836">
          <cell r="A836">
            <v>44355</v>
          </cell>
          <cell r="E836">
            <v>126.99</v>
          </cell>
          <cell r="F836">
            <v>112.5</v>
          </cell>
          <cell r="H836">
            <v>156.13999999999999</v>
          </cell>
          <cell r="U836" t="str">
            <v>71 -0.24%</v>
          </cell>
        </row>
        <row r="837">
          <cell r="A837">
            <v>44356</v>
          </cell>
          <cell r="E837">
            <v>126.849</v>
          </cell>
          <cell r="F837">
            <v>112.61</v>
          </cell>
          <cell r="H837">
            <v>155.41999999999999</v>
          </cell>
          <cell r="U837" t="str">
            <v>73 -0.34%</v>
          </cell>
        </row>
        <row r="838">
          <cell r="A838">
            <v>44357</v>
          </cell>
          <cell r="E838">
            <v>127.40300000000001</v>
          </cell>
          <cell r="F838">
            <v>112.771</v>
          </cell>
          <cell r="H838">
            <v>155.72999999999999</v>
          </cell>
          <cell r="U838" t="str">
            <v>74 1.58%</v>
          </cell>
        </row>
        <row r="839">
          <cell r="A839">
            <v>44358</v>
          </cell>
          <cell r="E839">
            <v>127.39700000000001</v>
          </cell>
          <cell r="F839">
            <v>113.032</v>
          </cell>
          <cell r="H839">
            <v>156.59</v>
          </cell>
          <cell r="U839" t="str">
            <v>71 0.20%</v>
          </cell>
        </row>
        <row r="840">
          <cell r="A840">
            <v>44362</v>
          </cell>
          <cell r="E840">
            <v>126.455</v>
          </cell>
          <cell r="F840">
            <v>111.902</v>
          </cell>
          <cell r="H840">
            <v>155.94</v>
          </cell>
          <cell r="U840" t="str">
            <v>72 -0.70%</v>
          </cell>
        </row>
        <row r="841">
          <cell r="A841">
            <v>44363</v>
          </cell>
          <cell r="E841">
            <v>124.35</v>
          </cell>
          <cell r="F841">
            <v>111.6</v>
          </cell>
          <cell r="H841">
            <v>154.13999999999999</v>
          </cell>
          <cell r="U841" t="str">
            <v>67 -2.47%</v>
          </cell>
        </row>
        <row r="842">
          <cell r="A842">
            <v>44364</v>
          </cell>
          <cell r="E842">
            <v>124.27800000000001</v>
          </cell>
          <cell r="F842">
            <v>110.79</v>
          </cell>
          <cell r="H842">
            <v>153.31</v>
          </cell>
          <cell r="U842" t="str">
            <v>69 0.29%</v>
          </cell>
        </row>
        <row r="843">
          <cell r="A843">
            <v>44365</v>
          </cell>
          <cell r="E843">
            <v>124.962</v>
          </cell>
          <cell r="F843">
            <v>110.77500000000001</v>
          </cell>
          <cell r="H843">
            <v>153.28</v>
          </cell>
          <cell r="U843" t="str">
            <v>69 1.00%</v>
          </cell>
        </row>
        <row r="844">
          <cell r="A844">
            <v>44368</v>
          </cell>
          <cell r="E844">
            <v>126.087</v>
          </cell>
          <cell r="F844">
            <v>111.38</v>
          </cell>
          <cell r="H844">
            <v>154.06</v>
          </cell>
          <cell r="U844" t="str">
            <v>74 2.11%</v>
          </cell>
        </row>
        <row r="845">
          <cell r="A845">
            <v>44369</v>
          </cell>
          <cell r="E845">
            <v>126.935</v>
          </cell>
          <cell r="F845">
            <v>112.81</v>
          </cell>
          <cell r="H845">
            <v>154.75</v>
          </cell>
          <cell r="U845" t="str">
            <v>75 1.12%</v>
          </cell>
        </row>
        <row r="846">
          <cell r="A846">
            <v>44370</v>
          </cell>
          <cell r="E846">
            <v>128.369</v>
          </cell>
          <cell r="F846">
            <v>113.078</v>
          </cell>
          <cell r="H846">
            <v>156.01</v>
          </cell>
          <cell r="U846" t="str">
            <v>78 1.81%</v>
          </cell>
        </row>
        <row r="847">
          <cell r="A847">
            <v>44371</v>
          </cell>
          <cell r="E847">
            <v>128.559</v>
          </cell>
          <cell r="F847">
            <v>112.771</v>
          </cell>
          <cell r="H847">
            <v>156.47</v>
          </cell>
          <cell r="U847" t="str">
            <v>79 -0.01%</v>
          </cell>
        </row>
        <row r="848">
          <cell r="A848">
            <v>44372</v>
          </cell>
          <cell r="E848">
            <v>128.85900000000001</v>
          </cell>
          <cell r="F848">
            <v>112.825</v>
          </cell>
          <cell r="H848">
            <v>156.97999999999999</v>
          </cell>
          <cell r="U848" t="str">
            <v>83 0.46%</v>
          </cell>
        </row>
        <row r="849">
          <cell r="A849">
            <v>44375</v>
          </cell>
          <cell r="E849">
            <v>129.80000000000001</v>
          </cell>
          <cell r="F849">
            <v>112.795</v>
          </cell>
          <cell r="H849">
            <v>157.31</v>
          </cell>
          <cell r="U849" t="str">
            <v>84 1.69%</v>
          </cell>
        </row>
        <row r="850">
          <cell r="A850">
            <v>44376</v>
          </cell>
          <cell r="E850">
            <v>125.72499999999999</v>
          </cell>
          <cell r="F850">
            <v>112.1</v>
          </cell>
          <cell r="H850">
            <v>153.65</v>
          </cell>
          <cell r="U850" t="str">
            <v>83 -0.08%</v>
          </cell>
        </row>
        <row r="851">
          <cell r="A851">
            <v>44377</v>
          </cell>
          <cell r="E851">
            <v>125.98</v>
          </cell>
          <cell r="F851">
            <v>112.41</v>
          </cell>
          <cell r="H851">
            <v>153.13</v>
          </cell>
          <cell r="U851" t="str">
            <v>85 0.64%</v>
          </cell>
        </row>
        <row r="852">
          <cell r="A852">
            <v>44378</v>
          </cell>
          <cell r="E852">
            <v>125.449</v>
          </cell>
          <cell r="F852">
            <v>112.419</v>
          </cell>
          <cell r="H852">
            <v>153.88</v>
          </cell>
          <cell r="U852" t="str">
            <v>84 -0.40%</v>
          </cell>
        </row>
        <row r="853">
          <cell r="A853">
            <v>44379</v>
          </cell>
          <cell r="E853">
            <v>124.877</v>
          </cell>
          <cell r="F853">
            <v>112.026</v>
          </cell>
          <cell r="H853">
            <v>153.47999999999999</v>
          </cell>
          <cell r="U853" t="str">
            <v>82 -0.10%</v>
          </cell>
        </row>
        <row r="854">
          <cell r="A854">
            <v>44382</v>
          </cell>
          <cell r="E854">
            <v>125.78100000000001</v>
          </cell>
          <cell r="F854">
            <v>111.976</v>
          </cell>
          <cell r="H854">
            <v>153.51</v>
          </cell>
          <cell r="U854" t="str">
            <v>82 1.48%</v>
          </cell>
        </row>
        <row r="855">
          <cell r="A855">
            <v>44383</v>
          </cell>
          <cell r="E855">
            <v>125.752</v>
          </cell>
          <cell r="F855">
            <v>112.3</v>
          </cell>
          <cell r="H855">
            <v>153.36000000000001</v>
          </cell>
          <cell r="U855" t="str">
            <v>82 0.06%</v>
          </cell>
        </row>
        <row r="856">
          <cell r="A856">
            <v>44384</v>
          </cell>
          <cell r="E856">
            <v>127.41800000000001</v>
          </cell>
          <cell r="F856">
            <v>113.578</v>
          </cell>
          <cell r="H856">
            <v>154.97999999999999</v>
          </cell>
          <cell r="U856" t="str">
            <v>91 2.61%</v>
          </cell>
        </row>
        <row r="857">
          <cell r="A857">
            <v>44385</v>
          </cell>
          <cell r="E857">
            <v>127.92100000000001</v>
          </cell>
          <cell r="F857">
            <v>113.17</v>
          </cell>
          <cell r="H857">
            <v>156.47</v>
          </cell>
          <cell r="U857" t="str">
            <v>93 0.78%</v>
          </cell>
        </row>
        <row r="858">
          <cell r="A858">
            <v>44386</v>
          </cell>
          <cell r="E858">
            <v>128.905</v>
          </cell>
          <cell r="F858">
            <v>114.27800000000001</v>
          </cell>
          <cell r="H858">
            <v>157.19</v>
          </cell>
          <cell r="U858" t="str">
            <v>96 1.15%</v>
          </cell>
        </row>
        <row r="859">
          <cell r="A859">
            <v>44389</v>
          </cell>
          <cell r="E859">
            <v>130.749</v>
          </cell>
          <cell r="F859">
            <v>114.87</v>
          </cell>
          <cell r="H859">
            <v>159.22</v>
          </cell>
          <cell r="U859" t="str">
            <v>97 2.70%</v>
          </cell>
        </row>
        <row r="860">
          <cell r="A860">
            <v>44390</v>
          </cell>
          <cell r="E860">
            <v>132.07</v>
          </cell>
          <cell r="F860">
            <v>115.639</v>
          </cell>
          <cell r="H860">
            <v>160.72</v>
          </cell>
          <cell r="U860" t="str">
            <v>100 1.91%</v>
          </cell>
        </row>
        <row r="861">
          <cell r="A861">
            <v>44391</v>
          </cell>
          <cell r="E861">
            <v>132.28200000000001</v>
          </cell>
          <cell r="F861">
            <v>115.95</v>
          </cell>
          <cell r="H861">
            <v>162.77000000000001</v>
          </cell>
          <cell r="U861" t="str">
            <v>105 0.62%</v>
          </cell>
        </row>
        <row r="862">
          <cell r="A862">
            <v>44392</v>
          </cell>
          <cell r="E862">
            <v>131.41399999999999</v>
          </cell>
          <cell r="F862">
            <v>115.411</v>
          </cell>
          <cell r="H862">
            <v>161.54</v>
          </cell>
          <cell r="U862" t="str">
            <v>101 -0.48%</v>
          </cell>
        </row>
        <row r="863">
          <cell r="A863">
            <v>44393</v>
          </cell>
          <cell r="E863">
            <v>131.38399999999999</v>
          </cell>
          <cell r="F863">
            <v>115.735</v>
          </cell>
          <cell r="H863">
            <v>162.05000000000001</v>
          </cell>
          <cell r="U863" t="str">
            <v>102 -0.06%</v>
          </cell>
        </row>
        <row r="864">
          <cell r="A864">
            <v>44396</v>
          </cell>
          <cell r="E864">
            <v>131.03700000000001</v>
          </cell>
          <cell r="F864">
            <v>115.23699999999999</v>
          </cell>
          <cell r="H864">
            <v>161.99</v>
          </cell>
          <cell r="U864" t="str">
            <v>101 -0.56%</v>
          </cell>
        </row>
        <row r="865">
          <cell r="A865">
            <v>44397</v>
          </cell>
          <cell r="E865">
            <v>131.101</v>
          </cell>
          <cell r="F865">
            <v>115.375</v>
          </cell>
          <cell r="H865">
            <v>161.59</v>
          </cell>
          <cell r="U865" t="str">
            <v>102 0.23%</v>
          </cell>
        </row>
        <row r="866">
          <cell r="A866">
            <v>44398</v>
          </cell>
          <cell r="E866">
            <v>133.52199999999999</v>
          </cell>
          <cell r="F866">
            <v>116.45</v>
          </cell>
          <cell r="H866">
            <v>163.87</v>
          </cell>
          <cell r="U866" t="str">
            <v>108 3.51%</v>
          </cell>
        </row>
        <row r="867">
          <cell r="A867">
            <v>44399</v>
          </cell>
          <cell r="E867">
            <v>134.69</v>
          </cell>
          <cell r="F867">
            <v>116.899</v>
          </cell>
          <cell r="H867">
            <v>165.11</v>
          </cell>
          <cell r="U867" t="str">
            <v>112 1.67%</v>
          </cell>
        </row>
        <row r="868">
          <cell r="A868">
            <v>44400</v>
          </cell>
          <cell r="E868">
            <v>134.25299999999999</v>
          </cell>
          <cell r="F868">
            <v>117.215</v>
          </cell>
          <cell r="H868">
            <v>165.91</v>
          </cell>
          <cell r="U868" t="str">
            <v>112 -0.19%</v>
          </cell>
        </row>
        <row r="869">
          <cell r="A869">
            <v>44403</v>
          </cell>
          <cell r="E869">
            <v>133.375</v>
          </cell>
          <cell r="F869">
            <v>116.08</v>
          </cell>
          <cell r="H869">
            <v>166.3</v>
          </cell>
          <cell r="U869" t="str">
            <v>108 -0.09%</v>
          </cell>
        </row>
        <row r="870">
          <cell r="A870">
            <v>44404</v>
          </cell>
          <cell r="E870">
            <v>131.42400000000001</v>
          </cell>
          <cell r="F870">
            <v>114.7</v>
          </cell>
          <cell r="H870">
            <v>165.44</v>
          </cell>
          <cell r="U870" t="str">
            <v>104 -2.17%</v>
          </cell>
        </row>
        <row r="871">
          <cell r="A871">
            <v>44405</v>
          </cell>
          <cell r="E871">
            <v>129.67599999999999</v>
          </cell>
          <cell r="F871">
            <v>113.446</v>
          </cell>
          <cell r="H871">
            <v>165.17</v>
          </cell>
          <cell r="U871" t="str">
            <v>95 -1.69%</v>
          </cell>
        </row>
        <row r="872">
          <cell r="A872">
            <v>44406</v>
          </cell>
          <cell r="E872">
            <v>132.82</v>
          </cell>
          <cell r="F872">
            <v>114.59</v>
          </cell>
          <cell r="H872">
            <v>167.68</v>
          </cell>
          <cell r="U872" t="str">
            <v>102 4.57%</v>
          </cell>
        </row>
        <row r="873">
          <cell r="A873">
            <v>44407</v>
          </cell>
          <cell r="E873">
            <v>133.78200000000001</v>
          </cell>
          <cell r="F873">
            <v>114.82</v>
          </cell>
          <cell r="H873">
            <v>168.11</v>
          </cell>
          <cell r="U873" t="str">
            <v>109 1.02%</v>
          </cell>
        </row>
        <row r="874">
          <cell r="A874">
            <v>44410</v>
          </cell>
          <cell r="E874">
            <v>135.56100000000001</v>
          </cell>
          <cell r="F874">
            <v>116.7</v>
          </cell>
          <cell r="H874">
            <v>168.81</v>
          </cell>
          <cell r="U874" t="str">
            <v>118 2.01%</v>
          </cell>
        </row>
        <row r="875">
          <cell r="A875">
            <v>44411</v>
          </cell>
          <cell r="E875">
            <v>134.22800000000001</v>
          </cell>
          <cell r="F875">
            <v>116.45</v>
          </cell>
          <cell r="H875">
            <v>167.64</v>
          </cell>
          <cell r="U875" t="str">
            <v>109 -1.81%</v>
          </cell>
        </row>
        <row r="876">
          <cell r="A876">
            <v>44412</v>
          </cell>
          <cell r="E876">
            <v>136.65700000000001</v>
          </cell>
          <cell r="F876">
            <v>117.616</v>
          </cell>
          <cell r="H876">
            <v>170.23</v>
          </cell>
          <cell r="U876" t="str">
            <v>118 3.14%</v>
          </cell>
        </row>
        <row r="877">
          <cell r="A877">
            <v>44413</v>
          </cell>
          <cell r="E877">
            <v>136.23400000000001</v>
          </cell>
          <cell r="F877">
            <v>118</v>
          </cell>
          <cell r="H877">
            <v>170.87</v>
          </cell>
          <cell r="U877" t="str">
            <v>115 -0.60%</v>
          </cell>
        </row>
        <row r="878">
          <cell r="A878">
            <v>44414</v>
          </cell>
          <cell r="E878">
            <v>136.77799999999999</v>
          </cell>
          <cell r="F878">
            <v>118.125</v>
          </cell>
          <cell r="H878">
            <v>171.75</v>
          </cell>
          <cell r="U878" t="str">
            <v>119 0.78%</v>
          </cell>
        </row>
        <row r="879">
          <cell r="A879">
            <v>44417</v>
          </cell>
          <cell r="E879">
            <v>136.636</v>
          </cell>
          <cell r="F879">
            <v>118.666</v>
          </cell>
          <cell r="H879">
            <v>170.54</v>
          </cell>
          <cell r="U879" t="str">
            <v>120 -0.53%</v>
          </cell>
        </row>
        <row r="880">
          <cell r="A880">
            <v>44418</v>
          </cell>
          <cell r="E880">
            <v>137.042</v>
          </cell>
          <cell r="F880">
            <v>119.24299999999999</v>
          </cell>
          <cell r="H880">
            <v>170.07</v>
          </cell>
        </row>
        <row r="881">
          <cell r="A881">
            <v>44419</v>
          </cell>
          <cell r="E881">
            <v>138.20500000000001</v>
          </cell>
          <cell r="F881">
            <v>119.35</v>
          </cell>
          <cell r="H881">
            <v>170.88</v>
          </cell>
        </row>
        <row r="882">
          <cell r="A882">
            <v>44420</v>
          </cell>
          <cell r="E882">
            <v>138.99199999999999</v>
          </cell>
          <cell r="F882">
            <v>119.53100000000001</v>
          </cell>
          <cell r="H882">
            <v>171.68</v>
          </cell>
        </row>
        <row r="883">
          <cell r="A883">
            <v>44421</v>
          </cell>
          <cell r="E883">
            <v>139.08500000000001</v>
          </cell>
          <cell r="F883">
            <v>119.3</v>
          </cell>
          <cell r="H883">
            <v>172.18</v>
          </cell>
        </row>
        <row r="884">
          <cell r="A884">
            <v>44424</v>
          </cell>
          <cell r="E884">
            <v>138.494</v>
          </cell>
          <cell r="F884">
            <v>119.37</v>
          </cell>
          <cell r="H884">
            <v>171.72</v>
          </cell>
        </row>
        <row r="885">
          <cell r="A885">
            <v>44425</v>
          </cell>
          <cell r="E885">
            <v>135.947</v>
          </cell>
          <cell r="F885">
            <v>118.455</v>
          </cell>
          <cell r="H885">
            <v>170.15</v>
          </cell>
        </row>
        <row r="886">
          <cell r="A886">
            <v>44426</v>
          </cell>
          <cell r="E886">
            <v>135.80199999999999</v>
          </cell>
          <cell r="F886">
            <v>118.68</v>
          </cell>
          <cell r="H886">
            <v>169.41</v>
          </cell>
        </row>
        <row r="887">
          <cell r="A887">
            <v>44427</v>
          </cell>
          <cell r="E887">
            <v>136.17099999999999</v>
          </cell>
          <cell r="F887">
            <v>118.221</v>
          </cell>
          <cell r="H887">
            <v>170.36</v>
          </cell>
        </row>
        <row r="888">
          <cell r="A888">
            <v>44428</v>
          </cell>
          <cell r="E888">
            <v>135.774</v>
          </cell>
          <cell r="F888">
            <v>117.258</v>
          </cell>
          <cell r="H888">
            <v>170.17</v>
          </cell>
        </row>
        <row r="889">
          <cell r="A889">
            <v>44431</v>
          </cell>
          <cell r="E889">
            <v>138.196</v>
          </cell>
          <cell r="F889">
            <v>118.83</v>
          </cell>
          <cell r="H889">
            <v>171.42</v>
          </cell>
        </row>
        <row r="890">
          <cell r="A890">
            <v>44432</v>
          </cell>
          <cell r="E890">
            <v>139.251</v>
          </cell>
          <cell r="F890">
            <v>119.67400000000001</v>
          </cell>
          <cell r="H890">
            <v>172.51</v>
          </cell>
        </row>
        <row r="891">
          <cell r="A891">
            <v>44433</v>
          </cell>
          <cell r="E891">
            <v>140.429</v>
          </cell>
          <cell r="F891">
            <v>120.39700000000001</v>
          </cell>
          <cell r="H891">
            <v>173.76</v>
          </cell>
        </row>
        <row r="892">
          <cell r="A892">
            <v>44434</v>
          </cell>
          <cell r="E892">
            <v>140.185</v>
          </cell>
          <cell r="F892">
            <v>120.05</v>
          </cell>
          <cell r="H892">
            <v>174.26</v>
          </cell>
        </row>
        <row r="893">
          <cell r="A893">
            <v>44435</v>
          </cell>
          <cell r="E893">
            <v>140.547</v>
          </cell>
          <cell r="F893">
            <v>119.18</v>
          </cell>
          <cell r="H893">
            <v>174.87</v>
          </cell>
        </row>
        <row r="894">
          <cell r="A894">
            <v>44438</v>
          </cell>
          <cell r="E894">
            <v>141.79599999999999</v>
          </cell>
          <cell r="F894">
            <v>119.9</v>
          </cell>
          <cell r="H894">
            <v>176.68</v>
          </cell>
        </row>
        <row r="895">
          <cell r="A895">
            <v>44439</v>
          </cell>
          <cell r="E895">
            <v>141.56700000000001</v>
          </cell>
          <cell r="F895">
            <v>120.131</v>
          </cell>
          <cell r="H895">
            <v>176.39</v>
          </cell>
        </row>
        <row r="896">
          <cell r="A896">
            <v>44440</v>
          </cell>
          <cell r="E896">
            <v>140.56899999999999</v>
          </cell>
          <cell r="F896">
            <v>120.3</v>
          </cell>
          <cell r="H896">
            <v>175.5</v>
          </cell>
        </row>
        <row r="897">
          <cell r="A897">
            <v>44441</v>
          </cell>
          <cell r="E897">
            <v>142.9</v>
          </cell>
          <cell r="F897">
            <v>121.31</v>
          </cell>
          <cell r="H897">
            <v>178.02</v>
          </cell>
        </row>
        <row r="898">
          <cell r="A898">
            <v>44442</v>
          </cell>
          <cell r="E898">
            <v>142.48699999999999</v>
          </cell>
          <cell r="F898">
            <v>121.997</v>
          </cell>
          <cell r="H898">
            <v>177.17</v>
          </cell>
        </row>
        <row r="899">
          <cell r="A899">
            <v>44445</v>
          </cell>
          <cell r="E899">
            <v>143.47800000000001</v>
          </cell>
          <cell r="F899">
            <v>122.79</v>
          </cell>
          <cell r="H899">
            <v>177.38</v>
          </cell>
        </row>
        <row r="900">
          <cell r="A900">
            <v>44446</v>
          </cell>
          <cell r="E900">
            <v>145.096</v>
          </cell>
          <cell r="F900">
            <v>123.99</v>
          </cell>
          <cell r="H900">
            <v>178.78</v>
          </cell>
        </row>
        <row r="901">
          <cell r="A901">
            <v>44447</v>
          </cell>
          <cell r="E901">
            <v>145.398</v>
          </cell>
          <cell r="F901">
            <v>124.27</v>
          </cell>
          <cell r="H901">
            <v>178.79</v>
          </cell>
        </row>
        <row r="902">
          <cell r="A902">
            <v>44448</v>
          </cell>
          <cell r="E902">
            <v>144.81</v>
          </cell>
          <cell r="F902">
            <v>124.20099999999999</v>
          </cell>
          <cell r="H902">
            <v>178.43</v>
          </cell>
        </row>
        <row r="903">
          <cell r="A903">
            <v>44449</v>
          </cell>
          <cell r="E903">
            <v>144.49600000000001</v>
          </cell>
          <cell r="F903">
            <v>123.29600000000001</v>
          </cell>
          <cell r="H903">
            <v>178.37</v>
          </cell>
        </row>
        <row r="904">
          <cell r="A904">
            <v>44452</v>
          </cell>
          <cell r="E904">
            <v>145.17099999999999</v>
          </cell>
          <cell r="F904">
            <v>123.8</v>
          </cell>
          <cell r="H904">
            <v>178.67</v>
          </cell>
        </row>
        <row r="905">
          <cell r="A905">
            <v>44453</v>
          </cell>
          <cell r="E905">
            <v>144.87100000000001</v>
          </cell>
          <cell r="F905">
            <v>122.65</v>
          </cell>
          <cell r="H905">
            <v>179.23</v>
          </cell>
        </row>
        <row r="906">
          <cell r="A906">
            <v>44454</v>
          </cell>
          <cell r="E906">
            <v>144.935</v>
          </cell>
          <cell r="F906">
            <v>121.99299999999999</v>
          </cell>
          <cell r="H906">
            <v>178.23</v>
          </cell>
        </row>
        <row r="907">
          <cell r="A907">
            <v>44455</v>
          </cell>
          <cell r="E907">
            <v>141.298</v>
          </cell>
          <cell r="F907">
            <v>120.47</v>
          </cell>
          <cell r="H907">
            <v>174.22</v>
          </cell>
        </row>
        <row r="908">
          <cell r="A908">
            <v>44456</v>
          </cell>
          <cell r="E908">
            <v>140.30699999999999</v>
          </cell>
          <cell r="F908">
            <v>120.05</v>
          </cell>
          <cell r="H908">
            <v>172.76</v>
          </cell>
        </row>
        <row r="909">
          <cell r="A909">
            <v>44461</v>
          </cell>
          <cell r="E909">
            <v>140.79400000000001</v>
          </cell>
          <cell r="F909">
            <v>120.5</v>
          </cell>
          <cell r="H909">
            <v>173.46</v>
          </cell>
        </row>
        <row r="910">
          <cell r="A910">
            <v>44462</v>
          </cell>
          <cell r="E910">
            <v>141.345</v>
          </cell>
          <cell r="F910">
            <v>121.38</v>
          </cell>
          <cell r="H910">
            <v>173.67</v>
          </cell>
        </row>
        <row r="911">
          <cell r="A911">
            <v>44463</v>
          </cell>
          <cell r="E911">
            <v>139.96600000000001</v>
          </cell>
          <cell r="F911">
            <v>120.89</v>
          </cell>
          <cell r="H911">
            <v>173.75</v>
          </cell>
        </row>
        <row r="912">
          <cell r="A912">
            <v>44466</v>
          </cell>
          <cell r="E912">
            <v>136.22200000000001</v>
          </cell>
          <cell r="F912">
            <v>118.87</v>
          </cell>
          <cell r="H912">
            <v>170.99</v>
          </cell>
        </row>
        <row r="913">
          <cell r="A913">
            <v>44467</v>
          </cell>
          <cell r="E913">
            <v>136.511</v>
          </cell>
          <cell r="F913">
            <v>119.30800000000001</v>
          </cell>
          <cell r="H913">
            <v>171.12</v>
          </cell>
        </row>
        <row r="914">
          <cell r="A914">
            <v>44468</v>
          </cell>
          <cell r="E914">
            <v>133.51900000000001</v>
          </cell>
          <cell r="F914">
            <v>117.04</v>
          </cell>
          <cell r="H914">
            <v>169.7</v>
          </cell>
        </row>
        <row r="915">
          <cell r="A915">
            <v>44469</v>
          </cell>
          <cell r="E915">
            <v>136.03200000000001</v>
          </cell>
          <cell r="F915">
            <v>118.85</v>
          </cell>
          <cell r="H915">
            <v>171.19</v>
          </cell>
        </row>
        <row r="916">
          <cell r="A916">
            <v>44477</v>
          </cell>
          <cell r="E916">
            <v>136.232</v>
          </cell>
          <cell r="F916">
            <v>119.545</v>
          </cell>
          <cell r="H916">
            <v>169.82</v>
          </cell>
        </row>
        <row r="917">
          <cell r="A917">
            <v>44480</v>
          </cell>
          <cell r="E917">
            <v>136.017</v>
          </cell>
          <cell r="F917">
            <v>119.7</v>
          </cell>
          <cell r="H917">
            <v>169.32</v>
          </cell>
        </row>
        <row r="918">
          <cell r="A918">
            <v>44481</v>
          </cell>
          <cell r="E918">
            <v>133.34100000000001</v>
          </cell>
          <cell r="F918">
            <v>117.96</v>
          </cell>
          <cell r="H918">
            <v>166.93</v>
          </cell>
        </row>
        <row r="919">
          <cell r="A919">
            <v>44482</v>
          </cell>
          <cell r="E919">
            <v>133.304</v>
          </cell>
          <cell r="F919">
            <v>117.72</v>
          </cell>
          <cell r="H919">
            <v>166.3</v>
          </cell>
        </row>
        <row r="920">
          <cell r="A920">
            <v>44483</v>
          </cell>
          <cell r="E920">
            <v>134.34200000000001</v>
          </cell>
          <cell r="F920">
            <v>117.66</v>
          </cell>
          <cell r="H920">
            <v>167.31</v>
          </cell>
        </row>
        <row r="921">
          <cell r="A921">
            <v>44484</v>
          </cell>
          <cell r="E921">
            <v>134.88999999999999</v>
          </cell>
          <cell r="F921">
            <v>117.989</v>
          </cell>
          <cell r="H921">
            <v>169.31</v>
          </cell>
        </row>
        <row r="922">
          <cell r="A922">
            <v>44487</v>
          </cell>
          <cell r="E922">
            <v>136.298</v>
          </cell>
          <cell r="F922">
            <v>118.014</v>
          </cell>
          <cell r="H922">
            <v>170.31</v>
          </cell>
        </row>
        <row r="923">
          <cell r="A923">
            <v>44488</v>
          </cell>
          <cell r="E923">
            <v>137.57900000000001</v>
          </cell>
          <cell r="F923">
            <v>118.84</v>
          </cell>
          <cell r="H923">
            <v>171.69</v>
          </cell>
        </row>
        <row r="924">
          <cell r="A924">
            <v>44489</v>
          </cell>
          <cell r="E924">
            <v>138.24600000000001</v>
          </cell>
          <cell r="F924">
            <v>119.051</v>
          </cell>
          <cell r="H924">
            <v>173.02</v>
          </cell>
        </row>
        <row r="925">
          <cell r="A925">
            <v>44490</v>
          </cell>
          <cell r="E925">
            <v>137.89400000000001</v>
          </cell>
          <cell r="F925">
            <v>118.809</v>
          </cell>
          <cell r="H925">
            <v>173.76</v>
          </cell>
        </row>
        <row r="926">
          <cell r="A926">
            <v>44491</v>
          </cell>
          <cell r="E926">
            <v>136.91499999999999</v>
          </cell>
          <cell r="F926">
            <v>118.994</v>
          </cell>
          <cell r="H926">
            <v>172.98</v>
          </cell>
        </row>
        <row r="927">
          <cell r="A927">
            <v>44494</v>
          </cell>
          <cell r="E927">
            <v>138.18799999999999</v>
          </cell>
          <cell r="F927">
            <v>119.23</v>
          </cell>
          <cell r="H927">
            <v>174.02</v>
          </cell>
        </row>
        <row r="928">
          <cell r="A928">
            <v>44495</v>
          </cell>
          <cell r="E928">
            <v>138.64699999999999</v>
          </cell>
          <cell r="F928">
            <v>119.85</v>
          </cell>
          <cell r="H928">
            <v>175.2</v>
          </cell>
        </row>
        <row r="929">
          <cell r="A929">
            <v>44496</v>
          </cell>
          <cell r="E929">
            <v>138.31100000000001</v>
          </cell>
          <cell r="F929">
            <v>118.8</v>
          </cell>
          <cell r="H929">
            <v>176.4</v>
          </cell>
        </row>
        <row r="930">
          <cell r="A930">
            <v>44497</v>
          </cell>
          <cell r="E930">
            <v>136.673</v>
          </cell>
          <cell r="F930">
            <v>118.26900000000001</v>
          </cell>
          <cell r="H930">
            <v>176.35</v>
          </cell>
        </row>
        <row r="931">
          <cell r="A931">
            <v>44498</v>
          </cell>
          <cell r="E931">
            <v>137.565</v>
          </cell>
          <cell r="F931">
            <v>118.17</v>
          </cell>
          <cell r="H931">
            <v>175.64</v>
          </cell>
        </row>
        <row r="932">
          <cell r="A932">
            <v>44501</v>
          </cell>
          <cell r="E932">
            <v>139.25299999999999</v>
          </cell>
          <cell r="F932">
            <v>119.6</v>
          </cell>
          <cell r="H932">
            <v>176.65</v>
          </cell>
        </row>
        <row r="933">
          <cell r="A933">
            <v>44502</v>
          </cell>
          <cell r="E933">
            <v>138.42599999999999</v>
          </cell>
          <cell r="F933">
            <v>118.875</v>
          </cell>
          <cell r="H933">
            <v>177.24</v>
          </cell>
        </row>
        <row r="934">
          <cell r="A934">
            <v>44503</v>
          </cell>
          <cell r="E934">
            <v>138.62700000000001</v>
          </cell>
          <cell r="F934">
            <v>119.295</v>
          </cell>
          <cell r="H934">
            <v>176.65</v>
          </cell>
        </row>
        <row r="935">
          <cell r="A935">
            <v>44504</v>
          </cell>
          <cell r="E935">
            <v>140.79400000000001</v>
          </cell>
          <cell r="F935">
            <v>120.98699999999999</v>
          </cell>
          <cell r="H935">
            <v>178.65</v>
          </cell>
        </row>
        <row r="936">
          <cell r="A936">
            <v>44505</v>
          </cell>
          <cell r="E936">
            <v>139.864</v>
          </cell>
          <cell r="F936">
            <v>120.85899999999999</v>
          </cell>
          <cell r="H936">
            <v>178.14</v>
          </cell>
        </row>
        <row r="937">
          <cell r="A937">
            <v>44508</v>
          </cell>
          <cell r="E937">
            <v>140.738</v>
          </cell>
          <cell r="F937">
            <v>121.39</v>
          </cell>
          <cell r="H937">
            <v>179.34</v>
          </cell>
        </row>
        <row r="938">
          <cell r="A938">
            <v>44509</v>
          </cell>
          <cell r="E938">
            <v>142.126</v>
          </cell>
          <cell r="F938">
            <v>122.098</v>
          </cell>
          <cell r="H938">
            <v>180.6</v>
          </cell>
        </row>
        <row r="939">
          <cell r="A939">
            <v>44510</v>
          </cell>
          <cell r="E939">
            <v>142.482</v>
          </cell>
          <cell r="F939">
            <v>122.245</v>
          </cell>
          <cell r="H939">
            <v>180.54</v>
          </cell>
        </row>
        <row r="940">
          <cell r="A940">
            <v>44511</v>
          </cell>
          <cell r="E940">
            <v>143.851</v>
          </cell>
          <cell r="F940">
            <v>123.87</v>
          </cell>
          <cell r="H940">
            <v>181.9</v>
          </cell>
        </row>
        <row r="941">
          <cell r="A941">
            <v>44512</v>
          </cell>
          <cell r="E941">
            <v>145.285</v>
          </cell>
          <cell r="F941">
            <v>124.374</v>
          </cell>
          <cell r="H941">
            <v>182.88</v>
          </cell>
        </row>
        <row r="942">
          <cell r="A942">
            <v>44515</v>
          </cell>
          <cell r="E942">
            <v>145.72999999999999</v>
          </cell>
          <cell r="F942">
            <v>125.075</v>
          </cell>
          <cell r="H942">
            <v>182.89</v>
          </cell>
        </row>
        <row r="943">
          <cell r="A943">
            <v>44516</v>
          </cell>
          <cell r="E943">
            <v>144.46899999999999</v>
          </cell>
          <cell r="F943">
            <v>124.399</v>
          </cell>
          <cell r="H943">
            <v>181.54</v>
          </cell>
        </row>
        <row r="944">
          <cell r="A944">
            <v>44517</v>
          </cell>
          <cell r="E944">
            <v>145.85</v>
          </cell>
          <cell r="F944">
            <v>124.443</v>
          </cell>
          <cell r="H944">
            <v>182.1</v>
          </cell>
        </row>
        <row r="945">
          <cell r="A945">
            <v>44518</v>
          </cell>
          <cell r="E945">
            <v>145.87899999999999</v>
          </cell>
          <cell r="F945">
            <v>124.524</v>
          </cell>
          <cell r="H945">
            <v>182.74</v>
          </cell>
        </row>
        <row r="946">
          <cell r="A946">
            <v>44519</v>
          </cell>
          <cell r="E946">
            <v>147.16900000000001</v>
          </cell>
          <cell r="F946">
            <v>125.169</v>
          </cell>
          <cell r="H946">
            <v>183.79</v>
          </cell>
        </row>
        <row r="947">
          <cell r="A947">
            <v>44522</v>
          </cell>
          <cell r="E947">
            <v>149.422</v>
          </cell>
          <cell r="F947">
            <v>125.499</v>
          </cell>
          <cell r="H947">
            <v>186.36</v>
          </cell>
        </row>
        <row r="948">
          <cell r="A948">
            <v>44523</v>
          </cell>
          <cell r="E948">
            <v>149.41800000000001</v>
          </cell>
          <cell r="F948">
            <v>125.664</v>
          </cell>
          <cell r="H948">
            <v>186.27</v>
          </cell>
        </row>
        <row r="949">
          <cell r="A949">
            <v>44524</v>
          </cell>
          <cell r="E949">
            <v>149.524</v>
          </cell>
          <cell r="F949">
            <v>126.2</v>
          </cell>
          <cell r="H949">
            <v>186.54</v>
          </cell>
        </row>
        <row r="950">
          <cell r="A950">
            <v>44525</v>
          </cell>
          <cell r="E950">
            <v>148.893</v>
          </cell>
          <cell r="F950">
            <v>126.38</v>
          </cell>
          <cell r="H950">
            <v>185.85</v>
          </cell>
        </row>
        <row r="951">
          <cell r="A951">
            <v>44526</v>
          </cell>
          <cell r="E951">
            <v>149.393</v>
          </cell>
          <cell r="F951">
            <v>126.52</v>
          </cell>
          <cell r="H951">
            <v>186.69</v>
          </cell>
        </row>
        <row r="952">
          <cell r="A952">
            <v>44529</v>
          </cell>
          <cell r="E952">
            <v>150.72800000000001</v>
          </cell>
          <cell r="F952">
            <v>126.80500000000001</v>
          </cell>
          <cell r="H952">
            <v>188.69</v>
          </cell>
        </row>
        <row r="953">
          <cell r="A953">
            <v>44530</v>
          </cell>
          <cell r="E953">
            <v>150.72900000000001</v>
          </cell>
          <cell r="F953">
            <v>127.452</v>
          </cell>
          <cell r="H953">
            <v>188.33</v>
          </cell>
        </row>
        <row r="954">
          <cell r="A954">
            <v>44531</v>
          </cell>
          <cell r="E954">
            <v>151.72800000000001</v>
          </cell>
          <cell r="F954">
            <v>128.124</v>
          </cell>
          <cell r="H954">
            <v>188.64</v>
          </cell>
        </row>
        <row r="955">
          <cell r="A955">
            <v>44532</v>
          </cell>
          <cell r="E955">
            <v>151.69999999999999</v>
          </cell>
          <cell r="F955">
            <v>126.949</v>
          </cell>
          <cell r="H955">
            <v>189.81</v>
          </cell>
        </row>
        <row r="956">
          <cell r="A956">
            <v>44533</v>
          </cell>
          <cell r="E956">
            <v>152.232</v>
          </cell>
          <cell r="F956">
            <v>127.8</v>
          </cell>
          <cell r="H956">
            <v>190.09</v>
          </cell>
        </row>
        <row r="957">
          <cell r="A957">
            <v>44536</v>
          </cell>
          <cell r="E957">
            <v>149.643</v>
          </cell>
          <cell r="F957">
            <v>126</v>
          </cell>
          <cell r="H957">
            <v>187.65</v>
          </cell>
        </row>
        <row r="958">
          <cell r="A958">
            <v>44537</v>
          </cell>
          <cell r="E958">
            <v>145.191</v>
          </cell>
          <cell r="F958">
            <v>122.98</v>
          </cell>
          <cell r="H958">
            <v>181</v>
          </cell>
        </row>
        <row r="959">
          <cell r="A959">
            <v>44538</v>
          </cell>
          <cell r="E959">
            <v>147.114</v>
          </cell>
          <cell r="F959">
            <v>124.3</v>
          </cell>
          <cell r="H959">
            <v>182.51</v>
          </cell>
        </row>
        <row r="960">
          <cell r="A960">
            <v>44539</v>
          </cell>
          <cell r="E960">
            <v>147.99700000000001</v>
          </cell>
          <cell r="F960">
            <v>126.142</v>
          </cell>
          <cell r="H960">
            <v>183.76</v>
          </cell>
        </row>
        <row r="961">
          <cell r="A961">
            <v>44540</v>
          </cell>
          <cell r="E961">
            <v>149.01900000000001</v>
          </cell>
          <cell r="F961">
            <v>126.755</v>
          </cell>
          <cell r="H961">
            <v>185.04</v>
          </cell>
        </row>
        <row r="962">
          <cell r="A962">
            <v>44543</v>
          </cell>
          <cell r="E962">
            <v>149.453</v>
          </cell>
          <cell r="F962">
            <v>127.14</v>
          </cell>
          <cell r="H962">
            <v>185.41</v>
          </cell>
        </row>
        <row r="963">
          <cell r="A963">
            <v>44544</v>
          </cell>
          <cell r="E963">
            <v>148.636</v>
          </cell>
          <cell r="F963">
            <v>127</v>
          </cell>
          <cell r="H963">
            <v>183.72</v>
          </cell>
        </row>
        <row r="964">
          <cell r="A964">
            <v>44545</v>
          </cell>
          <cell r="E964">
            <v>148.64599999999999</v>
          </cell>
          <cell r="F964">
            <v>126.495</v>
          </cell>
          <cell r="H964">
            <v>184.03</v>
          </cell>
        </row>
        <row r="965">
          <cell r="A965">
            <v>44546</v>
          </cell>
          <cell r="E965">
            <v>149.18100000000001</v>
          </cell>
          <cell r="F965">
            <v>127.399</v>
          </cell>
          <cell r="H965">
            <v>184.09</v>
          </cell>
        </row>
        <row r="966">
          <cell r="A966">
            <v>44547</v>
          </cell>
          <cell r="E966">
            <v>148.642</v>
          </cell>
          <cell r="F966">
            <v>127.41</v>
          </cell>
          <cell r="H966">
            <v>184.39</v>
          </cell>
        </row>
        <row r="967">
          <cell r="A967">
            <v>44550</v>
          </cell>
          <cell r="E967">
            <v>147.16999999999999</v>
          </cell>
          <cell r="F967">
            <v>126.14</v>
          </cell>
          <cell r="H967">
            <v>183.37</v>
          </cell>
        </row>
        <row r="968">
          <cell r="A968">
            <v>44551</v>
          </cell>
          <cell r="E968">
            <v>148.32</v>
          </cell>
          <cell r="F968">
            <v>127.15</v>
          </cell>
          <cell r="H968">
            <v>183.43</v>
          </cell>
        </row>
        <row r="969">
          <cell r="A969">
            <v>44552</v>
          </cell>
          <cell r="E969">
            <v>149.363</v>
          </cell>
          <cell r="F969">
            <v>127.85</v>
          </cell>
          <cell r="H969">
            <v>184.3</v>
          </cell>
        </row>
        <row r="970">
          <cell r="A970">
            <v>44553</v>
          </cell>
          <cell r="E970">
            <v>150.44300000000001</v>
          </cell>
          <cell r="F970">
            <v>127.669</v>
          </cell>
          <cell r="H970">
            <v>185.99</v>
          </cell>
        </row>
        <row r="971">
          <cell r="A971">
            <v>44554</v>
          </cell>
          <cell r="E971">
            <v>148.863</v>
          </cell>
          <cell r="F971">
            <v>127.65</v>
          </cell>
          <cell r="H971">
            <v>185.79</v>
          </cell>
        </row>
        <row r="972">
          <cell r="A972">
            <v>44557</v>
          </cell>
          <cell r="E972">
            <v>148.21799999999999</v>
          </cell>
          <cell r="F972">
            <v>127.59</v>
          </cell>
          <cell r="H972">
            <v>184.27</v>
          </cell>
        </row>
        <row r="973">
          <cell r="A973">
            <v>44558</v>
          </cell>
          <cell r="E973">
            <v>148.47900000000001</v>
          </cell>
          <cell r="F973">
            <v>128.07</v>
          </cell>
          <cell r="H973">
            <v>183.98</v>
          </cell>
        </row>
        <row r="974">
          <cell r="A974">
            <v>44559</v>
          </cell>
          <cell r="E974">
            <v>148.03200000000001</v>
          </cell>
          <cell r="F974">
            <v>127.508</v>
          </cell>
          <cell r="H974">
            <v>183.58</v>
          </cell>
        </row>
        <row r="975">
          <cell r="A975">
            <v>44560</v>
          </cell>
          <cell r="E975">
            <v>148.53899999999999</v>
          </cell>
          <cell r="F975">
            <v>127.91</v>
          </cell>
          <cell r="H975">
            <v>183.37</v>
          </cell>
        </row>
        <row r="976">
          <cell r="A976">
            <v>44561</v>
          </cell>
          <cell r="E976">
            <v>150.155</v>
          </cell>
          <cell r="F976">
            <v>128.61500000000001</v>
          </cell>
          <cell r="H976">
            <v>185.04</v>
          </cell>
        </row>
        <row r="977">
          <cell r="A977">
            <v>44565</v>
          </cell>
          <cell r="E977">
            <v>151.029</v>
          </cell>
          <cell r="F977">
            <v>130.261</v>
          </cell>
          <cell r="H977">
            <v>185.28</v>
          </cell>
        </row>
        <row r="978">
          <cell r="A978">
            <v>44566</v>
          </cell>
          <cell r="E978">
            <v>148.994</v>
          </cell>
          <cell r="F978">
            <v>130.184</v>
          </cell>
          <cell r="H978">
            <v>184.13</v>
          </cell>
        </row>
        <row r="979">
          <cell r="A979">
            <v>44567</v>
          </cell>
          <cell r="E979">
            <v>149.62700000000001</v>
          </cell>
          <cell r="F979">
            <v>130.85</v>
          </cell>
          <cell r="H979">
            <v>184.3</v>
          </cell>
        </row>
        <row r="980">
          <cell r="A980">
            <v>44568</v>
          </cell>
          <cell r="E980">
            <v>148.13499999999999</v>
          </cell>
          <cell r="F980">
            <v>130.18</v>
          </cell>
          <cell r="H980">
            <v>184.23</v>
          </cell>
        </row>
        <row r="981">
          <cell r="A981">
            <v>44571</v>
          </cell>
          <cell r="E981">
            <v>149.01300000000001</v>
          </cell>
          <cell r="F981">
            <v>130.76</v>
          </cell>
          <cell r="H981">
            <v>184.11</v>
          </cell>
        </row>
        <row r="982">
          <cell r="A982">
            <v>44572</v>
          </cell>
          <cell r="E982">
            <v>147.52000000000001</v>
          </cell>
          <cell r="F982">
            <v>130.268</v>
          </cell>
          <cell r="H982">
            <v>182.57</v>
          </cell>
        </row>
        <row r="983">
          <cell r="A983">
            <v>44573</v>
          </cell>
          <cell r="E983">
            <v>149.25299999999999</v>
          </cell>
          <cell r="F983">
            <v>131.501</v>
          </cell>
          <cell r="H983">
            <v>183.64</v>
          </cell>
        </row>
        <row r="984">
          <cell r="A984">
            <v>44574</v>
          </cell>
          <cell r="E984">
            <v>148.06399999999999</v>
          </cell>
          <cell r="F984">
            <v>130.66900000000001</v>
          </cell>
          <cell r="H984">
            <v>183.14</v>
          </cell>
        </row>
        <row r="985">
          <cell r="A985">
            <v>44575</v>
          </cell>
          <cell r="E985">
            <v>147.00800000000001</v>
          </cell>
          <cell r="F985">
            <v>129.602</v>
          </cell>
          <cell r="H985">
            <v>181.33</v>
          </cell>
        </row>
        <row r="986">
          <cell r="A986">
            <v>44578</v>
          </cell>
          <cell r="E986">
            <v>148.797</v>
          </cell>
          <cell r="F986">
            <v>130.63499999999999</v>
          </cell>
          <cell r="H986">
            <v>182.51</v>
          </cell>
        </row>
        <row r="987">
          <cell r="A987">
            <v>44579</v>
          </cell>
          <cell r="E987">
            <v>148.61500000000001</v>
          </cell>
          <cell r="F987">
            <v>129.65</v>
          </cell>
          <cell r="H987">
            <v>183.61</v>
          </cell>
        </row>
        <row r="988">
          <cell r="A988">
            <v>44580</v>
          </cell>
          <cell r="E988">
            <v>148.006</v>
          </cell>
          <cell r="F988">
            <v>130.79</v>
          </cell>
          <cell r="H988">
            <v>182.92</v>
          </cell>
        </row>
        <row r="989">
          <cell r="A989">
            <v>44581</v>
          </cell>
          <cell r="E989">
            <v>146.71700000000001</v>
          </cell>
          <cell r="F989">
            <v>130.41999999999999</v>
          </cell>
          <cell r="H989">
            <v>183.61</v>
          </cell>
        </row>
        <row r="990">
          <cell r="A990">
            <v>44582</v>
          </cell>
          <cell r="E990">
            <v>145.88499999999999</v>
          </cell>
          <cell r="F990">
            <v>129.07900000000001</v>
          </cell>
          <cell r="H990">
            <v>183.79</v>
          </cell>
        </row>
        <row r="991">
          <cell r="A991">
            <v>44585</v>
          </cell>
          <cell r="E991">
            <v>146.798</v>
          </cell>
          <cell r="F991">
            <v>128.94499999999999</v>
          </cell>
          <cell r="H991">
            <v>185.52</v>
          </cell>
        </row>
        <row r="992">
          <cell r="A992">
            <v>44586</v>
          </cell>
          <cell r="E992">
            <v>144.315</v>
          </cell>
          <cell r="F992">
            <v>127.354</v>
          </cell>
          <cell r="H992">
            <v>186.58</v>
          </cell>
        </row>
        <row r="993">
          <cell r="A993">
            <v>44587</v>
          </cell>
          <cell r="E993">
            <v>144.97999999999999</v>
          </cell>
          <cell r="F993">
            <v>127.5</v>
          </cell>
          <cell r="H993">
            <v>187.09</v>
          </cell>
        </row>
        <row r="994">
          <cell r="A994">
            <v>44588</v>
          </cell>
          <cell r="E994">
            <v>142.18199999999999</v>
          </cell>
          <cell r="F994">
            <v>126.169</v>
          </cell>
          <cell r="H994">
            <v>187.03</v>
          </cell>
        </row>
        <row r="995">
          <cell r="A995">
            <v>44589</v>
          </cell>
          <cell r="E995">
            <v>142.125</v>
          </cell>
          <cell r="F995">
            <v>126.3</v>
          </cell>
          <cell r="H995">
            <v>185.83</v>
          </cell>
        </row>
        <row r="996">
          <cell r="A996">
            <v>44599</v>
          </cell>
          <cell r="E996">
            <v>143.751</v>
          </cell>
          <cell r="F996">
            <v>128.02500000000001</v>
          </cell>
          <cell r="H996">
            <v>186.78</v>
          </cell>
        </row>
        <row r="997">
          <cell r="A997">
            <v>44600</v>
          </cell>
          <cell r="E997">
            <v>143.49799999999999</v>
          </cell>
          <cell r="F997">
            <v>128.4</v>
          </cell>
          <cell r="H997">
            <v>185.03</v>
          </cell>
        </row>
        <row r="998">
          <cell r="A998">
            <v>44601</v>
          </cell>
          <cell r="E998">
            <v>145.614</v>
          </cell>
          <cell r="F998">
            <v>129.69</v>
          </cell>
          <cell r="H998">
            <v>187</v>
          </cell>
        </row>
        <row r="999">
          <cell r="A999">
            <v>44602</v>
          </cell>
          <cell r="E999">
            <v>145.80699999999999</v>
          </cell>
          <cell r="F999">
            <v>129.39699999999999</v>
          </cell>
          <cell r="H999">
            <v>187.66</v>
          </cell>
        </row>
        <row r="1000">
          <cell r="A1000">
            <v>44603</v>
          </cell>
          <cell r="E1000">
            <v>144.24199999999999</v>
          </cell>
          <cell r="F1000">
            <v>128.75</v>
          </cell>
          <cell r="H1000">
            <v>187.83</v>
          </cell>
        </row>
        <row r="1001">
          <cell r="A1001">
            <v>44606</v>
          </cell>
          <cell r="E1001">
            <v>139.583</v>
          </cell>
          <cell r="F1001">
            <v>124.93</v>
          </cell>
          <cell r="H1001">
            <v>179.2</v>
          </cell>
        </row>
        <row r="1002">
          <cell r="A1002">
            <v>44607</v>
          </cell>
          <cell r="E1002">
            <v>137.553</v>
          </cell>
          <cell r="F1002">
            <v>122.374</v>
          </cell>
          <cell r="H1002">
            <v>173.88</v>
          </cell>
        </row>
        <row r="1003">
          <cell r="A1003">
            <v>44608</v>
          </cell>
          <cell r="E1003">
            <v>138.35599999999999</v>
          </cell>
          <cell r="F1003">
            <v>123.57</v>
          </cell>
          <cell r="H1003">
            <v>173.93</v>
          </cell>
        </row>
        <row r="1004">
          <cell r="A1004">
            <v>44609</v>
          </cell>
          <cell r="E1004">
            <v>138.96799999999999</v>
          </cell>
          <cell r="F1004">
            <v>123.55500000000001</v>
          </cell>
          <cell r="H1004">
            <v>174.98</v>
          </cell>
        </row>
        <row r="1005">
          <cell r="A1005">
            <v>44610</v>
          </cell>
          <cell r="E1005">
            <v>139.80500000000001</v>
          </cell>
          <cell r="F1005">
            <v>124.94499999999999</v>
          </cell>
          <cell r="H1005">
            <v>175.74</v>
          </cell>
        </row>
        <row r="1006">
          <cell r="A1006">
            <v>44613</v>
          </cell>
          <cell r="E1006">
            <v>141.518</v>
          </cell>
          <cell r="F1006">
            <v>125.22</v>
          </cell>
          <cell r="H1006">
            <v>177.24</v>
          </cell>
        </row>
        <row r="1007">
          <cell r="A1007">
            <v>44614</v>
          </cell>
          <cell r="E1007">
            <v>140.893</v>
          </cell>
          <cell r="F1007">
            <v>124.765</v>
          </cell>
          <cell r="H1007">
            <v>177.63</v>
          </cell>
        </row>
        <row r="1008">
          <cell r="A1008">
            <v>44615</v>
          </cell>
          <cell r="E1008">
            <v>143.459</v>
          </cell>
          <cell r="F1008">
            <v>126.35</v>
          </cell>
          <cell r="H1008">
            <v>179.99</v>
          </cell>
        </row>
        <row r="1009">
          <cell r="A1009">
            <v>44616</v>
          </cell>
          <cell r="E1009">
            <v>141.93299999999999</v>
          </cell>
          <cell r="F1009">
            <v>125.6</v>
          </cell>
          <cell r="H1009">
            <v>180.45</v>
          </cell>
        </row>
        <row r="1010">
          <cell r="A1010">
            <v>44617</v>
          </cell>
          <cell r="E1010">
            <v>143.13399999999999</v>
          </cell>
          <cell r="F1010">
            <v>126.199</v>
          </cell>
          <cell r="H1010">
            <v>181.9</v>
          </cell>
        </row>
        <row r="1011">
          <cell r="A1011">
            <v>44620</v>
          </cell>
          <cell r="E1011">
            <v>144.07400000000001</v>
          </cell>
          <cell r="F1011">
            <v>126.395</v>
          </cell>
          <cell r="H1011">
            <v>183.67</v>
          </cell>
        </row>
        <row r="1012">
          <cell r="A1012">
            <v>44621</v>
          </cell>
          <cell r="E1012">
            <v>144.37100000000001</v>
          </cell>
          <cell r="F1012">
            <v>127.3</v>
          </cell>
          <cell r="H1012">
            <v>183.65</v>
          </cell>
        </row>
        <row r="1013">
          <cell r="A1013">
            <v>44622</v>
          </cell>
          <cell r="E1013">
            <v>143.76300000000001</v>
          </cell>
          <cell r="F1013">
            <v>126.71</v>
          </cell>
          <cell r="H1013">
            <v>182.84</v>
          </cell>
        </row>
        <row r="1014">
          <cell r="A1014">
            <v>44623</v>
          </cell>
          <cell r="E1014">
            <v>141.995</v>
          </cell>
          <cell r="F1014">
            <v>125.8</v>
          </cell>
          <cell r="H1014">
            <v>180.46</v>
          </cell>
        </row>
        <row r="1015">
          <cell r="A1015">
            <v>44624</v>
          </cell>
          <cell r="E1015">
            <v>139.50800000000001</v>
          </cell>
          <cell r="F1015">
            <v>124.2</v>
          </cell>
          <cell r="H1015">
            <v>177.72</v>
          </cell>
        </row>
        <row r="1016">
          <cell r="A1016">
            <v>44627</v>
          </cell>
          <cell r="E1016">
            <v>135.934</v>
          </cell>
          <cell r="F1016">
            <v>120.565</v>
          </cell>
          <cell r="H1016">
            <v>173.91</v>
          </cell>
        </row>
        <row r="1017">
          <cell r="A1017">
            <v>44628</v>
          </cell>
          <cell r="E1017">
            <v>131.83199999999999</v>
          </cell>
          <cell r="F1017">
            <v>117.9</v>
          </cell>
          <cell r="H1017">
            <v>170.68</v>
          </cell>
        </row>
        <row r="1018">
          <cell r="A1018">
            <v>44629</v>
          </cell>
          <cell r="E1018">
            <v>130.65299999999999</v>
          </cell>
          <cell r="F1018">
            <v>116.018</v>
          </cell>
          <cell r="H1018">
            <v>170.31</v>
          </cell>
        </row>
        <row r="1019">
          <cell r="A1019">
            <v>44630</v>
          </cell>
          <cell r="E1019">
            <v>133.333</v>
          </cell>
          <cell r="F1019">
            <v>118.99</v>
          </cell>
          <cell r="H1019">
            <v>172.97</v>
          </cell>
        </row>
        <row r="1020">
          <cell r="A1020">
            <v>44631</v>
          </cell>
          <cell r="E1020">
            <v>133.09399999999999</v>
          </cell>
          <cell r="F1020">
            <v>118.477</v>
          </cell>
          <cell r="H1020">
            <v>171.42</v>
          </cell>
        </row>
        <row r="1021">
          <cell r="A1021">
            <v>44634</v>
          </cell>
          <cell r="E1021">
            <v>131.99</v>
          </cell>
          <cell r="F1021">
            <v>118.125</v>
          </cell>
          <cell r="H1021">
            <v>173.11</v>
          </cell>
        </row>
        <row r="1022">
          <cell r="A1022">
            <v>44635</v>
          </cell>
          <cell r="E1022">
            <v>129.40899999999999</v>
          </cell>
          <cell r="F1022">
            <v>115.68600000000001</v>
          </cell>
          <cell r="H1022">
            <v>175.41</v>
          </cell>
        </row>
        <row r="1023">
          <cell r="A1023">
            <v>44636</v>
          </cell>
          <cell r="E1023">
            <v>131.85599999999999</v>
          </cell>
          <cell r="F1023">
            <v>118.02</v>
          </cell>
          <cell r="H1023">
            <v>175.73</v>
          </cell>
        </row>
        <row r="1024">
          <cell r="A1024">
            <v>44637</v>
          </cell>
          <cell r="E1024">
            <v>134.119</v>
          </cell>
          <cell r="F1024">
            <v>119.685</v>
          </cell>
          <cell r="H1024">
            <v>177.48</v>
          </cell>
        </row>
        <row r="1025">
          <cell r="A1025">
            <v>44638</v>
          </cell>
          <cell r="E1025">
            <v>134.94900000000001</v>
          </cell>
          <cell r="F1025">
            <v>120.842</v>
          </cell>
          <cell r="H1025">
            <v>177.86</v>
          </cell>
        </row>
        <row r="1026">
          <cell r="A1026">
            <v>44641</v>
          </cell>
          <cell r="E1026">
            <v>135.71899999999999</v>
          </cell>
          <cell r="F1026">
            <v>120.93</v>
          </cell>
          <cell r="H1026">
            <v>177.67</v>
          </cell>
        </row>
        <row r="1027">
          <cell r="A1027">
            <v>44642</v>
          </cell>
          <cell r="E1027">
            <v>135.089</v>
          </cell>
          <cell r="F1027">
            <v>120.81399999999999</v>
          </cell>
          <cell r="H1027">
            <v>177.24</v>
          </cell>
        </row>
        <row r="1028">
          <cell r="A1028">
            <v>44643</v>
          </cell>
          <cell r="E1028">
            <v>134.773</v>
          </cell>
          <cell r="F1028">
            <v>121</v>
          </cell>
          <cell r="H1028">
            <v>176.34</v>
          </cell>
        </row>
        <row r="1029">
          <cell r="A1029">
            <v>44644</v>
          </cell>
          <cell r="E1029">
            <v>132.72399999999999</v>
          </cell>
          <cell r="F1029">
            <v>119</v>
          </cell>
          <cell r="H1029">
            <v>174.23</v>
          </cell>
        </row>
        <row r="1030">
          <cell r="A1030">
            <v>44645</v>
          </cell>
          <cell r="E1030">
            <v>131.20599999999999</v>
          </cell>
          <cell r="F1030">
            <v>118.035</v>
          </cell>
          <cell r="H1030">
            <v>171.98</v>
          </cell>
        </row>
        <row r="1031">
          <cell r="A1031">
            <v>44648</v>
          </cell>
          <cell r="E1031">
            <v>130.18799999999999</v>
          </cell>
          <cell r="F1031">
            <v>117.706</v>
          </cell>
          <cell r="H1031">
            <v>170.51</v>
          </cell>
        </row>
        <row r="1032">
          <cell r="A1032">
            <v>44649</v>
          </cell>
          <cell r="E1032">
            <v>129.887</v>
          </cell>
          <cell r="F1032">
            <v>116.779</v>
          </cell>
          <cell r="H1032">
            <v>170.99</v>
          </cell>
        </row>
        <row r="1033">
          <cell r="A1033">
            <v>44650</v>
          </cell>
          <cell r="E1033">
            <v>131.97</v>
          </cell>
          <cell r="F1033">
            <v>118.07</v>
          </cell>
          <cell r="H1033">
            <v>172.38</v>
          </cell>
        </row>
        <row r="1034">
          <cell r="A1034">
            <v>44651</v>
          </cell>
          <cell r="E1034">
            <v>131.655</v>
          </cell>
          <cell r="F1034">
            <v>118.53</v>
          </cell>
          <cell r="H1034">
            <v>172.41</v>
          </cell>
        </row>
        <row r="1035">
          <cell r="A1035">
            <v>44652</v>
          </cell>
          <cell r="E1035">
            <v>132.64500000000001</v>
          </cell>
          <cell r="F1035">
            <v>119.7</v>
          </cell>
          <cell r="H1035">
            <v>174.55</v>
          </cell>
        </row>
        <row r="1036">
          <cell r="A1036">
            <v>44657</v>
          </cell>
          <cell r="E1036">
            <v>132.774</v>
          </cell>
          <cell r="F1036">
            <v>119.97499999999999</v>
          </cell>
          <cell r="H1036">
            <v>174.41</v>
          </cell>
        </row>
        <row r="1037">
          <cell r="A1037">
            <v>44658</v>
          </cell>
          <cell r="E1037">
            <v>131.494</v>
          </cell>
          <cell r="F1037">
            <v>119.289</v>
          </cell>
          <cell r="H1037">
            <v>175.32</v>
          </cell>
        </row>
        <row r="1038">
          <cell r="A1038">
            <v>44659</v>
          </cell>
          <cell r="E1038">
            <v>130.92699999999999</v>
          </cell>
          <cell r="F1038">
            <v>119.145</v>
          </cell>
          <cell r="H1038">
            <v>175.47</v>
          </cell>
        </row>
        <row r="1039">
          <cell r="A1039">
            <v>44662</v>
          </cell>
          <cell r="E1039">
            <v>128.68199999999999</v>
          </cell>
          <cell r="F1039">
            <v>117.46899999999999</v>
          </cell>
          <cell r="H1039">
            <v>175.28</v>
          </cell>
        </row>
        <row r="1040">
          <cell r="A1040">
            <v>44663</v>
          </cell>
          <cell r="E1040">
            <v>128.857</v>
          </cell>
          <cell r="F1040">
            <v>117.08499999999999</v>
          </cell>
          <cell r="H1040">
            <v>173.58</v>
          </cell>
        </row>
        <row r="1041">
          <cell r="A1041">
            <v>44664</v>
          </cell>
          <cell r="E1041">
            <v>128.08799999999999</v>
          </cell>
          <cell r="F1041">
            <v>116.765</v>
          </cell>
          <cell r="H1041">
            <v>175.27</v>
          </cell>
        </row>
        <row r="1042">
          <cell r="A1042">
            <v>44665</v>
          </cell>
          <cell r="E1042">
            <v>128.77699999999999</v>
          </cell>
          <cell r="F1042">
            <v>117.408</v>
          </cell>
          <cell r="H1042">
            <v>175.54</v>
          </cell>
        </row>
        <row r="1043">
          <cell r="A1043">
            <v>44666</v>
          </cell>
          <cell r="E1043">
            <v>128.44399999999999</v>
          </cell>
          <cell r="F1043">
            <v>116.535</v>
          </cell>
          <cell r="H1043">
            <v>176.9</v>
          </cell>
        </row>
        <row r="1044">
          <cell r="A1044">
            <v>44669</v>
          </cell>
          <cell r="E1044">
            <v>129.79599999999999</v>
          </cell>
          <cell r="F1044">
            <v>116.962</v>
          </cell>
          <cell r="H1044">
            <v>178.05</v>
          </cell>
        </row>
        <row r="1045">
          <cell r="A1045">
            <v>44670</v>
          </cell>
          <cell r="E1045">
            <v>131.21199999999999</v>
          </cell>
          <cell r="F1045">
            <v>117.845</v>
          </cell>
          <cell r="H1045">
            <v>180.82</v>
          </cell>
        </row>
        <row r="1046">
          <cell r="A1046">
            <v>44671</v>
          </cell>
          <cell r="E1046">
            <v>130.77000000000001</v>
          </cell>
          <cell r="F1046">
            <v>117.51</v>
          </cell>
          <cell r="H1046">
            <v>181.76</v>
          </cell>
        </row>
        <row r="1047">
          <cell r="A1047">
            <v>44672</v>
          </cell>
          <cell r="E1047">
            <v>128.636</v>
          </cell>
          <cell r="F1047">
            <v>115.86</v>
          </cell>
          <cell r="H1047">
            <v>183.36</v>
          </cell>
        </row>
        <row r="1048">
          <cell r="A1048">
            <v>44673</v>
          </cell>
          <cell r="E1048">
            <v>126.79600000000001</v>
          </cell>
          <cell r="F1048">
            <v>115.84</v>
          </cell>
          <cell r="H1048">
            <v>181.44</v>
          </cell>
        </row>
        <row r="1049">
          <cell r="A1049">
            <v>44676</v>
          </cell>
          <cell r="E1049">
            <v>122.762</v>
          </cell>
          <cell r="F1049">
            <v>112.512</v>
          </cell>
          <cell r="H1049">
            <v>185.18</v>
          </cell>
        </row>
        <row r="1050">
          <cell r="A1050">
            <v>44677</v>
          </cell>
          <cell r="E1050">
            <v>122.062</v>
          </cell>
          <cell r="F1050">
            <v>111.465</v>
          </cell>
          <cell r="H1050">
            <v>188.51</v>
          </cell>
        </row>
        <row r="1051">
          <cell r="A1051">
            <v>44678</v>
          </cell>
          <cell r="E1051">
            <v>124.545</v>
          </cell>
          <cell r="F1051">
            <v>112.53</v>
          </cell>
          <cell r="H1051">
            <v>187.41</v>
          </cell>
        </row>
        <row r="1052">
          <cell r="A1052">
            <v>44679</v>
          </cell>
          <cell r="E1052">
            <v>124.425</v>
          </cell>
          <cell r="F1052">
            <v>112.221</v>
          </cell>
          <cell r="H1052">
            <v>189.24</v>
          </cell>
        </row>
        <row r="1053">
          <cell r="A1053">
            <v>44680</v>
          </cell>
          <cell r="E1053">
            <v>127.3</v>
          </cell>
          <cell r="F1053">
            <v>114.745</v>
          </cell>
          <cell r="H1053">
            <v>189.62</v>
          </cell>
        </row>
        <row r="1054">
          <cell r="A1054">
            <v>44686</v>
          </cell>
          <cell r="E1054">
            <v>129.03100000000001</v>
          </cell>
          <cell r="F1054">
            <v>116.2</v>
          </cell>
          <cell r="H1054">
            <v>191</v>
          </cell>
        </row>
        <row r="1055">
          <cell r="A1055">
            <v>44687</v>
          </cell>
          <cell r="E1055">
            <v>128.4</v>
          </cell>
          <cell r="F1055">
            <v>115.85899999999999</v>
          </cell>
          <cell r="H1055">
            <v>191.93</v>
          </cell>
        </row>
        <row r="1056">
          <cell r="A1056">
            <v>44690</v>
          </cell>
          <cell r="E1056">
            <v>129.41200000000001</v>
          </cell>
          <cell r="F1056">
            <v>116.58</v>
          </cell>
          <cell r="H1056">
            <v>191.49</v>
          </cell>
        </row>
        <row r="1057">
          <cell r="A1057">
            <v>44691</v>
          </cell>
          <cell r="E1057">
            <v>130.684</v>
          </cell>
          <cell r="F1057">
            <v>116.59</v>
          </cell>
          <cell r="H1057">
            <v>191.15</v>
          </cell>
        </row>
        <row r="1058">
          <cell r="A1058">
            <v>44692</v>
          </cell>
          <cell r="E1058">
            <v>132.55500000000001</v>
          </cell>
          <cell r="F1058">
            <v>117.15</v>
          </cell>
          <cell r="H1058">
            <v>193.81</v>
          </cell>
        </row>
        <row r="1059">
          <cell r="A1059">
            <v>44693</v>
          </cell>
          <cell r="E1059">
            <v>132.84299999999999</v>
          </cell>
          <cell r="F1059">
            <v>117.1</v>
          </cell>
          <cell r="H1059">
            <v>193.62</v>
          </cell>
        </row>
        <row r="1060">
          <cell r="A1060">
            <v>44694</v>
          </cell>
          <cell r="E1060">
            <v>133.87799999999999</v>
          </cell>
          <cell r="F1060">
            <v>118.04</v>
          </cell>
          <cell r="H1060">
            <v>194.92</v>
          </cell>
        </row>
        <row r="1061">
          <cell r="A1061">
            <v>44697</v>
          </cell>
          <cell r="E1061">
            <v>135.06399999999999</v>
          </cell>
          <cell r="F1061">
            <v>118.452</v>
          </cell>
          <cell r="H1061">
            <v>197.37</v>
          </cell>
        </row>
        <row r="1062">
          <cell r="A1062">
            <v>44698</v>
          </cell>
          <cell r="E1062">
            <v>135.63200000000001</v>
          </cell>
          <cell r="F1062">
            <v>118.93</v>
          </cell>
          <cell r="H1062">
            <v>198.35</v>
          </cell>
        </row>
        <row r="1063">
          <cell r="A1063">
            <v>44699</v>
          </cell>
          <cell r="E1063">
            <v>136.453</v>
          </cell>
          <cell r="F1063">
            <v>119.233</v>
          </cell>
          <cell r="H1063">
            <v>199.72</v>
          </cell>
        </row>
        <row r="1064">
          <cell r="A1064">
            <v>44700</v>
          </cell>
          <cell r="E1064">
            <v>136.215</v>
          </cell>
          <cell r="F1064">
            <v>119.218</v>
          </cell>
          <cell r="H1064">
            <v>198.14</v>
          </cell>
        </row>
        <row r="1065">
          <cell r="A1065">
            <v>44701</v>
          </cell>
          <cell r="E1065">
            <v>136.58099999999999</v>
          </cell>
          <cell r="F1065">
            <v>119.5</v>
          </cell>
          <cell r="H1065">
            <v>197.06</v>
          </cell>
        </row>
        <row r="1066">
          <cell r="A1066">
            <v>44704</v>
          </cell>
          <cell r="E1066">
            <v>137.30699999999999</v>
          </cell>
          <cell r="F1066">
            <v>120.239</v>
          </cell>
          <cell r="H1066">
            <v>195.67</v>
          </cell>
        </row>
        <row r="1067">
          <cell r="A1067">
            <v>44705</v>
          </cell>
          <cell r="E1067">
            <v>134.298</v>
          </cell>
          <cell r="F1067">
            <v>117.85</v>
          </cell>
          <cell r="H1067">
            <v>196.34</v>
          </cell>
        </row>
        <row r="1068">
          <cell r="A1068">
            <v>44706</v>
          </cell>
          <cell r="E1068">
            <v>134.91</v>
          </cell>
          <cell r="F1068">
            <v>118.446</v>
          </cell>
          <cell r="H1068">
            <v>194.82</v>
          </cell>
        </row>
        <row r="1069">
          <cell r="A1069">
            <v>44707</v>
          </cell>
          <cell r="E1069">
            <v>135.81800000000001</v>
          </cell>
          <cell r="F1069">
            <v>118.55</v>
          </cell>
          <cell r="H1069">
            <v>195.45</v>
          </cell>
        </row>
        <row r="1070">
          <cell r="A1070">
            <v>44708</v>
          </cell>
          <cell r="E1070">
            <v>135.583</v>
          </cell>
          <cell r="F1070">
            <v>119.211</v>
          </cell>
          <cell r="H1070">
            <v>195.59</v>
          </cell>
        </row>
        <row r="1071">
          <cell r="A1071">
            <v>44711</v>
          </cell>
          <cell r="E1071">
            <v>135.77799999999999</v>
          </cell>
          <cell r="F1071">
            <v>119.80500000000001</v>
          </cell>
          <cell r="H1071">
            <v>194.75</v>
          </cell>
        </row>
        <row r="1072">
          <cell r="A1072">
            <v>44712</v>
          </cell>
          <cell r="E1072">
            <v>135.70500000000001</v>
          </cell>
          <cell r="F1072">
            <v>119.72499999999999</v>
          </cell>
          <cell r="H1072">
            <v>192.7</v>
          </cell>
        </row>
        <row r="1073">
          <cell r="A1073">
            <v>44713</v>
          </cell>
          <cell r="E1073">
            <v>136.44999999999999</v>
          </cell>
          <cell r="F1073">
            <v>119.765</v>
          </cell>
          <cell r="H1073">
            <v>193.53</v>
          </cell>
        </row>
        <row r="1074">
          <cell r="A1074">
            <v>44714</v>
          </cell>
          <cell r="E1074">
            <v>137.69900000000001</v>
          </cell>
          <cell r="F1074">
            <v>120.25</v>
          </cell>
          <cell r="H1074">
            <v>194.25</v>
          </cell>
        </row>
        <row r="1075">
          <cell r="A1075">
            <v>44718</v>
          </cell>
          <cell r="E1075">
            <v>139.965</v>
          </cell>
          <cell r="F1075">
            <v>120.99</v>
          </cell>
          <cell r="H1075">
            <v>195.52</v>
          </cell>
        </row>
        <row r="1076">
          <cell r="A1076">
            <v>44719</v>
          </cell>
          <cell r="E1076">
            <v>140.018</v>
          </cell>
          <cell r="F1076">
            <v>121.227</v>
          </cell>
          <cell r="H1076">
            <v>196.43</v>
          </cell>
        </row>
        <row r="1077">
          <cell r="A1077">
            <v>44720</v>
          </cell>
          <cell r="E1077">
            <v>140.46</v>
          </cell>
          <cell r="F1077">
            <v>121.28400000000001</v>
          </cell>
          <cell r="H1077">
            <v>197.53</v>
          </cell>
        </row>
        <row r="1078">
          <cell r="A1078">
            <v>44721</v>
          </cell>
          <cell r="E1078">
            <v>139.899</v>
          </cell>
          <cell r="F1078">
            <v>120.84099999999999</v>
          </cell>
          <cell r="H1078">
            <v>199</v>
          </cell>
        </row>
        <row r="1079">
          <cell r="A1079">
            <v>44722</v>
          </cell>
          <cell r="E1079">
            <v>141.31700000000001</v>
          </cell>
          <cell r="F1079">
            <v>121.64</v>
          </cell>
          <cell r="H1079">
            <v>198.86</v>
          </cell>
        </row>
        <row r="1080">
          <cell r="A1080">
            <v>44725</v>
          </cell>
          <cell r="E1080">
            <v>141.89400000000001</v>
          </cell>
          <cell r="F1080">
            <v>122.19499999999999</v>
          </cell>
          <cell r="H1080">
            <v>199.32</v>
          </cell>
        </row>
        <row r="1081">
          <cell r="A1081">
            <v>44726</v>
          </cell>
          <cell r="E1081">
            <v>141.28899999999999</v>
          </cell>
          <cell r="F1081">
            <v>121.99</v>
          </cell>
          <cell r="H1081">
            <v>197.96</v>
          </cell>
        </row>
        <row r="1082">
          <cell r="A1082">
            <v>44727</v>
          </cell>
          <cell r="E1082">
            <v>142.19800000000001</v>
          </cell>
          <cell r="F1082">
            <v>122.97</v>
          </cell>
          <cell r="H1082">
            <v>199.97</v>
          </cell>
        </row>
        <row r="1083">
          <cell r="A1083">
            <v>44728</v>
          </cell>
          <cell r="E1083">
            <v>143.405</v>
          </cell>
          <cell r="F1083">
            <v>123.83</v>
          </cell>
          <cell r="H1083">
            <v>201.2</v>
          </cell>
        </row>
        <row r="1084">
          <cell r="A1084">
            <v>44729</v>
          </cell>
          <cell r="E1084">
            <v>144.01599999999999</v>
          </cell>
          <cell r="F1084">
            <v>124.15</v>
          </cell>
          <cell r="H1084">
            <v>201.4</v>
          </cell>
        </row>
        <row r="1085">
          <cell r="A1085">
            <v>44732</v>
          </cell>
          <cell r="E1085">
            <v>141.81399999999999</v>
          </cell>
          <cell r="F1085">
            <v>123.14</v>
          </cell>
          <cell r="H1085">
            <v>194.81</v>
          </cell>
        </row>
        <row r="1086">
          <cell r="A1086">
            <v>44733</v>
          </cell>
          <cell r="E1086">
            <v>142.16</v>
          </cell>
          <cell r="F1086">
            <v>122.98</v>
          </cell>
          <cell r="H1086">
            <v>196.15</v>
          </cell>
        </row>
        <row r="1087">
          <cell r="A1087">
            <v>44734</v>
          </cell>
          <cell r="E1087">
            <v>142.57900000000001</v>
          </cell>
          <cell r="F1087">
            <v>122.544</v>
          </cell>
          <cell r="H1087">
            <v>198.82</v>
          </cell>
        </row>
        <row r="1088">
          <cell r="A1088">
            <v>44735</v>
          </cell>
          <cell r="E1088">
            <v>143.74700000000001</v>
          </cell>
          <cell r="F1088">
            <v>123.85</v>
          </cell>
          <cell r="H1088">
            <v>197.76</v>
          </cell>
        </row>
        <row r="1089">
          <cell r="A1089">
            <v>44736</v>
          </cell>
          <cell r="E1089">
            <v>144.833</v>
          </cell>
          <cell r="F1089">
            <v>124.58</v>
          </cell>
          <cell r="H1089">
            <v>198.2</v>
          </cell>
        </row>
        <row r="1090">
          <cell r="A1090">
            <v>44739</v>
          </cell>
          <cell r="E1090">
            <v>146.50899999999999</v>
          </cell>
          <cell r="F1090">
            <v>125.815</v>
          </cell>
          <cell r="H1090">
            <v>199.62</v>
          </cell>
        </row>
        <row r="1091">
          <cell r="A1091">
            <v>44740</v>
          </cell>
          <cell r="E1091">
            <v>147.99199999999999</v>
          </cell>
          <cell r="F1091">
            <v>126.95</v>
          </cell>
          <cell r="H1091">
            <v>200.34</v>
          </cell>
        </row>
        <row r="1092">
          <cell r="A1092">
            <v>44741</v>
          </cell>
          <cell r="E1092">
            <v>145.46700000000001</v>
          </cell>
          <cell r="F1092">
            <v>125</v>
          </cell>
          <cell r="H1092">
            <v>199.32</v>
          </cell>
        </row>
        <row r="1093">
          <cell r="A1093">
            <v>44742</v>
          </cell>
          <cell r="E1093">
            <v>146.601</v>
          </cell>
          <cell r="F1093">
            <v>125.589</v>
          </cell>
          <cell r="H1093">
            <v>200.23</v>
          </cell>
        </row>
        <row r="1094">
          <cell r="A1094">
            <v>44743</v>
          </cell>
          <cell r="E1094">
            <v>146.636</v>
          </cell>
          <cell r="F1094">
            <v>125.55500000000001</v>
          </cell>
          <cell r="H1094">
            <v>200.39</v>
          </cell>
        </row>
        <row r="1095">
          <cell r="A1095">
            <v>44746</v>
          </cell>
          <cell r="E1095">
            <v>147.983</v>
          </cell>
          <cell r="F1095">
            <v>126.13</v>
          </cell>
          <cell r="H1095">
            <v>201.26</v>
          </cell>
        </row>
        <row r="1096">
          <cell r="A1096">
            <v>44747</v>
          </cell>
          <cell r="E1096">
            <v>147.71199999999999</v>
          </cell>
          <cell r="F1096">
            <v>125.428</v>
          </cell>
          <cell r="H1096">
            <v>201.36</v>
          </cell>
        </row>
        <row r="1097">
          <cell r="A1097">
            <v>44748</v>
          </cell>
          <cell r="E1097">
            <v>146.756</v>
          </cell>
          <cell r="F1097">
            <v>124.348</v>
          </cell>
          <cell r="H1097">
            <v>200.49</v>
          </cell>
        </row>
        <row r="1098">
          <cell r="A1098">
            <v>44749</v>
          </cell>
          <cell r="E1098">
            <v>147.66399999999999</v>
          </cell>
          <cell r="F1098">
            <v>125.107</v>
          </cell>
          <cell r="H1098">
            <v>201.14</v>
          </cell>
        </row>
        <row r="1099">
          <cell r="A1099">
            <v>44750</v>
          </cell>
          <cell r="E1099">
            <v>146.589</v>
          </cell>
          <cell r="F1099">
            <v>124.937</v>
          </cell>
          <cell r="H1099">
            <v>199.66</v>
          </cell>
        </row>
        <row r="1100">
          <cell r="A1100">
            <v>44753</v>
          </cell>
          <cell r="E1100">
            <v>145.07400000000001</v>
          </cell>
          <cell r="F1100">
            <v>123.91800000000001</v>
          </cell>
          <cell r="H1100">
            <v>197.64</v>
          </cell>
        </row>
        <row r="1101">
          <cell r="A1101">
            <v>44754</v>
          </cell>
          <cell r="E1101">
            <v>143.328</v>
          </cell>
          <cell r="F1101">
            <v>122.548</v>
          </cell>
          <cell r="H1101">
            <v>196.45</v>
          </cell>
        </row>
        <row r="1102">
          <cell r="A1102">
            <v>44755</v>
          </cell>
          <cell r="E1102">
            <v>144.202</v>
          </cell>
          <cell r="F1102">
            <v>123.11199999999999</v>
          </cell>
          <cell r="H1102">
            <v>196.72</v>
          </cell>
        </row>
        <row r="1103">
          <cell r="A1103">
            <v>44756</v>
          </cell>
          <cell r="E1103">
            <v>145.29300000000001</v>
          </cell>
          <cell r="F1103">
            <v>123.872</v>
          </cell>
          <cell r="H1103">
            <v>197.55</v>
          </cell>
        </row>
        <row r="1104">
          <cell r="A1104">
            <v>44757</v>
          </cell>
          <cell r="E1104">
            <v>144.98699999999999</v>
          </cell>
          <cell r="F1104">
            <v>123.6</v>
          </cell>
          <cell r="H1104">
            <v>199.68</v>
          </cell>
        </row>
        <row r="1105">
          <cell r="A1105">
            <v>44760</v>
          </cell>
          <cell r="E1105">
            <v>146.66900000000001</v>
          </cell>
          <cell r="F1105">
            <v>124.96</v>
          </cell>
          <cell r="H1105">
            <v>199.2</v>
          </cell>
        </row>
        <row r="1106">
          <cell r="A1106">
            <v>44761</v>
          </cell>
          <cell r="E1106">
            <v>147.173</v>
          </cell>
          <cell r="F1106">
            <v>125.55</v>
          </cell>
          <cell r="H1106">
            <v>198.74</v>
          </cell>
        </row>
        <row r="1107">
          <cell r="A1107">
            <v>44762</v>
          </cell>
          <cell r="E1107">
            <v>148.25899999999999</v>
          </cell>
          <cell r="F1107">
            <v>126.089</v>
          </cell>
          <cell r="H1107">
            <v>199.63</v>
          </cell>
        </row>
        <row r="1108">
          <cell r="A1108">
            <v>44763</v>
          </cell>
          <cell r="E1108">
            <v>147.58099999999999</v>
          </cell>
          <cell r="F1108">
            <v>126.212</v>
          </cell>
          <cell r="H1108">
            <v>198.95</v>
          </cell>
        </row>
        <row r="1109">
          <cell r="A1109">
            <v>44764</v>
          </cell>
          <cell r="E1109">
            <v>146.791</v>
          </cell>
          <cell r="F1109">
            <v>125.99</v>
          </cell>
          <cell r="H1109">
            <v>197.86</v>
          </cell>
        </row>
        <row r="1110">
          <cell r="A1110">
            <v>44767</v>
          </cell>
          <cell r="E1110">
            <v>146.01900000000001</v>
          </cell>
          <cell r="F1110">
            <v>125.2</v>
          </cell>
          <cell r="H1110">
            <v>197.71</v>
          </cell>
        </row>
        <row r="1111">
          <cell r="A1111">
            <v>44768</v>
          </cell>
          <cell r="E1111">
            <v>147.16800000000001</v>
          </cell>
          <cell r="F1111">
            <v>126.096</v>
          </cell>
          <cell r="H1111">
            <v>198.39</v>
          </cell>
        </row>
        <row r="1112">
          <cell r="A1112">
            <v>44769</v>
          </cell>
          <cell r="E1112">
            <v>148.59800000000001</v>
          </cell>
          <cell r="F1112">
            <v>127.04</v>
          </cell>
          <cell r="H1112">
            <v>199.36</v>
          </cell>
        </row>
        <row r="1113">
          <cell r="A1113">
            <v>44770</v>
          </cell>
          <cell r="E1113">
            <v>149.798</v>
          </cell>
          <cell r="F1113">
            <v>127.88</v>
          </cell>
          <cell r="H1113">
            <v>200.06</v>
          </cell>
        </row>
        <row r="1114">
          <cell r="A1114">
            <v>44771</v>
          </cell>
          <cell r="E1114">
            <v>149.05699999999999</v>
          </cell>
          <cell r="F1114">
            <v>127.27500000000001</v>
          </cell>
          <cell r="H1114">
            <v>199.51</v>
          </cell>
        </row>
        <row r="1115">
          <cell r="A1115">
            <v>44774</v>
          </cell>
          <cell r="E1115">
            <v>150.18700000000001</v>
          </cell>
          <cell r="F1115">
            <v>127.999</v>
          </cell>
          <cell r="H1115">
            <v>199.19</v>
          </cell>
        </row>
        <row r="1116">
          <cell r="A1116">
            <v>44775</v>
          </cell>
          <cell r="E1116">
            <v>148.00899999999999</v>
          </cell>
          <cell r="F1116">
            <v>126.502</v>
          </cell>
          <cell r="H1116">
            <v>200.34</v>
          </cell>
        </row>
        <row r="1117">
          <cell r="A1117">
            <v>44776</v>
          </cell>
          <cell r="E1117">
            <v>147.11199999999999</v>
          </cell>
          <cell r="F1117">
            <v>127.05</v>
          </cell>
          <cell r="H1117">
            <v>200.18</v>
          </cell>
        </row>
        <row r="1118">
          <cell r="A1118">
            <v>44777</v>
          </cell>
          <cell r="E1118">
            <v>147.452</v>
          </cell>
          <cell r="F1118">
            <v>127.67</v>
          </cell>
          <cell r="H1118">
            <v>198.84</v>
          </cell>
        </row>
        <row r="1119">
          <cell r="A1119">
            <v>44778</v>
          </cell>
          <cell r="E1119">
            <v>147.46299999999999</v>
          </cell>
          <cell r="F1119">
            <v>128.077</v>
          </cell>
          <cell r="H1119">
            <v>197.71</v>
          </cell>
        </row>
        <row r="1120">
          <cell r="A1120">
            <v>44781</v>
          </cell>
          <cell r="E1120">
            <v>149.256</v>
          </cell>
          <cell r="F1120">
            <v>128.41800000000001</v>
          </cell>
          <cell r="H1120">
            <v>198.86</v>
          </cell>
        </row>
        <row r="1121">
          <cell r="A1121">
            <v>44782</v>
          </cell>
          <cell r="E1121">
            <v>149.68899999999999</v>
          </cell>
          <cell r="F1121">
            <v>128.82</v>
          </cell>
          <cell r="H1121">
            <v>199.4</v>
          </cell>
        </row>
        <row r="1122">
          <cell r="A1122">
            <v>44783</v>
          </cell>
          <cell r="E1122">
            <v>147.792</v>
          </cell>
          <cell r="F1122">
            <v>128.6</v>
          </cell>
          <cell r="H1122">
            <v>197.57</v>
          </cell>
        </row>
        <row r="1123">
          <cell r="A1123">
            <v>44784</v>
          </cell>
          <cell r="E1123">
            <v>148.38800000000001</v>
          </cell>
          <cell r="F1123">
            <v>129.79</v>
          </cell>
          <cell r="H1123">
            <v>196.94</v>
          </cell>
        </row>
        <row r="1124">
          <cell r="A1124">
            <v>44785</v>
          </cell>
          <cell r="E1124">
            <v>148.005</v>
          </cell>
          <cell r="F1124">
            <v>130.125</v>
          </cell>
          <cell r="H1124">
            <v>197.14</v>
          </cell>
        </row>
        <row r="1125">
          <cell r="A1125">
            <v>44788</v>
          </cell>
          <cell r="E1125">
            <v>148.75</v>
          </cell>
          <cell r="F1125">
            <v>130.14099999999999</v>
          </cell>
          <cell r="H1125">
            <v>197.98</v>
          </cell>
        </row>
        <row r="1126">
          <cell r="A1126">
            <v>44789</v>
          </cell>
          <cell r="E1126">
            <v>149.52699999999999</v>
          </cell>
          <cell r="F1126">
            <v>131.13800000000001</v>
          </cell>
          <cell r="H1126">
            <v>198.31</v>
          </cell>
        </row>
        <row r="1127">
          <cell r="A1127">
            <v>44790</v>
          </cell>
          <cell r="E1127">
            <v>149.499</v>
          </cell>
          <cell r="F1127">
            <v>131.30199999999999</v>
          </cell>
          <cell r="H1127">
            <v>198.1</v>
          </cell>
        </row>
        <row r="1128">
          <cell r="A1128">
            <v>44791</v>
          </cell>
          <cell r="E1128">
            <v>148.39400000000001</v>
          </cell>
          <cell r="F1128">
            <v>129.69</v>
          </cell>
          <cell r="H1128">
            <v>196.19</v>
          </cell>
        </row>
        <row r="1129">
          <cell r="A1129">
            <v>44792</v>
          </cell>
          <cell r="E1129">
            <v>145.40600000000001</v>
          </cell>
          <cell r="F1129">
            <v>128</v>
          </cell>
          <cell r="H1129">
            <v>192.97</v>
          </cell>
        </row>
        <row r="1130">
          <cell r="A1130">
            <v>44795</v>
          </cell>
          <cell r="E1130">
            <v>145.935</v>
          </cell>
          <cell r="F1130">
            <v>128.238</v>
          </cell>
          <cell r="H1130">
            <v>193.11</v>
          </cell>
        </row>
        <row r="1131">
          <cell r="A1131">
            <v>44796</v>
          </cell>
          <cell r="E1131">
            <v>146.25800000000001</v>
          </cell>
          <cell r="F1131">
            <v>128.93299999999999</v>
          </cell>
          <cell r="H1131">
            <v>193.31</v>
          </cell>
        </row>
        <row r="1132">
          <cell r="A1132">
            <v>44797</v>
          </cell>
          <cell r="E1132">
            <v>142.31</v>
          </cell>
          <cell r="F1132">
            <v>126.128</v>
          </cell>
          <cell r="H1132">
            <v>191.23</v>
          </cell>
        </row>
        <row r="1133">
          <cell r="A1133">
            <v>44798</v>
          </cell>
          <cell r="E1133">
            <v>140.16200000000001</v>
          </cell>
          <cell r="F1133">
            <v>124.83</v>
          </cell>
          <cell r="H1133">
            <v>187.65</v>
          </cell>
        </row>
        <row r="1134">
          <cell r="A1134">
            <v>44799</v>
          </cell>
          <cell r="E1134">
            <v>139.87799999999999</v>
          </cell>
          <cell r="F1134">
            <v>124.64400000000001</v>
          </cell>
          <cell r="H1134">
            <v>188</v>
          </cell>
        </row>
        <row r="1135">
          <cell r="A1135">
            <v>44802</v>
          </cell>
          <cell r="E1135">
            <v>139.529</v>
          </cell>
          <cell r="F1135">
            <v>123.976</v>
          </cell>
          <cell r="H1135">
            <v>186.59</v>
          </cell>
        </row>
        <row r="1136">
          <cell r="A1136">
            <v>44803</v>
          </cell>
          <cell r="E1136">
            <v>138.983</v>
          </cell>
          <cell r="F1136">
            <v>123.97799999999999</v>
          </cell>
          <cell r="H1136">
            <v>186.17</v>
          </cell>
        </row>
        <row r="1137">
          <cell r="A1137">
            <v>44804</v>
          </cell>
          <cell r="E1137">
            <v>135.77099999999999</v>
          </cell>
          <cell r="F1137">
            <v>122.20099999999999</v>
          </cell>
          <cell r="H1137">
            <v>184.25</v>
          </cell>
        </row>
        <row r="1138">
          <cell r="A1138">
            <v>44805</v>
          </cell>
          <cell r="E1138">
            <v>135.29900000000001</v>
          </cell>
          <cell r="F1138">
            <v>122.264</v>
          </cell>
          <cell r="H1138">
            <v>184.16</v>
          </cell>
        </row>
        <row r="1139">
          <cell r="A1139">
            <v>44806</v>
          </cell>
          <cell r="E1139">
            <v>136.494</v>
          </cell>
          <cell r="F1139">
            <v>123.495</v>
          </cell>
          <cell r="H1139">
            <v>184.84</v>
          </cell>
        </row>
        <row r="1140">
          <cell r="A1140">
            <v>44809</v>
          </cell>
          <cell r="E1140">
            <v>137.447</v>
          </cell>
          <cell r="F1140">
            <v>124.328</v>
          </cell>
          <cell r="H1140">
            <v>186.31</v>
          </cell>
        </row>
        <row r="1141">
          <cell r="A1141">
            <v>44810</v>
          </cell>
          <cell r="E1141">
            <v>139.429</v>
          </cell>
          <cell r="F1141">
            <v>125.45</v>
          </cell>
          <cell r="H1141">
            <v>188.03</v>
          </cell>
        </row>
        <row r="1142">
          <cell r="A1142">
            <v>44811</v>
          </cell>
          <cell r="E1142">
            <v>140.495</v>
          </cell>
          <cell r="F1142">
            <v>125.283</v>
          </cell>
          <cell r="H1142">
            <v>189.48</v>
          </cell>
        </row>
        <row r="1143">
          <cell r="A1143">
            <v>44812</v>
          </cell>
          <cell r="E1143">
            <v>139.328</v>
          </cell>
          <cell r="F1143">
            <v>124.453</v>
          </cell>
          <cell r="H1143">
            <v>188.96</v>
          </cell>
        </row>
        <row r="1144">
          <cell r="A1144">
            <v>44813</v>
          </cell>
          <cell r="E1144">
            <v>139.006</v>
          </cell>
          <cell r="F1144">
            <v>124.63800000000001</v>
          </cell>
          <cell r="H1144">
            <v>187.93</v>
          </cell>
        </row>
        <row r="1145">
          <cell r="A1145">
            <v>44817</v>
          </cell>
          <cell r="E1145">
            <v>139.423</v>
          </cell>
          <cell r="F1145">
            <v>124.73</v>
          </cell>
          <cell r="H1145">
            <v>187.95</v>
          </cell>
        </row>
        <row r="1146">
          <cell r="A1146">
            <v>44818</v>
          </cell>
          <cell r="E1146">
            <v>138.67400000000001</v>
          </cell>
          <cell r="F1146">
            <v>124.035</v>
          </cell>
          <cell r="H1146">
            <v>188.05</v>
          </cell>
        </row>
        <row r="1147">
          <cell r="A1147">
            <v>44819</v>
          </cell>
          <cell r="E1147">
            <v>136.161</v>
          </cell>
          <cell r="F1147">
            <v>123.087</v>
          </cell>
          <cell r="H1147">
            <v>186.95</v>
          </cell>
        </row>
        <row r="1148">
          <cell r="A1148">
            <v>44820</v>
          </cell>
          <cell r="E1148">
            <v>134.51400000000001</v>
          </cell>
          <cell r="F1148">
            <v>120.81100000000001</v>
          </cell>
          <cell r="H1148">
            <v>187.54</v>
          </cell>
        </row>
        <row r="1149">
          <cell r="A1149">
            <v>44823</v>
          </cell>
          <cell r="E1149">
            <v>133.852</v>
          </cell>
          <cell r="F1149">
            <v>120.001</v>
          </cell>
          <cell r="H1149">
            <v>187.86</v>
          </cell>
        </row>
        <row r="1150">
          <cell r="A1150">
            <v>44824</v>
          </cell>
          <cell r="E1150">
            <v>135.352</v>
          </cell>
          <cell r="F1150">
            <v>120.983</v>
          </cell>
          <cell r="H1150">
            <v>188.52</v>
          </cell>
        </row>
        <row r="1151">
          <cell r="A1151">
            <v>44825</v>
          </cell>
          <cell r="E1151">
            <v>135.84700000000001</v>
          </cell>
          <cell r="F1151">
            <v>121.164</v>
          </cell>
          <cell r="H1151">
            <v>189.07</v>
          </cell>
        </row>
        <row r="1152">
          <cell r="A1152">
            <v>44826</v>
          </cell>
          <cell r="E1152">
            <v>135.76499999999999</v>
          </cell>
          <cell r="F1152">
            <v>121.3</v>
          </cell>
          <cell r="H1152">
            <v>189.86</v>
          </cell>
        </row>
        <row r="1153">
          <cell r="A1153">
            <v>44827</v>
          </cell>
          <cell r="E1153">
            <v>134.30099999999999</v>
          </cell>
          <cell r="F1153">
            <v>120.265</v>
          </cell>
          <cell r="H1153">
            <v>189.63</v>
          </cell>
        </row>
        <row r="1154">
          <cell r="A1154">
            <v>44830</v>
          </cell>
          <cell r="E1154">
            <v>133.70599999999999</v>
          </cell>
          <cell r="F1154">
            <v>119.078</v>
          </cell>
          <cell r="H1154">
            <v>190.99</v>
          </cell>
        </row>
        <row r="1155">
          <cell r="A1155">
            <v>44831</v>
          </cell>
          <cell r="E1155">
            <v>134.489</v>
          </cell>
          <cell r="F1155">
            <v>119.67</v>
          </cell>
          <cell r="H1155">
            <v>189.13</v>
          </cell>
        </row>
        <row r="1156">
          <cell r="A1156">
            <v>44832</v>
          </cell>
          <cell r="E1156">
            <v>132.572</v>
          </cell>
          <cell r="F1156">
            <v>118.52500000000001</v>
          </cell>
          <cell r="H1156">
            <v>189.49</v>
          </cell>
        </row>
        <row r="1157">
          <cell r="A1157">
            <v>44833</v>
          </cell>
          <cell r="E1157">
            <v>131.88300000000001</v>
          </cell>
          <cell r="F1157">
            <v>118</v>
          </cell>
          <cell r="H1157">
            <v>188.53</v>
          </cell>
        </row>
        <row r="1158">
          <cell r="A1158">
            <v>44834</v>
          </cell>
          <cell r="E1158">
            <v>130.75700000000001</v>
          </cell>
          <cell r="F1158">
            <v>117.776</v>
          </cell>
          <cell r="H1158">
            <v>188.26</v>
          </cell>
        </row>
        <row r="1159">
          <cell r="A1159">
            <v>44844</v>
          </cell>
          <cell r="E1159">
            <v>129.876</v>
          </cell>
          <cell r="F1159">
            <v>117</v>
          </cell>
          <cell r="H1159">
            <v>189.09</v>
          </cell>
        </row>
        <row r="1160">
          <cell r="A1160">
            <v>44845</v>
          </cell>
          <cell r="E1160">
            <v>130.88300000000001</v>
          </cell>
          <cell r="F1160">
            <v>117.432</v>
          </cell>
          <cell r="H1160">
            <v>189.94</v>
          </cell>
        </row>
        <row r="1161">
          <cell r="A1161">
            <v>44846</v>
          </cell>
          <cell r="E1161">
            <v>133.11500000000001</v>
          </cell>
          <cell r="F1161">
            <v>119.16200000000001</v>
          </cell>
          <cell r="H1161">
            <v>190.3</v>
          </cell>
        </row>
        <row r="1162">
          <cell r="A1162">
            <v>44847</v>
          </cell>
          <cell r="E1162">
            <v>134.47999999999999</v>
          </cell>
          <cell r="F1162">
            <v>120.057</v>
          </cell>
          <cell r="H1162">
            <v>191.64</v>
          </cell>
        </row>
        <row r="1163">
          <cell r="A1163">
            <v>44848</v>
          </cell>
          <cell r="E1163">
            <v>136.24199999999999</v>
          </cell>
          <cell r="F1163">
            <v>121.354</v>
          </cell>
          <cell r="H1163">
            <v>191.76</v>
          </cell>
        </row>
        <row r="1164">
          <cell r="A1164">
            <v>44851</v>
          </cell>
          <cell r="E1164">
            <v>136.56399999999999</v>
          </cell>
          <cell r="F1164">
            <v>121.898</v>
          </cell>
          <cell r="H1164">
            <v>190.73</v>
          </cell>
        </row>
        <row r="1165">
          <cell r="A1165">
            <v>44852</v>
          </cell>
          <cell r="E1165">
            <v>136.88499999999999</v>
          </cell>
          <cell r="F1165">
            <v>121.629</v>
          </cell>
          <cell r="H1165">
            <v>190.7</v>
          </cell>
        </row>
        <row r="1166">
          <cell r="A1166">
            <v>44853</v>
          </cell>
          <cell r="E1166">
            <v>135.905</v>
          </cell>
          <cell r="F1166">
            <v>121.328</v>
          </cell>
          <cell r="H1166">
            <v>190.77</v>
          </cell>
        </row>
        <row r="1167">
          <cell r="A1167">
            <v>44854</v>
          </cell>
          <cell r="E1167">
            <v>134.673</v>
          </cell>
          <cell r="F1167">
            <v>120.935</v>
          </cell>
          <cell r="H1167">
            <v>189.29</v>
          </cell>
        </row>
        <row r="1168">
          <cell r="A1168">
            <v>44855</v>
          </cell>
          <cell r="E1168">
            <v>134.27000000000001</v>
          </cell>
          <cell r="F1168">
            <v>121.066</v>
          </cell>
          <cell r="H1168">
            <v>188.5</v>
          </cell>
        </row>
        <row r="1169">
          <cell r="A1169">
            <v>44858</v>
          </cell>
          <cell r="E1169">
            <v>133.047</v>
          </cell>
          <cell r="F1169">
            <v>119.479</v>
          </cell>
          <cell r="H1169">
            <v>188.04</v>
          </cell>
        </row>
        <row r="1170">
          <cell r="A1170">
            <v>44859</v>
          </cell>
          <cell r="E1170">
            <v>132.23599999999999</v>
          </cell>
          <cell r="F1170">
            <v>118.85299999999999</v>
          </cell>
          <cell r="H1170">
            <v>186.9</v>
          </cell>
        </row>
        <row r="1171">
          <cell r="A1171">
            <v>44860</v>
          </cell>
          <cell r="E1171">
            <v>133.614</v>
          </cell>
          <cell r="F1171">
            <v>120.09099999999999</v>
          </cell>
          <cell r="H1171">
            <v>186.75</v>
          </cell>
        </row>
        <row r="1172">
          <cell r="A1172">
            <v>44861</v>
          </cell>
          <cell r="E1172">
            <v>133.48599999999999</v>
          </cell>
          <cell r="F1172">
            <v>119.999</v>
          </cell>
          <cell r="H1172">
            <v>186.91</v>
          </cell>
        </row>
        <row r="1173">
          <cell r="A1173">
            <v>44862</v>
          </cell>
          <cell r="E1173">
            <v>131.19200000000001</v>
          </cell>
          <cell r="F1173">
            <v>118.44799999999999</v>
          </cell>
          <cell r="H1173">
            <v>188.43</v>
          </cell>
        </row>
        <row r="1174">
          <cell r="A1174">
            <v>44865</v>
          </cell>
          <cell r="E1174">
            <v>130.762</v>
          </cell>
          <cell r="F1174">
            <v>118.35</v>
          </cell>
          <cell r="H1174">
            <v>186.35</v>
          </cell>
        </row>
        <row r="1175">
          <cell r="A1175">
            <v>44866</v>
          </cell>
          <cell r="E1175">
            <v>132.089</v>
          </cell>
          <cell r="F1175">
            <v>119.121</v>
          </cell>
          <cell r="H1175">
            <v>185.22</v>
          </cell>
        </row>
        <row r="1176">
          <cell r="A1176">
            <v>44867</v>
          </cell>
          <cell r="E1176">
            <v>133.66800000000001</v>
          </cell>
          <cell r="F1176">
            <v>120.571</v>
          </cell>
          <cell r="H1176">
            <v>186.23</v>
          </cell>
        </row>
        <row r="1177">
          <cell r="A1177">
            <v>44868</v>
          </cell>
          <cell r="E1177">
            <v>133.69800000000001</v>
          </cell>
          <cell r="F1177">
            <v>120.95</v>
          </cell>
          <cell r="H1177">
            <v>186.07</v>
          </cell>
        </row>
        <row r="1178">
          <cell r="A1178">
            <v>44869</v>
          </cell>
          <cell r="E1178">
            <v>135.751</v>
          </cell>
          <cell r="F1178">
            <v>122.795</v>
          </cell>
          <cell r="H1178">
            <v>186.83</v>
          </cell>
        </row>
        <row r="1179">
          <cell r="A1179">
            <v>44872</v>
          </cell>
          <cell r="E1179">
            <v>135.79</v>
          </cell>
          <cell r="F1179">
            <v>122.846</v>
          </cell>
          <cell r="H1179">
            <v>185.88</v>
          </cell>
        </row>
        <row r="1180">
          <cell r="A1180">
            <v>44873</v>
          </cell>
          <cell r="E1180">
            <v>135.22200000000001</v>
          </cell>
          <cell r="F1180">
            <v>122.005</v>
          </cell>
          <cell r="H1180">
            <v>184.88</v>
          </cell>
        </row>
        <row r="1181">
          <cell r="A1181">
            <v>44874</v>
          </cell>
          <cell r="E1181">
            <v>135.06899999999999</v>
          </cell>
          <cell r="F1181">
            <v>122.244</v>
          </cell>
          <cell r="H1181">
            <v>184.79</v>
          </cell>
        </row>
        <row r="1182">
          <cell r="A1182">
            <v>44875</v>
          </cell>
          <cell r="E1182">
            <v>134.15600000000001</v>
          </cell>
          <cell r="F1182">
            <v>122.071</v>
          </cell>
          <cell r="H1182">
            <v>183.76</v>
          </cell>
        </row>
        <row r="1183">
          <cell r="A1183">
            <v>44876</v>
          </cell>
          <cell r="E1183">
            <v>135.03399999999999</v>
          </cell>
          <cell r="F1183">
            <v>123.20099999999999</v>
          </cell>
          <cell r="H1183">
            <v>184.89</v>
          </cell>
        </row>
        <row r="1184">
          <cell r="A1184">
            <v>44879</v>
          </cell>
          <cell r="E1184">
            <v>133.83000000000001</v>
          </cell>
          <cell r="F1184">
            <v>122.259</v>
          </cell>
          <cell r="H1184">
            <v>182.95</v>
          </cell>
        </row>
        <row r="1185">
          <cell r="A1185">
            <v>44880</v>
          </cell>
          <cell r="E1185">
            <v>134.67500000000001</v>
          </cell>
          <cell r="F1185">
            <v>123.017</v>
          </cell>
          <cell r="H1185">
            <v>181.3</v>
          </cell>
        </row>
        <row r="1186">
          <cell r="A1186">
            <v>44881</v>
          </cell>
          <cell r="E1186">
            <v>133.21199999999999</v>
          </cell>
          <cell r="F1186">
            <v>121.27200000000001</v>
          </cell>
          <cell r="H1186">
            <v>179.06</v>
          </cell>
        </row>
        <row r="1187">
          <cell r="A1187">
            <v>44882</v>
          </cell>
          <cell r="E1187">
            <v>131.41300000000001</v>
          </cell>
          <cell r="F1187">
            <v>120.167</v>
          </cell>
          <cell r="H1187">
            <v>175.06</v>
          </cell>
        </row>
        <row r="1188">
          <cell r="A1188">
            <v>44883</v>
          </cell>
          <cell r="E1188">
            <v>130.91</v>
          </cell>
          <cell r="F1188">
            <v>119.63200000000001</v>
          </cell>
          <cell r="H1188">
            <v>175.17</v>
          </cell>
        </row>
        <row r="1189">
          <cell r="A1189">
            <v>44886</v>
          </cell>
          <cell r="E1189">
            <v>131.51400000000001</v>
          </cell>
          <cell r="F1189">
            <v>120.21</v>
          </cell>
          <cell r="H1189">
            <v>175.59</v>
          </cell>
        </row>
        <row r="1190">
          <cell r="A1190">
            <v>44887</v>
          </cell>
          <cell r="E1190">
            <v>130.762</v>
          </cell>
          <cell r="F1190">
            <v>119.738</v>
          </cell>
          <cell r="H1190">
            <v>176.01</v>
          </cell>
        </row>
        <row r="1191">
          <cell r="A1191">
            <v>44888</v>
          </cell>
          <cell r="E1191">
            <v>130.66800000000001</v>
          </cell>
          <cell r="F1191">
            <v>119.396</v>
          </cell>
          <cell r="H1191">
            <v>176.93</v>
          </cell>
        </row>
        <row r="1192">
          <cell r="A1192">
            <v>44889</v>
          </cell>
          <cell r="E1192">
            <v>131.59</v>
          </cell>
          <cell r="F1192">
            <v>119.84</v>
          </cell>
          <cell r="H1192">
            <v>177.87</v>
          </cell>
        </row>
        <row r="1193">
          <cell r="A1193">
            <v>44890</v>
          </cell>
          <cell r="E1193">
            <v>130.89099999999999</v>
          </cell>
          <cell r="F1193">
            <v>119.72799999999999</v>
          </cell>
          <cell r="H1193">
            <v>178.08</v>
          </cell>
        </row>
        <row r="1194">
          <cell r="A1194">
            <v>44893</v>
          </cell>
          <cell r="E1194">
            <v>130.64400000000001</v>
          </cell>
          <cell r="F1194">
            <v>119.31</v>
          </cell>
          <cell r="H1194">
            <v>178.36</v>
          </cell>
        </row>
        <row r="1195">
          <cell r="A1195">
            <v>44894</v>
          </cell>
          <cell r="E1195">
            <v>132.04599999999999</v>
          </cell>
          <cell r="F1195">
            <v>120.995</v>
          </cell>
          <cell r="H1195">
            <v>178.48</v>
          </cell>
        </row>
        <row r="1196">
          <cell r="A1196">
            <v>44895</v>
          </cell>
          <cell r="E1196">
            <v>132.53299999999999</v>
          </cell>
          <cell r="F1196">
            <v>120.95099999999999</v>
          </cell>
          <cell r="H1196">
            <v>179.53</v>
          </cell>
        </row>
        <row r="1197">
          <cell r="A1197">
            <v>44896</v>
          </cell>
          <cell r="E1197">
            <v>133.71899999999999</v>
          </cell>
          <cell r="F1197">
            <v>122.226</v>
          </cell>
          <cell r="H1197">
            <v>180.51</v>
          </cell>
        </row>
        <row r="1198">
          <cell r="A1198">
            <v>44897</v>
          </cell>
          <cell r="E1198">
            <v>134.13399999999999</v>
          </cell>
          <cell r="F1198">
            <v>122.663</v>
          </cell>
          <cell r="H1198">
            <v>180.38</v>
          </cell>
        </row>
        <row r="1199">
          <cell r="A1199">
            <v>44900</v>
          </cell>
          <cell r="E1199">
            <v>134.56800000000001</v>
          </cell>
          <cell r="F1199">
            <v>123.053</v>
          </cell>
          <cell r="H1199">
            <v>180.3</v>
          </cell>
        </row>
        <row r="1200">
          <cell r="A1200">
            <v>44901</v>
          </cell>
          <cell r="E1200">
            <v>134.29</v>
          </cell>
          <cell r="F1200">
            <v>122.952</v>
          </cell>
          <cell r="H1200">
            <v>180.21</v>
          </cell>
        </row>
        <row r="1201">
          <cell r="A1201">
            <v>44902</v>
          </cell>
          <cell r="E1201">
            <v>133.90799999999999</v>
          </cell>
          <cell r="F1201">
            <v>122.42</v>
          </cell>
          <cell r="H1201">
            <v>179.42</v>
          </cell>
        </row>
        <row r="1202">
          <cell r="A1202">
            <v>44903</v>
          </cell>
          <cell r="E1202">
            <v>133.19300000000001</v>
          </cell>
          <cell r="F1202">
            <v>121.8</v>
          </cell>
          <cell r="H1202">
            <v>178.49</v>
          </cell>
        </row>
        <row r="1203">
          <cell r="A1203">
            <v>44904</v>
          </cell>
          <cell r="E1203">
            <v>133.214</v>
          </cell>
          <cell r="F1203">
            <v>121.697</v>
          </cell>
          <cell r="H1203">
            <v>178.53</v>
          </cell>
        </row>
        <row r="1204">
          <cell r="A1204">
            <v>44907</v>
          </cell>
          <cell r="E1204">
            <v>132.89599999999999</v>
          </cell>
          <cell r="F1204">
            <v>121.18</v>
          </cell>
          <cell r="H1204">
            <v>178.29</v>
          </cell>
        </row>
        <row r="1205">
          <cell r="A1205">
            <v>44908</v>
          </cell>
          <cell r="E1205">
            <v>131.64599999999999</v>
          </cell>
          <cell r="F1205">
            <v>120.26</v>
          </cell>
          <cell r="H1205">
            <v>176.34</v>
          </cell>
        </row>
        <row r="1206">
          <cell r="A1206">
            <v>44909</v>
          </cell>
          <cell r="E1206">
            <v>130.571</v>
          </cell>
          <cell r="F1206">
            <v>119.578</v>
          </cell>
          <cell r="H1206">
            <v>174.78</v>
          </cell>
        </row>
        <row r="1207">
          <cell r="A1207">
            <v>44910</v>
          </cell>
          <cell r="E1207">
            <v>130.696</v>
          </cell>
          <cell r="F1207">
            <v>119.776</v>
          </cell>
          <cell r="H1207">
            <v>174.5</v>
          </cell>
        </row>
        <row r="1208">
          <cell r="A1208">
            <v>44911</v>
          </cell>
          <cell r="E1208">
            <v>128.94</v>
          </cell>
          <cell r="F1208">
            <v>118.655</v>
          </cell>
          <cell r="H1208">
            <v>173.07</v>
          </cell>
        </row>
        <row r="1209">
          <cell r="A1209">
            <v>44914</v>
          </cell>
          <cell r="E1209">
            <v>127.699</v>
          </cell>
          <cell r="F1209">
            <v>117.294</v>
          </cell>
          <cell r="H1209">
            <v>173.77</v>
          </cell>
        </row>
        <row r="1210">
          <cell r="A1210">
            <v>44915</v>
          </cell>
          <cell r="E1210">
            <v>127.27</v>
          </cell>
          <cell r="F1210">
            <v>116.789</v>
          </cell>
          <cell r="H1210">
            <v>173.91</v>
          </cell>
        </row>
        <row r="1211">
          <cell r="A1211">
            <v>44916</v>
          </cell>
          <cell r="E1211">
            <v>127.149</v>
          </cell>
          <cell r="F1211">
            <v>116.636</v>
          </cell>
          <cell r="H1211">
            <v>174.83</v>
          </cell>
        </row>
        <row r="1212">
          <cell r="A1212">
            <v>44917</v>
          </cell>
          <cell r="E1212">
            <v>126.258</v>
          </cell>
          <cell r="F1212">
            <v>115.988</v>
          </cell>
          <cell r="H1212">
            <v>175.3</v>
          </cell>
        </row>
        <row r="1213">
          <cell r="A1213">
            <v>44918</v>
          </cell>
          <cell r="E1213">
            <v>125.371</v>
          </cell>
          <cell r="F1213">
            <v>115.501</v>
          </cell>
          <cell r="H1213">
            <v>173.94</v>
          </cell>
        </row>
        <row r="1214">
          <cell r="A1214">
            <v>44921</v>
          </cell>
          <cell r="E1214">
            <v>126.913</v>
          </cell>
          <cell r="F1214">
            <v>116.486</v>
          </cell>
          <cell r="H1214">
            <v>174.48</v>
          </cell>
        </row>
        <row r="1215">
          <cell r="A1215">
            <v>44922</v>
          </cell>
          <cell r="E1215">
            <v>127.872</v>
          </cell>
          <cell r="F1215">
            <v>117.789</v>
          </cell>
          <cell r="H1215">
            <v>175.41</v>
          </cell>
        </row>
        <row r="1216">
          <cell r="A1216">
            <v>44923</v>
          </cell>
          <cell r="E1216">
            <v>127.236</v>
          </cell>
          <cell r="F1216">
            <v>117.033</v>
          </cell>
          <cell r="H1216">
            <v>175.86</v>
          </cell>
        </row>
        <row r="1217">
          <cell r="A1217">
            <v>44924</v>
          </cell>
          <cell r="E1217">
            <v>126.667</v>
          </cell>
          <cell r="F1217">
            <v>116.45399999999999</v>
          </cell>
          <cell r="H1217">
            <v>175.24</v>
          </cell>
        </row>
        <row r="1218">
          <cell r="A1218">
            <v>44925</v>
          </cell>
          <cell r="E1218">
            <v>126.53100000000001</v>
          </cell>
          <cell r="F1218">
            <v>116.48</v>
          </cell>
          <cell r="H1218">
            <v>174.36</v>
          </cell>
        </row>
        <row r="1219">
          <cell r="A1219">
            <v>44929</v>
          </cell>
          <cell r="E1219">
            <v>128.036</v>
          </cell>
          <cell r="F1219">
            <v>117.474</v>
          </cell>
          <cell r="H1219">
            <v>174.55</v>
          </cell>
        </row>
        <row r="1220">
          <cell r="A1220">
            <v>44930</v>
          </cell>
          <cell r="E1220">
            <v>128.42400000000001</v>
          </cell>
          <cell r="F1220">
            <v>118.05</v>
          </cell>
          <cell r="H1220">
            <v>175.04</v>
          </cell>
        </row>
        <row r="1221">
          <cell r="A1221">
            <v>44931</v>
          </cell>
          <cell r="E1221">
            <v>129.774</v>
          </cell>
          <cell r="F1221">
            <v>119.133</v>
          </cell>
          <cell r="H1221">
            <v>176.4</v>
          </cell>
        </row>
        <row r="1222">
          <cell r="A1222">
            <v>44932</v>
          </cell>
          <cell r="E1222">
            <v>130.61699999999999</v>
          </cell>
          <cell r="F1222">
            <v>119.688</v>
          </cell>
          <cell r="H1222">
            <v>177.87</v>
          </cell>
        </row>
        <row r="1223">
          <cell r="A1223">
            <v>44935</v>
          </cell>
          <cell r="E1223">
            <v>131.14099999999999</v>
          </cell>
          <cell r="F1223">
            <v>120.01</v>
          </cell>
          <cell r="H1223">
            <v>178.12</v>
          </cell>
        </row>
        <row r="1224">
          <cell r="A1224">
            <v>44936</v>
          </cell>
          <cell r="E1224">
            <v>130.583</v>
          </cell>
          <cell r="F1224">
            <v>119.5</v>
          </cell>
          <cell r="H1224">
            <v>177.33</v>
          </cell>
        </row>
        <row r="1225">
          <cell r="A1225">
            <v>44937</v>
          </cell>
          <cell r="E1225">
            <v>130.21100000000001</v>
          </cell>
          <cell r="F1225">
            <v>119.45099999999999</v>
          </cell>
          <cell r="H1225">
            <v>177.61</v>
          </cell>
        </row>
        <row r="1226">
          <cell r="A1226">
            <v>44938</v>
          </cell>
          <cell r="E1226">
            <v>130.30000000000001</v>
          </cell>
          <cell r="F1226">
            <v>119.694</v>
          </cell>
          <cell r="H1226">
            <v>177.81</v>
          </cell>
        </row>
        <row r="1227">
          <cell r="A1227">
            <v>44939</v>
          </cell>
          <cell r="E1227">
            <v>130.42400000000001</v>
          </cell>
          <cell r="F1227">
            <v>120.164</v>
          </cell>
          <cell r="H1227">
            <v>177.45</v>
          </cell>
        </row>
        <row r="1228">
          <cell r="A1228">
            <v>44942</v>
          </cell>
          <cell r="E1228">
            <v>131.48599999999999</v>
          </cell>
          <cell r="F1228">
            <v>121.107</v>
          </cell>
          <cell r="H1228">
            <v>177.82</v>
          </cell>
        </row>
        <row r="1229">
          <cell r="A1229">
            <v>44943</v>
          </cell>
          <cell r="E1229">
            <v>132.00399999999999</v>
          </cell>
          <cell r="F1229">
            <v>121.31699999999999</v>
          </cell>
          <cell r="H1229">
            <v>178.75</v>
          </cell>
        </row>
        <row r="1230">
          <cell r="A1230">
            <v>44944</v>
          </cell>
          <cell r="E1230">
            <v>132.57499999999999</v>
          </cell>
          <cell r="F1230">
            <v>121.83199999999999</v>
          </cell>
          <cell r="H1230">
            <v>179.32</v>
          </cell>
        </row>
        <row r="1231">
          <cell r="A1231">
            <v>44945</v>
          </cell>
          <cell r="E1231">
            <v>132.791</v>
          </cell>
          <cell r="F1231">
            <v>122.33199999999999</v>
          </cell>
          <cell r="H1231">
            <v>179.1</v>
          </cell>
        </row>
        <row r="1232">
          <cell r="A1232">
            <v>44946</v>
          </cell>
          <cell r="E1232">
            <v>133.61099999999999</v>
          </cell>
          <cell r="F1232">
            <v>122.789</v>
          </cell>
          <cell r="H1232">
            <v>179.72</v>
          </cell>
        </row>
        <row r="1233">
          <cell r="A1233">
            <v>44956</v>
          </cell>
          <cell r="E1233">
            <v>134.83500000000001</v>
          </cell>
          <cell r="F1233">
            <v>123.599</v>
          </cell>
          <cell r="H1233">
            <v>179.92</v>
          </cell>
        </row>
        <row r="1234">
          <cell r="A1234">
            <v>44957</v>
          </cell>
          <cell r="E1234">
            <v>134.71</v>
          </cell>
          <cell r="F1234">
            <v>123.378</v>
          </cell>
          <cell r="H1234">
            <v>178.91</v>
          </cell>
        </row>
        <row r="1235">
          <cell r="A1235">
            <v>44958</v>
          </cell>
          <cell r="E1235">
            <v>136.08699999999999</v>
          </cell>
          <cell r="F1235">
            <v>124.172</v>
          </cell>
          <cell r="H1235">
            <v>179.21</v>
          </cell>
        </row>
        <row r="1236">
          <cell r="A1236">
            <v>44959</v>
          </cell>
          <cell r="E1236">
            <v>136.68899999999999</v>
          </cell>
          <cell r="F1236">
            <v>124.801</v>
          </cell>
          <cell r="H1236">
            <v>179.7</v>
          </cell>
        </row>
        <row r="1237">
          <cell r="A1237">
            <v>44960</v>
          </cell>
          <cell r="E1237">
            <v>136.17599999999999</v>
          </cell>
          <cell r="F1237">
            <v>124.123</v>
          </cell>
          <cell r="H1237">
            <v>178.91</v>
          </cell>
        </row>
        <row r="1238">
          <cell r="A1238">
            <v>44963</v>
          </cell>
          <cell r="E1238">
            <v>134.90799999999999</v>
          </cell>
          <cell r="F1238">
            <v>123.20699999999999</v>
          </cell>
          <cell r="H1238">
            <v>176.68</v>
          </cell>
        </row>
        <row r="1239">
          <cell r="A1239">
            <v>44964</v>
          </cell>
          <cell r="E1239">
            <v>135.53299999999999</v>
          </cell>
          <cell r="F1239">
            <v>123.88800000000001</v>
          </cell>
          <cell r="H1239">
            <v>176.73</v>
          </cell>
        </row>
        <row r="1240">
          <cell r="A1240">
            <v>44965</v>
          </cell>
          <cell r="E1240">
            <v>135.12200000000001</v>
          </cell>
          <cell r="F1240">
            <v>123.26</v>
          </cell>
          <cell r="H1240">
            <v>176.4</v>
          </cell>
        </row>
        <row r="1241">
          <cell r="A1241">
            <v>44966</v>
          </cell>
          <cell r="E1241">
            <v>136.17599999999999</v>
          </cell>
          <cell r="F1241">
            <v>124.15300000000001</v>
          </cell>
          <cell r="H1241">
            <v>176.76</v>
          </cell>
        </row>
        <row r="1242">
          <cell r="A1242">
            <v>44967</v>
          </cell>
          <cell r="E1242">
            <v>135.946</v>
          </cell>
          <cell r="F1242">
            <v>124.276</v>
          </cell>
          <cell r="H1242">
            <v>176.57</v>
          </cell>
        </row>
        <row r="1243">
          <cell r="A1243">
            <v>44970</v>
          </cell>
          <cell r="E1243">
            <v>136.785</v>
          </cell>
          <cell r="F1243">
            <v>125.21599999999999</v>
          </cell>
          <cell r="H1243">
            <v>176.87</v>
          </cell>
        </row>
        <row r="1244">
          <cell r="A1244">
            <v>44971</v>
          </cell>
          <cell r="E1244">
            <v>136.78200000000001</v>
          </cell>
          <cell r="F1244">
            <v>125.167</v>
          </cell>
          <cell r="H1244">
            <v>176.41</v>
          </cell>
        </row>
        <row r="1245">
          <cell r="A1245">
            <v>44972</v>
          </cell>
          <cell r="E1245">
            <v>136.45599999999999</v>
          </cell>
          <cell r="F1245">
            <v>124.554</v>
          </cell>
          <cell r="H1245">
            <v>175.66</v>
          </cell>
        </row>
        <row r="1246">
          <cell r="A1246">
            <v>44973</v>
          </cell>
          <cell r="E1246">
            <v>134.887</v>
          </cell>
          <cell r="F1246">
            <v>123.20099999999999</v>
          </cell>
          <cell r="H1246">
            <v>175.76</v>
          </cell>
        </row>
        <row r="1247">
          <cell r="A1247">
            <v>44974</v>
          </cell>
          <cell r="E1247">
            <v>133.56</v>
          </cell>
          <cell r="F1247">
            <v>122.08799999999999</v>
          </cell>
          <cell r="H1247">
            <v>173.89</v>
          </cell>
        </row>
        <row r="1248">
          <cell r="A1248">
            <v>44977</v>
          </cell>
          <cell r="E1248">
            <v>134.767</v>
          </cell>
          <cell r="F1248">
            <v>123.181</v>
          </cell>
          <cell r="H1248">
            <v>174.54</v>
          </cell>
        </row>
        <row r="1249">
          <cell r="A1249">
            <v>44978</v>
          </cell>
          <cell r="E1249">
            <v>135.191</v>
          </cell>
          <cell r="F1249">
            <v>123.73099999999999</v>
          </cell>
          <cell r="H1249">
            <v>174.71</v>
          </cell>
        </row>
        <row r="1250">
          <cell r="A1250">
            <v>44979</v>
          </cell>
          <cell r="E1250">
            <v>135.05099999999999</v>
          </cell>
          <cell r="F1250">
            <v>123.872</v>
          </cell>
          <cell r="H1250">
            <v>174.36</v>
          </cell>
        </row>
        <row r="1251">
          <cell r="A1251">
            <v>44980</v>
          </cell>
          <cell r="E1251">
            <v>134.82599999999999</v>
          </cell>
          <cell r="F1251">
            <v>123.184</v>
          </cell>
          <cell r="H1251">
            <v>174.16</v>
          </cell>
        </row>
        <row r="1252">
          <cell r="A1252">
            <v>44981</v>
          </cell>
          <cell r="E1252">
            <v>134.477</v>
          </cell>
          <cell r="F1252">
            <v>122.819</v>
          </cell>
          <cell r="H1252">
            <v>174.1</v>
          </cell>
        </row>
        <row r="1253">
          <cell r="A1253">
            <v>44984</v>
          </cell>
          <cell r="E1253">
            <v>133.941</v>
          </cell>
          <cell r="F1253">
            <v>122.699</v>
          </cell>
          <cell r="H1253">
            <v>174.37</v>
          </cell>
        </row>
        <row r="1254">
          <cell r="A1254">
            <v>44985</v>
          </cell>
          <cell r="E1254">
            <v>134.21199999999999</v>
          </cell>
          <cell r="F1254">
            <v>122.85</v>
          </cell>
          <cell r="H1254">
            <v>173.78</v>
          </cell>
        </row>
        <row r="1255">
          <cell r="A1255">
            <v>44986</v>
          </cell>
          <cell r="E1255">
            <v>135.327</v>
          </cell>
          <cell r="F1255">
            <v>124.02200000000001</v>
          </cell>
          <cell r="H1255">
            <v>174.86</v>
          </cell>
        </row>
        <row r="1256">
          <cell r="A1256">
            <v>44987</v>
          </cell>
          <cell r="E1256">
            <v>135.09</v>
          </cell>
          <cell r="F1256">
            <v>123.568</v>
          </cell>
          <cell r="H1256">
            <v>175.17</v>
          </cell>
        </row>
        <row r="1257">
          <cell r="A1257">
            <v>44988</v>
          </cell>
          <cell r="E1257">
            <v>134.91399999999999</v>
          </cell>
          <cell r="F1257">
            <v>124.006</v>
          </cell>
          <cell r="H1257">
            <v>175.56</v>
          </cell>
        </row>
        <row r="1258">
          <cell r="A1258">
            <v>44991</v>
          </cell>
          <cell r="E1258">
            <v>135.30099999999999</v>
          </cell>
          <cell r="F1258">
            <v>124.42400000000001</v>
          </cell>
          <cell r="H1258">
            <v>176.29</v>
          </cell>
        </row>
        <row r="1259">
          <cell r="A1259">
            <v>44992</v>
          </cell>
          <cell r="E1259">
            <v>134.11500000000001</v>
          </cell>
          <cell r="F1259">
            <v>123.08</v>
          </cell>
          <cell r="H1259">
            <v>176.98</v>
          </cell>
        </row>
        <row r="1260">
          <cell r="A1260">
            <v>44993</v>
          </cell>
          <cell r="E1260">
            <v>134.14699999999999</v>
          </cell>
          <cell r="F1260">
            <v>122.883</v>
          </cell>
          <cell r="H1260">
            <v>176.2</v>
          </cell>
        </row>
        <row r="1261">
          <cell r="A1261">
            <v>44994</v>
          </cell>
          <cell r="E1261">
            <v>134.27699999999999</v>
          </cell>
          <cell r="F1261">
            <v>123.003</v>
          </cell>
          <cell r="H1261">
            <v>176.1</v>
          </cell>
        </row>
        <row r="1262">
          <cell r="A1262">
            <v>44995</v>
          </cell>
          <cell r="E1262">
            <v>133.381</v>
          </cell>
          <cell r="F1262">
            <v>121.943</v>
          </cell>
          <cell r="H1262">
            <v>176.57</v>
          </cell>
        </row>
        <row r="1263">
          <cell r="A1263">
            <v>44998</v>
          </cell>
          <cell r="E1263">
            <v>133.768</v>
          </cell>
          <cell r="F1263">
            <v>122.121</v>
          </cell>
          <cell r="H1263">
            <v>177.09</v>
          </cell>
        </row>
        <row r="1264">
          <cell r="A1264">
            <v>44999</v>
          </cell>
          <cell r="E1264">
            <v>133.518</v>
          </cell>
          <cell r="F1264">
            <v>121.699</v>
          </cell>
          <cell r="H1264">
            <v>178.08</v>
          </cell>
        </row>
        <row r="1265">
          <cell r="A1265">
            <v>45000</v>
          </cell>
          <cell r="E1265">
            <v>134.00899999999999</v>
          </cell>
          <cell r="F1265">
            <v>122.09</v>
          </cell>
          <cell r="H1265">
            <v>177.64</v>
          </cell>
        </row>
        <row r="1266">
          <cell r="A1266">
            <v>45001</v>
          </cell>
          <cell r="E1266">
            <v>132.88300000000001</v>
          </cell>
          <cell r="F1266">
            <v>120.999</v>
          </cell>
          <cell r="H1266">
            <v>177.9</v>
          </cell>
        </row>
        <row r="1267">
          <cell r="A1267">
            <v>45002</v>
          </cell>
          <cell r="E1267">
            <v>133.42699999999999</v>
          </cell>
          <cell r="F1267">
            <v>121.45699999999999</v>
          </cell>
          <cell r="H1267">
            <v>178.14</v>
          </cell>
        </row>
        <row r="1268">
          <cell r="A1268">
            <v>45005</v>
          </cell>
          <cell r="E1268">
            <v>133.41999999999999</v>
          </cell>
          <cell r="F1268">
            <v>121.879</v>
          </cell>
          <cell r="H1268">
            <v>178.63</v>
          </cell>
        </row>
        <row r="1269">
          <cell r="A1269">
            <v>45006</v>
          </cell>
          <cell r="E1269">
            <v>134.56100000000001</v>
          </cell>
          <cell r="F1269">
            <v>122.58199999999999</v>
          </cell>
          <cell r="H1269">
            <v>178.78</v>
          </cell>
        </row>
        <row r="1270">
          <cell r="A1270">
            <v>45007</v>
          </cell>
          <cell r="E1270">
            <v>134.94300000000001</v>
          </cell>
          <cell r="F1270">
            <v>123.194</v>
          </cell>
          <cell r="H1270">
            <v>178.85</v>
          </cell>
        </row>
        <row r="1271">
          <cell r="A1271">
            <v>45008</v>
          </cell>
          <cell r="E1271">
            <v>134.90100000000001</v>
          </cell>
          <cell r="F1271">
            <v>123.29900000000001</v>
          </cell>
          <cell r="H1271">
            <v>178.73</v>
          </cell>
        </row>
        <row r="1272">
          <cell r="A1272">
            <v>45009</v>
          </cell>
          <cell r="E1272">
            <v>134.834</v>
          </cell>
          <cell r="F1272">
            <v>123.045</v>
          </cell>
          <cell r="H1272">
            <v>178.69</v>
          </cell>
        </row>
        <row r="1273">
          <cell r="A1273">
            <v>45012</v>
          </cell>
          <cell r="E1273">
            <v>134.91900000000001</v>
          </cell>
          <cell r="F1273">
            <v>123.093</v>
          </cell>
          <cell r="H1273">
            <v>178.75</v>
          </cell>
        </row>
        <row r="1274">
          <cell r="A1274">
            <v>45013</v>
          </cell>
          <cell r="E1274">
            <v>134.34</v>
          </cell>
          <cell r="F1274">
            <v>122.545</v>
          </cell>
          <cell r="H1274">
            <v>178.77</v>
          </cell>
        </row>
        <row r="1275">
          <cell r="A1275">
            <v>45014</v>
          </cell>
          <cell r="E1275">
            <v>133.97900000000001</v>
          </cell>
          <cell r="F1275">
            <v>122.07899999999999</v>
          </cell>
          <cell r="H1275">
            <v>178.9</v>
          </cell>
        </row>
        <row r="1276">
          <cell r="A1276">
            <v>45015</v>
          </cell>
          <cell r="E1276">
            <v>133.61500000000001</v>
          </cell>
          <cell r="F1276">
            <v>122.417</v>
          </cell>
          <cell r="H1276">
            <v>178.65</v>
          </cell>
        </row>
        <row r="1277">
          <cell r="A1277">
            <v>45016</v>
          </cell>
          <cell r="E1277">
            <v>134.23400000000001</v>
          </cell>
          <cell r="F1277">
            <v>122.696</v>
          </cell>
          <cell r="H1277">
            <v>178.9</v>
          </cell>
        </row>
        <row r="1278">
          <cell r="A1278">
            <v>45019</v>
          </cell>
          <cell r="E1278">
            <v>135.15100000000001</v>
          </cell>
          <cell r="F1278">
            <v>124</v>
          </cell>
          <cell r="H1278">
            <v>179.59</v>
          </cell>
        </row>
        <row r="1279">
          <cell r="A1279">
            <v>45020</v>
          </cell>
          <cell r="E1279">
            <v>134.66800000000001</v>
          </cell>
          <cell r="F1279">
            <v>123.57599999999999</v>
          </cell>
          <cell r="H1279">
            <v>180.36</v>
          </cell>
        </row>
        <row r="1280">
          <cell r="A1280">
            <v>45022</v>
          </cell>
          <cell r="E1280">
            <v>134.898</v>
          </cell>
          <cell r="F1280">
            <v>123.739</v>
          </cell>
          <cell r="H1280">
            <v>180.83</v>
          </cell>
        </row>
        <row r="1281">
          <cell r="A1281">
            <v>45023</v>
          </cell>
          <cell r="E1281">
            <v>135.59100000000001</v>
          </cell>
          <cell r="F1281">
            <v>124.482</v>
          </cell>
          <cell r="H1281">
            <v>180.88</v>
          </cell>
        </row>
        <row r="1282">
          <cell r="A1282">
            <v>45026</v>
          </cell>
          <cell r="E1282">
            <v>134.72300000000001</v>
          </cell>
          <cell r="F1282">
            <v>124.128</v>
          </cell>
          <cell r="H1282">
            <v>180.83</v>
          </cell>
        </row>
        <row r="1283">
          <cell r="A1283">
            <v>45027</v>
          </cell>
          <cell r="E1283">
            <v>134.15</v>
          </cell>
          <cell r="F1283">
            <v>123.78100000000001</v>
          </cell>
          <cell r="H1283">
            <v>179.79</v>
          </cell>
        </row>
        <row r="1284">
          <cell r="A1284">
            <v>45028</v>
          </cell>
          <cell r="E1284">
            <v>134.38499999999999</v>
          </cell>
          <cell r="F1284">
            <v>123.9</v>
          </cell>
          <cell r="H1284">
            <v>179.52</v>
          </cell>
        </row>
        <row r="1285">
          <cell r="A1285">
            <v>45029</v>
          </cell>
          <cell r="E1285">
            <v>133.78800000000001</v>
          </cell>
          <cell r="F1285">
            <v>123.773</v>
          </cell>
          <cell r="H1285">
            <v>179.22</v>
          </cell>
        </row>
        <row r="1286">
          <cell r="A1286">
            <v>45030</v>
          </cell>
          <cell r="E1286">
            <v>134.58699999999999</v>
          </cell>
          <cell r="F1286">
            <v>124.001</v>
          </cell>
          <cell r="H1286">
            <v>179.89</v>
          </cell>
        </row>
        <row r="1287">
          <cell r="A1287">
            <v>45033</v>
          </cell>
          <cell r="E1287">
            <v>134.828</v>
          </cell>
          <cell r="F1287">
            <v>124.271</v>
          </cell>
          <cell r="H1287">
            <v>179.99</v>
          </cell>
        </row>
        <row r="1288">
          <cell r="A1288">
            <v>45034</v>
          </cell>
          <cell r="E1288">
            <v>134.47900000000001</v>
          </cell>
          <cell r="F1288">
            <v>124.55</v>
          </cell>
          <cell r="H1288">
            <v>180.33</v>
          </cell>
        </row>
        <row r="1289">
          <cell r="A1289">
            <v>45035</v>
          </cell>
          <cell r="E1289">
            <v>133.857</v>
          </cell>
          <cell r="F1289">
            <v>123.91500000000001</v>
          </cell>
          <cell r="H1289">
            <v>179.82</v>
          </cell>
        </row>
        <row r="1290">
          <cell r="A1290">
            <v>45036</v>
          </cell>
          <cell r="E1290">
            <v>132.964</v>
          </cell>
          <cell r="F1290">
            <v>122.777</v>
          </cell>
          <cell r="H1290">
            <v>179</v>
          </cell>
        </row>
        <row r="1291">
          <cell r="A1291">
            <v>45037</v>
          </cell>
          <cell r="E1291">
            <v>130.875</v>
          </cell>
          <cell r="F1291">
            <v>120.959</v>
          </cell>
          <cell r="H1291">
            <v>178.8</v>
          </cell>
        </row>
        <row r="1292">
          <cell r="A1292">
            <v>45040</v>
          </cell>
          <cell r="E1292">
            <v>129.66399999999999</v>
          </cell>
          <cell r="F1292">
            <v>119.86799999999999</v>
          </cell>
          <cell r="H1292">
            <v>177.02</v>
          </cell>
        </row>
        <row r="1293">
          <cell r="A1293">
            <v>45041</v>
          </cell>
          <cell r="E1293">
            <v>128.965</v>
          </cell>
          <cell r="F1293">
            <v>119.044</v>
          </cell>
          <cell r="H1293">
            <v>179.23</v>
          </cell>
        </row>
        <row r="1294">
          <cell r="A1294">
            <v>45042</v>
          </cell>
          <cell r="E1294">
            <v>129.941</v>
          </cell>
          <cell r="F1294">
            <v>120.43600000000001</v>
          </cell>
          <cell r="H1294">
            <v>179.36</v>
          </cell>
        </row>
        <row r="1295">
          <cell r="A1295">
            <v>45043</v>
          </cell>
          <cell r="E1295">
            <v>130.43299999999999</v>
          </cell>
          <cell r="F1295">
            <v>120.901</v>
          </cell>
          <cell r="H1295">
            <v>179.93</v>
          </cell>
        </row>
        <row r="1296">
          <cell r="A1296">
            <v>45044</v>
          </cell>
          <cell r="E1296">
            <v>131.04300000000001</v>
          </cell>
          <cell r="F1296">
            <v>121.498</v>
          </cell>
          <cell r="H1296">
            <v>179.49</v>
          </cell>
        </row>
        <row r="1297">
          <cell r="A1297">
            <v>45050</v>
          </cell>
          <cell r="E1297">
            <v>130.928</v>
          </cell>
          <cell r="F1297">
            <v>121.31399999999999</v>
          </cell>
          <cell r="H1297">
            <v>178.29</v>
          </cell>
        </row>
        <row r="1298">
          <cell r="A1298">
            <v>45051</v>
          </cell>
          <cell r="E1298">
            <v>129.26599999999999</v>
          </cell>
          <cell r="F1298">
            <v>119.92100000000001</v>
          </cell>
          <cell r="H1298">
            <v>176.82</v>
          </cell>
        </row>
        <row r="1299">
          <cell r="A1299">
            <v>45054</v>
          </cell>
          <cell r="E1299">
            <v>129.60499999999999</v>
          </cell>
          <cell r="F1299">
            <v>120.121</v>
          </cell>
          <cell r="H1299">
            <v>177.07</v>
          </cell>
        </row>
        <row r="1300">
          <cell r="A1300">
            <v>45055</v>
          </cell>
          <cell r="E1300">
            <v>128.61699999999999</v>
          </cell>
          <cell r="F1300">
            <v>119.521</v>
          </cell>
          <cell r="H1300">
            <v>177.4</v>
          </cell>
        </row>
        <row r="1301">
          <cell r="A1301">
            <v>45056</v>
          </cell>
          <cell r="E1301">
            <v>128.80600000000001</v>
          </cell>
          <cell r="F1301">
            <v>119.654</v>
          </cell>
          <cell r="H1301">
            <v>176.84</v>
          </cell>
        </row>
        <row r="1302">
          <cell r="A1302">
            <v>45057</v>
          </cell>
          <cell r="E1302">
            <v>129.215</v>
          </cell>
          <cell r="F1302">
            <v>119.959</v>
          </cell>
          <cell r="H1302">
            <v>177.2</v>
          </cell>
        </row>
        <row r="1303">
          <cell r="A1303">
            <v>45058</v>
          </cell>
          <cell r="E1303">
            <v>127.072</v>
          </cell>
          <cell r="F1303">
            <v>118.081</v>
          </cell>
          <cell r="H1303">
            <v>174.03</v>
          </cell>
        </row>
        <row r="1304">
          <cell r="A1304">
            <v>45061</v>
          </cell>
          <cell r="E1304">
            <v>127.657</v>
          </cell>
          <cell r="F1304">
            <v>118.74299999999999</v>
          </cell>
          <cell r="H1304">
            <v>173.71</v>
          </cell>
        </row>
        <row r="1305">
          <cell r="A1305">
            <v>45062</v>
          </cell>
          <cell r="E1305">
            <v>127.94499999999999</v>
          </cell>
          <cell r="F1305">
            <v>118.749</v>
          </cell>
          <cell r="H1305">
            <v>175.15</v>
          </cell>
        </row>
        <row r="1306">
          <cell r="A1306">
            <v>45063</v>
          </cell>
          <cell r="E1306">
            <v>128.536</v>
          </cell>
          <cell r="F1306">
            <v>119.191</v>
          </cell>
          <cell r="H1306">
            <v>175.36</v>
          </cell>
        </row>
        <row r="1307">
          <cell r="A1307">
            <v>45064</v>
          </cell>
          <cell r="E1307">
            <v>128.72800000000001</v>
          </cell>
          <cell r="F1307">
            <v>119.205</v>
          </cell>
          <cell r="H1307">
            <v>175.87</v>
          </cell>
        </row>
        <row r="1308">
          <cell r="A1308">
            <v>45065</v>
          </cell>
          <cell r="E1308">
            <v>128.91</v>
          </cell>
          <cell r="F1308">
            <v>119.69799999999999</v>
          </cell>
          <cell r="H1308">
            <v>175.81</v>
          </cell>
        </row>
        <row r="1309">
          <cell r="A1309">
            <v>45068</v>
          </cell>
          <cell r="E1309">
            <v>129.065</v>
          </cell>
          <cell r="F1309">
            <v>120</v>
          </cell>
          <cell r="H1309">
            <v>175.46</v>
          </cell>
        </row>
        <row r="1310">
          <cell r="A1310">
            <v>45069</v>
          </cell>
          <cell r="E1310">
            <v>128.636</v>
          </cell>
          <cell r="F1310">
            <v>119.39</v>
          </cell>
          <cell r="H1310">
            <v>175.68</v>
          </cell>
        </row>
        <row r="1311">
          <cell r="A1311">
            <v>45070</v>
          </cell>
          <cell r="E1311">
            <v>128.273</v>
          </cell>
          <cell r="F1311">
            <v>119.251</v>
          </cell>
          <cell r="H1311">
            <v>175.08</v>
          </cell>
        </row>
        <row r="1312">
          <cell r="A1312">
            <v>45071</v>
          </cell>
          <cell r="E1312">
            <v>128.155</v>
          </cell>
          <cell r="F1312">
            <v>119.432</v>
          </cell>
          <cell r="H1312">
            <v>174.93</v>
          </cell>
        </row>
        <row r="1313">
          <cell r="A1313">
            <v>45072</v>
          </cell>
          <cell r="E1313">
            <v>128.762</v>
          </cell>
          <cell r="F1313">
            <v>119.874</v>
          </cell>
          <cell r="H1313">
            <v>175.71</v>
          </cell>
        </row>
        <row r="1314">
          <cell r="A1314">
            <v>45075</v>
          </cell>
          <cell r="E1314">
            <v>128.60499999999999</v>
          </cell>
          <cell r="F1314">
            <v>119.298</v>
          </cell>
          <cell r="H1314">
            <v>176.36</v>
          </cell>
        </row>
        <row r="1315">
          <cell r="A1315">
            <v>45076</v>
          </cell>
          <cell r="E1315">
            <v>128.79499999999999</v>
          </cell>
          <cell r="F1315">
            <v>119.687</v>
          </cell>
          <cell r="H1315">
            <v>176.25</v>
          </cell>
        </row>
        <row r="1316">
          <cell r="A1316">
            <v>45077</v>
          </cell>
          <cell r="E1316">
            <v>128.892</v>
          </cell>
          <cell r="F1316">
            <v>119.295</v>
          </cell>
          <cell r="H1316">
            <v>177.15</v>
          </cell>
        </row>
        <row r="1317">
          <cell r="A1317">
            <v>45078</v>
          </cell>
          <cell r="E1317">
            <v>129.21899999999999</v>
          </cell>
          <cell r="F1317">
            <v>119.501</v>
          </cell>
          <cell r="H1317">
            <v>177.59</v>
          </cell>
        </row>
        <row r="1318">
          <cell r="A1318">
            <v>45079</v>
          </cell>
          <cell r="E1318">
            <v>130.50200000000001</v>
          </cell>
          <cell r="F1318">
            <v>120.93300000000001</v>
          </cell>
          <cell r="H1318">
            <v>178.54</v>
          </cell>
        </row>
        <row r="1319">
          <cell r="A1319">
            <v>45082</v>
          </cell>
          <cell r="E1319">
            <v>130.49100000000001</v>
          </cell>
          <cell r="F1319">
            <v>120.643</v>
          </cell>
          <cell r="H1319">
            <v>178.39</v>
          </cell>
        </row>
        <row r="1320">
          <cell r="A1320">
            <v>45083</v>
          </cell>
          <cell r="E1320">
            <v>129.56299999999999</v>
          </cell>
          <cell r="F1320">
            <v>120.1</v>
          </cell>
          <cell r="H1320">
            <v>179.02</v>
          </cell>
        </row>
        <row r="1321">
          <cell r="A1321">
            <v>45084</v>
          </cell>
          <cell r="E1321">
            <v>129.46299999999999</v>
          </cell>
          <cell r="F1321">
            <v>120.035</v>
          </cell>
          <cell r="H1321">
            <v>178.71</v>
          </cell>
        </row>
        <row r="1322">
          <cell r="A1322">
            <v>45085</v>
          </cell>
          <cell r="E1322">
            <v>129.51900000000001</v>
          </cell>
          <cell r="F1322">
            <v>120.252</v>
          </cell>
          <cell r="H1322">
            <v>179.22</v>
          </cell>
        </row>
        <row r="1323">
          <cell r="A1323">
            <v>45086</v>
          </cell>
          <cell r="E1323">
            <v>130.16399999999999</v>
          </cell>
          <cell r="F1323">
            <v>120.526</v>
          </cell>
          <cell r="H1323">
            <v>180.19</v>
          </cell>
        </row>
        <row r="1324">
          <cell r="A1324">
            <v>45089</v>
          </cell>
          <cell r="E1324">
            <v>131.01</v>
          </cell>
          <cell r="F1324">
            <v>121.35599999999999</v>
          </cell>
          <cell r="H1324">
            <v>180.58</v>
          </cell>
        </row>
        <row r="1325">
          <cell r="A1325">
            <v>45090</v>
          </cell>
          <cell r="E1325">
            <v>131.44800000000001</v>
          </cell>
          <cell r="F1325">
            <v>121.492</v>
          </cell>
          <cell r="H1325">
            <v>181.13</v>
          </cell>
        </row>
        <row r="1326">
          <cell r="A1326">
            <v>45091</v>
          </cell>
          <cell r="E1326">
            <v>131.845</v>
          </cell>
          <cell r="F1326">
            <v>121.849</v>
          </cell>
          <cell r="H1326">
            <v>181.95</v>
          </cell>
        </row>
        <row r="1327">
          <cell r="A1327">
            <v>45092</v>
          </cell>
          <cell r="E1327">
            <v>132.608</v>
          </cell>
          <cell r="F1327">
            <v>122.38500000000001</v>
          </cell>
          <cell r="H1327">
            <v>182.25</v>
          </cell>
        </row>
        <row r="1328">
          <cell r="A1328">
            <v>45093</v>
          </cell>
          <cell r="E1328">
            <v>132.899</v>
          </cell>
          <cell r="F1328">
            <v>122.675</v>
          </cell>
          <cell r="H1328">
            <v>182.07</v>
          </cell>
        </row>
        <row r="1329">
          <cell r="A1329">
            <v>45096</v>
          </cell>
          <cell r="E1329">
            <v>132.61699999999999</v>
          </cell>
          <cell r="F1329">
            <v>122</v>
          </cell>
          <cell r="H1329">
            <v>181.94</v>
          </cell>
        </row>
        <row r="1330">
          <cell r="A1330">
            <v>45097</v>
          </cell>
          <cell r="E1330">
            <v>132.29599999999999</v>
          </cell>
          <cell r="F1330">
            <v>121.78</v>
          </cell>
          <cell r="H1330">
            <v>182.09</v>
          </cell>
        </row>
        <row r="1331">
          <cell r="A1331">
            <v>45098</v>
          </cell>
          <cell r="E1331">
            <v>131.19300000000001</v>
          </cell>
          <cell r="F1331">
            <v>121.212</v>
          </cell>
          <cell r="H1331">
            <v>182.1</v>
          </cell>
        </row>
        <row r="1332">
          <cell r="A1332">
            <v>45103</v>
          </cell>
          <cell r="E1332">
            <v>130.16800000000001</v>
          </cell>
          <cell r="F1332">
            <v>120.214</v>
          </cell>
          <cell r="H1332">
            <v>182</v>
          </cell>
        </row>
        <row r="1333">
          <cell r="A1333">
            <v>45104</v>
          </cell>
          <cell r="E1333">
            <v>131.29900000000001</v>
          </cell>
          <cell r="F1333">
            <v>120.979</v>
          </cell>
          <cell r="H1333">
            <v>181.22</v>
          </cell>
        </row>
        <row r="1334">
          <cell r="A1334">
            <v>45105</v>
          </cell>
          <cell r="E1334">
            <v>131.143</v>
          </cell>
          <cell r="F1334">
            <v>121.313</v>
          </cell>
          <cell r="H1334">
            <v>181.06</v>
          </cell>
        </row>
        <row r="1335">
          <cell r="A1335">
            <v>45106</v>
          </cell>
          <cell r="E1335">
            <v>131.58000000000001</v>
          </cell>
          <cell r="F1335">
            <v>121.42</v>
          </cell>
          <cell r="H1335">
            <v>180.66</v>
          </cell>
        </row>
        <row r="1336">
          <cell r="A1336">
            <v>45107</v>
          </cell>
          <cell r="E1336">
            <v>132.041</v>
          </cell>
          <cell r="F1336">
            <v>122.417</v>
          </cell>
          <cell r="H1336">
            <v>179.67</v>
          </cell>
        </row>
        <row r="1337">
          <cell r="A1337">
            <v>45110</v>
          </cell>
          <cell r="E1337">
            <v>132.709</v>
          </cell>
          <cell r="F1337">
            <v>122.79900000000001</v>
          </cell>
          <cell r="H1337">
            <v>180.31</v>
          </cell>
        </row>
        <row r="1338">
          <cell r="A1338">
            <v>45111</v>
          </cell>
          <cell r="E1338">
            <v>133.02500000000001</v>
          </cell>
          <cell r="F1338">
            <v>122.77500000000001</v>
          </cell>
          <cell r="H1338">
            <v>180.32</v>
          </cell>
        </row>
        <row r="1339">
          <cell r="A1339">
            <v>45112</v>
          </cell>
          <cell r="E1339">
            <v>132.76499999999999</v>
          </cell>
          <cell r="F1339">
            <v>122.557</v>
          </cell>
          <cell r="H1339">
            <v>180.71</v>
          </cell>
        </row>
        <row r="1340">
          <cell r="A1340">
            <v>45113</v>
          </cell>
          <cell r="E1340">
            <v>132.85</v>
          </cell>
          <cell r="F1340">
            <v>122.85</v>
          </cell>
          <cell r="H1340">
            <v>181.03</v>
          </cell>
        </row>
        <row r="1341">
          <cell r="A1341">
            <v>45114</v>
          </cell>
          <cell r="E1341">
            <v>132.547</v>
          </cell>
          <cell r="F1341">
            <v>122.765</v>
          </cell>
          <cell r="H1341">
            <v>181.31</v>
          </cell>
        </row>
        <row r="1342">
          <cell r="A1342">
            <v>45117</v>
          </cell>
          <cell r="E1342">
            <v>132.179</v>
          </cell>
          <cell r="F1342">
            <v>123.02</v>
          </cell>
          <cell r="H1342">
            <v>180.63</v>
          </cell>
        </row>
        <row r="1343">
          <cell r="A1343">
            <v>45118</v>
          </cell>
          <cell r="E1343">
            <v>132.79</v>
          </cell>
          <cell r="F1343">
            <v>123.251</v>
          </cell>
          <cell r="H1343">
            <v>180.45</v>
          </cell>
        </row>
        <row r="1344">
          <cell r="A1344">
            <v>45119</v>
          </cell>
          <cell r="E1344">
            <v>132.29900000000001</v>
          </cell>
          <cell r="F1344">
            <v>122.85</v>
          </cell>
          <cell r="H1344">
            <v>181.04</v>
          </cell>
        </row>
        <row r="1345">
          <cell r="A1345">
            <v>45120</v>
          </cell>
          <cell r="E1345">
            <v>132.86600000000001</v>
          </cell>
          <cell r="F1345">
            <v>123.366</v>
          </cell>
          <cell r="H1345">
            <v>180.92</v>
          </cell>
        </row>
        <row r="1346">
          <cell r="A1346">
            <v>45121</v>
          </cell>
          <cell r="E1346">
            <v>132.166</v>
          </cell>
          <cell r="F1346">
            <v>122.995</v>
          </cell>
          <cell r="H1346">
            <v>180.3</v>
          </cell>
        </row>
        <row r="1347">
          <cell r="A1347">
            <v>45124</v>
          </cell>
          <cell r="E1347">
            <v>131.54</v>
          </cell>
          <cell r="F1347">
            <v>122.98</v>
          </cell>
          <cell r="H1347">
            <v>179.36</v>
          </cell>
        </row>
        <row r="1348">
          <cell r="A1348">
            <v>45125</v>
          </cell>
          <cell r="E1348">
            <v>132.03700000000001</v>
          </cell>
          <cell r="F1348">
            <v>123.386</v>
          </cell>
          <cell r="H1348">
            <v>179.86</v>
          </cell>
        </row>
        <row r="1349">
          <cell r="A1349">
            <v>45126</v>
          </cell>
          <cell r="E1349">
            <v>132.1</v>
          </cell>
          <cell r="F1349">
            <v>123.37</v>
          </cell>
          <cell r="H1349">
            <v>180.28</v>
          </cell>
        </row>
        <row r="1350">
          <cell r="A1350">
            <v>45127</v>
          </cell>
          <cell r="E1350">
            <v>131.363</v>
          </cell>
          <cell r="F1350">
            <v>123.279</v>
          </cell>
          <cell r="H1350">
            <v>180.47</v>
          </cell>
        </row>
        <row r="1351">
          <cell r="A1351">
            <v>45128</v>
          </cell>
          <cell r="E1351">
            <v>131.14400000000001</v>
          </cell>
          <cell r="F1351">
            <v>122.898</v>
          </cell>
          <cell r="H1351">
            <v>180.04</v>
          </cell>
        </row>
        <row r="1352">
          <cell r="A1352">
            <v>45131</v>
          </cell>
          <cell r="E1352">
            <v>131.00299999999999</v>
          </cell>
          <cell r="F1352">
            <v>122.794</v>
          </cell>
          <cell r="H1352">
            <v>180.05</v>
          </cell>
        </row>
        <row r="1353">
          <cell r="A1353">
            <v>45132</v>
          </cell>
          <cell r="E1353">
            <v>132.494</v>
          </cell>
          <cell r="F1353">
            <v>123.881</v>
          </cell>
          <cell r="H1353">
            <v>180.45</v>
          </cell>
        </row>
        <row r="1354">
          <cell r="A1354">
            <v>45133</v>
          </cell>
          <cell r="E1354">
            <v>132.07400000000001</v>
          </cell>
          <cell r="F1354">
            <v>124.1</v>
          </cell>
          <cell r="H1354">
            <v>180.27</v>
          </cell>
        </row>
        <row r="1355">
          <cell r="A1355">
            <v>45134</v>
          </cell>
          <cell r="E1355">
            <v>131.70400000000001</v>
          </cell>
          <cell r="F1355">
            <v>123.72</v>
          </cell>
          <cell r="H1355">
            <v>180.74</v>
          </cell>
        </row>
        <row r="1356">
          <cell r="A1356">
            <v>45135</v>
          </cell>
          <cell r="E1356">
            <v>132.43899999999999</v>
          </cell>
          <cell r="F1356">
            <v>124.58499999999999</v>
          </cell>
          <cell r="H1356">
            <v>180.84</v>
          </cell>
        </row>
        <row r="1357">
          <cell r="A1357">
            <v>45138</v>
          </cell>
          <cell r="E1357">
            <v>133.36199999999999</v>
          </cell>
          <cell r="F1357">
            <v>124.785</v>
          </cell>
          <cell r="H1357">
            <v>181.18</v>
          </cell>
        </row>
        <row r="1358">
          <cell r="A1358">
            <v>45139</v>
          </cell>
          <cell r="E1358">
            <v>132.97900000000001</v>
          </cell>
          <cell r="F1358">
            <v>124.2</v>
          </cell>
          <cell r="H1358">
            <v>180.62</v>
          </cell>
        </row>
        <row r="1359">
          <cell r="A1359">
            <v>45140</v>
          </cell>
          <cell r="E1359">
            <v>133.25</v>
          </cell>
          <cell r="F1359">
            <v>124.056</v>
          </cell>
          <cell r="H1359">
            <v>181.08</v>
          </cell>
        </row>
        <row r="1360">
          <cell r="A1360">
            <v>45141</v>
          </cell>
          <cell r="E1360">
            <v>133.505</v>
          </cell>
          <cell r="F1360">
            <v>124.197</v>
          </cell>
          <cell r="H1360">
            <v>181.4</v>
          </cell>
        </row>
        <row r="1361">
          <cell r="A1361">
            <v>45142</v>
          </cell>
          <cell r="E1361">
            <v>133.92500000000001</v>
          </cell>
          <cell r="F1361">
            <v>124.499</v>
          </cell>
          <cell r="H1361">
            <v>182.19</v>
          </cell>
        </row>
        <row r="1362">
          <cell r="A1362">
            <v>45145</v>
          </cell>
          <cell r="E1362">
            <v>133.38499999999999</v>
          </cell>
          <cell r="F1362">
            <v>123.78700000000001</v>
          </cell>
          <cell r="H1362">
            <v>182.33</v>
          </cell>
        </row>
        <row r="1363">
          <cell r="A1363">
            <v>45146</v>
          </cell>
          <cell r="E1363">
            <v>133.23599999999999</v>
          </cell>
          <cell r="F1363">
            <v>123.464</v>
          </cell>
          <cell r="H1363">
            <v>182.08</v>
          </cell>
        </row>
        <row r="1364">
          <cell r="A1364">
            <v>45147</v>
          </cell>
          <cell r="E1364">
            <v>132.9</v>
          </cell>
          <cell r="F1364">
            <v>123.08499999999999</v>
          </cell>
          <cell r="H1364">
            <v>182.66</v>
          </cell>
        </row>
        <row r="1365">
          <cell r="A1365">
            <v>45148</v>
          </cell>
          <cell r="E1365">
            <v>132.75399999999999</v>
          </cell>
          <cell r="F1365">
            <v>123.232</v>
          </cell>
          <cell r="H1365">
            <v>182.2</v>
          </cell>
        </row>
        <row r="1366">
          <cell r="A1366">
            <v>45149</v>
          </cell>
          <cell r="E1366">
            <v>132.33600000000001</v>
          </cell>
          <cell r="F1366">
            <v>123.008</v>
          </cell>
          <cell r="H1366">
            <v>183.75</v>
          </cell>
        </row>
        <row r="1367">
          <cell r="A1367">
            <v>45152</v>
          </cell>
          <cell r="E1367">
            <v>132.1</v>
          </cell>
          <cell r="F1367">
            <v>122.64</v>
          </cell>
          <cell r="H1367">
            <v>183.11</v>
          </cell>
        </row>
        <row r="1368">
          <cell r="A1368">
            <v>45153</v>
          </cell>
          <cell r="E1368">
            <v>131.465</v>
          </cell>
          <cell r="F1368">
            <v>122</v>
          </cell>
          <cell r="H1368">
            <v>183.05</v>
          </cell>
        </row>
        <row r="1369">
          <cell r="A1369">
            <v>45154</v>
          </cell>
          <cell r="E1369">
            <v>131.09299999999999</v>
          </cell>
          <cell r="F1369">
            <v>121.77500000000001</v>
          </cell>
          <cell r="H1369">
            <v>183.75</v>
          </cell>
        </row>
        <row r="1370">
          <cell r="A1370">
            <v>45155</v>
          </cell>
          <cell r="E1370">
            <v>131.87200000000001</v>
          </cell>
          <cell r="F1370">
            <v>122.461</v>
          </cell>
          <cell r="H1370">
            <v>183.56</v>
          </cell>
        </row>
        <row r="1371">
          <cell r="A1371">
            <v>45156</v>
          </cell>
          <cell r="E1371">
            <v>131.572</v>
          </cell>
          <cell r="F1371">
            <v>122.496</v>
          </cell>
          <cell r="H1371">
            <v>185</v>
          </cell>
        </row>
        <row r="1372">
          <cell r="A1372">
            <v>45159</v>
          </cell>
          <cell r="E1372">
            <v>131.28899999999999</v>
          </cell>
          <cell r="F1372">
            <v>122.002</v>
          </cell>
          <cell r="H1372">
            <v>185.51</v>
          </cell>
        </row>
        <row r="1373">
          <cell r="A1373">
            <v>45160</v>
          </cell>
          <cell r="E1373">
            <v>130.56100000000001</v>
          </cell>
          <cell r="F1373">
            <v>121.012</v>
          </cell>
          <cell r="H1373">
            <v>184.37</v>
          </cell>
        </row>
        <row r="1374">
          <cell r="A1374">
            <v>45161</v>
          </cell>
          <cell r="E1374">
            <v>129.35900000000001</v>
          </cell>
          <cell r="F1374">
            <v>120.05</v>
          </cell>
          <cell r="H1374">
            <v>184.75</v>
          </cell>
        </row>
        <row r="1375">
          <cell r="A1375">
            <v>45162</v>
          </cell>
          <cell r="E1375">
            <v>129.81</v>
          </cell>
          <cell r="F1375">
            <v>120.446</v>
          </cell>
          <cell r="H1375">
            <v>185.61</v>
          </cell>
        </row>
        <row r="1376">
          <cell r="A1376">
            <v>45163</v>
          </cell>
          <cell r="E1376">
            <v>128.55000000000001</v>
          </cell>
          <cell r="F1376">
            <v>119.4</v>
          </cell>
          <cell r="H1376">
            <v>185.42</v>
          </cell>
        </row>
        <row r="1377">
          <cell r="A1377">
            <v>45166</v>
          </cell>
          <cell r="E1377">
            <v>129.05600000000001</v>
          </cell>
          <cell r="F1377">
            <v>119.91800000000001</v>
          </cell>
          <cell r="H1377">
            <v>185.51</v>
          </cell>
        </row>
        <row r="1378">
          <cell r="A1378">
            <v>45167</v>
          </cell>
          <cell r="E1378">
            <v>130.75200000000001</v>
          </cell>
          <cell r="F1378">
            <v>121.66200000000001</v>
          </cell>
          <cell r="H1378">
            <v>184.32</v>
          </cell>
        </row>
        <row r="1379">
          <cell r="A1379">
            <v>45168</v>
          </cell>
          <cell r="E1379">
            <v>130.71600000000001</v>
          </cell>
          <cell r="F1379">
            <v>121.999</v>
          </cell>
          <cell r="H1379">
            <v>183.74</v>
          </cell>
        </row>
        <row r="1380">
          <cell r="A1380">
            <v>45169</v>
          </cell>
          <cell r="E1380">
            <v>130.78899999999999</v>
          </cell>
          <cell r="F1380">
            <v>121.896</v>
          </cell>
          <cell r="H1380">
            <v>184.55</v>
          </cell>
        </row>
        <row r="1381">
          <cell r="A1381">
            <v>45170</v>
          </cell>
          <cell r="E1381">
            <v>130.85499999999999</v>
          </cell>
          <cell r="F1381">
            <v>122.574</v>
          </cell>
          <cell r="H1381">
            <v>184.44</v>
          </cell>
        </row>
        <row r="1382">
          <cell r="A1382">
            <v>45173</v>
          </cell>
          <cell r="E1382">
            <v>131.83099999999999</v>
          </cell>
          <cell r="F1382">
            <v>123.334</v>
          </cell>
          <cell r="H1382">
            <v>184.14</v>
          </cell>
        </row>
        <row r="1383">
          <cell r="A1383">
            <v>45174</v>
          </cell>
          <cell r="E1383">
            <v>131.62700000000001</v>
          </cell>
          <cell r="F1383">
            <v>123.264</v>
          </cell>
          <cell r="H1383">
            <v>184.11</v>
          </cell>
        </row>
        <row r="1384">
          <cell r="A1384">
            <v>45175</v>
          </cell>
          <cell r="E1384">
            <v>131.58699999999999</v>
          </cell>
          <cell r="F1384">
            <v>123.53700000000001</v>
          </cell>
          <cell r="H1384">
            <v>183.44</v>
          </cell>
        </row>
        <row r="1385">
          <cell r="A1385">
            <v>45176</v>
          </cell>
          <cell r="E1385">
            <v>129.27199999999999</v>
          </cell>
          <cell r="F1385">
            <v>121.78</v>
          </cell>
          <cell r="H1385">
            <v>181.36</v>
          </cell>
        </row>
        <row r="1386">
          <cell r="A1386">
            <v>45177</v>
          </cell>
          <cell r="E1386">
            <v>129.02600000000001</v>
          </cell>
          <cell r="F1386">
            <v>121.00700000000001</v>
          </cell>
          <cell r="H1386">
            <v>180.75</v>
          </cell>
        </row>
        <row r="1387">
          <cell r="A1387">
            <v>45180</v>
          </cell>
          <cell r="E1387">
            <v>129.34200000000001</v>
          </cell>
          <cell r="F1387">
            <v>121.896</v>
          </cell>
          <cell r="H1387">
            <v>179.75</v>
          </cell>
        </row>
        <row r="1388">
          <cell r="A1388">
            <v>45181</v>
          </cell>
          <cell r="E1388">
            <v>129.261</v>
          </cell>
          <cell r="F1388">
            <v>121.56</v>
          </cell>
          <cell r="H1388">
            <v>179.39</v>
          </cell>
        </row>
        <row r="1389">
          <cell r="A1389">
            <v>45182</v>
          </cell>
          <cell r="E1389">
            <v>128.251</v>
          </cell>
          <cell r="F1389">
            <v>120.873</v>
          </cell>
          <cell r="H1389">
            <v>178.99</v>
          </cell>
        </row>
        <row r="1390">
          <cell r="A1390">
            <v>45183</v>
          </cell>
          <cell r="E1390">
            <v>127.57599999999999</v>
          </cell>
          <cell r="F1390">
            <v>120.248</v>
          </cell>
          <cell r="H1390">
            <v>178.96</v>
          </cell>
        </row>
        <row r="1391">
          <cell r="A1391">
            <v>45184</v>
          </cell>
          <cell r="E1391">
            <v>127.732</v>
          </cell>
          <cell r="F1391">
            <v>120.389</v>
          </cell>
          <cell r="H1391">
            <v>179.02</v>
          </cell>
        </row>
        <row r="1392">
          <cell r="A1392">
            <v>45187</v>
          </cell>
          <cell r="E1392">
            <v>128.24100000000001</v>
          </cell>
          <cell r="F1392">
            <v>120.902</v>
          </cell>
          <cell r="H1392">
            <v>178.79</v>
          </cell>
        </row>
        <row r="1393">
          <cell r="A1393">
            <v>45188</v>
          </cell>
          <cell r="E1393">
            <v>127.526</v>
          </cell>
          <cell r="F1393">
            <v>120.294</v>
          </cell>
          <cell r="H1393">
            <v>178.19</v>
          </cell>
        </row>
        <row r="1394">
          <cell r="A1394">
            <v>45189</v>
          </cell>
          <cell r="E1394">
            <v>127.093</v>
          </cell>
          <cell r="F1394">
            <v>119.881</v>
          </cell>
          <cell r="H1394">
            <v>178.37</v>
          </cell>
        </row>
        <row r="1395">
          <cell r="A1395">
            <v>45190</v>
          </cell>
          <cell r="E1395">
            <v>126.807</v>
          </cell>
          <cell r="F1395">
            <v>119.483</v>
          </cell>
          <cell r="H1395">
            <v>178.99</v>
          </cell>
        </row>
        <row r="1396">
          <cell r="A1396">
            <v>45191</v>
          </cell>
          <cell r="E1396">
            <v>128.14400000000001</v>
          </cell>
          <cell r="F1396">
            <v>120.494</v>
          </cell>
          <cell r="H1396">
            <v>179.13</v>
          </cell>
        </row>
        <row r="1397">
          <cell r="A1397">
            <v>45194</v>
          </cell>
          <cell r="E1397">
            <v>127.96599999999999</v>
          </cell>
          <cell r="F1397">
            <v>120.301</v>
          </cell>
          <cell r="H1397">
            <v>179.4</v>
          </cell>
        </row>
        <row r="1398">
          <cell r="A1398">
            <v>45195</v>
          </cell>
          <cell r="E1398">
            <v>127.68600000000001</v>
          </cell>
          <cell r="F1398">
            <v>120.2</v>
          </cell>
          <cell r="H1398">
            <v>180.05</v>
          </cell>
        </row>
        <row r="1399">
          <cell r="A1399">
            <v>45196</v>
          </cell>
          <cell r="E1399">
            <v>127.855</v>
          </cell>
          <cell r="F1399">
            <v>120.68600000000001</v>
          </cell>
          <cell r="H1399">
            <v>179.52</v>
          </cell>
        </row>
        <row r="1400">
          <cell r="A1400">
            <v>45197</v>
          </cell>
          <cell r="E1400">
            <v>128.637</v>
          </cell>
          <cell r="F1400">
            <v>121.429</v>
          </cell>
          <cell r="H1400">
            <v>179.99</v>
          </cell>
        </row>
        <row r="1401">
          <cell r="A1401">
            <v>45208</v>
          </cell>
          <cell r="E1401">
            <v>128.53299999999999</v>
          </cell>
          <cell r="F1401">
            <v>121.306</v>
          </cell>
          <cell r="H1401">
            <v>180.24</v>
          </cell>
        </row>
        <row r="1402">
          <cell r="A1402">
            <v>45209</v>
          </cell>
          <cell r="E1402">
            <v>128.15600000000001</v>
          </cell>
          <cell r="F1402">
            <v>120.88</v>
          </cell>
          <cell r="H1402">
            <v>180.2</v>
          </cell>
        </row>
        <row r="1403">
          <cell r="A1403">
            <v>45210</v>
          </cell>
          <cell r="E1403">
            <v>127.895</v>
          </cell>
          <cell r="F1403">
            <v>120.994</v>
          </cell>
          <cell r="H1403">
            <v>179.25</v>
          </cell>
        </row>
        <row r="1404">
          <cell r="A1404">
            <v>45211</v>
          </cell>
          <cell r="E1404">
            <v>127.949</v>
          </cell>
          <cell r="F1404">
            <v>121.4</v>
          </cell>
          <cell r="H1404">
            <v>178.24</v>
          </cell>
        </row>
        <row r="1405">
          <cell r="A1405">
            <v>45212</v>
          </cell>
          <cell r="E1405">
            <v>127.598</v>
          </cell>
          <cell r="F1405">
            <v>120.89400000000001</v>
          </cell>
          <cell r="H1405">
            <v>178.17</v>
          </cell>
        </row>
        <row r="1406">
          <cell r="A1406">
            <v>45215</v>
          </cell>
          <cell r="E1406">
            <v>126.592</v>
          </cell>
          <cell r="F1406">
            <v>120.081</v>
          </cell>
          <cell r="H1406">
            <v>177.03</v>
          </cell>
        </row>
        <row r="1407">
          <cell r="A1407">
            <v>45216</v>
          </cell>
          <cell r="E1407">
            <v>125.956</v>
          </cell>
          <cell r="F1407">
            <v>119.78</v>
          </cell>
          <cell r="H1407">
            <v>176.03</v>
          </cell>
        </row>
        <row r="1408">
          <cell r="A1408">
            <v>45217</v>
          </cell>
          <cell r="E1408">
            <v>124.63200000000001</v>
          </cell>
          <cell r="F1408">
            <v>118.149</v>
          </cell>
          <cell r="H1408">
            <v>175.81</v>
          </cell>
        </row>
        <row r="1409">
          <cell r="A1409">
            <v>45218</v>
          </cell>
          <cell r="E1409">
            <v>123.27500000000001</v>
          </cell>
          <cell r="F1409">
            <v>117.13</v>
          </cell>
          <cell r="H1409">
            <v>174.71</v>
          </cell>
        </row>
        <row r="1410">
          <cell r="A1410">
            <v>45219</v>
          </cell>
          <cell r="E1410">
            <v>122.61</v>
          </cell>
          <cell r="F1410">
            <v>116.17</v>
          </cell>
          <cell r="H1410">
            <v>174.5</v>
          </cell>
        </row>
        <row r="1411">
          <cell r="A1411">
            <v>45222</v>
          </cell>
          <cell r="E1411">
            <v>121.06699999999999</v>
          </cell>
          <cell r="F1411">
            <v>114.623</v>
          </cell>
          <cell r="H1411">
            <v>175.03</v>
          </cell>
        </row>
        <row r="1412">
          <cell r="A1412">
            <v>45223</v>
          </cell>
          <cell r="E1412">
            <v>122.99299999999999</v>
          </cell>
          <cell r="F1412">
            <v>116.806</v>
          </cell>
          <cell r="H1412">
            <v>175.51</v>
          </cell>
        </row>
        <row r="1413">
          <cell r="A1413">
            <v>45224</v>
          </cell>
          <cell r="E1413">
            <v>124.04300000000001</v>
          </cell>
          <cell r="F1413">
            <v>117.521</v>
          </cell>
          <cell r="H1413">
            <v>175.57</v>
          </cell>
        </row>
        <row r="1414">
          <cell r="A1414">
            <v>45225</v>
          </cell>
          <cell r="E1414">
            <v>124.117</v>
          </cell>
          <cell r="F1414">
            <v>117.363</v>
          </cell>
          <cell r="H1414">
            <v>175.89</v>
          </cell>
        </row>
        <row r="1415">
          <cell r="A1415">
            <v>45226</v>
          </cell>
          <cell r="E1415">
            <v>125.449</v>
          </cell>
          <cell r="F1415">
            <v>119.06699999999999</v>
          </cell>
          <cell r="H1415">
            <v>176.19</v>
          </cell>
        </row>
        <row r="1416">
          <cell r="A1416">
            <v>45229</v>
          </cell>
          <cell r="E1416">
            <v>125.947</v>
          </cell>
          <cell r="F1416">
            <v>119.414</v>
          </cell>
          <cell r="H1416">
            <v>175.32</v>
          </cell>
        </row>
        <row r="1417">
          <cell r="A1417">
            <v>45230</v>
          </cell>
          <cell r="E1417">
            <v>124.658</v>
          </cell>
          <cell r="F1417">
            <v>118.628</v>
          </cell>
          <cell r="H1417">
            <v>173.47</v>
          </cell>
        </row>
        <row r="1418">
          <cell r="A1418">
            <v>45231</v>
          </cell>
          <cell r="E1418">
            <v>124.31699999999999</v>
          </cell>
          <cell r="F1418">
            <v>118.47499999999999</v>
          </cell>
          <cell r="H1418">
            <v>172.62</v>
          </cell>
        </row>
        <row r="1419">
          <cell r="A1419">
            <v>45232</v>
          </cell>
          <cell r="E1419">
            <v>123.833</v>
          </cell>
          <cell r="F1419">
            <v>118.3</v>
          </cell>
          <cell r="H1419">
            <v>173.46</v>
          </cell>
        </row>
        <row r="1420">
          <cell r="A1420">
            <v>45233</v>
          </cell>
          <cell r="E1420">
            <v>124.783</v>
          </cell>
          <cell r="F1420">
            <v>119.117</v>
          </cell>
          <cell r="H1420">
            <v>173.37</v>
          </cell>
        </row>
        <row r="1421">
          <cell r="A1421">
            <v>45236</v>
          </cell>
          <cell r="E1421">
            <v>125.96599999999999</v>
          </cell>
          <cell r="F1421">
            <v>120.605</v>
          </cell>
          <cell r="H1421">
            <v>173.55</v>
          </cell>
        </row>
        <row r="1422">
          <cell r="A1422">
            <v>45237</v>
          </cell>
          <cell r="E1422">
            <v>126.44499999999999</v>
          </cell>
          <cell r="F1422">
            <v>120.788</v>
          </cell>
          <cell r="H1422">
            <v>174</v>
          </cell>
        </row>
        <row r="1423">
          <cell r="A1423">
            <v>45238</v>
          </cell>
          <cell r="E1423">
            <v>126.547</v>
          </cell>
          <cell r="F1423">
            <v>120.831</v>
          </cell>
          <cell r="H1423">
            <v>174.17</v>
          </cell>
        </row>
        <row r="1424">
          <cell r="A1424">
            <v>45239</v>
          </cell>
          <cell r="E1424">
            <v>126.26</v>
          </cell>
          <cell r="F1424">
            <v>120.697</v>
          </cell>
          <cell r="H1424">
            <v>174.19</v>
          </cell>
        </row>
        <row r="1425">
          <cell r="A1425">
            <v>45240</v>
          </cell>
          <cell r="E1425">
            <v>126.029</v>
          </cell>
          <cell r="F1425">
            <v>120.301</v>
          </cell>
          <cell r="H1425">
            <v>173.85</v>
          </cell>
        </row>
        <row r="1426">
          <cell r="A1426">
            <v>45243</v>
          </cell>
          <cell r="E1426">
            <v>126.373</v>
          </cell>
          <cell r="F1426">
            <v>120.752</v>
          </cell>
          <cell r="H1426">
            <v>173.38</v>
          </cell>
        </row>
        <row r="1427">
          <cell r="A1427">
            <v>45244</v>
          </cell>
          <cell r="E1427">
            <v>126.95699999999999</v>
          </cell>
          <cell r="F1427">
            <v>120.98699999999999</v>
          </cell>
          <cell r="H1427">
            <v>173.78</v>
          </cell>
        </row>
        <row r="1428">
          <cell r="A1428">
            <v>45245</v>
          </cell>
          <cell r="E1428">
            <v>127.52500000000001</v>
          </cell>
          <cell r="F1428">
            <v>122.032</v>
          </cell>
          <cell r="H1428">
            <v>173.72</v>
          </cell>
        </row>
        <row r="1429">
          <cell r="A1429">
            <v>45246</v>
          </cell>
          <cell r="E1429">
            <v>126.449</v>
          </cell>
          <cell r="F1429">
            <v>120.687</v>
          </cell>
          <cell r="H1429">
            <v>172.97</v>
          </cell>
        </row>
        <row r="1430">
          <cell r="A1430">
            <v>45247</v>
          </cell>
          <cell r="E1430">
            <v>126.431</v>
          </cell>
          <cell r="F1430">
            <v>120.724</v>
          </cell>
          <cell r="H1430">
            <v>172.03</v>
          </cell>
        </row>
        <row r="1431">
          <cell r="A1431">
            <v>45250</v>
          </cell>
          <cell r="E1431">
            <v>127.375</v>
          </cell>
          <cell r="F1431">
            <v>121.399</v>
          </cell>
          <cell r="H1431">
            <v>172.71</v>
          </cell>
        </row>
        <row r="1432">
          <cell r="A1432">
            <v>45251</v>
          </cell>
          <cell r="E1432">
            <v>126.877</v>
          </cell>
          <cell r="F1432">
            <v>120.90900000000001</v>
          </cell>
          <cell r="H1432">
            <v>172.6</v>
          </cell>
        </row>
        <row r="1433">
          <cell r="A1433">
            <v>45252</v>
          </cell>
          <cell r="E1433">
            <v>125.82599999999999</v>
          </cell>
          <cell r="F1433">
            <v>119.70099999999999</v>
          </cell>
          <cell r="H1433">
            <v>172.13</v>
          </cell>
        </row>
        <row r="1434">
          <cell r="A1434">
            <v>45253</v>
          </cell>
          <cell r="E1434">
            <v>126.027</v>
          </cell>
          <cell r="F1434">
            <v>119.593</v>
          </cell>
          <cell r="H1434">
            <v>170.57</v>
          </cell>
        </row>
        <row r="1435">
          <cell r="A1435">
            <v>45254</v>
          </cell>
          <cell r="E1435">
            <v>125.35599999999999</v>
          </cell>
          <cell r="F1435">
            <v>118.764</v>
          </cell>
          <cell r="H1435">
            <v>170.94</v>
          </cell>
        </row>
        <row r="1436">
          <cell r="A1436">
            <v>45257</v>
          </cell>
          <cell r="E1436">
            <v>125.752</v>
          </cell>
          <cell r="F1436">
            <v>119.12</v>
          </cell>
          <cell r="H1436">
            <v>171.88</v>
          </cell>
        </row>
        <row r="1437">
          <cell r="A1437">
            <v>45258</v>
          </cell>
          <cell r="E1437">
            <v>126.256</v>
          </cell>
          <cell r="F1437">
            <v>119.68600000000001</v>
          </cell>
          <cell r="H1437">
            <v>171.54</v>
          </cell>
        </row>
        <row r="1438">
          <cell r="A1438">
            <v>45259</v>
          </cell>
          <cell r="E1438">
            <v>125.977</v>
          </cell>
          <cell r="F1438">
            <v>119.37</v>
          </cell>
          <cell r="H1438">
            <v>171.79</v>
          </cell>
        </row>
        <row r="1439">
          <cell r="A1439">
            <v>45260</v>
          </cell>
          <cell r="E1439">
            <v>125.7</v>
          </cell>
          <cell r="F1439">
            <v>118.77800000000001</v>
          </cell>
          <cell r="H1439">
            <v>172.3</v>
          </cell>
        </row>
        <row r="1440">
          <cell r="A1440">
            <v>45261</v>
          </cell>
          <cell r="E1440">
            <v>125.849</v>
          </cell>
          <cell r="F1440">
            <v>119.259</v>
          </cell>
          <cell r="H1440">
            <v>172.6</v>
          </cell>
        </row>
        <row r="1441">
          <cell r="A1441">
            <v>45264</v>
          </cell>
          <cell r="E1441">
            <v>125.72199999999999</v>
          </cell>
          <cell r="F1441">
            <v>119.139</v>
          </cell>
          <cell r="H1441">
            <v>173.02</v>
          </cell>
        </row>
        <row r="1442">
          <cell r="A1442">
            <v>45265</v>
          </cell>
          <cell r="E1442">
            <v>124.964</v>
          </cell>
          <cell r="F1442">
            <v>118.45</v>
          </cell>
          <cell r="H1442">
            <v>173.71</v>
          </cell>
        </row>
        <row r="1443">
          <cell r="A1443">
            <v>45266</v>
          </cell>
          <cell r="E1443">
            <v>125.21599999999999</v>
          </cell>
          <cell r="F1443">
            <v>118.449</v>
          </cell>
          <cell r="H1443">
            <v>173.4</v>
          </cell>
        </row>
        <row r="1444">
          <cell r="A1444">
            <v>45267</v>
          </cell>
          <cell r="E1444">
            <v>125.242</v>
          </cell>
          <cell r="F1444">
            <v>118.3</v>
          </cell>
          <cell r="H1444">
            <v>173.95</v>
          </cell>
        </row>
        <row r="1445">
          <cell r="A1445">
            <v>45268</v>
          </cell>
          <cell r="E1445">
            <v>125.255</v>
          </cell>
          <cell r="F1445">
            <v>118.316</v>
          </cell>
          <cell r="H1445">
            <v>175.3</v>
          </cell>
        </row>
        <row r="1446">
          <cell r="A1446">
            <v>45271</v>
          </cell>
          <cell r="E1446">
            <v>125.599</v>
          </cell>
          <cell r="F1446">
            <v>118.559</v>
          </cell>
          <cell r="H1446">
            <v>174.47</v>
          </cell>
        </row>
        <row r="1447">
          <cell r="A1447">
            <v>45272</v>
          </cell>
          <cell r="E1447">
            <v>125.572</v>
          </cell>
          <cell r="F1447">
            <v>118.9</v>
          </cell>
          <cell r="H1447">
            <v>174.25</v>
          </cell>
        </row>
        <row r="1448">
          <cell r="A1448">
            <v>45273</v>
          </cell>
          <cell r="E1448">
            <v>124.982</v>
          </cell>
          <cell r="F1448">
            <v>118.15</v>
          </cell>
          <cell r="H1448">
            <v>174.28</v>
          </cell>
        </row>
        <row r="1449">
          <cell r="A1449">
            <v>45274</v>
          </cell>
          <cell r="E1449">
            <v>124.661</v>
          </cell>
          <cell r="F1449">
            <v>117.804</v>
          </cell>
          <cell r="H1449">
            <v>173.96</v>
          </cell>
        </row>
        <row r="1450">
          <cell r="A1450">
            <v>45275</v>
          </cell>
          <cell r="E1450">
            <v>124.14</v>
          </cell>
          <cell r="F1450">
            <v>117.506</v>
          </cell>
          <cell r="H1450">
            <v>173.59</v>
          </cell>
        </row>
        <row r="1451">
          <cell r="A1451">
            <v>45278</v>
          </cell>
          <cell r="E1451">
            <v>123.232</v>
          </cell>
          <cell r="F1451">
            <v>116.66500000000001</v>
          </cell>
          <cell r="H1451">
            <v>173.63</v>
          </cell>
        </row>
        <row r="1452">
          <cell r="A1452">
            <v>45279</v>
          </cell>
          <cell r="E1452">
            <v>122.88200000000001</v>
          </cell>
          <cell r="F1452">
            <v>115.922</v>
          </cell>
          <cell r="H1452">
            <v>172.49</v>
          </cell>
        </row>
        <row r="1453">
          <cell r="A1453">
            <v>45280</v>
          </cell>
          <cell r="E1453">
            <v>122.328</v>
          </cell>
          <cell r="F1453">
            <v>115.997</v>
          </cell>
          <cell r="H1453">
            <v>172.91</v>
          </cell>
        </row>
        <row r="1454">
          <cell r="A1454">
            <v>45281</v>
          </cell>
          <cell r="E1454">
            <v>123.012</v>
          </cell>
          <cell r="F1454">
            <v>116.574</v>
          </cell>
          <cell r="H1454">
            <v>173.09</v>
          </cell>
        </row>
        <row r="1455">
          <cell r="A1455">
            <v>45282</v>
          </cell>
          <cell r="E1455">
            <v>122.697</v>
          </cell>
          <cell r="F1455">
            <v>116.452</v>
          </cell>
          <cell r="H1455">
            <v>174</v>
          </cell>
        </row>
        <row r="1456">
          <cell r="A1456">
            <v>45285</v>
          </cell>
          <cell r="E1456">
            <v>122.35299999999999</v>
          </cell>
          <cell r="F1456">
            <v>115.916</v>
          </cell>
          <cell r="H1456">
            <v>173.78</v>
          </cell>
        </row>
        <row r="1457">
          <cell r="A1457">
            <v>45286</v>
          </cell>
          <cell r="E1457">
            <v>121.1</v>
          </cell>
          <cell r="F1457">
            <v>115.111</v>
          </cell>
          <cell r="H1457">
            <v>173.3</v>
          </cell>
        </row>
        <row r="1458">
          <cell r="A1458">
            <v>45287</v>
          </cell>
          <cell r="E1458">
            <v>121.745</v>
          </cell>
          <cell r="F1458">
            <v>115.655</v>
          </cell>
          <cell r="H1458">
            <v>173.5</v>
          </cell>
        </row>
        <row r="1459">
          <cell r="A1459">
            <v>45288</v>
          </cell>
          <cell r="E1459">
            <v>123.379</v>
          </cell>
          <cell r="F1459">
            <v>117.532</v>
          </cell>
          <cell r="H1459">
            <v>173.32</v>
          </cell>
        </row>
        <row r="1460">
          <cell r="A1460">
            <v>45289</v>
          </cell>
          <cell r="E1460">
            <v>124.49</v>
          </cell>
          <cell r="F1460">
            <v>118.55</v>
          </cell>
          <cell r="H1460">
            <v>173.57</v>
          </cell>
        </row>
        <row r="1461">
          <cell r="A1461">
            <v>45293</v>
          </cell>
          <cell r="E1461">
            <v>124.71899999999999</v>
          </cell>
          <cell r="F1461">
            <v>119.17400000000001</v>
          </cell>
          <cell r="H1461">
            <v>174.14</v>
          </cell>
        </row>
        <row r="1462">
          <cell r="A1462">
            <v>45294</v>
          </cell>
          <cell r="E1462">
            <v>123.765</v>
          </cell>
          <cell r="F1462">
            <v>118.41200000000001</v>
          </cell>
          <cell r="H1462">
            <v>173.09</v>
          </cell>
        </row>
        <row r="1463">
          <cell r="A1463">
            <v>45295</v>
          </cell>
          <cell r="E1463">
            <v>123.32299999999999</v>
          </cell>
          <cell r="F1463">
            <v>118.056</v>
          </cell>
          <cell r="H1463">
            <v>172.83</v>
          </cell>
        </row>
        <row r="1464">
          <cell r="A1464">
            <v>45296</v>
          </cell>
          <cell r="E1464">
            <v>122.371</v>
          </cell>
          <cell r="F1464">
            <v>116.869</v>
          </cell>
          <cell r="H1464">
            <v>173.26</v>
          </cell>
        </row>
        <row r="1465">
          <cell r="A1465">
            <v>45299</v>
          </cell>
          <cell r="E1465">
            <v>121.104</v>
          </cell>
          <cell r="F1465">
            <v>115.55200000000001</v>
          </cell>
          <cell r="H1465">
            <v>173.97</v>
          </cell>
        </row>
        <row r="1466">
          <cell r="A1466">
            <v>45300</v>
          </cell>
          <cell r="E1466">
            <v>121.569</v>
          </cell>
          <cell r="F1466">
            <v>116.185</v>
          </cell>
          <cell r="H1466">
            <v>173.84</v>
          </cell>
        </row>
        <row r="1467">
          <cell r="A1467">
            <v>45301</v>
          </cell>
          <cell r="E1467">
            <v>121.212</v>
          </cell>
          <cell r="F1467">
            <v>115.71899999999999</v>
          </cell>
          <cell r="H1467">
            <v>174.26</v>
          </cell>
        </row>
        <row r="1468">
          <cell r="A1468">
            <v>45302</v>
          </cell>
          <cell r="E1468">
            <v>122.21299999999999</v>
          </cell>
          <cell r="F1468">
            <v>116.741</v>
          </cell>
          <cell r="H1468">
            <v>173.86</v>
          </cell>
        </row>
        <row r="1469">
          <cell r="A1469">
            <v>45303</v>
          </cell>
          <cell r="E1469">
            <v>122.152</v>
          </cell>
          <cell r="F1469">
            <v>116.85599999999999</v>
          </cell>
          <cell r="H1469">
            <v>174.29</v>
          </cell>
        </row>
        <row r="1470">
          <cell r="A1470">
            <v>45306</v>
          </cell>
          <cell r="E1470">
            <v>121.78100000000001</v>
          </cell>
          <cell r="F1470">
            <v>116.587</v>
          </cell>
          <cell r="H1470">
            <v>174.28</v>
          </cell>
        </row>
        <row r="1471">
          <cell r="A1471">
            <v>45307</v>
          </cell>
          <cell r="E1471">
            <v>121.11799999999999</v>
          </cell>
          <cell r="F1471">
            <v>115.718</v>
          </cell>
          <cell r="H1471">
            <v>172.94</v>
          </cell>
        </row>
        <row r="1472">
          <cell r="A1472">
            <v>45308</v>
          </cell>
          <cell r="E1472">
            <v>119.429</v>
          </cell>
          <cell r="F1472">
            <v>114.026</v>
          </cell>
          <cell r="H1472">
            <v>173.49</v>
          </cell>
        </row>
        <row r="1473">
          <cell r="A1473">
            <v>45309</v>
          </cell>
          <cell r="E1473">
            <v>119.161</v>
          </cell>
          <cell r="F1473">
            <v>113.66200000000001</v>
          </cell>
          <cell r="H1473">
            <v>173.67</v>
          </cell>
        </row>
        <row r="1474">
          <cell r="A1474">
            <v>45310</v>
          </cell>
          <cell r="E1474">
            <v>119.006</v>
          </cell>
          <cell r="F1474">
            <v>113.82299999999999</v>
          </cell>
          <cell r="H1474">
            <v>174.99</v>
          </cell>
        </row>
        <row r="1475">
          <cell r="A1475">
            <v>45313</v>
          </cell>
          <cell r="E1475">
            <v>116.236</v>
          </cell>
          <cell r="F1475">
            <v>111.3</v>
          </cell>
          <cell r="H1475">
            <v>178.6</v>
          </cell>
        </row>
        <row r="1476">
          <cell r="A1476">
            <v>45314</v>
          </cell>
          <cell r="E1476">
            <v>116.423</v>
          </cell>
          <cell r="F1476">
            <v>111.098</v>
          </cell>
          <cell r="H1476">
            <v>178.76</v>
          </cell>
        </row>
        <row r="1477">
          <cell r="A1477">
            <v>45315</v>
          </cell>
          <cell r="E1477">
            <v>116.021</v>
          </cell>
          <cell r="F1477">
            <v>110.50700000000001</v>
          </cell>
          <cell r="H1477">
            <v>176.32</v>
          </cell>
        </row>
        <row r="1478">
          <cell r="A1478">
            <v>45316</v>
          </cell>
          <cell r="E1478">
            <v>118.03</v>
          </cell>
          <cell r="F1478">
            <v>112.502</v>
          </cell>
          <cell r="H1478">
            <v>175.56</v>
          </cell>
        </row>
        <row r="1479">
          <cell r="A1479">
            <v>45317</v>
          </cell>
          <cell r="E1479">
            <v>118.193</v>
          </cell>
          <cell r="F1479">
            <v>112.7</v>
          </cell>
          <cell r="H1479">
            <v>177.03</v>
          </cell>
        </row>
        <row r="1480">
          <cell r="A1480">
            <v>45320</v>
          </cell>
          <cell r="E1480">
            <v>116.416</v>
          </cell>
          <cell r="F1480">
            <v>111.15</v>
          </cell>
          <cell r="H1480">
            <v>178.75</v>
          </cell>
        </row>
        <row r="1481">
          <cell r="A1481">
            <v>45321</v>
          </cell>
          <cell r="E1481">
            <v>114.965</v>
          </cell>
          <cell r="F1481">
            <v>110.059</v>
          </cell>
          <cell r="H1481">
            <v>181.04</v>
          </cell>
        </row>
        <row r="1482">
          <cell r="A1482">
            <v>45322</v>
          </cell>
          <cell r="E1482">
            <v>113.27800000000001</v>
          </cell>
          <cell r="F1482">
            <v>108.542</v>
          </cell>
          <cell r="H1482">
            <v>184.89</v>
          </cell>
        </row>
        <row r="1483">
          <cell r="A1483">
            <v>45323</v>
          </cell>
          <cell r="E1483">
            <v>113.43899999999999</v>
          </cell>
          <cell r="F1483">
            <v>108.8</v>
          </cell>
          <cell r="H1483">
            <v>187.36</v>
          </cell>
        </row>
        <row r="1484">
          <cell r="A1484">
            <v>45324</v>
          </cell>
          <cell r="E1484">
            <v>112.255</v>
          </cell>
          <cell r="F1484">
            <v>107.818</v>
          </cell>
          <cell r="H1484">
            <v>192.69</v>
          </cell>
        </row>
        <row r="1485">
          <cell r="A1485">
            <v>45327</v>
          </cell>
          <cell r="E1485">
            <v>110.29600000000001</v>
          </cell>
          <cell r="F1485">
            <v>106.05</v>
          </cell>
          <cell r="H1485">
            <v>203.89</v>
          </cell>
        </row>
        <row r="1486">
          <cell r="A1486">
            <v>45328</v>
          </cell>
          <cell r="E1486">
            <v>112.56399999999999</v>
          </cell>
          <cell r="F1486">
            <v>108.002</v>
          </cell>
          <cell r="H1486">
            <v>203.81</v>
          </cell>
        </row>
        <row r="1487">
          <cell r="A1487">
            <v>45329</v>
          </cell>
          <cell r="E1487">
            <v>112.139</v>
          </cell>
          <cell r="F1487">
            <v>107.711</v>
          </cell>
          <cell r="H1487">
            <v>204.9</v>
          </cell>
        </row>
        <row r="1488">
          <cell r="A1488">
            <v>45330</v>
          </cell>
          <cell r="E1488">
            <v>113.73099999999999</v>
          </cell>
          <cell r="F1488">
            <v>109.178</v>
          </cell>
          <cell r="H1488">
            <v>195.92</v>
          </cell>
        </row>
        <row r="1489">
          <cell r="A1489">
            <v>45341</v>
          </cell>
          <cell r="E1489">
            <v>114.80500000000001</v>
          </cell>
          <cell r="F1489">
            <v>109.968</v>
          </cell>
          <cell r="H1489">
            <v>194.01</v>
          </cell>
        </row>
        <row r="1490">
          <cell r="A1490">
            <v>45342</v>
          </cell>
          <cell r="E1490">
            <v>115.742</v>
          </cell>
          <cell r="F1490">
            <v>110.959</v>
          </cell>
          <cell r="H1490">
            <v>194.72</v>
          </cell>
        </row>
        <row r="1491">
          <cell r="A1491">
            <v>45343</v>
          </cell>
          <cell r="E1491">
            <v>116.61499999999999</v>
          </cell>
          <cell r="F1491">
            <v>111.767</v>
          </cell>
          <cell r="H1491">
            <v>193.84</v>
          </cell>
        </row>
        <row r="1492">
          <cell r="A1492">
            <v>45344</v>
          </cell>
          <cell r="E1492">
            <v>116.92100000000001</v>
          </cell>
          <cell r="F1492">
            <v>111.834</v>
          </cell>
          <cell r="H1492">
            <v>191.09</v>
          </cell>
        </row>
        <row r="1493">
          <cell r="A1493">
            <v>45345</v>
          </cell>
          <cell r="E1493">
            <v>117.354</v>
          </cell>
          <cell r="F1493">
            <v>112.271</v>
          </cell>
          <cell r="H1493">
            <v>187.6</v>
          </cell>
        </row>
        <row r="1494">
          <cell r="A1494">
            <v>45348</v>
          </cell>
          <cell r="E1494">
            <v>117.55</v>
          </cell>
          <cell r="F1494">
            <v>112.622</v>
          </cell>
          <cell r="H1494">
            <v>185.4</v>
          </cell>
        </row>
        <row r="1495">
          <cell r="A1495">
            <v>45349</v>
          </cell>
          <cell r="E1495">
            <v>118.23</v>
          </cell>
          <cell r="F1495">
            <v>113.4</v>
          </cell>
          <cell r="H1495">
            <v>181.95</v>
          </cell>
        </row>
        <row r="1496">
          <cell r="A1496">
            <v>45350</v>
          </cell>
          <cell r="E1496">
            <v>115.59399999999999</v>
          </cell>
          <cell r="F1496">
            <v>110.70399999999999</v>
          </cell>
          <cell r="H1496">
            <v>186.52</v>
          </cell>
        </row>
        <row r="1497">
          <cell r="A1497">
            <v>45351</v>
          </cell>
          <cell r="E1497">
            <v>117.054</v>
          </cell>
          <cell r="F1497">
            <v>112.114</v>
          </cell>
          <cell r="H1497">
            <v>183.95</v>
          </cell>
        </row>
        <row r="1498">
          <cell r="A1498">
            <v>45352</v>
          </cell>
          <cell r="E1498">
            <v>117.52800000000001</v>
          </cell>
          <cell r="F1498">
            <v>112.664</v>
          </cell>
          <cell r="H1498">
            <v>183.4</v>
          </cell>
        </row>
        <row r="1499">
          <cell r="A1499">
            <v>45355</v>
          </cell>
          <cell r="E1499">
            <v>117.264</v>
          </cell>
          <cell r="F1499">
            <v>111.834</v>
          </cell>
          <cell r="H1499">
            <v>182.54</v>
          </cell>
        </row>
        <row r="1500">
          <cell r="A1500">
            <v>45356</v>
          </cell>
          <cell r="E1500">
            <v>116.36199999999999</v>
          </cell>
          <cell r="F1500">
            <v>110.762</v>
          </cell>
          <cell r="H1500">
            <v>183.38</v>
          </cell>
        </row>
        <row r="1501">
          <cell r="A1501">
            <v>45357</v>
          </cell>
          <cell r="E1501">
            <v>116.554</v>
          </cell>
          <cell r="F1501">
            <v>110.8</v>
          </cell>
          <cell r="H1501">
            <v>182.15</v>
          </cell>
        </row>
        <row r="1502">
          <cell r="A1502">
            <v>45358</v>
          </cell>
          <cell r="E1502">
            <v>116.07599999999999</v>
          </cell>
          <cell r="F1502">
            <v>110.172</v>
          </cell>
          <cell r="H1502">
            <v>182.42</v>
          </cell>
        </row>
        <row r="1503">
          <cell r="A1503">
            <v>45359</v>
          </cell>
          <cell r="E1503">
            <v>116.648</v>
          </cell>
          <cell r="F1503">
            <v>110.471</v>
          </cell>
          <cell r="H1503">
            <v>181.29</v>
          </cell>
        </row>
        <row r="1504">
          <cell r="A1504">
            <v>45362</v>
          </cell>
          <cell r="E1504">
            <v>117.50700000000001</v>
          </cell>
          <cell r="F1504">
            <v>111.5</v>
          </cell>
          <cell r="H1504">
            <v>179.4</v>
          </cell>
        </row>
        <row r="1505">
          <cell r="A1505">
            <v>45363</v>
          </cell>
          <cell r="E1505">
            <v>117.81399999999999</v>
          </cell>
          <cell r="F1505">
            <v>111.75</v>
          </cell>
          <cell r="H1505">
            <v>178.07</v>
          </cell>
        </row>
        <row r="1506">
          <cell r="A1506">
            <v>45364</v>
          </cell>
          <cell r="E1506">
            <v>117.943</v>
          </cell>
          <cell r="F1506">
            <v>111.995</v>
          </cell>
          <cell r="H1506">
            <v>178.06</v>
          </cell>
        </row>
        <row r="1507">
          <cell r="A1507">
            <v>45365</v>
          </cell>
          <cell r="E1507">
            <v>117.755</v>
          </cell>
          <cell r="F1507">
            <v>111.60599999999999</v>
          </cell>
          <cell r="H1507">
            <v>178.63</v>
          </cell>
        </row>
        <row r="1508">
          <cell r="A1508">
            <v>45366</v>
          </cell>
          <cell r="E1508">
            <v>118.367</v>
          </cell>
          <cell r="F1508">
            <v>112.06100000000001</v>
          </cell>
          <cell r="H1508">
            <v>177.68</v>
          </cell>
        </row>
        <row r="1509">
          <cell r="A1509">
            <v>45369</v>
          </cell>
          <cell r="E1509">
            <v>119.363</v>
          </cell>
          <cell r="F1509">
            <v>112.81100000000001</v>
          </cell>
          <cell r="H1509">
            <v>176.71</v>
          </cell>
        </row>
        <row r="1510">
          <cell r="A1510">
            <v>45370</v>
          </cell>
          <cell r="E1510">
            <v>119.574</v>
          </cell>
          <cell r="F1510">
            <v>113.185</v>
          </cell>
          <cell r="H1510">
            <v>177.37</v>
          </cell>
        </row>
        <row r="1511">
          <cell r="A1511">
            <v>45371</v>
          </cell>
          <cell r="E1511">
            <v>120.245</v>
          </cell>
          <cell r="F1511">
            <v>114.321</v>
          </cell>
          <cell r="H1511">
            <v>177.18</v>
          </cell>
        </row>
        <row r="1512">
          <cell r="A1512">
            <v>45372</v>
          </cell>
          <cell r="E1512">
            <v>120.24299999999999</v>
          </cell>
          <cell r="F1512">
            <v>114.011</v>
          </cell>
          <cell r="H1512">
            <v>177.64</v>
          </cell>
        </row>
        <row r="1513">
          <cell r="A1513">
            <v>45373</v>
          </cell>
          <cell r="E1513">
            <v>119.78700000000001</v>
          </cell>
          <cell r="F1513">
            <v>113.429</v>
          </cell>
          <cell r="H1513">
            <v>179.46</v>
          </cell>
        </row>
        <row r="1514">
          <cell r="A1514">
            <v>45376</v>
          </cell>
          <cell r="E1514">
            <v>119.18300000000001</v>
          </cell>
          <cell r="F1514">
            <v>112.529</v>
          </cell>
          <cell r="H1514">
            <v>181.62</v>
          </cell>
        </row>
        <row r="1515">
          <cell r="A1515">
            <v>45377</v>
          </cell>
          <cell r="E1515">
            <v>118.75</v>
          </cell>
          <cell r="F1515">
            <v>112.309</v>
          </cell>
          <cell r="H1515">
            <v>180.13</v>
          </cell>
        </row>
        <row r="1516">
          <cell r="A1516">
            <v>45378</v>
          </cell>
          <cell r="E1516">
            <v>117.157</v>
          </cell>
          <cell r="F1516">
            <v>111.07899999999999</v>
          </cell>
          <cell r="H1516">
            <v>182.47</v>
          </cell>
        </row>
        <row r="1517">
          <cell r="A1517">
            <v>45379</v>
          </cell>
          <cell r="E1517">
            <v>118.039</v>
          </cell>
          <cell r="F1517">
            <v>111.61799999999999</v>
          </cell>
          <cell r="H1517">
            <v>180.85</v>
          </cell>
        </row>
        <row r="1518">
          <cell r="A1518">
            <v>45380</v>
          </cell>
          <cell r="E1518">
            <v>118.53100000000001</v>
          </cell>
          <cell r="F1518">
            <v>112.17</v>
          </cell>
          <cell r="H1518">
            <v>179.53</v>
          </cell>
        </row>
        <row r="1519">
          <cell r="A1519">
            <v>45383</v>
          </cell>
          <cell r="E1519">
            <v>119.71599999999999</v>
          </cell>
          <cell r="F1519">
            <v>113.5</v>
          </cell>
          <cell r="H1519">
            <v>177.83</v>
          </cell>
        </row>
        <row r="1520">
          <cell r="A1520">
            <v>45384</v>
          </cell>
          <cell r="E1520">
            <v>119.548</v>
          </cell>
          <cell r="F1520">
            <v>113.69</v>
          </cell>
          <cell r="H1520">
            <v>177.14</v>
          </cell>
        </row>
        <row r="1521">
          <cell r="A1521">
            <v>45385</v>
          </cell>
          <cell r="E1521">
            <v>119.474</v>
          </cell>
          <cell r="F1521">
            <v>113.751</v>
          </cell>
          <cell r="H1521">
            <v>178.28</v>
          </cell>
        </row>
        <row r="1522">
          <cell r="A1522">
            <v>45390</v>
          </cell>
          <cell r="E1522">
            <v>118.54300000000001</v>
          </cell>
          <cell r="F1522">
            <v>112.998</v>
          </cell>
          <cell r="H1522">
            <v>181.11</v>
          </cell>
        </row>
        <row r="1523">
          <cell r="A1523">
            <v>45391</v>
          </cell>
          <cell r="E1523">
            <v>119.229</v>
          </cell>
          <cell r="F1523">
            <v>113.83499999999999</v>
          </cell>
          <cell r="H1523">
            <v>179.61</v>
          </cell>
        </row>
        <row r="1524">
          <cell r="A1524">
            <v>45392</v>
          </cell>
          <cell r="E1524">
            <v>118.407</v>
          </cell>
          <cell r="F1524">
            <v>113.355</v>
          </cell>
          <cell r="H1524">
            <v>181.51</v>
          </cell>
        </row>
        <row r="1525">
          <cell r="A1525">
            <v>45393</v>
          </cell>
          <cell r="E1525">
            <v>118.798</v>
          </cell>
          <cell r="F1525">
            <v>113.44</v>
          </cell>
          <cell r="H1525">
            <v>182.22</v>
          </cell>
        </row>
        <row r="1526">
          <cell r="A1526">
            <v>45394</v>
          </cell>
          <cell r="E1526">
            <v>118.989</v>
          </cell>
          <cell r="F1526">
            <v>113.876</v>
          </cell>
          <cell r="H1526">
            <v>184.28</v>
          </cell>
        </row>
        <row r="1527">
          <cell r="A1527">
            <v>45397</v>
          </cell>
          <cell r="E1527">
            <v>117.31100000000001</v>
          </cell>
          <cell r="F1527">
            <v>112.21</v>
          </cell>
          <cell r="H1527">
            <v>186.08</v>
          </cell>
        </row>
        <row r="1528">
          <cell r="A1528">
            <v>45398</v>
          </cell>
          <cell r="E1528">
            <v>115.447</v>
          </cell>
          <cell r="F1528">
            <v>110.449</v>
          </cell>
          <cell r="H1528">
            <v>192.66</v>
          </cell>
        </row>
        <row r="1529">
          <cell r="A1529">
            <v>45399</v>
          </cell>
          <cell r="E1529">
            <v>117.39100000000001</v>
          </cell>
          <cell r="F1529">
            <v>112.172</v>
          </cell>
          <cell r="H1529">
            <v>186.85</v>
          </cell>
        </row>
        <row r="1530">
          <cell r="A1530">
            <v>45400</v>
          </cell>
          <cell r="E1530">
            <v>117.655</v>
          </cell>
          <cell r="F1530">
            <v>112.45</v>
          </cell>
          <cell r="H1530">
            <v>187.73</v>
          </cell>
        </row>
        <row r="1531">
          <cell r="A1531">
            <v>45401</v>
          </cell>
          <cell r="E1531">
            <v>117.235</v>
          </cell>
          <cell r="F1531">
            <v>112.06100000000001</v>
          </cell>
          <cell r="H1531">
            <v>187.96</v>
          </cell>
        </row>
        <row r="1532">
          <cell r="A1532">
            <v>45404</v>
          </cell>
          <cell r="E1532">
            <v>116.337</v>
          </cell>
          <cell r="F1532">
            <v>111.62</v>
          </cell>
          <cell r="H1532">
            <v>186.65</v>
          </cell>
        </row>
        <row r="1533">
          <cell r="A1533">
            <v>45405</v>
          </cell>
          <cell r="E1533">
            <v>116.45</v>
          </cell>
          <cell r="F1533">
            <v>112.139</v>
          </cell>
          <cell r="H1533">
            <v>185.8</v>
          </cell>
        </row>
        <row r="1534">
          <cell r="A1534">
            <v>45406</v>
          </cell>
          <cell r="E1534">
            <v>117.376</v>
          </cell>
          <cell r="F1534">
            <v>112.56</v>
          </cell>
          <cell r="H1534">
            <v>184.95</v>
          </cell>
        </row>
        <row r="1535">
          <cell r="A1535">
            <v>45407</v>
          </cell>
          <cell r="E1535">
            <v>117.378</v>
          </cell>
          <cell r="F1535">
            <v>112.95099999999999</v>
          </cell>
          <cell r="H1535">
            <v>184.22</v>
          </cell>
        </row>
        <row r="1536">
          <cell r="A1536">
            <v>45408</v>
          </cell>
          <cell r="E1536">
            <v>118.488</v>
          </cell>
          <cell r="F1536">
            <v>113.6</v>
          </cell>
          <cell r="H1536">
            <v>184.72</v>
          </cell>
        </row>
        <row r="1537">
          <cell r="A1537">
            <v>45411</v>
          </cell>
          <cell r="E1537">
            <v>119.16200000000001</v>
          </cell>
          <cell r="F1537">
            <v>114.259</v>
          </cell>
          <cell r="H1537">
            <v>181.05</v>
          </cell>
        </row>
        <row r="1538">
          <cell r="A1538">
            <v>45412</v>
          </cell>
          <cell r="E1538">
            <v>119.223</v>
          </cell>
          <cell r="F1538">
            <v>114.489</v>
          </cell>
          <cell r="H1538">
            <v>180.68</v>
          </cell>
        </row>
        <row r="1539">
          <cell r="A1539">
            <v>45418</v>
          </cell>
          <cell r="E1539">
            <v>120.91</v>
          </cell>
          <cell r="F1539">
            <v>116</v>
          </cell>
          <cell r="H1539">
            <v>181.1</v>
          </cell>
        </row>
        <row r="1540">
          <cell r="A1540">
            <v>45419</v>
          </cell>
          <cell r="E1540">
            <v>121.14400000000001</v>
          </cell>
          <cell r="F1540">
            <v>116.78</v>
          </cell>
          <cell r="H1540">
            <v>181.01</v>
          </cell>
        </row>
        <row r="1541">
          <cell r="A1541">
            <v>45420</v>
          </cell>
          <cell r="E1541">
            <v>120.794</v>
          </cell>
          <cell r="F1541">
            <v>115.85</v>
          </cell>
          <cell r="H1541">
            <v>181.77</v>
          </cell>
        </row>
        <row r="1542">
          <cell r="A1542">
            <v>45421</v>
          </cell>
          <cell r="E1542">
            <v>122.018</v>
          </cell>
          <cell r="F1542">
            <v>117.223</v>
          </cell>
          <cell r="H1542">
            <v>181.91</v>
          </cell>
        </row>
        <row r="1543">
          <cell r="A1543">
            <v>45422</v>
          </cell>
          <cell r="E1543">
            <v>121.9</v>
          </cell>
          <cell r="F1543">
            <v>117.25</v>
          </cell>
          <cell r="H1543">
            <v>183.8</v>
          </cell>
        </row>
        <row r="1544">
          <cell r="A1544">
            <v>45425</v>
          </cell>
          <cell r="E1544">
            <v>121.536</v>
          </cell>
          <cell r="F1544">
            <v>116.509</v>
          </cell>
          <cell r="H1544">
            <v>185.75</v>
          </cell>
        </row>
        <row r="1545">
          <cell r="A1545">
            <v>45426</v>
          </cell>
          <cell r="E1545">
            <v>122.267</v>
          </cell>
          <cell r="F1545">
            <v>116.797</v>
          </cell>
          <cell r="H1545">
            <v>185.65</v>
          </cell>
        </row>
        <row r="1546">
          <cell r="A1546">
            <v>45427</v>
          </cell>
          <cell r="E1546">
            <v>121.91500000000001</v>
          </cell>
          <cell r="F1546">
            <v>116.726</v>
          </cell>
          <cell r="H1546">
            <v>185.87</v>
          </cell>
        </row>
        <row r="1547">
          <cell r="A1547">
            <v>45428</v>
          </cell>
          <cell r="E1547">
            <v>122.13200000000001</v>
          </cell>
          <cell r="F1547">
            <v>116.83199999999999</v>
          </cell>
          <cell r="H1547">
            <v>185.43</v>
          </cell>
        </row>
        <row r="1548">
          <cell r="A1548">
            <v>45429</v>
          </cell>
          <cell r="E1548">
            <v>122.203</v>
          </cell>
          <cell r="F1548">
            <v>116.726</v>
          </cell>
          <cell r="H1548">
            <v>183.05</v>
          </cell>
        </row>
        <row r="1549">
          <cell r="A1549">
            <v>45432</v>
          </cell>
          <cell r="E1549">
            <v>122.983</v>
          </cell>
          <cell r="F1549">
            <v>117.17700000000001</v>
          </cell>
          <cell r="H1549">
            <v>184.48</v>
          </cell>
        </row>
        <row r="1550">
          <cell r="A1550">
            <v>45433</v>
          </cell>
          <cell r="E1550">
            <v>122.57899999999999</v>
          </cell>
          <cell r="F1550">
            <v>116.565</v>
          </cell>
          <cell r="H1550">
            <v>184.91</v>
          </cell>
        </row>
        <row r="1551">
          <cell r="A1551">
            <v>45434</v>
          </cell>
          <cell r="E1551">
            <v>122.58799999999999</v>
          </cell>
          <cell r="F1551">
            <v>116.599</v>
          </cell>
          <cell r="H1551">
            <v>183.62</v>
          </cell>
        </row>
        <row r="1552">
          <cell r="A1552">
            <v>45435</v>
          </cell>
          <cell r="E1552">
            <v>121.47499999999999</v>
          </cell>
          <cell r="F1552">
            <v>115.762</v>
          </cell>
          <cell r="H1552">
            <v>184.78</v>
          </cell>
        </row>
        <row r="1553">
          <cell r="A1553">
            <v>45436</v>
          </cell>
          <cell r="E1553">
            <v>121.40300000000001</v>
          </cell>
          <cell r="F1553">
            <v>115.55</v>
          </cell>
          <cell r="H1553">
            <v>186.07</v>
          </cell>
        </row>
        <row r="1554">
          <cell r="A1554">
            <v>45439</v>
          </cell>
          <cell r="E1554">
            <v>121.742</v>
          </cell>
          <cell r="F1554">
            <v>115.8</v>
          </cell>
          <cell r="H1554">
            <v>185.87</v>
          </cell>
        </row>
        <row r="1555">
          <cell r="A1555">
            <v>45440</v>
          </cell>
          <cell r="E1555">
            <v>121.57299999999999</v>
          </cell>
          <cell r="F1555">
            <v>115.63800000000001</v>
          </cell>
          <cell r="H1555">
            <v>186.95</v>
          </cell>
        </row>
        <row r="1556">
          <cell r="A1556">
            <v>45441</v>
          </cell>
          <cell r="E1556">
            <v>121.59399999999999</v>
          </cell>
          <cell r="F1556">
            <v>115.5</v>
          </cell>
          <cell r="H1556">
            <v>186.05</v>
          </cell>
        </row>
        <row r="1557">
          <cell r="A1557">
            <v>45442</v>
          </cell>
          <cell r="E1557">
            <v>121.636</v>
          </cell>
          <cell r="F1557">
            <v>115.998</v>
          </cell>
          <cell r="H1557">
            <v>187.23</v>
          </cell>
        </row>
        <row r="1558">
          <cell r="A1558">
            <v>45443</v>
          </cell>
          <cell r="E1558">
            <v>121.937</v>
          </cell>
          <cell r="F1558">
            <v>116.014</v>
          </cell>
          <cell r="H1558">
            <v>186.98</v>
          </cell>
        </row>
        <row r="1559">
          <cell r="A1559">
            <v>45446</v>
          </cell>
          <cell r="E1559">
            <v>120.69</v>
          </cell>
          <cell r="F1559">
            <v>114.93</v>
          </cell>
          <cell r="H1559">
            <v>186.76</v>
          </cell>
        </row>
        <row r="1560">
          <cell r="A1560">
            <v>45447</v>
          </cell>
          <cell r="E1560">
            <v>120.21299999999999</v>
          </cell>
          <cell r="F1560">
            <v>115.173</v>
          </cell>
          <cell r="H1560">
            <v>187.59</v>
          </cell>
        </row>
        <row r="1561">
          <cell r="A1561">
            <v>45448</v>
          </cell>
          <cell r="E1561">
            <v>119.785</v>
          </cell>
          <cell r="F1561">
            <v>114.7</v>
          </cell>
          <cell r="H1561">
            <v>190.14</v>
          </cell>
        </row>
        <row r="1562">
          <cell r="A1562">
            <v>45449</v>
          </cell>
          <cell r="E1562">
            <v>118.61499999999999</v>
          </cell>
          <cell r="F1562">
            <v>113.99</v>
          </cell>
          <cell r="H1562">
            <v>193.31</v>
          </cell>
        </row>
        <row r="1563">
          <cell r="A1563">
            <v>45450</v>
          </cell>
          <cell r="E1563">
            <v>118.979</v>
          </cell>
          <cell r="F1563">
            <v>114.04300000000001</v>
          </cell>
          <cell r="H1563">
            <v>191.78</v>
          </cell>
        </row>
        <row r="1564">
          <cell r="A1564">
            <v>45454</v>
          </cell>
          <cell r="E1564">
            <v>119.44799999999999</v>
          </cell>
          <cell r="F1564">
            <v>114.57299999999999</v>
          </cell>
          <cell r="H1564">
            <v>191.58</v>
          </cell>
        </row>
        <row r="1565">
          <cell r="A1565">
            <v>45455</v>
          </cell>
          <cell r="E1565">
            <v>119.996</v>
          </cell>
          <cell r="F1565">
            <v>114.794</v>
          </cell>
          <cell r="H1565">
            <v>190.68</v>
          </cell>
        </row>
        <row r="1566">
          <cell r="A1566">
            <v>45456</v>
          </cell>
          <cell r="E1566">
            <v>119.40900000000001</v>
          </cell>
          <cell r="F1566">
            <v>114.64400000000001</v>
          </cell>
          <cell r="H1566">
            <v>190.16</v>
          </cell>
        </row>
        <row r="1567">
          <cell r="A1567">
            <v>45457</v>
          </cell>
          <cell r="E1567">
            <v>119.29600000000001</v>
          </cell>
          <cell r="F1567">
            <v>114.47499999999999</v>
          </cell>
          <cell r="H1567">
            <v>189.75</v>
          </cell>
        </row>
        <row r="1568">
          <cell r="A1568">
            <v>45460</v>
          </cell>
          <cell r="E1568">
            <v>118.88</v>
          </cell>
          <cell r="F1568">
            <v>114.46</v>
          </cell>
          <cell r="H1568">
            <v>189.4</v>
          </cell>
        </row>
        <row r="1569">
          <cell r="A1569">
            <v>45461</v>
          </cell>
          <cell r="E1569">
            <v>119.042</v>
          </cell>
          <cell r="F1569">
            <v>114.405</v>
          </cell>
          <cell r="H1569">
            <v>187.59</v>
          </cell>
        </row>
        <row r="1570">
          <cell r="A1570">
            <v>45462</v>
          </cell>
          <cell r="E1570">
            <v>118.474</v>
          </cell>
          <cell r="F1570">
            <v>114.02</v>
          </cell>
          <cell r="H1570">
            <v>187.44</v>
          </cell>
        </row>
        <row r="1571">
          <cell r="A1571">
            <v>45463</v>
          </cell>
          <cell r="E1571">
            <v>116.922</v>
          </cell>
          <cell r="F1571">
            <v>112.89400000000001</v>
          </cell>
          <cell r="H1571">
            <v>187.38</v>
          </cell>
        </row>
        <row r="1572">
          <cell r="A1572">
            <v>45464</v>
          </cell>
          <cell r="E1572">
            <v>116.09099999999999</v>
          </cell>
          <cell r="F1572">
            <v>112.486</v>
          </cell>
          <cell r="H1572">
            <v>185.43</v>
          </cell>
        </row>
        <row r="1573">
          <cell r="A1573">
            <v>45467</v>
          </cell>
          <cell r="E1573">
            <v>113.651</v>
          </cell>
          <cell r="F1573">
            <v>110.268</v>
          </cell>
          <cell r="H1573">
            <v>185.67</v>
          </cell>
        </row>
        <row r="1574">
          <cell r="A1574">
            <v>45468</v>
          </cell>
          <cell r="E1574">
            <v>114.123</v>
          </cell>
          <cell r="F1574">
            <v>111.10899999999999</v>
          </cell>
          <cell r="H1574">
            <v>186.81</v>
          </cell>
        </row>
        <row r="1575">
          <cell r="A1575">
            <v>45469</v>
          </cell>
          <cell r="E1575">
            <v>116.465</v>
          </cell>
          <cell r="F1575">
            <v>112.664</v>
          </cell>
          <cell r="H1575">
            <v>187.98</v>
          </cell>
        </row>
        <row r="1576">
          <cell r="A1576">
            <v>45470</v>
          </cell>
          <cell r="E1576">
            <v>115.684</v>
          </cell>
          <cell r="F1576">
            <v>112.02200000000001</v>
          </cell>
          <cell r="H1576">
            <v>189.54</v>
          </cell>
        </row>
        <row r="1577">
          <cell r="A1577">
            <v>45471</v>
          </cell>
          <cell r="E1577">
            <v>116.146</v>
          </cell>
          <cell r="F1577">
            <v>112.22</v>
          </cell>
          <cell r="H1577">
            <v>190.04</v>
          </cell>
        </row>
        <row r="1578">
          <cell r="A1578">
            <v>45474</v>
          </cell>
          <cell r="E1578">
            <v>116.556</v>
          </cell>
          <cell r="F1578">
            <v>112.82899999999999</v>
          </cell>
          <cell r="H1578">
            <v>189.96</v>
          </cell>
        </row>
        <row r="1579">
          <cell r="A1579">
            <v>45475</v>
          </cell>
          <cell r="E1579">
            <v>116.67100000000001</v>
          </cell>
          <cell r="F1579">
            <v>112.30200000000001</v>
          </cell>
          <cell r="H1579">
            <v>191.38</v>
          </cell>
        </row>
        <row r="1580">
          <cell r="A1580">
            <v>45476</v>
          </cell>
          <cell r="E1580">
            <v>115.86799999999999</v>
          </cell>
          <cell r="F1580">
            <v>111.68</v>
          </cell>
          <cell r="H1580">
            <v>191.78</v>
          </cell>
        </row>
        <row r="1581">
          <cell r="A1581">
            <v>45477</v>
          </cell>
          <cell r="E1581">
            <v>114.679</v>
          </cell>
          <cell r="F1581">
            <v>110.6</v>
          </cell>
          <cell r="H1581">
            <v>193.13</v>
          </cell>
        </row>
        <row r="1582">
          <cell r="A1582">
            <v>45478</v>
          </cell>
          <cell r="E1582">
            <v>115.142</v>
          </cell>
          <cell r="F1582">
            <v>111.142</v>
          </cell>
          <cell r="H1582">
            <v>192.33</v>
          </cell>
        </row>
        <row r="1583">
          <cell r="A1583">
            <v>45481</v>
          </cell>
          <cell r="E1583">
            <v>113.648</v>
          </cell>
          <cell r="F1583">
            <v>109.889</v>
          </cell>
          <cell r="H1583">
            <v>193.29</v>
          </cell>
        </row>
        <row r="1584">
          <cell r="A1584">
            <v>45482</v>
          </cell>
          <cell r="E1584">
            <v>114.771</v>
          </cell>
          <cell r="F1584">
            <v>110.5</v>
          </cell>
          <cell r="H1584">
            <v>192.68</v>
          </cell>
        </row>
        <row r="1585">
          <cell r="A1585">
            <v>45483</v>
          </cell>
          <cell r="E1585">
            <v>114.348</v>
          </cell>
          <cell r="F1585">
            <v>110.46</v>
          </cell>
          <cell r="H1585">
            <v>192.53</v>
          </cell>
        </row>
        <row r="1586">
          <cell r="A1586">
            <v>45484</v>
          </cell>
          <cell r="E1586">
            <v>115.497</v>
          </cell>
          <cell r="F1586">
            <v>111.5</v>
          </cell>
          <cell r="H1586">
            <v>190.03</v>
          </cell>
        </row>
        <row r="1587">
          <cell r="A1587">
            <v>45485</v>
          </cell>
          <cell r="E1587">
            <v>114.834</v>
          </cell>
          <cell r="F1587">
            <v>111.31100000000001</v>
          </cell>
          <cell r="H1587">
            <v>188.91</v>
          </cell>
        </row>
        <row r="1588">
          <cell r="A1588">
            <v>45488</v>
          </cell>
          <cell r="E1588">
            <v>114.11799999999999</v>
          </cell>
          <cell r="F1588">
            <v>110.319</v>
          </cell>
          <cell r="H1588">
            <v>189.64</v>
          </cell>
        </row>
        <row r="1589">
          <cell r="A1589">
            <v>45489</v>
          </cell>
          <cell r="E1589">
            <v>114.008</v>
          </cell>
          <cell r="F1589">
            <v>110.289</v>
          </cell>
          <cell r="H1589">
            <v>189.29</v>
          </cell>
        </row>
        <row r="1590">
          <cell r="A1590">
            <v>45490</v>
          </cell>
          <cell r="E1590">
            <v>113.075</v>
          </cell>
          <cell r="F1590">
            <v>109.56399999999999</v>
          </cell>
          <cell r="H1590">
            <v>189.13</v>
          </cell>
        </row>
        <row r="1591">
          <cell r="A1591">
            <v>45491</v>
          </cell>
          <cell r="E1591">
            <v>112.908</v>
          </cell>
          <cell r="F1591">
            <v>109.562</v>
          </cell>
          <cell r="H1591">
            <v>188.98</v>
          </cell>
        </row>
        <row r="1592">
          <cell r="A1592">
            <v>45492</v>
          </cell>
          <cell r="E1592">
            <v>113.01900000000001</v>
          </cell>
          <cell r="F1592">
            <v>109.904</v>
          </cell>
          <cell r="H1592">
            <v>187.89</v>
          </cell>
        </row>
        <row r="1593">
          <cell r="A1593">
            <v>45495</v>
          </cell>
          <cell r="E1593">
            <v>112.4</v>
          </cell>
          <cell r="F1593">
            <v>109.4</v>
          </cell>
          <cell r="H1593">
            <v>185.8</v>
          </cell>
        </row>
        <row r="1594">
          <cell r="A1594">
            <v>45496</v>
          </cell>
          <cell r="E1594">
            <v>110.709</v>
          </cell>
          <cell r="F1594">
            <v>108.224</v>
          </cell>
          <cell r="H1594">
            <v>185.33</v>
          </cell>
        </row>
        <row r="1595">
          <cell r="A1595">
            <v>45497</v>
          </cell>
          <cell r="E1595">
            <v>109.232</v>
          </cell>
          <cell r="F1595">
            <v>106.857</v>
          </cell>
          <cell r="H1595">
            <v>183.69</v>
          </cell>
        </row>
        <row r="1596">
          <cell r="A1596">
            <v>45498</v>
          </cell>
          <cell r="E1596">
            <v>109.399</v>
          </cell>
          <cell r="F1596">
            <v>107.17</v>
          </cell>
          <cell r="H1596">
            <v>182.6</v>
          </cell>
        </row>
        <row r="1597">
          <cell r="A1597">
            <v>45499</v>
          </cell>
          <cell r="E1597">
            <v>111.012</v>
          </cell>
          <cell r="F1597">
            <v>108.58</v>
          </cell>
          <cell r="H1597">
            <v>184.06</v>
          </cell>
        </row>
        <row r="1598">
          <cell r="A1598">
            <v>45502</v>
          </cell>
          <cell r="E1598">
            <v>110.78</v>
          </cell>
          <cell r="F1598">
            <v>108.04</v>
          </cell>
          <cell r="H1598">
            <v>184.23</v>
          </cell>
        </row>
        <row r="1599">
          <cell r="A1599">
            <v>45503</v>
          </cell>
          <cell r="E1599">
            <v>110.8</v>
          </cell>
          <cell r="F1599">
            <v>107.66500000000001</v>
          </cell>
          <cell r="H1599">
            <v>183.23</v>
          </cell>
        </row>
        <row r="1600">
          <cell r="A1600">
            <v>45504</v>
          </cell>
          <cell r="E1600">
            <v>112.45399999999999</v>
          </cell>
          <cell r="F1600">
            <v>109.35299999999999</v>
          </cell>
          <cell r="H1600">
            <v>180.9</v>
          </cell>
        </row>
        <row r="1601">
          <cell r="A1601">
            <v>45505</v>
          </cell>
          <cell r="E1601">
            <v>112.586</v>
          </cell>
          <cell r="F1601">
            <v>109.498</v>
          </cell>
          <cell r="H1601">
            <v>181.6</v>
          </cell>
        </row>
        <row r="1602">
          <cell r="A1602">
            <v>45506</v>
          </cell>
          <cell r="E1602">
            <v>111.944</v>
          </cell>
          <cell r="F1602">
            <v>109.095</v>
          </cell>
          <cell r="H1602">
            <v>182.21</v>
          </cell>
        </row>
        <row r="1603">
          <cell r="A1603">
            <v>45509</v>
          </cell>
          <cell r="E1603">
            <v>110.545</v>
          </cell>
          <cell r="F1603">
            <v>107.85599999999999</v>
          </cell>
          <cell r="H1603">
            <v>183.37</v>
          </cell>
        </row>
        <row r="1604">
          <cell r="A1604">
            <v>45510</v>
          </cell>
          <cell r="E1604">
            <v>110.976</v>
          </cell>
          <cell r="F1604">
            <v>108.345</v>
          </cell>
          <cell r="H1604">
            <v>179.32</v>
          </cell>
        </row>
        <row r="1605">
          <cell r="A1605">
            <v>45511</v>
          </cell>
          <cell r="E1605">
            <v>111.363</v>
          </cell>
          <cell r="F1605">
            <v>108.40600000000001</v>
          </cell>
          <cell r="H1605">
            <v>180.09</v>
          </cell>
        </row>
        <row r="1606">
          <cell r="A1606">
            <v>45512</v>
          </cell>
          <cell r="E1606">
            <v>111.059</v>
          </cell>
          <cell r="F1606">
            <v>108.092</v>
          </cell>
          <cell r="H1606">
            <v>179.47</v>
          </cell>
        </row>
        <row r="1607">
          <cell r="A1607">
            <v>45513</v>
          </cell>
          <cell r="E1607">
            <v>110.949</v>
          </cell>
          <cell r="F1607">
            <v>108.202</v>
          </cell>
          <cell r="H1607">
            <v>180.77</v>
          </cell>
        </row>
        <row r="1608">
          <cell r="A1608">
            <v>45516</v>
          </cell>
          <cell r="E1608">
            <v>110.596</v>
          </cell>
          <cell r="F1608">
            <v>107.7</v>
          </cell>
          <cell r="H1608">
            <v>180.55</v>
          </cell>
        </row>
        <row r="1609">
          <cell r="A1609">
            <v>45517</v>
          </cell>
          <cell r="E1609">
            <v>110.66800000000001</v>
          </cell>
          <cell r="F1609">
            <v>107.6</v>
          </cell>
          <cell r="H1609">
            <v>179.24</v>
          </cell>
        </row>
        <row r="1610">
          <cell r="A1610">
            <v>45518</v>
          </cell>
          <cell r="E1610">
            <v>110.19199999999999</v>
          </cell>
          <cell r="F1610">
            <v>107.1</v>
          </cell>
          <cell r="H1610">
            <v>179.27</v>
          </cell>
        </row>
        <row r="1611">
          <cell r="A1611">
            <v>45519</v>
          </cell>
          <cell r="E1611">
            <v>109.697</v>
          </cell>
          <cell r="F1611">
            <v>106.624</v>
          </cell>
          <cell r="H1611">
            <v>176.7</v>
          </cell>
        </row>
        <row r="1612">
          <cell r="A1612">
            <v>45520</v>
          </cell>
          <cell r="E1612">
            <v>108.01600000000001</v>
          </cell>
          <cell r="F1612">
            <v>105.398</v>
          </cell>
          <cell r="H1612">
            <v>173.26</v>
          </cell>
        </row>
        <row r="1613">
          <cell r="A1613">
            <v>45523</v>
          </cell>
          <cell r="E1613">
            <v>108.419</v>
          </cell>
          <cell r="F1613">
            <v>105.88800000000001</v>
          </cell>
          <cell r="H1613">
            <v>174.82</v>
          </cell>
        </row>
        <row r="1614">
          <cell r="A1614">
            <v>45524</v>
          </cell>
          <cell r="E1614">
            <v>107.126</v>
          </cell>
          <cell r="F1614">
            <v>104.32599999999999</v>
          </cell>
          <cell r="H1614">
            <v>174.78</v>
          </cell>
        </row>
        <row r="1615">
          <cell r="A1615">
            <v>45525</v>
          </cell>
          <cell r="E1615">
            <v>107.485</v>
          </cell>
          <cell r="F1615">
            <v>104.648</v>
          </cell>
          <cell r="H1615">
            <v>176.62</v>
          </cell>
        </row>
        <row r="1616">
          <cell r="A1616">
            <v>45526</v>
          </cell>
          <cell r="E1616">
            <v>106.98099999999999</v>
          </cell>
          <cell r="F1616">
            <v>104.08499999999999</v>
          </cell>
          <cell r="H1616">
            <v>178.21</v>
          </cell>
        </row>
        <row r="1617">
          <cell r="A1617">
            <v>45527</v>
          </cell>
          <cell r="E1617">
            <v>107.26300000000001</v>
          </cell>
          <cell r="F1617">
            <v>104.28700000000001</v>
          </cell>
          <cell r="H1617">
            <v>179.77</v>
          </cell>
        </row>
        <row r="1618">
          <cell r="A1618">
            <v>45530</v>
          </cell>
          <cell r="E1618">
            <v>108.411</v>
          </cell>
          <cell r="F1618">
            <v>105.711</v>
          </cell>
          <cell r="H1618">
            <v>180.8</v>
          </cell>
        </row>
        <row r="1619">
          <cell r="A1619">
            <v>45531</v>
          </cell>
          <cell r="E1619">
            <v>107.928</v>
          </cell>
          <cell r="F1619">
            <v>105.3</v>
          </cell>
          <cell r="H1619">
            <v>182.05</v>
          </cell>
        </row>
        <row r="1620">
          <cell r="A1620">
            <v>45532</v>
          </cell>
          <cell r="E1620">
            <v>108.13800000000001</v>
          </cell>
          <cell r="F1620">
            <v>105.46899999999999</v>
          </cell>
          <cell r="H1620">
            <v>181.77</v>
          </cell>
        </row>
        <row r="1621">
          <cell r="A1621">
            <v>45533</v>
          </cell>
          <cell r="E1621">
            <v>109.419</v>
          </cell>
          <cell r="F1621">
            <v>106.36799999999999</v>
          </cell>
          <cell r="H1621">
            <v>182.03</v>
          </cell>
        </row>
        <row r="1622">
          <cell r="A1622">
            <v>45534</v>
          </cell>
          <cell r="E1622">
            <v>110.672</v>
          </cell>
          <cell r="F1622">
            <v>107.44199999999999</v>
          </cell>
          <cell r="H1622">
            <v>182.29</v>
          </cell>
        </row>
        <row r="1623">
          <cell r="A1623">
            <v>45537</v>
          </cell>
          <cell r="E1623">
            <v>109.73099999999999</v>
          </cell>
          <cell r="F1623">
            <v>106.515</v>
          </cell>
          <cell r="H1623">
            <v>183.19</v>
          </cell>
        </row>
        <row r="1624">
          <cell r="A1624">
            <v>45538</v>
          </cell>
          <cell r="E1624">
            <v>110.033</v>
          </cell>
          <cell r="F1624">
            <v>106.64100000000001</v>
          </cell>
          <cell r="H1624">
            <v>181.84</v>
          </cell>
        </row>
        <row r="1625">
          <cell r="A1625">
            <v>45539</v>
          </cell>
          <cell r="E1625">
            <v>110.277</v>
          </cell>
          <cell r="F1625">
            <v>106.804</v>
          </cell>
          <cell r="H1625">
            <v>182.93</v>
          </cell>
        </row>
        <row r="1626">
          <cell r="A1626">
            <v>45540</v>
          </cell>
          <cell r="E1626">
            <v>111.313</v>
          </cell>
          <cell r="F1626">
            <v>107.41500000000001</v>
          </cell>
          <cell r="H1626">
            <v>183.96</v>
          </cell>
        </row>
        <row r="1627">
          <cell r="A1627">
            <v>45541</v>
          </cell>
          <cell r="E1627">
            <v>110.623</v>
          </cell>
          <cell r="F1627">
            <v>106.999</v>
          </cell>
          <cell r="H1627">
            <v>185.87</v>
          </cell>
        </row>
        <row r="1628">
          <cell r="A1628">
            <v>45544</v>
          </cell>
          <cell r="E1628">
            <v>110.19199999999999</v>
          </cell>
          <cell r="F1628">
            <v>106.679</v>
          </cell>
          <cell r="H1628">
            <v>185.57</v>
          </cell>
        </row>
        <row r="1629">
          <cell r="A1629">
            <v>45545</v>
          </cell>
          <cell r="E1629">
            <v>109.489</v>
          </cell>
          <cell r="F1629">
            <v>106.541</v>
          </cell>
          <cell r="H1629">
            <v>183.31</v>
          </cell>
        </row>
        <row r="1630">
          <cell r="A1630">
            <v>45546</v>
          </cell>
          <cell r="E1630">
            <v>109.246</v>
          </cell>
          <cell r="F1630">
            <v>106.47199999999999</v>
          </cell>
          <cell r="H1630">
            <v>182.93</v>
          </cell>
        </row>
        <row r="1631">
          <cell r="A1631">
            <v>45547</v>
          </cell>
          <cell r="E1631">
            <v>109.032</v>
          </cell>
          <cell r="F1631">
            <v>106.294</v>
          </cell>
          <cell r="H1631">
            <v>183.01</v>
          </cell>
        </row>
        <row r="1632">
          <cell r="A1632">
            <v>45548</v>
          </cell>
          <cell r="E1632">
            <v>108.131</v>
          </cell>
          <cell r="F1632">
            <v>105.791</v>
          </cell>
          <cell r="H1632">
            <v>183.47</v>
          </cell>
        </row>
        <row r="1633">
          <cell r="A1633">
            <v>45553</v>
          </cell>
          <cell r="E1633">
            <v>107.718</v>
          </cell>
          <cell r="F1633">
            <v>105.423</v>
          </cell>
          <cell r="H1633">
            <v>183.86</v>
          </cell>
        </row>
        <row r="1634">
          <cell r="A1634">
            <v>45554</v>
          </cell>
          <cell r="E1634">
            <v>108.601</v>
          </cell>
          <cell r="F1634">
            <v>106.2</v>
          </cell>
          <cell r="H1634">
            <v>181.9</v>
          </cell>
        </row>
        <row r="1635">
          <cell r="A1635">
            <v>45555</v>
          </cell>
          <cell r="E1635">
            <v>108.145</v>
          </cell>
          <cell r="F1635">
            <v>105.78</v>
          </cell>
          <cell r="H1635">
            <v>181.99</v>
          </cell>
        </row>
        <row r="1636">
          <cell r="A1636">
            <v>45558</v>
          </cell>
          <cell r="E1636">
            <v>108.05</v>
          </cell>
          <cell r="F1636">
            <v>105.688</v>
          </cell>
          <cell r="H1636">
            <v>181.63</v>
          </cell>
        </row>
        <row r="1637">
          <cell r="A1637">
            <v>45559</v>
          </cell>
          <cell r="E1637">
            <v>110.434</v>
          </cell>
          <cell r="F1637">
            <v>107.655</v>
          </cell>
          <cell r="H1637">
            <v>180.62</v>
          </cell>
        </row>
        <row r="1638">
          <cell r="A1638">
            <v>45560</v>
          </cell>
          <cell r="E1638">
            <v>110.93</v>
          </cell>
          <cell r="F1638">
            <v>108.02200000000001</v>
          </cell>
          <cell r="H1638">
            <v>180.24</v>
          </cell>
        </row>
        <row r="1639">
          <cell r="A1639">
            <v>45561</v>
          </cell>
          <cell r="E1639">
            <v>112.67100000000001</v>
          </cell>
          <cell r="F1639">
            <v>109.488</v>
          </cell>
          <cell r="H1639">
            <v>177.99</v>
          </cell>
        </row>
        <row r="1640">
          <cell r="A1640">
            <v>45562</v>
          </cell>
          <cell r="E1640">
            <v>114.648</v>
          </cell>
          <cell r="F1640">
            <v>110.803</v>
          </cell>
          <cell r="H1640">
            <v>174.21</v>
          </cell>
        </row>
        <row r="1641">
          <cell r="A1641">
            <v>45565</v>
          </cell>
          <cell r="E1641">
            <v>118.14</v>
          </cell>
          <cell r="F1641">
            <v>113.798</v>
          </cell>
          <cell r="H1641">
            <v>165.65</v>
          </cell>
        </row>
        <row r="1642">
          <cell r="A1642">
            <v>45573</v>
          </cell>
          <cell r="E1642">
            <v>122.298</v>
          </cell>
          <cell r="F1642">
            <v>116.95699999999999</v>
          </cell>
          <cell r="H1642">
            <v>163.29</v>
          </cell>
        </row>
        <row r="1643">
          <cell r="A1643">
            <v>45574</v>
          </cell>
          <cell r="E1643">
            <v>116.998</v>
          </cell>
          <cell r="F1643">
            <v>112.39</v>
          </cell>
          <cell r="H1643">
            <v>166.09</v>
          </cell>
        </row>
        <row r="1644">
          <cell r="A1644">
            <v>45575</v>
          </cell>
          <cell r="E1644">
            <v>117.157</v>
          </cell>
          <cell r="F1644">
            <v>112.496</v>
          </cell>
          <cell r="H1644">
            <v>166.14</v>
          </cell>
        </row>
        <row r="1645">
          <cell r="A1645">
            <v>45576</v>
          </cell>
          <cell r="E1645">
            <v>115.188</v>
          </cell>
          <cell r="F1645">
            <v>110.64700000000001</v>
          </cell>
          <cell r="H1645">
            <v>168.17</v>
          </cell>
        </row>
        <row r="1646">
          <cell r="A1646">
            <v>45579</v>
          </cell>
          <cell r="E1646">
            <v>117.38500000000001</v>
          </cell>
          <cell r="F1646">
            <v>112.517</v>
          </cell>
          <cell r="H1646">
            <v>168.32</v>
          </cell>
        </row>
        <row r="1647">
          <cell r="A1647">
            <v>45580</v>
          </cell>
          <cell r="E1647">
            <v>117.16</v>
          </cell>
          <cell r="F1647">
            <v>112.52</v>
          </cell>
          <cell r="H1647">
            <v>170.9</v>
          </cell>
        </row>
        <row r="1648">
          <cell r="A1648">
            <v>45581</v>
          </cell>
          <cell r="E1648">
            <v>117.621</v>
          </cell>
          <cell r="F1648">
            <v>112.777</v>
          </cell>
          <cell r="H1648">
            <v>171.34</v>
          </cell>
        </row>
        <row r="1649">
          <cell r="A1649">
            <v>45582</v>
          </cell>
          <cell r="E1649">
            <v>117.604</v>
          </cell>
          <cell r="F1649">
            <v>112.861</v>
          </cell>
          <cell r="H1649">
            <v>172.65</v>
          </cell>
        </row>
        <row r="1650">
          <cell r="A1650">
            <v>45583</v>
          </cell>
          <cell r="E1650">
            <v>119.221</v>
          </cell>
          <cell r="F1650">
            <v>113.985</v>
          </cell>
          <cell r="H1650">
            <v>170.97</v>
          </cell>
        </row>
        <row r="1651">
          <cell r="A1651">
            <v>45586</v>
          </cell>
          <cell r="E1651">
            <v>120.59099999999999</v>
          </cell>
          <cell r="F1651">
            <v>114.77200000000001</v>
          </cell>
          <cell r="H1651">
            <v>171.58</v>
          </cell>
        </row>
        <row r="1652">
          <cell r="A1652">
            <v>45587</v>
          </cell>
          <cell r="E1652">
            <v>120.902</v>
          </cell>
          <cell r="F1652">
            <v>115</v>
          </cell>
          <cell r="H1652">
            <v>170.36</v>
          </cell>
        </row>
        <row r="1653">
          <cell r="A1653">
            <v>45588</v>
          </cell>
          <cell r="E1653">
            <v>121.36</v>
          </cell>
          <cell r="F1653">
            <v>115.691</v>
          </cell>
          <cell r="H1653">
            <v>170.7</v>
          </cell>
        </row>
        <row r="1654">
          <cell r="A1654">
            <v>45589</v>
          </cell>
          <cell r="E1654">
            <v>120.447</v>
          </cell>
          <cell r="F1654">
            <v>114.7</v>
          </cell>
          <cell r="H1654">
            <v>169.37</v>
          </cell>
        </row>
        <row r="1655">
          <cell r="A1655">
            <v>45590</v>
          </cell>
          <cell r="E1655">
            <v>121.858</v>
          </cell>
          <cell r="F1655">
            <v>115.697</v>
          </cell>
          <cell r="H1655">
            <v>168.88</v>
          </cell>
        </row>
        <row r="1656">
          <cell r="A1656">
            <v>45593</v>
          </cell>
          <cell r="E1656">
            <v>122.792</v>
          </cell>
          <cell r="F1656">
            <v>116.66</v>
          </cell>
          <cell r="H1656">
            <v>168.65</v>
          </cell>
        </row>
        <row r="1657">
          <cell r="A1657">
            <v>45594</v>
          </cell>
          <cell r="E1657">
            <v>121.242</v>
          </cell>
          <cell r="F1657">
            <v>115.279</v>
          </cell>
          <cell r="H1657">
            <v>168.19</v>
          </cell>
        </row>
        <row r="1658">
          <cell r="A1658">
            <v>45595</v>
          </cell>
          <cell r="E1658">
            <v>120.854</v>
          </cell>
          <cell r="F1658">
            <v>114.90600000000001</v>
          </cell>
          <cell r="H1658">
            <v>167.35</v>
          </cell>
        </row>
        <row r="1659">
          <cell r="A1659">
            <v>45596</v>
          </cell>
          <cell r="E1659">
            <v>121.44499999999999</v>
          </cell>
          <cell r="F1659">
            <v>115.218</v>
          </cell>
          <cell r="H1659">
            <v>166.91</v>
          </cell>
        </row>
        <row r="1660">
          <cell r="A1660">
            <v>45597</v>
          </cell>
          <cell r="E1660">
            <v>120.209</v>
          </cell>
          <cell r="F1660">
            <v>114.63500000000001</v>
          </cell>
          <cell r="H1660">
            <v>167.78</v>
          </cell>
        </row>
        <row r="1661">
          <cell r="A1661">
            <v>45600</v>
          </cell>
          <cell r="E1661">
            <v>121.21599999999999</v>
          </cell>
          <cell r="F1661">
            <v>115.199</v>
          </cell>
          <cell r="H1661">
            <v>166.49</v>
          </cell>
        </row>
        <row r="1662">
          <cell r="A1662">
            <v>45601</v>
          </cell>
          <cell r="E1662">
            <v>122.645</v>
          </cell>
          <cell r="F1662">
            <v>116.369</v>
          </cell>
          <cell r="H1662">
            <v>165.68</v>
          </cell>
        </row>
        <row r="1663">
          <cell r="A1663">
            <v>45602</v>
          </cell>
          <cell r="E1663">
            <v>122.932</v>
          </cell>
          <cell r="F1663">
            <v>116.49</v>
          </cell>
          <cell r="H1663">
            <v>165.3</v>
          </cell>
        </row>
        <row r="1664">
          <cell r="A1664">
            <v>45603</v>
          </cell>
          <cell r="E1664">
            <v>124.145</v>
          </cell>
          <cell r="F1664">
            <v>117.746</v>
          </cell>
          <cell r="H1664">
            <v>164.48</v>
          </cell>
        </row>
        <row r="1665">
          <cell r="A1665">
            <v>45604</v>
          </cell>
          <cell r="E1665">
            <v>124.16500000000001</v>
          </cell>
          <cell r="F1665">
            <v>117.328</v>
          </cell>
          <cell r="H1665">
            <v>164.4</v>
          </cell>
        </row>
        <row r="1666">
          <cell r="A1666">
            <v>45607</v>
          </cell>
          <cell r="E1666">
            <v>126.01</v>
          </cell>
          <cell r="F1666">
            <v>119.029</v>
          </cell>
          <cell r="H1666">
            <v>164.16</v>
          </cell>
        </row>
        <row r="1667">
          <cell r="A1667">
            <v>45608</v>
          </cell>
          <cell r="E1667">
            <v>125.48099999999999</v>
          </cell>
          <cell r="F1667">
            <v>118.43</v>
          </cell>
          <cell r="H1667">
            <v>163.77000000000001</v>
          </cell>
        </row>
        <row r="1668">
          <cell r="A1668">
            <v>45609</v>
          </cell>
          <cell r="E1668">
            <v>125.277</v>
          </cell>
          <cell r="F1668">
            <v>118.38</v>
          </cell>
          <cell r="H1668">
            <v>163.51</v>
          </cell>
        </row>
        <row r="1669">
          <cell r="A1669">
            <v>45610</v>
          </cell>
          <cell r="E1669">
            <v>123.553</v>
          </cell>
          <cell r="F1669">
            <v>116.773</v>
          </cell>
          <cell r="H1669">
            <v>164.07</v>
          </cell>
        </row>
        <row r="1670">
          <cell r="A1670">
            <v>45611</v>
          </cell>
          <cell r="E1670">
            <v>122.502</v>
          </cell>
          <cell r="F1670">
            <v>115.77500000000001</v>
          </cell>
          <cell r="H1670">
            <v>164.87</v>
          </cell>
        </row>
        <row r="1671">
          <cell r="A1671">
            <v>45614</v>
          </cell>
          <cell r="E1671">
            <v>121.038</v>
          </cell>
          <cell r="F1671">
            <v>114.995</v>
          </cell>
          <cell r="H1671">
            <v>165.16</v>
          </cell>
        </row>
        <row r="1672">
          <cell r="A1672">
            <v>45615</v>
          </cell>
          <cell r="E1672">
            <v>122.378</v>
          </cell>
          <cell r="F1672">
            <v>116.229</v>
          </cell>
          <cell r="H1672">
            <v>164.21</v>
          </cell>
        </row>
        <row r="1673">
          <cell r="A1673">
            <v>45616</v>
          </cell>
          <cell r="E1673">
            <v>123.69199999999999</v>
          </cell>
          <cell r="F1673">
            <v>117.16500000000001</v>
          </cell>
          <cell r="H1673">
            <v>164.17</v>
          </cell>
        </row>
        <row r="1674">
          <cell r="A1674">
            <v>45617</v>
          </cell>
          <cell r="E1674">
            <v>123.63800000000001</v>
          </cell>
          <cell r="F1674">
            <v>117.08199999999999</v>
          </cell>
          <cell r="H1674">
            <v>163.87</v>
          </cell>
        </row>
        <row r="1675">
          <cell r="A1675">
            <v>45618</v>
          </cell>
          <cell r="E1675">
            <v>121.982</v>
          </cell>
          <cell r="F1675">
            <v>116.10899999999999</v>
          </cell>
          <cell r="H1675">
            <v>165.96</v>
          </cell>
        </row>
        <row r="1676">
          <cell r="A1676">
            <v>45621</v>
          </cell>
          <cell r="E1676">
            <v>122.295</v>
          </cell>
          <cell r="F1676">
            <v>115.935</v>
          </cell>
          <cell r="H1676">
            <v>164.49</v>
          </cell>
        </row>
        <row r="1677">
          <cell r="A1677">
            <v>45622</v>
          </cell>
          <cell r="E1677">
            <v>121.571</v>
          </cell>
          <cell r="F1677">
            <v>115.8</v>
          </cell>
          <cell r="H1677">
            <v>164.89</v>
          </cell>
        </row>
        <row r="1678">
          <cell r="A1678">
            <v>45623</v>
          </cell>
          <cell r="E1678">
            <v>122.629</v>
          </cell>
          <cell r="F1678">
            <v>116.276</v>
          </cell>
          <cell r="H1678">
            <v>164.72</v>
          </cell>
        </row>
        <row r="1679">
          <cell r="A1679">
            <v>45624</v>
          </cell>
          <cell r="E1679">
            <v>122.703</v>
          </cell>
          <cell r="F1679">
            <v>116.76</v>
          </cell>
          <cell r="H1679">
            <v>165.51</v>
          </cell>
        </row>
        <row r="1680">
          <cell r="A1680">
            <v>45625</v>
          </cell>
          <cell r="E1680">
            <v>123.95399999999999</v>
          </cell>
          <cell r="F1680">
            <v>117.646</v>
          </cell>
          <cell r="H1680">
            <v>166.14</v>
          </cell>
        </row>
        <row r="1681">
          <cell r="A1681">
            <v>45628</v>
          </cell>
          <cell r="E1681">
            <v>125.02800000000001</v>
          </cell>
          <cell r="F1681">
            <v>118.211</v>
          </cell>
          <cell r="H1681">
            <v>166.05</v>
          </cell>
        </row>
        <row r="1682">
          <cell r="A1682">
            <v>45629</v>
          </cell>
          <cell r="E1682">
            <v>125.108</v>
          </cell>
          <cell r="F1682">
            <v>118.875</v>
          </cell>
          <cell r="H1682">
            <v>166.22</v>
          </cell>
        </row>
        <row r="1683">
          <cell r="A1683">
            <v>45630</v>
          </cell>
          <cell r="E1683">
            <v>124.081</v>
          </cell>
          <cell r="F1683">
            <v>117.703</v>
          </cell>
          <cell r="H1683">
            <v>166.5</v>
          </cell>
        </row>
        <row r="1684">
          <cell r="A1684">
            <v>45631</v>
          </cell>
          <cell r="E1684">
            <v>124.938</v>
          </cell>
          <cell r="F1684">
            <v>118.45099999999999</v>
          </cell>
          <cell r="H1684">
            <v>166.73</v>
          </cell>
        </row>
        <row r="1685">
          <cell r="A1685">
            <v>45632</v>
          </cell>
          <cell r="E1685">
            <v>125.58</v>
          </cell>
          <cell r="F1685">
            <v>118.89100000000001</v>
          </cell>
          <cell r="H1685">
            <v>167.01</v>
          </cell>
        </row>
        <row r="1686">
          <cell r="A1686">
            <v>45635</v>
          </cell>
          <cell r="E1686">
            <v>125.747</v>
          </cell>
          <cell r="F1686">
            <v>119.04600000000001</v>
          </cell>
          <cell r="H1686">
            <v>166.78</v>
          </cell>
        </row>
        <row r="1687">
          <cell r="A1687">
            <v>45636</v>
          </cell>
          <cell r="E1687">
            <v>126.518</v>
          </cell>
          <cell r="F1687">
            <v>119.65</v>
          </cell>
          <cell r="H1687">
            <v>167.63</v>
          </cell>
        </row>
        <row r="1688">
          <cell r="A1688">
            <v>45637</v>
          </cell>
          <cell r="E1688">
            <v>127.896</v>
          </cell>
          <cell r="F1688">
            <v>120.84699999999999</v>
          </cell>
          <cell r="H1688">
            <v>169.22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lixinger.com/analytics/industry/sz/C11/11/detail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lixinger.com/analytics/industry/sz/C1102/1102/detail" TargetMode="External"/><Relationship Id="rId2" Type="http://schemas.openxmlformats.org/officeDocument/2006/relationships/hyperlink" Target="https://www.lixinger.com/analytics/industry/sz/C1101/1101/detail" TargetMode="External"/><Relationship Id="rId1" Type="http://schemas.openxmlformats.org/officeDocument/2006/relationships/hyperlink" Target="https://www.lixinger.com/analytics/industry/sz/C0503/503/detail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://discuss.jiucaishuo.com/?/invest/showData/search_gu-si801180" TargetMode="External"/><Relationship Id="rId13" Type="http://schemas.openxmlformats.org/officeDocument/2006/relationships/hyperlink" Target="http://discuss.jiucaishuo.com/?/invest/showData/search_gu-si801130" TargetMode="External"/><Relationship Id="rId18" Type="http://schemas.openxmlformats.org/officeDocument/2006/relationships/hyperlink" Target="http://discuss.jiucaishuo.com/?/invest/showData/search_gu-si801210" TargetMode="External"/><Relationship Id="rId26" Type="http://schemas.openxmlformats.org/officeDocument/2006/relationships/hyperlink" Target="http://discuss.jiucaishuo.com/?/invest/showData/search_gu-si801140" TargetMode="External"/><Relationship Id="rId3" Type="http://schemas.openxmlformats.org/officeDocument/2006/relationships/hyperlink" Target="http://discuss.jiucaishuo.com/?/invest/showData/search_gu-si801750" TargetMode="External"/><Relationship Id="rId21" Type="http://schemas.openxmlformats.org/officeDocument/2006/relationships/hyperlink" Target="http://discuss.jiucaishuo.com/?/invest/showData/search_gu-si801230" TargetMode="External"/><Relationship Id="rId7" Type="http://schemas.openxmlformats.org/officeDocument/2006/relationships/hyperlink" Target="http://discuss.jiucaishuo.com/?/invest/showData/search_gu-si801150" TargetMode="External"/><Relationship Id="rId12" Type="http://schemas.openxmlformats.org/officeDocument/2006/relationships/hyperlink" Target="http://discuss.jiucaishuo.com/?/invest/showData/search_gu-si801880" TargetMode="External"/><Relationship Id="rId17" Type="http://schemas.openxmlformats.org/officeDocument/2006/relationships/hyperlink" Target="http://discuss.jiucaishuo.com/?/invest/showData/search_gu-si801890" TargetMode="External"/><Relationship Id="rId25" Type="http://schemas.openxmlformats.org/officeDocument/2006/relationships/hyperlink" Target="http://discuss.jiucaishuo.com/?/invest/showData/search_gu-si801040" TargetMode="External"/><Relationship Id="rId2" Type="http://schemas.openxmlformats.org/officeDocument/2006/relationships/hyperlink" Target="http://discuss.jiucaishuo.com/?/invest/showData/search_gu-si801080" TargetMode="External"/><Relationship Id="rId16" Type="http://schemas.openxmlformats.org/officeDocument/2006/relationships/hyperlink" Target="http://discuss.jiucaishuo.com/?/invest/showData/search_gu-si801720" TargetMode="External"/><Relationship Id="rId20" Type="http://schemas.openxmlformats.org/officeDocument/2006/relationships/hyperlink" Target="http://discuss.jiucaishuo.com/?/invest/showData/search_gu-si801730" TargetMode="External"/><Relationship Id="rId1" Type="http://schemas.openxmlformats.org/officeDocument/2006/relationships/hyperlink" Target="http://discuss.jiucaishuo.com/?/invest/showData/search_gu-si801760" TargetMode="External"/><Relationship Id="rId6" Type="http://schemas.openxmlformats.org/officeDocument/2006/relationships/hyperlink" Target="http://discuss.jiucaishuo.com/?/invest/showData/search_gu-si801740" TargetMode="External"/><Relationship Id="rId11" Type="http://schemas.openxmlformats.org/officeDocument/2006/relationships/hyperlink" Target="http://discuss.jiucaishuo.com/?/invest/showData/search_gu-si801110" TargetMode="External"/><Relationship Id="rId24" Type="http://schemas.openxmlformats.org/officeDocument/2006/relationships/hyperlink" Target="http://discuss.jiucaishuo.com/?/invest/showData/search_gu-si801020" TargetMode="External"/><Relationship Id="rId5" Type="http://schemas.openxmlformats.org/officeDocument/2006/relationships/hyperlink" Target="http://discuss.jiucaishuo.com/?/invest/showData/search_gu-si801170" TargetMode="External"/><Relationship Id="rId15" Type="http://schemas.openxmlformats.org/officeDocument/2006/relationships/hyperlink" Target="http://discuss.jiucaishuo.com/?/invest/showData/search_gu-si801710" TargetMode="External"/><Relationship Id="rId23" Type="http://schemas.openxmlformats.org/officeDocument/2006/relationships/hyperlink" Target="http://discuss.jiucaishuo.com/?/invest/showData/search_gu-si801050" TargetMode="External"/><Relationship Id="rId28" Type="http://schemas.openxmlformats.org/officeDocument/2006/relationships/hyperlink" Target="http://discuss.jiucaishuo.com/?/invest/showData/search_gu-si801780" TargetMode="External"/><Relationship Id="rId10" Type="http://schemas.openxmlformats.org/officeDocument/2006/relationships/hyperlink" Target="http://discuss.jiucaishuo.com/?/invest/showData/search_gu-si801200" TargetMode="External"/><Relationship Id="rId19" Type="http://schemas.openxmlformats.org/officeDocument/2006/relationships/hyperlink" Target="http://discuss.jiucaishuo.com/?/invest/showData/search_gu-si801160" TargetMode="External"/><Relationship Id="rId4" Type="http://schemas.openxmlformats.org/officeDocument/2006/relationships/hyperlink" Target="http://discuss.jiucaishuo.com/?/invest/showData/search_gu-si801770" TargetMode="External"/><Relationship Id="rId9" Type="http://schemas.openxmlformats.org/officeDocument/2006/relationships/hyperlink" Target="http://discuss.jiucaishuo.com/?/invest/showData/search_gu-si801010" TargetMode="External"/><Relationship Id="rId14" Type="http://schemas.openxmlformats.org/officeDocument/2006/relationships/hyperlink" Target="http://discuss.jiucaishuo.com/?/invest/showData/search_gu-si801120" TargetMode="External"/><Relationship Id="rId22" Type="http://schemas.openxmlformats.org/officeDocument/2006/relationships/hyperlink" Target="http://discuss.jiucaishuo.com/?/invest/showData/search_gu-si801030" TargetMode="External"/><Relationship Id="rId27" Type="http://schemas.openxmlformats.org/officeDocument/2006/relationships/hyperlink" Target="http://discuss.jiucaishuo.com/?/invest/showData/search_gu-si801790" TargetMode="External"/></Relationships>
</file>

<file path=xl/worksheets/_rels/sheet7.xml.rels><?xml version="1.0" encoding="UTF-8" standalone="yes"?>
<Relationships xmlns="http://schemas.openxmlformats.org/package/2006/relationships"><Relationship Id="rId26" Type="http://schemas.openxmlformats.org/officeDocument/2006/relationships/hyperlink" Target="http://discuss.jiucaishuo.com/?/invest/showData/search_gu-si801744" TargetMode="External"/><Relationship Id="rId21" Type="http://schemas.openxmlformats.org/officeDocument/2006/relationships/hyperlink" Target="http://discuss.jiucaishuo.com/?/invest/showData/search_gu-si801177" TargetMode="External"/><Relationship Id="rId42" Type="http://schemas.openxmlformats.org/officeDocument/2006/relationships/hyperlink" Target="http://discuss.jiucaishuo.com/?/invest/showData/search_gu-si801014" TargetMode="External"/><Relationship Id="rId47" Type="http://schemas.openxmlformats.org/officeDocument/2006/relationships/hyperlink" Target="http://discuss.jiucaishuo.com/?/invest/showData/search_gu-si801094" TargetMode="External"/><Relationship Id="rId63" Type="http://schemas.openxmlformats.org/officeDocument/2006/relationships/hyperlink" Target="http://discuss.jiucaishuo.com/?/invest/showData/search_gu-si801074" TargetMode="External"/><Relationship Id="rId68" Type="http://schemas.openxmlformats.org/officeDocument/2006/relationships/hyperlink" Target="http://discuss.jiucaishuo.com/?/invest/showData/search_gu-si801212" TargetMode="External"/><Relationship Id="rId84" Type="http://schemas.openxmlformats.org/officeDocument/2006/relationships/hyperlink" Target="http://discuss.jiucaishuo.com/?/invest/showData/search_gu-si801033" TargetMode="External"/><Relationship Id="rId89" Type="http://schemas.openxmlformats.org/officeDocument/2006/relationships/hyperlink" Target="http://discuss.jiucaishuo.com/?/invest/showData/search_gu-si801051" TargetMode="External"/><Relationship Id="rId16" Type="http://schemas.openxmlformats.org/officeDocument/2006/relationships/hyperlink" Target="http://discuss.jiucaishuo.com/?/invest/showData/search_gu-si801171" TargetMode="External"/><Relationship Id="rId11" Type="http://schemas.openxmlformats.org/officeDocument/2006/relationships/hyperlink" Target="http://discuss.jiucaishuo.com/?/invest/showData/search_gu-si801223" TargetMode="External"/><Relationship Id="rId32" Type="http://schemas.openxmlformats.org/officeDocument/2006/relationships/hyperlink" Target="http://discuss.jiucaishuo.com/?/invest/showData/search_gu-si801151" TargetMode="External"/><Relationship Id="rId37" Type="http://schemas.openxmlformats.org/officeDocument/2006/relationships/hyperlink" Target="http://discuss.jiucaishuo.com/?/invest/showData/search_gu-si801018" TargetMode="External"/><Relationship Id="rId53" Type="http://schemas.openxmlformats.org/officeDocument/2006/relationships/hyperlink" Target="http://discuss.jiucaishuo.com/?/invest/showData/search_gu-si801204" TargetMode="External"/><Relationship Id="rId58" Type="http://schemas.openxmlformats.org/officeDocument/2006/relationships/hyperlink" Target="http://discuss.jiucaishuo.com/?/invest/showData/search_gu-si801723" TargetMode="External"/><Relationship Id="rId74" Type="http://schemas.openxmlformats.org/officeDocument/2006/relationships/hyperlink" Target="http://discuss.jiucaishuo.com/?/invest/showData/search_gu-si801161" TargetMode="External"/><Relationship Id="rId79" Type="http://schemas.openxmlformats.org/officeDocument/2006/relationships/hyperlink" Target="http://discuss.jiucaishuo.com/?/invest/showData/search_gu-si801231" TargetMode="External"/><Relationship Id="rId102" Type="http://schemas.openxmlformats.org/officeDocument/2006/relationships/hyperlink" Target="http://discuss.jiucaishuo.com/?/invest/showData/search_gu-si801192" TargetMode="External"/><Relationship Id="rId5" Type="http://schemas.openxmlformats.org/officeDocument/2006/relationships/hyperlink" Target="http://discuss.jiucaishuo.com/?/invest/showData/search_gu-si801084" TargetMode="External"/><Relationship Id="rId90" Type="http://schemas.openxmlformats.org/officeDocument/2006/relationships/hyperlink" Target="http://discuss.jiucaishuo.com/?/invest/showData/search_gu-si801021" TargetMode="External"/><Relationship Id="rId95" Type="http://schemas.openxmlformats.org/officeDocument/2006/relationships/hyperlink" Target="http://discuss.jiucaishuo.com/?/invest/showData/search_gu-si801022" TargetMode="External"/><Relationship Id="rId22" Type="http://schemas.openxmlformats.org/officeDocument/2006/relationships/hyperlink" Target="http://discuss.jiucaishuo.com/?/invest/showData/search_gu-si801175" TargetMode="External"/><Relationship Id="rId27" Type="http://schemas.openxmlformats.org/officeDocument/2006/relationships/hyperlink" Target="http://discuss.jiucaishuo.com/?/invest/showData/search_gu-si801155" TargetMode="External"/><Relationship Id="rId43" Type="http://schemas.openxmlformats.org/officeDocument/2006/relationships/hyperlink" Target="http://discuss.jiucaishuo.com/?/invest/showData/search_gu-si801205" TargetMode="External"/><Relationship Id="rId48" Type="http://schemas.openxmlformats.org/officeDocument/2006/relationships/hyperlink" Target="http://discuss.jiucaishuo.com/?/invest/showData/search_gu-si801093" TargetMode="External"/><Relationship Id="rId64" Type="http://schemas.openxmlformats.org/officeDocument/2006/relationships/hyperlink" Target="http://discuss.jiucaishuo.com/?/invest/showData/search_gu-si801072" TargetMode="External"/><Relationship Id="rId69" Type="http://schemas.openxmlformats.org/officeDocument/2006/relationships/hyperlink" Target="http://discuss.jiucaishuo.com/?/invest/showData/search_gu-si801213" TargetMode="External"/><Relationship Id="rId80" Type="http://schemas.openxmlformats.org/officeDocument/2006/relationships/hyperlink" Target="http://discuss.jiucaishuo.com/?/invest/showData/search_gu-si801037" TargetMode="External"/><Relationship Id="rId85" Type="http://schemas.openxmlformats.org/officeDocument/2006/relationships/hyperlink" Target="http://discuss.jiucaishuo.com/?/invest/showData/search_gu-si801032" TargetMode="External"/><Relationship Id="rId12" Type="http://schemas.openxmlformats.org/officeDocument/2006/relationships/hyperlink" Target="http://discuss.jiucaishuo.com/?/invest/showData/search_gu-si801102" TargetMode="External"/><Relationship Id="rId17" Type="http://schemas.openxmlformats.org/officeDocument/2006/relationships/hyperlink" Target="http://discuss.jiucaishuo.com/?/invest/showData/search_gu-si801178" TargetMode="External"/><Relationship Id="rId25" Type="http://schemas.openxmlformats.org/officeDocument/2006/relationships/hyperlink" Target="http://discuss.jiucaishuo.com/?/invest/showData/search_gu-si801741" TargetMode="External"/><Relationship Id="rId33" Type="http://schemas.openxmlformats.org/officeDocument/2006/relationships/hyperlink" Target="http://discuss.jiucaishuo.com/?/invest/showData/search_gu-si801182" TargetMode="External"/><Relationship Id="rId38" Type="http://schemas.openxmlformats.org/officeDocument/2006/relationships/hyperlink" Target="http://discuss.jiucaishuo.com/?/invest/showData/search_gu-si801011" TargetMode="External"/><Relationship Id="rId46" Type="http://schemas.openxmlformats.org/officeDocument/2006/relationships/hyperlink" Target="http://discuss.jiucaishuo.com/?/invest/showData/search_gu-si801111" TargetMode="External"/><Relationship Id="rId59" Type="http://schemas.openxmlformats.org/officeDocument/2006/relationships/hyperlink" Target="http://discuss.jiucaishuo.com/?/invest/showData/search_gu-si801711" TargetMode="External"/><Relationship Id="rId67" Type="http://schemas.openxmlformats.org/officeDocument/2006/relationships/hyperlink" Target="http://discuss.jiucaishuo.com/?/invest/showData/search_gu-si801214" TargetMode="External"/><Relationship Id="rId103" Type="http://schemas.openxmlformats.org/officeDocument/2006/relationships/hyperlink" Target="http://discuss.jiucaishuo.com/?/invest/showData/search_gu-si801191" TargetMode="External"/><Relationship Id="rId20" Type="http://schemas.openxmlformats.org/officeDocument/2006/relationships/hyperlink" Target="http://discuss.jiucaishuo.com/?/invest/showData/search_gu-si801076" TargetMode="External"/><Relationship Id="rId41" Type="http://schemas.openxmlformats.org/officeDocument/2006/relationships/hyperlink" Target="http://discuss.jiucaishuo.com/?/invest/showData/search_gu-si801016" TargetMode="External"/><Relationship Id="rId54" Type="http://schemas.openxmlformats.org/officeDocument/2006/relationships/hyperlink" Target="http://discuss.jiucaishuo.com/?/invest/showData/search_gu-si801203" TargetMode="External"/><Relationship Id="rId62" Type="http://schemas.openxmlformats.org/officeDocument/2006/relationships/hyperlink" Target="http://discuss.jiucaishuo.com/?/invest/showData/search_gu-si801721" TargetMode="External"/><Relationship Id="rId70" Type="http://schemas.openxmlformats.org/officeDocument/2006/relationships/hyperlink" Target="http://discuss.jiucaishuo.com/?/invest/showData/search_gu-si801211" TargetMode="External"/><Relationship Id="rId75" Type="http://schemas.openxmlformats.org/officeDocument/2006/relationships/hyperlink" Target="http://discuss.jiucaishuo.com/?/invest/showData/search_gu-si801734" TargetMode="External"/><Relationship Id="rId83" Type="http://schemas.openxmlformats.org/officeDocument/2006/relationships/hyperlink" Target="http://discuss.jiucaishuo.com/?/invest/showData/search_gu-si801034" TargetMode="External"/><Relationship Id="rId88" Type="http://schemas.openxmlformats.org/officeDocument/2006/relationships/hyperlink" Target="http://discuss.jiucaishuo.com/?/invest/showData/search_gu-si801053" TargetMode="External"/><Relationship Id="rId91" Type="http://schemas.openxmlformats.org/officeDocument/2006/relationships/hyperlink" Target="http://discuss.jiucaishuo.com/?/invest/showData/search_gu-si801023" TargetMode="External"/><Relationship Id="rId96" Type="http://schemas.openxmlformats.org/officeDocument/2006/relationships/hyperlink" Target="http://discuss.jiucaishuo.com/?/invest/showData/search_gu-si801144" TargetMode="External"/><Relationship Id="rId1" Type="http://schemas.openxmlformats.org/officeDocument/2006/relationships/hyperlink" Target="http://discuss.jiucaishuo.com/?/invest/showData/search_gu-si801761" TargetMode="External"/><Relationship Id="rId6" Type="http://schemas.openxmlformats.org/officeDocument/2006/relationships/hyperlink" Target="http://discuss.jiucaishuo.com/?/invest/showData/search_gu-si801083" TargetMode="External"/><Relationship Id="rId15" Type="http://schemas.openxmlformats.org/officeDocument/2006/relationships/hyperlink" Target="http://discuss.jiucaishuo.com/?/invest/showData/search_gu-si801174" TargetMode="External"/><Relationship Id="rId23" Type="http://schemas.openxmlformats.org/officeDocument/2006/relationships/hyperlink" Target="http://discuss.jiucaishuo.com/?/invest/showData/search_gu-si801743" TargetMode="External"/><Relationship Id="rId28" Type="http://schemas.openxmlformats.org/officeDocument/2006/relationships/hyperlink" Target="http://discuss.jiucaishuo.com/?/invest/showData/search_gu-si801156" TargetMode="External"/><Relationship Id="rId36" Type="http://schemas.openxmlformats.org/officeDocument/2006/relationships/hyperlink" Target="http://discuss.jiucaishuo.com/?/invest/showData/search_gu-si801012" TargetMode="External"/><Relationship Id="rId49" Type="http://schemas.openxmlformats.org/officeDocument/2006/relationships/hyperlink" Target="http://discuss.jiucaishuo.com/?/invest/showData/search_gu-si801092" TargetMode="External"/><Relationship Id="rId57" Type="http://schemas.openxmlformats.org/officeDocument/2006/relationships/hyperlink" Target="http://discuss.jiucaishuo.com/?/invest/showData/search_gu-si801724" TargetMode="External"/><Relationship Id="rId10" Type="http://schemas.openxmlformats.org/officeDocument/2006/relationships/hyperlink" Target="http://discuss.jiucaishuo.com/?/invest/showData/search_gu-si801101" TargetMode="External"/><Relationship Id="rId31" Type="http://schemas.openxmlformats.org/officeDocument/2006/relationships/hyperlink" Target="http://discuss.jiucaishuo.com/?/invest/showData/search_gu-si801152" TargetMode="External"/><Relationship Id="rId44" Type="http://schemas.openxmlformats.org/officeDocument/2006/relationships/hyperlink" Target="http://discuss.jiucaishuo.com/?/invest/showData/search_gu-si801202" TargetMode="External"/><Relationship Id="rId52" Type="http://schemas.openxmlformats.org/officeDocument/2006/relationships/hyperlink" Target="http://discuss.jiucaishuo.com/?/invest/showData/search_gu-si801123" TargetMode="External"/><Relationship Id="rId60" Type="http://schemas.openxmlformats.org/officeDocument/2006/relationships/hyperlink" Target="http://discuss.jiucaishuo.com/?/invest/showData/search_gu-si801712" TargetMode="External"/><Relationship Id="rId65" Type="http://schemas.openxmlformats.org/officeDocument/2006/relationships/hyperlink" Target="http://discuss.jiucaishuo.com/?/invest/showData/search_gu-si801722" TargetMode="External"/><Relationship Id="rId73" Type="http://schemas.openxmlformats.org/officeDocument/2006/relationships/hyperlink" Target="http://discuss.jiucaishuo.com/?/invest/showData/search_gu-si801163" TargetMode="External"/><Relationship Id="rId78" Type="http://schemas.openxmlformats.org/officeDocument/2006/relationships/hyperlink" Target="http://discuss.jiucaishuo.com/?/invest/showData/search_gu-si801732" TargetMode="External"/><Relationship Id="rId81" Type="http://schemas.openxmlformats.org/officeDocument/2006/relationships/hyperlink" Target="http://discuss.jiucaishuo.com/?/invest/showData/search_gu-si801036" TargetMode="External"/><Relationship Id="rId86" Type="http://schemas.openxmlformats.org/officeDocument/2006/relationships/hyperlink" Target="http://discuss.jiucaishuo.com/?/invest/showData/search_gu-si801055" TargetMode="External"/><Relationship Id="rId94" Type="http://schemas.openxmlformats.org/officeDocument/2006/relationships/hyperlink" Target="http://discuss.jiucaishuo.com/?/invest/showData/search_gu-si801041" TargetMode="External"/><Relationship Id="rId99" Type="http://schemas.openxmlformats.org/officeDocument/2006/relationships/hyperlink" Target="http://discuss.jiucaishuo.com/?/invest/showData/search_gu-si801143" TargetMode="External"/><Relationship Id="rId101" Type="http://schemas.openxmlformats.org/officeDocument/2006/relationships/hyperlink" Target="http://discuss.jiucaishuo.com/?/invest/showData/search_gu-si801193" TargetMode="External"/><Relationship Id="rId4" Type="http://schemas.openxmlformats.org/officeDocument/2006/relationships/hyperlink" Target="http://discuss.jiucaishuo.com/?/invest/showData/search_gu-si801085" TargetMode="External"/><Relationship Id="rId9" Type="http://schemas.openxmlformats.org/officeDocument/2006/relationships/hyperlink" Target="http://discuss.jiucaishuo.com/?/invest/showData/search_gu-si801222" TargetMode="External"/><Relationship Id="rId13" Type="http://schemas.openxmlformats.org/officeDocument/2006/relationships/hyperlink" Target="http://discuss.jiucaishuo.com/?/invest/showData/search_gu-si801881" TargetMode="External"/><Relationship Id="rId18" Type="http://schemas.openxmlformats.org/officeDocument/2006/relationships/hyperlink" Target="http://discuss.jiucaishuo.com/?/invest/showData/search_gu-si801173" TargetMode="External"/><Relationship Id="rId39" Type="http://schemas.openxmlformats.org/officeDocument/2006/relationships/hyperlink" Target="http://discuss.jiucaishuo.com/?/invest/showData/search_gu-si801015" TargetMode="External"/><Relationship Id="rId34" Type="http://schemas.openxmlformats.org/officeDocument/2006/relationships/hyperlink" Target="http://discuss.jiucaishuo.com/?/invest/showData/search_gu-si801181" TargetMode="External"/><Relationship Id="rId50" Type="http://schemas.openxmlformats.org/officeDocument/2006/relationships/hyperlink" Target="http://discuss.jiucaishuo.com/?/invest/showData/search_gu-si801132" TargetMode="External"/><Relationship Id="rId55" Type="http://schemas.openxmlformats.org/officeDocument/2006/relationships/hyperlink" Target="http://discuss.jiucaishuo.com/?/invest/showData/search_gu-si801124" TargetMode="External"/><Relationship Id="rId76" Type="http://schemas.openxmlformats.org/officeDocument/2006/relationships/hyperlink" Target="http://discuss.jiucaishuo.com/?/invest/showData/search_gu-si801733" TargetMode="External"/><Relationship Id="rId97" Type="http://schemas.openxmlformats.org/officeDocument/2006/relationships/hyperlink" Target="http://discuss.jiucaishuo.com/?/invest/showData/search_gu-si801141" TargetMode="External"/><Relationship Id="rId104" Type="http://schemas.openxmlformats.org/officeDocument/2006/relationships/hyperlink" Target="http://discuss.jiucaishuo.com/?/invest/showData/search_gu-si801073" TargetMode="External"/><Relationship Id="rId7" Type="http://schemas.openxmlformats.org/officeDocument/2006/relationships/hyperlink" Target="http://discuss.jiucaishuo.com/?/invest/showData/search_gu-si801082" TargetMode="External"/><Relationship Id="rId71" Type="http://schemas.openxmlformats.org/officeDocument/2006/relationships/hyperlink" Target="http://discuss.jiucaishuo.com/?/invest/showData/search_gu-si801162" TargetMode="External"/><Relationship Id="rId92" Type="http://schemas.openxmlformats.org/officeDocument/2006/relationships/hyperlink" Target="http://discuss.jiucaishuo.com/?/invest/showData/search_gu-si801024" TargetMode="External"/><Relationship Id="rId2" Type="http://schemas.openxmlformats.org/officeDocument/2006/relationships/hyperlink" Target="http://discuss.jiucaishuo.com/?/invest/showData/search_gu-si801752" TargetMode="External"/><Relationship Id="rId29" Type="http://schemas.openxmlformats.org/officeDocument/2006/relationships/hyperlink" Target="http://discuss.jiucaishuo.com/?/invest/showData/search_gu-si801153" TargetMode="External"/><Relationship Id="rId24" Type="http://schemas.openxmlformats.org/officeDocument/2006/relationships/hyperlink" Target="http://discuss.jiucaishuo.com/?/invest/showData/search_gu-si801742" TargetMode="External"/><Relationship Id="rId40" Type="http://schemas.openxmlformats.org/officeDocument/2006/relationships/hyperlink" Target="http://discuss.jiucaishuo.com/?/invest/showData/search_gu-si801017" TargetMode="External"/><Relationship Id="rId45" Type="http://schemas.openxmlformats.org/officeDocument/2006/relationships/hyperlink" Target="http://discuss.jiucaishuo.com/?/invest/showData/search_gu-si801112" TargetMode="External"/><Relationship Id="rId66" Type="http://schemas.openxmlformats.org/officeDocument/2006/relationships/hyperlink" Target="http://discuss.jiucaishuo.com/?/invest/showData/search_gu-si801215" TargetMode="External"/><Relationship Id="rId87" Type="http://schemas.openxmlformats.org/officeDocument/2006/relationships/hyperlink" Target="http://discuss.jiucaishuo.com/?/invest/showData/search_gu-si801054" TargetMode="External"/><Relationship Id="rId61" Type="http://schemas.openxmlformats.org/officeDocument/2006/relationships/hyperlink" Target="http://discuss.jiucaishuo.com/?/invest/showData/search_gu-si801713" TargetMode="External"/><Relationship Id="rId82" Type="http://schemas.openxmlformats.org/officeDocument/2006/relationships/hyperlink" Target="http://discuss.jiucaishuo.com/?/invest/showData/search_gu-si801035" TargetMode="External"/><Relationship Id="rId19" Type="http://schemas.openxmlformats.org/officeDocument/2006/relationships/hyperlink" Target="http://discuss.jiucaishuo.com/?/invest/showData/search_gu-si801176" TargetMode="External"/><Relationship Id="rId14" Type="http://schemas.openxmlformats.org/officeDocument/2006/relationships/hyperlink" Target="http://discuss.jiucaishuo.com/?/invest/showData/search_gu-si801172" TargetMode="External"/><Relationship Id="rId30" Type="http://schemas.openxmlformats.org/officeDocument/2006/relationships/hyperlink" Target="http://discuss.jiucaishuo.com/?/invest/showData/search_gu-si801154" TargetMode="External"/><Relationship Id="rId35" Type="http://schemas.openxmlformats.org/officeDocument/2006/relationships/hyperlink" Target="http://discuss.jiucaishuo.com/?/invest/showData/search_gu-si801013" TargetMode="External"/><Relationship Id="rId56" Type="http://schemas.openxmlformats.org/officeDocument/2006/relationships/hyperlink" Target="http://discuss.jiucaishuo.com/?/invest/showData/search_gu-si801725" TargetMode="External"/><Relationship Id="rId77" Type="http://schemas.openxmlformats.org/officeDocument/2006/relationships/hyperlink" Target="http://discuss.jiucaishuo.com/?/invest/showData/search_gu-si801731" TargetMode="External"/><Relationship Id="rId100" Type="http://schemas.openxmlformats.org/officeDocument/2006/relationships/hyperlink" Target="http://discuss.jiucaishuo.com/?/invest/showData/search_gu-si801194" TargetMode="External"/><Relationship Id="rId8" Type="http://schemas.openxmlformats.org/officeDocument/2006/relationships/hyperlink" Target="http://discuss.jiucaishuo.com/?/invest/showData/search_gu-si801081" TargetMode="External"/><Relationship Id="rId51" Type="http://schemas.openxmlformats.org/officeDocument/2006/relationships/hyperlink" Target="http://discuss.jiucaishuo.com/?/invest/showData/search_gu-si801131" TargetMode="External"/><Relationship Id="rId72" Type="http://schemas.openxmlformats.org/officeDocument/2006/relationships/hyperlink" Target="http://discuss.jiucaishuo.com/?/invest/showData/search_gu-si801164" TargetMode="External"/><Relationship Id="rId93" Type="http://schemas.openxmlformats.org/officeDocument/2006/relationships/hyperlink" Target="http://discuss.jiucaishuo.com/?/invest/showData/search_gu-si801075" TargetMode="External"/><Relationship Id="rId98" Type="http://schemas.openxmlformats.org/officeDocument/2006/relationships/hyperlink" Target="http://discuss.jiucaishuo.com/?/invest/showData/search_gu-si801142" TargetMode="External"/><Relationship Id="rId3" Type="http://schemas.openxmlformats.org/officeDocument/2006/relationships/hyperlink" Target="http://discuss.jiucaishuo.com/?/invest/showData/search_gu-si801751" TargetMode="External"/></Relationships>
</file>

<file path=xl/worksheets/_rels/sheet9.xml.rels><?xml version="1.0" encoding="UTF-8" standalone="yes"?>
<Relationships xmlns="http://schemas.openxmlformats.org/package/2006/relationships"><Relationship Id="rId117" Type="http://schemas.openxmlformats.org/officeDocument/2006/relationships/hyperlink" Target="http://discuss.jiucaishuo.com/?/invest/showData/search_gu-hihshkmi" TargetMode="External"/><Relationship Id="rId299" Type="http://schemas.openxmlformats.org/officeDocument/2006/relationships/hyperlink" Target="http://discuss.jiucaishuo.com/?/invest/showData/search_gu-si801156" TargetMode="External"/><Relationship Id="rId21" Type="http://schemas.openxmlformats.org/officeDocument/2006/relationships/hyperlink" Target="http://discuss.jiucaishuo.com/?/invest/showData/search_gu-si801171" TargetMode="External"/><Relationship Id="rId63" Type="http://schemas.openxmlformats.org/officeDocument/2006/relationships/hyperlink" Target="http://discuss.jiucaishuo.com/?/invest/showData/search_gu-sh000021" TargetMode="External"/><Relationship Id="rId159" Type="http://schemas.openxmlformats.org/officeDocument/2006/relationships/hyperlink" Target="http://discuss.jiucaishuo.com/?/invest/showData/search_gu-sz399971" TargetMode="External"/><Relationship Id="rId324" Type="http://schemas.openxmlformats.org/officeDocument/2006/relationships/hyperlink" Target="http://discuss.jiucaishuo.com/?/invest/showData/search_gu-sh000049" TargetMode="External"/><Relationship Id="rId170" Type="http://schemas.openxmlformats.org/officeDocument/2006/relationships/hyperlink" Target="http://discuss.jiucaishuo.com/?/invest/showData/search_gu-sh000841" TargetMode="External"/><Relationship Id="rId226" Type="http://schemas.openxmlformats.org/officeDocument/2006/relationships/hyperlink" Target="http://discuss.jiucaishuo.com/?/invest/showData/search_gu-si801011" TargetMode="External"/><Relationship Id="rId268" Type="http://schemas.openxmlformats.org/officeDocument/2006/relationships/hyperlink" Target="http://discuss.jiucaishuo.com/?/invest/showData/search_gu-si801152" TargetMode="External"/><Relationship Id="rId32" Type="http://schemas.openxmlformats.org/officeDocument/2006/relationships/hyperlink" Target="http://discuss.jiucaishuo.com/?/invest/showData/search_gu-si801021" TargetMode="External"/><Relationship Id="rId74" Type="http://schemas.openxmlformats.org/officeDocument/2006/relationships/hyperlink" Target="http://discuss.jiucaishuo.com/?/invest/showData/search_gu-hihsi" TargetMode="External"/><Relationship Id="rId128" Type="http://schemas.openxmlformats.org/officeDocument/2006/relationships/hyperlink" Target="http://discuss.jiucaishuo.com/?/invest/showData/search_gu-sz399412" TargetMode="External"/><Relationship Id="rId335" Type="http://schemas.openxmlformats.org/officeDocument/2006/relationships/hyperlink" Target="http://discuss.jiucaishuo.com/?/invest/showData/search_gu-sh000918" TargetMode="External"/><Relationship Id="rId5" Type="http://schemas.openxmlformats.org/officeDocument/2006/relationships/hyperlink" Target="http://discuss.jiucaishuo.com/?/invest/showData/search_gu-si801203" TargetMode="External"/><Relationship Id="rId181" Type="http://schemas.openxmlformats.org/officeDocument/2006/relationships/hyperlink" Target="http://discuss.jiucaishuo.com/?/invest/showData/search_gu-sz399973" TargetMode="External"/><Relationship Id="rId237" Type="http://schemas.openxmlformats.org/officeDocument/2006/relationships/hyperlink" Target="http://discuss.jiucaishuo.com/?/invest/showData/search_gu-sh000969" TargetMode="External"/><Relationship Id="rId279" Type="http://schemas.openxmlformats.org/officeDocument/2006/relationships/hyperlink" Target="http://discuss.jiucaishuo.com/?/invest/showData/search_gu-sh000952" TargetMode="External"/><Relationship Id="rId43" Type="http://schemas.openxmlformats.org/officeDocument/2006/relationships/hyperlink" Target="http://discuss.jiucaishuo.com/?/invest/showData/search_gu-sh000919" TargetMode="External"/><Relationship Id="rId139" Type="http://schemas.openxmlformats.org/officeDocument/2006/relationships/hyperlink" Target="http://discuss.jiucaishuo.com/?/invest/showData/search_gu-sz399967" TargetMode="External"/><Relationship Id="rId290" Type="http://schemas.openxmlformats.org/officeDocument/2006/relationships/hyperlink" Target="http://discuss.jiucaishuo.com/?/invest/showData/search_gu-si801881" TargetMode="External"/><Relationship Id="rId304" Type="http://schemas.openxmlformats.org/officeDocument/2006/relationships/hyperlink" Target="http://discuss.jiucaishuo.com/?/invest/showData/search_gu-sz399550" TargetMode="External"/><Relationship Id="rId346" Type="http://schemas.openxmlformats.org/officeDocument/2006/relationships/hyperlink" Target="http://discuss.jiucaishuo.com/?/invest/showData/search_gu-giixic" TargetMode="External"/><Relationship Id="rId85" Type="http://schemas.openxmlformats.org/officeDocument/2006/relationships/hyperlink" Target="http://discuss.jiucaishuo.com/?/invest/showData/search_gu-si801730" TargetMode="External"/><Relationship Id="rId150" Type="http://schemas.openxmlformats.org/officeDocument/2006/relationships/hyperlink" Target="http://discuss.jiucaishuo.com/?/invest/showData/search_gu-sh000906" TargetMode="External"/><Relationship Id="rId192" Type="http://schemas.openxmlformats.org/officeDocument/2006/relationships/hyperlink" Target="http://discuss.jiucaishuo.com/?/invest/showData/search_gu-hihscei" TargetMode="External"/><Relationship Id="rId206" Type="http://schemas.openxmlformats.org/officeDocument/2006/relationships/hyperlink" Target="http://discuss.jiucaishuo.com/?/invest/showData/search_gu-sz399422" TargetMode="External"/><Relationship Id="rId248" Type="http://schemas.openxmlformats.org/officeDocument/2006/relationships/hyperlink" Target="http://discuss.jiucaishuo.com/?/invest/showData/search_gu-si801101" TargetMode="External"/><Relationship Id="rId12" Type="http://schemas.openxmlformats.org/officeDocument/2006/relationships/hyperlink" Target="http://discuss.jiucaishuo.com/?/invest/showData/search_gu-sh000986" TargetMode="External"/><Relationship Id="rId108" Type="http://schemas.openxmlformats.org/officeDocument/2006/relationships/hyperlink" Target="http://discuss.jiucaishuo.com/?/invest/showData/search_gu-si801051" TargetMode="External"/><Relationship Id="rId315" Type="http://schemas.openxmlformats.org/officeDocument/2006/relationships/hyperlink" Target="http://discuss.jiucaishuo.com/?/invest/showData/search_gu-si801124" TargetMode="External"/><Relationship Id="rId357" Type="http://schemas.openxmlformats.org/officeDocument/2006/relationships/hyperlink" Target="http://discuss.jiucaishuo.com/?/invest/showData/search_gu-gindx" TargetMode="External"/><Relationship Id="rId54" Type="http://schemas.openxmlformats.org/officeDocument/2006/relationships/hyperlink" Target="http://discuss.jiucaishuo.com/?/invest/showData/search_gu-si801161" TargetMode="External"/><Relationship Id="rId96" Type="http://schemas.openxmlformats.org/officeDocument/2006/relationships/hyperlink" Target="http://discuss.jiucaishuo.com/?/invest/showData/search_gu-wi881001" TargetMode="External"/><Relationship Id="rId161" Type="http://schemas.openxmlformats.org/officeDocument/2006/relationships/hyperlink" Target="http://discuss.jiucaishuo.com/?/invest/showData/search_gu-si801140" TargetMode="External"/><Relationship Id="rId217" Type="http://schemas.openxmlformats.org/officeDocument/2006/relationships/hyperlink" Target="http://discuss.jiucaishuo.com/?/invest/showData/search_gu-sh000009" TargetMode="External"/><Relationship Id="rId259" Type="http://schemas.openxmlformats.org/officeDocument/2006/relationships/hyperlink" Target="http://discuss.jiucaishuo.com/?/invest/showData/search_gu-sz399966" TargetMode="External"/><Relationship Id="rId23" Type="http://schemas.openxmlformats.org/officeDocument/2006/relationships/hyperlink" Target="http://discuss.jiucaishuo.com/?/invest/showData/search_gu-si801154" TargetMode="External"/><Relationship Id="rId119" Type="http://schemas.openxmlformats.org/officeDocument/2006/relationships/hyperlink" Target="http://discuss.jiucaishuo.com/?/invest/showData/search_gu-si801880" TargetMode="External"/><Relationship Id="rId270" Type="http://schemas.openxmlformats.org/officeDocument/2006/relationships/hyperlink" Target="http://discuss.jiucaishuo.com/?/invest/showData/search_gu-sz399703" TargetMode="External"/><Relationship Id="rId326" Type="http://schemas.openxmlformats.org/officeDocument/2006/relationships/hyperlink" Target="http://discuss.jiucaishuo.com/?/invest/showData/search_gu-sz399814" TargetMode="External"/><Relationship Id="rId65" Type="http://schemas.openxmlformats.org/officeDocument/2006/relationships/hyperlink" Target="http://discuss.jiucaishuo.com/?/invest/showData/search_gu-si801760" TargetMode="External"/><Relationship Id="rId130" Type="http://schemas.openxmlformats.org/officeDocument/2006/relationships/hyperlink" Target="http://discuss.jiucaishuo.com/?/invest/showData/search_gu-sz399005" TargetMode="External"/><Relationship Id="rId172" Type="http://schemas.openxmlformats.org/officeDocument/2006/relationships/hyperlink" Target="http://discuss.jiucaishuo.com/?/invest/showData/search_gu-sz399808" TargetMode="External"/><Relationship Id="rId228" Type="http://schemas.openxmlformats.org/officeDocument/2006/relationships/hyperlink" Target="http://discuss.jiucaishuo.com/?/invest/showData/search_gu-csih30171" TargetMode="External"/><Relationship Id="rId281" Type="http://schemas.openxmlformats.org/officeDocument/2006/relationships/hyperlink" Target="http://discuss.jiucaishuo.com/?/invest/showData/search_gu-gigdaxi" TargetMode="External"/><Relationship Id="rId337" Type="http://schemas.openxmlformats.org/officeDocument/2006/relationships/hyperlink" Target="http://discuss.jiucaishuo.com/?/invest/showData/search_gu-si801123" TargetMode="External"/><Relationship Id="rId34" Type="http://schemas.openxmlformats.org/officeDocument/2006/relationships/hyperlink" Target="http://discuss.jiucaishuo.com/?/invest/showData/search_gu-si801192" TargetMode="External"/><Relationship Id="rId76" Type="http://schemas.openxmlformats.org/officeDocument/2006/relationships/hyperlink" Target="http://discuss.jiucaishuo.com/?/invest/showData/search_gu-si801030" TargetMode="External"/><Relationship Id="rId141" Type="http://schemas.openxmlformats.org/officeDocument/2006/relationships/hyperlink" Target="http://discuss.jiucaishuo.com/?/invest/showData/search_gu-sh000987" TargetMode="External"/><Relationship Id="rId7" Type="http://schemas.openxmlformats.org/officeDocument/2006/relationships/hyperlink" Target="http://discuss.jiucaishuo.com/?/invest/showData/search_gu-si801164" TargetMode="External"/><Relationship Id="rId183" Type="http://schemas.openxmlformats.org/officeDocument/2006/relationships/hyperlink" Target="http://discuss.jiucaishuo.com/?/invest/showData/search_gu-si801084" TargetMode="External"/><Relationship Id="rId239" Type="http://schemas.openxmlformats.org/officeDocument/2006/relationships/hyperlink" Target="http://discuss.jiucaishuo.com/?/invest/showData/search_gu-csih30318" TargetMode="External"/><Relationship Id="rId250" Type="http://schemas.openxmlformats.org/officeDocument/2006/relationships/hyperlink" Target="http://discuss.jiucaishuo.com/?/invest/showData/search_gu-csi930791" TargetMode="External"/><Relationship Id="rId292" Type="http://schemas.openxmlformats.org/officeDocument/2006/relationships/hyperlink" Target="http://discuss.jiucaishuo.com/?/invest/showData/search_gu-sz399812" TargetMode="External"/><Relationship Id="rId306" Type="http://schemas.openxmlformats.org/officeDocument/2006/relationships/hyperlink" Target="http://discuss.jiucaishuo.com/?/invest/showData/search_gu-si801111" TargetMode="External"/><Relationship Id="rId45" Type="http://schemas.openxmlformats.org/officeDocument/2006/relationships/hyperlink" Target="http://discuss.jiucaishuo.com/?/invest/showData/search_gu-sh000964" TargetMode="External"/><Relationship Id="rId87" Type="http://schemas.openxmlformats.org/officeDocument/2006/relationships/hyperlink" Target="http://discuss.jiucaishuo.com/?/invest/showData/search_gu-sh000989" TargetMode="External"/><Relationship Id="rId110" Type="http://schemas.openxmlformats.org/officeDocument/2006/relationships/hyperlink" Target="http://discuss.jiucaishuo.com/?/invest/showData/search_gu-si801142" TargetMode="External"/><Relationship Id="rId348" Type="http://schemas.openxmlformats.org/officeDocument/2006/relationships/hyperlink" Target="http://discuss.jiucaishuo.com/?/invest/showData/search_gu-sz399987" TargetMode="External"/><Relationship Id="rId152" Type="http://schemas.openxmlformats.org/officeDocument/2006/relationships/hyperlink" Target="http://discuss.jiucaishuo.com/?/invest/showData/search_gu-sh000842" TargetMode="External"/><Relationship Id="rId194" Type="http://schemas.openxmlformats.org/officeDocument/2006/relationships/hyperlink" Target="http://discuss.jiucaishuo.com/?/invest/showData/search_gu-si801711" TargetMode="External"/><Relationship Id="rId208" Type="http://schemas.openxmlformats.org/officeDocument/2006/relationships/hyperlink" Target="http://discuss.jiucaishuo.com/?/invest/showData/search_gu-sz399996" TargetMode="External"/><Relationship Id="rId261" Type="http://schemas.openxmlformats.org/officeDocument/2006/relationships/hyperlink" Target="http://discuss.jiucaishuo.com/?/invest/showData/search_gu-sh000044" TargetMode="External"/><Relationship Id="rId14" Type="http://schemas.openxmlformats.org/officeDocument/2006/relationships/hyperlink" Target="http://discuss.jiucaishuo.com/?/invest/showData/search_gu-cicspsadrp" TargetMode="External"/><Relationship Id="rId56" Type="http://schemas.openxmlformats.org/officeDocument/2006/relationships/hyperlink" Target="http://discuss.jiucaishuo.com/?/invest/showData/search_gu-si801075" TargetMode="External"/><Relationship Id="rId317" Type="http://schemas.openxmlformats.org/officeDocument/2006/relationships/hyperlink" Target="http://discuss.jiucaishuo.com/?/invest/showData/search_gu-si801110" TargetMode="External"/><Relationship Id="rId98" Type="http://schemas.openxmlformats.org/officeDocument/2006/relationships/hyperlink" Target="http://discuss.jiucaishuo.com/?/invest/showData/search_gu-sh000016" TargetMode="External"/><Relationship Id="rId121" Type="http://schemas.openxmlformats.org/officeDocument/2006/relationships/hyperlink" Target="http://discuss.jiucaishuo.com/?/invest/showData/search_gu-si801890" TargetMode="External"/><Relationship Id="rId163" Type="http://schemas.openxmlformats.org/officeDocument/2006/relationships/hyperlink" Target="http://discuss.jiucaishuo.com/?/invest/showData/search_gu-si801132" TargetMode="External"/><Relationship Id="rId219" Type="http://schemas.openxmlformats.org/officeDocument/2006/relationships/hyperlink" Target="http://discuss.jiucaishuo.com/?/invest/showData/search_gu-sh000991" TargetMode="External"/><Relationship Id="rId230" Type="http://schemas.openxmlformats.org/officeDocument/2006/relationships/hyperlink" Target="http://discuss.jiucaishuo.com/?/invest/showData/search_gu-hihsmsi" TargetMode="External"/><Relationship Id="rId25" Type="http://schemas.openxmlformats.org/officeDocument/2006/relationships/hyperlink" Target="http://discuss.jiucaishuo.com/?/invest/showData/search_gu-si801092" TargetMode="External"/><Relationship Id="rId46" Type="http://schemas.openxmlformats.org/officeDocument/2006/relationships/hyperlink" Target="http://discuss.jiucaishuo.com/?/invest/showData/search_gu-csi930620" TargetMode="External"/><Relationship Id="rId67" Type="http://schemas.openxmlformats.org/officeDocument/2006/relationships/hyperlink" Target="http://discuss.jiucaishuo.com/?/invest/showData/search_gu-sz399807" TargetMode="External"/><Relationship Id="rId272" Type="http://schemas.openxmlformats.org/officeDocument/2006/relationships/hyperlink" Target="http://discuss.jiucaishuo.com/?/invest/showData/search_gu-si801085" TargetMode="External"/><Relationship Id="rId293" Type="http://schemas.openxmlformats.org/officeDocument/2006/relationships/hyperlink" Target="http://discuss.jiucaishuo.com/?/invest/showData/search_gu-si801081" TargetMode="External"/><Relationship Id="rId307" Type="http://schemas.openxmlformats.org/officeDocument/2006/relationships/hyperlink" Target="http://discuss.jiucaishuo.com/?/invest/showData/search_gu-si801214" TargetMode="External"/><Relationship Id="rId328" Type="http://schemas.openxmlformats.org/officeDocument/2006/relationships/hyperlink" Target="http://discuss.jiucaishuo.com/?/invest/showData/search_gu-sh000028" TargetMode="External"/><Relationship Id="rId349" Type="http://schemas.openxmlformats.org/officeDocument/2006/relationships/hyperlink" Target="http://discuss.jiucaishuo.com/?/invest/showData/search_gu-csih30021" TargetMode="External"/><Relationship Id="rId88" Type="http://schemas.openxmlformats.org/officeDocument/2006/relationships/hyperlink" Target="http://discuss.jiucaishuo.com/?/invest/showData/search_gu-csih30165" TargetMode="External"/><Relationship Id="rId111" Type="http://schemas.openxmlformats.org/officeDocument/2006/relationships/hyperlink" Target="http://discuss.jiucaishuo.com/?/invest/showData/search_gu-sh000819" TargetMode="External"/><Relationship Id="rId132" Type="http://schemas.openxmlformats.org/officeDocument/2006/relationships/hyperlink" Target="http://discuss.jiucaishuo.com/?/invest/showData/search_gu-sh000010" TargetMode="External"/><Relationship Id="rId153" Type="http://schemas.openxmlformats.org/officeDocument/2006/relationships/hyperlink" Target="http://discuss.jiucaishuo.com/?/invest/showData/search_gu-sh000992" TargetMode="External"/><Relationship Id="rId174" Type="http://schemas.openxmlformats.org/officeDocument/2006/relationships/hyperlink" Target="http://discuss.jiucaishuo.com/?/invest/showData/search_gu-si801053" TargetMode="External"/><Relationship Id="rId195" Type="http://schemas.openxmlformats.org/officeDocument/2006/relationships/hyperlink" Target="http://discuss.jiucaishuo.com/?/invest/showData/search_gu-sz399983" TargetMode="External"/><Relationship Id="rId209" Type="http://schemas.openxmlformats.org/officeDocument/2006/relationships/hyperlink" Target="http://discuss.jiucaishuo.com/?/invest/showData/search_gu-sz399810" TargetMode="External"/><Relationship Id="rId220" Type="http://schemas.openxmlformats.org/officeDocument/2006/relationships/hyperlink" Target="http://discuss.jiucaishuo.com/?/invest/showData/search_gu-csi930734" TargetMode="External"/><Relationship Id="rId241" Type="http://schemas.openxmlformats.org/officeDocument/2006/relationships/hyperlink" Target="http://discuss.jiucaishuo.com/?/invest/showData/search_gu-csi930820" TargetMode="External"/><Relationship Id="rId15" Type="http://schemas.openxmlformats.org/officeDocument/2006/relationships/hyperlink" Target="http://discuss.jiucaishuo.com/?/invest/showData/search_gu-sh000068" TargetMode="External"/><Relationship Id="rId36" Type="http://schemas.openxmlformats.org/officeDocument/2006/relationships/hyperlink" Target="http://discuss.jiucaishuo.com/?/invest/showData/search_gu-sz399998" TargetMode="External"/><Relationship Id="rId57" Type="http://schemas.openxmlformats.org/officeDocument/2006/relationships/hyperlink" Target="http://discuss.jiucaishuo.com/?/invest/showData/search_gu-sz399992" TargetMode="External"/><Relationship Id="rId262" Type="http://schemas.openxmlformats.org/officeDocument/2006/relationships/hyperlink" Target="http://discuss.jiucaishuo.com/?/invest/showData/search_gu-sh000993" TargetMode="External"/><Relationship Id="rId283" Type="http://schemas.openxmlformats.org/officeDocument/2006/relationships/hyperlink" Target="http://discuss.jiucaishuo.com/?/invest/showData/search_gu-sz399702" TargetMode="External"/><Relationship Id="rId318" Type="http://schemas.openxmlformats.org/officeDocument/2006/relationships/hyperlink" Target="http://discuss.jiucaishuo.com/?/invest/showData/search_gu-si801083" TargetMode="External"/><Relationship Id="rId339" Type="http://schemas.openxmlformats.org/officeDocument/2006/relationships/hyperlink" Target="http://discuss.jiucaishuo.com/?/invest/showData/search_gu-sz399803" TargetMode="External"/><Relationship Id="rId78" Type="http://schemas.openxmlformats.org/officeDocument/2006/relationships/hyperlink" Target="http://discuss.jiucaishuo.com/?/invest/showData/search_gu-sh000982" TargetMode="External"/><Relationship Id="rId99" Type="http://schemas.openxmlformats.org/officeDocument/2006/relationships/hyperlink" Target="http://discuss.jiucaishuo.com/?/invest/showData/search_gu-si801050" TargetMode="External"/><Relationship Id="rId101" Type="http://schemas.openxmlformats.org/officeDocument/2006/relationships/hyperlink" Target="http://discuss.jiucaishuo.com/?/invest/showData/search_gu-sz399101" TargetMode="External"/><Relationship Id="rId122" Type="http://schemas.openxmlformats.org/officeDocument/2006/relationships/hyperlink" Target="http://discuss.jiucaishuo.com/?/invest/showData/search_gu-si801790" TargetMode="External"/><Relationship Id="rId143" Type="http://schemas.openxmlformats.org/officeDocument/2006/relationships/hyperlink" Target="http://discuss.jiucaishuo.com/?/invest/showData/search_gu-hihshksi" TargetMode="External"/><Relationship Id="rId164" Type="http://schemas.openxmlformats.org/officeDocument/2006/relationships/hyperlink" Target="http://discuss.jiucaishuo.com/?/invest/showData/search_gu-csih30531" TargetMode="External"/><Relationship Id="rId185" Type="http://schemas.openxmlformats.org/officeDocument/2006/relationships/hyperlink" Target="http://discuss.jiucaishuo.com/?/invest/showData/search_gu-sz399805" TargetMode="External"/><Relationship Id="rId350" Type="http://schemas.openxmlformats.org/officeDocument/2006/relationships/hyperlink" Target="http://discuss.jiucaishuo.com/?/invest/showData/search_gu-sz399396" TargetMode="External"/><Relationship Id="rId9" Type="http://schemas.openxmlformats.org/officeDocument/2006/relationships/hyperlink" Target="http://discuss.jiucaishuo.com/?/invest/showData/search_gu-si801035" TargetMode="External"/><Relationship Id="rId210" Type="http://schemas.openxmlformats.org/officeDocument/2006/relationships/hyperlink" Target="http://discuss.jiucaishuo.com/?/invest/showData/search_gu-csi930790" TargetMode="External"/><Relationship Id="rId26" Type="http://schemas.openxmlformats.org/officeDocument/2006/relationships/hyperlink" Target="http://discuss.jiucaishuo.com/?/invest/showData/search_gu-si801724" TargetMode="External"/><Relationship Id="rId231" Type="http://schemas.openxmlformats.org/officeDocument/2006/relationships/hyperlink" Target="http://discuss.jiucaishuo.com/?/invest/showData/search_gu-si801013" TargetMode="External"/><Relationship Id="rId252" Type="http://schemas.openxmlformats.org/officeDocument/2006/relationships/hyperlink" Target="http://discuss.jiucaishuo.com/?/invest/showData/search_gu-sz399102" TargetMode="External"/><Relationship Id="rId273" Type="http://schemas.openxmlformats.org/officeDocument/2006/relationships/hyperlink" Target="http://discuss.jiucaishuo.com/?/invest/showData/search_gu-sz399994" TargetMode="External"/><Relationship Id="rId294" Type="http://schemas.openxmlformats.org/officeDocument/2006/relationships/hyperlink" Target="http://discuss.jiucaishuo.com/?/invest/showData/search_gu-sz399610" TargetMode="External"/><Relationship Id="rId308" Type="http://schemas.openxmlformats.org/officeDocument/2006/relationships/hyperlink" Target="http://discuss.jiucaishuo.com/?/invest/showData/search_gu-sh000913" TargetMode="External"/><Relationship Id="rId329" Type="http://schemas.openxmlformats.org/officeDocument/2006/relationships/hyperlink" Target="http://discuss.jiucaishuo.com/?/invest/showData/search_gu-csi930743" TargetMode="External"/><Relationship Id="rId47" Type="http://schemas.openxmlformats.org/officeDocument/2006/relationships/hyperlink" Target="http://discuss.jiucaishuo.com/?/invest/showData/search_gu-sz399991" TargetMode="External"/><Relationship Id="rId68" Type="http://schemas.openxmlformats.org/officeDocument/2006/relationships/hyperlink" Target="http://discuss.jiucaishuo.com/?/invest/showData/search_gu-si801712" TargetMode="External"/><Relationship Id="rId89" Type="http://schemas.openxmlformats.org/officeDocument/2006/relationships/hyperlink" Target="http://discuss.jiucaishuo.com/?/invest/showData/search_gu-si801131" TargetMode="External"/><Relationship Id="rId112" Type="http://schemas.openxmlformats.org/officeDocument/2006/relationships/hyperlink" Target="http://discuss.jiucaishuo.com/?/invest/showData/search_gu-csi930782" TargetMode="External"/><Relationship Id="rId133" Type="http://schemas.openxmlformats.org/officeDocument/2006/relationships/hyperlink" Target="http://discuss.jiucaishuo.com/?/invest/showData/search_gu-sz399634" TargetMode="External"/><Relationship Id="rId154" Type="http://schemas.openxmlformats.org/officeDocument/2006/relationships/hyperlink" Target="http://discuss.jiucaishuo.com/?/invest/showData/search_gu-si801733" TargetMode="External"/><Relationship Id="rId175" Type="http://schemas.openxmlformats.org/officeDocument/2006/relationships/hyperlink" Target="http://discuss.jiucaishuo.com/?/invest/showData/search_gu-sz399395" TargetMode="External"/><Relationship Id="rId340" Type="http://schemas.openxmlformats.org/officeDocument/2006/relationships/hyperlink" Target="http://discuss.jiucaishuo.com/?/invest/showData/search_gu-si801017" TargetMode="External"/><Relationship Id="rId196" Type="http://schemas.openxmlformats.org/officeDocument/2006/relationships/hyperlink" Target="http://discuss.jiucaishuo.com/?/invest/showData/search_gu-sh000051" TargetMode="External"/><Relationship Id="rId200" Type="http://schemas.openxmlformats.org/officeDocument/2006/relationships/hyperlink" Target="http://discuss.jiucaishuo.com/?/invest/showData/search_gu-sh000903" TargetMode="External"/><Relationship Id="rId16" Type="http://schemas.openxmlformats.org/officeDocument/2006/relationships/hyperlink" Target="http://discuss.jiucaishuo.com/?/invest/showData/search_gu-sh000928" TargetMode="External"/><Relationship Id="rId221" Type="http://schemas.openxmlformats.org/officeDocument/2006/relationships/hyperlink" Target="http://discuss.jiucaishuo.com/?/invest/showData/search_gu-csi930599" TargetMode="External"/><Relationship Id="rId242" Type="http://schemas.openxmlformats.org/officeDocument/2006/relationships/hyperlink" Target="http://discuss.jiucaishuo.com/?/invest/showData/search_gu-sh000971" TargetMode="External"/><Relationship Id="rId263" Type="http://schemas.openxmlformats.org/officeDocument/2006/relationships/hyperlink" Target="http://discuss.jiucaishuo.com/?/invest/showData/search_gu-sz399809" TargetMode="External"/><Relationship Id="rId284" Type="http://schemas.openxmlformats.org/officeDocument/2006/relationships/hyperlink" Target="http://discuss.jiucaishuo.com/?/invest/showData/search_gu-si801018" TargetMode="External"/><Relationship Id="rId319" Type="http://schemas.openxmlformats.org/officeDocument/2006/relationships/hyperlink" Target="http://discuss.jiucaishuo.com/?/invest/showData/search_gu-csih30344" TargetMode="External"/><Relationship Id="rId37" Type="http://schemas.openxmlformats.org/officeDocument/2006/relationships/hyperlink" Target="http://discuss.jiucaishuo.com/?/invest/showData/search_gu-sz399990" TargetMode="External"/><Relationship Id="rId58" Type="http://schemas.openxmlformats.org/officeDocument/2006/relationships/hyperlink" Target="http://discuss.jiucaishuo.com/?/invest/showData/search_gu-sh000806" TargetMode="External"/><Relationship Id="rId79" Type="http://schemas.openxmlformats.org/officeDocument/2006/relationships/hyperlink" Target="http://discuss.jiucaishuo.com/?/invest/showData/search_gu-si801175" TargetMode="External"/><Relationship Id="rId102" Type="http://schemas.openxmlformats.org/officeDocument/2006/relationships/hyperlink" Target="http://discuss.jiucaishuo.com/?/invest/showData/search_gu-sz399008" TargetMode="External"/><Relationship Id="rId123" Type="http://schemas.openxmlformats.org/officeDocument/2006/relationships/hyperlink" Target="http://discuss.jiucaishuo.com/?/invest/showData/search_gu-si801752" TargetMode="External"/><Relationship Id="rId144" Type="http://schemas.openxmlformats.org/officeDocument/2006/relationships/hyperlink" Target="http://discuss.jiucaishuo.com/?/invest/showData/search_gu-si801202" TargetMode="External"/><Relationship Id="rId330" Type="http://schemas.openxmlformats.org/officeDocument/2006/relationships/hyperlink" Target="http://discuss.jiucaishuo.com/?/invest/showData/search_gu-si801120" TargetMode="External"/><Relationship Id="rId90" Type="http://schemas.openxmlformats.org/officeDocument/2006/relationships/hyperlink" Target="http://discuss.jiucaishuo.com/?/invest/showData/search_gu-si801731" TargetMode="External"/><Relationship Id="rId165" Type="http://schemas.openxmlformats.org/officeDocument/2006/relationships/hyperlink" Target="http://discuss.jiucaishuo.com/?/invest/showData/search_gu-sz399368" TargetMode="External"/><Relationship Id="rId186" Type="http://schemas.openxmlformats.org/officeDocument/2006/relationships/hyperlink" Target="http://discuss.jiucaishuo.com/?/invest/showData/search_gu-si801012" TargetMode="External"/><Relationship Id="rId351" Type="http://schemas.openxmlformats.org/officeDocument/2006/relationships/hyperlink" Target="http://discuss.jiucaishuo.com/?/invest/showData/search_gu-spisp500" TargetMode="External"/><Relationship Id="rId211" Type="http://schemas.openxmlformats.org/officeDocument/2006/relationships/hyperlink" Target="http://discuss.jiucaishuo.com/?/invest/showData/search_gu-csi930654" TargetMode="External"/><Relationship Id="rId232" Type="http://schemas.openxmlformats.org/officeDocument/2006/relationships/hyperlink" Target="http://discuss.jiucaishuo.com/?/invest/showData/search_gu-si801032" TargetMode="External"/><Relationship Id="rId253" Type="http://schemas.openxmlformats.org/officeDocument/2006/relationships/hyperlink" Target="http://discuss.jiucaishuo.com/?/invest/showData/search_gu-si801144" TargetMode="External"/><Relationship Id="rId274" Type="http://schemas.openxmlformats.org/officeDocument/2006/relationships/hyperlink" Target="http://discuss.jiucaishuo.com/?/invest/showData/search_gu-si801215" TargetMode="External"/><Relationship Id="rId295" Type="http://schemas.openxmlformats.org/officeDocument/2006/relationships/hyperlink" Target="http://discuss.jiucaishuo.com/?/invest/showData/search_gu-si801010" TargetMode="External"/><Relationship Id="rId309" Type="http://schemas.openxmlformats.org/officeDocument/2006/relationships/hyperlink" Target="http://discuss.jiucaishuo.com/?/invest/showData/search_gu-sh000064" TargetMode="External"/><Relationship Id="rId27" Type="http://schemas.openxmlformats.org/officeDocument/2006/relationships/hyperlink" Target="http://discuss.jiucaishuo.com/?/invest/showData/search_gu-si801723" TargetMode="External"/><Relationship Id="rId48" Type="http://schemas.openxmlformats.org/officeDocument/2006/relationships/hyperlink" Target="http://discuss.jiucaishuo.com/?/invest/showData/search_gu-csi931008" TargetMode="External"/><Relationship Id="rId69" Type="http://schemas.openxmlformats.org/officeDocument/2006/relationships/hyperlink" Target="http://discuss.jiucaishuo.com/?/invest/showData/search_gu-si801022" TargetMode="External"/><Relationship Id="rId113" Type="http://schemas.openxmlformats.org/officeDocument/2006/relationships/hyperlink" Target="http://discuss.jiucaishuo.com/?/invest/showData/search_gu-sh000056" TargetMode="External"/><Relationship Id="rId134" Type="http://schemas.openxmlformats.org/officeDocument/2006/relationships/hyperlink" Target="http://discuss.jiucaishuo.com/?/invest/showData/search_gu-si801173" TargetMode="External"/><Relationship Id="rId320" Type="http://schemas.openxmlformats.org/officeDocument/2006/relationships/hyperlink" Target="http://discuss.jiucaishuo.com/?/invest/showData/search_gu-sz399394" TargetMode="External"/><Relationship Id="rId80" Type="http://schemas.openxmlformats.org/officeDocument/2006/relationships/hyperlink" Target="http://discuss.jiucaishuo.com/?/invest/showData/search_gu-si801015" TargetMode="External"/><Relationship Id="rId155" Type="http://schemas.openxmlformats.org/officeDocument/2006/relationships/hyperlink" Target="http://discuss.jiucaishuo.com/?/invest/showData/search_gu-sh000977" TargetMode="External"/><Relationship Id="rId176" Type="http://schemas.openxmlformats.org/officeDocument/2006/relationships/hyperlink" Target="http://discuss.jiucaishuo.com/?/invest/showData/search_gu-csih30372" TargetMode="External"/><Relationship Id="rId197" Type="http://schemas.openxmlformats.org/officeDocument/2006/relationships/hyperlink" Target="http://discuss.jiucaishuo.com/?/invest/showData/search_gu-si801742" TargetMode="External"/><Relationship Id="rId341" Type="http://schemas.openxmlformats.org/officeDocument/2006/relationships/hyperlink" Target="http://discuss.jiucaishuo.com/?/invest/showData/search_gu-csi930721" TargetMode="External"/><Relationship Id="rId201" Type="http://schemas.openxmlformats.org/officeDocument/2006/relationships/hyperlink" Target="http://discuss.jiucaishuo.com/?/invest/showData/search_gu-gidjsoep" TargetMode="External"/><Relationship Id="rId222" Type="http://schemas.openxmlformats.org/officeDocument/2006/relationships/hyperlink" Target="http://discuss.jiucaishuo.com/?/invest/showData/search_gu-sz399974" TargetMode="External"/><Relationship Id="rId243" Type="http://schemas.openxmlformats.org/officeDocument/2006/relationships/hyperlink" Target="http://discuss.jiucaishuo.com/?/invest/showData/search_gu-sz399637" TargetMode="External"/><Relationship Id="rId264" Type="http://schemas.openxmlformats.org/officeDocument/2006/relationships/hyperlink" Target="http://discuss.jiucaishuo.com/?/invest/showData/search_gu-csih30124" TargetMode="External"/><Relationship Id="rId285" Type="http://schemas.openxmlformats.org/officeDocument/2006/relationships/hyperlink" Target="http://discuss.jiucaishuo.com/?/invest/showData/search_gu-sh000935" TargetMode="External"/><Relationship Id="rId17" Type="http://schemas.openxmlformats.org/officeDocument/2006/relationships/hyperlink" Target="http://discuss.jiucaishuo.com/?/invest/showData/search_gu-si801180" TargetMode="External"/><Relationship Id="rId38" Type="http://schemas.openxmlformats.org/officeDocument/2006/relationships/hyperlink" Target="http://discuss.jiucaishuo.com/?/invest/showData/search_gu-sh950090" TargetMode="External"/><Relationship Id="rId59" Type="http://schemas.openxmlformats.org/officeDocument/2006/relationships/hyperlink" Target="http://discuss.jiucaishuo.com/?/invest/showData/search_gu-si801094" TargetMode="External"/><Relationship Id="rId103" Type="http://schemas.openxmlformats.org/officeDocument/2006/relationships/hyperlink" Target="http://discuss.jiucaishuo.com/?/invest/showData/search_gu-sh000802" TargetMode="External"/><Relationship Id="rId124" Type="http://schemas.openxmlformats.org/officeDocument/2006/relationships/hyperlink" Target="http://discuss.jiucaishuo.com/?/invest/showData/search_gu-si801751" TargetMode="External"/><Relationship Id="rId310" Type="http://schemas.openxmlformats.org/officeDocument/2006/relationships/hyperlink" Target="http://discuss.jiucaishuo.com/?/invest/showData/search_gu-csi930723" TargetMode="External"/><Relationship Id="rId70" Type="http://schemas.openxmlformats.org/officeDocument/2006/relationships/hyperlink" Target="http://discuss.jiucaishuo.com/?/invest/showData/search_gu-si801193" TargetMode="External"/><Relationship Id="rId91" Type="http://schemas.openxmlformats.org/officeDocument/2006/relationships/hyperlink" Target="http://discuss.jiucaishuo.com/?/invest/showData/search_gu-si801024" TargetMode="External"/><Relationship Id="rId145" Type="http://schemas.openxmlformats.org/officeDocument/2006/relationships/hyperlink" Target="http://discuss.jiucaishuo.com/?/invest/showData/search_gu-sh000914" TargetMode="External"/><Relationship Id="rId166" Type="http://schemas.openxmlformats.org/officeDocument/2006/relationships/hyperlink" Target="http://discuss.jiucaishuo.com/?/invest/showData/search_gu-si801744" TargetMode="External"/><Relationship Id="rId187" Type="http://schemas.openxmlformats.org/officeDocument/2006/relationships/hyperlink" Target="http://discuss.jiucaishuo.com/?/invest/showData/search_gu-si801074" TargetMode="External"/><Relationship Id="rId331" Type="http://schemas.openxmlformats.org/officeDocument/2006/relationships/hyperlink" Target="http://discuss.jiucaishuo.com/?/invest/showData/search_gu-sz399632" TargetMode="External"/><Relationship Id="rId352" Type="http://schemas.openxmlformats.org/officeDocument/2006/relationships/hyperlink" Target="http://discuss.jiucaishuo.com/?/invest/showData/search_gu-spispxewtr" TargetMode="External"/><Relationship Id="rId1" Type="http://schemas.openxmlformats.org/officeDocument/2006/relationships/hyperlink" Target="http://discuss.jiucaishuo.com/?/invest/showData/search_gu-si801720" TargetMode="External"/><Relationship Id="rId212" Type="http://schemas.openxmlformats.org/officeDocument/2006/relationships/hyperlink" Target="http://discuss.jiucaishuo.com/?/invest/showData/search_gu-sh000033" TargetMode="External"/><Relationship Id="rId233" Type="http://schemas.openxmlformats.org/officeDocument/2006/relationships/hyperlink" Target="http://discuss.jiucaishuo.com/?/invest/showData/search_gu-sh000043" TargetMode="External"/><Relationship Id="rId254" Type="http://schemas.openxmlformats.org/officeDocument/2006/relationships/hyperlink" Target="http://discuss.jiucaishuo.com/?/invest/showData/search_gu-sz399348" TargetMode="External"/><Relationship Id="rId28" Type="http://schemas.openxmlformats.org/officeDocument/2006/relationships/hyperlink" Target="http://discuss.jiucaishuo.com/?/invest/showData/search_gu-si801722" TargetMode="External"/><Relationship Id="rId49" Type="http://schemas.openxmlformats.org/officeDocument/2006/relationships/hyperlink" Target="http://discuss.jiucaishuo.com/?/invest/showData/search_gu-sz399986" TargetMode="External"/><Relationship Id="rId114" Type="http://schemas.openxmlformats.org/officeDocument/2006/relationships/hyperlink" Target="http://discuss.jiucaishuo.com/?/invest/showData/search_gu-sh000966" TargetMode="External"/><Relationship Id="rId275" Type="http://schemas.openxmlformats.org/officeDocument/2006/relationships/hyperlink" Target="http://discuss.jiucaishuo.com/?/invest/showData/search_gu-sh000037" TargetMode="External"/><Relationship Id="rId296" Type="http://schemas.openxmlformats.org/officeDocument/2006/relationships/hyperlink" Target="http://discuss.jiucaishuo.com/?/invest/showData/search_gu-sz399441" TargetMode="External"/><Relationship Id="rId300" Type="http://schemas.openxmlformats.org/officeDocument/2006/relationships/hyperlink" Target="http://discuss.jiucaishuo.com/?/invest/showData/search_gu-sz399326" TargetMode="External"/><Relationship Id="rId60" Type="http://schemas.openxmlformats.org/officeDocument/2006/relationships/hyperlink" Target="http://discuss.jiucaishuo.com/?/invest/showData/search_gu-sh000032" TargetMode="External"/><Relationship Id="rId81" Type="http://schemas.openxmlformats.org/officeDocument/2006/relationships/hyperlink" Target="http://discuss.jiucaishuo.com/?/invest/showData/search_gu-sz399440" TargetMode="External"/><Relationship Id="rId135" Type="http://schemas.openxmlformats.org/officeDocument/2006/relationships/hyperlink" Target="http://discuss.jiucaishuo.com/?/invest/showData/search_gu-si801093" TargetMode="External"/><Relationship Id="rId156" Type="http://schemas.openxmlformats.org/officeDocument/2006/relationships/hyperlink" Target="http://discuss.jiucaishuo.com/?/invest/showData/search_gu-si801036" TargetMode="External"/><Relationship Id="rId177" Type="http://schemas.openxmlformats.org/officeDocument/2006/relationships/hyperlink" Target="http://discuss.jiucaishuo.com/?/invest/showData/search_gu-sh000300" TargetMode="External"/><Relationship Id="rId198" Type="http://schemas.openxmlformats.org/officeDocument/2006/relationships/hyperlink" Target="http://discuss.jiucaishuo.com/?/invest/showData/search_gu-si801112" TargetMode="External"/><Relationship Id="rId321" Type="http://schemas.openxmlformats.org/officeDocument/2006/relationships/hyperlink" Target="http://discuss.jiucaishuo.com/?/invest/showData/search_gu-sh000808" TargetMode="External"/><Relationship Id="rId342" Type="http://schemas.openxmlformats.org/officeDocument/2006/relationships/hyperlink" Target="http://discuss.jiucaishuo.com/?/invest/showData/search_gu-sh000932" TargetMode="External"/><Relationship Id="rId202" Type="http://schemas.openxmlformats.org/officeDocument/2006/relationships/hyperlink" Target="http://discuss.jiucaishuo.com/?/invest/showData/search_gu-si801182" TargetMode="External"/><Relationship Id="rId223" Type="http://schemas.openxmlformats.org/officeDocument/2006/relationships/hyperlink" Target="http://discuss.jiucaishuo.com/?/invest/showData/search_gu-sz399707" TargetMode="External"/><Relationship Id="rId244" Type="http://schemas.openxmlformats.org/officeDocument/2006/relationships/hyperlink" Target="http://discuss.jiucaishuo.com/?/invest/showData/search_gu-csi930777" TargetMode="External"/><Relationship Id="rId18" Type="http://schemas.openxmlformats.org/officeDocument/2006/relationships/hyperlink" Target="http://discuss.jiucaishuo.com/?/invest/showData/search_gu-si801200" TargetMode="External"/><Relationship Id="rId39" Type="http://schemas.openxmlformats.org/officeDocument/2006/relationships/hyperlink" Target="http://discuss.jiucaishuo.com/?/invest/showData/search_gu-sh000805" TargetMode="External"/><Relationship Id="rId265" Type="http://schemas.openxmlformats.org/officeDocument/2006/relationships/hyperlink" Target="http://discuss.jiucaishuo.com/?/invest/showData/search_gu-csi930697" TargetMode="External"/><Relationship Id="rId286" Type="http://schemas.openxmlformats.org/officeDocument/2006/relationships/hyperlink" Target="http://discuss.jiucaishuo.com/?/invest/showData/search_gu-csi931009" TargetMode="External"/><Relationship Id="rId50" Type="http://schemas.openxmlformats.org/officeDocument/2006/relationships/hyperlink" Target="http://discuss.jiucaishuo.com/?/invest/showData/search_gu-sh000940" TargetMode="External"/><Relationship Id="rId104" Type="http://schemas.openxmlformats.org/officeDocument/2006/relationships/hyperlink" Target="http://discuss.jiucaishuo.com/?/invest/showData/search_gu-sz399965" TargetMode="External"/><Relationship Id="rId125" Type="http://schemas.openxmlformats.org/officeDocument/2006/relationships/hyperlink" Target="http://discuss.jiucaishuo.com/?/invest/showData/search_gu-sh000852" TargetMode="External"/><Relationship Id="rId146" Type="http://schemas.openxmlformats.org/officeDocument/2006/relationships/hyperlink" Target="http://discuss.jiucaishuo.com/?/invest/showData/search_gu-si801072" TargetMode="External"/><Relationship Id="rId167" Type="http://schemas.openxmlformats.org/officeDocument/2006/relationships/hyperlink" Target="http://discuss.jiucaishuo.com/?/invest/showData/search_gu-si801212" TargetMode="External"/><Relationship Id="rId188" Type="http://schemas.openxmlformats.org/officeDocument/2006/relationships/hyperlink" Target="http://discuss.jiucaishuo.com/?/invest/showData/search_gu-sz399959" TargetMode="External"/><Relationship Id="rId311" Type="http://schemas.openxmlformats.org/officeDocument/2006/relationships/hyperlink" Target="http://discuss.jiucaishuo.com/?/invest/showData/search_gu-sz399993" TargetMode="External"/><Relationship Id="rId332" Type="http://schemas.openxmlformats.org/officeDocument/2006/relationships/hyperlink" Target="http://discuss.jiucaishuo.com/?/invest/showData/search_gu-sz399970" TargetMode="External"/><Relationship Id="rId353" Type="http://schemas.openxmlformats.org/officeDocument/2006/relationships/hyperlink" Target="http://discuss.jiucaishuo.com/?/invest/showData/search_gu-gispx" TargetMode="External"/><Relationship Id="rId71" Type="http://schemas.openxmlformats.org/officeDocument/2006/relationships/hyperlink" Target="http://discuss.jiucaishuo.com/?/invest/showData/search_gu-hihsml25" TargetMode="External"/><Relationship Id="rId92" Type="http://schemas.openxmlformats.org/officeDocument/2006/relationships/hyperlink" Target="http://discuss.jiucaishuo.com/?/invest/showData/search_gu-csi950096" TargetMode="External"/><Relationship Id="rId213" Type="http://schemas.openxmlformats.org/officeDocument/2006/relationships/hyperlink" Target="http://discuss.jiucaishuo.com/?/invest/showData/search_gu-si801176" TargetMode="External"/><Relationship Id="rId234" Type="http://schemas.openxmlformats.org/officeDocument/2006/relationships/hyperlink" Target="http://discuss.jiucaishuo.com/?/invest/showData/search_gu-sh000046" TargetMode="External"/><Relationship Id="rId2" Type="http://schemas.openxmlformats.org/officeDocument/2006/relationships/hyperlink" Target="http://discuss.jiucaishuo.com/?/invest/showData/search_gu-si801160" TargetMode="External"/><Relationship Id="rId29" Type="http://schemas.openxmlformats.org/officeDocument/2006/relationships/hyperlink" Target="http://discuss.jiucaishuo.com/?/invest/showData/search_gu-si801162" TargetMode="External"/><Relationship Id="rId255" Type="http://schemas.openxmlformats.org/officeDocument/2006/relationships/hyperlink" Target="http://discuss.jiucaishuo.com/?/invest/showData/search_gu-si801750" TargetMode="External"/><Relationship Id="rId276" Type="http://schemas.openxmlformats.org/officeDocument/2006/relationships/hyperlink" Target="http://discuss.jiucaishuo.com/?/invest/showData/search_gu-sh000998" TargetMode="External"/><Relationship Id="rId297" Type="http://schemas.openxmlformats.org/officeDocument/2006/relationships/hyperlink" Target="http://discuss.jiucaishuo.com/?/invest/showData/search_gu-csi930729" TargetMode="External"/><Relationship Id="rId40" Type="http://schemas.openxmlformats.org/officeDocument/2006/relationships/hyperlink" Target="http://discuss.jiucaishuo.com/?/invest/showData/search_gu-sh000042" TargetMode="External"/><Relationship Id="rId115" Type="http://schemas.openxmlformats.org/officeDocument/2006/relationships/hyperlink" Target="http://discuss.jiucaishuo.com/?/invest/showData/search_gu-sh000925" TargetMode="External"/><Relationship Id="rId136" Type="http://schemas.openxmlformats.org/officeDocument/2006/relationships/hyperlink" Target="http://discuss.jiucaishuo.com/?/invest/showData/search_gu-sh000934" TargetMode="External"/><Relationship Id="rId157" Type="http://schemas.openxmlformats.org/officeDocument/2006/relationships/hyperlink" Target="http://discuss.jiucaishuo.com/?/invest/showData/search_gu-sh000823" TargetMode="External"/><Relationship Id="rId178" Type="http://schemas.openxmlformats.org/officeDocument/2006/relationships/hyperlink" Target="http://discuss.jiucaishuo.com/?/invest/showData/search_gu-sh000958" TargetMode="External"/><Relationship Id="rId301" Type="http://schemas.openxmlformats.org/officeDocument/2006/relationships/hyperlink" Target="http://discuss.jiucaishuo.com/?/invest/showData/search_gu-sz399701" TargetMode="External"/><Relationship Id="rId322" Type="http://schemas.openxmlformats.org/officeDocument/2006/relationships/hyperlink" Target="http://discuss.jiucaishuo.com/?/invest/showData/search_gu-csi930629" TargetMode="External"/><Relationship Id="rId343" Type="http://schemas.openxmlformats.org/officeDocument/2006/relationships/hyperlink" Target="http://discuss.jiucaishuo.com/?/invest/showData/search_gu-csi930719" TargetMode="External"/><Relationship Id="rId61" Type="http://schemas.openxmlformats.org/officeDocument/2006/relationships/hyperlink" Target="http://discuss.jiucaishuo.com/?/invest/showData/search_gu-sz399416" TargetMode="External"/><Relationship Id="rId82" Type="http://schemas.openxmlformats.org/officeDocument/2006/relationships/hyperlink" Target="http://discuss.jiucaishuo.com/?/invest/showData/search_gu-csi000922" TargetMode="External"/><Relationship Id="rId199" Type="http://schemas.openxmlformats.org/officeDocument/2006/relationships/hyperlink" Target="http://discuss.jiucaishuo.com/?/invest/showData/search_gu-sh000933" TargetMode="External"/><Relationship Id="rId203" Type="http://schemas.openxmlformats.org/officeDocument/2006/relationships/hyperlink" Target="http://discuss.jiucaishuo.com/?/invest/showData/search_gu-sh000974" TargetMode="External"/><Relationship Id="rId19" Type="http://schemas.openxmlformats.org/officeDocument/2006/relationships/hyperlink" Target="http://discuss.jiucaishuo.com/?/invest/showData/search_gu-si801780" TargetMode="External"/><Relationship Id="rId224" Type="http://schemas.openxmlformats.org/officeDocument/2006/relationships/hyperlink" Target="http://discuss.jiucaishuo.com/?/invest/showData/search_gu-si801150" TargetMode="External"/><Relationship Id="rId245" Type="http://schemas.openxmlformats.org/officeDocument/2006/relationships/hyperlink" Target="http://discuss.jiucaishuo.com/?/invest/showData/search_gu-csih20839" TargetMode="External"/><Relationship Id="rId266" Type="http://schemas.openxmlformats.org/officeDocument/2006/relationships/hyperlink" Target="http://discuss.jiucaishuo.com/?/invest/showData/search_gu-si801080" TargetMode="External"/><Relationship Id="rId287" Type="http://schemas.openxmlformats.org/officeDocument/2006/relationships/hyperlink" Target="http://discuss.jiucaishuo.com/?/invest/showData/search_gu-csih11136" TargetMode="External"/><Relationship Id="rId30" Type="http://schemas.openxmlformats.org/officeDocument/2006/relationships/hyperlink" Target="http://discuss.jiucaishuo.com/?/invest/showData/search_gu-sz399806" TargetMode="External"/><Relationship Id="rId105" Type="http://schemas.openxmlformats.org/officeDocument/2006/relationships/hyperlink" Target="http://discuss.jiucaishuo.com/?/invest/showData/search_gu-sz399393" TargetMode="External"/><Relationship Id="rId126" Type="http://schemas.openxmlformats.org/officeDocument/2006/relationships/hyperlink" Target="http://discuss.jiucaishuo.com/?/invest/showData/search_gu-si801155" TargetMode="External"/><Relationship Id="rId147" Type="http://schemas.openxmlformats.org/officeDocument/2006/relationships/hyperlink" Target="http://discuss.jiucaishuo.com/?/invest/showData/search_gu-sh000963" TargetMode="External"/><Relationship Id="rId168" Type="http://schemas.openxmlformats.org/officeDocument/2006/relationships/hyperlink" Target="http://discuss.jiucaishuo.com/?/invest/showData/search_gu-sh000827" TargetMode="External"/><Relationship Id="rId312" Type="http://schemas.openxmlformats.org/officeDocument/2006/relationships/hyperlink" Target="http://discuss.jiucaishuo.com/?/invest/showData/search_gu-sz399330" TargetMode="External"/><Relationship Id="rId333" Type="http://schemas.openxmlformats.org/officeDocument/2006/relationships/hyperlink" Target="http://discuss.jiucaishuo.com/?/invest/showData/search_gu-csi000978" TargetMode="External"/><Relationship Id="rId354" Type="http://schemas.openxmlformats.org/officeDocument/2006/relationships/hyperlink" Target="http://discuss.jiucaishuo.com/?/invest/showData/search_gu-csi133333" TargetMode="External"/><Relationship Id="rId51" Type="http://schemas.openxmlformats.org/officeDocument/2006/relationships/hyperlink" Target="http://discuss.jiucaishuo.com/?/invest/showData/search_gu-si801761" TargetMode="External"/><Relationship Id="rId72" Type="http://schemas.openxmlformats.org/officeDocument/2006/relationships/hyperlink" Target="http://discuss.jiucaishuo.com/?/invest/showData/search_gu-sh000854" TargetMode="External"/><Relationship Id="rId93" Type="http://schemas.openxmlformats.org/officeDocument/2006/relationships/hyperlink" Target="http://discuss.jiucaishuo.com/?/invest/showData/search_gu-sh000067" TargetMode="External"/><Relationship Id="rId189" Type="http://schemas.openxmlformats.org/officeDocument/2006/relationships/hyperlink" Target="http://discuss.jiucaishuo.com/?/invest/showData/search_gu-si801732" TargetMode="External"/><Relationship Id="rId3" Type="http://schemas.openxmlformats.org/officeDocument/2006/relationships/hyperlink" Target="http://discuss.jiucaishuo.com/?/invest/showData/search_gu-si801020" TargetMode="External"/><Relationship Id="rId214" Type="http://schemas.openxmlformats.org/officeDocument/2006/relationships/hyperlink" Target="http://discuss.jiucaishuo.com/?/invest/showData/search_gu-si801721" TargetMode="External"/><Relationship Id="rId235" Type="http://schemas.openxmlformats.org/officeDocument/2006/relationships/hyperlink" Target="http://discuss.jiucaishuo.com/?/invest/showData/search_gu-si801204" TargetMode="External"/><Relationship Id="rId256" Type="http://schemas.openxmlformats.org/officeDocument/2006/relationships/hyperlink" Target="http://discuss.jiucaishuo.com/?/invest/showData/search_gu-sz399007" TargetMode="External"/><Relationship Id="rId277" Type="http://schemas.openxmlformats.org/officeDocument/2006/relationships/hyperlink" Target="http://discuss.jiucaishuo.com/?/invest/showData/search_gu-csi930651" TargetMode="External"/><Relationship Id="rId298" Type="http://schemas.openxmlformats.org/officeDocument/2006/relationships/hyperlink" Target="http://discuss.jiucaishuo.com/?/invest/showData/search_gu-sz399813" TargetMode="External"/><Relationship Id="rId116" Type="http://schemas.openxmlformats.org/officeDocument/2006/relationships/hyperlink" Target="http://discuss.jiucaishuo.com/?/invest/showData/search_gu-csi000985" TargetMode="External"/><Relationship Id="rId137" Type="http://schemas.openxmlformats.org/officeDocument/2006/relationships/hyperlink" Target="http://discuss.jiucaishuo.com/?/invest/showData/search_gu-sh000038" TargetMode="External"/><Relationship Id="rId158" Type="http://schemas.openxmlformats.org/officeDocument/2006/relationships/hyperlink" Target="http://discuss.jiucaishuo.com/?/invest/showData/search_gu-sz399415" TargetMode="External"/><Relationship Id="rId302" Type="http://schemas.openxmlformats.org/officeDocument/2006/relationships/hyperlink" Target="http://discuss.jiucaishuo.com/?/invest/showData/search_gu-sz399811" TargetMode="External"/><Relationship Id="rId323" Type="http://schemas.openxmlformats.org/officeDocument/2006/relationships/hyperlink" Target="http://discuss.jiucaishuo.com/?/invest/showData/search_gu-csih30535" TargetMode="External"/><Relationship Id="rId344" Type="http://schemas.openxmlformats.org/officeDocument/2006/relationships/hyperlink" Target="http://discuss.jiucaishuo.com/?/invest/showData/search_gu-sh000990" TargetMode="External"/><Relationship Id="rId20" Type="http://schemas.openxmlformats.org/officeDocument/2006/relationships/hyperlink" Target="http://discuss.jiucaishuo.com/?/invest/showData/search_gu-si801172" TargetMode="External"/><Relationship Id="rId41" Type="http://schemas.openxmlformats.org/officeDocument/2006/relationships/hyperlink" Target="http://discuss.jiucaishuo.com/?/invest/showData/search_gu-sh000015" TargetMode="External"/><Relationship Id="rId62" Type="http://schemas.openxmlformats.org/officeDocument/2006/relationships/hyperlink" Target="http://discuss.jiucaishuo.com/?/invest/showData/search_gu-sh000029" TargetMode="External"/><Relationship Id="rId83" Type="http://schemas.openxmlformats.org/officeDocument/2006/relationships/hyperlink" Target="http://discuss.jiucaishuo.com/?/invest/showData/search_gu-sz399429" TargetMode="External"/><Relationship Id="rId179" Type="http://schemas.openxmlformats.org/officeDocument/2006/relationships/hyperlink" Target="http://discuss.jiucaishuo.com/?/invest/showData/search_gu-si801016" TargetMode="External"/><Relationship Id="rId190" Type="http://schemas.openxmlformats.org/officeDocument/2006/relationships/hyperlink" Target="http://discuss.jiucaishuo.com/?/invest/showData/search_gu-si801141" TargetMode="External"/><Relationship Id="rId204" Type="http://schemas.openxmlformats.org/officeDocument/2006/relationships/hyperlink" Target="http://discuss.jiucaishuo.com/?/invest/showData/search_gu-csi930648" TargetMode="External"/><Relationship Id="rId225" Type="http://schemas.openxmlformats.org/officeDocument/2006/relationships/hyperlink" Target="http://discuss.jiucaishuo.com/?/invest/showData/search_gu-si801102" TargetMode="External"/><Relationship Id="rId246" Type="http://schemas.openxmlformats.org/officeDocument/2006/relationships/hyperlink" Target="http://discuss.jiucaishuo.com/?/invest/showData/search_gu-sz399612" TargetMode="External"/><Relationship Id="rId267" Type="http://schemas.openxmlformats.org/officeDocument/2006/relationships/hyperlink" Target="http://discuss.jiucaishuo.com/?/invest/showData/search_gu-si801222" TargetMode="External"/><Relationship Id="rId288" Type="http://schemas.openxmlformats.org/officeDocument/2006/relationships/hyperlink" Target="http://discuss.jiucaishuo.com/?/invest/showData/search_gu-sz399673" TargetMode="External"/><Relationship Id="rId106" Type="http://schemas.openxmlformats.org/officeDocument/2006/relationships/hyperlink" Target="http://discuss.jiucaishuo.com/?/invest/showData/search_gu-si801034" TargetMode="External"/><Relationship Id="rId127" Type="http://schemas.openxmlformats.org/officeDocument/2006/relationships/hyperlink" Target="http://discuss.jiucaishuo.com/?/invest/showData/search_gu-si801213" TargetMode="External"/><Relationship Id="rId313" Type="http://schemas.openxmlformats.org/officeDocument/2006/relationships/hyperlink" Target="http://discuss.jiucaishuo.com/?/invest/showData/search_gu-sz399004" TargetMode="External"/><Relationship Id="rId10" Type="http://schemas.openxmlformats.org/officeDocument/2006/relationships/hyperlink" Target="http://discuss.jiucaishuo.com/?/invest/showData/search_gu-si801023" TargetMode="External"/><Relationship Id="rId31" Type="http://schemas.openxmlformats.org/officeDocument/2006/relationships/hyperlink" Target="http://discuss.jiucaishuo.com/?/invest/showData/search_gu-si801055" TargetMode="External"/><Relationship Id="rId52" Type="http://schemas.openxmlformats.org/officeDocument/2006/relationships/hyperlink" Target="http://discuss.jiucaishuo.com/?/invest/showData/search_gu-si801205" TargetMode="External"/><Relationship Id="rId73" Type="http://schemas.openxmlformats.org/officeDocument/2006/relationships/hyperlink" Target="http://discuss.jiucaishuo.com/?/invest/showData/search_gu-sh000001" TargetMode="External"/><Relationship Id="rId94" Type="http://schemas.openxmlformats.org/officeDocument/2006/relationships/hyperlink" Target="http://discuss.jiucaishuo.com/?/invest/showData/search_gu-sh000901" TargetMode="External"/><Relationship Id="rId148" Type="http://schemas.openxmlformats.org/officeDocument/2006/relationships/hyperlink" Target="http://discuss.jiucaishuo.com/?/invest/showData/search_gu-csi930641" TargetMode="External"/><Relationship Id="rId169" Type="http://schemas.openxmlformats.org/officeDocument/2006/relationships/hyperlink" Target="http://discuss.jiucaishuo.com/?/invest/showData/search_gu-sz399417" TargetMode="External"/><Relationship Id="rId334" Type="http://schemas.openxmlformats.org/officeDocument/2006/relationships/hyperlink" Target="http://discuss.jiucaishuo.com/?/invest/showData/search_gu-spisphcmshp" TargetMode="External"/><Relationship Id="rId355" Type="http://schemas.openxmlformats.org/officeDocument/2006/relationships/hyperlink" Target="http://discuss.jiucaishuo.com/?/invest/showData/search_gu-sh000036" TargetMode="External"/><Relationship Id="rId4" Type="http://schemas.openxmlformats.org/officeDocument/2006/relationships/hyperlink" Target="http://discuss.jiucaishuo.com/?/invest/showData/search_gu-si801177" TargetMode="External"/><Relationship Id="rId180" Type="http://schemas.openxmlformats.org/officeDocument/2006/relationships/hyperlink" Target="http://discuss.jiucaishuo.com/?/invest/showData/search_gu-si801073" TargetMode="External"/><Relationship Id="rId215" Type="http://schemas.openxmlformats.org/officeDocument/2006/relationships/hyperlink" Target="http://discuss.jiucaishuo.com/?/invest/showData/search_gu-csi930713" TargetMode="External"/><Relationship Id="rId236" Type="http://schemas.openxmlformats.org/officeDocument/2006/relationships/hyperlink" Target="http://discuss.jiucaishuo.com/?/invest/showData/search_gu-si801713" TargetMode="External"/><Relationship Id="rId257" Type="http://schemas.openxmlformats.org/officeDocument/2006/relationships/hyperlink" Target="http://discuss.jiucaishuo.com/?/invest/showData/search_gu-csi930652" TargetMode="External"/><Relationship Id="rId278" Type="http://schemas.openxmlformats.org/officeDocument/2006/relationships/hyperlink" Target="http://discuss.jiucaishuo.com/?/invest/showData/search_gu-si801770" TargetMode="External"/><Relationship Id="rId303" Type="http://schemas.openxmlformats.org/officeDocument/2006/relationships/hyperlink" Target="http://discuss.jiucaishuo.com/?/invest/showData/search_gu-sz399976" TargetMode="External"/><Relationship Id="rId42" Type="http://schemas.openxmlformats.org/officeDocument/2006/relationships/hyperlink" Target="http://discuss.jiucaishuo.com/?/invest/showData/search_gu-csih30263" TargetMode="External"/><Relationship Id="rId84" Type="http://schemas.openxmlformats.org/officeDocument/2006/relationships/hyperlink" Target="http://discuss.jiucaishuo.com/?/invest/showData/search_gu-sh000904" TargetMode="External"/><Relationship Id="rId138" Type="http://schemas.openxmlformats.org/officeDocument/2006/relationships/hyperlink" Target="http://discuss.jiucaishuo.com/?/invest/showData/search_gu-sh000018" TargetMode="External"/><Relationship Id="rId345" Type="http://schemas.openxmlformats.org/officeDocument/2006/relationships/hyperlink" Target="http://discuss.jiucaishuo.com/?/invest/showData/search_gu-sz399997" TargetMode="External"/><Relationship Id="rId191" Type="http://schemas.openxmlformats.org/officeDocument/2006/relationships/hyperlink" Target="http://discuss.jiucaishuo.com/?/invest/showData/search_gu-csi930720" TargetMode="External"/><Relationship Id="rId205" Type="http://schemas.openxmlformats.org/officeDocument/2006/relationships/hyperlink" Target="http://discuss.jiucaishuo.com/?/invest/showData/search_gu-csi930659" TargetMode="External"/><Relationship Id="rId247" Type="http://schemas.openxmlformats.org/officeDocument/2006/relationships/hyperlink" Target="http://discuss.jiucaishuo.com/?/invest/showData/search_gu-si801210" TargetMode="External"/><Relationship Id="rId107" Type="http://schemas.openxmlformats.org/officeDocument/2006/relationships/hyperlink" Target="http://discuss.jiucaishuo.com/?/invest/showData/search_gu-si801033" TargetMode="External"/><Relationship Id="rId289" Type="http://schemas.openxmlformats.org/officeDocument/2006/relationships/hyperlink" Target="http://discuss.jiucaishuo.com/?/invest/showData/search_gu-sz399804" TargetMode="External"/><Relationship Id="rId11" Type="http://schemas.openxmlformats.org/officeDocument/2006/relationships/hyperlink" Target="http://discuss.jiucaishuo.com/?/invest/showData/search_gu-sh000066" TargetMode="External"/><Relationship Id="rId53" Type="http://schemas.openxmlformats.org/officeDocument/2006/relationships/hyperlink" Target="http://discuss.jiucaishuo.com/?/invest/showData/search_gu-sz399995" TargetMode="External"/><Relationship Id="rId149" Type="http://schemas.openxmlformats.org/officeDocument/2006/relationships/hyperlink" Target="http://discuss.jiucaishuo.com/?/invest/showData/search_gu-si801170" TargetMode="External"/><Relationship Id="rId314" Type="http://schemas.openxmlformats.org/officeDocument/2006/relationships/hyperlink" Target="http://discuss.jiucaishuo.com/?/invest/showData/search_gu-si801014" TargetMode="External"/><Relationship Id="rId356" Type="http://schemas.openxmlformats.org/officeDocument/2006/relationships/hyperlink" Target="http://discuss.jiucaishuo.com/?/invest/showData/search_gu-gidji" TargetMode="External"/><Relationship Id="rId95" Type="http://schemas.openxmlformats.org/officeDocument/2006/relationships/hyperlink" Target="http://discuss.jiucaishuo.com/?/invest/showData/search_gu-sh000063" TargetMode="External"/><Relationship Id="rId160" Type="http://schemas.openxmlformats.org/officeDocument/2006/relationships/hyperlink" Target="http://discuss.jiucaishuo.com/?/invest/showData/search_gu-csi930793" TargetMode="External"/><Relationship Id="rId216" Type="http://schemas.openxmlformats.org/officeDocument/2006/relationships/hyperlink" Target="http://discuss.jiucaishuo.com/?/invest/showData/search_gu-sz399313" TargetMode="External"/><Relationship Id="rId258" Type="http://schemas.openxmlformats.org/officeDocument/2006/relationships/hyperlink" Target="http://discuss.jiucaishuo.com/?/invest/showData/search_gu-si801151" TargetMode="External"/><Relationship Id="rId22" Type="http://schemas.openxmlformats.org/officeDocument/2006/relationships/hyperlink" Target="http://discuss.jiucaishuo.com/?/invest/showData/search_gu-si801076" TargetMode="External"/><Relationship Id="rId64" Type="http://schemas.openxmlformats.org/officeDocument/2006/relationships/hyperlink" Target="http://discuss.jiucaishuo.com/?/invest/showData/search_gu-sh000905" TargetMode="External"/><Relationship Id="rId118" Type="http://schemas.openxmlformats.org/officeDocument/2006/relationships/hyperlink" Target="http://discuss.jiucaishuo.com/?/invest/showData/search_gu-sz399624" TargetMode="External"/><Relationship Id="rId325" Type="http://schemas.openxmlformats.org/officeDocument/2006/relationships/hyperlink" Target="http://discuss.jiucaishuo.com/?/invest/showData/search_gu-si801153" TargetMode="External"/><Relationship Id="rId171" Type="http://schemas.openxmlformats.org/officeDocument/2006/relationships/hyperlink" Target="http://discuss.jiucaishuo.com/?/invest/showData/search_gu-si801037" TargetMode="External"/><Relationship Id="rId227" Type="http://schemas.openxmlformats.org/officeDocument/2006/relationships/hyperlink" Target="http://discuss.jiucaishuo.com/?/invest/showData/search_gu-sh000816" TargetMode="External"/><Relationship Id="rId269" Type="http://schemas.openxmlformats.org/officeDocument/2006/relationships/hyperlink" Target="http://discuss.jiucaishuo.com/?/invest/showData/search_gu-csih30035" TargetMode="External"/><Relationship Id="rId33" Type="http://schemas.openxmlformats.org/officeDocument/2006/relationships/hyperlink" Target="http://discuss.jiucaishuo.com/?/invest/showData/search_gu-sh000979" TargetMode="External"/><Relationship Id="rId129" Type="http://schemas.openxmlformats.org/officeDocument/2006/relationships/hyperlink" Target="http://discuss.jiucaishuo.com/?/invest/showData/search_gu-si801143" TargetMode="External"/><Relationship Id="rId280" Type="http://schemas.openxmlformats.org/officeDocument/2006/relationships/hyperlink" Target="http://discuss.jiucaishuo.com/?/invest/showData/search_gu-si801194" TargetMode="External"/><Relationship Id="rId336" Type="http://schemas.openxmlformats.org/officeDocument/2006/relationships/hyperlink" Target="http://discuss.jiucaishuo.com/?/invest/showData/search_gu-si801174" TargetMode="External"/><Relationship Id="rId75" Type="http://schemas.openxmlformats.org/officeDocument/2006/relationships/hyperlink" Target="http://discuss.jiucaishuo.com/?/invest/showData/search_gu-sh000984" TargetMode="External"/><Relationship Id="rId140" Type="http://schemas.openxmlformats.org/officeDocument/2006/relationships/hyperlink" Target="http://discuss.jiucaishuo.com/?/invest/showData/search_gu-si801231" TargetMode="External"/><Relationship Id="rId182" Type="http://schemas.openxmlformats.org/officeDocument/2006/relationships/hyperlink" Target="http://discuss.jiucaishuo.com/?/invest/showData/search_gu-sz399975" TargetMode="External"/><Relationship Id="rId6" Type="http://schemas.openxmlformats.org/officeDocument/2006/relationships/hyperlink" Target="http://discuss.jiucaishuo.com/?/invest/showData/search_gu-si801725" TargetMode="External"/><Relationship Id="rId238" Type="http://schemas.openxmlformats.org/officeDocument/2006/relationships/hyperlink" Target="http://discuss.jiucaishuo.com/?/invest/showData/search_gu-si801223" TargetMode="External"/><Relationship Id="rId291" Type="http://schemas.openxmlformats.org/officeDocument/2006/relationships/hyperlink" Target="http://discuss.jiucaishuo.com/?/invest/showData/search_gu-sz399006" TargetMode="External"/><Relationship Id="rId305" Type="http://schemas.openxmlformats.org/officeDocument/2006/relationships/hyperlink" Target="http://discuss.jiucaishuo.com/?/invest/showData/search_gu-sz399989" TargetMode="External"/><Relationship Id="rId347" Type="http://schemas.openxmlformats.org/officeDocument/2006/relationships/hyperlink" Target="http://discuss.jiucaishuo.com/?/invest/showData/search_gu-csi930653" TargetMode="External"/><Relationship Id="rId44" Type="http://schemas.openxmlformats.org/officeDocument/2006/relationships/hyperlink" Target="http://discuss.jiucaishuo.com/?/invest/showData/search_gu-sh000961" TargetMode="External"/><Relationship Id="rId86" Type="http://schemas.openxmlformats.org/officeDocument/2006/relationships/hyperlink" Target="http://discuss.jiucaishuo.com/?/invest/showData/search_gu-si801741" TargetMode="External"/><Relationship Id="rId151" Type="http://schemas.openxmlformats.org/officeDocument/2006/relationships/hyperlink" Target="http://discuss.jiucaishuo.com/?/invest/showData/search_gu-si801710" TargetMode="External"/><Relationship Id="rId193" Type="http://schemas.openxmlformats.org/officeDocument/2006/relationships/hyperlink" Target="http://discuss.jiucaishuo.com/?/invest/showData/search_gu-si801740" TargetMode="External"/><Relationship Id="rId207" Type="http://schemas.openxmlformats.org/officeDocument/2006/relationships/hyperlink" Target="http://discuss.jiucaishuo.com/?/invest/showData/search_gu-sh000048" TargetMode="External"/><Relationship Id="rId249" Type="http://schemas.openxmlformats.org/officeDocument/2006/relationships/hyperlink" Target="http://discuss.jiucaishuo.com/?/invest/showData/search_gu-csi930836" TargetMode="External"/><Relationship Id="rId13" Type="http://schemas.openxmlformats.org/officeDocument/2006/relationships/hyperlink" Target="http://discuss.jiucaishuo.com/?/invest/showData/search_gu-sh000944" TargetMode="External"/><Relationship Id="rId109" Type="http://schemas.openxmlformats.org/officeDocument/2006/relationships/hyperlink" Target="http://discuss.jiucaishuo.com/?/invest/showData/search_gu-si801041" TargetMode="External"/><Relationship Id="rId260" Type="http://schemas.openxmlformats.org/officeDocument/2006/relationships/hyperlink" Target="http://discuss.jiucaishuo.com/?/invest/showData/search_gu-sh000814" TargetMode="External"/><Relationship Id="rId316" Type="http://schemas.openxmlformats.org/officeDocument/2006/relationships/hyperlink" Target="http://discuss.jiucaishuo.com/?/invest/showData/search_gu-sz399324" TargetMode="External"/><Relationship Id="rId55" Type="http://schemas.openxmlformats.org/officeDocument/2006/relationships/hyperlink" Target="http://discuss.jiucaishuo.com/?/invest/showData/search_gu-si801734" TargetMode="External"/><Relationship Id="rId97" Type="http://schemas.openxmlformats.org/officeDocument/2006/relationships/hyperlink" Target="http://discuss.jiucaishuo.com/?/invest/showData/search_gu-csi930875" TargetMode="External"/><Relationship Id="rId120" Type="http://schemas.openxmlformats.org/officeDocument/2006/relationships/hyperlink" Target="http://discuss.jiucaishuo.com/?/invest/showData/search_gu-si801130" TargetMode="External"/><Relationship Id="rId162" Type="http://schemas.openxmlformats.org/officeDocument/2006/relationships/hyperlink" Target="http://discuss.jiucaishuo.com/?/invest/showData/search_gu-sh000050" TargetMode="External"/><Relationship Id="rId218" Type="http://schemas.openxmlformats.org/officeDocument/2006/relationships/hyperlink" Target="http://discuss.jiucaishuo.com/?/invest/showData/search_gu-si801211" TargetMode="External"/><Relationship Id="rId271" Type="http://schemas.openxmlformats.org/officeDocument/2006/relationships/hyperlink" Target="http://discuss.jiucaishuo.com/?/invest/showData/search_gu-sh000065" TargetMode="External"/><Relationship Id="rId24" Type="http://schemas.openxmlformats.org/officeDocument/2006/relationships/hyperlink" Target="http://discuss.jiucaishuo.com/?/invest/showData/search_gu-si801181" TargetMode="External"/><Relationship Id="rId66" Type="http://schemas.openxmlformats.org/officeDocument/2006/relationships/hyperlink" Target="http://discuss.jiucaishuo.com/?/invest/showData/search_gu-si801178" TargetMode="External"/><Relationship Id="rId131" Type="http://schemas.openxmlformats.org/officeDocument/2006/relationships/hyperlink" Target="http://discuss.jiucaishuo.com/?/invest/showData/search_gu-si801230" TargetMode="External"/><Relationship Id="rId327" Type="http://schemas.openxmlformats.org/officeDocument/2006/relationships/hyperlink" Target="http://discuss.jiucaishuo.com/?/invest/showData/search_gu-sh000069" TargetMode="External"/><Relationship Id="rId173" Type="http://schemas.openxmlformats.org/officeDocument/2006/relationships/hyperlink" Target="http://discuss.jiucaishuo.com/?/invest/showData/search_gu-si801054" TargetMode="External"/><Relationship Id="rId229" Type="http://schemas.openxmlformats.org/officeDocument/2006/relationships/hyperlink" Target="http://discuss.jiucaishuo.com/?/invest/showData/search_gu-csih30588" TargetMode="External"/><Relationship Id="rId240" Type="http://schemas.openxmlformats.org/officeDocument/2006/relationships/hyperlink" Target="http://discuss.jiucaishuo.com/?/invest/showData/search_gu-si801743" TargetMode="External"/><Relationship Id="rId35" Type="http://schemas.openxmlformats.org/officeDocument/2006/relationships/hyperlink" Target="http://discuss.jiucaishuo.com/?/invest/showData/search_gu-si801191" TargetMode="External"/><Relationship Id="rId77" Type="http://schemas.openxmlformats.org/officeDocument/2006/relationships/hyperlink" Target="http://discuss.jiucaishuo.com/?/invest/showData/search_gu-sz399802" TargetMode="External"/><Relationship Id="rId100" Type="http://schemas.openxmlformats.org/officeDocument/2006/relationships/hyperlink" Target="http://discuss.jiucaishuo.com/?/invest/showData/search_gu-si801040" TargetMode="External"/><Relationship Id="rId282" Type="http://schemas.openxmlformats.org/officeDocument/2006/relationships/hyperlink" Target="http://discuss.jiucaishuo.com/?/invest/showData/search_gu-sz399337" TargetMode="External"/><Relationship Id="rId338" Type="http://schemas.openxmlformats.org/officeDocument/2006/relationships/hyperlink" Target="http://discuss.jiucaishuo.com/?/invest/showData/search_gu-sh000828" TargetMode="External"/><Relationship Id="rId8" Type="http://schemas.openxmlformats.org/officeDocument/2006/relationships/hyperlink" Target="http://discuss.jiucaishuo.com/?/invest/showData/search_gu-si801163" TargetMode="External"/><Relationship Id="rId142" Type="http://schemas.openxmlformats.org/officeDocument/2006/relationships/hyperlink" Target="http://discuss.jiucaishuo.com/?/invest/showData/search_gu-sh000846" TargetMode="External"/><Relationship Id="rId184" Type="http://schemas.openxmlformats.org/officeDocument/2006/relationships/hyperlink" Target="http://discuss.jiucaishuo.com/?/invest/showData/search_gu-si801082" TargetMode="External"/><Relationship Id="rId251" Type="http://schemas.openxmlformats.org/officeDocument/2006/relationships/hyperlink" Target="http://discuss.jiucaishuo.com/?/invest/showData/search_gu-sz39900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R351"/>
  <sheetViews>
    <sheetView zoomScale="116" workbookViewId="0">
      <pane xSplit="1" topLeftCell="B1" activePane="topRight" state="frozen"/>
      <selection pane="topRight" activeCell="B18" sqref="B18"/>
    </sheetView>
  </sheetViews>
  <sheetFormatPr baseColWidth="10" defaultRowHeight="16" x14ac:dyDescent="0.2"/>
  <cols>
    <col min="1" max="1" width="17.5" customWidth="1"/>
    <col min="3" max="3" width="20.6640625" bestFit="1" customWidth="1"/>
    <col min="4" max="4" width="13.6640625" style="2" bestFit="1" customWidth="1"/>
    <col min="5" max="5" width="19.6640625" style="89" customWidth="1"/>
    <col min="6" max="6" width="15" style="3" customWidth="1"/>
    <col min="7" max="7" width="21" style="91" customWidth="1"/>
    <col min="8" max="8" width="25.83203125" style="92" customWidth="1"/>
    <col min="9" max="9" width="25.33203125" style="92" customWidth="1"/>
    <col min="10" max="10" width="21" style="92" customWidth="1"/>
    <col min="11" max="11" width="21.6640625" style="2" customWidth="1"/>
    <col min="12" max="12" width="13.6640625" style="78" bestFit="1" customWidth="1"/>
    <col min="13" max="13" width="19.6640625" style="30" customWidth="1"/>
    <col min="14" max="14" width="10.83203125" style="7" customWidth="1"/>
    <col min="15" max="15" width="21.83203125" style="96" customWidth="1"/>
    <col min="16" max="16" width="19.33203125" style="78" customWidth="1"/>
    <col min="17" max="17" width="16.6640625" customWidth="1"/>
    <col min="18" max="18" width="18.6640625" customWidth="1"/>
    <col min="19" max="19" width="23.6640625" style="99" customWidth="1"/>
    <col min="20" max="20" width="12.6640625" bestFit="1" customWidth="1"/>
    <col min="21" max="21" width="15.1640625" customWidth="1"/>
    <col min="22" max="22" width="19.1640625" style="99" customWidth="1"/>
    <col min="23" max="24" width="20.33203125" bestFit="1" customWidth="1"/>
    <col min="25" max="28" width="20.33203125" customWidth="1"/>
    <col min="29" max="29" width="20.33203125" style="117" customWidth="1"/>
    <col min="30" max="32" width="24.5" style="117" customWidth="1"/>
    <col min="33" max="33" width="10.83203125" customWidth="1"/>
    <col min="34" max="34" width="10.83203125" style="99" customWidth="1"/>
    <col min="35" max="35" width="10.83203125" style="101" customWidth="1"/>
    <col min="36" max="39" width="10.83203125" customWidth="1"/>
  </cols>
  <sheetData>
    <row r="1" spans="1:122" s="127" customFormat="1" x14ac:dyDescent="0.2">
      <c r="A1" t="s">
        <v>0</v>
      </c>
      <c r="C1" s="127" t="s">
        <v>1</v>
      </c>
      <c r="D1" s="4" t="s">
        <v>2</v>
      </c>
      <c r="E1" s="28" t="s">
        <v>3</v>
      </c>
      <c r="F1" s="6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4" t="s">
        <v>9</v>
      </c>
      <c r="L1" s="8" t="s">
        <v>10</v>
      </c>
      <c r="M1" s="31" t="s">
        <v>11</v>
      </c>
      <c r="N1" s="10" t="s">
        <v>12</v>
      </c>
      <c r="O1" s="9" t="s">
        <v>13</v>
      </c>
      <c r="P1" s="8" t="s">
        <v>14</v>
      </c>
      <c r="Q1" s="127" t="s">
        <v>15</v>
      </c>
      <c r="R1" s="127" t="s">
        <v>16</v>
      </c>
      <c r="S1" s="69" t="s">
        <v>17</v>
      </c>
      <c r="T1" s="127" t="s">
        <v>18</v>
      </c>
      <c r="U1" s="68" t="s">
        <v>19</v>
      </c>
      <c r="V1" s="69" t="s">
        <v>20</v>
      </c>
      <c r="W1" s="127" t="s">
        <v>21</v>
      </c>
      <c r="X1" s="127" t="s">
        <v>22</v>
      </c>
      <c r="Y1" s="127" t="s">
        <v>23</v>
      </c>
      <c r="Z1" s="127" t="s">
        <v>24</v>
      </c>
      <c r="AA1" s="127" t="s">
        <v>25</v>
      </c>
      <c r="AB1" s="127" t="s">
        <v>26</v>
      </c>
      <c r="AC1" s="69" t="s">
        <v>27</v>
      </c>
      <c r="AD1" s="127" t="s">
        <v>28</v>
      </c>
      <c r="AE1" s="69"/>
      <c r="AF1" s="69"/>
      <c r="AH1" s="69"/>
      <c r="AI1" s="71"/>
    </row>
    <row r="2" spans="1:122" s="128" customFormat="1" x14ac:dyDescent="0.2">
      <c r="A2" s="33" t="s">
        <v>29</v>
      </c>
      <c r="B2" s="128" t="s">
        <v>30</v>
      </c>
      <c r="C2" s="137">
        <v>9.520222632508732</v>
      </c>
      <c r="D2" s="19">
        <v>6.939849715900098</v>
      </c>
      <c r="E2" s="29">
        <v>0.27104123676660952</v>
      </c>
      <c r="F2" s="19">
        <v>15.11080165085712</v>
      </c>
      <c r="G2" s="39">
        <v>0.58723196233439112</v>
      </c>
      <c r="H2" s="21">
        <v>-5.4640105956306417E-2</v>
      </c>
      <c r="I2" s="21">
        <v>4.7676808964696393E-2</v>
      </c>
      <c r="J2" s="21">
        <v>0.19732664302740849</v>
      </c>
      <c r="K2" s="19">
        <v>2.177396092056044</v>
      </c>
      <c r="L2" s="22">
        <v>8.3126460343122606</v>
      </c>
      <c r="M2" s="32">
        <v>0.12684331499485699</v>
      </c>
      <c r="N2" s="34">
        <v>15.11080165085712</v>
      </c>
      <c r="O2" s="24">
        <v>0.58723196233439112</v>
      </c>
      <c r="P2" s="25">
        <v>1.817808864768689</v>
      </c>
      <c r="Q2" s="35">
        <v>0.133457488349468</v>
      </c>
      <c r="R2" s="35">
        <v>0.146635743650923</v>
      </c>
      <c r="S2" s="36">
        <v>3.8258719805649953E-2</v>
      </c>
      <c r="T2">
        <v>2714.29</v>
      </c>
      <c r="U2" s="117">
        <f>C2*S2</f>
        <v>0.36423153018455878</v>
      </c>
      <c r="V2" s="117">
        <f>(1+S2)*Q2*(1-U2)+S2</f>
        <v>0.12635296123323952</v>
      </c>
      <c r="W2" s="117">
        <f>V2+I2/3</f>
        <v>0.14224523088813831</v>
      </c>
      <c r="X2" s="117">
        <f>V2+I2/5</f>
        <v>0.13588832302617881</v>
      </c>
      <c r="Y2" s="117">
        <f>V2-E2</f>
        <v>-0.14468827553336999</v>
      </c>
      <c r="Z2" s="100"/>
      <c r="AA2" s="100"/>
      <c r="AB2" s="100">
        <f>SUM(Z2:Z324)</f>
        <v>46.900000000000006</v>
      </c>
      <c r="AC2" s="117">
        <f>SUM(AA2:AA325)/AB2</f>
        <v>0.24211806197425312</v>
      </c>
      <c r="AD2" s="76">
        <f>AB2*AC2</f>
        <v>11.355337106592472</v>
      </c>
      <c r="AE2" s="117"/>
      <c r="AF2" s="117"/>
      <c r="AH2" s="27"/>
      <c r="AI2" s="58"/>
      <c r="AJ2" s="27"/>
      <c r="AK2" s="27"/>
      <c r="AM2" s="70"/>
      <c r="AN2" s="37"/>
      <c r="AO2" s="37"/>
      <c r="AP2" s="37"/>
      <c r="AS2" s="37"/>
      <c r="AU2" s="37"/>
      <c r="AW2" s="37"/>
      <c r="AX2" s="37"/>
      <c r="AY2" s="37"/>
      <c r="AZ2" s="37"/>
      <c r="BB2" s="37"/>
      <c r="BC2" s="37"/>
      <c r="BD2" s="37"/>
      <c r="BE2" s="37"/>
      <c r="BH2" s="37"/>
      <c r="BI2" s="37"/>
      <c r="BJ2" s="37"/>
      <c r="BL2" s="37"/>
      <c r="BM2" s="37"/>
      <c r="BN2" s="37"/>
      <c r="BO2" s="37"/>
      <c r="BQ2" s="37"/>
      <c r="BR2" s="37"/>
      <c r="BS2" s="37"/>
      <c r="BT2" s="37"/>
      <c r="BV2" s="37"/>
      <c r="BW2" s="37"/>
      <c r="BX2" s="37"/>
      <c r="BY2" s="37"/>
      <c r="CA2" s="37"/>
      <c r="CB2" s="37"/>
      <c r="CC2" s="37"/>
      <c r="CD2" s="37"/>
      <c r="CF2" s="37"/>
      <c r="CG2" s="37"/>
      <c r="CH2" s="37"/>
      <c r="CI2" s="37"/>
      <c r="CK2" s="37"/>
      <c r="CL2" s="37"/>
      <c r="CM2" s="37"/>
      <c r="CN2" s="37"/>
      <c r="CP2" s="37"/>
      <c r="CQ2" s="37"/>
      <c r="CR2" s="37"/>
      <c r="CS2" s="37"/>
      <c r="CU2" s="37"/>
      <c r="CV2" s="37"/>
      <c r="CW2" s="37"/>
      <c r="CX2" s="37"/>
      <c r="CZ2" s="37"/>
      <c r="DA2" s="37"/>
      <c r="DB2" s="37"/>
      <c r="DC2" s="37"/>
      <c r="DE2" s="37"/>
      <c r="DF2" s="37"/>
      <c r="DG2" s="37"/>
      <c r="DH2" s="37"/>
      <c r="DL2" s="37"/>
      <c r="DM2" s="37"/>
      <c r="DP2" s="37"/>
      <c r="DQ2" s="37"/>
      <c r="DR2" s="37"/>
    </row>
    <row r="3" spans="1:122" s="128" customFormat="1" x14ac:dyDescent="0.2">
      <c r="A3" s="128" t="s">
        <v>31</v>
      </c>
      <c r="B3" s="128" t="s">
        <v>32</v>
      </c>
      <c r="C3" s="137">
        <v>10.92656697586942</v>
      </c>
      <c r="D3" s="19">
        <v>9.5787429802287409</v>
      </c>
      <c r="E3" s="29">
        <v>0.12335292490470801</v>
      </c>
      <c r="F3" s="19">
        <v>19.700504109630259</v>
      </c>
      <c r="G3" s="39">
        <v>0.80299120054244622</v>
      </c>
      <c r="H3" s="21">
        <v>-1.1821639317305951E-2</v>
      </c>
      <c r="I3" s="21">
        <v>0.10274300865998499</v>
      </c>
      <c r="J3" s="21">
        <v>0.27877025924588011</v>
      </c>
      <c r="K3" s="19">
        <v>2.0566899174864179</v>
      </c>
      <c r="L3" s="22">
        <v>9.7078798746182056</v>
      </c>
      <c r="M3" s="32">
        <v>0.1115343093528466</v>
      </c>
      <c r="N3" s="34">
        <v>16.33489868140774</v>
      </c>
      <c r="O3" s="24">
        <v>0.49497080990600678</v>
      </c>
      <c r="P3" s="25">
        <v>1.6826432642740301</v>
      </c>
      <c r="Q3" s="26"/>
      <c r="S3" s="27">
        <v>2.940905198301591E-2</v>
      </c>
      <c r="U3" s="117">
        <f>C3*S3</f>
        <v>0.32133997618924875</v>
      </c>
      <c r="V3" s="117">
        <f>(1+S3)*R2*(1-U3)+S3</f>
        <v>0.13185153510410902</v>
      </c>
      <c r="W3" s="117">
        <f>V3+I3/3</f>
        <v>0.16609920465743735</v>
      </c>
      <c r="X3" s="117">
        <f>V3+I3/5</f>
        <v>0.15240013683610601</v>
      </c>
      <c r="Y3" s="117">
        <f>V3-E3</f>
        <v>8.4986101994010133E-3</v>
      </c>
      <c r="Z3" s="100"/>
      <c r="AA3" s="100"/>
      <c r="AB3" s="100"/>
      <c r="AC3" s="117"/>
      <c r="AD3" s="117"/>
      <c r="AE3" s="117"/>
      <c r="AF3" s="117"/>
      <c r="AH3" s="27"/>
      <c r="AI3" s="58"/>
    </row>
    <row r="4" spans="1:122" s="128" customFormat="1" x14ac:dyDescent="0.2">
      <c r="A4" s="128" t="s">
        <v>33</v>
      </c>
      <c r="B4" s="128" t="s">
        <v>34</v>
      </c>
      <c r="C4" s="136">
        <v>1.270545001062376</v>
      </c>
      <c r="D4" s="19">
        <v>1.0300199192207911</v>
      </c>
      <c r="E4" s="29">
        <v>0.18930858933801489</v>
      </c>
      <c r="F4" s="20">
        <v>2.0671196675417169</v>
      </c>
      <c r="G4" s="39">
        <v>0.62695509864922516</v>
      </c>
      <c r="H4" s="21">
        <v>-7.3321145860248071E-2</v>
      </c>
      <c r="I4" s="21">
        <v>-1.186488150631171E-2</v>
      </c>
      <c r="J4" s="21">
        <v>0.1052724325166894</v>
      </c>
      <c r="K4" s="19">
        <v>2.0068734875588539</v>
      </c>
      <c r="L4" s="22">
        <v>1.0300199192207911</v>
      </c>
      <c r="M4" s="32">
        <v>0.18930858933801489</v>
      </c>
      <c r="N4" s="23">
        <v>1.648165222279163</v>
      </c>
      <c r="O4" s="24">
        <v>0.29721121322034061</v>
      </c>
      <c r="P4" s="25">
        <v>1.600129464997142</v>
      </c>
      <c r="Q4" s="26"/>
      <c r="S4" s="27"/>
      <c r="V4" s="99"/>
      <c r="W4" s="117">
        <f>V2+I4/3</f>
        <v>0.12239800073113562</v>
      </c>
      <c r="X4" s="117">
        <f>V2+I4/5</f>
        <v>0.12397998493197718</v>
      </c>
      <c r="Y4" s="117">
        <f>V2-E4</f>
        <v>-6.2955628104775369E-2</v>
      </c>
      <c r="Z4" s="100"/>
      <c r="AA4" s="100"/>
      <c r="AB4" s="100"/>
      <c r="AC4" s="117"/>
      <c r="AD4" s="117"/>
      <c r="AE4" s="117"/>
      <c r="AF4" s="117"/>
      <c r="AH4" s="27"/>
      <c r="AI4" s="58"/>
    </row>
    <row r="5" spans="1:122" s="128" customFormat="1" x14ac:dyDescent="0.2">
      <c r="A5" s="128">
        <v>2.4900000000000002</v>
      </c>
      <c r="B5" s="128" t="s">
        <v>35</v>
      </c>
      <c r="C5" s="136">
        <v>1.6022252740582299</v>
      </c>
      <c r="D5" s="19">
        <v>1.2170029590777101</v>
      </c>
      <c r="E5" s="29">
        <v>0.24042955832596599</v>
      </c>
      <c r="F5" s="20">
        <v>2.7850346587304942</v>
      </c>
      <c r="G5" s="39">
        <v>0.73822913907503174</v>
      </c>
      <c r="H5" s="21">
        <v>-0.1306083959298284</v>
      </c>
      <c r="I5" s="21">
        <v>-5.9913133915261207E-2</v>
      </c>
      <c r="J5" s="21">
        <v>2.557579346717875E-2</v>
      </c>
      <c r="K5" s="19">
        <v>2.2884370477135869</v>
      </c>
      <c r="L5" s="22">
        <v>1.2170029590777101</v>
      </c>
      <c r="M5" s="32">
        <v>0.24042955832596599</v>
      </c>
      <c r="N5" s="23">
        <v>1.7363964254725419</v>
      </c>
      <c r="O5" s="24">
        <v>8.3740503652444342E-2</v>
      </c>
      <c r="P5" s="25">
        <v>1.4267807752813091</v>
      </c>
      <c r="S5" s="27"/>
      <c r="V5" s="99"/>
      <c r="W5" s="117">
        <f>V3+I5/3</f>
        <v>0.11188049046568861</v>
      </c>
      <c r="X5" s="117">
        <f>V3+I5/5</f>
        <v>0.11986890832105677</v>
      </c>
      <c r="Y5" s="117">
        <f>V3-E5</f>
        <v>-0.10857802322185697</v>
      </c>
      <c r="Z5" s="100"/>
      <c r="AA5" s="100"/>
      <c r="AB5" s="100"/>
      <c r="AC5" s="117"/>
      <c r="AD5" s="117"/>
      <c r="AE5" s="117"/>
      <c r="AF5" s="117"/>
      <c r="AH5" s="27"/>
      <c r="AI5" s="58"/>
    </row>
    <row r="6" spans="1:122" x14ac:dyDescent="0.2">
      <c r="C6" s="1"/>
      <c r="D6" s="88"/>
      <c r="K6" s="88"/>
      <c r="L6" s="93"/>
      <c r="M6" s="94"/>
      <c r="N6" s="95"/>
      <c r="P6" s="97"/>
    </row>
    <row r="7" spans="1:122" s="128" customFormat="1" x14ac:dyDescent="0.2">
      <c r="A7" s="33" t="s">
        <v>36</v>
      </c>
      <c r="B7" s="128" t="s">
        <v>30</v>
      </c>
      <c r="C7" s="137">
        <v>11.75772578884165</v>
      </c>
      <c r="D7" s="19">
        <v>8.0113078417958494</v>
      </c>
      <c r="E7" s="29">
        <v>0.31863457392425631</v>
      </c>
      <c r="F7" s="20">
        <v>19.012193294815351</v>
      </c>
      <c r="G7" s="39">
        <v>0.61699580652394181</v>
      </c>
      <c r="H7" s="21">
        <v>-8.1990904278164245E-2</v>
      </c>
      <c r="I7" s="21">
        <v>5.1137080413170548E-2</v>
      </c>
      <c r="J7" s="21">
        <v>0.19752790649918989</v>
      </c>
      <c r="K7" s="19">
        <v>2.3731697333644708</v>
      </c>
      <c r="L7" s="22">
        <v>10.07994741101024</v>
      </c>
      <c r="M7" s="32">
        <v>0.14269582468266581</v>
      </c>
      <c r="N7" s="23">
        <v>17.627887230268911</v>
      </c>
      <c r="O7" s="24">
        <v>0.49925993741053021</v>
      </c>
      <c r="P7" s="25">
        <v>1.7488074601474719</v>
      </c>
      <c r="Q7" s="26">
        <v>0.11789946621980769</v>
      </c>
      <c r="R7" s="26">
        <v>0.1114607534272416</v>
      </c>
      <c r="S7" s="27">
        <v>2.9676657080364831E-2</v>
      </c>
      <c r="T7">
        <v>4034.51</v>
      </c>
      <c r="U7" s="117">
        <f>C7*S7</f>
        <v>0.34892999628041577</v>
      </c>
      <c r="V7" s="117">
        <f>(1+S7)*Q7*(1-U7)+S7</f>
        <v>0.10871546710484348</v>
      </c>
      <c r="W7" s="117">
        <f>V7+I7/3</f>
        <v>0.12576116057590034</v>
      </c>
      <c r="X7" s="117">
        <f>V7+I7/5</f>
        <v>0.11894288318747759</v>
      </c>
      <c r="Y7" s="117">
        <f>V7-E7</f>
        <v>-0.20991910681941284</v>
      </c>
      <c r="Z7" s="100"/>
      <c r="AA7" s="100"/>
      <c r="AB7" s="100"/>
      <c r="AC7" s="117"/>
      <c r="AD7" s="117"/>
      <c r="AE7" s="117"/>
      <c r="AF7" s="117"/>
      <c r="AH7" s="27"/>
      <c r="AI7" s="58"/>
    </row>
    <row r="8" spans="1:122" s="128" customFormat="1" ht="17" customHeight="1" x14ac:dyDescent="0.2">
      <c r="A8" s="128" t="s">
        <v>37</v>
      </c>
      <c r="B8" s="129" t="s">
        <v>32</v>
      </c>
      <c r="C8" s="138">
        <v>15.889017920580811</v>
      </c>
      <c r="D8" s="19">
        <v>13.653231384206659</v>
      </c>
      <c r="E8" s="29">
        <v>0.14071269524330859</v>
      </c>
      <c r="F8" s="20">
        <v>36.412826033477693</v>
      </c>
      <c r="G8" s="39">
        <v>1.291697713193003</v>
      </c>
      <c r="H8" s="21">
        <v>2.690833799858483E-2</v>
      </c>
      <c r="I8" s="21">
        <v>0.17383240136790759</v>
      </c>
      <c r="J8" s="21">
        <v>0.45289704065703013</v>
      </c>
      <c r="K8" s="19">
        <v>2.6669749459895731</v>
      </c>
      <c r="L8" s="22">
        <v>13.653231384206659</v>
      </c>
      <c r="M8" s="32">
        <v>0.14071269524330859</v>
      </c>
      <c r="N8" s="23">
        <v>23.381562583269488</v>
      </c>
      <c r="O8" s="24">
        <v>0.47155492555544881</v>
      </c>
      <c r="P8" s="25">
        <v>1.7125295781858689</v>
      </c>
      <c r="Q8" s="26"/>
      <c r="R8" s="26"/>
      <c r="S8" s="27">
        <v>2.0404506442483369E-2</v>
      </c>
      <c r="U8" s="117">
        <f>C8*S8</f>
        <v>0.32420756852522487</v>
      </c>
      <c r="V8" s="117">
        <f>(1+S8)*R7*(1-U8)+S8</f>
        <v>9.7265795864747359E-2</v>
      </c>
      <c r="W8" s="117">
        <f>V8+I8/3</f>
        <v>0.15520992965404989</v>
      </c>
      <c r="X8" s="117">
        <f>V8+I8/5</f>
        <v>0.13203227613832888</v>
      </c>
      <c r="Y8" s="117">
        <f>V8-E8</f>
        <v>-4.3446899378561235E-2</v>
      </c>
      <c r="Z8" s="100"/>
      <c r="AA8" s="100"/>
      <c r="AB8" s="100"/>
      <c r="AC8" s="117"/>
      <c r="AD8" s="117"/>
      <c r="AE8" s="117"/>
      <c r="AF8" s="117"/>
      <c r="AH8" s="27"/>
      <c r="AI8" s="58"/>
    </row>
    <row r="9" spans="1:122" s="128" customFormat="1" x14ac:dyDescent="0.2">
      <c r="A9" s="128" t="s">
        <v>38</v>
      </c>
      <c r="B9" s="128" t="s">
        <v>34</v>
      </c>
      <c r="C9" s="137">
        <v>1.386229594463297</v>
      </c>
      <c r="D9" s="19">
        <v>1.1700668855884571</v>
      </c>
      <c r="E9" s="29">
        <v>0.15593571926195379</v>
      </c>
      <c r="F9" s="20">
        <v>2.5300079959330972</v>
      </c>
      <c r="G9" s="39">
        <v>0.82510026191774744</v>
      </c>
      <c r="H9" s="21">
        <v>-1.4269802586894141E-2</v>
      </c>
      <c r="I9" s="21">
        <v>8.439653596324459E-2</v>
      </c>
      <c r="J9" s="21">
        <v>0.2139386261962983</v>
      </c>
      <c r="K9" s="19">
        <v>2.1622763853031279</v>
      </c>
      <c r="L9" s="22">
        <v>1.203285238026119</v>
      </c>
      <c r="M9" s="32">
        <v>0.13197262355952519</v>
      </c>
      <c r="N9" s="23">
        <v>1.9228494318563301</v>
      </c>
      <c r="O9" s="24">
        <v>0.38710747450229871</v>
      </c>
      <c r="P9" s="25">
        <v>1.597999685436672</v>
      </c>
      <c r="Q9" s="26"/>
      <c r="R9" s="26"/>
      <c r="S9" s="27"/>
      <c r="V9" s="99"/>
      <c r="W9" s="117">
        <f>V7+I9/3</f>
        <v>0.13684764575925834</v>
      </c>
      <c r="X9" s="117">
        <f>V7+I9/5</f>
        <v>0.12559477429749238</v>
      </c>
      <c r="Y9" s="117">
        <f>V7-E9</f>
        <v>-4.7220252157110315E-2</v>
      </c>
      <c r="Z9" s="100"/>
      <c r="AA9" s="100"/>
      <c r="AB9" s="100"/>
      <c r="AC9" s="117"/>
      <c r="AD9" s="117"/>
      <c r="AE9" s="117"/>
      <c r="AF9" s="117"/>
      <c r="AH9" s="27"/>
      <c r="AI9" s="58"/>
    </row>
    <row r="10" spans="1:122" s="128" customFormat="1" x14ac:dyDescent="0.2">
      <c r="A10" s="128">
        <v>2.66</v>
      </c>
      <c r="B10" s="128" t="s">
        <v>35</v>
      </c>
      <c r="C10" s="137">
        <v>1.771001908646882</v>
      </c>
      <c r="D10" s="19">
        <v>1.476537426433681</v>
      </c>
      <c r="E10" s="29">
        <v>0.16626999709909041</v>
      </c>
      <c r="F10" s="20">
        <v>4.0147653158652021</v>
      </c>
      <c r="G10" s="39">
        <v>1.266945787163295</v>
      </c>
      <c r="H10" s="21">
        <v>-4.0417361004378087E-2</v>
      </c>
      <c r="I10" s="21">
        <v>7.1591743303311528E-2</v>
      </c>
      <c r="J10" s="21">
        <v>0.26808302495096231</v>
      </c>
      <c r="K10" s="19">
        <v>2.7190406717709612</v>
      </c>
      <c r="L10" s="22">
        <v>1.476537426433681</v>
      </c>
      <c r="M10" s="32">
        <v>0.16626999709909041</v>
      </c>
      <c r="N10" s="23">
        <v>2.1671395312559372</v>
      </c>
      <c r="O10" s="24">
        <v>0.22367995239018179</v>
      </c>
      <c r="P10" s="25">
        <v>1.467717304322103</v>
      </c>
      <c r="Q10" s="26"/>
      <c r="R10" s="26"/>
      <c r="S10" s="27"/>
      <c r="V10" s="99"/>
      <c r="W10" s="117">
        <f>V8+I10/3</f>
        <v>0.12112971029918454</v>
      </c>
      <c r="X10" s="117">
        <f>V8+I10/5</f>
        <v>0.11158414452540967</v>
      </c>
      <c r="Y10" s="117">
        <f>V8-E10</f>
        <v>-6.9004201234343046E-2</v>
      </c>
      <c r="Z10" s="100"/>
      <c r="AA10" s="100"/>
      <c r="AB10" s="100"/>
      <c r="AC10" s="117"/>
      <c r="AD10" s="117"/>
      <c r="AE10" s="117"/>
      <c r="AF10" s="117"/>
      <c r="AH10" s="27"/>
      <c r="AI10" s="58"/>
    </row>
    <row r="11" spans="1:122" x14ac:dyDescent="0.2">
      <c r="C11" s="1"/>
      <c r="D11" s="88"/>
      <c r="K11" s="88"/>
      <c r="L11" s="93"/>
      <c r="M11" s="94"/>
      <c r="N11" s="95"/>
      <c r="P11" s="97"/>
      <c r="Q11" s="98"/>
      <c r="R11" s="98"/>
    </row>
    <row r="12" spans="1:122" s="128" customFormat="1" x14ac:dyDescent="0.2">
      <c r="A12" s="128" t="s">
        <v>39</v>
      </c>
      <c r="B12" s="128" t="s">
        <v>30</v>
      </c>
      <c r="C12" s="138">
        <v>15.71457428461909</v>
      </c>
      <c r="D12" s="19">
        <v>11.947378390326589</v>
      </c>
      <c r="E12" s="29">
        <v>0.23972624558972039</v>
      </c>
      <c r="F12" s="20">
        <v>52.148504094287382</v>
      </c>
      <c r="G12" s="39">
        <v>2.318480230503515</v>
      </c>
      <c r="H12" s="21">
        <v>3.263912724688955E-3</v>
      </c>
      <c r="I12" s="21">
        <v>0.21724386153849859</v>
      </c>
      <c r="J12" s="21">
        <v>0.53144325087523692</v>
      </c>
      <c r="K12" s="19">
        <v>4.3648491234286473</v>
      </c>
      <c r="L12" s="22">
        <v>11.947378390326589</v>
      </c>
      <c r="M12" s="32">
        <v>0.23972624558972039</v>
      </c>
      <c r="N12" s="23">
        <v>23.385004790958909</v>
      </c>
      <c r="O12" s="24">
        <v>0.4881093415204627</v>
      </c>
      <c r="P12" s="25">
        <v>1.9573335695045031</v>
      </c>
      <c r="Q12" s="26">
        <v>9.7349492593303846E-2</v>
      </c>
      <c r="R12" s="26">
        <v>9.5918442467843812E-2</v>
      </c>
      <c r="S12" s="27">
        <v>2.4111125257058729E-2</v>
      </c>
      <c r="T12" s="128">
        <v>4727.6099999999997</v>
      </c>
      <c r="U12" s="36">
        <f>C12*S12</f>
        <v>0.37889606893780498</v>
      </c>
      <c r="V12" s="36">
        <f>(1+S12)*Q12*(1-U12)+S12</f>
        <v>8.6033136549041919E-2</v>
      </c>
      <c r="W12" s="36">
        <f>V12+I12/3</f>
        <v>0.15844775706187478</v>
      </c>
      <c r="X12" s="36">
        <f>V12+I12/5</f>
        <v>0.12948190885674163</v>
      </c>
      <c r="Y12" s="36">
        <f>V12-E12</f>
        <v>-0.15369310904067846</v>
      </c>
      <c r="Z12" s="75"/>
      <c r="AA12" s="75"/>
      <c r="AB12" s="75"/>
      <c r="AC12" s="36"/>
      <c r="AD12" s="36"/>
      <c r="AE12" s="36"/>
      <c r="AF12" s="36"/>
      <c r="AH12" s="27"/>
      <c r="AI12" s="58"/>
    </row>
    <row r="13" spans="1:122" s="128" customFormat="1" ht="17" customHeight="1" x14ac:dyDescent="0.2">
      <c r="A13" s="128" t="s">
        <v>40</v>
      </c>
      <c r="B13" s="128" t="s">
        <v>32</v>
      </c>
      <c r="C13" s="138">
        <v>20.306702359535191</v>
      </c>
      <c r="D13" s="19">
        <v>15.10157721677782</v>
      </c>
      <c r="E13" s="29">
        <v>0.25632547572714381</v>
      </c>
      <c r="F13" s="20">
        <v>53.605641972148312</v>
      </c>
      <c r="G13" s="39">
        <v>1.639800447312771</v>
      </c>
      <c r="H13" s="21">
        <v>2.275869994704971E-3</v>
      </c>
      <c r="I13" s="21">
        <v>0.19314260978641681</v>
      </c>
      <c r="J13" s="21">
        <v>0.4911594342151937</v>
      </c>
      <c r="K13" s="19">
        <v>3.5496717463784222</v>
      </c>
      <c r="L13" s="22">
        <v>15.10157721677782</v>
      </c>
      <c r="M13" s="32">
        <v>0.25632547572714381</v>
      </c>
      <c r="N13" s="23">
        <v>35.090853191099129</v>
      </c>
      <c r="O13" s="24">
        <v>0.72804291754549255</v>
      </c>
      <c r="P13" s="25">
        <v>2.3236548532237591</v>
      </c>
      <c r="Q13" s="26"/>
      <c r="R13" s="26"/>
      <c r="S13" s="27">
        <v>1.7154011290699551E-2</v>
      </c>
      <c r="U13" s="36">
        <f>C13*S13</f>
        <v>0.34834140155234189</v>
      </c>
      <c r="V13" s="36">
        <f>(1+S13)*R12*(1-U13)+S13</f>
        <v>8.0732319038618966E-2</v>
      </c>
      <c r="W13" s="36">
        <f>V13+I13/3</f>
        <v>0.14511318896742459</v>
      </c>
      <c r="X13" s="36">
        <f>V13+I13/5</f>
        <v>0.11936084099590233</v>
      </c>
      <c r="Y13" s="36">
        <f>V13-E13</f>
        <v>-0.17559315668852485</v>
      </c>
      <c r="Z13" s="75"/>
      <c r="AA13" s="75"/>
      <c r="AB13" s="75"/>
      <c r="AC13" s="36"/>
      <c r="AD13" s="36"/>
      <c r="AE13" s="36"/>
      <c r="AF13" s="36"/>
      <c r="AH13" s="27"/>
      <c r="AI13" s="58"/>
    </row>
    <row r="14" spans="1:122" s="128" customFormat="1" x14ac:dyDescent="0.2">
      <c r="A14" s="128" t="s">
        <v>41</v>
      </c>
      <c r="B14" s="128" t="s">
        <v>34</v>
      </c>
      <c r="C14" s="138">
        <v>1.5298058329274491</v>
      </c>
      <c r="D14" s="19">
        <v>1.3257916926837781</v>
      </c>
      <c r="E14" s="29">
        <v>0.1333594995211044</v>
      </c>
      <c r="F14" s="20">
        <v>5.0054537740712783</v>
      </c>
      <c r="G14" s="39">
        <v>2.2719536468839321</v>
      </c>
      <c r="H14" s="21">
        <v>0.12995816234390009</v>
      </c>
      <c r="I14" s="21">
        <v>0.33263812824996308</v>
      </c>
      <c r="J14" s="21">
        <v>0.46071215340269628</v>
      </c>
      <c r="K14" s="19">
        <v>3.7754451183344049</v>
      </c>
      <c r="L14" s="22">
        <v>1.3257916926837781</v>
      </c>
      <c r="M14" s="32">
        <v>0.1333594995211044</v>
      </c>
      <c r="N14" s="23">
        <v>2.3406505546082572</v>
      </c>
      <c r="O14" s="24">
        <v>0.53003113482001107</v>
      </c>
      <c r="P14" s="25">
        <v>1.7654738429308729</v>
      </c>
      <c r="Q14" s="26"/>
      <c r="R14" s="26"/>
      <c r="S14" s="27"/>
      <c r="V14" s="27"/>
      <c r="W14" s="36">
        <f>V12+I14/3</f>
        <v>0.19691251263236295</v>
      </c>
      <c r="X14" s="36">
        <f>V12+I14/5</f>
        <v>0.15256076219903453</v>
      </c>
      <c r="Y14" s="36">
        <f>V12-E14</f>
        <v>-4.7326362972062483E-2</v>
      </c>
      <c r="Z14" s="75"/>
      <c r="AA14" s="75"/>
      <c r="AB14" s="75"/>
      <c r="AC14" s="36"/>
      <c r="AD14" s="36"/>
      <c r="AE14" s="36"/>
      <c r="AF14" s="36"/>
      <c r="AH14" s="27"/>
      <c r="AI14" s="58"/>
    </row>
    <row r="15" spans="1:122" s="128" customFormat="1" x14ac:dyDescent="0.2">
      <c r="A15" s="128">
        <v>2.93</v>
      </c>
      <c r="B15" s="128" t="s">
        <v>35</v>
      </c>
      <c r="C15" s="137">
        <v>1.9477872619847041</v>
      </c>
      <c r="D15" s="19">
        <v>1.5079600040526071</v>
      </c>
      <c r="E15" s="29">
        <v>0.22580867352214509</v>
      </c>
      <c r="F15" s="20">
        <v>4.8625173315656216</v>
      </c>
      <c r="G15" s="39">
        <v>1.4964314257866871</v>
      </c>
      <c r="H15" s="21">
        <v>-4.7702984068100578E-2</v>
      </c>
      <c r="I15" s="21">
        <v>0.1021847012010071</v>
      </c>
      <c r="J15" s="21">
        <v>0.29145440923475602</v>
      </c>
      <c r="K15" s="19">
        <v>3.2245665127043952</v>
      </c>
      <c r="L15" s="22">
        <v>1.5079600040526071</v>
      </c>
      <c r="M15" s="32">
        <v>0.22580867352214509</v>
      </c>
      <c r="N15" s="23">
        <v>2.585111291218686</v>
      </c>
      <c r="O15" s="24">
        <v>0.32720412627844092</v>
      </c>
      <c r="P15" s="25">
        <v>1.714310249788628</v>
      </c>
      <c r="Q15" s="26"/>
      <c r="R15" s="26"/>
      <c r="S15" s="27"/>
      <c r="V15" s="27"/>
      <c r="W15" s="36">
        <f>V13+I15/3</f>
        <v>0.11479388610562133</v>
      </c>
      <c r="X15" s="36">
        <f>V13+I15/5</f>
        <v>0.10116925927882039</v>
      </c>
      <c r="Y15" s="36">
        <f>V13-E15</f>
        <v>-0.14507635448352613</v>
      </c>
      <c r="Z15" s="75"/>
      <c r="AA15" s="75"/>
      <c r="AB15" s="75"/>
      <c r="AC15" s="36"/>
      <c r="AD15" s="36"/>
      <c r="AE15" s="36"/>
      <c r="AF15" s="36"/>
      <c r="AH15" s="27"/>
      <c r="AI15" s="58"/>
    </row>
    <row r="16" spans="1:122" x14ac:dyDescent="0.2">
      <c r="C16" s="1"/>
      <c r="D16" s="88"/>
      <c r="K16" s="88"/>
      <c r="L16" s="93"/>
      <c r="M16" s="94"/>
      <c r="N16" s="95"/>
      <c r="P16" s="97"/>
      <c r="Q16" s="98"/>
      <c r="R16" s="98"/>
    </row>
    <row r="17" spans="1:35" s="128" customFormat="1" x14ac:dyDescent="0.2">
      <c r="A17" s="128" t="s">
        <v>42</v>
      </c>
      <c r="B17" s="128" t="s">
        <v>30</v>
      </c>
      <c r="C17" s="137">
        <v>24.028995183704669</v>
      </c>
      <c r="D17" s="19">
        <v>15.70277159982329</v>
      </c>
      <c r="E17" s="29">
        <v>0.34650735581019371</v>
      </c>
      <c r="F17" s="20">
        <v>81.439281257481966</v>
      </c>
      <c r="G17" s="39">
        <v>2.3892087719385882</v>
      </c>
      <c r="H17" s="21">
        <v>-7.2978993817926718E-2</v>
      </c>
      <c r="I17" s="21">
        <v>0.19778150007681419</v>
      </c>
      <c r="J17" s="21">
        <v>0.73604574878539042</v>
      </c>
      <c r="K17" s="19">
        <v>5.1862998031760483</v>
      </c>
      <c r="L17" s="22">
        <v>15.70277159982329</v>
      </c>
      <c r="M17" s="32">
        <v>0.34650735581019371</v>
      </c>
      <c r="N17" s="23">
        <v>34.517626473914817</v>
      </c>
      <c r="O17" s="24">
        <v>0.43649895511748432</v>
      </c>
      <c r="P17" s="25">
        <v>2.1981868776785412</v>
      </c>
      <c r="Q17" s="26">
        <v>7.4294440765151279E-2</v>
      </c>
      <c r="R17" s="26">
        <v>5.7932182477996703E-2</v>
      </c>
      <c r="S17" s="27">
        <v>1.770098031454672E-2</v>
      </c>
      <c r="T17" s="128">
        <v>6237.41</v>
      </c>
      <c r="U17" s="117">
        <f>C17*S17</f>
        <v>0.42533677072509429</v>
      </c>
      <c r="V17" s="117">
        <f>(1+S17)*Q17*(1-U17)+S17</f>
        <v>6.1150994229125448E-2</v>
      </c>
      <c r="W17" s="102">
        <f>V17+I17/3</f>
        <v>0.12707816092139684</v>
      </c>
      <c r="X17" s="117">
        <f>V17+I17/5</f>
        <v>0.10070729424448829</v>
      </c>
      <c r="Y17" s="117">
        <f>V17-E17</f>
        <v>-0.28535636158106825</v>
      </c>
      <c r="Z17" s="100">
        <v>15.6</v>
      </c>
      <c r="AA17" s="76">
        <f>Z17*E19</f>
        <v>2.9831452421216533</v>
      </c>
      <c r="AB17" s="100"/>
      <c r="AC17" s="117"/>
      <c r="AD17" s="36"/>
      <c r="AE17" s="117"/>
      <c r="AF17" s="117"/>
      <c r="AH17" s="27"/>
      <c r="AI17" s="58"/>
    </row>
    <row r="18" spans="1:35" s="128" customFormat="1" x14ac:dyDescent="0.2">
      <c r="A18" s="128" t="s">
        <v>43</v>
      </c>
      <c r="B18" s="129" t="s">
        <v>32</v>
      </c>
      <c r="C18" s="137">
        <v>28.03564621731585</v>
      </c>
      <c r="D18" s="19">
        <v>16.888933452988141</v>
      </c>
      <c r="E18" s="29">
        <v>0.39759071996860512</v>
      </c>
      <c r="F18" s="20">
        <v>144.153146997768</v>
      </c>
      <c r="G18" s="39">
        <v>4.1417807843763459</v>
      </c>
      <c r="H18" s="21">
        <v>-0.1173104642848878</v>
      </c>
      <c r="I18" s="21">
        <v>0.1041734426143706</v>
      </c>
      <c r="J18" s="21">
        <v>0.55902266686775515</v>
      </c>
      <c r="K18" s="19">
        <v>8.535361181866886</v>
      </c>
      <c r="L18" s="22">
        <v>16.888933452988141</v>
      </c>
      <c r="M18" s="32">
        <v>0.39759071996860512</v>
      </c>
      <c r="N18" s="23">
        <v>144.153146997768</v>
      </c>
      <c r="O18" s="24">
        <v>4.1417807843763459</v>
      </c>
      <c r="P18" s="25">
        <v>8.535361181866886</v>
      </c>
      <c r="Q18" s="26"/>
      <c r="R18" s="26"/>
      <c r="S18" s="27">
        <v>1.8469080537199381E-2</v>
      </c>
      <c r="U18" s="117">
        <f>C18*S18</f>
        <v>0.51779260790003567</v>
      </c>
      <c r="V18" s="117">
        <f>(1+S18)*R17*(1-U18)+S18</f>
        <v>4.6920346965961243E-2</v>
      </c>
      <c r="W18" s="117">
        <f>V18+I18/3</f>
        <v>8.164482783741811E-2</v>
      </c>
      <c r="X18" s="117">
        <f>V18+I18/5</f>
        <v>6.7755035488835366E-2</v>
      </c>
      <c r="Y18" s="117">
        <f>V18-E18</f>
        <v>-0.35067037300264386</v>
      </c>
      <c r="Z18" s="100"/>
      <c r="AA18" s="117">
        <f>AA17/($AB$2)</f>
        <v>6.3606508360802838E-2</v>
      </c>
      <c r="AB18" s="100"/>
      <c r="AC18" s="117"/>
      <c r="AD18" s="117"/>
      <c r="AE18" s="117"/>
      <c r="AF18" s="117"/>
      <c r="AH18" s="27"/>
      <c r="AI18" s="58"/>
    </row>
    <row r="19" spans="1:35" s="128" customFormat="1" x14ac:dyDescent="0.2">
      <c r="A19" s="128" t="s">
        <v>41</v>
      </c>
      <c r="B19" s="128" t="s">
        <v>34</v>
      </c>
      <c r="C19" s="138">
        <v>1.7852207593218521</v>
      </c>
      <c r="D19" s="19">
        <v>1.443837886609814</v>
      </c>
      <c r="E19" s="29">
        <v>0.1912272591103624</v>
      </c>
      <c r="F19" s="20">
        <v>5.8649034951687788</v>
      </c>
      <c r="G19" s="39">
        <v>2.2852539186227401</v>
      </c>
      <c r="H19" s="21">
        <v>2.6074446105405661E-2</v>
      </c>
      <c r="I19" s="21">
        <v>0.25448973845224288</v>
      </c>
      <c r="J19" s="21">
        <v>0.59873520699894045</v>
      </c>
      <c r="K19" s="19">
        <v>4.0620235481836486</v>
      </c>
      <c r="L19" s="22">
        <v>1.443837886609814</v>
      </c>
      <c r="M19" s="32">
        <v>0.1912272591103624</v>
      </c>
      <c r="N19" s="23">
        <v>2.4775434820952582</v>
      </c>
      <c r="O19" s="24">
        <v>0.38780790507746321</v>
      </c>
      <c r="P19" s="25">
        <v>1.7159429774436961</v>
      </c>
      <c r="Q19" s="26"/>
      <c r="R19" s="26"/>
      <c r="S19" s="27"/>
      <c r="V19" s="99"/>
      <c r="W19" s="102">
        <f>V17+I19/3</f>
        <v>0.14598090704653974</v>
      </c>
      <c r="X19" s="117">
        <f>V17+I19/5</f>
        <v>0.11204894191957401</v>
      </c>
      <c r="Y19" s="117">
        <f>V17-E19</f>
        <v>-0.13007626488123694</v>
      </c>
      <c r="Z19" s="100"/>
      <c r="AA19" s="100"/>
      <c r="AB19" s="100"/>
      <c r="AC19" s="117"/>
      <c r="AD19" s="117"/>
      <c r="AE19" s="117"/>
      <c r="AF19" s="117"/>
      <c r="AH19" s="27"/>
      <c r="AI19" s="58"/>
    </row>
    <row r="20" spans="1:35" s="128" customFormat="1" x14ac:dyDescent="0.2">
      <c r="A20" s="128">
        <v>3.41</v>
      </c>
      <c r="B20" s="128" t="s">
        <v>35</v>
      </c>
      <c r="C20" s="137">
        <v>1.6241661725501</v>
      </c>
      <c r="D20" s="19">
        <v>1.3458261773678111</v>
      </c>
      <c r="E20" s="29">
        <v>0.171374087138675</v>
      </c>
      <c r="F20" s="20">
        <v>5.4856633546702636</v>
      </c>
      <c r="G20" s="39">
        <v>2.3775259252304441</v>
      </c>
      <c r="H20" s="21">
        <v>-3.5277805567923698E-4</v>
      </c>
      <c r="I20" s="21">
        <v>0.22706474901556389</v>
      </c>
      <c r="J20" s="21">
        <v>0.67520274044099193</v>
      </c>
      <c r="K20" s="19">
        <v>4.076056363682282</v>
      </c>
      <c r="L20" s="22">
        <v>1.3458261773678111</v>
      </c>
      <c r="M20" s="32">
        <v>0.171374087138675</v>
      </c>
      <c r="N20" s="23">
        <v>2.2976998511906541</v>
      </c>
      <c r="O20" s="24">
        <v>0.41469505400610579</v>
      </c>
      <c r="P20" s="25">
        <v>1.707278317088863</v>
      </c>
      <c r="Q20" s="26"/>
      <c r="R20" s="26"/>
      <c r="S20" s="27"/>
      <c r="T20" s="58">
        <f>T17/C19</f>
        <v>3493.9152300522155</v>
      </c>
      <c r="U20" s="58"/>
      <c r="V20" s="58">
        <f>T17/C17</f>
        <v>259.57847809757425</v>
      </c>
      <c r="W20" s="117">
        <f>V18+I20/3</f>
        <v>0.12260859663781587</v>
      </c>
      <c r="X20" s="117">
        <f>V18+I20/5</f>
        <v>9.2333296769074022E-2</v>
      </c>
      <c r="Y20" s="117">
        <f>V18-E20</f>
        <v>-0.12445374017271375</v>
      </c>
      <c r="Z20" s="100"/>
      <c r="AA20" s="100"/>
      <c r="AB20" s="100"/>
      <c r="AC20" s="117"/>
      <c r="AD20" s="117"/>
      <c r="AE20" s="117"/>
      <c r="AF20" s="117"/>
      <c r="AH20" s="27"/>
      <c r="AI20" s="58"/>
    </row>
    <row r="21" spans="1:35" x14ac:dyDescent="0.2">
      <c r="C21" s="1"/>
      <c r="D21" s="88"/>
      <c r="K21" s="88"/>
      <c r="L21" s="93"/>
      <c r="M21" s="94"/>
      <c r="N21" s="95"/>
      <c r="P21" s="97"/>
      <c r="Q21" s="98"/>
      <c r="R21" s="98"/>
    </row>
    <row r="22" spans="1:35" s="128" customFormat="1" x14ac:dyDescent="0.2">
      <c r="A22" s="33" t="s">
        <v>44</v>
      </c>
      <c r="B22" s="128" t="s">
        <v>30</v>
      </c>
      <c r="C22" s="138">
        <v>15.70440405830424</v>
      </c>
      <c r="D22" s="19">
        <v>12.67892556129514</v>
      </c>
      <c r="E22" s="29">
        <v>0.19265159542359511</v>
      </c>
      <c r="F22" s="20">
        <v>66.311789511073457</v>
      </c>
      <c r="G22" s="39">
        <v>3.2224963943161442</v>
      </c>
      <c r="H22" s="21">
        <v>0.42147509056408999</v>
      </c>
      <c r="I22" s="21">
        <v>0.76581210976116765</v>
      </c>
      <c r="J22" s="21">
        <v>1.141436842911645</v>
      </c>
      <c r="K22" s="19">
        <v>5.2300795671127638</v>
      </c>
      <c r="L22" s="22">
        <v>12.67892556129514</v>
      </c>
      <c r="M22" s="32">
        <v>0.19265159542359511</v>
      </c>
      <c r="N22" s="23">
        <v>39.548081719730817</v>
      </c>
      <c r="O22" s="24">
        <v>1.518279685934242</v>
      </c>
      <c r="P22" s="25">
        <v>3.1191981945582952</v>
      </c>
      <c r="Q22" s="26">
        <v>0.26992262997134753</v>
      </c>
      <c r="R22" s="26">
        <v>0.26589576286328098</v>
      </c>
      <c r="S22" s="27">
        <v>7.242459718218925E-3</v>
      </c>
      <c r="T22" s="128">
        <v>1304</v>
      </c>
      <c r="U22" s="36">
        <f>C22*S22</f>
        <v>0.11373851379090227</v>
      </c>
      <c r="V22" s="36">
        <f>(1+S22)*Q22*(1-U22)+S22</f>
        <v>0.24819704684276936</v>
      </c>
      <c r="W22" s="117">
        <f>V22+I22/3</f>
        <v>0.50346775009649192</v>
      </c>
      <c r="X22" s="36">
        <f>V22+I22/5</f>
        <v>0.40135946879500289</v>
      </c>
      <c r="Y22" s="117">
        <f>V22-E22</f>
        <v>5.5545451419174247E-2</v>
      </c>
      <c r="Z22" s="75">
        <v>6</v>
      </c>
      <c r="AA22" s="76">
        <f>Z22*E25</f>
        <v>1.5780813041113049</v>
      </c>
      <c r="AB22" s="75"/>
      <c r="AC22" s="36"/>
      <c r="AD22" s="36"/>
      <c r="AE22" s="36"/>
      <c r="AF22" s="36"/>
      <c r="AH22" s="27"/>
      <c r="AI22" s="58"/>
    </row>
    <row r="23" spans="1:35" s="128" customFormat="1" x14ac:dyDescent="0.2">
      <c r="A23" s="128" t="s">
        <v>45</v>
      </c>
      <c r="B23" s="128" t="s">
        <v>32</v>
      </c>
      <c r="C23" s="138">
        <v>11.231490130838379</v>
      </c>
      <c r="D23" s="19">
        <v>10.45905808375754</v>
      </c>
      <c r="E23" s="29">
        <v>6.8773781402341916E-2</v>
      </c>
      <c r="F23" s="20">
        <v>69.705807200024637</v>
      </c>
      <c r="G23" s="39">
        <v>5.2062830833669107</v>
      </c>
      <c r="H23" s="21">
        <v>0.50351931224562385</v>
      </c>
      <c r="I23" s="21">
        <v>1.1015706831337779</v>
      </c>
      <c r="J23" s="21">
        <v>2.0435384266290102</v>
      </c>
      <c r="K23" s="19">
        <v>6.6646352512636602</v>
      </c>
      <c r="L23" s="22">
        <v>10.45905808375754</v>
      </c>
      <c r="M23" s="32">
        <v>6.8773781402341916E-2</v>
      </c>
      <c r="N23" s="23">
        <v>26.14656464580813</v>
      </c>
      <c r="O23" s="24">
        <v>1.327969338103884</v>
      </c>
      <c r="P23" s="25">
        <v>2.4998966863385719</v>
      </c>
      <c r="Q23" s="26"/>
      <c r="R23" s="26"/>
      <c r="S23" s="27">
        <v>1.329857959391551E-2</v>
      </c>
      <c r="U23" s="36">
        <f>C23*S23</f>
        <v>0.14936286546323072</v>
      </c>
      <c r="V23" s="72">
        <f>(1+S23)*R22*(1-U23)+S23</f>
        <v>0.24248727290324631</v>
      </c>
      <c r="W23" s="102">
        <f>V23+I23/3</f>
        <v>0.60967750061450565</v>
      </c>
      <c r="X23" s="36">
        <f>V23+I23/5</f>
        <v>0.46280140953000193</v>
      </c>
      <c r="Y23" s="117">
        <f>V23-E23</f>
        <v>0.1737134915009044</v>
      </c>
      <c r="Z23" s="75"/>
      <c r="AA23" s="117">
        <f>AA22/($AB$2)</f>
        <v>3.3647789000241041E-2</v>
      </c>
      <c r="AB23" s="75"/>
      <c r="AC23" s="36"/>
      <c r="AD23" s="36"/>
      <c r="AE23" s="36"/>
      <c r="AF23" s="36"/>
      <c r="AH23" s="27"/>
      <c r="AI23" s="58"/>
    </row>
    <row r="24" spans="1:35" s="128" customFormat="1" x14ac:dyDescent="0.2">
      <c r="A24" s="128" t="s">
        <v>46</v>
      </c>
      <c r="B24" s="128" t="s">
        <v>34</v>
      </c>
      <c r="C24" s="138">
        <v>4.238974045550183</v>
      </c>
      <c r="D24" s="19">
        <v>2.681475065659082</v>
      </c>
      <c r="E24" s="29">
        <v>0.36742357069302378</v>
      </c>
      <c r="F24" s="20">
        <v>10.88760150475712</v>
      </c>
      <c r="G24" s="39">
        <v>1.568452032912601</v>
      </c>
      <c r="H24" s="21">
        <v>4.4203754918279207E-2</v>
      </c>
      <c r="I24" s="21">
        <v>0.33913036948250208</v>
      </c>
      <c r="J24" s="21">
        <v>0.54314991224125397</v>
      </c>
      <c r="K24" s="19">
        <v>4.0603030936933386</v>
      </c>
      <c r="L24" s="22">
        <v>2.681475065659082</v>
      </c>
      <c r="M24" s="32">
        <v>0.36742357069302378</v>
      </c>
      <c r="N24" s="23">
        <v>9.005152818519365</v>
      </c>
      <c r="O24" s="24">
        <v>1.12437083165735</v>
      </c>
      <c r="P24" s="25">
        <v>3.35828325754205</v>
      </c>
      <c r="Q24" s="26"/>
      <c r="R24" s="26"/>
      <c r="S24" s="27"/>
      <c r="V24" s="27"/>
      <c r="W24" s="77">
        <f>V22+I24/3</f>
        <v>0.36124050333693669</v>
      </c>
      <c r="X24" s="36">
        <f>V22+I24/5</f>
        <v>0.31602312073926975</v>
      </c>
      <c r="Y24" s="117">
        <f>V22-E24</f>
        <v>-0.11922652385025442</v>
      </c>
      <c r="Z24" s="75"/>
      <c r="AA24" s="75"/>
      <c r="AB24" s="75"/>
      <c r="AC24" s="36"/>
      <c r="AD24" s="36"/>
      <c r="AE24" s="36"/>
      <c r="AF24" s="36"/>
      <c r="AH24" s="27"/>
      <c r="AI24" s="58"/>
    </row>
    <row r="25" spans="1:35" s="128" customFormat="1" x14ac:dyDescent="0.2">
      <c r="A25" s="128">
        <v>4.3</v>
      </c>
      <c r="B25" s="128" t="s">
        <v>35</v>
      </c>
      <c r="C25" s="138">
        <v>2.9864056364306819</v>
      </c>
      <c r="D25" s="19">
        <v>2.2009404862067021</v>
      </c>
      <c r="E25" s="29">
        <v>0.26301355068521748</v>
      </c>
      <c r="F25" s="20">
        <v>10.278523292838459</v>
      </c>
      <c r="G25" s="39">
        <v>2.441770658162576</v>
      </c>
      <c r="H25" s="21">
        <v>6.0999176342783963E-2</v>
      </c>
      <c r="I25" s="21">
        <v>0.33591273471222621</v>
      </c>
      <c r="J25" s="21">
        <v>0.80388523658695132</v>
      </c>
      <c r="K25" s="19">
        <v>4.6700596209911076</v>
      </c>
      <c r="L25" s="22">
        <v>2.2009404862067021</v>
      </c>
      <c r="M25" s="32">
        <v>0.26301355068521748</v>
      </c>
      <c r="N25" s="23">
        <v>4.9340033336218356</v>
      </c>
      <c r="O25" s="24">
        <v>0.65215444058661109</v>
      </c>
      <c r="P25" s="25">
        <v>2.241770445199788</v>
      </c>
      <c r="Q25" s="26"/>
      <c r="R25" s="26"/>
      <c r="S25" s="27"/>
      <c r="T25" s="58">
        <f>T22/C25</f>
        <v>436.64530500904289</v>
      </c>
      <c r="U25" s="58"/>
      <c r="V25" s="58">
        <f>T22/C23</f>
        <v>116.10213647604945</v>
      </c>
      <c r="W25" s="102">
        <f>V23+I25/3</f>
        <v>0.35445818447398836</v>
      </c>
      <c r="X25" s="36">
        <f>V23+I25/5</f>
        <v>0.30966981984569153</v>
      </c>
      <c r="Y25" s="117">
        <f>V23-E25</f>
        <v>-2.0526277781971164E-2</v>
      </c>
      <c r="Z25" s="75"/>
      <c r="AA25" s="75"/>
      <c r="AB25" s="75"/>
      <c r="AC25" s="36"/>
      <c r="AD25" s="36"/>
      <c r="AE25" s="36"/>
      <c r="AF25" s="36"/>
      <c r="AH25" s="27"/>
      <c r="AI25" s="58"/>
    </row>
    <row r="26" spans="1:35" x14ac:dyDescent="0.2">
      <c r="C26" s="1"/>
      <c r="D26" s="88"/>
      <c r="K26" s="88"/>
      <c r="L26" s="93"/>
      <c r="M26" s="94"/>
      <c r="N26" s="95"/>
      <c r="P26" s="97"/>
      <c r="Q26" s="98"/>
      <c r="R26" s="98"/>
    </row>
    <row r="27" spans="1:35" s="128" customFormat="1" x14ac:dyDescent="0.2">
      <c r="A27" s="33" t="s">
        <v>47</v>
      </c>
      <c r="B27" s="128" t="s">
        <v>30</v>
      </c>
      <c r="C27" s="137">
        <v>17.692334460025609</v>
      </c>
      <c r="D27" s="19">
        <v>11.449873725778369</v>
      </c>
      <c r="E27" s="29">
        <v>0.3528342033297851</v>
      </c>
      <c r="F27" s="20">
        <v>31.15689497399638</v>
      </c>
      <c r="G27" s="39">
        <v>0.76103922545624747</v>
      </c>
      <c r="H27" s="21">
        <v>-0.1995044426370487</v>
      </c>
      <c r="I27" s="21">
        <v>2.617191662401552E-2</v>
      </c>
      <c r="J27" s="21">
        <v>0.20411451369792011</v>
      </c>
      <c r="K27" s="19">
        <v>2.72115620837367</v>
      </c>
      <c r="L27" s="22">
        <v>12.94996265421991</v>
      </c>
      <c r="M27" s="32">
        <v>0.26804669652389301</v>
      </c>
      <c r="N27" s="23">
        <v>25.104418907594241</v>
      </c>
      <c r="O27" s="24">
        <v>0.41894326971466839</v>
      </c>
      <c r="P27" s="25">
        <v>1.9385707571452839</v>
      </c>
      <c r="Q27" s="26">
        <v>9.4501102238568183E-2</v>
      </c>
      <c r="R27" s="26">
        <v>1.2709619368723999E-2</v>
      </c>
      <c r="S27" s="27">
        <v>2.1953769181949311E-2</v>
      </c>
      <c r="T27" s="128">
        <v>5054.7731999999996</v>
      </c>
      <c r="U27" s="117">
        <f>C27*S27</f>
        <v>0.38841342702525006</v>
      </c>
      <c r="V27" s="117">
        <f>(1+S27)*Q27*(1-U27)+S27</f>
        <v>8.1018205819990072E-2</v>
      </c>
      <c r="W27" s="117">
        <f>V27+I27/3</f>
        <v>8.9742178027995251E-2</v>
      </c>
      <c r="X27" s="117">
        <f>V27+I27/5</f>
        <v>8.6252589144793182E-2</v>
      </c>
      <c r="Y27" s="117">
        <f>V27-E27</f>
        <v>-0.27181599750979502</v>
      </c>
      <c r="Z27" s="100"/>
      <c r="AA27" s="100"/>
      <c r="AB27" s="100"/>
      <c r="AC27" s="117"/>
      <c r="AD27" s="117"/>
      <c r="AE27" s="117"/>
      <c r="AF27" s="117"/>
      <c r="AH27" s="27"/>
      <c r="AI27" s="58"/>
    </row>
    <row r="28" spans="1:35" s="128" customFormat="1" x14ac:dyDescent="0.2">
      <c r="A28" s="128" t="s">
        <v>48</v>
      </c>
      <c r="B28" s="128" t="s">
        <v>32</v>
      </c>
      <c r="C28" s="135">
        <v>174.10681062871981</v>
      </c>
      <c r="D28" s="19">
        <v>31.998989043667621</v>
      </c>
      <c r="E28" s="29">
        <v>0.81621058401957058</v>
      </c>
      <c r="F28" s="20">
        <v>-18.97963089795163</v>
      </c>
      <c r="G28" s="39">
        <v>-1.1090114213764179</v>
      </c>
      <c r="H28" s="21">
        <v>-0.7584557898812575</v>
      </c>
      <c r="I28" s="21">
        <v>-0.56390819771424616</v>
      </c>
      <c r="J28" s="21">
        <v>-2.2069817836560359</v>
      </c>
      <c r="K28" s="19">
        <v>-0.59313220402216327</v>
      </c>
      <c r="L28" s="22">
        <v>31.998989043667621</v>
      </c>
      <c r="M28" s="32">
        <v>0.81621058401957058</v>
      </c>
      <c r="N28" s="23">
        <v>-18.97963089795163</v>
      </c>
      <c r="O28" s="24">
        <v>-1.1090114213764179</v>
      </c>
      <c r="P28" s="25">
        <v>-0.59313220402216327</v>
      </c>
      <c r="Q28" s="26"/>
      <c r="R28" s="26"/>
      <c r="S28" s="27">
        <v>1.0363174078986039E-2</v>
      </c>
      <c r="U28" s="117">
        <f>C28*S28</f>
        <v>1.8042991868824803</v>
      </c>
      <c r="V28" s="117">
        <f>(1+S28)*R27*(1-U28)+S28</f>
        <v>3.4901702244865065E-5</v>
      </c>
      <c r="W28" s="117">
        <f>V28+I28/3</f>
        <v>-0.18793449753583719</v>
      </c>
      <c r="X28" s="117">
        <f>V28+I28/5</f>
        <v>-0.11274673784060436</v>
      </c>
      <c r="Y28" s="117">
        <f>V28-E28</f>
        <v>-0.81617568231732573</v>
      </c>
      <c r="Z28" s="100"/>
      <c r="AA28" s="100"/>
      <c r="AB28" s="100"/>
      <c r="AC28" s="117"/>
      <c r="AD28" s="117"/>
      <c r="AE28" s="117"/>
      <c r="AF28" s="117"/>
      <c r="AH28" s="27"/>
      <c r="AI28" s="58"/>
    </row>
    <row r="29" spans="1:35" s="128" customFormat="1" x14ac:dyDescent="0.2">
      <c r="A29" s="128" t="s">
        <v>49</v>
      </c>
      <c r="B29" s="128" t="s">
        <v>34</v>
      </c>
      <c r="C29" s="137">
        <v>1.6719451076458229</v>
      </c>
      <c r="D29" s="19">
        <v>1.3992811753325329</v>
      </c>
      <c r="E29" s="29">
        <v>0.1630818685771411</v>
      </c>
      <c r="F29" s="20">
        <v>3.569778766677854</v>
      </c>
      <c r="G29" s="39">
        <v>1.1351052437985061</v>
      </c>
      <c r="H29" s="21">
        <v>-2.9913854506323782E-2</v>
      </c>
      <c r="I29" s="21">
        <v>0.13069734843689651</v>
      </c>
      <c r="J29" s="21">
        <v>0.25308831485433808</v>
      </c>
      <c r="K29" s="19">
        <v>2.5511518554014079</v>
      </c>
      <c r="L29" s="22">
        <v>1.3992811753325329</v>
      </c>
      <c r="M29" s="32">
        <v>0.1630818685771411</v>
      </c>
      <c r="N29" s="23">
        <v>2.139919418311008</v>
      </c>
      <c r="O29" s="24">
        <v>0.27989813094050331</v>
      </c>
      <c r="P29" s="25">
        <v>1.5292990830112929</v>
      </c>
      <c r="Q29" s="26"/>
      <c r="R29" s="26"/>
      <c r="S29" s="27"/>
      <c r="V29" s="99"/>
      <c r="W29" s="117">
        <f>V27+I29/3</f>
        <v>0.12458398863228891</v>
      </c>
      <c r="X29" s="117">
        <f>V27+I29/5</f>
        <v>0.10715767550736938</v>
      </c>
      <c r="Y29" s="117">
        <f>V27-E29</f>
        <v>-8.2063662757151032E-2</v>
      </c>
      <c r="Z29" s="100"/>
      <c r="AA29" s="100"/>
      <c r="AB29" s="100"/>
      <c r="AC29" s="117"/>
      <c r="AD29" s="117"/>
      <c r="AE29" s="117"/>
      <c r="AF29" s="117"/>
      <c r="AH29" s="27"/>
      <c r="AI29" s="58"/>
    </row>
    <row r="30" spans="1:35" s="128" customFormat="1" x14ac:dyDescent="0.2">
      <c r="A30" s="128">
        <v>5.04</v>
      </c>
      <c r="B30" s="128" t="s">
        <v>35</v>
      </c>
      <c r="C30" s="137">
        <v>2.2128312925935378</v>
      </c>
      <c r="D30" s="19">
        <v>1.6548310653031091</v>
      </c>
      <c r="E30" s="29">
        <v>0.25216573407926968</v>
      </c>
      <c r="F30" s="20">
        <v>6.2167828588670693</v>
      </c>
      <c r="G30" s="39">
        <v>1.8094246857747209</v>
      </c>
      <c r="H30" s="21">
        <v>-4.6760929687302062E-2</v>
      </c>
      <c r="I30" s="21">
        <v>6.4963339682957866E-2</v>
      </c>
      <c r="J30" s="21">
        <v>0.46920609720366979</v>
      </c>
      <c r="K30" s="19">
        <v>3.756747736499837</v>
      </c>
      <c r="L30" s="22">
        <v>1.6548310653031091</v>
      </c>
      <c r="M30" s="32">
        <v>0.25216573407926968</v>
      </c>
      <c r="N30" s="23">
        <v>2.7214707511076468</v>
      </c>
      <c r="O30" s="24">
        <v>0.22985912220988181</v>
      </c>
      <c r="P30" s="25">
        <v>1.644561072225923</v>
      </c>
      <c r="Q30" s="26"/>
      <c r="R30" s="26"/>
      <c r="S30" s="27"/>
      <c r="V30" s="99"/>
      <c r="W30" s="117">
        <f>V28+I30/3</f>
        <v>2.1689348263230823E-2</v>
      </c>
      <c r="X30" s="117">
        <f>V28+I30/5</f>
        <v>1.3027569638836438E-2</v>
      </c>
      <c r="Y30" s="117">
        <f>V28-E30</f>
        <v>-0.25213083237702483</v>
      </c>
      <c r="Z30" s="100"/>
      <c r="AA30" s="100"/>
      <c r="AB30" s="100"/>
      <c r="AC30" s="117"/>
      <c r="AD30" s="117"/>
      <c r="AE30" s="117"/>
      <c r="AF30" s="117"/>
      <c r="AH30" s="27"/>
      <c r="AI30" s="58"/>
    </row>
    <row r="31" spans="1:35" x14ac:dyDescent="0.2">
      <c r="M31" s="94"/>
      <c r="N31" s="95"/>
      <c r="P31" s="97"/>
      <c r="Q31" s="98"/>
      <c r="R31" s="98"/>
    </row>
    <row r="32" spans="1:35" s="128" customFormat="1" x14ac:dyDescent="0.2">
      <c r="A32" s="128" t="s">
        <v>50</v>
      </c>
      <c r="B32" s="128" t="s">
        <v>30</v>
      </c>
      <c r="C32" s="138">
        <v>30.50688744963702</v>
      </c>
      <c r="D32" s="19">
        <v>23.5983360066353</v>
      </c>
      <c r="E32" s="29">
        <v>0.22645874491151721</v>
      </c>
      <c r="F32" s="20">
        <v>74.995007821874751</v>
      </c>
      <c r="G32" s="39">
        <v>1.458297587575329</v>
      </c>
      <c r="H32" s="21">
        <v>0.1044034178622624</v>
      </c>
      <c r="I32" s="21">
        <v>0.24157717286550179</v>
      </c>
      <c r="J32" s="21">
        <v>0.46667395521768767</v>
      </c>
      <c r="K32" s="19">
        <v>3.177978642256297</v>
      </c>
      <c r="L32" s="22">
        <v>23.5983360066353</v>
      </c>
      <c r="M32" s="32">
        <v>0.22645874491151721</v>
      </c>
      <c r="N32" s="23">
        <v>73.592259892094617</v>
      </c>
      <c r="O32" s="24">
        <v>1.412316235590604</v>
      </c>
      <c r="P32" s="25">
        <v>3.118535979460678</v>
      </c>
      <c r="Q32" s="26">
        <v>0.1215284897723625</v>
      </c>
      <c r="R32" s="26">
        <v>8.5160920889061034E-2</v>
      </c>
      <c r="S32" s="27">
        <v>9.8491675963922141E-3</v>
      </c>
      <c r="T32">
        <v>11584.09</v>
      </c>
      <c r="U32" s="117">
        <f>C32*S32</f>
        <v>0.30046744733574926</v>
      </c>
      <c r="V32" s="117">
        <f>(1+S32)*Q32*(1-U32)+S32</f>
        <v>9.5699610879562372E-2</v>
      </c>
      <c r="W32" s="117">
        <f>V32+I32/3</f>
        <v>0.17622533516806296</v>
      </c>
      <c r="X32" s="117">
        <f>V32+I32/5</f>
        <v>0.14401504545266272</v>
      </c>
      <c r="Y32" s="117">
        <f>V32-E32</f>
        <v>-0.13075913403195483</v>
      </c>
      <c r="Z32" s="100"/>
      <c r="AA32" s="100"/>
      <c r="AB32" s="100"/>
      <c r="AC32" s="117"/>
      <c r="AD32" s="117"/>
      <c r="AE32" s="117"/>
      <c r="AF32" s="117"/>
      <c r="AH32" s="27"/>
      <c r="AI32" s="58"/>
    </row>
    <row r="33" spans="1:35" s="128" customFormat="1" x14ac:dyDescent="0.2">
      <c r="A33" s="128" t="s">
        <v>51</v>
      </c>
      <c r="B33" s="128" t="s">
        <v>32</v>
      </c>
      <c r="C33" s="138">
        <v>32.912468635816992</v>
      </c>
      <c r="D33" s="19">
        <v>22.27093978838889</v>
      </c>
      <c r="E33" s="29">
        <v>0.32332818802438462</v>
      </c>
      <c r="F33" s="20">
        <v>-457.3940058552347</v>
      </c>
      <c r="G33" s="39">
        <v>-14.89728649395432</v>
      </c>
      <c r="H33" s="21">
        <v>1.10668721980387E-2</v>
      </c>
      <c r="I33" s="21">
        <v>0.31108270282449579</v>
      </c>
      <c r="J33" s="21">
        <v>0.57729585698976171</v>
      </c>
      <c r="K33" s="19">
        <v>-20.537705646966021</v>
      </c>
      <c r="L33" s="22">
        <v>22.27093978838889</v>
      </c>
      <c r="M33" s="32">
        <v>0.32332818802438462</v>
      </c>
      <c r="N33" s="23">
        <v>-457.3940058552347</v>
      </c>
      <c r="O33" s="24">
        <v>-14.89728649395432</v>
      </c>
      <c r="P33" s="25">
        <v>-20.537705646966021</v>
      </c>
      <c r="Q33" s="26"/>
      <c r="R33" s="26"/>
      <c r="S33" s="27">
        <v>1.160934579728112E-2</v>
      </c>
      <c r="U33" s="117">
        <f>C33*S33</f>
        <v>0.38209222943536869</v>
      </c>
      <c r="V33" s="117">
        <f>(1+S33)*R32*(1-U33)+S33</f>
        <v>6.4841842853112217E-2</v>
      </c>
      <c r="W33" s="117">
        <f>V33+I33/3</f>
        <v>0.16853607712794416</v>
      </c>
      <c r="X33" s="117">
        <f>V33+I33/5</f>
        <v>0.12705838341801137</v>
      </c>
      <c r="Y33" s="117">
        <f>V33-E33</f>
        <v>-0.25848634517127239</v>
      </c>
      <c r="Z33" s="100"/>
      <c r="AA33" s="100"/>
      <c r="AB33" s="100"/>
      <c r="AC33" s="117"/>
      <c r="AD33" s="117"/>
      <c r="AE33" s="117"/>
      <c r="AF33" s="117"/>
      <c r="AH33" s="27"/>
      <c r="AI33" s="58"/>
    </row>
    <row r="34" spans="1:35" s="128" customFormat="1" x14ac:dyDescent="0.2">
      <c r="A34" s="128" t="s">
        <v>52</v>
      </c>
      <c r="B34" s="128" t="s">
        <v>34</v>
      </c>
      <c r="C34" s="138">
        <v>3.7074559594098249</v>
      </c>
      <c r="D34" s="19">
        <v>2.7684783756421441</v>
      </c>
      <c r="E34" s="29">
        <v>0.25326736016498852</v>
      </c>
      <c r="F34" s="20">
        <v>8.4127015794758382</v>
      </c>
      <c r="G34" s="39">
        <v>1.269130549784069</v>
      </c>
      <c r="H34" s="21">
        <v>4.2868807155268973E-2</v>
      </c>
      <c r="I34" s="21">
        <v>0.18255948886821829</v>
      </c>
      <c r="J34" s="21">
        <v>0.36984216874939357</v>
      </c>
      <c r="K34" s="19">
        <v>3.038745634964378</v>
      </c>
      <c r="L34" s="22">
        <v>2.7684783756421441</v>
      </c>
      <c r="M34" s="32">
        <v>0.25326736016498852</v>
      </c>
      <c r="N34" s="23">
        <v>6.565010581216101</v>
      </c>
      <c r="O34" s="24">
        <v>0.77075888509304313</v>
      </c>
      <c r="P34" s="25">
        <v>2.371342553720817</v>
      </c>
      <c r="Q34" s="26"/>
      <c r="R34" s="26"/>
      <c r="S34" s="27"/>
      <c r="V34" s="99"/>
      <c r="W34" s="117">
        <f>V32+I34/3</f>
        <v>0.15655277383563515</v>
      </c>
      <c r="X34" s="117">
        <f>V32+I34/5</f>
        <v>0.13221150865320602</v>
      </c>
      <c r="Y34" s="117">
        <f>V32-E34</f>
        <v>-0.15756774928542616</v>
      </c>
      <c r="Z34" s="100"/>
      <c r="AA34" s="100"/>
      <c r="AB34" s="100"/>
      <c r="AC34" s="117"/>
      <c r="AD34" s="117"/>
      <c r="AE34" s="117"/>
      <c r="AF34" s="117"/>
      <c r="AH34" s="27"/>
      <c r="AI34" s="58"/>
    </row>
    <row r="35" spans="1:35" s="128" customFormat="1" x14ac:dyDescent="0.2">
      <c r="A35" s="128">
        <v>4.3</v>
      </c>
      <c r="B35" s="128" t="s">
        <v>35</v>
      </c>
      <c r="C35" s="137">
        <v>2.8028561377585128</v>
      </c>
      <c r="D35" s="19">
        <v>2.14522662087571</v>
      </c>
      <c r="E35" s="29">
        <v>0.2346283521382295</v>
      </c>
      <c r="F35" s="20">
        <v>8.3113302547289045</v>
      </c>
      <c r="G35" s="39">
        <v>1.9653074743163961</v>
      </c>
      <c r="H35" s="21">
        <v>-2.262190259542329E-2</v>
      </c>
      <c r="I35" s="21">
        <v>0.27136108876932991</v>
      </c>
      <c r="J35" s="21">
        <v>0.55226466890831771</v>
      </c>
      <c r="K35" s="19">
        <v>3.874336712890551</v>
      </c>
      <c r="L35" s="22">
        <v>2.14522662087571</v>
      </c>
      <c r="M35" s="32">
        <v>0.2346283521382295</v>
      </c>
      <c r="N35" s="23">
        <v>3.948621362624964</v>
      </c>
      <c r="O35" s="24">
        <v>0.40878488532869789</v>
      </c>
      <c r="P35" s="25">
        <v>1.840654653545686</v>
      </c>
      <c r="Q35" s="26"/>
      <c r="R35" s="26"/>
      <c r="S35" s="27"/>
      <c r="V35" s="99"/>
      <c r="W35" s="117">
        <f>V33+I35/3</f>
        <v>0.15529553910955551</v>
      </c>
      <c r="X35" s="117">
        <f>V33+I35/5</f>
        <v>0.1191140606069782</v>
      </c>
      <c r="Y35" s="117">
        <f>V33-E35</f>
        <v>-0.16978650928511729</v>
      </c>
      <c r="Z35" s="100"/>
      <c r="AA35" s="100"/>
      <c r="AB35" s="100"/>
      <c r="AC35" s="117"/>
      <c r="AD35" s="117"/>
      <c r="AE35" s="117"/>
      <c r="AF35" s="117"/>
      <c r="AH35" s="27"/>
      <c r="AI35" s="58"/>
    </row>
    <row r="36" spans="1:35" x14ac:dyDescent="0.2">
      <c r="C36" s="1"/>
      <c r="D36" s="88"/>
      <c r="K36" s="88"/>
      <c r="L36" s="93"/>
      <c r="M36" s="94"/>
      <c r="N36" s="95"/>
      <c r="P36" s="97"/>
      <c r="Q36" s="98"/>
      <c r="R36" s="98"/>
    </row>
    <row r="37" spans="1:35" s="128" customFormat="1" x14ac:dyDescent="0.2">
      <c r="A37" s="33" t="s">
        <v>53</v>
      </c>
      <c r="B37" s="128" t="s">
        <v>30</v>
      </c>
      <c r="C37" s="138">
        <v>5.3213688984088652</v>
      </c>
      <c r="D37" s="19">
        <v>5.1762412001546796</v>
      </c>
      <c r="E37" s="29">
        <v>2.7272624962644491E-2</v>
      </c>
      <c r="F37" s="20">
        <v>12.54061899269618</v>
      </c>
      <c r="G37" s="39">
        <v>1.356652814738315</v>
      </c>
      <c r="H37" s="21">
        <v>0.18616440708271201</v>
      </c>
      <c r="I37" s="21">
        <v>0.47785684708362042</v>
      </c>
      <c r="J37" s="21">
        <v>0.7101295057864847</v>
      </c>
      <c r="K37" s="19">
        <v>2.4227269379026302</v>
      </c>
      <c r="L37" s="22">
        <v>5.1762412001546796</v>
      </c>
      <c r="M37" s="32">
        <v>2.7272624962644491E-2</v>
      </c>
      <c r="N37" s="23">
        <v>10.412170024372671</v>
      </c>
      <c r="O37" s="24">
        <v>0.95667134212138549</v>
      </c>
      <c r="P37" s="25">
        <v>2.011531074723012</v>
      </c>
      <c r="Q37" s="26">
        <v>0.11782736694033601</v>
      </c>
      <c r="R37" s="26">
        <v>0.11483758691591341</v>
      </c>
      <c r="S37" s="27">
        <v>6.5686053971411321E-2</v>
      </c>
      <c r="T37">
        <v>5069.2299999999996</v>
      </c>
      <c r="U37" s="117">
        <f>C37*S37</f>
        <v>0.3495397246626743</v>
      </c>
      <c r="V37" s="117">
        <f>(1+S37)*Q37*(1-U37)+S37</f>
        <v>0.14736238747719885</v>
      </c>
      <c r="W37" s="117">
        <f>V37+I37/3</f>
        <v>0.30664800317173901</v>
      </c>
      <c r="X37" s="117">
        <f>V37+I37/5</f>
        <v>0.24293375689392294</v>
      </c>
      <c r="Y37" s="117">
        <f>V37-E37</f>
        <v>0.12008976251455436</v>
      </c>
      <c r="Z37" s="100">
        <v>6</v>
      </c>
      <c r="AA37" s="76">
        <f>Z37*E39</f>
        <v>0.34358876871569088</v>
      </c>
      <c r="AB37" s="100"/>
      <c r="AC37" s="117"/>
      <c r="AD37" s="117"/>
      <c r="AE37" s="117"/>
      <c r="AF37" s="117"/>
      <c r="AH37" s="27"/>
      <c r="AI37" s="58"/>
    </row>
    <row r="38" spans="1:35" s="128" customFormat="1" x14ac:dyDescent="0.2">
      <c r="A38" s="128" t="s">
        <v>54</v>
      </c>
      <c r="B38" s="128" t="s">
        <v>32</v>
      </c>
      <c r="C38" s="138">
        <v>7.8901105286850157</v>
      </c>
      <c r="D38" s="19">
        <v>7.453506572113203</v>
      </c>
      <c r="E38" s="29">
        <v>5.5335594474185117E-2</v>
      </c>
      <c r="F38" s="20">
        <v>23.634803769316399</v>
      </c>
      <c r="G38" s="39">
        <v>1.9954971712234599</v>
      </c>
      <c r="H38" s="21">
        <v>0.26891189047488129</v>
      </c>
      <c r="I38" s="21">
        <v>0.50421386340582197</v>
      </c>
      <c r="J38" s="21">
        <v>0.85849851370327013</v>
      </c>
      <c r="K38" s="19">
        <v>3.170964369675938</v>
      </c>
      <c r="L38" s="22">
        <v>7.453506572113203</v>
      </c>
      <c r="M38" s="32">
        <v>5.5335594474185117E-2</v>
      </c>
      <c r="N38" s="23">
        <v>14.498958716051851</v>
      </c>
      <c r="O38" s="24">
        <v>0.83761161055221311</v>
      </c>
      <c r="P38" s="25">
        <v>1.945253361726242</v>
      </c>
      <c r="Q38" s="26"/>
      <c r="R38" s="26"/>
      <c r="S38" s="27">
        <v>5.8607982259463787E-2</v>
      </c>
      <c r="U38" s="117">
        <f>C38*S38</f>
        <v>0.46242345789037986</v>
      </c>
      <c r="V38" s="117">
        <f>(1+S38)*R37*(1-U38)+S38</f>
        <v>0.12396007989736069</v>
      </c>
      <c r="W38" s="117">
        <f>V38+I38/3</f>
        <v>0.29203136769930138</v>
      </c>
      <c r="X38" s="117">
        <f>V38+I38/5</f>
        <v>0.22480285257852509</v>
      </c>
      <c r="Y38" s="117">
        <f>V38-E38</f>
        <v>6.8624485423175563E-2</v>
      </c>
      <c r="Z38" s="100"/>
      <c r="AA38" s="117">
        <f>AA37/($AB$2)</f>
        <v>7.3259865397801889E-3</v>
      </c>
      <c r="AB38" s="100"/>
      <c r="AC38" s="117"/>
      <c r="AD38" s="117"/>
      <c r="AE38" s="117"/>
      <c r="AF38" s="117"/>
      <c r="AH38" s="27"/>
      <c r="AI38" s="58"/>
    </row>
    <row r="39" spans="1:35" s="128" customFormat="1" x14ac:dyDescent="0.2">
      <c r="A39" s="128" t="s">
        <v>55</v>
      </c>
      <c r="B39" s="128" t="s">
        <v>34</v>
      </c>
      <c r="C39" s="138">
        <v>0.62700288581771291</v>
      </c>
      <c r="D39" s="19">
        <v>0.59109769423116409</v>
      </c>
      <c r="E39" s="29">
        <v>5.7264794785948481E-2</v>
      </c>
      <c r="F39" s="20">
        <v>1.7923367177805321</v>
      </c>
      <c r="G39" s="39">
        <v>1.8585780995936501</v>
      </c>
      <c r="H39" s="21">
        <v>0.37099362153933552</v>
      </c>
      <c r="I39" s="21">
        <v>0.70089796229068391</v>
      </c>
      <c r="J39" s="21">
        <v>0.99062466164889984</v>
      </c>
      <c r="K39" s="19">
        <v>3.0322174071611121</v>
      </c>
      <c r="L39" s="22">
        <v>0.59109769423116409</v>
      </c>
      <c r="M39" s="32">
        <v>5.7264794785948481E-2</v>
      </c>
      <c r="N39" s="23">
        <v>1.3924303321048781</v>
      </c>
      <c r="O39" s="24">
        <v>1.22077180759531</v>
      </c>
      <c r="P39" s="25">
        <v>2.3556686918158269</v>
      </c>
      <c r="Q39" s="26"/>
      <c r="R39" s="26"/>
      <c r="S39" s="27"/>
      <c r="V39" s="99"/>
      <c r="W39" s="117">
        <f>V37+I39/3</f>
        <v>0.38099504157409347</v>
      </c>
      <c r="X39" s="117">
        <f>V37+I39/5</f>
        <v>0.28754197993533559</v>
      </c>
      <c r="Y39" s="117">
        <f>V37-E39</f>
        <v>9.0097592691250367E-2</v>
      </c>
      <c r="Z39" s="100"/>
      <c r="AA39" s="100"/>
      <c r="AB39" s="100"/>
      <c r="AC39" s="117"/>
      <c r="AD39" s="117"/>
      <c r="AE39" s="117"/>
      <c r="AF39" s="117"/>
      <c r="AH39" s="27"/>
      <c r="AI39" s="58"/>
    </row>
    <row r="40" spans="1:35" s="128" customFormat="1" x14ac:dyDescent="0.2">
      <c r="A40" s="128">
        <v>3</v>
      </c>
      <c r="B40" s="128" t="s">
        <v>35</v>
      </c>
      <c r="C40" s="138">
        <v>0.90608125361402891</v>
      </c>
      <c r="D40" s="19">
        <v>0.84483085013850334</v>
      </c>
      <c r="E40" s="29">
        <v>6.7599239285902835E-2</v>
      </c>
      <c r="F40" s="20">
        <v>3.0401512032648128</v>
      </c>
      <c r="G40" s="39">
        <v>2.3552743654487438</v>
      </c>
      <c r="H40" s="21">
        <v>0.27680768478034218</v>
      </c>
      <c r="I40" s="21">
        <v>0.53534909862335489</v>
      </c>
      <c r="J40" s="21">
        <v>0.8760719307694369</v>
      </c>
      <c r="K40" s="19">
        <v>3.5985324195564168</v>
      </c>
      <c r="L40" s="22">
        <v>0.84483085013850334</v>
      </c>
      <c r="M40" s="32">
        <v>6.7599239285902835E-2</v>
      </c>
      <c r="N40" s="23">
        <v>1.59283777945297</v>
      </c>
      <c r="O40" s="24">
        <v>0.7579414352738445</v>
      </c>
      <c r="P40" s="25">
        <v>1.885392536496314</v>
      </c>
      <c r="Q40" s="26"/>
      <c r="R40" s="26"/>
      <c r="S40" s="27"/>
      <c r="T40" s="58">
        <f>T37/C39</f>
        <v>8084.8591205268631</v>
      </c>
      <c r="U40" s="58"/>
      <c r="V40" s="58">
        <f>T37/C37</f>
        <v>952.61766225524093</v>
      </c>
      <c r="W40" s="117">
        <f>V38+I40/3</f>
        <v>0.30240977943847902</v>
      </c>
      <c r="X40" s="117">
        <f>V38+I40/5</f>
        <v>0.23102989962203166</v>
      </c>
      <c r="Y40" s="117">
        <f>V38-E40</f>
        <v>5.6360840611457852E-2</v>
      </c>
      <c r="Z40" s="100"/>
      <c r="AA40" s="100"/>
      <c r="AB40" s="100"/>
      <c r="AC40" s="117"/>
      <c r="AD40" s="117"/>
      <c r="AE40" s="117"/>
      <c r="AF40" s="117"/>
      <c r="AH40" s="27"/>
      <c r="AI40" s="58"/>
    </row>
    <row r="41" spans="1:35" x14ac:dyDescent="0.2">
      <c r="C41" s="1"/>
      <c r="D41" s="88"/>
      <c r="K41" s="88"/>
      <c r="L41" s="93"/>
      <c r="M41" s="94"/>
      <c r="N41" s="95"/>
      <c r="P41" s="97"/>
      <c r="Q41" s="98"/>
      <c r="R41" s="98"/>
    </row>
    <row r="42" spans="1:35" s="128" customFormat="1" x14ac:dyDescent="0.2">
      <c r="A42" s="33" t="s">
        <v>56</v>
      </c>
      <c r="B42" s="128" t="s">
        <v>30</v>
      </c>
      <c r="C42" s="138">
        <v>23.9690622167954</v>
      </c>
      <c r="D42" s="19">
        <v>16.72502197975431</v>
      </c>
      <c r="E42" s="29">
        <v>0.30222459984125299</v>
      </c>
      <c r="F42" s="20">
        <v>59.442478088637202</v>
      </c>
      <c r="G42" s="39">
        <v>1.4799667818036351</v>
      </c>
      <c r="H42" s="21">
        <v>3.9266964291129643E-2</v>
      </c>
      <c r="I42" s="21">
        <v>0.30007679097770112</v>
      </c>
      <c r="J42" s="21">
        <v>0.54090310964963262</v>
      </c>
      <c r="K42" s="19">
        <v>3.5541046320054162</v>
      </c>
      <c r="L42" s="22">
        <v>16.72502197975431</v>
      </c>
      <c r="M42" s="32">
        <v>0.30222459984125299</v>
      </c>
      <c r="N42" s="23">
        <v>50.655083282507363</v>
      </c>
      <c r="O42" s="24">
        <v>1.113352738807309</v>
      </c>
      <c r="P42" s="25">
        <v>3.028700550816942</v>
      </c>
      <c r="Q42" s="26">
        <v>0.1393227954361218</v>
      </c>
      <c r="R42" s="26">
        <v>0.1067030804263837</v>
      </c>
      <c r="S42" s="27">
        <v>9.4491611342425487E-3</v>
      </c>
      <c r="T42" s="128">
        <v>2143.8000000000002</v>
      </c>
      <c r="U42" s="117">
        <f>C42*S42</f>
        <v>0.22648753112318465</v>
      </c>
      <c r="V42" s="102">
        <f>(1+S42)*Q42*(1-U42)+S42</f>
        <v>0.11823539703901766</v>
      </c>
      <c r="W42" s="102">
        <f>V42+I42/3</f>
        <v>0.21826099403158469</v>
      </c>
      <c r="X42" s="117">
        <f>V42+I42/5</f>
        <v>0.17825075523455788</v>
      </c>
      <c r="Y42" s="117">
        <f>V42-E42</f>
        <v>-0.18398920280223535</v>
      </c>
      <c r="Z42" s="100">
        <v>6.6</v>
      </c>
      <c r="AA42" s="76">
        <f>Z42*E44</f>
        <v>3.0665411502551638</v>
      </c>
      <c r="AB42" s="100"/>
      <c r="AC42" s="117"/>
      <c r="AD42" s="36"/>
      <c r="AE42" s="117"/>
      <c r="AF42" s="117"/>
      <c r="AH42" s="27"/>
      <c r="AI42" s="58"/>
    </row>
    <row r="43" spans="1:35" s="128" customFormat="1" x14ac:dyDescent="0.2">
      <c r="A43" s="128" t="s">
        <v>57</v>
      </c>
      <c r="B43" s="128" t="s">
        <v>32</v>
      </c>
      <c r="C43" s="138">
        <v>26.342514277779848</v>
      </c>
      <c r="D43" s="19">
        <v>19.373787617125821</v>
      </c>
      <c r="E43" s="29">
        <v>0.26454295847273068</v>
      </c>
      <c r="F43" s="20">
        <v>182.80812299190029</v>
      </c>
      <c r="G43" s="39">
        <v>5.9396611524701939</v>
      </c>
      <c r="H43" s="21">
        <v>5.9976446524419469E-2</v>
      </c>
      <c r="I43" s="21">
        <v>0.33657167913318392</v>
      </c>
      <c r="J43" s="21">
        <v>0.69552798522187231</v>
      </c>
      <c r="K43" s="19">
        <v>9.4358484053114946</v>
      </c>
      <c r="L43" s="22">
        <v>19.373787617125821</v>
      </c>
      <c r="M43" s="32">
        <v>0.26454295847273068</v>
      </c>
      <c r="N43" s="23">
        <v>64.040103359961265</v>
      </c>
      <c r="O43" s="24">
        <v>1.431055087781794</v>
      </c>
      <c r="P43" s="25">
        <v>3.3055024977847811</v>
      </c>
      <c r="Q43" s="26"/>
      <c r="R43" s="26"/>
      <c r="S43" s="27">
        <v>7.6661990853531111E-3</v>
      </c>
      <c r="U43" s="117">
        <f>C43*S43</f>
        <v>0.20194695886221714</v>
      </c>
      <c r="V43" s="117">
        <f>(1+S43)*R42*(1-U43)+S43</f>
        <v>9.347372993836324E-2</v>
      </c>
      <c r="W43" s="117">
        <f>V43+I43/3</f>
        <v>0.20566428964942454</v>
      </c>
      <c r="X43" s="117">
        <f>V43+I43/5</f>
        <v>0.16078806576500004</v>
      </c>
      <c r="Y43" s="117">
        <f>V43-E43</f>
        <v>-0.17106922853436746</v>
      </c>
      <c r="Z43" s="100"/>
      <c r="AA43" s="117">
        <f>AA42/($AB$2)</f>
        <v>6.5384672713329706E-2</v>
      </c>
      <c r="AB43" s="100"/>
      <c r="AC43" s="117"/>
      <c r="AD43" s="117"/>
      <c r="AE43" s="117"/>
      <c r="AF43" s="117"/>
      <c r="AH43" s="27"/>
      <c r="AI43" s="58"/>
    </row>
    <row r="44" spans="1:35" s="128" customFormat="1" x14ac:dyDescent="0.2">
      <c r="A44" s="128" t="s">
        <v>58</v>
      </c>
      <c r="B44" s="128" t="s">
        <v>34</v>
      </c>
      <c r="C44" s="136">
        <v>3.3394367520262618</v>
      </c>
      <c r="D44" s="19">
        <v>1.787842779486416</v>
      </c>
      <c r="E44" s="29">
        <v>0.46462744700835817</v>
      </c>
      <c r="F44" s="20">
        <v>5.9806834035856964</v>
      </c>
      <c r="G44" s="39">
        <v>0.79092579009223973</v>
      </c>
      <c r="H44" s="21">
        <v>-0.27884288072721569</v>
      </c>
      <c r="I44" s="21">
        <v>-0.12741338526130669</v>
      </c>
      <c r="J44" s="21">
        <v>0.12700874416356681</v>
      </c>
      <c r="K44" s="19">
        <v>3.3451953785912512</v>
      </c>
      <c r="L44" s="22">
        <v>1.787842779486416</v>
      </c>
      <c r="M44" s="32">
        <v>0.46462744700835817</v>
      </c>
      <c r="N44" s="23">
        <v>5.4588803613269334</v>
      </c>
      <c r="O44" s="24">
        <v>0.63467098396598232</v>
      </c>
      <c r="P44" s="25">
        <v>3.0533335615199211</v>
      </c>
      <c r="Q44" s="26"/>
      <c r="R44" s="26"/>
      <c r="S44" s="27"/>
      <c r="V44" s="99"/>
      <c r="W44" s="102">
        <f>V42+I44/3</f>
        <v>7.5764268618582098E-2</v>
      </c>
      <c r="X44" s="117">
        <f>V42+I44/5</f>
        <v>9.2752719986756327E-2</v>
      </c>
      <c r="Y44" s="117">
        <f>V42-E44</f>
        <v>-0.34639204996934053</v>
      </c>
      <c r="Z44" s="100"/>
      <c r="AA44" s="100"/>
      <c r="AB44" s="100"/>
      <c r="AC44" s="117"/>
      <c r="AD44" s="117"/>
      <c r="AE44" s="117"/>
      <c r="AF44" s="117"/>
      <c r="AH44" s="27"/>
      <c r="AI44" s="58"/>
    </row>
    <row r="45" spans="1:35" s="128" customFormat="1" x14ac:dyDescent="0.2">
      <c r="A45" s="128">
        <v>2.14</v>
      </c>
      <c r="B45" s="128" t="s">
        <v>35</v>
      </c>
      <c r="C45" s="136">
        <v>2.8108274196151042</v>
      </c>
      <c r="D45" s="19">
        <v>1.455562325135044</v>
      </c>
      <c r="E45" s="29">
        <v>0.48215877112286071</v>
      </c>
      <c r="F45" s="20">
        <v>6.5462359634689271</v>
      </c>
      <c r="G45" s="39">
        <v>1.3289355717062581</v>
      </c>
      <c r="H45" s="21">
        <v>-0.26144887297794162</v>
      </c>
      <c r="I45" s="21">
        <v>-1.98651298560476E-2</v>
      </c>
      <c r="J45" s="21">
        <v>0.1256680020090355</v>
      </c>
      <c r="K45" s="19">
        <v>4.4973931039755248</v>
      </c>
      <c r="L45" s="22">
        <v>1.455562325135044</v>
      </c>
      <c r="M45" s="32">
        <v>0.48215877112286071</v>
      </c>
      <c r="N45" s="23">
        <v>3.7007674153810819</v>
      </c>
      <c r="O45" s="24">
        <v>0.31661139689886769</v>
      </c>
      <c r="P45" s="25">
        <v>2.542500139963249</v>
      </c>
      <c r="Q45" s="26"/>
      <c r="R45" s="26"/>
      <c r="S45" s="27"/>
      <c r="T45" s="58">
        <f>T42/C44</f>
        <v>641.96454647605231</v>
      </c>
      <c r="U45" s="58"/>
      <c r="V45" s="58">
        <f>T42/C42</f>
        <v>89.440295185925734</v>
      </c>
      <c r="W45" s="117">
        <f>V43+I45/3</f>
        <v>8.6852019986347367E-2</v>
      </c>
      <c r="X45" s="117">
        <f>V43+I45/5</f>
        <v>8.9500703967153719E-2</v>
      </c>
      <c r="Y45" s="117">
        <f>V43-E45</f>
        <v>-0.38868504118449748</v>
      </c>
      <c r="Z45" s="100"/>
      <c r="AA45" s="100"/>
      <c r="AB45" s="100"/>
      <c r="AC45" s="117"/>
      <c r="AD45" s="117"/>
      <c r="AE45" s="117"/>
      <c r="AF45" s="117"/>
      <c r="AH45" s="27"/>
      <c r="AI45" s="58"/>
    </row>
    <row r="46" spans="1:35" x14ac:dyDescent="0.2">
      <c r="C46" s="1"/>
      <c r="D46" s="88"/>
      <c r="K46" s="88"/>
      <c r="L46" s="93"/>
      <c r="M46" s="94"/>
      <c r="N46" s="95"/>
      <c r="P46" s="97"/>
      <c r="Q46" s="98"/>
      <c r="R46" s="98"/>
    </row>
    <row r="47" spans="1:35" s="128" customFormat="1" x14ac:dyDescent="0.2">
      <c r="A47" s="128" t="s">
        <v>59</v>
      </c>
      <c r="B47" s="128" t="s">
        <v>30</v>
      </c>
      <c r="C47" s="138">
        <v>30.582579189205941</v>
      </c>
      <c r="D47" s="19">
        <v>18.934434766959079</v>
      </c>
      <c r="E47" s="29">
        <v>0.38087514954781992</v>
      </c>
      <c r="F47" s="20">
        <v>144.68142147805449</v>
      </c>
      <c r="G47" s="39">
        <v>3.7308443340553659</v>
      </c>
      <c r="H47" s="21">
        <v>1.315049257193257E-2</v>
      </c>
      <c r="I47" s="21">
        <v>0.33948906334177781</v>
      </c>
      <c r="J47" s="21">
        <v>1.2849705911049201</v>
      </c>
      <c r="K47" s="19">
        <v>7.6411798534660278</v>
      </c>
      <c r="L47" s="22">
        <v>18.934434766959079</v>
      </c>
      <c r="M47" s="32">
        <v>0.38087514954781992</v>
      </c>
      <c r="N47" s="23">
        <v>58.83497031040833</v>
      </c>
      <c r="O47" s="24">
        <v>0.92380668570864088</v>
      </c>
      <c r="P47" s="25">
        <v>3.1073000612131492</v>
      </c>
      <c r="Q47" s="26">
        <v>7.8553037332529135E-2</v>
      </c>
      <c r="R47" s="26">
        <v>6.5939777939465288E-2</v>
      </c>
      <c r="S47" s="27">
        <v>1.097901198563438E-2</v>
      </c>
      <c r="T47" s="128">
        <v>6868.55</v>
      </c>
      <c r="U47" s="117">
        <f>C47*S47</f>
        <v>0.33576650346990461</v>
      </c>
      <c r="V47" s="117">
        <f>(1+S47)*Q47*(1-U47)+S47</f>
        <v>6.3729428677883698E-2</v>
      </c>
      <c r="W47" s="117">
        <f>V47+I47/3</f>
        <v>0.17689244979180963</v>
      </c>
      <c r="X47" s="117">
        <f>V47+I47/5</f>
        <v>0.13162724134623927</v>
      </c>
      <c r="Y47" s="117">
        <f>V47-E47</f>
        <v>-0.3171457208699362</v>
      </c>
      <c r="Z47" s="100"/>
      <c r="AA47" s="100"/>
      <c r="AB47" s="100"/>
      <c r="AC47" s="117"/>
      <c r="AD47" s="36"/>
      <c r="AE47" s="117"/>
      <c r="AF47" s="117"/>
      <c r="AH47" s="27"/>
      <c r="AI47" s="58"/>
    </row>
    <row r="48" spans="1:35" s="128" customFormat="1" x14ac:dyDescent="0.2">
      <c r="A48" s="128" t="s">
        <v>60</v>
      </c>
      <c r="B48" s="128" t="s">
        <v>32</v>
      </c>
      <c r="C48" s="138">
        <v>33.638337028050593</v>
      </c>
      <c r="D48" s="19">
        <v>21.823520443802359</v>
      </c>
      <c r="E48" s="29">
        <v>0.35123069771243443</v>
      </c>
      <c r="F48" s="20">
        <v>-224.75577292060279</v>
      </c>
      <c r="G48" s="39">
        <v>-7.6815363890664914</v>
      </c>
      <c r="H48" s="21">
        <v>7.1373977746932882E-2</v>
      </c>
      <c r="I48" s="21">
        <v>0.55599407333982409</v>
      </c>
      <c r="J48" s="21">
        <v>1.363346896682065</v>
      </c>
      <c r="K48" s="19">
        <v>-10.29878627966419</v>
      </c>
      <c r="L48" s="22">
        <v>21.823520443802359</v>
      </c>
      <c r="M48" s="32">
        <v>0.35123069771243443</v>
      </c>
      <c r="N48" s="23">
        <v>-224.75577292060279</v>
      </c>
      <c r="O48" s="24">
        <v>-7.6815363890664914</v>
      </c>
      <c r="P48" s="25">
        <v>-10.29878627966419</v>
      </c>
      <c r="Q48" s="26"/>
      <c r="R48" s="26"/>
      <c r="S48" s="27">
        <v>1.1379813328396189E-2</v>
      </c>
      <c r="U48" s="117">
        <f>C48*S48</f>
        <v>0.38279799605689319</v>
      </c>
      <c r="V48" s="117">
        <f>(1+S48)*R47*(1-U48)+S48</f>
        <v>5.2541113910899911E-2</v>
      </c>
      <c r="W48" s="102">
        <f>V48+I48/3</f>
        <v>0.23787247169084128</v>
      </c>
      <c r="X48" s="117">
        <f>V48+I48/5</f>
        <v>0.16373992857886471</v>
      </c>
      <c r="Y48" s="117">
        <f>V48-E48</f>
        <v>-0.29868958380153454</v>
      </c>
      <c r="Z48" s="100"/>
      <c r="AA48" s="100"/>
      <c r="AB48" s="100"/>
      <c r="AC48" s="117"/>
      <c r="AD48" s="117"/>
      <c r="AE48" s="117"/>
      <c r="AF48" s="117"/>
      <c r="AH48" s="27"/>
      <c r="AI48" s="58"/>
    </row>
    <row r="49" spans="1:35" s="128" customFormat="1" x14ac:dyDescent="0.2">
      <c r="A49" s="128" t="s">
        <v>61</v>
      </c>
      <c r="B49" s="128" t="s">
        <v>34</v>
      </c>
      <c r="C49" s="137">
        <v>2.402354484774722</v>
      </c>
      <c r="D49" s="19">
        <v>1.7114617489931709</v>
      </c>
      <c r="E49" s="29">
        <v>0.28758983745329281</v>
      </c>
      <c r="F49" s="20">
        <v>8.1124763513223215</v>
      </c>
      <c r="G49" s="39">
        <v>2.3768856356280228</v>
      </c>
      <c r="H49" s="21">
        <v>-4.3893329821709459E-2</v>
      </c>
      <c r="I49" s="21">
        <v>0.1662970508156778</v>
      </c>
      <c r="J49" s="21">
        <v>0.59959195048025116</v>
      </c>
      <c r="K49" s="19">
        <v>4.7400862777650614</v>
      </c>
      <c r="L49" s="22">
        <v>1.7114617489931709</v>
      </c>
      <c r="M49" s="32">
        <v>0.28758983745329281</v>
      </c>
      <c r="N49" s="23">
        <v>3.160386130908269</v>
      </c>
      <c r="O49" s="24">
        <v>0.31553696631270861</v>
      </c>
      <c r="P49" s="25">
        <v>1.8466005055429831</v>
      </c>
      <c r="Q49" s="26"/>
      <c r="R49" s="26"/>
      <c r="S49" s="27"/>
      <c r="V49" s="99"/>
      <c r="W49" s="117">
        <f>V47+I49/3</f>
        <v>0.11916177894977631</v>
      </c>
      <c r="X49" s="117">
        <f>V47+I49/5</f>
        <v>9.6988838841019262E-2</v>
      </c>
      <c r="Y49" s="117">
        <f>V47-E49</f>
        <v>-0.22386040877540911</v>
      </c>
      <c r="Z49" s="100"/>
      <c r="AA49" s="100"/>
      <c r="AB49" s="100"/>
      <c r="AC49" s="117"/>
      <c r="AD49" s="117"/>
      <c r="AE49" s="117"/>
      <c r="AF49" s="117"/>
      <c r="AH49" s="27"/>
      <c r="AI49" s="58"/>
    </row>
    <row r="50" spans="1:35" s="128" customFormat="1" x14ac:dyDescent="0.2">
      <c r="A50" s="128">
        <v>2.7</v>
      </c>
      <c r="B50" s="128" t="s">
        <v>35</v>
      </c>
      <c r="C50" s="137">
        <v>2.2181044738825482</v>
      </c>
      <c r="D50" s="19">
        <v>1.5663139110221771</v>
      </c>
      <c r="E50" s="29">
        <v>0.2938502539149942</v>
      </c>
      <c r="F50" s="20">
        <v>7.1849241806803246</v>
      </c>
      <c r="G50" s="39">
        <v>2.2392181095527501</v>
      </c>
      <c r="H50" s="21">
        <v>-8.4923277594365465E-2</v>
      </c>
      <c r="I50" s="21">
        <v>7.185663226035266E-2</v>
      </c>
      <c r="J50" s="21">
        <v>0.65879484040698433</v>
      </c>
      <c r="K50" s="19">
        <v>4.5871546757772466</v>
      </c>
      <c r="L50" s="22">
        <v>1.5663139110221771</v>
      </c>
      <c r="M50" s="32">
        <v>0.2938502539149942</v>
      </c>
      <c r="N50" s="23">
        <v>2.7014975638051708</v>
      </c>
      <c r="O50" s="24">
        <v>0.21793071318976079</v>
      </c>
      <c r="P50" s="25">
        <v>1.7247484969613609</v>
      </c>
      <c r="Q50" s="26"/>
      <c r="R50" s="26"/>
      <c r="S50" s="27"/>
      <c r="T50" s="58">
        <f>T47/C50</f>
        <v>3096.5854317841749</v>
      </c>
      <c r="U50" s="58"/>
      <c r="V50" s="58">
        <f>T47/C48</f>
        <v>204.18815574243166</v>
      </c>
      <c r="W50" s="102">
        <f>V48+I50/3</f>
        <v>7.6493324664350798E-2</v>
      </c>
      <c r="X50" s="117">
        <f>V48+I50/5</f>
        <v>6.6912440362970449E-2</v>
      </c>
      <c r="Y50" s="117">
        <f>V48-E50</f>
        <v>-0.24130914000409429</v>
      </c>
      <c r="Z50" s="100"/>
      <c r="AA50" s="100"/>
      <c r="AB50" s="100"/>
      <c r="AC50" s="117"/>
      <c r="AD50" s="117"/>
      <c r="AE50" s="117"/>
      <c r="AF50" s="117"/>
      <c r="AH50" s="27"/>
      <c r="AI50" s="58"/>
    </row>
    <row r="51" spans="1:35" x14ac:dyDescent="0.2">
      <c r="C51" s="1"/>
      <c r="D51" s="88"/>
      <c r="K51" s="88"/>
      <c r="L51" s="93"/>
      <c r="M51" s="94"/>
      <c r="N51" s="95"/>
      <c r="P51" s="97"/>
      <c r="Q51" s="98"/>
      <c r="R51" s="98"/>
    </row>
    <row r="52" spans="1:35" x14ac:dyDescent="0.2">
      <c r="A52" t="s">
        <v>62</v>
      </c>
      <c r="B52" t="s">
        <v>30</v>
      </c>
      <c r="C52" s="139">
        <v>42.329796136704253</v>
      </c>
      <c r="D52" s="88">
        <v>17.115046910557169</v>
      </c>
      <c r="E52" s="89">
        <v>0.59567376948180772</v>
      </c>
      <c r="F52" s="90">
        <v>67.703904421474107</v>
      </c>
      <c r="G52" s="91">
        <v>0.59943847125613514</v>
      </c>
      <c r="H52" s="92">
        <v>-0.44951605875847711</v>
      </c>
      <c r="I52" s="92">
        <v>-0.30030200914671668</v>
      </c>
      <c r="J52" s="92">
        <v>-9.8409610516800416E-2</v>
      </c>
      <c r="K52" s="88">
        <v>3.9558117938731421</v>
      </c>
      <c r="L52" s="93">
        <v>20.60239509213093</v>
      </c>
      <c r="M52" s="94">
        <v>0.5132885822177029</v>
      </c>
      <c r="N52" s="95">
        <v>67.703904421474107</v>
      </c>
      <c r="O52" s="96">
        <v>0.59943847125613514</v>
      </c>
      <c r="P52" s="97">
        <v>3.2862152249149701</v>
      </c>
      <c r="Q52" s="98">
        <v>0.1616887328805218</v>
      </c>
      <c r="R52" s="98">
        <v>8.3951977998022204E-2</v>
      </c>
      <c r="S52" s="99">
        <v>1.6489177621690901E-2</v>
      </c>
      <c r="T52">
        <v>22532.58</v>
      </c>
      <c r="U52" s="117">
        <f>C52*S52</f>
        <v>0.69798352718808176</v>
      </c>
      <c r="V52" s="117">
        <f>(1+S52)*Q52*(1-U52)+S52</f>
        <v>6.6127048837332586E-2</v>
      </c>
      <c r="W52" s="117">
        <f>V52+I52/3</f>
        <v>-3.3973620878239644E-2</v>
      </c>
      <c r="X52" s="117">
        <f>V52+I52/5</f>
        <v>6.0666470079892496E-3</v>
      </c>
      <c r="Y52" s="117">
        <f>V52-E52</f>
        <v>-0.52954672064447517</v>
      </c>
      <c r="Z52" s="100"/>
      <c r="AA52" s="100"/>
      <c r="AB52" s="100"/>
      <c r="AI52" s="58"/>
    </row>
    <row r="53" spans="1:35" x14ac:dyDescent="0.2">
      <c r="A53" t="s">
        <v>63</v>
      </c>
      <c r="B53" t="s">
        <v>32</v>
      </c>
      <c r="C53" s="139">
        <v>44.14008315939445</v>
      </c>
      <c r="D53" s="88">
        <v>24.503786579669882</v>
      </c>
      <c r="E53" s="89">
        <v>0.44486315326629211</v>
      </c>
      <c r="F53" s="90">
        <v>-69.347774157468564</v>
      </c>
      <c r="G53" s="91">
        <v>-2.5710839036493538</v>
      </c>
      <c r="H53" s="92">
        <v>-0.33886266237132362</v>
      </c>
      <c r="I53" s="92">
        <v>-0.27469891603134711</v>
      </c>
      <c r="J53" s="92">
        <v>-5.0541221631362987E-2</v>
      </c>
      <c r="K53" s="88">
        <v>-2.8300839926105348</v>
      </c>
      <c r="L53" s="93">
        <v>24.503786579669882</v>
      </c>
      <c r="M53" s="94">
        <v>0.44486315326629211</v>
      </c>
      <c r="N53" s="95">
        <v>-69.347774157468564</v>
      </c>
      <c r="O53" s="96">
        <v>-2.5710839036493538</v>
      </c>
      <c r="P53" s="97">
        <v>-2.8300839926105348</v>
      </c>
      <c r="Q53" s="98"/>
      <c r="R53" s="98"/>
      <c r="S53" s="99">
        <v>1.527304238765894E-2</v>
      </c>
      <c r="U53" s="117">
        <f>C53*S53</f>
        <v>0.67415336108822199</v>
      </c>
      <c r="V53" s="117">
        <f>(1+S53)*R52*(1-U53)+S53</f>
        <v>4.3046313499026066E-2</v>
      </c>
      <c r="W53" s="117">
        <f>V53+I53/3</f>
        <v>-4.8519991844756298E-2</v>
      </c>
      <c r="X53" s="117">
        <f>V53+I53/5</f>
        <v>-1.1893469707243358E-2</v>
      </c>
      <c r="Y53" s="117">
        <f>V53-E53</f>
        <v>-0.40181683976726607</v>
      </c>
      <c r="Z53" s="100"/>
      <c r="AA53" s="100"/>
      <c r="AB53" s="100"/>
      <c r="AI53" s="58"/>
    </row>
    <row r="54" spans="1:35" x14ac:dyDescent="0.2">
      <c r="A54" t="s">
        <v>64</v>
      </c>
      <c r="B54" t="s">
        <v>34</v>
      </c>
      <c r="C54" s="141">
        <v>6.8442511004345192</v>
      </c>
      <c r="D54" s="88">
        <v>2.7835719983677629</v>
      </c>
      <c r="E54" s="89">
        <v>0.59329779730158594</v>
      </c>
      <c r="F54" s="90">
        <v>11.19902332264879</v>
      </c>
      <c r="G54" s="91">
        <v>0.63626716178455278</v>
      </c>
      <c r="H54" s="92">
        <v>-0.47862527382653391</v>
      </c>
      <c r="I54" s="92">
        <v>-0.27515484804756829</v>
      </c>
      <c r="J54" s="92">
        <v>2.729522659240069E-2</v>
      </c>
      <c r="K54" s="88">
        <v>4.0232562079284104</v>
      </c>
      <c r="L54" s="93">
        <v>3.8246807266589968</v>
      </c>
      <c r="M54" s="94">
        <v>0.44118345885699889</v>
      </c>
      <c r="N54" s="95">
        <v>11.19902332264879</v>
      </c>
      <c r="O54" s="96">
        <v>0.63626716178455278</v>
      </c>
      <c r="P54" s="97">
        <v>2.9280936431082352</v>
      </c>
      <c r="Q54" s="98"/>
      <c r="R54" s="98"/>
      <c r="W54" s="117">
        <f>V52+I54/3</f>
        <v>-2.5591233845190173E-2</v>
      </c>
      <c r="X54" s="117">
        <f>V52+I54/5</f>
        <v>1.1096079227818925E-2</v>
      </c>
      <c r="Y54" s="117">
        <f>V52-E54</f>
        <v>-0.52717074846425338</v>
      </c>
      <c r="Z54" s="100"/>
      <c r="AA54" s="100"/>
      <c r="AB54" s="100"/>
      <c r="AI54" s="58"/>
    </row>
    <row r="55" spans="1:35" x14ac:dyDescent="0.2">
      <c r="A55">
        <v>3.76</v>
      </c>
      <c r="B55" t="s">
        <v>35</v>
      </c>
      <c r="C55" s="141">
        <v>3.7056472902283528</v>
      </c>
      <c r="D55" s="88">
        <v>2.1658259780351292</v>
      </c>
      <c r="E55" s="89">
        <v>0.4155336953556461</v>
      </c>
      <c r="F55" s="90">
        <v>5.7254846468978844</v>
      </c>
      <c r="G55" s="91">
        <v>0.54507005078323623</v>
      </c>
      <c r="H55" s="92">
        <v>-0.1996007015772914</v>
      </c>
      <c r="I55" s="92">
        <v>-9.9351378020037795E-2</v>
      </c>
      <c r="J55" s="92">
        <v>1.7999727806380591E-2</v>
      </c>
      <c r="K55" s="88">
        <v>2.6435571024464908</v>
      </c>
      <c r="L55" s="93">
        <v>2.1658259780351292</v>
      </c>
      <c r="M55" s="94">
        <v>0.4155336953556461</v>
      </c>
      <c r="N55" s="95">
        <v>5.0618585433732344</v>
      </c>
      <c r="O55" s="96">
        <v>0.36598498101024268</v>
      </c>
      <c r="P55" s="97">
        <v>2.3371492422329472</v>
      </c>
      <c r="Q55" s="98"/>
      <c r="R55" s="98"/>
      <c r="W55" s="117">
        <f>V53+I55/3</f>
        <v>9.9291874923468013E-3</v>
      </c>
      <c r="X55" s="117">
        <f>V53+I55/5</f>
        <v>2.3176037895018507E-2</v>
      </c>
      <c r="Y55" s="117">
        <f>V53-E55</f>
        <v>-0.37248738185662006</v>
      </c>
      <c r="Z55" s="100"/>
      <c r="AA55" s="100"/>
      <c r="AB55" s="100"/>
      <c r="AI55" s="58"/>
    </row>
    <row r="56" spans="1:35" x14ac:dyDescent="0.2">
      <c r="C56" s="1"/>
      <c r="D56" s="88"/>
      <c r="K56" s="88"/>
      <c r="L56" s="93"/>
      <c r="M56" s="94"/>
      <c r="N56" s="95"/>
      <c r="P56" s="97"/>
      <c r="Q56" s="98"/>
      <c r="R56" s="98"/>
    </row>
    <row r="57" spans="1:35" x14ac:dyDescent="0.2">
      <c r="A57" s="128" t="s">
        <v>65</v>
      </c>
      <c r="B57" t="s">
        <v>30</v>
      </c>
      <c r="C57" s="142">
        <v>6.6828110591304171</v>
      </c>
      <c r="D57" s="88">
        <v>5.668473699874764</v>
      </c>
      <c r="E57" s="89">
        <v>0.15178303715018401</v>
      </c>
      <c r="F57" s="90">
        <v>12.00320999046833</v>
      </c>
      <c r="G57" s="91">
        <v>0.79613187987245282</v>
      </c>
      <c r="H57" s="92">
        <v>1.487567292769643E-2</v>
      </c>
      <c r="I57" s="92">
        <v>0.2208288931524014</v>
      </c>
      <c r="J57" s="92">
        <v>0.36880436508684927</v>
      </c>
      <c r="K57" s="88">
        <v>2.1175382697345011</v>
      </c>
      <c r="L57" s="93">
        <v>5.9310462513455802</v>
      </c>
      <c r="M57" s="94">
        <v>0.1124923031839625</v>
      </c>
      <c r="N57" s="95">
        <v>10.621096225341759</v>
      </c>
      <c r="O57" s="96">
        <v>0.58931565345254544</v>
      </c>
      <c r="P57" s="97">
        <v>1.790762670739946</v>
      </c>
      <c r="Q57" s="98">
        <v>0.10502582471003789</v>
      </c>
      <c r="R57" s="98">
        <v>2.1542288532990599E-2</v>
      </c>
      <c r="S57" s="99">
        <v>4.5496725476071011E-2</v>
      </c>
      <c r="T57">
        <v>4772.66</v>
      </c>
      <c r="U57" s="117">
        <f>C57*S57</f>
        <v>0.30404602016570792</v>
      </c>
      <c r="V57" s="117">
        <f>(1+S57)*Q57*(1-U57)+S57</f>
        <v>0.12191536472466336</v>
      </c>
      <c r="W57" s="117">
        <f>V57+I57/3</f>
        <v>0.19552499577546384</v>
      </c>
      <c r="X57" s="117">
        <f>V57+I57/5</f>
        <v>0.16608114335514362</v>
      </c>
      <c r="Y57" s="117">
        <f>V57-E57</f>
        <v>-2.9867672425520658E-2</v>
      </c>
      <c r="Z57" s="100"/>
      <c r="AA57" s="100"/>
      <c r="AB57" s="100"/>
      <c r="AI57" s="58"/>
    </row>
    <row r="58" spans="1:35" x14ac:dyDescent="0.2">
      <c r="A58" t="s">
        <v>66</v>
      </c>
      <c r="B58" t="s">
        <v>32</v>
      </c>
      <c r="C58" s="139">
        <v>39.130059909639698</v>
      </c>
      <c r="D58" s="88">
        <v>9.8570304731741079</v>
      </c>
      <c r="E58" s="89">
        <v>0.74809569686485888</v>
      </c>
      <c r="F58" s="90">
        <v>1287.6115434623789</v>
      </c>
      <c r="G58" s="91">
        <v>31.90594357472925</v>
      </c>
      <c r="H58" s="92">
        <v>-0.69418826935307854</v>
      </c>
      <c r="I58" s="92">
        <v>-0.62066093003216682</v>
      </c>
      <c r="J58" s="92">
        <v>-0.491614099636001</v>
      </c>
      <c r="K58" s="88">
        <v>130.62874736632011</v>
      </c>
      <c r="L58" s="93">
        <v>9.8570304731741079</v>
      </c>
      <c r="M58" s="94">
        <v>0.74809569686485888</v>
      </c>
      <c r="N58" s="95">
        <v>1287.6115434623789</v>
      </c>
      <c r="O58" s="96">
        <v>31.90594357472925</v>
      </c>
      <c r="P58" s="97">
        <v>130.62874736632011</v>
      </c>
      <c r="Q58" s="98"/>
      <c r="R58" s="98"/>
      <c r="S58" s="99">
        <v>2.545721369978143E-2</v>
      </c>
      <c r="U58" s="117">
        <f>C58*S58</f>
        <v>0.99614229720494785</v>
      </c>
      <c r="V58" s="117">
        <f>(1+S58)*R57*(1-U58)+S58</f>
        <v>2.5542433036305594E-2</v>
      </c>
      <c r="W58" s="117">
        <f>V58+I58/3</f>
        <v>-0.18134454364108335</v>
      </c>
      <c r="X58" s="117">
        <f>V58+I58/5</f>
        <v>-9.8589752970127759E-2</v>
      </c>
      <c r="Y58" s="117">
        <f>V58-E58</f>
        <v>-0.72255326382855334</v>
      </c>
      <c r="Z58" s="100"/>
      <c r="AA58" s="100"/>
      <c r="AB58" s="100"/>
      <c r="AI58" s="58"/>
    </row>
    <row r="59" spans="1:35" x14ac:dyDescent="0.2">
      <c r="A59" t="s">
        <v>67</v>
      </c>
      <c r="B59" t="s">
        <v>34</v>
      </c>
      <c r="C59" s="142">
        <v>0.70186774286653386</v>
      </c>
      <c r="D59" s="88">
        <v>0.61879106163614905</v>
      </c>
      <c r="E59" s="89">
        <v>0.1183651508061719</v>
      </c>
      <c r="F59" s="90">
        <v>1.924203345445207</v>
      </c>
      <c r="G59" s="91">
        <v>1.741546915358255</v>
      </c>
      <c r="H59" s="92">
        <v>0.35888780953663169</v>
      </c>
      <c r="I59" s="92">
        <v>0.58209368407971507</v>
      </c>
      <c r="J59" s="92">
        <v>0.83689192206041785</v>
      </c>
      <c r="K59" s="88">
        <v>3.10961722743281</v>
      </c>
      <c r="L59" s="93">
        <v>0.61879106163614905</v>
      </c>
      <c r="M59" s="94">
        <v>0.1183651508061719</v>
      </c>
      <c r="N59" s="95">
        <v>1.378959150780418</v>
      </c>
      <c r="O59" s="96">
        <v>0.9646994249209131</v>
      </c>
      <c r="P59" s="97">
        <v>2.2284729632879712</v>
      </c>
      <c r="Q59" s="98"/>
      <c r="R59" s="98"/>
      <c r="W59" s="117">
        <f>V57+I59/3</f>
        <v>0.31594659275123504</v>
      </c>
      <c r="X59" s="117">
        <f>V57+I59/5</f>
        <v>0.23833410154060636</v>
      </c>
      <c r="Y59" s="117">
        <f>V57-E59</f>
        <v>3.55021391849146E-3</v>
      </c>
      <c r="Z59" s="100"/>
      <c r="AA59" s="100"/>
      <c r="AB59" s="100"/>
      <c r="AI59" s="58"/>
    </row>
    <row r="60" spans="1:35" x14ac:dyDescent="0.2">
      <c r="A60">
        <v>3.57</v>
      </c>
      <c r="B60" t="s">
        <v>35</v>
      </c>
      <c r="C60" s="142">
        <v>0.84295104088666661</v>
      </c>
      <c r="D60" s="88">
        <v>0.75957077540058815</v>
      </c>
      <c r="E60" s="89">
        <v>9.8914719173220367E-2</v>
      </c>
      <c r="F60" s="90">
        <v>3.5463638092484882</v>
      </c>
      <c r="G60" s="91">
        <v>3.2070815945825379</v>
      </c>
      <c r="H60" s="92">
        <v>0.29007250085224512</v>
      </c>
      <c r="I60" s="92">
        <v>0.73703383199182371</v>
      </c>
      <c r="J60" s="92">
        <v>1.2734396512409349</v>
      </c>
      <c r="K60" s="88">
        <v>4.6689050238645367</v>
      </c>
      <c r="L60" s="93">
        <v>0.75957077540058815</v>
      </c>
      <c r="M60" s="94">
        <v>9.8914719173220367E-2</v>
      </c>
      <c r="N60" s="95">
        <v>1.6706135515591061</v>
      </c>
      <c r="O60" s="96">
        <v>0.98186308638026443</v>
      </c>
      <c r="P60" s="97">
        <v>2.199417889238886</v>
      </c>
      <c r="Q60" s="98"/>
      <c r="R60" s="98"/>
      <c r="W60" s="117">
        <f>V58+I60/3</f>
        <v>0.27122037703358015</v>
      </c>
      <c r="X60" s="117">
        <f>V58+I60/5</f>
        <v>0.17294919943467035</v>
      </c>
      <c r="Y60" s="117">
        <f>V58-E60</f>
        <v>-7.3372286136914766E-2</v>
      </c>
      <c r="Z60" s="100"/>
      <c r="AA60" s="100"/>
      <c r="AB60" s="100"/>
      <c r="AI60" s="58"/>
    </row>
    <row r="61" spans="1:35" x14ac:dyDescent="0.2">
      <c r="A61" s="98">
        <f>1.24/C64-1</f>
        <v>-0.62915851889454188</v>
      </c>
      <c r="B61" s="98">
        <f>1.31/C64-1</f>
        <v>-0.60822391915471763</v>
      </c>
      <c r="C61" s="98">
        <f>1.38/C64-1</f>
        <v>-0.58728931941489348</v>
      </c>
      <c r="D61" s="98">
        <f>1.48/C64-1</f>
        <v>-0.55738274835800161</v>
      </c>
      <c r="K61" s="88"/>
      <c r="L61" s="93"/>
      <c r="M61" s="94"/>
      <c r="N61" s="95"/>
      <c r="P61" s="97"/>
      <c r="Q61" s="98"/>
      <c r="R61" s="98"/>
    </row>
    <row r="62" spans="1:35" s="128" customFormat="1" x14ac:dyDescent="0.2">
      <c r="A62" s="128" t="s">
        <v>68</v>
      </c>
      <c r="B62" s="128" t="s">
        <v>30</v>
      </c>
      <c r="C62" s="137">
        <v>44.70304830947461</v>
      </c>
      <c r="D62" s="19">
        <v>27.316324338273219</v>
      </c>
      <c r="E62" s="29">
        <v>0.38893821850435989</v>
      </c>
      <c r="F62" s="20">
        <v>133.72097203570331</v>
      </c>
      <c r="G62" s="39">
        <v>1.9913166348291671</v>
      </c>
      <c r="H62" s="21">
        <v>-5.6787155346112672E-2</v>
      </c>
      <c r="I62" s="21">
        <v>0.2456602955853209</v>
      </c>
      <c r="J62" s="21">
        <v>0.567314474455761</v>
      </c>
      <c r="K62" s="19">
        <v>4.8952769186572187</v>
      </c>
      <c r="L62" s="22">
        <v>27.316324338273219</v>
      </c>
      <c r="M62" s="32">
        <v>0.38893821850435989</v>
      </c>
      <c r="N62" s="23">
        <v>96.235109322681154</v>
      </c>
      <c r="O62" s="24">
        <v>1.1527639157056</v>
      </c>
      <c r="P62" s="25">
        <v>3.5229889691946958</v>
      </c>
      <c r="Q62" s="26">
        <v>7.4799077109256706E-2</v>
      </c>
      <c r="R62" s="26">
        <v>3.5114689293978332E-2</v>
      </c>
      <c r="S62" s="27">
        <v>8.2468718080733697E-3</v>
      </c>
      <c r="T62" s="128">
        <v>5464.9</v>
      </c>
      <c r="U62" s="117">
        <f>C62*S62</f>
        <v>0.36866030883834805</v>
      </c>
      <c r="V62" s="102">
        <f>(1+S62)*Q62*(1-U62)+S62</f>
        <v>5.585994524133274E-2</v>
      </c>
      <c r="W62" s="117">
        <f>V62+I62/3</f>
        <v>0.13774671043643971</v>
      </c>
      <c r="X62" s="117">
        <f>V62+I62/5</f>
        <v>0.10499200435839692</v>
      </c>
      <c r="Y62" s="117">
        <f>V62-E62</f>
        <v>-0.33307827326302714</v>
      </c>
      <c r="AB62" s="100"/>
      <c r="AC62" s="117"/>
      <c r="AD62" s="117"/>
      <c r="AE62" s="117"/>
      <c r="AF62" s="117"/>
      <c r="AH62" s="27"/>
      <c r="AI62" s="58"/>
    </row>
    <row r="63" spans="1:35" s="128" customFormat="1" x14ac:dyDescent="0.2">
      <c r="A63" s="128" t="s">
        <v>69</v>
      </c>
      <c r="B63" s="128" t="s">
        <v>32</v>
      </c>
      <c r="C63" s="136">
        <v>86.308839415717415</v>
      </c>
      <c r="D63" s="19">
        <v>35.415017323763543</v>
      </c>
      <c r="E63" s="29">
        <v>0.58967102832674367</v>
      </c>
      <c r="F63" s="20">
        <v>-60.569831746307472</v>
      </c>
      <c r="G63" s="39">
        <v>-1.701780167087698</v>
      </c>
      <c r="H63" s="21">
        <v>-0.33481767340820512</v>
      </c>
      <c r="I63" s="21">
        <v>-0.13103535271525821</v>
      </c>
      <c r="J63" s="21">
        <v>0.89155124475766834</v>
      </c>
      <c r="K63" s="19">
        <v>-1.7102866615192931</v>
      </c>
      <c r="L63" s="22">
        <v>35.415017323763543</v>
      </c>
      <c r="M63" s="32">
        <v>0.58967102832674367</v>
      </c>
      <c r="N63" s="23">
        <v>-60.569831746307472</v>
      </c>
      <c r="O63" s="24">
        <v>-1.701780167087698</v>
      </c>
      <c r="P63" s="25">
        <v>-1.7102866615192931</v>
      </c>
      <c r="Q63" s="26"/>
      <c r="R63" s="26"/>
      <c r="S63" s="27">
        <v>6.040956866032187E-3</v>
      </c>
      <c r="U63" s="117">
        <f>C63*S63</f>
        <v>0.52138797606764753</v>
      </c>
      <c r="V63" s="117">
        <f>(1+S63)*R62*(1-U63)+S63</f>
        <v>2.2948795587745426E-2</v>
      </c>
      <c r="W63" s="117">
        <f>V63+I63/3</f>
        <v>-2.0729655317340643E-2</v>
      </c>
      <c r="X63" s="117">
        <f>V63+I63/5</f>
        <v>-3.2582749553062146E-3</v>
      </c>
      <c r="Y63" s="117">
        <f>V63-E63</f>
        <v>-0.56672223273899824</v>
      </c>
      <c r="AB63" s="100"/>
      <c r="AC63" s="117"/>
      <c r="AD63" s="117"/>
      <c r="AE63" s="117"/>
      <c r="AF63" s="117"/>
      <c r="AH63" s="27"/>
      <c r="AI63" s="58"/>
    </row>
    <row r="64" spans="1:35" s="128" customFormat="1" x14ac:dyDescent="0.2">
      <c r="A64" s="128" t="s">
        <v>55</v>
      </c>
      <c r="B64" s="128" t="s">
        <v>34</v>
      </c>
      <c r="C64" s="138">
        <v>3.3437467575192188</v>
      </c>
      <c r="D64" s="19">
        <v>2.5265329965380099</v>
      </c>
      <c r="E64" s="29">
        <v>0.24440061411454289</v>
      </c>
      <c r="F64" s="20">
        <v>11.234635001338271</v>
      </c>
      <c r="G64" s="39">
        <v>2.3598940996576641</v>
      </c>
      <c r="H64" s="21">
        <v>3.4792113243384382E-2</v>
      </c>
      <c r="I64" s="21">
        <v>0.27933279578829229</v>
      </c>
      <c r="J64" s="21">
        <v>0.46630800219463259</v>
      </c>
      <c r="K64" s="19">
        <v>4.4466607072745781</v>
      </c>
      <c r="L64" s="22">
        <v>2.5265329965380099</v>
      </c>
      <c r="M64" s="32">
        <v>0.24440061411454289</v>
      </c>
      <c r="N64" s="23">
        <v>5.7267343481572581</v>
      </c>
      <c r="O64" s="24">
        <v>0.71266987707107843</v>
      </c>
      <c r="P64" s="25">
        <v>2.2666374656512831</v>
      </c>
      <c r="Q64" s="26"/>
      <c r="R64" s="26"/>
      <c r="S64" s="27"/>
      <c r="V64" s="99"/>
      <c r="W64" s="102">
        <f>V62+I64/3</f>
        <v>0.14897087717076352</v>
      </c>
      <c r="X64" s="117">
        <f>V62+I64/5</f>
        <v>0.11172650439899121</v>
      </c>
      <c r="Y64" s="117">
        <f>V62-E64</f>
        <v>-0.18854066887321014</v>
      </c>
      <c r="Z64" s="100"/>
      <c r="AA64" s="100"/>
      <c r="AB64" s="100"/>
      <c r="AC64" s="117"/>
      <c r="AD64" s="117"/>
      <c r="AE64" s="117"/>
      <c r="AF64" s="117"/>
      <c r="AH64" s="27"/>
      <c r="AI64" s="58"/>
    </row>
    <row r="65" spans="1:35" s="128" customFormat="1" x14ac:dyDescent="0.2">
      <c r="A65" s="128">
        <v>2.36</v>
      </c>
      <c r="B65" s="128" t="s">
        <v>35</v>
      </c>
      <c r="C65" s="137">
        <v>3.0307080794067871</v>
      </c>
      <c r="D65" s="19">
        <v>2.1092329189035359</v>
      </c>
      <c r="E65" s="29">
        <v>0.30404616226964859</v>
      </c>
      <c r="F65" s="20">
        <v>10.42479831392837</v>
      </c>
      <c r="G65" s="39">
        <v>2.4397236687899229</v>
      </c>
      <c r="H65" s="21">
        <v>-4.0378881736096828E-2</v>
      </c>
      <c r="I65" s="21">
        <v>0.1497944221370342</v>
      </c>
      <c r="J65" s="21">
        <v>0.58833624217335045</v>
      </c>
      <c r="K65" s="19">
        <v>4.9424595171535648</v>
      </c>
      <c r="L65" s="22">
        <v>2.1092329189035359</v>
      </c>
      <c r="M65" s="32">
        <v>0.30404616226964859</v>
      </c>
      <c r="N65" s="23">
        <v>4.2286809112637123</v>
      </c>
      <c r="O65" s="24">
        <v>0.3952781991762826</v>
      </c>
      <c r="P65" s="25">
        <v>2.0048430277021989</v>
      </c>
      <c r="Q65" s="26"/>
      <c r="R65" s="26"/>
      <c r="S65" s="27"/>
      <c r="T65" s="58">
        <f>T62/C64</f>
        <v>1634.3642016880788</v>
      </c>
      <c r="U65" s="58"/>
      <c r="V65" s="58">
        <f>T62/C62</f>
        <v>122.24893394667536</v>
      </c>
      <c r="W65" s="117">
        <f>V63+I65/3</f>
        <v>7.2880269633423492E-2</v>
      </c>
      <c r="X65" s="117">
        <f>V63+I65/5</f>
        <v>5.2907680015152267E-2</v>
      </c>
      <c r="Y65" s="117">
        <f>V63-E65</f>
        <v>-0.28109736668190316</v>
      </c>
      <c r="Z65" s="100"/>
      <c r="AA65" s="100"/>
      <c r="AB65" s="100"/>
      <c r="AC65" s="117"/>
      <c r="AD65" s="117"/>
      <c r="AE65" s="117"/>
      <c r="AF65" s="117"/>
      <c r="AH65" s="27"/>
      <c r="AI65" s="58"/>
    </row>
    <row r="66" spans="1:35" x14ac:dyDescent="0.2">
      <c r="C66" s="1"/>
      <c r="D66" s="88"/>
      <c r="K66" s="88"/>
      <c r="L66" s="93"/>
      <c r="M66" s="94"/>
      <c r="N66" s="95"/>
      <c r="P66" s="97"/>
      <c r="Q66" s="98"/>
      <c r="R66" s="98"/>
    </row>
    <row r="67" spans="1:35" s="128" customFormat="1" x14ac:dyDescent="0.2">
      <c r="A67" s="128" t="s">
        <v>70</v>
      </c>
      <c r="B67" s="128" t="s">
        <v>30</v>
      </c>
      <c r="C67" s="137">
        <v>19.321000630193218</v>
      </c>
      <c r="D67" s="19">
        <v>10.30814432108231</v>
      </c>
      <c r="E67" s="29">
        <v>0.46647978961433217</v>
      </c>
      <c r="F67" s="20">
        <v>57.364009860112077</v>
      </c>
      <c r="G67" s="39">
        <v>1.9689978773909089</v>
      </c>
      <c r="H67" s="21">
        <v>-6.083902894900195E-2</v>
      </c>
      <c r="I67" s="21">
        <v>0.23485108945425859</v>
      </c>
      <c r="J67" s="21">
        <v>0.5496044536847513</v>
      </c>
      <c r="K67" s="19">
        <v>5.5649211025102456</v>
      </c>
      <c r="L67" s="22">
        <v>13.79678612493524</v>
      </c>
      <c r="M67" s="32">
        <v>0.28591761943349892</v>
      </c>
      <c r="N67" s="23">
        <v>46.024968552720672</v>
      </c>
      <c r="O67" s="24">
        <v>1.382121373196207</v>
      </c>
      <c r="P67" s="25">
        <v>3.3359195493752489</v>
      </c>
      <c r="Q67" s="26">
        <v>6.8201688122549439E-2</v>
      </c>
      <c r="R67" s="26">
        <v>4.4961587015798242E-2</v>
      </c>
      <c r="S67" s="27">
        <v>2.154159412572286E-2</v>
      </c>
      <c r="T67" s="128">
        <v>664</v>
      </c>
      <c r="U67" s="117">
        <f>C67*S67</f>
        <v>0.4162051536784579</v>
      </c>
      <c r="V67" s="117">
        <f>(1+S67)*Q67*(1-U67)+S67</f>
        <v>6.2215083837021283E-2</v>
      </c>
      <c r="W67" s="117">
        <f>V67+I67/3</f>
        <v>0.14049878032177415</v>
      </c>
      <c r="X67" s="117">
        <f>V67+I67/5</f>
        <v>0.109185301727873</v>
      </c>
      <c r="Y67" s="117">
        <f>V67-E67</f>
        <v>-0.40426470577731088</v>
      </c>
      <c r="Z67" s="100"/>
      <c r="AA67" s="100"/>
      <c r="AB67" s="100"/>
      <c r="AC67" s="117"/>
      <c r="AD67" s="117"/>
      <c r="AE67" s="117"/>
      <c r="AF67" s="117"/>
      <c r="AH67" s="27"/>
      <c r="AI67" s="58"/>
    </row>
    <row r="68" spans="1:35" s="128" customFormat="1" x14ac:dyDescent="0.2">
      <c r="A68" s="128" t="s">
        <v>71</v>
      </c>
      <c r="B68" s="128" t="s">
        <v>32</v>
      </c>
      <c r="C68" s="137">
        <v>27.608648106400612</v>
      </c>
      <c r="D68" s="19">
        <v>11.390210553827551</v>
      </c>
      <c r="E68" s="29">
        <v>0.58744048205725363</v>
      </c>
      <c r="F68" s="20">
        <v>66.825497724784654</v>
      </c>
      <c r="G68" s="39">
        <v>1.4204552670325159</v>
      </c>
      <c r="H68" s="21">
        <v>-0.1827975741813305</v>
      </c>
      <c r="I68" s="21">
        <v>4.2545163303118187E-2</v>
      </c>
      <c r="J68" s="21">
        <v>0.35697105485471542</v>
      </c>
      <c r="K68" s="19">
        <v>5.8669238298082824</v>
      </c>
      <c r="L68" s="22">
        <v>16.930968314192569</v>
      </c>
      <c r="M68" s="32">
        <v>0.38675127268301818</v>
      </c>
      <c r="N68" s="23">
        <v>66.825497724784654</v>
      </c>
      <c r="O68" s="24">
        <v>1.4204552670325159</v>
      </c>
      <c r="P68" s="25">
        <v>3.946938915996165</v>
      </c>
      <c r="Q68" s="26"/>
      <c r="R68" s="26"/>
      <c r="S68" s="27">
        <v>1.7897803039095259E-2</v>
      </c>
      <c r="U68" s="117">
        <f>C68*S68</f>
        <v>0.49413414598404842</v>
      </c>
      <c r="V68" s="117">
        <f>(1+S68)*R67*(1-U68)+S68</f>
        <v>4.104941179979231E-2</v>
      </c>
      <c r="W68" s="117">
        <f>V68+I68/3</f>
        <v>5.5231132900831703E-2</v>
      </c>
      <c r="X68" s="117">
        <f>V68+I68/5</f>
        <v>4.9558444460415949E-2</v>
      </c>
      <c r="Y68" s="117">
        <f>V68-E68</f>
        <v>-0.54639107025746136</v>
      </c>
      <c r="Z68" s="100"/>
      <c r="AA68" s="100"/>
      <c r="AB68" s="100"/>
      <c r="AC68" s="117"/>
      <c r="AD68" s="117"/>
      <c r="AE68" s="117"/>
      <c r="AF68" s="117"/>
      <c r="AH68" s="27"/>
      <c r="AI68" s="58"/>
    </row>
    <row r="69" spans="1:35" s="128" customFormat="1" x14ac:dyDescent="0.2">
      <c r="A69" s="128" t="s">
        <v>55</v>
      </c>
      <c r="B69" s="128" t="s">
        <v>34</v>
      </c>
      <c r="C69" s="138">
        <v>1.3177248591960189</v>
      </c>
      <c r="D69" s="19">
        <v>1.054030485481906</v>
      </c>
      <c r="E69" s="29">
        <v>0.20011337865705961</v>
      </c>
      <c r="F69" s="20">
        <v>5.5183506203486967</v>
      </c>
      <c r="G69" s="39">
        <v>3.1877866853901469</v>
      </c>
      <c r="H69" s="21">
        <v>0.1616681225963261</v>
      </c>
      <c r="I69" s="21">
        <v>0.38185323306427899</v>
      </c>
      <c r="J69" s="21">
        <v>0.57224726597419795</v>
      </c>
      <c r="K69" s="19">
        <v>5.2354753456923886</v>
      </c>
      <c r="L69" s="22">
        <v>1.054030485481906</v>
      </c>
      <c r="M69" s="32">
        <v>0.20011337865705961</v>
      </c>
      <c r="N69" s="23">
        <v>2.41990893377274</v>
      </c>
      <c r="O69" s="24">
        <v>0.836429598246476</v>
      </c>
      <c r="P69" s="25">
        <v>2.2958623750491909</v>
      </c>
      <c r="Q69" s="26"/>
      <c r="R69" s="26"/>
      <c r="S69" s="27"/>
      <c r="V69" s="99"/>
      <c r="W69" s="117">
        <f>V67+I69/3</f>
        <v>0.18949949485844761</v>
      </c>
      <c r="X69" s="117">
        <f>V67+I69/5</f>
        <v>0.13858573044987707</v>
      </c>
      <c r="Y69" s="117">
        <f>V67-E69</f>
        <v>-0.13789829482003832</v>
      </c>
      <c r="Z69" s="100"/>
      <c r="AA69" s="100"/>
      <c r="AB69" s="100"/>
      <c r="AC69" s="117"/>
      <c r="AD69" s="117"/>
      <c r="AE69" s="117"/>
      <c r="AF69" s="117"/>
      <c r="AH69" s="27"/>
      <c r="AI69" s="58"/>
    </row>
    <row r="70" spans="1:35" s="128" customFormat="1" x14ac:dyDescent="0.2">
      <c r="A70" s="128">
        <v>3.34</v>
      </c>
      <c r="B70" s="128" t="s">
        <v>35</v>
      </c>
      <c r="C70" s="138">
        <v>1.241328634224484</v>
      </c>
      <c r="D70" s="19">
        <v>1.0299969084815259</v>
      </c>
      <c r="E70" s="29">
        <v>0.1702463956089979</v>
      </c>
      <c r="F70" s="20">
        <v>5.8355818875013981</v>
      </c>
      <c r="G70" s="39">
        <v>3.7010773187771959</v>
      </c>
      <c r="H70" s="21">
        <v>0.24297836855969729</v>
      </c>
      <c r="I70" s="21">
        <v>0.51011373951958894</v>
      </c>
      <c r="J70" s="21">
        <v>0.78240199672945976</v>
      </c>
      <c r="K70" s="19">
        <v>5.6656304882550694</v>
      </c>
      <c r="L70" s="22">
        <v>1.0299969084815259</v>
      </c>
      <c r="M70" s="32">
        <v>0.1702463956089979</v>
      </c>
      <c r="N70" s="23">
        <v>2.3435171332968379</v>
      </c>
      <c r="O70" s="24">
        <v>0.88791031535411458</v>
      </c>
      <c r="P70" s="25">
        <v>2.275266181868226</v>
      </c>
      <c r="Q70" s="26"/>
      <c r="R70" s="26"/>
      <c r="S70" s="27"/>
      <c r="V70" s="99"/>
      <c r="W70" s="117">
        <f>V68+I70/3</f>
        <v>0.2110873249729886</v>
      </c>
      <c r="X70" s="117">
        <f>V68+I70/5</f>
        <v>0.14307215970371009</v>
      </c>
      <c r="Y70" s="117">
        <f>V68-E70</f>
        <v>-0.12919698380920558</v>
      </c>
      <c r="Z70" s="100"/>
      <c r="AA70" s="100"/>
      <c r="AB70" s="100"/>
      <c r="AC70" s="117"/>
      <c r="AD70" s="117"/>
      <c r="AE70" s="117"/>
      <c r="AF70" s="117"/>
      <c r="AH70" s="27"/>
      <c r="AI70" s="58"/>
    </row>
    <row r="71" spans="1:35" x14ac:dyDescent="0.2">
      <c r="C71" s="99"/>
      <c r="D71" s="12"/>
      <c r="K71" s="88"/>
      <c r="L71" s="93"/>
      <c r="M71" s="94"/>
      <c r="N71" s="95"/>
      <c r="P71" s="97"/>
      <c r="Q71" s="98"/>
      <c r="R71" s="98"/>
    </row>
    <row r="72" spans="1:35" s="128" customFormat="1" x14ac:dyDescent="0.2">
      <c r="A72" s="128" t="s">
        <v>72</v>
      </c>
      <c r="B72" s="128" t="s">
        <v>30</v>
      </c>
      <c r="C72" s="138">
        <v>24.44571003998438</v>
      </c>
      <c r="D72" s="19">
        <v>18.527065718247879</v>
      </c>
      <c r="E72" s="29">
        <v>0.2421138233275176</v>
      </c>
      <c r="F72" s="20">
        <v>64.568835216617501</v>
      </c>
      <c r="G72" s="39">
        <v>1.641315597338189</v>
      </c>
      <c r="H72" s="21">
        <v>8.3905986869924787E-2</v>
      </c>
      <c r="I72" s="21">
        <v>0.30878845162455509</v>
      </c>
      <c r="J72" s="21">
        <v>0.45728620136705361</v>
      </c>
      <c r="K72" s="19">
        <v>3.4851085540772742</v>
      </c>
      <c r="L72" s="22">
        <v>18.527065718247879</v>
      </c>
      <c r="M72" s="32">
        <v>0.2421138233275176</v>
      </c>
      <c r="N72" s="23">
        <v>44.0181073733524</v>
      </c>
      <c r="O72" s="24">
        <v>0.80064752880381151</v>
      </c>
      <c r="P72" s="25">
        <v>2.375881213072915</v>
      </c>
      <c r="Q72" s="26">
        <v>0.139519345254771</v>
      </c>
      <c r="R72" s="26">
        <v>0.12609479506143881</v>
      </c>
      <c r="S72" s="27">
        <v>1.0619662194375041E-2</v>
      </c>
      <c r="T72" s="128">
        <v>7683.73</v>
      </c>
      <c r="U72" s="117">
        <f>C72*S72</f>
        <v>0.25960518272627647</v>
      </c>
      <c r="V72" s="117">
        <f>(1+S72)*Q72*(1-U72)+S72</f>
        <v>0.11501606706475727</v>
      </c>
      <c r="W72" s="117">
        <f>V72+I72/3</f>
        <v>0.21794555093960896</v>
      </c>
      <c r="X72" s="117">
        <f>V72+I72/5</f>
        <v>0.17677375738966827</v>
      </c>
      <c r="Y72" s="117">
        <f>V72-E72</f>
        <v>-0.12709775626276032</v>
      </c>
      <c r="Z72" s="100">
        <v>10.5</v>
      </c>
      <c r="AA72" s="76">
        <f>Z72*E74</f>
        <v>2.6272849531456854</v>
      </c>
      <c r="AB72" s="100"/>
      <c r="AC72" s="117"/>
      <c r="AD72" s="117"/>
      <c r="AE72" s="117"/>
      <c r="AF72" s="117"/>
      <c r="AH72" s="27"/>
      <c r="AI72" s="58"/>
    </row>
    <row r="73" spans="1:35" s="128" customFormat="1" x14ac:dyDescent="0.2">
      <c r="A73" s="128" t="s">
        <v>73</v>
      </c>
      <c r="B73" s="128" t="s">
        <v>32</v>
      </c>
      <c r="C73" s="138">
        <v>23.024268126288352</v>
      </c>
      <c r="D73" s="19">
        <v>17.454615305836761</v>
      </c>
      <c r="E73" s="29">
        <v>0.24190357712575211</v>
      </c>
      <c r="F73" s="20">
        <v>2773.7208387972978</v>
      </c>
      <c r="G73" s="39">
        <v>119.4694465675699</v>
      </c>
      <c r="H73" s="21">
        <v>0.13358786528232411</v>
      </c>
      <c r="I73" s="21">
        <v>0.37946519329176409</v>
      </c>
      <c r="J73" s="21">
        <v>0.70124950947483655</v>
      </c>
      <c r="K73" s="19">
        <v>158.91045377950991</v>
      </c>
      <c r="L73" s="22">
        <v>17.454615305836761</v>
      </c>
      <c r="M73" s="32">
        <v>0.24190357712575211</v>
      </c>
      <c r="N73" s="23">
        <v>2773.7208387972978</v>
      </c>
      <c r="O73" s="24">
        <v>119.4694465675699</v>
      </c>
      <c r="P73" s="25">
        <v>158.91045377950991</v>
      </c>
      <c r="Q73" s="26"/>
      <c r="R73" s="26"/>
      <c r="S73" s="27">
        <v>1.227929076542879E-2</v>
      </c>
      <c r="U73" s="117">
        <f>C73*S73</f>
        <v>0.282721682983889</v>
      </c>
      <c r="V73" s="117">
        <f>(1+S73)*R72*(1-U73)+S73</f>
        <v>0.10383495437092605</v>
      </c>
      <c r="W73" s="117">
        <f>V73+I73/3</f>
        <v>0.23032335213484742</v>
      </c>
      <c r="X73" s="117">
        <f>V73+I73/5</f>
        <v>0.17972799302927886</v>
      </c>
      <c r="Y73" s="117">
        <f>V73-E73</f>
        <v>-0.13806862275482606</v>
      </c>
      <c r="Z73" s="100"/>
      <c r="AA73" s="117">
        <f>AA72/($AB$2)</f>
        <v>5.6018868937008214E-2</v>
      </c>
      <c r="AB73" s="100"/>
      <c r="AC73" s="117"/>
      <c r="AD73" s="117"/>
      <c r="AE73" s="117"/>
      <c r="AF73" s="117"/>
      <c r="AH73" s="27"/>
      <c r="AI73" s="58"/>
    </row>
    <row r="74" spans="1:35" s="128" customFormat="1" x14ac:dyDescent="0.2">
      <c r="A74" s="128" t="s">
        <v>74</v>
      </c>
      <c r="B74" s="128" t="s">
        <v>34</v>
      </c>
      <c r="C74" s="138">
        <v>3.4106494590666032</v>
      </c>
      <c r="D74" s="19">
        <v>2.5572448872323021</v>
      </c>
      <c r="E74" s="29">
        <v>0.25021761458530339</v>
      </c>
      <c r="F74" s="20">
        <v>7.672171499985196</v>
      </c>
      <c r="G74" s="39">
        <v>1.2494752369200821</v>
      </c>
      <c r="H74" s="21">
        <v>9.6634480807300527E-3</v>
      </c>
      <c r="I74" s="21">
        <v>0.17456624086909961</v>
      </c>
      <c r="J74" s="21">
        <v>0.31045844787831173</v>
      </c>
      <c r="K74" s="19">
        <v>3.0001708237996572</v>
      </c>
      <c r="L74" s="22">
        <v>2.5572448872323021</v>
      </c>
      <c r="M74" s="32">
        <v>0.25021761458530339</v>
      </c>
      <c r="N74" s="23">
        <v>5.3697391194484636</v>
      </c>
      <c r="O74" s="24">
        <v>0.57440369756380871</v>
      </c>
      <c r="P74" s="25">
        <v>2.0998141970126749</v>
      </c>
      <c r="Q74" s="26"/>
      <c r="R74" s="26"/>
      <c r="S74" s="27"/>
      <c r="V74" s="99"/>
      <c r="W74" s="117">
        <f>V72+I74/3</f>
        <v>0.17320481402112381</v>
      </c>
      <c r="X74" s="117">
        <f>V72+I74/5</f>
        <v>0.14992931523857719</v>
      </c>
      <c r="Y74" s="117">
        <f>V72-E74</f>
        <v>-0.13520154752054614</v>
      </c>
      <c r="Z74" s="100"/>
      <c r="AA74" s="100"/>
      <c r="AB74" s="100"/>
      <c r="AC74" s="117"/>
      <c r="AD74" s="117"/>
      <c r="AE74" s="117"/>
      <c r="AF74" s="117"/>
      <c r="AH74" s="27"/>
      <c r="AI74" s="58"/>
    </row>
    <row r="75" spans="1:35" s="128" customFormat="1" x14ac:dyDescent="0.2">
      <c r="A75" s="128">
        <v>2.72</v>
      </c>
      <c r="B75" s="128" t="s">
        <v>35</v>
      </c>
      <c r="C75" s="137">
        <v>2.9032403708239469</v>
      </c>
      <c r="D75" s="19">
        <v>2.1483822889954278</v>
      </c>
      <c r="E75" s="29">
        <v>0.26000536828243681</v>
      </c>
      <c r="F75" s="20">
        <v>7.4650365900973421</v>
      </c>
      <c r="G75" s="39">
        <v>1.5712774819188491</v>
      </c>
      <c r="H75" s="21">
        <v>-2.3972847932487551E-2</v>
      </c>
      <c r="I75" s="21">
        <v>0.10870049498013799</v>
      </c>
      <c r="J75" s="21">
        <v>0.37617009319115019</v>
      </c>
      <c r="K75" s="19">
        <v>3.4747245070559361</v>
      </c>
      <c r="L75" s="22">
        <v>2.1483822889954278</v>
      </c>
      <c r="M75" s="32">
        <v>0.26000536828243681</v>
      </c>
      <c r="N75" s="23">
        <v>3.9513289250006669</v>
      </c>
      <c r="O75" s="24">
        <v>0.36100646874074349</v>
      </c>
      <c r="P75" s="25">
        <v>1.8392112731707011</v>
      </c>
      <c r="Q75" s="26"/>
      <c r="R75" s="26"/>
      <c r="S75" s="27"/>
      <c r="T75" s="58">
        <f>T72/C74</f>
        <v>2252.8641809184387</v>
      </c>
      <c r="U75" s="58"/>
      <c r="V75" s="58">
        <f>T72/C72</f>
        <v>314.31813546966663</v>
      </c>
      <c r="W75" s="117">
        <f>V73+I75/3</f>
        <v>0.14006845269763871</v>
      </c>
      <c r="X75" s="117">
        <f>V73+I75/5</f>
        <v>0.12557505336695365</v>
      </c>
      <c r="Y75" s="117">
        <f>V73-E75</f>
        <v>-0.15617041391151076</v>
      </c>
      <c r="Z75" s="100"/>
      <c r="AA75" s="100"/>
      <c r="AB75" s="100"/>
      <c r="AC75" s="117"/>
      <c r="AD75" s="117"/>
      <c r="AE75" s="117"/>
      <c r="AF75" s="117"/>
      <c r="AH75" s="27"/>
      <c r="AI75" s="58"/>
    </row>
    <row r="76" spans="1:35" x14ac:dyDescent="0.2">
      <c r="M76" s="94"/>
      <c r="N76" s="95"/>
      <c r="P76" s="97"/>
      <c r="Q76" s="98"/>
      <c r="R76" s="98"/>
    </row>
    <row r="77" spans="1:35" s="128" customFormat="1" x14ac:dyDescent="0.2">
      <c r="A77" s="128" t="s">
        <v>75</v>
      </c>
      <c r="B77" s="128" t="s">
        <v>30</v>
      </c>
      <c r="C77" s="138">
        <v>40.763031896664813</v>
      </c>
      <c r="D77" s="19">
        <v>27.220752475369501</v>
      </c>
      <c r="E77" s="29">
        <v>0.33221963115072722</v>
      </c>
      <c r="F77" s="20">
        <v>138.1733604886787</v>
      </c>
      <c r="G77" s="39">
        <v>2.3896732912054039</v>
      </c>
      <c r="H77" s="21">
        <v>1.9454690128715368E-2</v>
      </c>
      <c r="I77" s="21">
        <v>0.31649179963764479</v>
      </c>
      <c r="J77" s="21">
        <v>0.5392029730600878</v>
      </c>
      <c r="K77" s="19">
        <v>5.0760301580091811</v>
      </c>
      <c r="L77" s="22">
        <v>27.220752475369501</v>
      </c>
      <c r="M77" s="32">
        <v>0.33221963115072722</v>
      </c>
      <c r="N77" s="23">
        <v>79.682616821681123</v>
      </c>
      <c r="O77" s="24">
        <v>0.95477650003263537</v>
      </c>
      <c r="P77" s="25">
        <v>2.9272745819125081</v>
      </c>
      <c r="Q77" s="26">
        <v>0.1259952318693528</v>
      </c>
      <c r="R77" s="26">
        <v>0.11280075664858739</v>
      </c>
      <c r="S77" s="27">
        <v>5.3201339729403441E-3</v>
      </c>
      <c r="T77" s="128">
        <v>2449.35</v>
      </c>
      <c r="U77" s="117">
        <f>C77*S77</f>
        <v>0.21686479083349733</v>
      </c>
      <c r="V77" s="102">
        <f>(1+S77)*Q77*(1-U77)+S77</f>
        <v>0.10451638078425686</v>
      </c>
      <c r="W77" s="102">
        <f>V77+I77/3</f>
        <v>0.21001364733013844</v>
      </c>
      <c r="X77" s="117">
        <f>V77+I77/5</f>
        <v>0.16781474071178581</v>
      </c>
      <c r="Y77" s="117">
        <f>V77-E77</f>
        <v>-0.22770325036647038</v>
      </c>
      <c r="Z77" s="100"/>
      <c r="AA77" s="100"/>
      <c r="AB77" s="100"/>
      <c r="AC77" s="117"/>
      <c r="AD77" s="36"/>
      <c r="AE77" s="117"/>
      <c r="AF77" s="117"/>
      <c r="AH77" s="27"/>
      <c r="AI77" s="58"/>
    </row>
    <row r="78" spans="1:35" s="128" customFormat="1" x14ac:dyDescent="0.2">
      <c r="A78" s="128" t="s">
        <v>76</v>
      </c>
      <c r="B78" s="128" t="s">
        <v>32</v>
      </c>
      <c r="C78" s="138">
        <v>33.846220265130583</v>
      </c>
      <c r="D78" s="19">
        <v>25.553319270160131</v>
      </c>
      <c r="E78" s="29">
        <v>0.24501704858057821</v>
      </c>
      <c r="F78" s="20">
        <v>224.9279481178088</v>
      </c>
      <c r="G78" s="39">
        <v>5.6455854259607392</v>
      </c>
      <c r="H78" s="21">
        <v>0.1962384721691246</v>
      </c>
      <c r="I78" s="21">
        <v>0.63501548028273125</v>
      </c>
      <c r="J78" s="21">
        <v>1.0299589068404551</v>
      </c>
      <c r="K78" s="19">
        <v>8.8022986657732663</v>
      </c>
      <c r="L78" s="22">
        <v>25.553319270160131</v>
      </c>
      <c r="M78" s="32">
        <v>0.24501704858057821</v>
      </c>
      <c r="N78" s="23">
        <v>224.9279481178088</v>
      </c>
      <c r="O78" s="24">
        <v>5.6455854259607392</v>
      </c>
      <c r="P78" s="25">
        <v>8.8022986657732663</v>
      </c>
      <c r="Q78" s="26"/>
      <c r="R78" s="26"/>
      <c r="S78" s="27">
        <v>7.5627671142555622E-3</v>
      </c>
      <c r="U78" s="117">
        <f>C78*S78</f>
        <v>0.25597108156297976</v>
      </c>
      <c r="V78" s="117">
        <f>(1+S78)*R77*(1-U78)+S78</f>
        <v>9.2124512626807806E-2</v>
      </c>
      <c r="W78" s="117">
        <f>V78+I78/3</f>
        <v>0.30379633938771822</v>
      </c>
      <c r="X78" s="117">
        <f>V78+I78/5</f>
        <v>0.21912760868335407</v>
      </c>
      <c r="Y78" s="117">
        <f>V78-E78</f>
        <v>-0.15289253595377039</v>
      </c>
      <c r="Z78" s="100"/>
      <c r="AA78" s="100"/>
      <c r="AB78" s="100"/>
      <c r="AC78" s="117"/>
      <c r="AD78" s="117"/>
      <c r="AE78" s="117"/>
      <c r="AF78" s="117"/>
      <c r="AH78" s="27"/>
      <c r="AI78" s="58"/>
    </row>
    <row r="79" spans="1:35" s="128" customFormat="1" x14ac:dyDescent="0.2">
      <c r="A79" s="128" t="s">
        <v>77</v>
      </c>
      <c r="B79" s="128" t="s">
        <v>34</v>
      </c>
      <c r="C79" s="137">
        <v>5.1359476555181072</v>
      </c>
      <c r="D79" s="19">
        <v>3.1572712445385789</v>
      </c>
      <c r="E79" s="29">
        <v>0.38526023699903178</v>
      </c>
      <c r="F79" s="20">
        <v>15.04658790429591</v>
      </c>
      <c r="G79" s="39">
        <v>1.9296614594834749</v>
      </c>
      <c r="H79" s="21">
        <v>-0.1110419226787376</v>
      </c>
      <c r="I79" s="21">
        <v>0.13960416989247609</v>
      </c>
      <c r="J79" s="21">
        <v>0.49524366608516579</v>
      </c>
      <c r="K79" s="19">
        <v>4.7656937712663634</v>
      </c>
      <c r="L79" s="22">
        <v>3.1572712445385789</v>
      </c>
      <c r="M79" s="32">
        <v>0.38526023699903178</v>
      </c>
      <c r="N79" s="23">
        <v>9.5803712484075412</v>
      </c>
      <c r="O79" s="24">
        <v>0.86535609219348375</v>
      </c>
      <c r="P79" s="25">
        <v>3.0343833349698999</v>
      </c>
      <c r="Q79" s="26"/>
      <c r="R79" s="26"/>
      <c r="S79" s="27"/>
      <c r="V79" s="99"/>
      <c r="W79" s="102">
        <f>V77+I79/3</f>
        <v>0.15105110408174888</v>
      </c>
      <c r="X79" s="117">
        <f>V77+I79/5</f>
        <v>0.13243721476275208</v>
      </c>
      <c r="Y79" s="117">
        <f>V77-E79</f>
        <v>-0.28074385621477493</v>
      </c>
      <c r="Z79" s="100"/>
      <c r="AA79" s="100"/>
      <c r="AB79" s="100"/>
      <c r="AC79" s="117"/>
      <c r="AD79" s="117"/>
      <c r="AE79" s="117"/>
      <c r="AF79" s="117"/>
      <c r="AH79" s="27"/>
      <c r="AI79" s="58"/>
    </row>
    <row r="80" spans="1:35" s="128" customFormat="1" x14ac:dyDescent="0.2">
      <c r="A80" s="128">
        <v>5.21</v>
      </c>
      <c r="B80" s="128" t="s">
        <v>35</v>
      </c>
      <c r="C80" s="137">
        <v>3.8178792556014809</v>
      </c>
      <c r="D80" s="19">
        <v>2.428096719071096</v>
      </c>
      <c r="E80" s="29">
        <v>0.36401951017474848</v>
      </c>
      <c r="F80" s="20">
        <v>12.525966435214491</v>
      </c>
      <c r="G80" s="39">
        <v>2.2808702414663209</v>
      </c>
      <c r="H80" s="21">
        <v>-8.6095279014917425E-2</v>
      </c>
      <c r="I80" s="21">
        <v>0.17601956679459499</v>
      </c>
      <c r="J80" s="21">
        <v>0.4676012625981647</v>
      </c>
      <c r="K80" s="19">
        <v>5.1587592606304744</v>
      </c>
      <c r="L80" s="22">
        <v>2.428096719071096</v>
      </c>
      <c r="M80" s="32">
        <v>0.36401951017474848</v>
      </c>
      <c r="N80" s="23">
        <v>6.1093533974411729</v>
      </c>
      <c r="O80" s="24">
        <v>0.60019555057371399</v>
      </c>
      <c r="P80" s="25">
        <v>2.5161079249670069</v>
      </c>
      <c r="Q80" s="26"/>
      <c r="R80" s="26"/>
      <c r="S80" s="27"/>
      <c r="V80" s="99"/>
      <c r="W80" s="117">
        <f>V78+I80/3</f>
        <v>0.15079770155833946</v>
      </c>
      <c r="X80" s="117">
        <f>V78+I80/5</f>
        <v>0.1273284259857268</v>
      </c>
      <c r="Y80" s="117">
        <f>V78-E80</f>
        <v>-0.27189499754794066</v>
      </c>
      <c r="Z80" s="100"/>
      <c r="AA80" s="100"/>
      <c r="AB80" s="100"/>
      <c r="AC80" s="117"/>
      <c r="AD80" s="117"/>
      <c r="AE80" s="117"/>
      <c r="AF80" s="117"/>
      <c r="AH80" s="27"/>
      <c r="AI80" s="58"/>
    </row>
    <row r="81" spans="1:35" x14ac:dyDescent="0.2">
      <c r="C81" s="1"/>
      <c r="D81" s="88"/>
      <c r="K81" s="88"/>
      <c r="L81" s="93"/>
      <c r="M81" s="94"/>
      <c r="N81" s="95"/>
      <c r="P81" s="97"/>
      <c r="Q81" s="98"/>
      <c r="R81" s="98"/>
    </row>
    <row r="82" spans="1:35" x14ac:dyDescent="0.2">
      <c r="A82" t="s">
        <v>78</v>
      </c>
      <c r="B82" t="s">
        <v>30</v>
      </c>
      <c r="C82" s="142">
        <v>38.635747333814699</v>
      </c>
      <c r="D82" s="88">
        <v>27.428408322944431</v>
      </c>
      <c r="E82" s="89">
        <v>0.29007693093233911</v>
      </c>
      <c r="F82" s="90">
        <v>142.3028730323945</v>
      </c>
      <c r="G82" s="91">
        <v>2.683191936288714</v>
      </c>
      <c r="H82" s="92">
        <v>6.6609341277993117E-2</v>
      </c>
      <c r="I82" s="92">
        <v>0.37796633082077441</v>
      </c>
      <c r="J82" s="92">
        <v>0.8278865550418093</v>
      </c>
      <c r="K82" s="88">
        <v>5.188156430986016</v>
      </c>
      <c r="L82" s="93">
        <v>27.428408322944431</v>
      </c>
      <c r="M82" s="94">
        <v>0.29007693093233911</v>
      </c>
      <c r="N82" s="95">
        <v>106.7499380564177</v>
      </c>
      <c r="O82" s="96">
        <v>1.7629836465719979</v>
      </c>
      <c r="P82" s="97">
        <v>3.8919479686730192</v>
      </c>
      <c r="Q82" s="98">
        <v>0.15260994341082659</v>
      </c>
      <c r="R82" s="98">
        <v>0.12834614543581679</v>
      </c>
      <c r="S82" s="99">
        <v>4.3277711691119122E-3</v>
      </c>
      <c r="T82">
        <v>2428.33</v>
      </c>
      <c r="U82" s="117">
        <f>C82*S82</f>
        <v>0.16720667340837569</v>
      </c>
      <c r="V82" s="117">
        <f>(1+S82)*Q82*(1-U82)+S82</f>
        <v>0.13197034105417224</v>
      </c>
      <c r="W82" s="117">
        <f>V82+I82/3</f>
        <v>0.25795911799443039</v>
      </c>
      <c r="X82" s="117">
        <f>V82+I82/5</f>
        <v>0.20756360721832712</v>
      </c>
      <c r="Y82" s="117">
        <f>V82-E82</f>
        <v>-0.15810658987816686</v>
      </c>
      <c r="Z82" s="100"/>
      <c r="AA82" s="100"/>
      <c r="AB82" s="100"/>
      <c r="AI82" s="58"/>
    </row>
    <row r="83" spans="1:35" x14ac:dyDescent="0.2">
      <c r="A83" t="s">
        <v>79</v>
      </c>
      <c r="B83" t="s">
        <v>32</v>
      </c>
      <c r="C83" s="142">
        <v>32.028966332578321</v>
      </c>
      <c r="D83" s="88">
        <v>23.321425317636159</v>
      </c>
      <c r="E83" s="89">
        <v>0.27186456548506438</v>
      </c>
      <c r="F83" s="90">
        <v>271.34301741640928</v>
      </c>
      <c r="G83" s="91">
        <v>7.4718006381745834</v>
      </c>
      <c r="H83" s="92">
        <v>6.2777539455835418E-2</v>
      </c>
      <c r="I83" s="92">
        <v>0.75694844473817224</v>
      </c>
      <c r="J83" s="92">
        <v>1.555836990493062</v>
      </c>
      <c r="K83" s="88">
        <v>11.63492426902458</v>
      </c>
      <c r="L83" s="93">
        <v>23.321425317636159</v>
      </c>
      <c r="M83" s="94">
        <v>0.27186456548506438</v>
      </c>
      <c r="N83" s="95">
        <v>271.34301741640928</v>
      </c>
      <c r="O83" s="96">
        <v>7.4718006381745834</v>
      </c>
      <c r="P83" s="97">
        <v>11.63492426902458</v>
      </c>
      <c r="Q83" s="98"/>
      <c r="R83" s="98"/>
      <c r="S83" s="99">
        <v>5.2620283637916654E-3</v>
      </c>
      <c r="U83" s="117">
        <f>C83*S83</f>
        <v>0.16853732930495544</v>
      </c>
      <c r="V83" s="117">
        <f>(1+S83)*R82*(1-U83)+S83</f>
        <v>0.1125385947299614</v>
      </c>
      <c r="W83" s="117">
        <f>V83+I83/3</f>
        <v>0.36485474297601883</v>
      </c>
      <c r="X83" s="117">
        <f>V83+I83/5</f>
        <v>0.26392828367759585</v>
      </c>
      <c r="Y83" s="117">
        <f>V83-E83</f>
        <v>-0.15932597075510296</v>
      </c>
      <c r="Z83" s="100"/>
      <c r="AA83" s="100"/>
      <c r="AB83" s="100"/>
      <c r="AI83" s="58"/>
    </row>
    <row r="84" spans="1:35" x14ac:dyDescent="0.2">
      <c r="A84" t="s">
        <v>80</v>
      </c>
      <c r="B84" t="s">
        <v>34</v>
      </c>
      <c r="C84" s="140">
        <v>5.8961992142484556</v>
      </c>
      <c r="D84" s="88">
        <v>3.14732632607552</v>
      </c>
      <c r="E84" s="89">
        <v>0.46621099258826759</v>
      </c>
      <c r="F84" s="90">
        <v>16.238171368219149</v>
      </c>
      <c r="G84" s="91">
        <v>1.754006569007845</v>
      </c>
      <c r="H84" s="92">
        <v>-0.19180409795364761</v>
      </c>
      <c r="I84" s="92">
        <v>8.4995570284604804E-2</v>
      </c>
      <c r="J84" s="92">
        <v>0.54469500641366708</v>
      </c>
      <c r="K84" s="88">
        <v>5.1593542219268143</v>
      </c>
      <c r="L84" s="93">
        <v>3.14732632607552</v>
      </c>
      <c r="M84" s="94">
        <v>0.46621099258826759</v>
      </c>
      <c r="N84" s="95">
        <v>11.728809761332061</v>
      </c>
      <c r="O84" s="96">
        <v>0.98921531229623527</v>
      </c>
      <c r="P84" s="97">
        <v>3.7265947493779601</v>
      </c>
      <c r="Q84" s="98"/>
      <c r="R84" s="98"/>
      <c r="W84" s="117">
        <f>V82+I84/3</f>
        <v>0.16030219781570718</v>
      </c>
      <c r="X84" s="117">
        <f>V82+I84/5</f>
        <v>0.14896945511109319</v>
      </c>
      <c r="Y84" s="117">
        <f>V82-E84</f>
        <v>-0.33424065153409532</v>
      </c>
      <c r="Z84" s="100"/>
      <c r="AA84" s="100"/>
      <c r="AB84" s="100"/>
      <c r="AI84" s="58"/>
    </row>
    <row r="85" spans="1:35" x14ac:dyDescent="0.2">
      <c r="A85">
        <v>5.13</v>
      </c>
      <c r="B85" t="s">
        <v>35</v>
      </c>
      <c r="C85" s="140">
        <v>4.1107943710799777</v>
      </c>
      <c r="D85" s="88">
        <v>2.60957623713522</v>
      </c>
      <c r="E85" s="89">
        <v>0.36518930367961</v>
      </c>
      <c r="F85" s="90">
        <v>13.04346469936333</v>
      </c>
      <c r="G85" s="91">
        <v>2.1729791183733149</v>
      </c>
      <c r="H85" s="92">
        <v>-0.10220372240299019</v>
      </c>
      <c r="I85" s="92">
        <v>0.15026252793512551</v>
      </c>
      <c r="J85" s="92">
        <v>0.44560997472318081</v>
      </c>
      <c r="K85" s="88">
        <v>4.9983075848676419</v>
      </c>
      <c r="L85" s="93">
        <v>2.60957623713522</v>
      </c>
      <c r="M85" s="94">
        <v>0.36518930367961</v>
      </c>
      <c r="N85" s="95">
        <v>6.7133395074905824</v>
      </c>
      <c r="O85" s="96">
        <v>0.63310029679905133</v>
      </c>
      <c r="P85" s="97">
        <v>2.5725784178892011</v>
      </c>
      <c r="Q85" s="98"/>
      <c r="R85" s="98"/>
      <c r="W85" s="117">
        <f>V83+I85/3</f>
        <v>0.16262610404166991</v>
      </c>
      <c r="X85" s="117">
        <f>V83+I85/5</f>
        <v>0.14259110031698652</v>
      </c>
      <c r="Y85" s="117">
        <f>V83-E85</f>
        <v>-0.25265070894964858</v>
      </c>
      <c r="Z85" s="100"/>
      <c r="AA85" s="100"/>
      <c r="AB85" s="100"/>
      <c r="AI85" s="58"/>
    </row>
    <row r="86" spans="1:35" x14ac:dyDescent="0.2">
      <c r="C86" s="1"/>
      <c r="D86" s="88"/>
      <c r="K86" s="88"/>
      <c r="L86" s="93"/>
      <c r="M86" s="94"/>
      <c r="N86" s="95"/>
      <c r="P86" s="97"/>
      <c r="Q86" s="98"/>
      <c r="R86" s="98"/>
    </row>
    <row r="87" spans="1:35" x14ac:dyDescent="0.2">
      <c r="A87" t="s">
        <v>81</v>
      </c>
      <c r="B87" t="s">
        <v>30</v>
      </c>
      <c r="C87" s="141">
        <v>22.898339854747839</v>
      </c>
      <c r="D87" s="88">
        <v>17.03623931364481</v>
      </c>
      <c r="E87" s="89">
        <v>0.25600548241874221</v>
      </c>
      <c r="F87" s="90">
        <v>36.188208734029409</v>
      </c>
      <c r="G87" s="91">
        <v>0.58038569449068533</v>
      </c>
      <c r="H87" s="92">
        <v>-0.12900252713519081</v>
      </c>
      <c r="I87" s="92">
        <v>-1.182063533986066E-2</v>
      </c>
      <c r="J87" s="92">
        <v>0.1761980133466452</v>
      </c>
      <c r="K87" s="88">
        <v>2.1241899733731282</v>
      </c>
      <c r="L87" s="93">
        <v>17.03623931364481</v>
      </c>
      <c r="M87" s="94">
        <v>0.25600548241874221</v>
      </c>
      <c r="N87" s="95">
        <v>31.436689188709732</v>
      </c>
      <c r="O87" s="96">
        <v>0.37288071485197699</v>
      </c>
      <c r="P87" s="97">
        <v>1.8452833756292211</v>
      </c>
      <c r="Q87" s="98">
        <v>0.10431809648754641</v>
      </c>
      <c r="R87" s="98">
        <v>7.4469163181177994E-2</v>
      </c>
      <c r="S87" s="99">
        <v>1.9867718161311349E-2</v>
      </c>
      <c r="T87">
        <v>6839.08</v>
      </c>
      <c r="U87" s="117">
        <f>C87*S87</f>
        <v>0.45493776259605312</v>
      </c>
      <c r="V87" s="117">
        <f>(1+S87)*Q87*(1-U87)+S87</f>
        <v>7.7857248809822005E-2</v>
      </c>
      <c r="W87" s="117">
        <f>V87+I87/3</f>
        <v>7.3917037029868446E-2</v>
      </c>
      <c r="X87" s="117">
        <f>V87+I87/5</f>
        <v>7.549312174184987E-2</v>
      </c>
      <c r="Y87" s="117">
        <f>V87-E87</f>
        <v>-0.17814823360892021</v>
      </c>
      <c r="Z87" s="100"/>
      <c r="AA87" s="100"/>
      <c r="AB87" s="100"/>
      <c r="AI87" s="58"/>
    </row>
    <row r="88" spans="1:35" x14ac:dyDescent="0.2">
      <c r="A88" t="s">
        <v>82</v>
      </c>
      <c r="B88" t="s">
        <v>32</v>
      </c>
      <c r="C88" s="141">
        <v>32.675800844038363</v>
      </c>
      <c r="D88" s="88">
        <v>19.174839827452221</v>
      </c>
      <c r="E88" s="89">
        <v>0.41317919279243509</v>
      </c>
      <c r="F88" s="90">
        <v>61.266056726581603</v>
      </c>
      <c r="G88" s="91">
        <v>0.87496725846153112</v>
      </c>
      <c r="H88" s="92">
        <v>-0.17240389632193459</v>
      </c>
      <c r="I88" s="92">
        <v>-5.22585880492209E-2</v>
      </c>
      <c r="J88" s="92">
        <v>0.10349547456817219</v>
      </c>
      <c r="K88" s="88">
        <v>3.1951274314619429</v>
      </c>
      <c r="L88" s="93">
        <v>19.174839827452221</v>
      </c>
      <c r="M88" s="94">
        <v>0.41317919279243509</v>
      </c>
      <c r="N88" s="95">
        <v>61.266056726581603</v>
      </c>
      <c r="O88" s="96">
        <v>0.87496725846153112</v>
      </c>
      <c r="P88" s="97">
        <v>3.1951274314619429</v>
      </c>
      <c r="Q88" s="98"/>
      <c r="R88" s="98"/>
      <c r="S88" s="99">
        <v>1.4971272757914839E-2</v>
      </c>
      <c r="U88" s="117">
        <f>C88*S88</f>
        <v>0.48919832701940225</v>
      </c>
      <c r="V88" s="117">
        <f>(1+S88)*R87*(1-U88)+S88</f>
        <v>5.3579737738611827E-2</v>
      </c>
      <c r="W88" s="117">
        <f>V88+I88/3</f>
        <v>3.6160208388871531E-2</v>
      </c>
      <c r="X88" s="117">
        <f>V88+I88/5</f>
        <v>4.3128020128767645E-2</v>
      </c>
      <c r="Y88" s="117">
        <f>V88-E88</f>
        <v>-0.35959945505382329</v>
      </c>
      <c r="Z88" s="100"/>
      <c r="AA88" s="100"/>
      <c r="AB88" s="100"/>
      <c r="AI88" s="58"/>
    </row>
    <row r="89" spans="1:35" x14ac:dyDescent="0.2">
      <c r="A89" t="s">
        <v>83</v>
      </c>
      <c r="B89" t="s">
        <v>34</v>
      </c>
      <c r="C89" s="142">
        <v>2.3887112263722141</v>
      </c>
      <c r="D89" s="88">
        <v>2.004955158384123</v>
      </c>
      <c r="E89" s="89">
        <v>0.1606540228686032</v>
      </c>
      <c r="F89" s="90">
        <v>4.7576043906201892</v>
      </c>
      <c r="G89" s="91">
        <v>0.99170345000038518</v>
      </c>
      <c r="H89" s="92">
        <v>0.1413553959354934</v>
      </c>
      <c r="I89" s="92">
        <v>0.27026777280066838</v>
      </c>
      <c r="J89" s="92">
        <v>0.48925941243661758</v>
      </c>
      <c r="K89" s="88">
        <v>2.3729230904368661</v>
      </c>
      <c r="L89" s="93">
        <v>2.004955158384123</v>
      </c>
      <c r="M89" s="94">
        <v>0.1606540228686032</v>
      </c>
      <c r="N89" s="95">
        <v>4.2953962819693636</v>
      </c>
      <c r="O89" s="96">
        <v>0.79820659548407313</v>
      </c>
      <c r="P89" s="97">
        <v>2.142390199604864</v>
      </c>
      <c r="Q89" s="98"/>
      <c r="R89" s="98"/>
      <c r="W89" s="117">
        <f>V87+I89/3</f>
        <v>0.1679465064100448</v>
      </c>
      <c r="X89" s="117">
        <f>V87+I89/5</f>
        <v>0.1319108033699557</v>
      </c>
      <c r="Y89" s="117">
        <f>V87-E89</f>
        <v>-8.2796774058781192E-2</v>
      </c>
      <c r="Z89" s="100"/>
      <c r="AA89" s="100"/>
      <c r="AB89" s="100"/>
      <c r="AI89" s="58"/>
    </row>
    <row r="90" spans="1:35" x14ac:dyDescent="0.2">
      <c r="A90">
        <v>3.37</v>
      </c>
      <c r="B90" t="s">
        <v>35</v>
      </c>
      <c r="C90" s="142">
        <v>2.4333395451303659</v>
      </c>
      <c r="D90" s="88">
        <v>2.0056729847758148</v>
      </c>
      <c r="E90" s="89">
        <v>0.1757529323067156</v>
      </c>
      <c r="F90" s="90">
        <v>6.7690966009853044</v>
      </c>
      <c r="G90" s="91">
        <v>1.781813419558202</v>
      </c>
      <c r="H90" s="92">
        <v>0.20510083682497091</v>
      </c>
      <c r="I90" s="92">
        <v>0.48051061760377167</v>
      </c>
      <c r="J90" s="92">
        <v>0.63764787498583364</v>
      </c>
      <c r="K90" s="88">
        <v>3.374975209002939</v>
      </c>
      <c r="L90" s="93">
        <v>2.0056729847758148</v>
      </c>
      <c r="M90" s="94">
        <v>0.1757529323067156</v>
      </c>
      <c r="N90" s="95">
        <v>4.3678887145543666</v>
      </c>
      <c r="O90" s="96">
        <v>0.79501817709552602</v>
      </c>
      <c r="P90" s="97">
        <v>2.1777671373694001</v>
      </c>
      <c r="Q90" s="98"/>
      <c r="R90" s="98"/>
      <c r="W90" s="117">
        <f>V88+I90/3</f>
        <v>0.21374994360653571</v>
      </c>
      <c r="X90" s="117">
        <f>V88+I90/5</f>
        <v>0.14968186125936617</v>
      </c>
      <c r="Y90" s="117">
        <f>V88-E90</f>
        <v>-0.12217319456810377</v>
      </c>
      <c r="Z90" s="100"/>
      <c r="AA90" s="100"/>
      <c r="AB90" s="100"/>
      <c r="AI90" s="58"/>
    </row>
    <row r="91" spans="1:35" x14ac:dyDescent="0.2">
      <c r="M91" s="94"/>
      <c r="N91" s="95"/>
      <c r="P91" s="97"/>
      <c r="Q91" s="98"/>
      <c r="R91" s="98"/>
    </row>
    <row r="92" spans="1:35" s="128" customFormat="1" x14ac:dyDescent="0.2">
      <c r="A92" s="33" t="s">
        <v>84</v>
      </c>
      <c r="B92" s="128" t="s">
        <v>30</v>
      </c>
      <c r="C92" s="138">
        <v>54.22756937457941</v>
      </c>
      <c r="D92" s="19">
        <v>44.824153541046982</v>
      </c>
      <c r="E92" s="29">
        <v>0.17340655209120481</v>
      </c>
      <c r="F92" s="20">
        <v>248.7878627924928</v>
      </c>
      <c r="G92" s="39">
        <v>3.5878483151988489</v>
      </c>
      <c r="H92" s="21">
        <v>6.0754238430331453E-2</v>
      </c>
      <c r="I92" s="21">
        <v>0.25509922799330692</v>
      </c>
      <c r="J92" s="21">
        <v>1.149373232351234</v>
      </c>
      <c r="K92" s="19">
        <v>5.5503081070938558</v>
      </c>
      <c r="L92" s="22">
        <v>44.824153541046982</v>
      </c>
      <c r="M92" s="32">
        <v>0.17340655209120481</v>
      </c>
      <c r="N92" s="23">
        <v>81.2363447633021</v>
      </c>
      <c r="O92" s="24">
        <v>0.49806354406479741</v>
      </c>
      <c r="P92" s="25">
        <v>1.812334162404456</v>
      </c>
      <c r="Q92" s="26">
        <v>5.8989074348014578E-2</v>
      </c>
      <c r="R92" s="26">
        <v>5.6734973321962437E-2</v>
      </c>
      <c r="S92" s="27">
        <v>5.1407732091182518E-3</v>
      </c>
      <c r="T92" s="128">
        <v>11424.6</v>
      </c>
      <c r="U92" s="117">
        <f>C92*S92</f>
        <v>0.27877163583643921</v>
      </c>
      <c r="V92" s="117">
        <f>(1+S92)*Q92*(1-U92)+S92</f>
        <v>4.7904078911608257E-2</v>
      </c>
      <c r="W92" s="117">
        <f>V92+I92/3</f>
        <v>0.13293715490937724</v>
      </c>
      <c r="X92" s="117">
        <f>V92+I92/5</f>
        <v>9.8923924510269642E-2</v>
      </c>
      <c r="Y92" s="117">
        <f>V92-E92</f>
        <v>-0.12550247317959656</v>
      </c>
      <c r="Z92" s="100"/>
      <c r="AA92" s="100"/>
      <c r="AB92" s="100"/>
      <c r="AC92" s="117"/>
      <c r="AD92" s="117"/>
      <c r="AE92" s="117"/>
      <c r="AF92" s="117"/>
      <c r="AH92" s="27"/>
      <c r="AI92" s="58"/>
    </row>
    <row r="93" spans="1:35" s="128" customFormat="1" x14ac:dyDescent="0.2">
      <c r="A93" s="128" t="s">
        <v>85</v>
      </c>
      <c r="B93" s="128" t="s">
        <v>32</v>
      </c>
      <c r="C93" s="137">
        <v>59.135618912983659</v>
      </c>
      <c r="D93" s="19">
        <v>42.823724225969201</v>
      </c>
      <c r="E93" s="29">
        <v>0.27583874130102431</v>
      </c>
      <c r="F93" s="20">
        <v>-774.88855052573751</v>
      </c>
      <c r="G93" s="39">
        <v>-14.10358401196347</v>
      </c>
      <c r="H93" s="21">
        <v>-2.55709279245242E-2</v>
      </c>
      <c r="I93" s="21">
        <v>0.16144035220075481</v>
      </c>
      <c r="J93" s="21">
        <v>0.819852324540016</v>
      </c>
      <c r="K93" s="19">
        <v>-18.094842625943979</v>
      </c>
      <c r="L93" s="22">
        <v>42.823724225969201</v>
      </c>
      <c r="M93" s="32">
        <v>0.27583874130102431</v>
      </c>
      <c r="N93" s="23">
        <v>78.177378504593904</v>
      </c>
      <c r="O93" s="24">
        <v>0.32200152702603207</v>
      </c>
      <c r="P93" s="25">
        <v>1.825562346984887</v>
      </c>
      <c r="Q93" s="26"/>
      <c r="R93" s="26"/>
      <c r="S93" s="27">
        <v>5.108332086952592E-3</v>
      </c>
      <c r="U93" s="117">
        <f>C93*S93</f>
        <v>0.30208437957499501</v>
      </c>
      <c r="V93" s="102">
        <f>(1+S93)*R92*(1-U93)+S93</f>
        <v>4.4906826854867896E-2</v>
      </c>
      <c r="W93" s="102">
        <f>V93+I93/3</f>
        <v>9.8720277588452837E-2</v>
      </c>
      <c r="X93" s="117">
        <f>V93+I93/5</f>
        <v>7.7194897295018855E-2</v>
      </c>
      <c r="Y93" s="117">
        <f>V93-E93</f>
        <v>-0.23093191444615641</v>
      </c>
      <c r="Z93" s="100"/>
      <c r="AA93" s="100"/>
      <c r="AB93" s="100"/>
      <c r="AC93" s="117"/>
      <c r="AD93" s="117"/>
      <c r="AE93" s="117"/>
      <c r="AF93" s="117"/>
      <c r="AH93" s="27"/>
      <c r="AI93" s="58"/>
    </row>
    <row r="94" spans="1:35" s="128" customFormat="1" x14ac:dyDescent="0.2">
      <c r="A94" s="128" t="s">
        <v>86</v>
      </c>
      <c r="B94" s="128" t="s">
        <v>34</v>
      </c>
      <c r="C94" s="137">
        <v>3.1988341215491829</v>
      </c>
      <c r="D94" s="19">
        <v>2.0425068404811531</v>
      </c>
      <c r="E94" s="29">
        <v>0.36148397732734727</v>
      </c>
      <c r="F94" s="20">
        <v>9.2536167275160555</v>
      </c>
      <c r="G94" s="39">
        <v>1.892809184814674</v>
      </c>
      <c r="H94" s="21">
        <v>-0.1670810219048261</v>
      </c>
      <c r="I94" s="21">
        <v>5.6738185590443413E-2</v>
      </c>
      <c r="J94" s="21">
        <v>0.32163647433184522</v>
      </c>
      <c r="K94" s="19">
        <v>4.5305193324768398</v>
      </c>
      <c r="L94" s="22">
        <v>2.0425068404811531</v>
      </c>
      <c r="M94" s="32">
        <v>0.36148397732734727</v>
      </c>
      <c r="N94" s="23">
        <v>4.8698737718906342</v>
      </c>
      <c r="O94" s="24">
        <v>0.52239021682442632</v>
      </c>
      <c r="P94" s="25">
        <v>2.384263139477877</v>
      </c>
      <c r="Q94" s="26"/>
      <c r="R94" s="26"/>
      <c r="S94" s="27"/>
      <c r="V94" s="99"/>
      <c r="W94" s="117">
        <f>V92+I94/3</f>
        <v>6.6816807441756054E-2</v>
      </c>
      <c r="X94" s="117">
        <f>V92+I94/5</f>
        <v>5.9251716029696935E-2</v>
      </c>
      <c r="Y94" s="117">
        <f>V92-E94</f>
        <v>-0.31357989841573902</v>
      </c>
      <c r="Z94" s="100"/>
      <c r="AA94" s="100"/>
      <c r="AB94" s="100"/>
      <c r="AC94" s="117"/>
      <c r="AD94" s="117"/>
      <c r="AE94" s="117"/>
      <c r="AF94" s="117"/>
      <c r="AH94" s="27"/>
      <c r="AI94" s="58"/>
    </row>
    <row r="95" spans="1:35" s="128" customFormat="1" x14ac:dyDescent="0.2">
      <c r="A95" s="128">
        <v>3.11</v>
      </c>
      <c r="B95" s="128" t="s">
        <v>35</v>
      </c>
      <c r="C95" s="137">
        <v>3.355057761405865</v>
      </c>
      <c r="D95" s="19">
        <v>2.2233469280210629</v>
      </c>
      <c r="E95" s="29">
        <v>0.33731485830234509</v>
      </c>
      <c r="F95" s="20">
        <v>9.7701348151032708</v>
      </c>
      <c r="G95" s="39">
        <v>1.91206158281141</v>
      </c>
      <c r="H95" s="21">
        <v>-9.7795473176188419E-2</v>
      </c>
      <c r="I95" s="21">
        <v>8.6628634867774501E-2</v>
      </c>
      <c r="J95" s="21">
        <v>0.36760260128344752</v>
      </c>
      <c r="K95" s="19">
        <v>4.3943366156533141</v>
      </c>
      <c r="L95" s="22">
        <v>2.2233469280210629</v>
      </c>
      <c r="M95" s="32">
        <v>0.33731485830234509</v>
      </c>
      <c r="N95" s="23">
        <v>4.5974275165023917</v>
      </c>
      <c r="O95" s="24">
        <v>0.37029757561489429</v>
      </c>
      <c r="P95" s="25">
        <v>2.0677958345414091</v>
      </c>
      <c r="Q95" s="26"/>
      <c r="R95" s="26"/>
      <c r="S95" s="27"/>
      <c r="T95" s="58">
        <f>T92/C95</f>
        <v>3405.1872761835157</v>
      </c>
      <c r="U95" s="58"/>
      <c r="V95" s="58">
        <f>T92/C93</f>
        <v>193.19320927055767</v>
      </c>
      <c r="W95" s="102">
        <f>V93+I95/3</f>
        <v>7.3783038477459401E-2</v>
      </c>
      <c r="X95" s="117">
        <f>V93+I95/5</f>
        <v>6.2232553828422799E-2</v>
      </c>
      <c r="Y95" s="117">
        <f>V93-E95</f>
        <v>-0.29240803144747718</v>
      </c>
      <c r="Z95" s="100"/>
      <c r="AA95" s="100"/>
      <c r="AB95" s="100"/>
      <c r="AC95" s="117"/>
      <c r="AD95" s="117"/>
      <c r="AE95" s="117"/>
      <c r="AF95" s="117"/>
      <c r="AH95" s="27"/>
      <c r="AI95" s="58"/>
    </row>
    <row r="96" spans="1:35" x14ac:dyDescent="0.2">
      <c r="Q96" s="98"/>
      <c r="R96" s="98"/>
    </row>
    <row r="97" spans="1:35" s="128" customFormat="1" x14ac:dyDescent="0.2">
      <c r="A97" s="128" t="s">
        <v>87</v>
      </c>
      <c r="B97" s="128" t="s">
        <v>30</v>
      </c>
      <c r="C97" s="138">
        <v>4.5187708624650931</v>
      </c>
      <c r="D97" s="19">
        <v>4.1182543728500622</v>
      </c>
      <c r="E97" s="29">
        <v>8.8633945337192821E-2</v>
      </c>
      <c r="F97" s="20">
        <v>9.0846383936529342</v>
      </c>
      <c r="G97" s="39">
        <v>1.010422451183342</v>
      </c>
      <c r="H97" s="21">
        <v>0.16374678126043521</v>
      </c>
      <c r="I97" s="21">
        <v>0.37250414164995821</v>
      </c>
      <c r="J97" s="21">
        <v>0.50091967535898263</v>
      </c>
      <c r="K97" s="19">
        <v>2.2059439682852462</v>
      </c>
      <c r="L97" s="22">
        <v>4.1182543728500622</v>
      </c>
      <c r="M97" s="32">
        <v>8.8633945337192821E-2</v>
      </c>
      <c r="N97" s="23">
        <v>8.2799132705856096</v>
      </c>
      <c r="O97" s="24">
        <v>0.83233749233939403</v>
      </c>
      <c r="P97" s="25">
        <v>2.0105395444175649</v>
      </c>
      <c r="Q97" s="26">
        <v>0.11770031697044191</v>
      </c>
      <c r="R97" s="26">
        <v>0.109941770506394</v>
      </c>
      <c r="S97" s="27">
        <v>5.9365350535240398E-2</v>
      </c>
      <c r="T97" s="128">
        <v>5598.16</v>
      </c>
      <c r="U97" s="117">
        <f>C97*S97</f>
        <v>0.2682584162386708</v>
      </c>
      <c r="V97" s="117">
        <f>(1+S97)*Q97*(1-U97)+S97</f>
        <v>0.15060447990824397</v>
      </c>
      <c r="W97" s="117">
        <f>V97+I97/3</f>
        <v>0.27477252712489669</v>
      </c>
      <c r="X97" s="117">
        <f>V97+I97/5</f>
        <v>0.2251053082382356</v>
      </c>
      <c r="Y97" s="117">
        <f>V97-E97</f>
        <v>6.1970534571051145E-2</v>
      </c>
      <c r="Z97" s="100"/>
      <c r="AA97" s="100"/>
      <c r="AB97" s="100"/>
      <c r="AC97" s="117"/>
      <c r="AD97" s="117"/>
      <c r="AE97" s="117"/>
      <c r="AF97" s="117"/>
      <c r="AH97" s="27"/>
      <c r="AI97" s="58"/>
    </row>
    <row r="98" spans="1:35" s="128" customFormat="1" x14ac:dyDescent="0.2">
      <c r="A98" s="128" t="s">
        <v>88</v>
      </c>
      <c r="B98" s="128" t="s">
        <v>32</v>
      </c>
      <c r="C98" s="138">
        <v>5.0178223069249599</v>
      </c>
      <c r="D98" s="19">
        <v>4.5719195833120541</v>
      </c>
      <c r="E98" s="29">
        <v>8.8863793163326599E-2</v>
      </c>
      <c r="F98" s="20">
        <v>9.8264084516269357</v>
      </c>
      <c r="G98" s="39">
        <v>0.95830140060276281</v>
      </c>
      <c r="H98" s="21">
        <v>8.7563226747275236E-2</v>
      </c>
      <c r="I98" s="21">
        <v>0.32597443315079522</v>
      </c>
      <c r="J98" s="21">
        <v>0.4614804854475536</v>
      </c>
      <c r="K98" s="19">
        <v>2.1492959953832682</v>
      </c>
      <c r="L98" s="22">
        <v>4.6246482598265271</v>
      </c>
      <c r="M98" s="32">
        <v>7.8355514214966115E-2</v>
      </c>
      <c r="N98" s="23">
        <v>9.0815147876721074</v>
      </c>
      <c r="O98" s="24">
        <v>0.80985181064282741</v>
      </c>
      <c r="P98" s="25">
        <v>1.963720109605213</v>
      </c>
      <c r="Q98" s="26"/>
      <c r="R98" s="26"/>
      <c r="S98" s="27">
        <v>4.6534675591272653E-2</v>
      </c>
      <c r="U98" s="117">
        <f>C98*S98</f>
        <v>0.23350273322740436</v>
      </c>
      <c r="V98" s="117">
        <f>(1+S98)*R97*(1-U98)+S98</f>
        <v>0.13472622239972348</v>
      </c>
      <c r="W98" s="117">
        <f>V98+I98/3</f>
        <v>0.24338436678332187</v>
      </c>
      <c r="X98" s="117">
        <f>V98+I98/5</f>
        <v>0.19992110902988253</v>
      </c>
      <c r="Y98" s="117">
        <f>V98-E98</f>
        <v>4.5862429236396884E-2</v>
      </c>
      <c r="Z98" s="100"/>
      <c r="AA98" s="100"/>
      <c r="AB98" s="100"/>
      <c r="AC98" s="117"/>
      <c r="AD98" s="117"/>
      <c r="AE98" s="117"/>
      <c r="AF98" s="117"/>
      <c r="AH98" s="27"/>
      <c r="AI98" s="58"/>
    </row>
    <row r="99" spans="1:35" s="128" customFormat="1" x14ac:dyDescent="0.2">
      <c r="A99" s="128" t="s">
        <v>89</v>
      </c>
      <c r="B99" s="128" t="s">
        <v>34</v>
      </c>
      <c r="C99" s="138">
        <v>0.53186076282893857</v>
      </c>
      <c r="D99" s="19">
        <v>0.48477580945494397</v>
      </c>
      <c r="E99" s="29">
        <v>8.8528721546504485E-2</v>
      </c>
      <c r="F99" s="20">
        <v>1.431324950837465</v>
      </c>
      <c r="G99" s="39">
        <v>1.6911647763304161</v>
      </c>
      <c r="H99" s="21">
        <v>0.35287380884585268</v>
      </c>
      <c r="I99" s="21">
        <v>0.67205278328043105</v>
      </c>
      <c r="J99" s="21">
        <v>0.96343114553274578</v>
      </c>
      <c r="K99" s="19">
        <v>2.9525502777186219</v>
      </c>
      <c r="L99" s="22">
        <v>0.48477580945494397</v>
      </c>
      <c r="M99" s="32">
        <v>8.8528721546504485E-2</v>
      </c>
      <c r="N99" s="23">
        <v>1.131644796751708</v>
      </c>
      <c r="O99" s="24">
        <v>1.1277087460495301</v>
      </c>
      <c r="P99" s="25">
        <v>2.3343672986159691</v>
      </c>
      <c r="Q99" s="26"/>
      <c r="R99" s="26"/>
      <c r="S99" s="27"/>
      <c r="V99" s="99"/>
      <c r="W99" s="117">
        <f>V97+I99/3</f>
        <v>0.37462207433505434</v>
      </c>
      <c r="X99" s="117">
        <f>V97+I99/5</f>
        <v>0.28501503656433014</v>
      </c>
      <c r="Y99" s="117">
        <f>V97-E99</f>
        <v>6.207575836173948E-2</v>
      </c>
      <c r="Z99" s="100"/>
      <c r="AA99" s="100"/>
      <c r="AB99" s="100"/>
      <c r="AC99" s="117"/>
      <c r="AD99" s="117"/>
      <c r="AE99" s="117"/>
      <c r="AF99" s="117"/>
      <c r="AH99" s="27"/>
      <c r="AI99" s="58"/>
    </row>
    <row r="100" spans="1:35" s="128" customFormat="1" x14ac:dyDescent="0.2">
      <c r="A100" s="128">
        <v>2.16</v>
      </c>
      <c r="B100" s="128" t="s">
        <v>35</v>
      </c>
      <c r="C100" s="138">
        <v>0.55166826850980866</v>
      </c>
      <c r="D100" s="19">
        <v>0.51158927617000116</v>
      </c>
      <c r="E100" s="29">
        <v>7.2650530450248052E-2</v>
      </c>
      <c r="F100" s="20">
        <v>1.521258747308089</v>
      </c>
      <c r="G100" s="39">
        <v>1.7575607192659131</v>
      </c>
      <c r="H100" s="21">
        <v>0.35005290958545993</v>
      </c>
      <c r="I100" s="21">
        <v>0.65309870713074925</v>
      </c>
      <c r="J100" s="21">
        <v>0.95004782252537678</v>
      </c>
      <c r="K100" s="19">
        <v>2.9735938929309662</v>
      </c>
      <c r="L100" s="22">
        <v>0.51158927617000116</v>
      </c>
      <c r="M100" s="32">
        <v>7.2650530450248052E-2</v>
      </c>
      <c r="N100" s="23">
        <v>1.1703731602763019</v>
      </c>
      <c r="O100" s="24">
        <v>1.121516184785772</v>
      </c>
      <c r="P100" s="25">
        <v>2.2877202763870819</v>
      </c>
      <c r="Q100" s="26"/>
      <c r="R100" s="26"/>
      <c r="S100" s="27"/>
      <c r="V100" s="99"/>
      <c r="W100" s="117">
        <f>V98+I100/3</f>
        <v>0.35242579144330655</v>
      </c>
      <c r="X100" s="117">
        <f>V98+I100/5</f>
        <v>0.26534596382587333</v>
      </c>
      <c r="Y100" s="117">
        <f>V98-E100</f>
        <v>6.2075691949475431E-2</v>
      </c>
      <c r="Z100" s="100"/>
      <c r="AA100" s="100"/>
      <c r="AB100" s="100"/>
      <c r="AC100" s="117"/>
      <c r="AD100" s="117"/>
      <c r="AE100" s="117"/>
      <c r="AF100" s="117"/>
      <c r="AH100" s="27"/>
      <c r="AI100" s="58"/>
    </row>
    <row r="101" spans="1:35" x14ac:dyDescent="0.2">
      <c r="A101" s="99">
        <f>1.02/C104-1</f>
        <v>-0.49276211301341399</v>
      </c>
      <c r="B101" s="99">
        <f>1.07/C104-1</f>
        <v>-0.46789751071014996</v>
      </c>
      <c r="C101" s="99">
        <f>1.13/C104-1</f>
        <v>-0.43805998794623313</v>
      </c>
      <c r="D101" s="99">
        <f>1.2/C104-1</f>
        <v>-0.40324954472166352</v>
      </c>
      <c r="F101" s="90"/>
      <c r="K101" s="88"/>
      <c r="L101" s="93"/>
      <c r="M101" s="94"/>
      <c r="N101" s="95"/>
      <c r="P101" s="97"/>
      <c r="Q101" s="98"/>
      <c r="R101" s="98"/>
    </row>
    <row r="102" spans="1:35" s="128" customFormat="1" x14ac:dyDescent="0.2">
      <c r="A102" s="128" t="s">
        <v>90</v>
      </c>
      <c r="B102" s="128" t="s">
        <v>30</v>
      </c>
      <c r="C102" s="137">
        <v>36.700866382185531</v>
      </c>
      <c r="D102" s="19">
        <v>19.16838160341743</v>
      </c>
      <c r="E102" s="29">
        <v>0.47771310345083051</v>
      </c>
      <c r="F102" s="20">
        <v>121.6112449066021</v>
      </c>
      <c r="G102" s="39">
        <v>2.3135796752098412</v>
      </c>
      <c r="H102" s="21">
        <v>-0.2182143561393681</v>
      </c>
      <c r="I102" s="21">
        <v>7.3967433989154951E-3</v>
      </c>
      <c r="J102" s="21">
        <v>0.423819740687291</v>
      </c>
      <c r="K102" s="19">
        <v>6.3443668548898611</v>
      </c>
      <c r="L102" s="22">
        <v>19.16838160341743</v>
      </c>
      <c r="M102" s="32">
        <v>0.47771310345083051</v>
      </c>
      <c r="N102" s="23">
        <v>78.9086922733118</v>
      </c>
      <c r="O102" s="24">
        <v>1.150049850365761</v>
      </c>
      <c r="P102" s="25">
        <v>4.1166069157994851</v>
      </c>
      <c r="Q102" s="26">
        <v>5.4791371363391433E-2</v>
      </c>
      <c r="R102" s="26">
        <v>4.1406775250136189E-2</v>
      </c>
      <c r="S102" s="27">
        <v>2.0761528264862428E-2</v>
      </c>
      <c r="T102" s="128">
        <v>1041.96</v>
      </c>
      <c r="U102" s="117">
        <f>C102*S102</f>
        <v>0.76196607473868416</v>
      </c>
      <c r="V102" s="102">
        <f>(1+S102)*Q102*(1-U102)+S102</f>
        <v>3.4074509572755464E-2</v>
      </c>
      <c r="W102" s="102">
        <f>V102+I102/3</f>
        <v>3.6540090705727293E-2</v>
      </c>
      <c r="X102" s="117">
        <f>V102+I102/5</f>
        <v>3.555385825253856E-2</v>
      </c>
      <c r="Y102" s="117">
        <f>V102-E102</f>
        <v>-0.44363859387807503</v>
      </c>
      <c r="Z102" s="100">
        <v>2.2000000000000002</v>
      </c>
      <c r="AA102" s="76">
        <f>Z102*E104</f>
        <v>0.51963228309490539</v>
      </c>
      <c r="AB102" s="100"/>
      <c r="AC102" s="117"/>
      <c r="AD102" s="117"/>
      <c r="AE102" s="117"/>
      <c r="AF102" s="117"/>
      <c r="AH102" s="27"/>
      <c r="AI102" s="58"/>
    </row>
    <row r="103" spans="1:35" s="128" customFormat="1" x14ac:dyDescent="0.2">
      <c r="A103" s="128" t="s">
        <v>91</v>
      </c>
      <c r="B103" s="128" t="s">
        <v>32</v>
      </c>
      <c r="C103" s="137">
        <v>42.601686706161168</v>
      </c>
      <c r="D103" s="19">
        <v>18.036978676437901</v>
      </c>
      <c r="E103" s="29">
        <v>0.57661350826681357</v>
      </c>
      <c r="F103" s="20">
        <v>-17.96663430299807</v>
      </c>
      <c r="G103" s="39">
        <v>-1.4217352807394761</v>
      </c>
      <c r="H103" s="21">
        <v>-0.27380478168127548</v>
      </c>
      <c r="I103" s="21">
        <v>8.5063846933888243E-3</v>
      </c>
      <c r="J103" s="21">
        <v>0.2580705813817008</v>
      </c>
      <c r="K103" s="19">
        <v>-0.99609999131774085</v>
      </c>
      <c r="L103" s="22">
        <v>18.036978676437901</v>
      </c>
      <c r="M103" s="32">
        <v>0.57661350826681357</v>
      </c>
      <c r="N103" s="23">
        <v>-17.96663430299807</v>
      </c>
      <c r="O103" s="24">
        <v>-1.4217352807394761</v>
      </c>
      <c r="P103" s="25">
        <v>-0.99609999131774085</v>
      </c>
      <c r="Q103" s="26"/>
      <c r="R103" s="26"/>
      <c r="S103" s="27">
        <v>1.600157925092547E-2</v>
      </c>
      <c r="U103" s="117">
        <f>C103*S103</f>
        <v>0.681694266051736</v>
      </c>
      <c r="V103" s="117">
        <f>(1+S103)*R102*(1-U103)+S103</f>
        <v>2.9392494275682975E-2</v>
      </c>
      <c r="W103" s="117">
        <f>V103+I103/3</f>
        <v>3.2227955840145914E-2</v>
      </c>
      <c r="X103" s="117">
        <f>V103+I103/5</f>
        <v>3.109377121436074E-2</v>
      </c>
      <c r="Y103" s="117">
        <f>V103-E103</f>
        <v>-0.54722101399113054</v>
      </c>
      <c r="Z103" s="100"/>
      <c r="AA103" s="117">
        <f>AA102/($AB$2)</f>
        <v>1.1079579596906296E-2</v>
      </c>
      <c r="AB103" s="100"/>
      <c r="AC103" s="117"/>
      <c r="AD103" s="117"/>
      <c r="AE103" s="117"/>
      <c r="AF103" s="117"/>
      <c r="AH103" s="27"/>
      <c r="AI103" s="58"/>
    </row>
    <row r="104" spans="1:35" s="128" customFormat="1" x14ac:dyDescent="0.2">
      <c r="A104" s="128" t="s">
        <v>74</v>
      </c>
      <c r="B104" s="128" t="s">
        <v>34</v>
      </c>
      <c r="C104" s="138">
        <v>2.0108907993045362</v>
      </c>
      <c r="D104" s="19">
        <v>1.5359254460785561</v>
      </c>
      <c r="E104" s="29">
        <v>0.23619649231586609</v>
      </c>
      <c r="F104" s="20">
        <v>10.816707265906629</v>
      </c>
      <c r="G104" s="39">
        <v>4.379062487951896</v>
      </c>
      <c r="H104" s="21">
        <v>0.2345536543644178</v>
      </c>
      <c r="I104" s="21">
        <v>0.59171260258478853</v>
      </c>
      <c r="J104" s="21">
        <v>1.4749030996453081</v>
      </c>
      <c r="K104" s="19">
        <v>7.0424689515518351</v>
      </c>
      <c r="L104" s="22">
        <v>1.5359254460785561</v>
      </c>
      <c r="M104" s="32">
        <v>0.23619649231586609</v>
      </c>
      <c r="N104" s="23">
        <v>3.66575101556738</v>
      </c>
      <c r="O104" s="24">
        <v>0.82294882289738269</v>
      </c>
      <c r="P104" s="25">
        <v>2.3866724943756759</v>
      </c>
      <c r="Q104" s="26"/>
      <c r="R104" s="26"/>
      <c r="S104" s="27"/>
      <c r="V104" s="99"/>
      <c r="W104" s="102">
        <f>V102+I104/3</f>
        <v>0.23131204376768497</v>
      </c>
      <c r="X104" s="117">
        <f>V102+I104/5</f>
        <v>0.15241703008971316</v>
      </c>
      <c r="Y104" s="117">
        <f>V102-E104</f>
        <v>-0.20212198274311063</v>
      </c>
      <c r="Z104" s="100"/>
      <c r="AA104" s="100"/>
      <c r="AB104" s="100"/>
      <c r="AC104" s="117"/>
      <c r="AD104" s="117"/>
      <c r="AE104" s="117"/>
      <c r="AF104" s="117"/>
      <c r="AH104" s="27"/>
      <c r="AI104" s="58"/>
    </row>
    <row r="105" spans="1:35" s="128" customFormat="1" x14ac:dyDescent="0.2">
      <c r="A105" s="128">
        <v>3.13</v>
      </c>
      <c r="B105" s="128" t="s">
        <v>35</v>
      </c>
      <c r="C105" s="138">
        <v>1.7639984667187301</v>
      </c>
      <c r="D105" s="19">
        <v>1.4256664355955251</v>
      </c>
      <c r="E105" s="29">
        <v>0.19179837029708291</v>
      </c>
      <c r="F105" s="20">
        <v>10.19979417958062</v>
      </c>
      <c r="G105" s="39">
        <v>4.7822012728580123</v>
      </c>
      <c r="H105" s="21">
        <v>8.5857273854125671E-2</v>
      </c>
      <c r="I105" s="21">
        <v>0.36074361176350278</v>
      </c>
      <c r="J105" s="21">
        <v>1.5788617269733971</v>
      </c>
      <c r="K105" s="19">
        <v>7.1544043718192736</v>
      </c>
      <c r="L105" s="22">
        <v>1.4256664355955251</v>
      </c>
      <c r="M105" s="32">
        <v>0.19179837029708291</v>
      </c>
      <c r="N105" s="23">
        <v>2.7901344424225458</v>
      </c>
      <c r="O105" s="24">
        <v>0.58171024242020097</v>
      </c>
      <c r="P105" s="25">
        <v>1.9570738096650639</v>
      </c>
      <c r="Q105" s="26"/>
      <c r="R105" s="26"/>
      <c r="S105" s="27"/>
      <c r="T105" s="58">
        <f>T102/C104</f>
        <v>518.15842031817965</v>
      </c>
      <c r="U105" s="58"/>
      <c r="V105" s="58">
        <f>T102/C102</f>
        <v>28.390610432721655</v>
      </c>
      <c r="W105" s="117">
        <f>V103+I105/3</f>
        <v>0.14964036486351723</v>
      </c>
      <c r="X105" s="117">
        <f>V103+I105/5</f>
        <v>0.10154121662838353</v>
      </c>
      <c r="Y105" s="117">
        <f>V103-E105</f>
        <v>-0.16240587602139994</v>
      </c>
      <c r="Z105" s="100"/>
      <c r="AA105" s="100"/>
      <c r="AB105" s="100"/>
      <c r="AC105" s="117"/>
      <c r="AD105" s="117"/>
      <c r="AE105" s="117"/>
      <c r="AF105" s="117"/>
      <c r="AH105" s="27"/>
      <c r="AI105" s="58"/>
    </row>
    <row r="106" spans="1:35" x14ac:dyDescent="0.2">
      <c r="C106" s="1"/>
      <c r="D106" s="88"/>
      <c r="F106" s="90"/>
      <c r="K106" s="88"/>
      <c r="L106" s="93"/>
      <c r="M106" s="94"/>
      <c r="N106" s="95"/>
      <c r="P106" s="97"/>
      <c r="Q106" s="98"/>
      <c r="R106" s="98"/>
    </row>
    <row r="107" spans="1:35" s="128" customFormat="1" x14ac:dyDescent="0.2">
      <c r="A107" s="128" t="s">
        <v>92</v>
      </c>
      <c r="B107" s="128" t="s">
        <v>30</v>
      </c>
      <c r="C107" s="138">
        <v>30.073854976792919</v>
      </c>
      <c r="D107" s="19">
        <v>22.66510868394845</v>
      </c>
      <c r="E107" s="29">
        <v>0.24635173304392069</v>
      </c>
      <c r="F107" s="20">
        <v>63.047225016031931</v>
      </c>
      <c r="G107" s="39">
        <v>1.0964131490520099</v>
      </c>
      <c r="H107" s="21">
        <v>2.7981509499537038E-2</v>
      </c>
      <c r="I107" s="21">
        <v>0.13091668628206299</v>
      </c>
      <c r="J107" s="21">
        <v>0.35418187712668181</v>
      </c>
      <c r="K107" s="19">
        <v>2.7816864192088491</v>
      </c>
      <c r="L107" s="22">
        <v>22.66510868394845</v>
      </c>
      <c r="M107" s="32">
        <v>0.24635173304392069</v>
      </c>
      <c r="N107" s="23">
        <v>63.047225016031931</v>
      </c>
      <c r="O107" s="24">
        <v>1.0964131490520099</v>
      </c>
      <c r="P107" s="25">
        <v>2.7816864192088491</v>
      </c>
      <c r="Q107" s="26">
        <v>0.14111524425952551</v>
      </c>
      <c r="R107" s="26">
        <v>0.12927759973305061</v>
      </c>
      <c r="S107" s="27">
        <v>9.4663857166893493E-3</v>
      </c>
      <c r="T107" s="128">
        <v>10794.87</v>
      </c>
      <c r="U107" s="117">
        <f>C107*S107</f>
        <v>0.28469071119809941</v>
      </c>
      <c r="V107" s="102">
        <f>(1+S107)*Q107*(1-U107)+S107</f>
        <v>0.11136297759379107</v>
      </c>
      <c r="W107" s="102">
        <f>V107+I107/3</f>
        <v>0.1550018730211454</v>
      </c>
      <c r="X107" s="117">
        <f>V107+I107/5</f>
        <v>0.13754631485020366</v>
      </c>
      <c r="Y107" s="117">
        <f>V107-E107</f>
        <v>-0.13498875545012962</v>
      </c>
      <c r="Z107" s="100"/>
      <c r="AA107" s="100"/>
      <c r="AB107" s="100"/>
      <c r="AC107" s="117"/>
      <c r="AD107" s="36"/>
      <c r="AE107" s="117"/>
      <c r="AF107" s="117"/>
      <c r="AH107" s="27"/>
      <c r="AI107" s="58"/>
    </row>
    <row r="108" spans="1:35" s="128" customFormat="1" x14ac:dyDescent="0.2">
      <c r="A108" s="128" t="s">
        <v>93</v>
      </c>
      <c r="B108" s="128" t="s">
        <v>32</v>
      </c>
      <c r="C108" s="138">
        <v>23.90106746544684</v>
      </c>
      <c r="D108" s="19">
        <v>18.25543697943797</v>
      </c>
      <c r="E108" s="29">
        <v>0.23620829882057001</v>
      </c>
      <c r="F108" s="20">
        <v>103.68163008949981</v>
      </c>
      <c r="G108" s="39">
        <v>3.3379497689544491</v>
      </c>
      <c r="H108" s="21">
        <v>5.1505509334824673E-2</v>
      </c>
      <c r="I108" s="21">
        <v>0.40910091102189111</v>
      </c>
      <c r="J108" s="21">
        <v>0.63905427731571995</v>
      </c>
      <c r="K108" s="19">
        <v>5.6794931946182237</v>
      </c>
      <c r="L108" s="22">
        <v>18.25543697943797</v>
      </c>
      <c r="M108" s="32">
        <v>0.23620829882057001</v>
      </c>
      <c r="N108" s="23">
        <v>103.68163008949981</v>
      </c>
      <c r="O108" s="24">
        <v>3.3379497689544491</v>
      </c>
      <c r="P108" s="25">
        <v>5.6794931946182237</v>
      </c>
      <c r="Q108" s="26"/>
      <c r="R108" s="26"/>
      <c r="S108" s="27">
        <v>1.255499131177743E-2</v>
      </c>
      <c r="U108" s="117">
        <f>C108*S108</f>
        <v>0.30007769437089127</v>
      </c>
      <c r="V108" s="117">
        <f>(1+S108)*R107*(1-U108)+S108</f>
        <v>0.10417529627803759</v>
      </c>
      <c r="W108" s="117">
        <f>V108+I108/3</f>
        <v>0.24054226661866795</v>
      </c>
      <c r="X108" s="117">
        <f>V108+I108/5</f>
        <v>0.18599547848241582</v>
      </c>
      <c r="Y108" s="117">
        <f>V108-E108</f>
        <v>-0.13203300254253242</v>
      </c>
      <c r="Z108" s="100"/>
      <c r="AA108" s="100"/>
      <c r="AB108" s="100"/>
      <c r="AC108" s="117"/>
      <c r="AD108" s="117"/>
      <c r="AE108" s="117"/>
      <c r="AF108" s="117"/>
      <c r="AH108" s="27"/>
      <c r="AI108" s="58"/>
    </row>
    <row r="109" spans="1:35" s="128" customFormat="1" x14ac:dyDescent="0.2">
      <c r="A109" s="128" t="s">
        <v>94</v>
      </c>
      <c r="B109" s="128" t="s">
        <v>34</v>
      </c>
      <c r="C109" s="137">
        <v>4.24387939087568</v>
      </c>
      <c r="D109" s="19">
        <v>2.9449336593563742</v>
      </c>
      <c r="E109" s="29">
        <v>0.30607508175468728</v>
      </c>
      <c r="F109" s="20">
        <v>7.7547177209651661</v>
      </c>
      <c r="G109" s="39">
        <v>0.82727099588121455</v>
      </c>
      <c r="H109" s="21">
        <v>-6.144261914735949E-2</v>
      </c>
      <c r="I109" s="21">
        <v>2.29082770721869E-2</v>
      </c>
      <c r="J109" s="21">
        <v>0.24149083393179491</v>
      </c>
      <c r="K109" s="19">
        <v>2.6332402077471548</v>
      </c>
      <c r="L109" s="22">
        <v>2.9449336593563742</v>
      </c>
      <c r="M109" s="32">
        <v>0.30607508175468728</v>
      </c>
      <c r="N109" s="23">
        <v>7.0231775861006884</v>
      </c>
      <c r="O109" s="24">
        <v>0.65489566013597966</v>
      </c>
      <c r="P109" s="25">
        <v>2.3848338871021051</v>
      </c>
      <c r="Q109" s="26"/>
      <c r="R109" s="26"/>
      <c r="S109" s="27"/>
      <c r="V109" s="99"/>
      <c r="W109" s="102">
        <f>V107+I109/3</f>
        <v>0.11899906995118671</v>
      </c>
      <c r="X109" s="117">
        <f>V107+I109/5</f>
        <v>0.11594463300822845</v>
      </c>
      <c r="Y109" s="117">
        <f>V107-E109</f>
        <v>-0.19471210416089621</v>
      </c>
      <c r="Z109" s="100"/>
      <c r="AA109" s="100"/>
      <c r="AB109" s="100"/>
      <c r="AC109" s="117"/>
      <c r="AD109" s="117"/>
      <c r="AE109" s="117"/>
      <c r="AF109" s="117"/>
      <c r="AH109" s="27"/>
      <c r="AI109" s="58"/>
    </row>
    <row r="110" spans="1:35" s="128" customFormat="1" x14ac:dyDescent="0.2">
      <c r="A110" s="58">
        <v>4.0999999999999996</v>
      </c>
      <c r="B110" s="128" t="s">
        <v>35</v>
      </c>
      <c r="C110" s="137">
        <v>3.089872632990676</v>
      </c>
      <c r="D110" s="19">
        <v>2.1802267280630612</v>
      </c>
      <c r="E110" s="29">
        <v>0.29439592273652138</v>
      </c>
      <c r="F110" s="20">
        <v>7.4332648395962986</v>
      </c>
      <c r="G110" s="39">
        <v>1.4056864869545349</v>
      </c>
      <c r="H110" s="21">
        <v>-6.1882851563534458E-2</v>
      </c>
      <c r="I110" s="21">
        <v>0.1243178215475824</v>
      </c>
      <c r="J110" s="21">
        <v>0.26981573634865841</v>
      </c>
      <c r="K110" s="19">
        <v>3.4093999233740688</v>
      </c>
      <c r="L110" s="22">
        <v>2.1802267280630612</v>
      </c>
      <c r="M110" s="32">
        <v>0.29439592273652138</v>
      </c>
      <c r="N110" s="23">
        <v>4.1944375757954218</v>
      </c>
      <c r="O110" s="24">
        <v>0.35747911775109048</v>
      </c>
      <c r="P110" s="25">
        <v>1.9238538459354679</v>
      </c>
      <c r="Q110" s="26"/>
      <c r="R110" s="26"/>
      <c r="S110" s="27"/>
      <c r="T110" s="58">
        <f>T107/C109</f>
        <v>2543.6326072811867</v>
      </c>
      <c r="U110" s="58"/>
      <c r="V110" s="58">
        <f>T107/C107</f>
        <v>358.94533668297845</v>
      </c>
      <c r="W110" s="117">
        <f>V108+I110/3</f>
        <v>0.14561457012723172</v>
      </c>
      <c r="X110" s="117">
        <f>V108+I110/5</f>
        <v>0.12903886058755407</v>
      </c>
      <c r="Y110" s="117">
        <f>V108-E110</f>
        <v>-0.19022062645848378</v>
      </c>
      <c r="Z110" s="100"/>
      <c r="AA110" s="100"/>
      <c r="AB110" s="100"/>
      <c r="AC110" s="117"/>
      <c r="AD110" s="117"/>
      <c r="AE110" s="117"/>
      <c r="AF110" s="117"/>
      <c r="AH110" s="27"/>
      <c r="AI110" s="58"/>
    </row>
    <row r="111" spans="1:35" x14ac:dyDescent="0.2">
      <c r="Q111" s="98"/>
      <c r="R111" s="98"/>
    </row>
    <row r="112" spans="1:35" x14ac:dyDescent="0.2">
      <c r="A112" t="s">
        <v>95</v>
      </c>
      <c r="B112" t="s">
        <v>30</v>
      </c>
      <c r="C112" s="142">
        <v>25.326881605522878</v>
      </c>
      <c r="D112" s="88">
        <v>22.930491550083939</v>
      </c>
      <c r="E112" s="89">
        <v>9.4618441100003725E-2</v>
      </c>
      <c r="F112" s="90">
        <v>138.36494252004749</v>
      </c>
      <c r="G112" s="91">
        <v>4.4631653701052212</v>
      </c>
      <c r="H112" s="92">
        <v>0.51013838252654331</v>
      </c>
      <c r="I112" s="92">
        <v>1.2707476457905169</v>
      </c>
      <c r="J112" s="92">
        <v>1.597681483758139</v>
      </c>
      <c r="K112" s="88">
        <v>6.0341027673931844</v>
      </c>
      <c r="L112" s="93">
        <v>22.930491550083939</v>
      </c>
      <c r="M112" s="94">
        <v>9.4618441100003725E-2</v>
      </c>
      <c r="N112" s="95">
        <v>114.3752732921355</v>
      </c>
      <c r="O112" s="96">
        <v>3.5159635155081381</v>
      </c>
      <c r="P112" s="97">
        <v>4.9879119705009893</v>
      </c>
      <c r="Q112" s="98">
        <v>0.22959833585963429</v>
      </c>
      <c r="R112" s="98">
        <v>0.2342164359406185</v>
      </c>
      <c r="S112" s="99">
        <v>8.0841482044041579E-3</v>
      </c>
      <c r="T112">
        <v>10852.14</v>
      </c>
      <c r="U112" s="117">
        <f>C112*S112</f>
        <v>0.20474626445444447</v>
      </c>
      <c r="V112" s="117">
        <f>(1+S112)*Q112*(1-U112)+S112</f>
        <v>0.1921491584769234</v>
      </c>
      <c r="W112" s="117">
        <f>V112+I112/3</f>
        <v>0.61573170707376235</v>
      </c>
      <c r="X112" s="117">
        <f>V112+I112/5</f>
        <v>0.44629868763502678</v>
      </c>
      <c r="Y112" s="117">
        <f>V112-E112</f>
        <v>9.7530717376919679E-2</v>
      </c>
      <c r="Z112" s="100"/>
      <c r="AA112" s="100"/>
      <c r="AB112" s="100"/>
      <c r="AI112" s="58"/>
    </row>
    <row r="113" spans="1:35" x14ac:dyDescent="0.2">
      <c r="A113" t="s">
        <v>96</v>
      </c>
      <c r="B113" t="s">
        <v>32</v>
      </c>
      <c r="C113" s="142">
        <v>16.860636811630911</v>
      </c>
      <c r="D113" s="88">
        <v>16.192819425973902</v>
      </c>
      <c r="E113" s="89">
        <v>3.960807608383643E-2</v>
      </c>
      <c r="F113" s="90">
        <v>1187.1668361262989</v>
      </c>
      <c r="G113" s="91">
        <v>69.410557405955188</v>
      </c>
      <c r="H113" s="92">
        <v>0.50879246762240427</v>
      </c>
      <c r="I113" s="92">
        <v>1.798451469355707</v>
      </c>
      <c r="J113" s="92">
        <v>2.9891512090467609</v>
      </c>
      <c r="K113" s="88">
        <v>73.314399728440037</v>
      </c>
      <c r="L113" s="93">
        <v>16.192819425973902</v>
      </c>
      <c r="M113" s="94">
        <v>3.960807608383643E-2</v>
      </c>
      <c r="N113" s="95">
        <v>1187.1668361262989</v>
      </c>
      <c r="O113" s="96">
        <v>69.410557405955188</v>
      </c>
      <c r="P113" s="97">
        <v>73.314399728440037</v>
      </c>
      <c r="Q113" s="98"/>
      <c r="R113" s="98"/>
      <c r="S113" s="99">
        <v>1.1628463761166351E-2</v>
      </c>
      <c r="U113" s="117">
        <f>C113*S113</f>
        <v>0.19606330415423742</v>
      </c>
      <c r="V113" s="117">
        <f>(1+S113)*R112*(1-U113)+S113</f>
        <v>0.20211323514971247</v>
      </c>
      <c r="W113" s="117">
        <f>V113+I113/3</f>
        <v>0.80159705826828143</v>
      </c>
      <c r="X113" s="117">
        <f>V113+I113/5</f>
        <v>0.56180352902085384</v>
      </c>
      <c r="Y113" s="117">
        <f>V113-E113</f>
        <v>0.16250515906587604</v>
      </c>
      <c r="Z113" s="100"/>
      <c r="AA113" s="100"/>
      <c r="AB113" s="100"/>
      <c r="AI113" s="58"/>
    </row>
    <row r="114" spans="1:35" x14ac:dyDescent="0.2">
      <c r="A114" t="s">
        <v>67</v>
      </c>
      <c r="B114" t="s">
        <v>34</v>
      </c>
      <c r="C114" s="140">
        <v>5.8150098691420347</v>
      </c>
      <c r="D114" s="88">
        <v>4.2060711511053119</v>
      </c>
      <c r="E114" s="89">
        <v>0.27668718613440818</v>
      </c>
      <c r="F114" s="90">
        <v>16.282811281472501</v>
      </c>
      <c r="G114" s="91">
        <v>1.8001347629483759</v>
      </c>
      <c r="H114" s="92">
        <v>-6.669424054963724E-2</v>
      </c>
      <c r="I114" s="92">
        <v>0.12809095700854559</v>
      </c>
      <c r="J114" s="92">
        <v>0.66774380225015317</v>
      </c>
      <c r="K114" s="88">
        <v>3.8712638698928199</v>
      </c>
      <c r="L114" s="93">
        <v>4.2060711511053119</v>
      </c>
      <c r="M114" s="94">
        <v>0.27668718613440818</v>
      </c>
      <c r="N114" s="95">
        <v>13.4814005019986</v>
      </c>
      <c r="O114" s="96">
        <v>1.318379642576202</v>
      </c>
      <c r="P114" s="97">
        <v>3.2052240719836189</v>
      </c>
      <c r="Q114" s="98"/>
      <c r="R114" s="98"/>
      <c r="W114" s="117">
        <f>V112+I114/3</f>
        <v>0.23484614414643859</v>
      </c>
      <c r="X114" s="117">
        <f>V112+I114/5</f>
        <v>0.21776734987863253</v>
      </c>
      <c r="Y114" s="117">
        <f>V112-E114</f>
        <v>-8.4538027657484777E-2</v>
      </c>
      <c r="Z114" s="100"/>
      <c r="AA114" s="100"/>
      <c r="AB114" s="100"/>
      <c r="AI114" s="58"/>
    </row>
    <row r="115" spans="1:35" x14ac:dyDescent="0.2">
      <c r="A115">
        <v>3.94</v>
      </c>
      <c r="B115" t="s">
        <v>35</v>
      </c>
      <c r="C115" s="140">
        <v>3.9490382617093842</v>
      </c>
      <c r="D115" s="88">
        <v>2.5485344966424899</v>
      </c>
      <c r="E115" s="89">
        <v>0.35464426329986248</v>
      </c>
      <c r="F115" s="90">
        <v>13.92178025474899</v>
      </c>
      <c r="G115" s="91">
        <v>2.5253596780100072</v>
      </c>
      <c r="H115" s="92">
        <v>-9.0706686742071385E-2</v>
      </c>
      <c r="I115" s="92">
        <v>0.25922687235960917</v>
      </c>
      <c r="J115" s="92">
        <v>0.56077135224303865</v>
      </c>
      <c r="K115" s="88">
        <v>5.462661099188546</v>
      </c>
      <c r="L115" s="93">
        <v>2.5485344966424899</v>
      </c>
      <c r="M115" s="94">
        <v>0.35464426329986248</v>
      </c>
      <c r="N115" s="95">
        <v>7.5857057198538564</v>
      </c>
      <c r="O115" s="96">
        <v>0.92089952467826941</v>
      </c>
      <c r="P115" s="97">
        <v>2.976497171157571</v>
      </c>
      <c r="Q115" s="98"/>
      <c r="R115" s="98"/>
      <c r="W115" s="117">
        <f>V113+I115/3</f>
        <v>0.28852219260291551</v>
      </c>
      <c r="X115" s="117">
        <f>V113+I115/5</f>
        <v>0.2539586096216343</v>
      </c>
      <c r="Y115" s="117">
        <f>V113-E115</f>
        <v>-0.15253102815015002</v>
      </c>
      <c r="Z115" s="100"/>
      <c r="AA115" s="100"/>
      <c r="AB115" s="100"/>
      <c r="AI115" s="58"/>
    </row>
    <row r="116" spans="1:35" x14ac:dyDescent="0.2">
      <c r="C116" s="57"/>
      <c r="D116" s="88"/>
      <c r="F116" s="90"/>
      <c r="K116" s="88"/>
      <c r="L116" s="93"/>
      <c r="M116" s="94"/>
      <c r="N116" s="95"/>
      <c r="P116" s="97"/>
      <c r="Q116" s="98"/>
      <c r="R116" s="98"/>
    </row>
    <row r="117" spans="1:35" x14ac:dyDescent="0.2">
      <c r="A117" t="s">
        <v>97</v>
      </c>
      <c r="B117" t="s">
        <v>30</v>
      </c>
      <c r="C117" s="141">
        <v>37.199808019838812</v>
      </c>
      <c r="D117" s="88">
        <v>15.177925556585681</v>
      </c>
      <c r="E117" s="89">
        <v>0.59198914283398374</v>
      </c>
      <c r="F117" s="90">
        <v>67.15139072853502</v>
      </c>
      <c r="G117" s="91">
        <v>0.8051542280197499</v>
      </c>
      <c r="H117" s="92">
        <v>-0.40118216301564419</v>
      </c>
      <c r="I117" s="92">
        <v>-0.19498387247407861</v>
      </c>
      <c r="J117" s="92">
        <v>9.2520515775298406E-3</v>
      </c>
      <c r="K117" s="88">
        <v>4.4242798845062294</v>
      </c>
      <c r="L117" s="93">
        <v>20.66172180045394</v>
      </c>
      <c r="M117" s="94">
        <v>0.44457450453951392</v>
      </c>
      <c r="N117" s="95">
        <v>67.15139072853502</v>
      </c>
      <c r="O117" s="96">
        <v>0.8051542280197499</v>
      </c>
      <c r="P117" s="97">
        <v>3.250038470998081</v>
      </c>
      <c r="Q117" s="98">
        <v>0.22556855449465341</v>
      </c>
      <c r="R117" s="98">
        <v>0.11153165209737689</v>
      </c>
      <c r="S117" s="99">
        <v>1.7798579775105568E-2</v>
      </c>
      <c r="T117">
        <v>30223.5</v>
      </c>
      <c r="U117" s="117">
        <f>C117*S117</f>
        <v>0.66210375065971305</v>
      </c>
      <c r="V117" s="102">
        <f>(1+S117)*Q117*(1-U117)+S117</f>
        <v>9.5373934140051381E-2</v>
      </c>
      <c r="W117" s="102">
        <f>V117+I117/3</f>
        <v>3.0379309982025177E-2</v>
      </c>
      <c r="X117" s="117">
        <f>V117+I117/5</f>
        <v>5.637715964523566E-2</v>
      </c>
      <c r="Y117" s="117">
        <f>V117-E117</f>
        <v>-0.49661520869393239</v>
      </c>
      <c r="Z117" s="100"/>
      <c r="AA117" s="100"/>
      <c r="AB117" s="100"/>
      <c r="AI117" s="58"/>
    </row>
    <row r="118" spans="1:35" x14ac:dyDescent="0.2">
      <c r="A118" t="s">
        <v>98</v>
      </c>
      <c r="B118" t="s">
        <v>32</v>
      </c>
      <c r="C118" s="141">
        <v>44.079721738312998</v>
      </c>
      <c r="D118" s="88">
        <v>23.915343511481069</v>
      </c>
      <c r="E118" s="89">
        <v>0.45745248453566251</v>
      </c>
      <c r="F118" s="90">
        <v>66.219637387448302</v>
      </c>
      <c r="G118" s="91">
        <v>0.50226985960965886</v>
      </c>
      <c r="H118" s="92">
        <v>-0.31601052493612891</v>
      </c>
      <c r="I118" s="92">
        <v>-9.7609489830659313E-2</v>
      </c>
      <c r="J118" s="92">
        <v>6.6077542766854291E-2</v>
      </c>
      <c r="K118" s="88">
        <v>2.7689185127388258</v>
      </c>
      <c r="L118" s="93">
        <v>23.915343511481069</v>
      </c>
      <c r="M118" s="94">
        <v>0.45745248453566251</v>
      </c>
      <c r="N118" s="95">
        <v>52.176138664953648</v>
      </c>
      <c r="O118" s="96">
        <v>0.18367667960125611</v>
      </c>
      <c r="P118" s="97">
        <v>2.181701410222495</v>
      </c>
      <c r="Q118" s="98"/>
      <c r="R118" s="98"/>
      <c r="S118" s="99">
        <v>1.382788807627733E-2</v>
      </c>
      <c r="U118" s="117">
        <f>C118*S118</f>
        <v>0.60952945863084096</v>
      </c>
      <c r="V118" s="117">
        <f>(1+S118)*R117*(1-U118)+S118</f>
        <v>5.7979914750491163E-2</v>
      </c>
      <c r="W118" s="117">
        <f>V118+I118/3</f>
        <v>2.5443418140271394E-2</v>
      </c>
      <c r="X118" s="117">
        <f>V118+I118/5</f>
        <v>3.8458016784359297E-2</v>
      </c>
      <c r="Y118" s="117">
        <f>V118-E118</f>
        <v>-0.39947256978517132</v>
      </c>
      <c r="Z118" s="100"/>
      <c r="AA118" s="100"/>
      <c r="AB118" s="100"/>
      <c r="AI118" s="58"/>
    </row>
    <row r="119" spans="1:35" x14ac:dyDescent="0.2">
      <c r="A119" t="s">
        <v>99</v>
      </c>
      <c r="B119" t="s">
        <v>34</v>
      </c>
      <c r="C119" s="139">
        <v>8.3911069225136519</v>
      </c>
      <c r="D119" s="88">
        <v>3.0285502782345932</v>
      </c>
      <c r="E119" s="89">
        <v>0.63907619028082219</v>
      </c>
      <c r="F119" s="90">
        <v>14.67696614867725</v>
      </c>
      <c r="G119" s="91">
        <v>0.7491096567126807</v>
      </c>
      <c r="H119" s="92">
        <v>-0.52790656936481628</v>
      </c>
      <c r="I119" s="92">
        <v>-0.33837200340068019</v>
      </c>
      <c r="J119" s="92">
        <v>-2.5071155483290641E-2</v>
      </c>
      <c r="K119" s="88">
        <v>4.846201911903794</v>
      </c>
      <c r="L119" s="93">
        <v>4.157539708769594</v>
      </c>
      <c r="M119" s="94">
        <v>0.50453024289146398</v>
      </c>
      <c r="N119" s="95">
        <v>14.67696614867725</v>
      </c>
      <c r="O119" s="96">
        <v>0.7491096567126807</v>
      </c>
      <c r="P119" s="97">
        <v>3.5302046827643738</v>
      </c>
      <c r="Q119" s="98"/>
      <c r="R119" s="98"/>
      <c r="W119" s="102">
        <f>V117+I119/3</f>
        <v>-1.7416733660175349E-2</v>
      </c>
      <c r="X119" s="117">
        <f>V117+I119/5</f>
        <v>2.769953345991534E-2</v>
      </c>
      <c r="Y119" s="117">
        <f>V117-E119</f>
        <v>-0.54370225614077083</v>
      </c>
      <c r="Z119" s="100"/>
      <c r="AA119" s="100"/>
      <c r="AB119" s="100"/>
      <c r="AI119" s="58"/>
    </row>
    <row r="120" spans="1:35" x14ac:dyDescent="0.2">
      <c r="B120" t="s">
        <v>35</v>
      </c>
      <c r="C120" s="139">
        <v>4.91628418946671</v>
      </c>
      <c r="D120" s="88">
        <v>2.3785929489317179</v>
      </c>
      <c r="E120" s="89">
        <v>0.51618074601384389</v>
      </c>
      <c r="F120" s="90">
        <v>7.0046856864511913</v>
      </c>
      <c r="G120" s="91">
        <v>0.42479267196533232</v>
      </c>
      <c r="H120" s="92">
        <v>-0.32252957212022532</v>
      </c>
      <c r="I120" s="92">
        <v>-0.21102969663126869</v>
      </c>
      <c r="J120" s="92">
        <v>-4.9154509999315588E-2</v>
      </c>
      <c r="K120" s="88">
        <v>2.9448862570609911</v>
      </c>
      <c r="L120" s="93">
        <v>2.3785929489317179</v>
      </c>
      <c r="M120" s="94">
        <v>0.51618074601384389</v>
      </c>
      <c r="N120" s="95">
        <v>7.0046856864511913</v>
      </c>
      <c r="O120" s="96">
        <v>0.42479267196533232</v>
      </c>
      <c r="P120" s="97">
        <v>2.9448862570609911</v>
      </c>
      <c r="Q120" s="98"/>
      <c r="R120" s="98"/>
      <c r="W120" s="117">
        <f>V118+I120/3</f>
        <v>-1.236331745993173E-2</v>
      </c>
      <c r="X120" s="117">
        <f>V118+I120/5</f>
        <v>1.5773975424237426E-2</v>
      </c>
      <c r="Y120" s="117">
        <f>V118-E120</f>
        <v>-0.45820083126335276</v>
      </c>
      <c r="Z120" s="100"/>
      <c r="AA120" s="100"/>
      <c r="AB120" s="100"/>
      <c r="AI120" s="58"/>
    </row>
    <row r="121" spans="1:35" x14ac:dyDescent="0.2">
      <c r="C121" s="57"/>
      <c r="D121" s="88"/>
      <c r="F121" s="90"/>
      <c r="K121" s="88"/>
      <c r="L121" s="93"/>
      <c r="M121" s="94"/>
      <c r="N121" s="95"/>
      <c r="P121" s="97"/>
      <c r="Q121" s="98"/>
      <c r="R121" s="98"/>
    </row>
    <row r="122" spans="1:35" x14ac:dyDescent="0.2">
      <c r="A122" t="s">
        <v>100</v>
      </c>
      <c r="B122" t="s">
        <v>30</v>
      </c>
      <c r="C122" s="142">
        <v>24.947198598679659</v>
      </c>
      <c r="D122" s="88">
        <v>17.01722848173306</v>
      </c>
      <c r="E122" s="89">
        <v>0.31787016428234549</v>
      </c>
      <c r="F122" s="90">
        <v>69.169519453440486</v>
      </c>
      <c r="G122" s="91">
        <v>1.7726367423515561</v>
      </c>
      <c r="H122" s="92">
        <v>1.582894235337462E-2</v>
      </c>
      <c r="I122" s="92">
        <v>0.19956270833184031</v>
      </c>
      <c r="J122" s="92">
        <v>0.75423058081493166</v>
      </c>
      <c r="K122" s="88">
        <v>4.0646759563515102</v>
      </c>
      <c r="L122" s="93">
        <v>17.01722848173306</v>
      </c>
      <c r="M122" s="94">
        <v>0.31787016428234549</v>
      </c>
      <c r="N122" s="95">
        <v>39.887161265758778</v>
      </c>
      <c r="O122" s="96">
        <v>0.59886333962442651</v>
      </c>
      <c r="P122" s="97">
        <v>2.3439281730615051</v>
      </c>
      <c r="Q122" s="98">
        <v>6.9741678301419599E-2</v>
      </c>
      <c r="R122" s="98">
        <v>5.2722035195188539E-2</v>
      </c>
      <c r="S122" s="99">
        <v>1.0160927292378431E-2</v>
      </c>
      <c r="T122">
        <v>1332.03</v>
      </c>
      <c r="U122" s="117">
        <f>C122*S122</f>
        <v>0.25348667110970907</v>
      </c>
      <c r="V122" s="102">
        <f>(1+S122)*Q122*(1-U122)+S122</f>
        <v>6.2753029020376633E-2</v>
      </c>
      <c r="W122" s="117">
        <f>V122+I122/3</f>
        <v>0.12927393179765673</v>
      </c>
      <c r="X122" s="117">
        <f>V122+I122/5</f>
        <v>0.1026655706867447</v>
      </c>
      <c r="Y122" s="117">
        <f>V122-E122</f>
        <v>-0.25511713526196889</v>
      </c>
      <c r="Z122" s="100"/>
      <c r="AA122" s="100"/>
      <c r="AB122" s="100"/>
      <c r="AI122" s="58"/>
    </row>
    <row r="123" spans="1:35" x14ac:dyDescent="0.2">
      <c r="A123" t="s">
        <v>101</v>
      </c>
      <c r="B123" t="s">
        <v>32</v>
      </c>
      <c r="C123" s="140">
        <v>31.668889845930401</v>
      </c>
      <c r="D123" s="88">
        <v>21.216556103790911</v>
      </c>
      <c r="E123" s="89">
        <v>0.33005052570488719</v>
      </c>
      <c r="F123" s="90">
        <v>100.4335390553145</v>
      </c>
      <c r="G123" s="91">
        <v>2.1713627962307829</v>
      </c>
      <c r="H123" s="92">
        <v>-3.6034704380688232E-2</v>
      </c>
      <c r="I123" s="92">
        <v>0.1927271758231561</v>
      </c>
      <c r="J123" s="92">
        <v>0.77454256340995986</v>
      </c>
      <c r="K123" s="88">
        <v>4.7337342858094367</v>
      </c>
      <c r="L123" s="93">
        <v>21.216556103790911</v>
      </c>
      <c r="M123" s="94">
        <v>0.33005052570488719</v>
      </c>
      <c r="N123" s="95">
        <v>100.4335390553145</v>
      </c>
      <c r="O123" s="96">
        <v>2.1713627962307829</v>
      </c>
      <c r="P123" s="97">
        <v>4.7337342858094367</v>
      </c>
      <c r="Q123" s="98"/>
      <c r="R123" s="98"/>
      <c r="S123" s="99">
        <v>1.03860357605286E-2</v>
      </c>
      <c r="U123" s="117">
        <f>C123*S123</f>
        <v>0.32891422243607421</v>
      </c>
      <c r="V123" s="117">
        <f>(1+S123)*R122*(1-U123)+S123</f>
        <v>4.6134512158406783E-2</v>
      </c>
      <c r="W123" s="117">
        <f>V123+I123/3</f>
        <v>0.11037690409945883</v>
      </c>
      <c r="X123" s="117">
        <f>V123+I123/5</f>
        <v>8.4679947323038005E-2</v>
      </c>
      <c r="Y123" s="117">
        <f>V123-E123</f>
        <v>-0.28391601354648038</v>
      </c>
      <c r="Z123" s="100"/>
      <c r="AA123" s="100"/>
      <c r="AB123" s="100"/>
      <c r="AI123" s="58"/>
    </row>
    <row r="124" spans="1:35" x14ac:dyDescent="0.2">
      <c r="A124" t="s">
        <v>102</v>
      </c>
      <c r="B124" t="s">
        <v>34</v>
      </c>
      <c r="C124" s="140">
        <v>1.739859499190743</v>
      </c>
      <c r="D124" s="88">
        <v>1.391002051588188</v>
      </c>
      <c r="E124" s="89">
        <v>0.2005089765954193</v>
      </c>
      <c r="F124" s="90">
        <v>6.1034116055328944</v>
      </c>
      <c r="G124" s="91">
        <v>2.5079910811026762</v>
      </c>
      <c r="H124" s="92">
        <v>-1.134844023696668E-2</v>
      </c>
      <c r="I124" s="92">
        <v>0.1488952395268828</v>
      </c>
      <c r="J124" s="92">
        <v>1.2476935908846629</v>
      </c>
      <c r="K124" s="88">
        <v>4.3877804483208864</v>
      </c>
      <c r="L124" s="93">
        <v>1.391002051588188</v>
      </c>
      <c r="M124" s="94">
        <v>0.2005089765954193</v>
      </c>
      <c r="N124" s="95">
        <v>3.0852729842265338</v>
      </c>
      <c r="O124" s="96">
        <v>0.77328858201572048</v>
      </c>
      <c r="P124" s="97">
        <v>2.2180218790503559</v>
      </c>
      <c r="Q124" s="98"/>
      <c r="R124" s="98"/>
      <c r="W124" s="117">
        <f>V122+I124/3</f>
        <v>0.11238477552933757</v>
      </c>
      <c r="X124" s="117">
        <f>V122+I124/5</f>
        <v>9.2532076925753187E-2</v>
      </c>
      <c r="Y124" s="117">
        <f>V122-E124</f>
        <v>-0.13775594757504267</v>
      </c>
      <c r="Z124" s="100"/>
      <c r="AA124" s="100"/>
      <c r="AB124" s="100"/>
      <c r="AI124" s="58"/>
    </row>
    <row r="125" spans="1:35" x14ac:dyDescent="0.2">
      <c r="A125">
        <v>3.82</v>
      </c>
      <c r="B125" t="s">
        <v>35</v>
      </c>
      <c r="C125" s="140">
        <v>1.6696483250496921</v>
      </c>
      <c r="D125" s="88">
        <v>1.283477506374799</v>
      </c>
      <c r="E125" s="89">
        <v>0.23128871684005639</v>
      </c>
      <c r="F125" s="90">
        <v>5.9914650966604688</v>
      </c>
      <c r="G125" s="91">
        <v>2.588459322104343</v>
      </c>
      <c r="H125" s="92">
        <v>-2.0719160681233809E-2</v>
      </c>
      <c r="I125" s="92">
        <v>0.11158435148712199</v>
      </c>
      <c r="J125" s="92">
        <v>1.229762776649203</v>
      </c>
      <c r="K125" s="88">
        <v>4.6681496690841504</v>
      </c>
      <c r="L125" s="93">
        <v>1.283477506374799</v>
      </c>
      <c r="M125" s="94">
        <v>0.23128871684005639</v>
      </c>
      <c r="N125" s="95">
        <v>2.8486974338633462</v>
      </c>
      <c r="O125" s="96">
        <v>0.70616613757784208</v>
      </c>
      <c r="P125" s="97">
        <v>2.21951488804002</v>
      </c>
      <c r="Q125" s="98"/>
      <c r="R125" s="98"/>
      <c r="W125" s="117">
        <f>V123+I125/3</f>
        <v>8.3329295987447455E-2</v>
      </c>
      <c r="X125" s="117">
        <f>V123+I125/5</f>
        <v>6.8451382455831183E-2</v>
      </c>
      <c r="Y125" s="117">
        <f>V123-E125</f>
        <v>-0.18515420468164961</v>
      </c>
      <c r="Z125" s="100"/>
      <c r="AA125" s="100"/>
      <c r="AB125" s="100"/>
      <c r="AI125" s="58"/>
    </row>
    <row r="126" spans="1:35" x14ac:dyDescent="0.2">
      <c r="C126" s="57"/>
      <c r="D126" s="88"/>
      <c r="F126" s="90"/>
      <c r="K126" s="88"/>
      <c r="L126" s="93"/>
      <c r="M126" s="94"/>
      <c r="N126" s="95"/>
      <c r="P126" s="97"/>
      <c r="Q126" s="98"/>
      <c r="R126" s="98"/>
    </row>
    <row r="127" spans="1:35" x14ac:dyDescent="0.2">
      <c r="A127" t="s">
        <v>103</v>
      </c>
      <c r="B127" t="s">
        <v>30</v>
      </c>
      <c r="C127" s="142">
        <v>33.581588823252368</v>
      </c>
      <c r="D127" s="88">
        <v>22.378264200019849</v>
      </c>
      <c r="E127" s="89">
        <v>0.33361508540284368</v>
      </c>
      <c r="F127" s="90">
        <v>100.95515073020761</v>
      </c>
      <c r="G127" s="91">
        <v>2.0062648691685721</v>
      </c>
      <c r="H127" s="92">
        <v>7.2863949216110502E-2</v>
      </c>
      <c r="I127" s="92">
        <v>0.3275491151169545</v>
      </c>
      <c r="J127" s="92">
        <v>0.59738396746745281</v>
      </c>
      <c r="K127" s="88">
        <v>4.5113039075710812</v>
      </c>
      <c r="L127" s="93">
        <v>22.378264200019849</v>
      </c>
      <c r="M127" s="94">
        <v>0.33361508540284368</v>
      </c>
      <c r="N127" s="95">
        <v>73.831532851421159</v>
      </c>
      <c r="O127" s="96">
        <v>1.198571760258679</v>
      </c>
      <c r="P127" s="97">
        <v>3.2992519970050078</v>
      </c>
      <c r="Q127" s="98">
        <v>0.1011442456287675</v>
      </c>
      <c r="R127" s="98">
        <v>7.1690770213873253E-2</v>
      </c>
      <c r="S127" s="99">
        <v>1.001050942966727E-2</v>
      </c>
      <c r="T127">
        <v>4119.1899999999996</v>
      </c>
      <c r="U127" s="117">
        <f>C127*S127</f>
        <v>0.3361688115783768</v>
      </c>
      <c r="V127" s="117">
        <f>(1+S127)*Q127*(1-U127)+S127</f>
        <v>7.7825346886731636E-2</v>
      </c>
      <c r="W127" s="117">
        <f>V127+I127/3</f>
        <v>0.18700838525904981</v>
      </c>
      <c r="X127" s="117">
        <f>V127+I127/5</f>
        <v>0.14333516991012252</v>
      </c>
      <c r="Y127" s="117">
        <f>V127-E127</f>
        <v>-0.25578973851611203</v>
      </c>
      <c r="Z127" s="100"/>
      <c r="AA127" s="100"/>
      <c r="AB127" s="100"/>
      <c r="AI127" s="58"/>
    </row>
    <row r="128" spans="1:35" x14ac:dyDescent="0.2">
      <c r="A128" t="s">
        <v>104</v>
      </c>
      <c r="B128" t="s">
        <v>32</v>
      </c>
      <c r="C128" s="140">
        <v>42.635677307431664</v>
      </c>
      <c r="D128" s="88">
        <v>25.47347745536371</v>
      </c>
      <c r="E128" s="89">
        <v>0.40253142288128912</v>
      </c>
      <c r="F128" s="90">
        <v>-46.7814283072112</v>
      </c>
      <c r="G128" s="91">
        <v>-2.0972366633203898</v>
      </c>
      <c r="H128" s="92">
        <v>-3.3898261850651153E-2</v>
      </c>
      <c r="I128" s="92">
        <v>0.25936482268732131</v>
      </c>
      <c r="J128" s="92">
        <v>0.66687644904308474</v>
      </c>
      <c r="K128" s="88">
        <v>-1.836475934201943</v>
      </c>
      <c r="L128" s="93">
        <v>25.47347745536371</v>
      </c>
      <c r="M128" s="94">
        <v>0.40253142288128912</v>
      </c>
      <c r="N128" s="95">
        <v>-46.7814283072112</v>
      </c>
      <c r="O128" s="96">
        <v>-2.0972366633203898</v>
      </c>
      <c r="P128" s="97">
        <v>-1.836475934201943</v>
      </c>
      <c r="Q128" s="98"/>
      <c r="R128" s="98"/>
      <c r="S128" s="99">
        <v>7.8650770755391494E-3</v>
      </c>
      <c r="U128" s="117">
        <f>C128*S128</f>
        <v>0.33533288819076551</v>
      </c>
      <c r="V128" s="117">
        <f>(1+S128)*R127*(1-U128)+S128</f>
        <v>5.5890349089993512E-2</v>
      </c>
      <c r="W128" s="117">
        <f>V128+I128/3</f>
        <v>0.14234528998576729</v>
      </c>
      <c r="X128" s="117">
        <f>V128+I128/5</f>
        <v>0.10776331362745778</v>
      </c>
      <c r="Y128" s="117">
        <f>V128-E128</f>
        <v>-0.34664107379129561</v>
      </c>
      <c r="Z128" s="100"/>
      <c r="AA128" s="100"/>
      <c r="AB128" s="100"/>
      <c r="AI128" s="58"/>
    </row>
    <row r="129" spans="1:35" x14ac:dyDescent="0.2">
      <c r="A129" t="s">
        <v>105</v>
      </c>
      <c r="B129" t="s">
        <v>34</v>
      </c>
      <c r="C129" s="142">
        <v>3.3965844685433111</v>
      </c>
      <c r="D129" s="88">
        <v>2.6646706847081312</v>
      </c>
      <c r="E129" s="89">
        <v>0.21548522953385429</v>
      </c>
      <c r="F129" s="90">
        <v>9.5083830610505977</v>
      </c>
      <c r="G129" s="91">
        <v>1.799395436536412</v>
      </c>
      <c r="H129" s="92">
        <v>3.1734651746144982E-2</v>
      </c>
      <c r="I129" s="92">
        <v>0.22073972005352929</v>
      </c>
      <c r="J129" s="92">
        <v>0.41322825720695627</v>
      </c>
      <c r="K129" s="88">
        <v>3.5683145071609772</v>
      </c>
      <c r="L129" s="93">
        <v>2.6646706847081312</v>
      </c>
      <c r="M129" s="94">
        <v>0.21548522953385429</v>
      </c>
      <c r="N129" s="95">
        <v>6.1354578295414646</v>
      </c>
      <c r="O129" s="96">
        <v>0.80636103308002571</v>
      </c>
      <c r="P129" s="97">
        <v>2.302520106800177</v>
      </c>
      <c r="Q129" s="98"/>
      <c r="R129" s="98"/>
      <c r="W129" s="117">
        <f>V127+I129/3</f>
        <v>0.1514052535712414</v>
      </c>
      <c r="X129" s="117">
        <f>V127+I129/5</f>
        <v>0.1219732908974375</v>
      </c>
      <c r="Y129" s="117">
        <f>V127-E129</f>
        <v>-0.13765988264712264</v>
      </c>
      <c r="Z129" s="100"/>
      <c r="AA129" s="100"/>
      <c r="AB129" s="100"/>
      <c r="AI129" s="58"/>
    </row>
    <row r="130" spans="1:35" x14ac:dyDescent="0.2">
      <c r="A130">
        <v>2.75</v>
      </c>
      <c r="B130" t="s">
        <v>35</v>
      </c>
      <c r="C130" s="140">
        <v>3.056584544759934</v>
      </c>
      <c r="D130" s="88">
        <v>1.975252444766938</v>
      </c>
      <c r="E130" s="89">
        <v>0.35377136936937698</v>
      </c>
      <c r="F130" s="90">
        <v>9.1035717929322129</v>
      </c>
      <c r="G130" s="91">
        <v>1.9783477798901239</v>
      </c>
      <c r="H130" s="92">
        <v>-7.4234800523858668E-2</v>
      </c>
      <c r="I130" s="92">
        <v>0.10807165931458811</v>
      </c>
      <c r="J130" s="92">
        <v>0.3750343154007576</v>
      </c>
      <c r="K130" s="88">
        <v>4.6088143401874646</v>
      </c>
      <c r="L130" s="93">
        <v>1.975252444766938</v>
      </c>
      <c r="M130" s="94">
        <v>0.35377136936937698</v>
      </c>
      <c r="N130" s="95">
        <v>4.5030442069560124</v>
      </c>
      <c r="O130" s="96">
        <v>0.47322743441722293</v>
      </c>
      <c r="P130" s="97">
        <v>2.279730987745888</v>
      </c>
      <c r="Q130" s="98"/>
      <c r="R130" s="98"/>
      <c r="W130" s="117">
        <f>V128+I130/3</f>
        <v>9.1914235528189545E-2</v>
      </c>
      <c r="X130" s="117">
        <f>V128+I130/5</f>
        <v>7.7504680952911131E-2</v>
      </c>
      <c r="Y130" s="117">
        <f>V128-E130</f>
        <v>-0.29788102027938346</v>
      </c>
      <c r="Z130" s="100"/>
      <c r="AA130" s="100"/>
      <c r="AB130" s="100"/>
      <c r="AI130" s="58"/>
    </row>
    <row r="131" spans="1:35" x14ac:dyDescent="0.2">
      <c r="C131" s="57"/>
      <c r="D131" s="88"/>
      <c r="F131" s="90"/>
      <c r="K131" s="88"/>
      <c r="L131" s="93"/>
      <c r="M131" s="94"/>
      <c r="N131" s="95"/>
      <c r="P131" s="97"/>
      <c r="Q131" s="98"/>
      <c r="R131" s="98"/>
    </row>
    <row r="132" spans="1:35" x14ac:dyDescent="0.2">
      <c r="A132" t="s">
        <v>106</v>
      </c>
      <c r="B132" t="s">
        <v>30</v>
      </c>
      <c r="C132" s="141">
        <v>29.221093358214048</v>
      </c>
      <c r="D132" s="88">
        <v>14.820477881949101</v>
      </c>
      <c r="E132" s="89">
        <v>0.4928157649589433</v>
      </c>
      <c r="F132" s="90">
        <v>46.170791791536182</v>
      </c>
      <c r="G132" s="91">
        <v>0.58005011056704925</v>
      </c>
      <c r="H132" s="92">
        <v>-0.29726590390318502</v>
      </c>
      <c r="I132" s="92">
        <v>-9.397769709167958E-2</v>
      </c>
      <c r="J132" s="92">
        <v>0.1038354485641084</v>
      </c>
      <c r="K132" s="88">
        <v>3.1153375862306598</v>
      </c>
      <c r="L132" s="93">
        <v>14.820477881949101</v>
      </c>
      <c r="M132" s="94">
        <v>0.4928157649589433</v>
      </c>
      <c r="N132" s="95">
        <v>46.170791791536182</v>
      </c>
      <c r="O132" s="96">
        <v>0.58005011056704925</v>
      </c>
      <c r="P132" s="97">
        <v>3.1153375862306598</v>
      </c>
      <c r="Q132" s="98">
        <v>8.9887724447371337E-2</v>
      </c>
      <c r="R132" s="98">
        <v>4.4601482726203331E-2</v>
      </c>
      <c r="S132" s="99">
        <v>1.6139072043998171E-2</v>
      </c>
      <c r="T132">
        <v>4944.4799999999996</v>
      </c>
      <c r="U132" s="117">
        <f>C132*S132</f>
        <v>0.47160133091261297</v>
      </c>
      <c r="V132" s="117">
        <f>(1+S132)*Q132*(1-U132)+S132</f>
        <v>6.4402176315570353E-2</v>
      </c>
      <c r="W132" s="117">
        <f>V132+I132/3</f>
        <v>3.3076277285010496E-2</v>
      </c>
      <c r="X132" s="117">
        <f>V132+I132/5</f>
        <v>4.5606636897234439E-2</v>
      </c>
      <c r="Y132" s="117">
        <f>V132-E132</f>
        <v>-0.42841358864337298</v>
      </c>
      <c r="Z132" s="100"/>
      <c r="AA132" s="100"/>
      <c r="AB132" s="100"/>
      <c r="AI132" s="58"/>
    </row>
    <row r="133" spans="1:35" x14ac:dyDescent="0.2">
      <c r="A133" t="s">
        <v>107</v>
      </c>
      <c r="B133" t="s">
        <v>32</v>
      </c>
      <c r="C133" s="141">
        <v>49.274621070908722</v>
      </c>
      <c r="D133" s="88">
        <v>21.51306448499891</v>
      </c>
      <c r="E133" s="89">
        <v>0.56340477070253858</v>
      </c>
      <c r="F133" s="90">
        <v>-41.704524656926353</v>
      </c>
      <c r="G133" s="91">
        <v>-1.8463692617120571</v>
      </c>
      <c r="H133" s="92">
        <v>-0.41794950798695107</v>
      </c>
      <c r="I133" s="92">
        <v>-0.10393136643206</v>
      </c>
      <c r="J133" s="92">
        <v>0.38294388189594869</v>
      </c>
      <c r="K133" s="88">
        <v>-1.938567361521506</v>
      </c>
      <c r="L133" s="93">
        <v>21.51306448499891</v>
      </c>
      <c r="M133" s="94">
        <v>0.56340477070253858</v>
      </c>
      <c r="N133" s="95">
        <v>-41.704524656926353</v>
      </c>
      <c r="O133" s="96">
        <v>-1.8463692617120571</v>
      </c>
      <c r="P133" s="97">
        <v>-1.938567361521506</v>
      </c>
      <c r="Q133" s="98"/>
      <c r="R133" s="98"/>
      <c r="S133" s="99">
        <v>1.401697068174002E-2</v>
      </c>
      <c r="U133" s="117">
        <f>C133*S133</f>
        <v>0.69068091890477656</v>
      </c>
      <c r="V133" s="117">
        <f>(1+S133)*R132*(1-U133)+S133</f>
        <v>2.8006439718273417E-2</v>
      </c>
      <c r="W133" s="117">
        <f>V133+I133/3</f>
        <v>-6.6373490924132479E-3</v>
      </c>
      <c r="X133" s="117">
        <f>V133+I133/5</f>
        <v>7.2201664318614182E-3</v>
      </c>
      <c r="Y133" s="117">
        <f>V133-E133</f>
        <v>-0.53539833098426515</v>
      </c>
      <c r="Z133" s="100"/>
      <c r="AA133" s="100"/>
      <c r="AB133" s="100"/>
      <c r="AI133" s="58"/>
    </row>
    <row r="134" spans="1:35" x14ac:dyDescent="0.2">
      <c r="A134" t="s">
        <v>67</v>
      </c>
      <c r="B134" t="s">
        <v>34</v>
      </c>
      <c r="C134" s="140">
        <v>2.626617587834057</v>
      </c>
      <c r="D134" s="88">
        <v>1.6598724211109011</v>
      </c>
      <c r="E134" s="89">
        <v>0.36805706746232042</v>
      </c>
      <c r="F134" s="90">
        <v>5.4470463656450923</v>
      </c>
      <c r="G134" s="91">
        <v>1.073787364736561</v>
      </c>
      <c r="H134" s="92">
        <v>-0.17825986980985911</v>
      </c>
      <c r="I134" s="92">
        <v>1.7687363126467352E-2</v>
      </c>
      <c r="J134" s="92">
        <v>0.1379398500800042</v>
      </c>
      <c r="K134" s="88">
        <v>3.2816054392900602</v>
      </c>
      <c r="L134" s="93">
        <v>1.6598724211109011</v>
      </c>
      <c r="M134" s="94">
        <v>0.36805706746232042</v>
      </c>
      <c r="N134" s="95">
        <v>3.225028593853287</v>
      </c>
      <c r="O134" s="96">
        <v>0.22782570587775861</v>
      </c>
      <c r="P134" s="97">
        <v>1.9429376335410631</v>
      </c>
      <c r="Q134" s="98"/>
      <c r="R134" s="98"/>
      <c r="W134" s="117">
        <f>V132+I134/3</f>
        <v>7.0297964024392798E-2</v>
      </c>
      <c r="X134" s="117">
        <f>V132+I134/5</f>
        <v>6.7939648940863823E-2</v>
      </c>
      <c r="Y134" s="117">
        <f>V132-E134</f>
        <v>-0.30365489114675004</v>
      </c>
      <c r="Z134" s="100"/>
      <c r="AA134" s="100"/>
      <c r="AB134" s="100"/>
      <c r="AI134" s="58"/>
    </row>
    <row r="135" spans="1:35" x14ac:dyDescent="0.2">
      <c r="A135">
        <v>6.72</v>
      </c>
      <c r="B135" t="s">
        <v>35</v>
      </c>
      <c r="C135" s="141">
        <v>2.1977211605343498</v>
      </c>
      <c r="D135" s="88">
        <v>1.4494673827425311</v>
      </c>
      <c r="E135" s="89">
        <v>0.34046802261752351</v>
      </c>
      <c r="F135" s="90">
        <v>5.981965327963513</v>
      </c>
      <c r="G135" s="91">
        <v>1.7218945858031729</v>
      </c>
      <c r="H135" s="92">
        <v>-0.1530305472149214</v>
      </c>
      <c r="I135" s="92">
        <v>-1.3631088061580201E-2</v>
      </c>
      <c r="J135" s="92">
        <v>0.42943619705685082</v>
      </c>
      <c r="K135" s="88">
        <v>4.1270092719472329</v>
      </c>
      <c r="L135" s="93">
        <v>1.4494673827425311</v>
      </c>
      <c r="M135" s="94">
        <v>0.34046802261752351</v>
      </c>
      <c r="N135" s="95">
        <v>2.4706966846175651</v>
      </c>
      <c r="O135" s="96">
        <v>0.124208443266226</v>
      </c>
      <c r="P135" s="97">
        <v>1.704554868935906</v>
      </c>
      <c r="Q135" s="98"/>
      <c r="R135" s="98"/>
      <c r="W135" s="117">
        <f>V133+I135/3</f>
        <v>2.3462743697746685E-2</v>
      </c>
      <c r="X135" s="117">
        <f>V133+I135/5</f>
        <v>2.5280222105957376E-2</v>
      </c>
      <c r="Y135" s="117">
        <f>V133-E135</f>
        <v>-0.31246158289925008</v>
      </c>
      <c r="Z135" s="100"/>
      <c r="AA135" s="100"/>
      <c r="AB135" s="100"/>
      <c r="AI135" s="58"/>
    </row>
    <row r="136" spans="1:35" x14ac:dyDescent="0.2">
      <c r="C136" s="57"/>
      <c r="D136" s="88"/>
      <c r="F136" s="90"/>
      <c r="K136" s="88"/>
      <c r="L136" s="93"/>
      <c r="M136" s="94"/>
      <c r="N136" s="95"/>
      <c r="P136" s="97"/>
      <c r="Q136" s="98"/>
      <c r="R136" s="98"/>
    </row>
    <row r="137" spans="1:35" s="128" customFormat="1" x14ac:dyDescent="0.2">
      <c r="A137" s="128" t="s">
        <v>108</v>
      </c>
      <c r="B137" s="128" t="s">
        <v>30</v>
      </c>
      <c r="C137" s="136">
        <v>37.22266457956291</v>
      </c>
      <c r="D137" s="19">
        <v>16.56330034519187</v>
      </c>
      <c r="E137" s="29">
        <v>0.55502109985199866</v>
      </c>
      <c r="F137" s="20">
        <v>71.443194547990842</v>
      </c>
      <c r="G137" s="39">
        <v>0.91934659581616041</v>
      </c>
      <c r="H137" s="21">
        <v>-0.39727856116103938</v>
      </c>
      <c r="I137" s="21">
        <v>-0.17417337917029951</v>
      </c>
      <c r="J137" s="21">
        <v>0.1150779508280413</v>
      </c>
      <c r="K137" s="19">
        <v>4.3133429364353679</v>
      </c>
      <c r="L137" s="22">
        <v>18.474026068078238</v>
      </c>
      <c r="M137" s="32">
        <v>0.50368878002835415</v>
      </c>
      <c r="N137" s="23">
        <v>71.443194547990842</v>
      </c>
      <c r="O137" s="24">
        <v>0.91934659581616041</v>
      </c>
      <c r="P137" s="25">
        <v>3.867223867971012</v>
      </c>
      <c r="Q137" s="26">
        <v>0.26990905593953868</v>
      </c>
      <c r="R137" s="26">
        <v>0.137783329868196</v>
      </c>
      <c r="S137" s="27">
        <v>1.7715373826883919E-2</v>
      </c>
      <c r="T137" s="128">
        <v>17332.93</v>
      </c>
      <c r="U137" s="117">
        <f>C137*S137</f>
        <v>0.65941341785966789</v>
      </c>
      <c r="V137" s="117">
        <f>(1+S137)*Q137*(1-U137)+S137</f>
        <v>0.11127130498449814</v>
      </c>
      <c r="W137" s="117">
        <f>V137+I137/3</f>
        <v>5.3213511927731633E-2</v>
      </c>
      <c r="X137" s="117">
        <f>V137+I137/5</f>
        <v>7.6436629150438237E-2</v>
      </c>
      <c r="Y137" s="117">
        <f>V137-E137</f>
        <v>-0.44374979486750055</v>
      </c>
      <c r="Z137" s="100"/>
      <c r="AA137" s="100"/>
      <c r="AB137" s="100"/>
      <c r="AC137" s="117"/>
      <c r="AD137" s="117"/>
      <c r="AE137" s="117"/>
      <c r="AF137" s="117"/>
      <c r="AH137" s="27"/>
      <c r="AI137" s="58"/>
    </row>
    <row r="138" spans="1:35" s="128" customFormat="1" x14ac:dyDescent="0.2">
      <c r="A138" s="128" t="s">
        <v>109</v>
      </c>
      <c r="B138" s="128" t="s">
        <v>32</v>
      </c>
      <c r="C138" s="135">
        <v>46.671939899295211</v>
      </c>
      <c r="D138" s="19">
        <v>19.10126991179925</v>
      </c>
      <c r="E138" s="29">
        <v>0.59073331957029496</v>
      </c>
      <c r="F138" s="20">
        <v>72.167078009867069</v>
      </c>
      <c r="G138" s="39">
        <v>0.54626266158173675</v>
      </c>
      <c r="H138" s="21">
        <v>-0.37524622788559692</v>
      </c>
      <c r="I138" s="21">
        <v>-0.2429900943597787</v>
      </c>
      <c r="J138" s="21">
        <v>-2.9853502480197799E-2</v>
      </c>
      <c r="K138" s="19">
        <v>3.7781298491200288</v>
      </c>
      <c r="L138" s="22">
        <v>19.10126991179925</v>
      </c>
      <c r="M138" s="32">
        <v>0.59073331957029496</v>
      </c>
      <c r="N138" s="23">
        <v>72.167078009867069</v>
      </c>
      <c r="O138" s="24">
        <v>0.54626266158173675</v>
      </c>
      <c r="P138" s="25">
        <v>3.7781298491200288</v>
      </c>
      <c r="Q138" s="26"/>
      <c r="R138" s="26"/>
      <c r="S138" s="27">
        <v>9.9076473011949408E-3</v>
      </c>
      <c r="U138" s="117">
        <f>C138*S138</f>
        <v>0.46240911938478468</v>
      </c>
      <c r="V138" s="117">
        <f>(1+S138)*R137*(1-U138)+S138</f>
        <v>8.4712578893068907E-2</v>
      </c>
      <c r="W138" s="117">
        <f>V138+I138/3</f>
        <v>3.7158807731426796E-3</v>
      </c>
      <c r="X138" s="117">
        <f>V138+I138/5</f>
        <v>3.6114560021113171E-2</v>
      </c>
      <c r="Y138" s="117">
        <f>V138-E138</f>
        <v>-0.50602074067722602</v>
      </c>
      <c r="Z138" s="100"/>
      <c r="AA138" s="100"/>
      <c r="AB138" s="100"/>
      <c r="AC138" s="117"/>
      <c r="AD138" s="117"/>
      <c r="AE138" s="117"/>
      <c r="AF138" s="117"/>
      <c r="AH138" s="27"/>
      <c r="AI138" s="58"/>
    </row>
    <row r="139" spans="1:35" s="128" customFormat="1" x14ac:dyDescent="0.2">
      <c r="A139" s="128" t="s">
        <v>55</v>
      </c>
      <c r="B139" s="128" t="s">
        <v>34</v>
      </c>
      <c r="C139" s="136">
        <v>10.04673425622393</v>
      </c>
      <c r="D139" s="19">
        <v>3.3533559554339272</v>
      </c>
      <c r="E139" s="29">
        <v>0.66622428045645488</v>
      </c>
      <c r="F139" s="20">
        <v>17.860679635258229</v>
      </c>
      <c r="G139" s="39">
        <v>0.77775973562688505</v>
      </c>
      <c r="H139" s="21">
        <v>-0.54873164378773454</v>
      </c>
      <c r="I139" s="21">
        <v>-0.26393541613587412</v>
      </c>
      <c r="J139" s="21">
        <v>6.6251179139739769E-2</v>
      </c>
      <c r="K139" s="19">
        <v>5.3262104806726489</v>
      </c>
      <c r="L139" s="22">
        <v>4.5468241086608154</v>
      </c>
      <c r="M139" s="32">
        <v>0.5474326290810303</v>
      </c>
      <c r="N139" s="23">
        <v>17.860679635258229</v>
      </c>
      <c r="O139" s="24">
        <v>0.77775973562688505</v>
      </c>
      <c r="P139" s="25">
        <v>3.9281659480156952</v>
      </c>
      <c r="Q139" s="26"/>
      <c r="R139" s="26"/>
      <c r="S139" s="27"/>
      <c r="V139" s="99"/>
      <c r="W139" s="117">
        <f>V137+I139/3</f>
        <v>2.3292832939206767E-2</v>
      </c>
      <c r="X139" s="117">
        <f>V137+I139/5</f>
        <v>5.8484221757323311E-2</v>
      </c>
      <c r="Y139" s="117">
        <f>V137-E139</f>
        <v>-0.55495297547195677</v>
      </c>
      <c r="Z139" s="100"/>
      <c r="AA139" s="100"/>
      <c r="AB139" s="100"/>
      <c r="AC139" s="117"/>
      <c r="AD139" s="117"/>
      <c r="AE139" s="117"/>
      <c r="AF139" s="117"/>
      <c r="AH139" s="27"/>
      <c r="AI139" s="58"/>
    </row>
    <row r="140" spans="1:35" s="128" customFormat="1" x14ac:dyDescent="0.2">
      <c r="A140" s="128">
        <v>3.48</v>
      </c>
      <c r="B140" s="128" t="s">
        <v>35</v>
      </c>
      <c r="C140" s="135">
        <v>6.4306152907332086</v>
      </c>
      <c r="D140" s="19">
        <v>2.8496349731388859</v>
      </c>
      <c r="E140" s="29">
        <v>0.55686433656739953</v>
      </c>
      <c r="F140" s="20">
        <v>10.056321422257961</v>
      </c>
      <c r="G140" s="39">
        <v>0.56381947412552336</v>
      </c>
      <c r="H140" s="21">
        <v>-0.43501563548720512</v>
      </c>
      <c r="I140" s="21">
        <v>-0.33842617608786307</v>
      </c>
      <c r="J140" s="21">
        <v>-9.7978192154737909E-2</v>
      </c>
      <c r="K140" s="19">
        <v>3.528985823465268</v>
      </c>
      <c r="L140" s="22">
        <v>2.8496349731388859</v>
      </c>
      <c r="M140" s="32">
        <v>0.55686433656739953</v>
      </c>
      <c r="N140" s="23">
        <v>10.056321422257961</v>
      </c>
      <c r="O140" s="24">
        <v>0.56381947412552336</v>
      </c>
      <c r="P140" s="25">
        <v>3.528985823465268</v>
      </c>
      <c r="Q140" s="26"/>
      <c r="R140" s="26"/>
      <c r="S140" s="27"/>
      <c r="V140" s="99"/>
      <c r="W140" s="117">
        <f>V138+I140/3</f>
        <v>-2.8096146469552122E-2</v>
      </c>
      <c r="X140" s="117">
        <f>V138+I140/5</f>
        <v>1.7027343675496298E-2</v>
      </c>
      <c r="Y140" s="117">
        <f>V138-E140</f>
        <v>-0.4721517576743306</v>
      </c>
      <c r="Z140" s="100"/>
      <c r="AA140" s="100"/>
      <c r="AB140" s="100"/>
      <c r="AC140" s="117"/>
      <c r="AD140" s="117"/>
      <c r="AE140" s="117"/>
      <c r="AF140" s="117"/>
      <c r="AH140" s="27"/>
      <c r="AI140" s="58"/>
    </row>
    <row r="141" spans="1:35" x14ac:dyDescent="0.2">
      <c r="C141" s="57"/>
      <c r="D141" s="88"/>
      <c r="F141" s="90"/>
      <c r="K141" s="88"/>
      <c r="L141" s="93"/>
      <c r="M141" s="94"/>
      <c r="N141" s="95"/>
      <c r="P141" s="97"/>
      <c r="Q141" s="98"/>
      <c r="R141" s="98"/>
    </row>
    <row r="142" spans="1:35" x14ac:dyDescent="0.2">
      <c r="A142" t="s">
        <v>110</v>
      </c>
      <c r="B142" t="s">
        <v>30</v>
      </c>
      <c r="C142" s="141">
        <v>22.879229584375022</v>
      </c>
      <c r="D142" s="88">
        <v>12.99608421956319</v>
      </c>
      <c r="E142" s="89">
        <v>0.43197019936201658</v>
      </c>
      <c r="F142" s="90">
        <v>47.169501013181723</v>
      </c>
      <c r="G142" s="91">
        <v>1.061673485954935</v>
      </c>
      <c r="H142" s="92">
        <v>-0.23844230169972441</v>
      </c>
      <c r="I142" s="92">
        <v>-0.10874761136901449</v>
      </c>
      <c r="J142" s="92">
        <v>0.19103876407557621</v>
      </c>
      <c r="K142" s="88">
        <v>3.629516415581302</v>
      </c>
      <c r="L142" s="93">
        <v>12.99608421956319</v>
      </c>
      <c r="M142" s="94">
        <v>0.43197019936201658</v>
      </c>
      <c r="N142" s="95">
        <v>47.169501013181723</v>
      </c>
      <c r="O142" s="96">
        <v>1.061673485954935</v>
      </c>
      <c r="P142" s="97">
        <v>3.629516415581302</v>
      </c>
      <c r="Q142" s="98">
        <v>0.1189135697067597</v>
      </c>
      <c r="R142" s="98">
        <v>8.2868297058915602E-2</v>
      </c>
      <c r="S142" s="99">
        <v>1.8572523197636959E-2</v>
      </c>
      <c r="T142">
        <v>5644.38</v>
      </c>
      <c r="U142" s="117">
        <f>C142*S142</f>
        <v>0.42492502219986689</v>
      </c>
      <c r="V142" s="102">
        <f>(1+S142)*Q142*(1-U142)+S142</f>
        <v>8.822680914057307E-2</v>
      </c>
      <c r="W142" s="117">
        <f>V142+I142/3</f>
        <v>5.1977605350901575E-2</v>
      </c>
      <c r="X142" s="117">
        <f>V142+I142/5</f>
        <v>6.647728686677018E-2</v>
      </c>
      <c r="Y142" s="117">
        <f>V142-E142</f>
        <v>-0.34374339022144351</v>
      </c>
      <c r="Z142" s="100"/>
      <c r="AA142" s="100"/>
      <c r="AB142" s="100"/>
      <c r="AI142" s="58"/>
    </row>
    <row r="143" spans="1:35" x14ac:dyDescent="0.2">
      <c r="A143" t="s">
        <v>111</v>
      </c>
      <c r="B143" t="s">
        <v>32</v>
      </c>
      <c r="C143" s="140">
        <v>24.29688984720331</v>
      </c>
      <c r="D143" s="88">
        <v>17.674154129416721</v>
      </c>
      <c r="E143" s="89">
        <v>0.27257545140284289</v>
      </c>
      <c r="F143" s="90">
        <v>1586.711828863688</v>
      </c>
      <c r="G143" s="91">
        <v>64.305141474571329</v>
      </c>
      <c r="H143" s="92">
        <v>-0.1072051355857275</v>
      </c>
      <c r="I143" s="92">
        <v>8.7075909571768362E-2</v>
      </c>
      <c r="J143" s="92">
        <v>0.47403102978454542</v>
      </c>
      <c r="K143" s="88">
        <v>89.775828435420166</v>
      </c>
      <c r="L143" s="93">
        <v>17.674154129416721</v>
      </c>
      <c r="M143" s="94">
        <v>0.27257545140284289</v>
      </c>
      <c r="N143" s="95">
        <v>1586.711828863688</v>
      </c>
      <c r="O143" s="96">
        <v>64.305141474571329</v>
      </c>
      <c r="P143" s="97">
        <v>89.775828435420166</v>
      </c>
      <c r="Q143" s="98"/>
      <c r="R143" s="98"/>
      <c r="S143" s="99">
        <v>2.280837789159753E-2</v>
      </c>
      <c r="U143" s="117">
        <f>C143*S143</f>
        <v>0.55417264522553245</v>
      </c>
      <c r="V143" s="117">
        <f>(1+S143)*R142*(1-U143)+S143</f>
        <v>6.0595986028587262E-2</v>
      </c>
      <c r="W143" s="117">
        <f>V143+I143/3</f>
        <v>8.9621289219176711E-2</v>
      </c>
      <c r="X143" s="117">
        <f>V143+I143/5</f>
        <v>7.801116794294094E-2</v>
      </c>
      <c r="Y143" s="117">
        <f>V143-E143</f>
        <v>-0.21197946537425563</v>
      </c>
      <c r="Z143" s="100"/>
      <c r="AA143" s="100"/>
      <c r="AB143" s="100"/>
      <c r="AI143" s="58"/>
    </row>
    <row r="144" spans="1:35" x14ac:dyDescent="0.2">
      <c r="A144" t="s">
        <v>112</v>
      </c>
      <c r="B144" t="s">
        <v>34</v>
      </c>
      <c r="C144" s="141">
        <v>2.720650862018537</v>
      </c>
      <c r="D144" s="88">
        <v>1.699097706201397</v>
      </c>
      <c r="E144" s="89">
        <v>0.37548116521618558</v>
      </c>
      <c r="F144" s="90">
        <v>4.8909051119501497</v>
      </c>
      <c r="G144" s="91">
        <v>0.79769671302896694</v>
      </c>
      <c r="H144" s="92">
        <v>-0.21821068227155821</v>
      </c>
      <c r="I144" s="92">
        <v>-2.7606624421038891E-2</v>
      </c>
      <c r="J144" s="92">
        <v>0.1325292584815039</v>
      </c>
      <c r="K144" s="88">
        <v>2.8785308190925321</v>
      </c>
      <c r="L144" s="93">
        <v>1.699097706201397</v>
      </c>
      <c r="M144" s="94">
        <v>0.37548116521618558</v>
      </c>
      <c r="N144" s="95">
        <v>3.7874491758009778</v>
      </c>
      <c r="O144" s="96">
        <v>0.39211143505232782</v>
      </c>
      <c r="P144" s="97">
        <v>2.2290943963831391</v>
      </c>
      <c r="Q144" s="98"/>
      <c r="R144" s="98"/>
      <c r="W144" s="117">
        <f>V142+I144/3</f>
        <v>7.9024601000226777E-2</v>
      </c>
      <c r="X144" s="117">
        <f>V142+I144/5</f>
        <v>8.2705484256365286E-2</v>
      </c>
      <c r="Y144" s="117">
        <f>V142-E144</f>
        <v>-0.2872543560756125</v>
      </c>
      <c r="Z144" s="100"/>
      <c r="AA144" s="100"/>
      <c r="AB144" s="100"/>
      <c r="AI144" s="58"/>
    </row>
    <row r="145" spans="1:35" x14ac:dyDescent="0.2">
      <c r="B145" t="s">
        <v>35</v>
      </c>
      <c r="C145" s="140">
        <v>2.0134418854657938</v>
      </c>
      <c r="D145" s="88">
        <v>1.3387882440085119</v>
      </c>
      <c r="E145" s="89">
        <v>0.33507480217200641</v>
      </c>
      <c r="F145" s="90">
        <v>5.2046008338503924</v>
      </c>
      <c r="G145" s="91">
        <v>1.5849272687830021</v>
      </c>
      <c r="H145" s="92">
        <v>-0.1009447178665991</v>
      </c>
      <c r="I145" s="92">
        <v>2.746623482584876E-2</v>
      </c>
      <c r="J145" s="92">
        <v>0.34839507010718612</v>
      </c>
      <c r="K145" s="88">
        <v>3.8875459634057732</v>
      </c>
      <c r="L145" s="93">
        <v>1.3387882440085119</v>
      </c>
      <c r="M145" s="94">
        <v>0.33507480217200641</v>
      </c>
      <c r="N145" s="95">
        <v>2.3284925629911539</v>
      </c>
      <c r="O145" s="96">
        <v>0.15647368806598319</v>
      </c>
      <c r="P145" s="97">
        <v>1.7392538165851641</v>
      </c>
      <c r="Q145" s="98"/>
      <c r="R145" s="98"/>
      <c r="W145" s="117">
        <f>V143+I145/3</f>
        <v>6.9751397637203519E-2</v>
      </c>
      <c r="X145" s="117">
        <f>V143+I145/5</f>
        <v>6.6089232993757019E-2</v>
      </c>
      <c r="Y145" s="117">
        <f>V143-E145</f>
        <v>-0.27447881614341918</v>
      </c>
      <c r="Z145" s="100"/>
      <c r="AA145" s="100"/>
      <c r="AB145" s="100"/>
      <c r="AI145" s="58"/>
    </row>
    <row r="146" spans="1:35" x14ac:dyDescent="0.2">
      <c r="C146" s="57"/>
      <c r="D146" s="88"/>
      <c r="F146" s="90"/>
      <c r="K146" s="88"/>
      <c r="L146" s="93"/>
      <c r="M146" s="94"/>
      <c r="N146" s="95"/>
      <c r="P146" s="97"/>
      <c r="Q146" s="98"/>
      <c r="R146" s="98"/>
    </row>
    <row r="147" spans="1:35" x14ac:dyDescent="0.2">
      <c r="A147" t="s">
        <v>113</v>
      </c>
      <c r="B147" t="s">
        <v>30</v>
      </c>
      <c r="C147" s="142">
        <v>6.4083840706929562</v>
      </c>
      <c r="D147" s="88">
        <v>5.6409023709508812</v>
      </c>
      <c r="E147" s="89">
        <v>0.11976212587693499</v>
      </c>
      <c r="F147" s="90">
        <v>11.695157540620331</v>
      </c>
      <c r="G147" s="91">
        <v>0.82497762487504889</v>
      </c>
      <c r="H147" s="92">
        <v>3.8401916573769679E-2</v>
      </c>
      <c r="I147" s="92">
        <v>0.25837089011741238</v>
      </c>
      <c r="J147" s="92">
        <v>0.40694704994473391</v>
      </c>
      <c r="K147" s="88">
        <v>2.0732777792516361</v>
      </c>
      <c r="L147" s="93">
        <v>5.70825893041218</v>
      </c>
      <c r="M147" s="94">
        <v>0.1092514325854177</v>
      </c>
      <c r="N147" s="95">
        <v>10.52799118891919</v>
      </c>
      <c r="O147" s="96">
        <v>0.6428464762382391</v>
      </c>
      <c r="P147" s="97">
        <v>1.8443436636745181</v>
      </c>
      <c r="Q147" s="98">
        <v>0.10840162117689001</v>
      </c>
      <c r="R147" s="98">
        <v>5.2712671542044433E-2</v>
      </c>
      <c r="S147" s="99">
        <v>4.6843597502053393E-2</v>
      </c>
      <c r="T147">
        <v>4960.49</v>
      </c>
      <c r="U147" s="117">
        <f>C147*S147</f>
        <v>0.30019176404611131</v>
      </c>
      <c r="V147" s="102">
        <f>(1+S147)*Q147*(1-U147)+S147</f>
        <v>0.12625751636722921</v>
      </c>
      <c r="W147" s="102">
        <f>V147+I147/3</f>
        <v>0.21238114640636668</v>
      </c>
      <c r="X147" s="117">
        <f>V147+I147/5</f>
        <v>0.17793169439071169</v>
      </c>
      <c r="Y147" s="117">
        <f>V147-E147</f>
        <v>6.4953904902942117E-3</v>
      </c>
      <c r="Z147" s="100"/>
      <c r="AA147" s="100"/>
      <c r="AB147" s="100"/>
      <c r="AD147" s="36"/>
      <c r="AI147" s="58"/>
    </row>
    <row r="148" spans="1:35" x14ac:dyDescent="0.2">
      <c r="A148" t="s">
        <v>114</v>
      </c>
      <c r="B148" t="s">
        <v>32</v>
      </c>
      <c r="C148" s="141">
        <v>14.92016236445337</v>
      </c>
      <c r="D148" s="88">
        <v>8.9011247717787079</v>
      </c>
      <c r="E148" s="89">
        <v>0.40341636006688208</v>
      </c>
      <c r="F148" s="90">
        <v>27.571188930835309</v>
      </c>
      <c r="G148" s="91">
        <v>0.84791480530550034</v>
      </c>
      <c r="H148" s="92">
        <v>-0.2329380301328472</v>
      </c>
      <c r="I148" s="92">
        <v>-9.6994491961889917E-2</v>
      </c>
      <c r="J148" s="92">
        <v>8.3540840801777927E-2</v>
      </c>
      <c r="K148" s="88">
        <v>3.0974949388700419</v>
      </c>
      <c r="L148" s="93">
        <v>8.9011247717787079</v>
      </c>
      <c r="M148" s="94">
        <v>0.40341636006688208</v>
      </c>
      <c r="N148" s="95">
        <v>27.571188930835309</v>
      </c>
      <c r="O148" s="96">
        <v>0.84791480530550034</v>
      </c>
      <c r="P148" s="97">
        <v>3.0974949388700419</v>
      </c>
      <c r="Q148" s="98"/>
      <c r="R148" s="98"/>
      <c r="S148" s="99">
        <v>3.0640703734690349E-2</v>
      </c>
      <c r="U148" s="117">
        <f>C148*S148</f>
        <v>0.45716427468269277</v>
      </c>
      <c r="V148" s="117">
        <f>(1+S148)*R147*(1-U148)+S148</f>
        <v>6.0131787965843272E-2</v>
      </c>
      <c r="W148" s="117">
        <f>V148+I148/3</f>
        <v>2.7800290645213298E-2</v>
      </c>
      <c r="X148" s="117">
        <f>V148+I148/5</f>
        <v>4.073288957346529E-2</v>
      </c>
      <c r="Y148" s="117">
        <f>V148-E148</f>
        <v>-0.3432845721010388</v>
      </c>
      <c r="Z148" s="100"/>
      <c r="AA148" s="100"/>
      <c r="AB148" s="100"/>
      <c r="AI148" s="58"/>
    </row>
    <row r="149" spans="1:35" x14ac:dyDescent="0.2">
      <c r="A149" t="s">
        <v>67</v>
      </c>
      <c r="B149" t="s">
        <v>34</v>
      </c>
      <c r="C149" s="142">
        <v>0.69467922238727409</v>
      </c>
      <c r="D149" s="88">
        <v>0.61166265545255316</v>
      </c>
      <c r="E149" s="89">
        <v>0.11950345462965389</v>
      </c>
      <c r="F149" s="90">
        <v>1.8844032099967509</v>
      </c>
      <c r="G149" s="91">
        <v>1.7126235379848771</v>
      </c>
      <c r="H149" s="92">
        <v>0.36026231564362549</v>
      </c>
      <c r="I149" s="92">
        <v>0.58568180264896208</v>
      </c>
      <c r="J149" s="92">
        <v>0.83715624200960281</v>
      </c>
      <c r="K149" s="88">
        <v>3.080788394057719</v>
      </c>
      <c r="L149" s="93">
        <v>0.61166265545255316</v>
      </c>
      <c r="M149" s="94">
        <v>0.11950345462965389</v>
      </c>
      <c r="N149" s="95">
        <v>1.368445146843515</v>
      </c>
      <c r="O149" s="96">
        <v>0.96989502887510537</v>
      </c>
      <c r="P149" s="97">
        <v>2.2372546936530529</v>
      </c>
      <c r="Q149" s="98"/>
      <c r="R149" s="98"/>
      <c r="W149" s="102">
        <f>V147+I149/3</f>
        <v>0.32148478391688323</v>
      </c>
      <c r="X149" s="117">
        <f>V147+I149/5</f>
        <v>0.24339387689702163</v>
      </c>
      <c r="Y149" s="117">
        <f>V147-E149</f>
        <v>6.754061737575312E-3</v>
      </c>
      <c r="Z149" s="100"/>
      <c r="AA149" s="100"/>
      <c r="AB149" s="100"/>
      <c r="AI149" s="58"/>
    </row>
    <row r="150" spans="1:35" x14ac:dyDescent="0.2">
      <c r="A150">
        <v>3.26</v>
      </c>
      <c r="B150" t="s">
        <v>35</v>
      </c>
      <c r="C150" s="142">
        <v>0.78648161807140349</v>
      </c>
      <c r="D150" s="88">
        <v>0.69618151651374915</v>
      </c>
      <c r="E150" s="89">
        <v>0.1148152728338224</v>
      </c>
      <c r="F150" s="90">
        <v>3.2298588307510241</v>
      </c>
      <c r="G150" s="91">
        <v>3.106718779608896</v>
      </c>
      <c r="H150" s="92">
        <v>0.33315437321864477</v>
      </c>
      <c r="I150" s="92">
        <v>0.8037711142770263</v>
      </c>
      <c r="J150" s="92">
        <v>1.2856295974980461</v>
      </c>
      <c r="K150" s="88">
        <v>4.6393918168426929</v>
      </c>
      <c r="L150" s="93">
        <v>0.69618151651374915</v>
      </c>
      <c r="M150" s="94">
        <v>0.1148152728338224</v>
      </c>
      <c r="N150" s="95">
        <v>1.584040285881783</v>
      </c>
      <c r="O150" s="96">
        <v>1.0140843085006099</v>
      </c>
      <c r="P150" s="97">
        <v>2.2753265467519772</v>
      </c>
      <c r="Q150" s="98"/>
      <c r="R150" s="98"/>
      <c r="W150" s="117">
        <f>V148+I150/3</f>
        <v>0.32805549272485207</v>
      </c>
      <c r="X150" s="117">
        <f>V148+I150/5</f>
        <v>0.22088601082124854</v>
      </c>
      <c r="Y150" s="117">
        <f>V148-E150</f>
        <v>-5.4683484867979124E-2</v>
      </c>
      <c r="Z150" s="100"/>
      <c r="AA150" s="100"/>
      <c r="AB150" s="100"/>
      <c r="AI150" s="58"/>
    </row>
    <row r="151" spans="1:35" x14ac:dyDescent="0.2">
      <c r="C151" s="57"/>
      <c r="D151" s="88"/>
      <c r="F151" s="90"/>
      <c r="K151" s="88"/>
      <c r="L151" s="93"/>
      <c r="M151" s="94"/>
      <c r="N151" s="95"/>
      <c r="P151" s="97"/>
      <c r="Q151" s="98"/>
      <c r="R151" s="98"/>
    </row>
    <row r="152" spans="1:35" x14ac:dyDescent="0.2">
      <c r="A152" t="s">
        <v>115</v>
      </c>
      <c r="B152" t="s">
        <v>30</v>
      </c>
      <c r="C152" s="142">
        <v>6.3487377824463396</v>
      </c>
      <c r="D152" s="88">
        <v>6.1621084569546278</v>
      </c>
      <c r="E152" s="89">
        <v>2.9396288189398101E-2</v>
      </c>
      <c r="F152" s="90">
        <v>-2608.7080708092249</v>
      </c>
      <c r="G152" s="91">
        <v>-411.90184540650841</v>
      </c>
      <c r="H152" s="92">
        <v>0.39206039779097329</v>
      </c>
      <c r="I152" s="92">
        <v>0.66545005405148983</v>
      </c>
      <c r="J152" s="92">
        <v>4.9041833560786703</v>
      </c>
      <c r="K152" s="88">
        <v>-423.34666600439448</v>
      </c>
      <c r="L152" s="93">
        <v>6.1621084569546278</v>
      </c>
      <c r="M152" s="94">
        <v>2.9396288189398101E-2</v>
      </c>
      <c r="N152" s="95">
        <v>14.76113330178565</v>
      </c>
      <c r="O152" s="96">
        <v>1.325050082017686</v>
      </c>
      <c r="P152" s="97">
        <v>2.395467948170575</v>
      </c>
      <c r="Q152" s="98">
        <v>0.2140341605416341</v>
      </c>
      <c r="R152" s="98">
        <v>0.16812817344034939</v>
      </c>
      <c r="S152" s="99">
        <v>6.4951890848959984E-2</v>
      </c>
      <c r="T152">
        <v>2225.4299999999998</v>
      </c>
      <c r="U152" s="117">
        <f>C152*S152</f>
        <v>0.41236252347412289</v>
      </c>
      <c r="V152" s="117">
        <f>(1+S152)*Q152*(1-U152)+S152</f>
        <v>0.19889567604526825</v>
      </c>
      <c r="W152" s="117">
        <f>V152+I152/3</f>
        <v>0.42071236072909823</v>
      </c>
      <c r="X152" s="117">
        <f>V152+I152/5</f>
        <v>0.33198568685556623</v>
      </c>
      <c r="Y152" s="117">
        <f>V152-E152</f>
        <v>0.16949938785587015</v>
      </c>
      <c r="Z152" s="100"/>
      <c r="AA152" s="100"/>
      <c r="AB152" s="100"/>
      <c r="AI152" s="58"/>
    </row>
    <row r="153" spans="1:35" x14ac:dyDescent="0.2">
      <c r="A153" t="s">
        <v>116</v>
      </c>
      <c r="B153" t="s">
        <v>32</v>
      </c>
      <c r="C153" s="139">
        <v>7.1725797696441216</v>
      </c>
      <c r="D153" s="88">
        <v>6.6474010359964497</v>
      </c>
      <c r="E153" s="89">
        <v>7.3220340590750999E-2</v>
      </c>
      <c r="F153" s="90">
        <v>-17.180297281134049</v>
      </c>
      <c r="G153" s="91">
        <v>-3.395274480437946</v>
      </c>
      <c r="H153" s="92">
        <v>0.48680791685830882</v>
      </c>
      <c r="I153" s="92">
        <v>1.4477071324270621</v>
      </c>
      <c r="J153" s="92">
        <v>-11.520286499720781</v>
      </c>
      <c r="K153" s="88">
        <v>-2.584513434363406</v>
      </c>
      <c r="L153" s="93">
        <v>6.6474010359964497</v>
      </c>
      <c r="M153" s="94">
        <v>7.3220340590750999E-2</v>
      </c>
      <c r="N153" s="95">
        <v>29.31624276478906</v>
      </c>
      <c r="O153" s="96">
        <v>3.0872661868274518</v>
      </c>
      <c r="P153" s="97">
        <v>4.4101811529104671</v>
      </c>
      <c r="Q153" s="98"/>
      <c r="R153" s="98"/>
      <c r="S153" s="99">
        <v>3.9207607428877363E-2</v>
      </c>
      <c r="U153" s="117">
        <f>C153*S153</f>
        <v>0.28121969186051432</v>
      </c>
      <c r="V153" s="117">
        <f>(1+S153)*R152*(1-U153)+S153</f>
        <v>0.16479295811413955</v>
      </c>
      <c r="W153" s="117">
        <f>V153+I153/3</f>
        <v>0.64736200225649354</v>
      </c>
      <c r="X153" s="117">
        <f>V153+I153/5</f>
        <v>0.454334384599552</v>
      </c>
      <c r="Y153" s="117">
        <f>V153-E153</f>
        <v>9.157261752338855E-2</v>
      </c>
      <c r="Z153" s="100"/>
      <c r="AA153" s="100"/>
      <c r="AB153" s="100"/>
      <c r="AI153" s="58"/>
    </row>
    <row r="154" spans="1:35" x14ac:dyDescent="0.2">
      <c r="A154" t="s">
        <v>67</v>
      </c>
      <c r="B154" t="s">
        <v>34</v>
      </c>
      <c r="C154" s="141">
        <v>1.3588467617648581</v>
      </c>
      <c r="D154" s="88">
        <v>0.81787729555052235</v>
      </c>
      <c r="E154" s="89">
        <v>0.39810925075299108</v>
      </c>
      <c r="F154" s="90">
        <v>2.1731530599833468</v>
      </c>
      <c r="G154" s="91">
        <v>0.59926278748375905</v>
      </c>
      <c r="H154" s="92">
        <v>-0.21550026430378191</v>
      </c>
      <c r="I154" s="92">
        <v>-7.6519025663657314E-2</v>
      </c>
      <c r="J154" s="92">
        <v>9.9609481400605215E-2</v>
      </c>
      <c r="K154" s="88">
        <v>2.657064906686978</v>
      </c>
      <c r="L154" s="93">
        <v>0.81787729555052235</v>
      </c>
      <c r="M154" s="94">
        <v>0.39810925075299108</v>
      </c>
      <c r="N154" s="95">
        <v>1.958693882654152</v>
      </c>
      <c r="O154" s="96">
        <v>0.44143838567214</v>
      </c>
      <c r="P154" s="97">
        <v>2.3948505396958519</v>
      </c>
      <c r="Q154" s="98"/>
      <c r="R154" s="98"/>
      <c r="W154" s="117">
        <f>V152+I154/3</f>
        <v>0.17338933415738247</v>
      </c>
      <c r="X154" s="117">
        <f>V152+I154/5</f>
        <v>0.18359187091253679</v>
      </c>
      <c r="Y154" s="117">
        <f>V152-E154</f>
        <v>-0.19921357470772283</v>
      </c>
      <c r="Z154" s="100"/>
      <c r="AA154" s="100"/>
      <c r="AB154" s="100"/>
      <c r="AI154" s="58"/>
    </row>
    <row r="155" spans="1:35" x14ac:dyDescent="0.2">
      <c r="A155">
        <v>6.4</v>
      </c>
      <c r="B155" t="s">
        <v>35</v>
      </c>
      <c r="C155" s="140">
        <v>1.205912735525468</v>
      </c>
      <c r="D155" s="88">
        <v>0.78067132758307423</v>
      </c>
      <c r="E155" s="89">
        <v>0.3526303317106092</v>
      </c>
      <c r="F155" s="90">
        <v>2.8729503402402692</v>
      </c>
      <c r="G155" s="91">
        <v>1.3823865986359289</v>
      </c>
      <c r="H155" s="92">
        <v>-0.156569812843388</v>
      </c>
      <c r="I155" s="92">
        <v>0.10005263148298971</v>
      </c>
      <c r="J155" s="92">
        <v>0.31619650408040489</v>
      </c>
      <c r="K155" s="88">
        <v>3.680102289826376</v>
      </c>
      <c r="L155" s="93">
        <v>0.78067132758307423</v>
      </c>
      <c r="M155" s="94">
        <v>0.3526303317106092</v>
      </c>
      <c r="N155" s="95">
        <v>1.856680243450038</v>
      </c>
      <c r="O155" s="96">
        <v>0.53964726364798055</v>
      </c>
      <c r="P155" s="97">
        <v>2.378312329208045</v>
      </c>
      <c r="Q155" s="98"/>
      <c r="R155" s="98"/>
      <c r="W155" s="117">
        <f>V153+I155/3</f>
        <v>0.19814383527513613</v>
      </c>
      <c r="X155" s="117">
        <f>V153+I155/5</f>
        <v>0.18480348441073749</v>
      </c>
      <c r="Y155" s="117">
        <f>V153-E155</f>
        <v>-0.18783737359646965</v>
      </c>
      <c r="Z155" s="100"/>
      <c r="AA155" s="100"/>
      <c r="AB155" s="100"/>
      <c r="AI155" s="58"/>
    </row>
    <row r="156" spans="1:35" x14ac:dyDescent="0.2">
      <c r="C156" s="57"/>
      <c r="D156" s="88"/>
      <c r="F156" s="90"/>
      <c r="K156" s="88"/>
      <c r="L156" s="93"/>
      <c r="M156" s="94"/>
      <c r="N156" s="95"/>
      <c r="P156" s="97"/>
      <c r="Q156" s="98"/>
      <c r="R156" s="98"/>
    </row>
    <row r="157" spans="1:35" x14ac:dyDescent="0.2">
      <c r="A157" t="s">
        <v>117</v>
      </c>
      <c r="B157" t="s">
        <v>30</v>
      </c>
      <c r="C157" s="142">
        <v>30.906992991388339</v>
      </c>
      <c r="D157" s="88">
        <v>21.260356868127651</v>
      </c>
      <c r="E157" s="89">
        <v>0.31211823569988029</v>
      </c>
      <c r="F157" s="90">
        <v>105.8214398935113</v>
      </c>
      <c r="G157" s="91">
        <v>2.423867210989969</v>
      </c>
      <c r="H157" s="92">
        <v>3.6979266746122168E-2</v>
      </c>
      <c r="I157" s="92">
        <v>0.33758441061093691</v>
      </c>
      <c r="J157" s="92">
        <v>0.71034652998992498</v>
      </c>
      <c r="K157" s="88">
        <v>4.9774065670625207</v>
      </c>
      <c r="L157" s="93">
        <v>21.260356868127651</v>
      </c>
      <c r="M157" s="94">
        <v>0.31211823569988029</v>
      </c>
      <c r="N157" s="95">
        <v>64.080691991295495</v>
      </c>
      <c r="O157" s="96">
        <v>1.0733395839948059</v>
      </c>
      <c r="P157" s="97">
        <v>3.0140929613162668</v>
      </c>
      <c r="Q157" s="98">
        <v>0.1050689853033932</v>
      </c>
      <c r="R157" s="98">
        <v>6.7285101292204788E-2</v>
      </c>
      <c r="S157" s="99">
        <v>1.1541320749948739E-2</v>
      </c>
      <c r="T157">
        <v>2843.9</v>
      </c>
      <c r="U157" s="117">
        <f>C157*S157</f>
        <v>0.35670751953003049</v>
      </c>
      <c r="V157" s="117">
        <f>(1+S157)*Q157*(1-U157)+S157</f>
        <v>7.9911487813391122E-2</v>
      </c>
      <c r="W157" s="117">
        <f>V157+I157/3</f>
        <v>0.19243962468370343</v>
      </c>
      <c r="X157" s="117">
        <f>V157+I157/5</f>
        <v>0.14742836993557851</v>
      </c>
      <c r="Y157" s="117">
        <f>V157-E157</f>
        <v>-0.23220674788648915</v>
      </c>
      <c r="Z157" s="100"/>
      <c r="AA157" s="100"/>
      <c r="AB157" s="100"/>
      <c r="AI157" s="58"/>
    </row>
    <row r="158" spans="1:35" x14ac:dyDescent="0.2">
      <c r="A158" t="s">
        <v>118</v>
      </c>
      <c r="B158" t="s">
        <v>32</v>
      </c>
      <c r="C158" s="141">
        <v>43.321296034222293</v>
      </c>
      <c r="D158" s="88">
        <v>22.137947905203159</v>
      </c>
      <c r="E158" s="89">
        <v>0.48898232666642832</v>
      </c>
      <c r="F158" s="90">
        <v>107.53952679744491</v>
      </c>
      <c r="G158" s="91">
        <v>1.4823709501325291</v>
      </c>
      <c r="H158" s="92">
        <v>-0.22815147170177541</v>
      </c>
      <c r="I158" s="92">
        <v>-8.8034426995675985E-2</v>
      </c>
      <c r="J158" s="92">
        <v>0.20029292946343441</v>
      </c>
      <c r="K158" s="88">
        <v>4.8577007795817222</v>
      </c>
      <c r="L158" s="93">
        <v>22.137947905203159</v>
      </c>
      <c r="M158" s="94">
        <v>0.48898232666642832</v>
      </c>
      <c r="N158" s="95">
        <v>61.855683422184548</v>
      </c>
      <c r="O158" s="96">
        <v>0.42783547780566772</v>
      </c>
      <c r="P158" s="97">
        <v>2.794101950508538</v>
      </c>
      <c r="Q158" s="98"/>
      <c r="R158" s="98"/>
      <c r="S158" s="99">
        <v>9.2399851606334554E-3</v>
      </c>
      <c r="U158" s="117">
        <f>C158*S158</f>
        <v>0.40028813249562295</v>
      </c>
      <c r="V158" s="117">
        <f>(1+S158)*R157*(1-U158)+S158</f>
        <v>4.99645077784703E-2</v>
      </c>
      <c r="W158" s="117">
        <f>V158+I158/3</f>
        <v>2.0619698779911638E-2</v>
      </c>
      <c r="X158" s="117">
        <f>V158+I158/5</f>
        <v>3.2357622379335108E-2</v>
      </c>
      <c r="Y158" s="117">
        <f>V158-E158</f>
        <v>-0.43901781888795804</v>
      </c>
      <c r="Z158" s="100"/>
      <c r="AA158" s="100"/>
      <c r="AB158" s="100"/>
      <c r="AI158" s="58"/>
    </row>
    <row r="159" spans="1:35" x14ac:dyDescent="0.2">
      <c r="A159" t="s">
        <v>119</v>
      </c>
      <c r="B159" t="s">
        <v>34</v>
      </c>
      <c r="C159" s="142">
        <v>3.2473663923842579</v>
      </c>
      <c r="D159" s="88">
        <v>2.713613371853655</v>
      </c>
      <c r="E159" s="89">
        <v>0.1643648902022152</v>
      </c>
      <c r="F159" s="90">
        <v>11.50354065039641</v>
      </c>
      <c r="G159" s="91">
        <v>2.5424215380729991</v>
      </c>
      <c r="H159" s="92">
        <v>0.14864423971079649</v>
      </c>
      <c r="I159" s="92">
        <v>0.43934036657734649</v>
      </c>
      <c r="J159" s="92">
        <v>0.97407787889511965</v>
      </c>
      <c r="K159" s="88">
        <v>4.2391966260611396</v>
      </c>
      <c r="L159" s="93">
        <v>2.713613371853655</v>
      </c>
      <c r="M159" s="94">
        <v>0.1643648902022152</v>
      </c>
      <c r="N159" s="95">
        <v>7.9573306951705094</v>
      </c>
      <c r="O159" s="96">
        <v>1.45039509980521</v>
      </c>
      <c r="P159" s="97">
        <v>2.9323745149939682</v>
      </c>
      <c r="Q159" s="98"/>
      <c r="R159" s="98"/>
      <c r="W159" s="117">
        <f>V157+I159/3</f>
        <v>0.22635827667250663</v>
      </c>
      <c r="X159" s="117">
        <f>V157+I159/5</f>
        <v>0.16777956112886042</v>
      </c>
      <c r="Y159" s="117">
        <f>V157-E159</f>
        <v>-8.4453402388824081E-2</v>
      </c>
      <c r="Z159" s="100"/>
      <c r="AA159" s="100"/>
      <c r="AB159" s="100"/>
      <c r="AI159" s="58"/>
    </row>
    <row r="160" spans="1:35" x14ac:dyDescent="0.2">
      <c r="B160" t="s">
        <v>35</v>
      </c>
      <c r="C160" s="142">
        <v>2.9148777917722359</v>
      </c>
      <c r="D160" s="88">
        <v>2.269224535023866</v>
      </c>
      <c r="E160" s="89">
        <v>0.22150268480237531</v>
      </c>
      <c r="F160" s="90">
        <v>11.35037603208613</v>
      </c>
      <c r="G160" s="91">
        <v>2.8939457647674289</v>
      </c>
      <c r="H160" s="92">
        <v>0.106936531023168</v>
      </c>
      <c r="I160" s="92">
        <v>0.48620476406328378</v>
      </c>
      <c r="J160" s="92">
        <v>0.74685601932474843</v>
      </c>
      <c r="K160" s="88">
        <v>5.0018743658466382</v>
      </c>
      <c r="L160" s="93">
        <v>2.269224535023866</v>
      </c>
      <c r="M160" s="94">
        <v>0.22150268480237531</v>
      </c>
      <c r="N160" s="95">
        <v>6.4239220803799633</v>
      </c>
      <c r="O160" s="96">
        <v>1.2038392479138</v>
      </c>
      <c r="P160" s="97">
        <v>2.8308886940147602</v>
      </c>
      <c r="Q160" s="98"/>
      <c r="R160" s="98"/>
      <c r="W160" s="117">
        <f>V158+I160/3</f>
        <v>0.21203276246623157</v>
      </c>
      <c r="X160" s="117">
        <f>V158+I160/5</f>
        <v>0.14720546059112705</v>
      </c>
      <c r="Y160" s="117">
        <f>V158-E160</f>
        <v>-0.171538177023905</v>
      </c>
      <c r="Z160" s="100"/>
      <c r="AA160" s="100"/>
      <c r="AB160" s="100"/>
      <c r="AI160" s="58"/>
    </row>
    <row r="161" spans="1:35" x14ac:dyDescent="0.2">
      <c r="C161" s="57"/>
      <c r="D161" s="88"/>
      <c r="F161" s="90"/>
      <c r="K161" s="88"/>
      <c r="L161" s="93"/>
      <c r="M161" s="94"/>
      <c r="N161" s="95"/>
      <c r="P161" s="97"/>
      <c r="Q161" s="98"/>
      <c r="R161" s="98"/>
    </row>
    <row r="162" spans="1:35" x14ac:dyDescent="0.2">
      <c r="A162" t="s">
        <v>120</v>
      </c>
      <c r="B162" t="s">
        <v>30</v>
      </c>
      <c r="C162" s="142">
        <v>7.0480316420887554</v>
      </c>
      <c r="D162" s="88">
        <v>6.8032239932075873</v>
      </c>
      <c r="E162" s="89">
        <v>3.4734186977715797E-2</v>
      </c>
      <c r="F162" s="90">
        <v>75.014635087549749</v>
      </c>
      <c r="G162" s="91">
        <v>9.6433453901632031</v>
      </c>
      <c r="H162" s="92">
        <v>0.5527002438499673</v>
      </c>
      <c r="I162" s="92">
        <v>1.08485219130359</v>
      </c>
      <c r="J162" s="92">
        <v>2.9414602735851192</v>
      </c>
      <c r="K162" s="88">
        <v>11.026336213895821</v>
      </c>
      <c r="L162" s="93">
        <v>6.8032239932075873</v>
      </c>
      <c r="M162" s="94">
        <v>3.4734186977715797E-2</v>
      </c>
      <c r="N162" s="95">
        <v>28.93199767371491</v>
      </c>
      <c r="O162" s="96">
        <v>3.1049755652261259</v>
      </c>
      <c r="P162" s="97">
        <v>4.2526892694700233</v>
      </c>
      <c r="Q162" s="98">
        <v>0.14580464185823719</v>
      </c>
      <c r="R162" s="98">
        <v>0.14064589932454391</v>
      </c>
      <c r="S162" s="99">
        <v>7.0439528382443911E-2</v>
      </c>
      <c r="T162">
        <v>2152.4899999999998</v>
      </c>
      <c r="U162" s="117">
        <f>C162*S162</f>
        <v>0.49646002489327368</v>
      </c>
      <c r="V162" s="117">
        <f>(1+S162)*Q162*(1-U162)+S162</f>
        <v>0.14902955621489233</v>
      </c>
      <c r="W162" s="117">
        <f>V162+I162/3</f>
        <v>0.510646953316089</v>
      </c>
      <c r="X162" s="117">
        <f>V162+I162/5</f>
        <v>0.36599999447561032</v>
      </c>
      <c r="Y162" s="117">
        <f>V162-E162</f>
        <v>0.11429536923717654</v>
      </c>
      <c r="Z162" s="100"/>
      <c r="AA162" s="100"/>
      <c r="AB162" s="100"/>
      <c r="AI162" s="58"/>
    </row>
    <row r="163" spans="1:35" x14ac:dyDescent="0.2">
      <c r="A163" t="s">
        <v>121</v>
      </c>
      <c r="B163" t="s">
        <v>32</v>
      </c>
      <c r="C163" s="142">
        <v>8.9703580131157796</v>
      </c>
      <c r="D163" s="88">
        <v>8.3309561415020301</v>
      </c>
      <c r="E163" s="89">
        <v>7.1279415010957692E-2</v>
      </c>
      <c r="F163" s="90">
        <v>-36.820870345087172</v>
      </c>
      <c r="G163" s="91">
        <v>-5.1047269564102651</v>
      </c>
      <c r="H163" s="92">
        <v>0.66309168836164623</v>
      </c>
      <c r="I163" s="92">
        <v>1.641413026135246</v>
      </c>
      <c r="J163" s="92">
        <v>17.5580636294888</v>
      </c>
      <c r="K163" s="88">
        <v>-4.4197652369885772</v>
      </c>
      <c r="L163" s="93">
        <v>8.3309561415020301</v>
      </c>
      <c r="M163" s="94">
        <v>7.1279415010957692E-2</v>
      </c>
      <c r="N163" s="95">
        <v>26.819051831156411</v>
      </c>
      <c r="O163" s="96">
        <v>1.9897415233532061</v>
      </c>
      <c r="P163" s="97">
        <v>3.2192045397469911</v>
      </c>
      <c r="Q163" s="98"/>
      <c r="R163" s="98"/>
      <c r="S163" s="99">
        <v>3.3920672575580159E-2</v>
      </c>
      <c r="U163" s="117">
        <f>C163*S163</f>
        <v>0.30428057704863215</v>
      </c>
      <c r="V163" s="117">
        <f>(1+S163)*R162*(1-U163)+S163</f>
        <v>0.13508989715222214</v>
      </c>
      <c r="W163" s="117">
        <f>V163+I163/3</f>
        <v>0.68222757253063748</v>
      </c>
      <c r="X163" s="117">
        <f>V163+I163/5</f>
        <v>0.46337250237927136</v>
      </c>
      <c r="Y163" s="117">
        <f>V163-E163</f>
        <v>6.3810482141264446E-2</v>
      </c>
      <c r="Z163" s="100"/>
      <c r="AA163" s="100"/>
      <c r="AB163" s="100"/>
      <c r="AI163" s="58"/>
    </row>
    <row r="164" spans="1:35" x14ac:dyDescent="0.2">
      <c r="A164" t="s">
        <v>122</v>
      </c>
      <c r="B164" t="s">
        <v>34</v>
      </c>
      <c r="C164" s="140">
        <v>1.027635729380274</v>
      </c>
      <c r="D164" s="88">
        <v>0.75542943542201868</v>
      </c>
      <c r="E164" s="89">
        <v>0.26488597678713682</v>
      </c>
      <c r="F164" s="90">
        <v>2.1663641754899272</v>
      </c>
      <c r="G164" s="91">
        <v>1.108105152003982</v>
      </c>
      <c r="H164" s="92">
        <v>-5.6074999283371563E-2</v>
      </c>
      <c r="I164" s="92">
        <v>0.14358592952006899</v>
      </c>
      <c r="J164" s="92">
        <v>0.28019069255512158</v>
      </c>
      <c r="K164" s="88">
        <v>2.8677253942053409</v>
      </c>
      <c r="L164" s="93">
        <v>0.75542943542201868</v>
      </c>
      <c r="M164" s="94">
        <v>0.26488597678713682</v>
      </c>
      <c r="N164" s="95">
        <v>1.373320427443431</v>
      </c>
      <c r="O164" s="96">
        <v>0.33638836036931608</v>
      </c>
      <c r="P164" s="97">
        <v>1.8179334336849471</v>
      </c>
      <c r="Q164" s="98"/>
      <c r="R164" s="98"/>
      <c r="W164" s="117">
        <f>V162+I164/3</f>
        <v>0.196891532721582</v>
      </c>
      <c r="X164" s="117">
        <f>V162+I164/5</f>
        <v>0.17774674211890612</v>
      </c>
      <c r="Y164" s="117">
        <f>V162-E164</f>
        <v>-0.11585642057224449</v>
      </c>
      <c r="Z164" s="100"/>
      <c r="AA164" s="100"/>
      <c r="AB164" s="100"/>
      <c r="AI164" s="58"/>
    </row>
    <row r="165" spans="1:35" x14ac:dyDescent="0.2">
      <c r="B165" t="s">
        <v>35</v>
      </c>
      <c r="C165" s="140">
        <v>1.261644070017798</v>
      </c>
      <c r="D165" s="88">
        <v>0.89644305515714706</v>
      </c>
      <c r="E165" s="89">
        <v>0.28946437710875039</v>
      </c>
      <c r="F165" s="90">
        <v>3.253310955441056</v>
      </c>
      <c r="G165" s="91">
        <v>1.578628182665784</v>
      </c>
      <c r="H165" s="92">
        <v>-8.6519567291544641E-2</v>
      </c>
      <c r="I165" s="92">
        <v>0.16931509955158419</v>
      </c>
      <c r="J165" s="92">
        <v>0.48140639845660421</v>
      </c>
      <c r="K165" s="88">
        <v>3.6291328676429409</v>
      </c>
      <c r="L165" s="93">
        <v>0.89644305515714706</v>
      </c>
      <c r="M165" s="94">
        <v>0.28946437710875039</v>
      </c>
      <c r="N165" s="95">
        <v>1.738388428136731</v>
      </c>
      <c r="O165" s="96">
        <v>0.37787547966060558</v>
      </c>
      <c r="P165" s="97">
        <v>1.9392067551150709</v>
      </c>
      <c r="Q165" s="98"/>
      <c r="R165" s="98"/>
      <c r="W165" s="117">
        <f>V163+I165/3</f>
        <v>0.19152826366941686</v>
      </c>
      <c r="X165" s="117">
        <f>V163+I165/5</f>
        <v>0.16895291706253898</v>
      </c>
      <c r="Y165" s="117">
        <f>V163-E165</f>
        <v>-0.15437447995652825</v>
      </c>
      <c r="Z165" s="100"/>
      <c r="AA165" s="100"/>
      <c r="AB165" s="100"/>
      <c r="AI165" s="58"/>
    </row>
    <row r="166" spans="1:35" x14ac:dyDescent="0.2">
      <c r="C166" s="57"/>
      <c r="D166" s="88"/>
      <c r="F166" s="90"/>
      <c r="K166" s="88"/>
      <c r="L166" s="93"/>
      <c r="M166" s="94"/>
      <c r="N166" s="95"/>
      <c r="P166" s="97"/>
      <c r="Q166" s="98"/>
      <c r="R166" s="98"/>
    </row>
    <row r="167" spans="1:35" s="128" customFormat="1" x14ac:dyDescent="0.2">
      <c r="A167" s="128" t="s">
        <v>123</v>
      </c>
      <c r="B167" s="128" t="s">
        <v>30</v>
      </c>
      <c r="C167" s="137">
        <v>14.37473321933602</v>
      </c>
      <c r="D167" s="19">
        <v>9.9125837496832201</v>
      </c>
      <c r="E167" s="29">
        <v>0.31041615879525242</v>
      </c>
      <c r="F167" s="20">
        <v>1750.0704856230341</v>
      </c>
      <c r="G167" s="39">
        <v>120.7462932299116</v>
      </c>
      <c r="H167" s="21">
        <v>-1.6597388640742668E-2</v>
      </c>
      <c r="I167" s="21">
        <v>0.70190982822959391</v>
      </c>
      <c r="J167" s="21">
        <v>2.727487469332162</v>
      </c>
      <c r="K167" s="19">
        <v>176.5503858344664</v>
      </c>
      <c r="L167" s="22">
        <v>9.9125837496832201</v>
      </c>
      <c r="M167" s="32">
        <v>0.31041615879525242</v>
      </c>
      <c r="N167" s="23">
        <v>29.693161819123201</v>
      </c>
      <c r="O167" s="24">
        <v>1.0656495926603879</v>
      </c>
      <c r="P167" s="25">
        <v>2.9955017348602091</v>
      </c>
      <c r="Q167" s="26">
        <v>0.1327444220173557</v>
      </c>
      <c r="R167" s="26">
        <v>9.5346105777945583E-2</v>
      </c>
      <c r="S167" s="27">
        <v>2.3640004984067431E-2</v>
      </c>
      <c r="T167" s="128">
        <v>3347.79</v>
      </c>
      <c r="U167" s="117">
        <f>C167*S167</f>
        <v>0.33981876494974317</v>
      </c>
      <c r="V167" s="117">
        <f>(1+S167)*Q167*(1-U167)+S167</f>
        <v>0.11334708219413081</v>
      </c>
      <c r="W167" s="117">
        <f>V167+I167/3</f>
        <v>0.34731702493732874</v>
      </c>
      <c r="X167" s="117">
        <f>V167+I167/5</f>
        <v>0.25372904784004957</v>
      </c>
      <c r="Y167" s="117">
        <f>V167-E167</f>
        <v>-0.19706907660112161</v>
      </c>
      <c r="Z167" s="100"/>
      <c r="AA167" s="100"/>
      <c r="AB167" s="100"/>
      <c r="AC167" s="117"/>
      <c r="AD167" s="117"/>
      <c r="AE167" s="117"/>
      <c r="AF167" s="117"/>
      <c r="AH167" s="27"/>
      <c r="AI167" s="58"/>
    </row>
    <row r="168" spans="1:35" s="128" customFormat="1" x14ac:dyDescent="0.2">
      <c r="A168" s="128" t="s">
        <v>124</v>
      </c>
      <c r="B168" s="128" t="s">
        <v>32</v>
      </c>
      <c r="C168" s="137">
        <v>16.226369435130781</v>
      </c>
      <c r="D168" s="19">
        <v>10.361261473606699</v>
      </c>
      <c r="E168" s="29">
        <v>0.36145534495386678</v>
      </c>
      <c r="F168" s="20">
        <v>-182.07268671527581</v>
      </c>
      <c r="G168" s="39">
        <v>-12.22079017386851</v>
      </c>
      <c r="H168" s="21">
        <v>-5.6988770293458058E-2</v>
      </c>
      <c r="I168" s="21">
        <v>0.61202048989620117</v>
      </c>
      <c r="J168" s="21">
        <v>3.3474233645733502</v>
      </c>
      <c r="K168" s="19">
        <v>-17.57244397113908</v>
      </c>
      <c r="L168" s="22">
        <v>10.361261473606699</v>
      </c>
      <c r="M168" s="32">
        <v>0.36145534495386678</v>
      </c>
      <c r="N168" s="23">
        <v>27.609820827010171</v>
      </c>
      <c r="O168" s="24">
        <v>0.70154025750416671</v>
      </c>
      <c r="P168" s="25">
        <v>2.6647161542386328</v>
      </c>
      <c r="Q168" s="26"/>
      <c r="R168" s="26"/>
      <c r="S168" s="27">
        <v>2.573738765494173E-2</v>
      </c>
      <c r="U168" s="117">
        <f>C168*S168</f>
        <v>0.41762436038425876</v>
      </c>
      <c r="V168" s="117">
        <f>(1+S168)*R167*(1-U168)+S168</f>
        <v>8.2693763333849646E-2</v>
      </c>
      <c r="W168" s="117">
        <f>V168+I168/3</f>
        <v>0.28670059329925002</v>
      </c>
      <c r="X168" s="117">
        <f>V168+I168/5</f>
        <v>0.20509786131308988</v>
      </c>
      <c r="Y168" s="117">
        <f>V168-E168</f>
        <v>-0.27876158162001713</v>
      </c>
      <c r="Z168" s="100"/>
      <c r="AA168" s="100"/>
      <c r="AB168" s="100"/>
      <c r="AC168" s="117"/>
      <c r="AD168" s="117"/>
      <c r="AE168" s="117"/>
      <c r="AF168" s="117"/>
      <c r="AH168" s="27"/>
      <c r="AI168" s="58"/>
    </row>
    <row r="169" spans="1:35" s="128" customFormat="1" x14ac:dyDescent="0.2">
      <c r="A169" s="128" t="s">
        <v>55</v>
      </c>
      <c r="B169" s="128" t="s">
        <v>34</v>
      </c>
      <c r="C169" s="137">
        <v>1.9081656528544431</v>
      </c>
      <c r="D169" s="19">
        <v>1.3605599990774639</v>
      </c>
      <c r="E169" s="29">
        <v>0.28698014397115368</v>
      </c>
      <c r="F169" s="20">
        <v>3.6830344425710728</v>
      </c>
      <c r="G169" s="39">
        <v>0.93014397731223575</v>
      </c>
      <c r="H169" s="21">
        <v>-0.14593738154306279</v>
      </c>
      <c r="I169" s="21">
        <v>1.496195263035194E-2</v>
      </c>
      <c r="J169" s="21">
        <v>0.19909518569576351</v>
      </c>
      <c r="K169" s="19">
        <v>2.7069989159378318</v>
      </c>
      <c r="L169" s="22">
        <v>1.4110389309814531</v>
      </c>
      <c r="M169" s="32">
        <v>0.26052597746392381</v>
      </c>
      <c r="N169" s="23">
        <v>3.138830410295077</v>
      </c>
      <c r="O169" s="24">
        <v>0.6449464990629461</v>
      </c>
      <c r="P169" s="25">
        <v>2.224481792371138</v>
      </c>
      <c r="Q169" s="26"/>
      <c r="R169" s="26"/>
      <c r="S169" s="27"/>
      <c r="V169" s="99"/>
      <c r="W169" s="117">
        <f>V167+I169/3</f>
        <v>0.11833439973758146</v>
      </c>
      <c r="X169" s="117">
        <f>V167+I169/5</f>
        <v>0.1163394727202012</v>
      </c>
      <c r="Y169" s="117">
        <f>V167-E169</f>
        <v>-0.17363306177702287</v>
      </c>
      <c r="Z169" s="100"/>
      <c r="AA169" s="100"/>
      <c r="AB169" s="100"/>
      <c r="AC169" s="117"/>
      <c r="AD169" s="117"/>
      <c r="AE169" s="117"/>
      <c r="AF169" s="117"/>
      <c r="AH169" s="27"/>
      <c r="AI169" s="58"/>
    </row>
    <row r="170" spans="1:35" s="128" customFormat="1" x14ac:dyDescent="0.2">
      <c r="B170" s="128" t="s">
        <v>35</v>
      </c>
      <c r="C170" s="137">
        <v>1.547121136554003</v>
      </c>
      <c r="D170" s="19">
        <v>1.2602821652042739</v>
      </c>
      <c r="E170" s="29">
        <v>0.1854017533420963</v>
      </c>
      <c r="F170" s="20">
        <v>4.1357789929094766</v>
      </c>
      <c r="G170" s="39">
        <v>1.673209547198967</v>
      </c>
      <c r="H170" s="21">
        <v>-1.6625848511514722E-2</v>
      </c>
      <c r="I170" s="21">
        <v>0.1317956821197819</v>
      </c>
      <c r="J170" s="21">
        <v>0.43522631394214328</v>
      </c>
      <c r="K170" s="19">
        <v>3.2816293899066049</v>
      </c>
      <c r="L170" s="22">
        <v>1.2602821652042739</v>
      </c>
      <c r="M170" s="32">
        <v>0.1854017533420963</v>
      </c>
      <c r="N170" s="23">
        <v>2.382544978553617</v>
      </c>
      <c r="O170" s="24">
        <v>0.53998605685163392</v>
      </c>
      <c r="P170" s="25">
        <v>1.890485356640305</v>
      </c>
      <c r="Q170" s="26"/>
      <c r="R170" s="26"/>
      <c r="S170" s="27"/>
      <c r="V170" s="99"/>
      <c r="W170" s="117">
        <f>V168+I170/3</f>
        <v>0.12662565737377696</v>
      </c>
      <c r="X170" s="117">
        <f>V168+I170/5</f>
        <v>0.10905289975780602</v>
      </c>
      <c r="Y170" s="117">
        <f>V168-E170</f>
        <v>-0.10270799000824665</v>
      </c>
      <c r="Z170" s="100"/>
      <c r="AA170" s="100"/>
      <c r="AB170" s="100"/>
      <c r="AC170" s="117"/>
      <c r="AD170" s="117"/>
      <c r="AE170" s="117"/>
      <c r="AF170" s="117"/>
      <c r="AH170" s="27"/>
      <c r="AI170" s="58"/>
    </row>
    <row r="171" spans="1:35" x14ac:dyDescent="0.2">
      <c r="C171" s="57"/>
      <c r="D171" s="88"/>
      <c r="F171" s="90"/>
      <c r="K171" s="88"/>
      <c r="L171" s="93"/>
      <c r="M171" s="94"/>
      <c r="N171" s="95"/>
      <c r="P171" s="97"/>
      <c r="Q171" s="98"/>
      <c r="R171" s="98"/>
    </row>
    <row r="172" spans="1:35" x14ac:dyDescent="0.2">
      <c r="A172" t="s">
        <v>125</v>
      </c>
      <c r="B172" t="s">
        <v>30</v>
      </c>
      <c r="C172" s="142">
        <v>16.755210505395269</v>
      </c>
      <c r="D172" s="88">
        <v>11.85337913580334</v>
      </c>
      <c r="E172" s="89">
        <v>0.29255564219939267</v>
      </c>
      <c r="F172" s="90">
        <v>-1000.9274666401531</v>
      </c>
      <c r="G172" s="91">
        <v>-60.738280597420697</v>
      </c>
      <c r="H172" s="92">
        <v>7.8767049284502733E-3</v>
      </c>
      <c r="I172" s="92">
        <v>0.68427683387752536</v>
      </c>
      <c r="J172" s="92">
        <v>3.1968091523271158</v>
      </c>
      <c r="K172" s="88">
        <v>-84.442373366497165</v>
      </c>
      <c r="L172" s="93">
        <v>11.85337913580334</v>
      </c>
      <c r="M172" s="94">
        <v>0.29255564219939267</v>
      </c>
      <c r="N172" s="95">
        <v>31.47981435491004</v>
      </c>
      <c r="O172" s="96">
        <v>0.87880745185346254</v>
      </c>
      <c r="P172" s="97">
        <v>2.6557671018743259</v>
      </c>
      <c r="Q172" s="98">
        <v>0.1214491755532594</v>
      </c>
      <c r="R172" s="98">
        <v>8.005832110717534E-2</v>
      </c>
      <c r="S172" s="99">
        <v>2.0067948519840669E-2</v>
      </c>
      <c r="T172">
        <v>3910.41</v>
      </c>
      <c r="U172" s="117">
        <f>C172*S172</f>
        <v>0.33624270186136579</v>
      </c>
      <c r="V172" s="117">
        <f>(1+S172)*Q172*(1-U172)+S172</f>
        <v>0.10229845819761672</v>
      </c>
      <c r="W172" s="117">
        <f>V172+I172/3</f>
        <v>0.33039073615679182</v>
      </c>
      <c r="X172" s="117">
        <f>V172+I172/5</f>
        <v>0.23915382497312182</v>
      </c>
      <c r="Y172" s="117">
        <f>V172-E172</f>
        <v>-0.19025718400177594</v>
      </c>
      <c r="Z172" s="100"/>
      <c r="AA172" s="100"/>
      <c r="AB172" s="100"/>
      <c r="AI172" s="58"/>
    </row>
    <row r="173" spans="1:35" x14ac:dyDescent="0.2">
      <c r="A173" t="s">
        <v>126</v>
      </c>
      <c r="B173" t="s">
        <v>32</v>
      </c>
      <c r="C173" s="140">
        <v>24.60123097004432</v>
      </c>
      <c r="D173" s="88">
        <v>16.009157194902659</v>
      </c>
      <c r="E173" s="89">
        <v>0.34925381520964521</v>
      </c>
      <c r="F173" s="90">
        <v>-624.70708981424195</v>
      </c>
      <c r="G173" s="91">
        <v>-26.39332647926912</v>
      </c>
      <c r="H173" s="92">
        <v>-4.1925685665612278E-2</v>
      </c>
      <c r="I173" s="92">
        <v>0.62223915541230812</v>
      </c>
      <c r="J173" s="92">
        <v>3.025372754427424</v>
      </c>
      <c r="K173" s="88">
        <v>-39.021859939831792</v>
      </c>
      <c r="L173" s="93">
        <v>16.009157194902659</v>
      </c>
      <c r="M173" s="94">
        <v>0.34925381520964521</v>
      </c>
      <c r="N173" s="95">
        <v>42.237924087772747</v>
      </c>
      <c r="O173" s="96">
        <v>0.71690287121013396</v>
      </c>
      <c r="P173" s="97">
        <v>2.638360256792367</v>
      </c>
      <c r="Q173" s="98"/>
      <c r="R173" s="98"/>
      <c r="S173" s="99">
        <v>1.6006695560554639E-2</v>
      </c>
      <c r="U173" s="117">
        <f>C173*S173</f>
        <v>0.39378441455238772</v>
      </c>
      <c r="V173" s="117">
        <f>(1+S173)*R172*(1-U173)+S173</f>
        <v>6.5316144145468463E-2</v>
      </c>
      <c r="W173" s="117">
        <f>V173+I173/3</f>
        <v>0.27272919594957118</v>
      </c>
      <c r="X173" s="117">
        <f>V173+I173/5</f>
        <v>0.18976397522793009</v>
      </c>
      <c r="Y173" s="117">
        <f>V173-E173</f>
        <v>-0.28393767106417678</v>
      </c>
      <c r="Z173" s="100"/>
      <c r="AA173" s="100"/>
      <c r="AB173" s="100"/>
      <c r="AI173" s="58"/>
    </row>
    <row r="174" spans="1:35" x14ac:dyDescent="0.2">
      <c r="A174" t="s">
        <v>67</v>
      </c>
      <c r="B174" t="s">
        <v>34</v>
      </c>
      <c r="C174" s="140">
        <v>2.034906502101566</v>
      </c>
      <c r="D174" s="88">
        <v>1.46475622375033</v>
      </c>
      <c r="E174" s="89">
        <v>0.28018500002944052</v>
      </c>
      <c r="F174" s="90">
        <v>4.2591582880124941</v>
      </c>
      <c r="G174" s="91">
        <v>1.093048640620006</v>
      </c>
      <c r="H174" s="92">
        <v>-0.1460770617147201</v>
      </c>
      <c r="I174" s="92">
        <v>8.3437989632440202E-2</v>
      </c>
      <c r="J174" s="92">
        <v>0.24409759025010369</v>
      </c>
      <c r="K174" s="88">
        <v>2.9077591335351611</v>
      </c>
      <c r="L174" s="93">
        <v>1.503570359178934</v>
      </c>
      <c r="M174" s="94">
        <v>0.26111083844584049</v>
      </c>
      <c r="N174" s="95">
        <v>3.321257994918855</v>
      </c>
      <c r="O174" s="96">
        <v>0.63214279943024354</v>
      </c>
      <c r="P174" s="97">
        <v>2.2089142517630629</v>
      </c>
      <c r="Q174" s="98"/>
      <c r="R174" s="98"/>
      <c r="W174" s="117">
        <f>V172+I174/3</f>
        <v>0.13011112140843012</v>
      </c>
      <c r="X174" s="117">
        <f>V172+I174/5</f>
        <v>0.11898605612410476</v>
      </c>
      <c r="Y174" s="117">
        <f>V172-E174</f>
        <v>-0.17788654183182379</v>
      </c>
      <c r="Z174" s="100"/>
      <c r="AA174" s="100"/>
      <c r="AB174" s="100"/>
      <c r="AI174" s="58"/>
    </row>
    <row r="175" spans="1:35" x14ac:dyDescent="0.2">
      <c r="A175">
        <v>3.16</v>
      </c>
      <c r="B175" t="s">
        <v>35</v>
      </c>
      <c r="C175" s="140">
        <v>1.969533248631594</v>
      </c>
      <c r="D175" s="88">
        <v>1.5693701392212109</v>
      </c>
      <c r="E175" s="89">
        <v>0.2031766204954456</v>
      </c>
      <c r="F175" s="90">
        <v>4.9986916922163136</v>
      </c>
      <c r="G175" s="91">
        <v>1.538008279722791</v>
      </c>
      <c r="H175" s="92">
        <v>-6.7106516601521893E-2</v>
      </c>
      <c r="I175" s="92">
        <v>7.1563994853606205E-2</v>
      </c>
      <c r="J175" s="92">
        <v>0.4059201062211697</v>
      </c>
      <c r="K175" s="88">
        <v>3.1851578969744381</v>
      </c>
      <c r="L175" s="93">
        <v>1.5793376387599141</v>
      </c>
      <c r="M175" s="94">
        <v>0.19811577699578481</v>
      </c>
      <c r="N175" s="95">
        <v>2.7366557373569398</v>
      </c>
      <c r="O175" s="96">
        <v>0.38949456134255761</v>
      </c>
      <c r="P175" s="97">
        <v>1.732787005257308</v>
      </c>
      <c r="Q175" s="98"/>
      <c r="R175" s="98"/>
      <c r="W175" s="117">
        <f>V173+I175/3</f>
        <v>8.9170809096670536E-2</v>
      </c>
      <c r="X175" s="117">
        <f>V173+I175/5</f>
        <v>7.9628943116189704E-2</v>
      </c>
      <c r="Y175" s="117">
        <f>V173-E175</f>
        <v>-0.13786047634997714</v>
      </c>
      <c r="Z175" s="100"/>
      <c r="AA175" s="100"/>
      <c r="AB175" s="100"/>
      <c r="AI175" s="58"/>
    </row>
    <row r="176" spans="1:35" x14ac:dyDescent="0.2">
      <c r="C176" s="57"/>
      <c r="D176" s="88"/>
      <c r="F176" s="90"/>
      <c r="K176" s="88"/>
      <c r="L176" s="93"/>
      <c r="M176" s="94"/>
      <c r="N176" s="95"/>
      <c r="P176" s="97"/>
      <c r="Q176" s="98"/>
      <c r="R176" s="98"/>
    </row>
    <row r="177" spans="1:35" s="128" customFormat="1" x14ac:dyDescent="0.2">
      <c r="A177" s="128" t="s">
        <v>127</v>
      </c>
      <c r="B177" s="128" t="s">
        <v>30</v>
      </c>
      <c r="C177" s="138">
        <v>7.1730354790261988</v>
      </c>
      <c r="D177" s="19">
        <v>6.9611710589888096</v>
      </c>
      <c r="E177" s="29">
        <v>2.9536229209638831E-2</v>
      </c>
      <c r="F177" s="20">
        <v>68.964749522038332</v>
      </c>
      <c r="G177" s="39">
        <v>8.6144442229081086</v>
      </c>
      <c r="H177" s="21">
        <v>0.48566531282351472</v>
      </c>
      <c r="I177" s="21">
        <v>1.0402905622029259</v>
      </c>
      <c r="J177" s="21">
        <v>2.6949332430266368</v>
      </c>
      <c r="K177" s="19">
        <v>9.9070614610146155</v>
      </c>
      <c r="L177" s="22">
        <v>6.9611710589888096</v>
      </c>
      <c r="M177" s="32">
        <v>2.9536229209638831E-2</v>
      </c>
      <c r="N177" s="23">
        <v>28.041140568257109</v>
      </c>
      <c r="O177" s="24">
        <v>2.9092432555573988</v>
      </c>
      <c r="P177" s="25">
        <v>4.028221736060944</v>
      </c>
      <c r="Q177" s="26">
        <v>0.1311317791883034</v>
      </c>
      <c r="R177" s="26">
        <v>0.1596030940642385</v>
      </c>
      <c r="S177" s="27">
        <v>6.833614603705776E-2</v>
      </c>
      <c r="T177" s="128">
        <v>2445.52</v>
      </c>
      <c r="U177" s="117">
        <f>C177*S177</f>
        <v>0.4901776000237309</v>
      </c>
      <c r="V177" s="117">
        <f>(1+S177)*Q177*(1-U177)+S177</f>
        <v>0.1397586035454895</v>
      </c>
      <c r="W177" s="117">
        <f>V177+I177/3</f>
        <v>0.48652212427979813</v>
      </c>
      <c r="X177" s="117">
        <f>V177+I177/5</f>
        <v>0.34781671598607466</v>
      </c>
      <c r="Y177" s="117">
        <f>V177-E177</f>
        <v>0.11022237433585066</v>
      </c>
      <c r="Z177" s="100"/>
      <c r="AA177" s="100"/>
      <c r="AB177" s="100"/>
      <c r="AC177" s="117"/>
      <c r="AD177" s="117"/>
      <c r="AE177" s="117"/>
      <c r="AF177" s="117"/>
      <c r="AH177" s="27"/>
      <c r="AI177" s="58"/>
    </row>
    <row r="178" spans="1:35" s="128" customFormat="1" x14ac:dyDescent="0.2">
      <c r="A178" s="128" t="s">
        <v>128</v>
      </c>
      <c r="B178" s="128" t="s">
        <v>32</v>
      </c>
      <c r="C178" s="138">
        <v>7.8677371784670251</v>
      </c>
      <c r="D178" s="19">
        <v>7.4360971830643461</v>
      </c>
      <c r="E178" s="29">
        <v>5.4862025206436897E-2</v>
      </c>
      <c r="F178" s="20">
        <v>-86.85644566637211</v>
      </c>
      <c r="G178" s="39">
        <v>-12.03957131461978</v>
      </c>
      <c r="H178" s="21">
        <v>0.48017674306529429</v>
      </c>
      <c r="I178" s="21">
        <v>1.4919927277148981</v>
      </c>
      <c r="J178" s="21">
        <v>7.2706052289356151</v>
      </c>
      <c r="K178" s="19">
        <v>-11.68038065239209</v>
      </c>
      <c r="L178" s="22">
        <v>7.4360971830643461</v>
      </c>
      <c r="M178" s="32">
        <v>5.4862025206436897E-2</v>
      </c>
      <c r="N178" s="23">
        <v>25.092816851158101</v>
      </c>
      <c r="O178" s="24">
        <v>2.189330843413769</v>
      </c>
      <c r="P178" s="25">
        <v>3.3744605850911689</v>
      </c>
      <c r="Q178" s="26"/>
      <c r="R178" s="26"/>
      <c r="S178" s="27">
        <v>4.397885701520117E-2</v>
      </c>
      <c r="U178" s="117">
        <f>C178*S178</f>
        <v>0.3460140884049836</v>
      </c>
      <c r="V178" s="117">
        <f>(1+S178)*R177*(1-U178)+S178</f>
        <v>0.15294746481248012</v>
      </c>
      <c r="W178" s="117">
        <f>V178+I178/3</f>
        <v>0.65027837405077948</v>
      </c>
      <c r="X178" s="117">
        <f>V178+I178/5</f>
        <v>0.45134601035545974</v>
      </c>
      <c r="Y178" s="117">
        <f>V178-E178</f>
        <v>9.8085439606043212E-2</v>
      </c>
      <c r="Z178" s="100"/>
      <c r="AA178" s="100"/>
      <c r="AB178" s="100"/>
      <c r="AC178" s="117"/>
      <c r="AD178" s="117"/>
      <c r="AE178" s="117"/>
      <c r="AF178" s="117"/>
      <c r="AH178" s="27"/>
      <c r="AI178" s="58"/>
    </row>
    <row r="179" spans="1:35" s="128" customFormat="1" x14ac:dyDescent="0.2">
      <c r="A179" s="128" t="s">
        <v>55</v>
      </c>
      <c r="B179" s="128" t="s">
        <v>34</v>
      </c>
      <c r="C179" s="137">
        <v>0.94061290454552937</v>
      </c>
      <c r="D179" s="19">
        <v>0.72812749848641156</v>
      </c>
      <c r="E179" s="29">
        <v>0.22590101096027729</v>
      </c>
      <c r="F179" s="20">
        <v>2.1424342880215379</v>
      </c>
      <c r="G179" s="39">
        <v>1.2777002927221019</v>
      </c>
      <c r="H179" s="21">
        <v>-4.4718669324939064E-3</v>
      </c>
      <c r="I179" s="21">
        <v>0.22937966715007979</v>
      </c>
      <c r="J179" s="21">
        <v>0.37683330771678142</v>
      </c>
      <c r="K179" s="19">
        <v>2.9423889256690678</v>
      </c>
      <c r="L179" s="22">
        <v>0.72812749848641156</v>
      </c>
      <c r="M179" s="32">
        <v>0.22590101096027729</v>
      </c>
      <c r="N179" s="23">
        <v>1.3533386435045189</v>
      </c>
      <c r="O179" s="24">
        <v>0.43878383654368852</v>
      </c>
      <c r="P179" s="25">
        <v>1.858656136896023</v>
      </c>
      <c r="Q179" s="26"/>
      <c r="R179" s="26"/>
      <c r="S179" s="27"/>
      <c r="V179" s="99"/>
      <c r="W179" s="117">
        <f>V177+I179/3</f>
        <v>0.21621849259551609</v>
      </c>
      <c r="X179" s="117">
        <f>V177+I179/5</f>
        <v>0.18563453697550547</v>
      </c>
      <c r="Y179" s="117">
        <f>V177-E179</f>
        <v>-8.6142407414787792E-2</v>
      </c>
      <c r="Z179" s="100"/>
      <c r="AA179" s="100"/>
      <c r="AB179" s="100"/>
      <c r="AC179" s="117"/>
      <c r="AD179" s="117"/>
      <c r="AE179" s="117"/>
      <c r="AF179" s="117"/>
      <c r="AH179" s="27"/>
      <c r="AI179" s="58"/>
    </row>
    <row r="180" spans="1:35" s="128" customFormat="1" x14ac:dyDescent="0.2">
      <c r="A180" s="128">
        <v>3.4</v>
      </c>
      <c r="B180" s="128" t="s">
        <v>35</v>
      </c>
      <c r="C180" s="137">
        <v>1.2557151969675791</v>
      </c>
      <c r="D180" s="19">
        <v>0.82467659777169622</v>
      </c>
      <c r="E180" s="29">
        <v>0.34326143399139852</v>
      </c>
      <c r="F180" s="20">
        <v>2.9044086780326079</v>
      </c>
      <c r="G180" s="39">
        <v>1.3129517625066991</v>
      </c>
      <c r="H180" s="21">
        <v>-0.11307759552349129</v>
      </c>
      <c r="I180" s="21">
        <v>0.1075652368568312</v>
      </c>
      <c r="J180" s="21">
        <v>0.334836127138606</v>
      </c>
      <c r="K180" s="19">
        <v>3.5218759521980112</v>
      </c>
      <c r="L180" s="22">
        <v>0.82467659777169622</v>
      </c>
      <c r="M180" s="32">
        <v>0.34326143399139852</v>
      </c>
      <c r="N180" s="23">
        <v>1.790360193155319</v>
      </c>
      <c r="O180" s="24">
        <v>0.42576931256295381</v>
      </c>
      <c r="P180" s="25">
        <v>2.1709845992876868</v>
      </c>
      <c r="Q180" s="26"/>
      <c r="R180" s="26"/>
      <c r="S180" s="27"/>
      <c r="V180" s="99"/>
      <c r="W180" s="117">
        <f>V178+I180/3</f>
        <v>0.18880254376475719</v>
      </c>
      <c r="X180" s="117">
        <f>V178+I180/5</f>
        <v>0.17446051218384637</v>
      </c>
      <c r="Y180" s="117">
        <f>V178-E180</f>
        <v>-0.19031396917891841</v>
      </c>
      <c r="Z180" s="100"/>
      <c r="AA180" s="100"/>
      <c r="AB180" s="100"/>
      <c r="AC180" s="117"/>
      <c r="AD180" s="117"/>
      <c r="AE180" s="117"/>
      <c r="AF180" s="117"/>
      <c r="AH180" s="27"/>
      <c r="AI180" s="58"/>
    </row>
    <row r="181" spans="1:35" x14ac:dyDescent="0.2">
      <c r="C181" s="57"/>
      <c r="D181" s="88"/>
      <c r="F181" s="90"/>
      <c r="K181" s="88"/>
      <c r="L181" s="93"/>
      <c r="M181" s="94"/>
      <c r="N181" s="95"/>
      <c r="P181" s="97"/>
      <c r="Q181" s="98"/>
      <c r="R181" s="98"/>
    </row>
    <row r="182" spans="1:35" x14ac:dyDescent="0.2">
      <c r="A182" t="s">
        <v>129</v>
      </c>
      <c r="B182" t="s">
        <v>30</v>
      </c>
      <c r="C182" s="140">
        <v>24.96334669923441</v>
      </c>
      <c r="D182" s="88">
        <v>15.875058643839809</v>
      </c>
      <c r="E182" s="89">
        <v>0.36406528999868909</v>
      </c>
      <c r="F182" s="90">
        <v>59.767741575183557</v>
      </c>
      <c r="G182" s="91">
        <v>1.3942199054991511</v>
      </c>
      <c r="H182" s="92">
        <v>-0.19962414098783551</v>
      </c>
      <c r="I182" s="92">
        <v>4.0007999292795297E-2</v>
      </c>
      <c r="J182" s="92">
        <v>0.26407403246413491</v>
      </c>
      <c r="K182" s="88">
        <v>3.7648831992426022</v>
      </c>
      <c r="L182" s="93">
        <v>15.875058643839809</v>
      </c>
      <c r="M182" s="94">
        <v>0.36406528999868909</v>
      </c>
      <c r="N182" s="95">
        <v>33.488835550197919</v>
      </c>
      <c r="O182" s="96">
        <v>0.34152026784233103</v>
      </c>
      <c r="P182" s="97">
        <v>2.10952515524678</v>
      </c>
      <c r="Q182" s="98">
        <v>8.647988528137783E-2</v>
      </c>
      <c r="R182" s="98">
        <v>5.0298666625424517E-2</v>
      </c>
      <c r="S182" s="99">
        <v>1.193019806081636E-2</v>
      </c>
      <c r="T182">
        <v>4046.53</v>
      </c>
      <c r="U182" s="117">
        <f>C182*S182</f>
        <v>0.29781767038269286</v>
      </c>
      <c r="V182" s="117">
        <f>(1+S182)*Q182*(1-U182)+S182</f>
        <v>7.3379302442336078E-2</v>
      </c>
      <c r="W182" s="117">
        <f>V182+I182/3</f>
        <v>8.6715302206601175E-2</v>
      </c>
      <c r="X182" s="117">
        <f>V182+I182/5</f>
        <v>8.1380902300895133E-2</v>
      </c>
      <c r="Y182" s="117">
        <f>V182-E182</f>
        <v>-0.290685987556353</v>
      </c>
      <c r="Z182" s="100"/>
      <c r="AA182" s="100"/>
      <c r="AB182" s="100"/>
      <c r="AI182" s="58"/>
    </row>
    <row r="183" spans="1:35" x14ac:dyDescent="0.2">
      <c r="A183" t="s">
        <v>130</v>
      </c>
      <c r="B183" t="s">
        <v>32</v>
      </c>
      <c r="C183" s="141">
        <v>44.174881421765029</v>
      </c>
      <c r="D183" s="88">
        <v>25.297295541018809</v>
      </c>
      <c r="E183" s="89">
        <v>0.42733755639342152</v>
      </c>
      <c r="F183" s="90">
        <v>122.33863016721661</v>
      </c>
      <c r="G183" s="91">
        <v>1.769416153020847</v>
      </c>
      <c r="H183" s="92">
        <v>-0.22971717009975981</v>
      </c>
      <c r="I183" s="92">
        <v>-6.0958296582381832E-3</v>
      </c>
      <c r="J183" s="92">
        <v>0.2412485572802856</v>
      </c>
      <c r="K183" s="88">
        <v>4.8360359299612936</v>
      </c>
      <c r="L183" s="93">
        <v>25.297295541018809</v>
      </c>
      <c r="M183" s="94">
        <v>0.42733755639342152</v>
      </c>
      <c r="N183" s="95">
        <v>122.33863016721661</v>
      </c>
      <c r="O183" s="96">
        <v>1.769416153020847</v>
      </c>
      <c r="P183" s="97">
        <v>4.8360359299612936</v>
      </c>
      <c r="Q183" s="98"/>
      <c r="R183" s="98"/>
      <c r="S183" s="99">
        <v>9.8372207574171922E-3</v>
      </c>
      <c r="U183" s="117">
        <f>C183*S183</f>
        <v>0.43455806047863005</v>
      </c>
      <c r="V183" s="117">
        <f>(1+S183)*R182*(1-U183)+S183</f>
        <v>3.8557976525087773E-2</v>
      </c>
      <c r="W183" s="117">
        <f>V183+I183/3</f>
        <v>3.6526033305675047E-2</v>
      </c>
      <c r="X183" s="117">
        <f>V183+I183/5</f>
        <v>3.7338810593440137E-2</v>
      </c>
      <c r="Y183" s="117">
        <f>V183-E183</f>
        <v>-0.38877957986833378</v>
      </c>
      <c r="Z183" s="100"/>
      <c r="AA183" s="100"/>
      <c r="AB183" s="100"/>
      <c r="AI183" s="58"/>
    </row>
    <row r="184" spans="1:35" x14ac:dyDescent="0.2">
      <c r="A184" t="s">
        <v>67</v>
      </c>
      <c r="B184" t="s">
        <v>34</v>
      </c>
      <c r="C184" s="141">
        <v>2.1588273587890541</v>
      </c>
      <c r="D184" s="88">
        <v>1.477857773851931</v>
      </c>
      <c r="E184" s="89">
        <v>0.31543494303272951</v>
      </c>
      <c r="F184" s="90">
        <v>5.0371757010997724</v>
      </c>
      <c r="G184" s="91">
        <v>1.3332925074311011</v>
      </c>
      <c r="H184" s="92">
        <v>-0.2081919745413793</v>
      </c>
      <c r="I184" s="92">
        <v>-8.5352167075076757E-3</v>
      </c>
      <c r="J184" s="92">
        <v>0.19259588863809851</v>
      </c>
      <c r="K184" s="88">
        <v>3.408430628592042</v>
      </c>
      <c r="L184" s="93">
        <v>1.477857773851931</v>
      </c>
      <c r="M184" s="94">
        <v>0.31543494303272951</v>
      </c>
      <c r="N184" s="95">
        <v>2.772832683464177</v>
      </c>
      <c r="O184" s="96">
        <v>0.2844161309033697</v>
      </c>
      <c r="P184" s="97">
        <v>1.8762513771788649</v>
      </c>
      <c r="Q184" s="98"/>
      <c r="R184" s="98"/>
      <c r="W184" s="117">
        <f>V182+I184/3</f>
        <v>7.0534230206500181E-2</v>
      </c>
      <c r="X184" s="117">
        <f>V182+I184/5</f>
        <v>7.1672259100834537E-2</v>
      </c>
      <c r="Y184" s="117">
        <f>V182-E184</f>
        <v>-0.24205564059039342</v>
      </c>
      <c r="Z184" s="100"/>
      <c r="AA184" s="100"/>
      <c r="AB184" s="100"/>
      <c r="AI184" s="58"/>
    </row>
    <row r="185" spans="1:35" x14ac:dyDescent="0.2">
      <c r="A185">
        <v>6.44</v>
      </c>
      <c r="B185" t="s">
        <v>35</v>
      </c>
      <c r="C185" s="141">
        <v>2.2219376338510179</v>
      </c>
      <c r="D185" s="88">
        <v>1.534175556432102</v>
      </c>
      <c r="E185" s="89">
        <v>0.30953257505562892</v>
      </c>
      <c r="F185" s="90">
        <v>6.1125253437035711</v>
      </c>
      <c r="G185" s="91">
        <v>1.75098870939481</v>
      </c>
      <c r="H185" s="92">
        <v>-0.1347637252025681</v>
      </c>
      <c r="I185" s="92">
        <v>-2.5438934384895199E-2</v>
      </c>
      <c r="J185" s="92">
        <v>0.3876869917586494</v>
      </c>
      <c r="K185" s="88">
        <v>3.9842411242158882</v>
      </c>
      <c r="L185" s="93">
        <v>1.534175556432102</v>
      </c>
      <c r="M185" s="94">
        <v>0.30953257505562892</v>
      </c>
      <c r="N185" s="95">
        <v>2.531697874270149</v>
      </c>
      <c r="O185" s="96">
        <v>0.13940996169287659</v>
      </c>
      <c r="P185" s="97">
        <v>1.650200893669495</v>
      </c>
      <c r="Q185" s="98"/>
      <c r="R185" s="98"/>
      <c r="W185" s="117">
        <f>V183+I185/3</f>
        <v>3.0078331730122705E-2</v>
      </c>
      <c r="X185" s="117">
        <f>V183+I185/5</f>
        <v>3.3470189648108731E-2</v>
      </c>
      <c r="Y185" s="117">
        <f>V183-E185</f>
        <v>-0.27097459853054118</v>
      </c>
      <c r="Z185" s="100"/>
      <c r="AA185" s="100"/>
      <c r="AB185" s="100"/>
      <c r="AI185" s="58"/>
    </row>
    <row r="186" spans="1:35" x14ac:dyDescent="0.2">
      <c r="C186" s="57"/>
      <c r="D186" s="88"/>
      <c r="F186" s="90"/>
      <c r="K186" s="88"/>
      <c r="L186" s="93"/>
      <c r="M186" s="94"/>
      <c r="N186" s="95"/>
      <c r="P186" s="97"/>
      <c r="Q186" s="98"/>
      <c r="R186" s="98"/>
    </row>
    <row r="187" spans="1:35" x14ac:dyDescent="0.2">
      <c r="A187" t="s">
        <v>131</v>
      </c>
      <c r="B187" t="s">
        <v>30</v>
      </c>
      <c r="C187" s="140">
        <v>19.991925409043201</v>
      </c>
      <c r="D187" s="88">
        <v>13.840127533330801</v>
      </c>
      <c r="E187" s="89">
        <v>0.30771412707100648</v>
      </c>
      <c r="F187" s="90">
        <v>49.646963774497543</v>
      </c>
      <c r="G187" s="91">
        <v>1.4833507908167809</v>
      </c>
      <c r="H187" s="92">
        <v>-0.19035538424637641</v>
      </c>
      <c r="I187" s="92">
        <v>5.42444738408836E-2</v>
      </c>
      <c r="J187" s="92">
        <v>0.28199233375240002</v>
      </c>
      <c r="K187" s="88">
        <v>3.58717530997703</v>
      </c>
      <c r="L187" s="93">
        <v>13.840127533330801</v>
      </c>
      <c r="M187" s="94">
        <v>0.30771412707100648</v>
      </c>
      <c r="N187" s="95">
        <v>26.41246099454052</v>
      </c>
      <c r="O187" s="96">
        <v>0.32115643961901941</v>
      </c>
      <c r="P187" s="97">
        <v>1.908397226176719</v>
      </c>
      <c r="Q187" s="98">
        <v>0.102321739971436</v>
      </c>
      <c r="R187" s="98">
        <v>7.9972286712054835E-2</v>
      </c>
      <c r="S187" s="99">
        <v>1.355956966383441E-2</v>
      </c>
      <c r="T187">
        <v>3388.29</v>
      </c>
      <c r="U187" s="117">
        <f>C187*S187</f>
        <v>0.2710819052981025</v>
      </c>
      <c r="V187" s="117">
        <f>(1+S187)*Q187*(1-U187)+S187</f>
        <v>8.9155066628775148E-2</v>
      </c>
      <c r="W187" s="117">
        <f>V187+I187/3</f>
        <v>0.10723655790906968</v>
      </c>
      <c r="X187" s="117">
        <f>V187+I187/5</f>
        <v>0.10000396139695186</v>
      </c>
      <c r="Y187" s="117">
        <f>V187-E187</f>
        <v>-0.21855906044223133</v>
      </c>
      <c r="Z187" s="100"/>
      <c r="AA187" s="100"/>
      <c r="AB187" s="100"/>
      <c r="AI187" s="58"/>
    </row>
    <row r="188" spans="1:35" x14ac:dyDescent="0.2">
      <c r="A188" t="s">
        <v>132</v>
      </c>
      <c r="B188" t="s">
        <v>32</v>
      </c>
      <c r="C188" s="140">
        <v>24.00686312047813</v>
      </c>
      <c r="D188" s="88">
        <v>17.941767426279281</v>
      </c>
      <c r="E188" s="89">
        <v>0.25264007478866563</v>
      </c>
      <c r="F188" s="90">
        <v>65.662717489365008</v>
      </c>
      <c r="G188" s="91">
        <v>1.735164405271838</v>
      </c>
      <c r="H188" s="92">
        <v>-5.3844329781448368E-2</v>
      </c>
      <c r="I188" s="92">
        <v>6.8141664489471676E-2</v>
      </c>
      <c r="J188" s="92">
        <v>0.52379351471289937</v>
      </c>
      <c r="K188" s="88">
        <v>3.6597686241985792</v>
      </c>
      <c r="L188" s="93">
        <v>17.941767426279281</v>
      </c>
      <c r="M188" s="94">
        <v>0.25264007478866563</v>
      </c>
      <c r="N188" s="95">
        <v>31.259003740878178</v>
      </c>
      <c r="O188" s="96">
        <v>0.30208614028435421</v>
      </c>
      <c r="P188" s="97">
        <v>1.742247739489319</v>
      </c>
      <c r="Q188" s="98"/>
      <c r="R188" s="98"/>
      <c r="S188" s="99">
        <v>1.4481332556554189E-2</v>
      </c>
      <c r="U188" s="117">
        <f>C188*S188</f>
        <v>0.34765136848732003</v>
      </c>
      <c r="V188" s="117">
        <f>(1+S188)*R187*(1-U188)+S188</f>
        <v>6.7406632746127029E-2</v>
      </c>
      <c r="W188" s="117">
        <f>V188+I188/3</f>
        <v>9.0120520909284255E-2</v>
      </c>
      <c r="X188" s="117">
        <f>V188+I188/5</f>
        <v>8.1034965644021364E-2</v>
      </c>
      <c r="Y188" s="117">
        <f>V188-E188</f>
        <v>-0.18523344204253861</v>
      </c>
      <c r="Z188" s="100"/>
      <c r="AA188" s="100"/>
      <c r="AB188" s="100"/>
      <c r="AI188" s="58"/>
    </row>
    <row r="189" spans="1:35" x14ac:dyDescent="0.2">
      <c r="A189" t="s">
        <v>55</v>
      </c>
      <c r="B189" t="s">
        <v>34</v>
      </c>
      <c r="C189" s="141">
        <v>2.0456085932324619</v>
      </c>
      <c r="D189" s="88">
        <v>1.3393384069733401</v>
      </c>
      <c r="E189" s="89">
        <v>0.34526164418535049</v>
      </c>
      <c r="F189" s="90">
        <v>4.529801610964455</v>
      </c>
      <c r="G189" s="91">
        <v>1.214402904813028</v>
      </c>
      <c r="H189" s="92">
        <v>-0.2443769267182179</v>
      </c>
      <c r="I189" s="92">
        <v>-4.9678419080621761E-2</v>
      </c>
      <c r="J189" s="92">
        <v>0.1053616887616642</v>
      </c>
      <c r="K189" s="88">
        <v>3.3821188038659908</v>
      </c>
      <c r="L189" s="93">
        <v>1.3804501933780089</v>
      </c>
      <c r="M189" s="94">
        <v>0.32516406220379279</v>
      </c>
      <c r="N189" s="95">
        <v>2.6341849504456181</v>
      </c>
      <c r="O189" s="96">
        <v>0.28772677195449692</v>
      </c>
      <c r="P189" s="97">
        <v>1.9082071653738391</v>
      </c>
      <c r="Q189" s="98"/>
      <c r="R189" s="98"/>
      <c r="W189" s="117">
        <f>V187+I189/3</f>
        <v>7.2595593601901223E-2</v>
      </c>
      <c r="X189" s="117">
        <f>V187+I189/5</f>
        <v>7.9219382812650799E-2</v>
      </c>
      <c r="Y189" s="117">
        <f>V187-E189</f>
        <v>-0.25610657755657534</v>
      </c>
      <c r="Z189" s="100"/>
      <c r="AA189" s="100"/>
      <c r="AB189" s="100"/>
      <c r="AI189" s="58"/>
    </row>
    <row r="190" spans="1:35" x14ac:dyDescent="0.2">
      <c r="B190" t="s">
        <v>35</v>
      </c>
      <c r="C190" s="141">
        <v>1.919883740527933</v>
      </c>
      <c r="D190" s="88">
        <v>1.350924184895923</v>
      </c>
      <c r="E190" s="89">
        <v>0.29635104648344818</v>
      </c>
      <c r="F190" s="90">
        <v>5.0203618371853151</v>
      </c>
      <c r="G190" s="91">
        <v>1.6149301289487501</v>
      </c>
      <c r="H190" s="92">
        <v>-0.1574626378457207</v>
      </c>
      <c r="I190" s="92">
        <v>-4.9165199315446377E-2</v>
      </c>
      <c r="J190" s="92">
        <v>0.25029714295007999</v>
      </c>
      <c r="K190" s="88">
        <v>3.716242475570227</v>
      </c>
      <c r="L190" s="93">
        <v>1.350924184895923</v>
      </c>
      <c r="M190" s="94">
        <v>0.29635104648344818</v>
      </c>
      <c r="N190" s="95">
        <v>2.145952126143043</v>
      </c>
      <c r="O190" s="96">
        <v>0.1177510808820881</v>
      </c>
      <c r="P190" s="97">
        <v>1.58850670536213</v>
      </c>
      <c r="Q190" s="98"/>
      <c r="R190" s="98"/>
      <c r="W190" s="117">
        <f>V188+I190/3</f>
        <v>5.1018232974311573E-2</v>
      </c>
      <c r="X190" s="117">
        <f>V188+I190/5</f>
        <v>5.7573592883037754E-2</v>
      </c>
      <c r="Y190" s="117">
        <f>V188-E190</f>
        <v>-0.22894441373732116</v>
      </c>
      <c r="Z190" s="100"/>
      <c r="AA190" s="100"/>
      <c r="AB190" s="100"/>
      <c r="AI190" s="58"/>
    </row>
    <row r="191" spans="1:35" x14ac:dyDescent="0.2">
      <c r="C191" s="57"/>
      <c r="D191" s="88"/>
      <c r="F191" s="90"/>
      <c r="K191" s="88"/>
      <c r="L191" s="93"/>
      <c r="M191" s="94"/>
      <c r="N191" s="95"/>
      <c r="P191" s="97"/>
      <c r="Q191" s="98"/>
      <c r="R191" s="98"/>
    </row>
    <row r="192" spans="1:35" x14ac:dyDescent="0.2">
      <c r="A192" t="s">
        <v>133</v>
      </c>
      <c r="B192" t="s">
        <v>30</v>
      </c>
      <c r="C192" s="139">
        <v>30.292244157963729</v>
      </c>
      <c r="D192" s="88">
        <v>9.2438671892600777</v>
      </c>
      <c r="E192" s="89">
        <v>0.6948437645934562</v>
      </c>
      <c r="F192" s="90">
        <v>46.532801206975293</v>
      </c>
      <c r="G192" s="91">
        <v>0.53612921394409074</v>
      </c>
      <c r="H192" s="92">
        <v>-0.52317737412334675</v>
      </c>
      <c r="I192" s="92">
        <v>-0.4087486742589056</v>
      </c>
      <c r="J192" s="92">
        <v>-0.31171385352817721</v>
      </c>
      <c r="K192" s="88">
        <v>5.033910619252417</v>
      </c>
      <c r="L192" s="93">
        <v>13.44596018409927</v>
      </c>
      <c r="M192" s="94">
        <v>0.55612531993393532</v>
      </c>
      <c r="N192" s="95">
        <v>46.532801206975293</v>
      </c>
      <c r="O192" s="96">
        <v>0.53612921394409074</v>
      </c>
      <c r="P192" s="97">
        <v>3.4607272794101678</v>
      </c>
      <c r="Q192" s="98">
        <v>6.0065515807301718E-2</v>
      </c>
      <c r="R192" s="98">
        <v>5.2772670586998693E-2</v>
      </c>
      <c r="S192" s="99">
        <v>2.177662352951976E-2</v>
      </c>
      <c r="T192">
        <v>2183.04</v>
      </c>
      <c r="U192" s="117">
        <f>C192*S192</f>
        <v>0.65966279689227048</v>
      </c>
      <c r="V192" s="117">
        <f>(1+S192)*Q192*(1-U192)+S192</f>
        <v>4.2664322454846117E-2</v>
      </c>
      <c r="W192" s="117">
        <f>V192+I192/3</f>
        <v>-9.3585235631455765E-2</v>
      </c>
      <c r="X192" s="117">
        <f>V192+I192/5</f>
        <v>-3.9085412396935006E-2</v>
      </c>
      <c r="Y192" s="117">
        <f>V192-E192</f>
        <v>-0.65217944213861012</v>
      </c>
      <c r="Z192" s="100"/>
      <c r="AA192" s="100"/>
      <c r="AB192" s="100"/>
      <c r="AI192" s="58"/>
    </row>
    <row r="193" spans="1:35" x14ac:dyDescent="0.2">
      <c r="A193" t="s">
        <v>134</v>
      </c>
      <c r="B193" t="s">
        <v>32</v>
      </c>
      <c r="C193" s="141">
        <v>28.988370755040759</v>
      </c>
      <c r="D193" s="88">
        <v>11.42439488780953</v>
      </c>
      <c r="E193" s="89">
        <v>0.60589731018867421</v>
      </c>
      <c r="F193" s="90">
        <v>-10.48732618175894</v>
      </c>
      <c r="G193" s="91">
        <v>-1.361777012940105</v>
      </c>
      <c r="H193" s="92">
        <v>-0.47179517560060802</v>
      </c>
      <c r="I193" s="92">
        <v>-0.25402413603020951</v>
      </c>
      <c r="J193" s="92">
        <v>0.42795663374025228</v>
      </c>
      <c r="K193" s="88">
        <v>-0.91797651295733007</v>
      </c>
      <c r="L193" s="93">
        <v>12.00959709280947</v>
      </c>
      <c r="M193" s="94">
        <v>0.58570982845867126</v>
      </c>
      <c r="N193" s="95">
        <v>-10.48732618175894</v>
      </c>
      <c r="O193" s="96">
        <v>-1.361777012940105</v>
      </c>
      <c r="P193" s="97">
        <v>-0.87324546366655709</v>
      </c>
      <c r="Q193" s="98"/>
      <c r="R193" s="98"/>
      <c r="S193" s="99">
        <v>1.95073754018142E-2</v>
      </c>
      <c r="U193" s="117">
        <f>C193*S193</f>
        <v>0.56548703060555228</v>
      </c>
      <c r="V193" s="117">
        <f>(1+S193)*R192*(1-U193)+S193</f>
        <v>4.2885097313524898E-2</v>
      </c>
      <c r="W193" s="117">
        <f>V193+I193/3</f>
        <v>-4.1789614696544936E-2</v>
      </c>
      <c r="X193" s="117">
        <f>V193+I193/5</f>
        <v>-7.9197298925170051E-3</v>
      </c>
      <c r="Y193" s="117">
        <f>V193-E193</f>
        <v>-0.56301221287514935</v>
      </c>
      <c r="Z193" s="100"/>
      <c r="AA193" s="100"/>
      <c r="AB193" s="100"/>
      <c r="AI193" s="58"/>
    </row>
    <row r="194" spans="1:35" x14ac:dyDescent="0.2">
      <c r="A194" t="s">
        <v>67</v>
      </c>
      <c r="B194" t="s">
        <v>34</v>
      </c>
      <c r="C194" s="141">
        <v>1.819519270308813</v>
      </c>
      <c r="D194" s="88">
        <v>1.342306943232273</v>
      </c>
      <c r="E194" s="89">
        <v>0.2622738515957278</v>
      </c>
      <c r="F194" s="90">
        <v>3.697861535206115</v>
      </c>
      <c r="G194" s="91">
        <v>1.032328865952876</v>
      </c>
      <c r="H194" s="92">
        <v>-0.1497413474147137</v>
      </c>
      <c r="I194" s="92">
        <v>-4.7959093343020509E-2</v>
      </c>
      <c r="J194" s="92">
        <v>0.12802552523230351</v>
      </c>
      <c r="K194" s="88">
        <v>2.754855403117912</v>
      </c>
      <c r="L194" s="93">
        <v>1.342306943232273</v>
      </c>
      <c r="M194" s="94">
        <v>0.2622738515957278</v>
      </c>
      <c r="N194" s="95">
        <v>2.2556923911139202</v>
      </c>
      <c r="O194" s="96">
        <v>0.23971887955387139</v>
      </c>
      <c r="P194" s="97">
        <v>1.6804594526511329</v>
      </c>
      <c r="Q194" s="98"/>
      <c r="R194" s="98"/>
      <c r="W194" s="117">
        <f>V192+I194/3</f>
        <v>2.6677958007172615E-2</v>
      </c>
      <c r="X194" s="117">
        <f>V192+I194/5</f>
        <v>3.3072503786242019E-2</v>
      </c>
      <c r="Y194" s="117">
        <f>V192-E194</f>
        <v>-0.21960952914088169</v>
      </c>
      <c r="Z194" s="100"/>
      <c r="AA194" s="100"/>
      <c r="AB194" s="100"/>
      <c r="AI194" s="58"/>
    </row>
    <row r="195" spans="1:35" x14ac:dyDescent="0.2">
      <c r="A195">
        <v>7.4</v>
      </c>
      <c r="B195" t="s">
        <v>35</v>
      </c>
      <c r="C195" s="140">
        <v>1.5297937407095521</v>
      </c>
      <c r="D195" s="88">
        <v>1.0998429774965239</v>
      </c>
      <c r="E195" s="89">
        <v>0.28105145927293929</v>
      </c>
      <c r="F195" s="90">
        <v>4.5980775089174291</v>
      </c>
      <c r="G195" s="91">
        <v>2.0056846139171269</v>
      </c>
      <c r="H195" s="92">
        <v>-8.996601070669652E-2</v>
      </c>
      <c r="I195" s="92">
        <v>7.123468779320441E-2</v>
      </c>
      <c r="J195" s="92">
        <v>0.32930195122947148</v>
      </c>
      <c r="K195" s="88">
        <v>4.1806672434128993</v>
      </c>
      <c r="L195" s="93">
        <v>1.0998429774965239</v>
      </c>
      <c r="M195" s="94">
        <v>0.28105145927293929</v>
      </c>
      <c r="N195" s="95">
        <v>1.9576559078613951</v>
      </c>
      <c r="O195" s="96">
        <v>0.27968617975478888</v>
      </c>
      <c r="P195" s="97">
        <v>1.77994127154172</v>
      </c>
      <c r="Q195" s="98"/>
      <c r="R195" s="98"/>
      <c r="W195" s="117">
        <f>V193+I195/3</f>
        <v>6.6629993244593039E-2</v>
      </c>
      <c r="X195" s="117">
        <f>V193+I195/5</f>
        <v>5.7132034872165782E-2</v>
      </c>
      <c r="Y195" s="117">
        <f>V193-E195</f>
        <v>-0.23816636195941437</v>
      </c>
      <c r="Z195" s="100"/>
      <c r="AA195" s="100"/>
      <c r="AB195" s="100"/>
      <c r="AI195" s="58"/>
    </row>
    <row r="196" spans="1:35" x14ac:dyDescent="0.2">
      <c r="C196" s="57"/>
      <c r="D196" s="88"/>
      <c r="F196" s="90"/>
      <c r="K196" s="88"/>
      <c r="L196" s="93"/>
      <c r="M196" s="94"/>
      <c r="N196" s="95"/>
      <c r="P196" s="97"/>
      <c r="Q196" s="98"/>
      <c r="R196" s="98"/>
    </row>
    <row r="197" spans="1:35" x14ac:dyDescent="0.2">
      <c r="A197" t="s">
        <v>135</v>
      </c>
      <c r="B197" t="s">
        <v>30</v>
      </c>
      <c r="C197" s="139">
        <v>38.98975768665612</v>
      </c>
      <c r="D197" s="88">
        <v>9.8037151423269755</v>
      </c>
      <c r="E197" s="89">
        <v>0.74855665374698632</v>
      </c>
      <c r="F197" s="90">
        <v>55.010693840589937</v>
      </c>
      <c r="G197" s="91">
        <v>0.41090114698037322</v>
      </c>
      <c r="H197" s="92">
        <v>-0.60744311275253815</v>
      </c>
      <c r="I197" s="92">
        <v>-0.52450815044603516</v>
      </c>
      <c r="J197" s="92">
        <v>-0.40936779149822827</v>
      </c>
      <c r="K197" s="88">
        <v>5.6112089184521938</v>
      </c>
      <c r="L197" s="93">
        <v>14.41244666082515</v>
      </c>
      <c r="M197" s="94">
        <v>0.63035300766289004</v>
      </c>
      <c r="N197" s="95">
        <v>55.010693840589937</v>
      </c>
      <c r="O197" s="96">
        <v>0.41090114698037322</v>
      </c>
      <c r="P197" s="97">
        <v>3.8168879396526032</v>
      </c>
      <c r="Q197" s="98">
        <v>4.4453597831082693E-2</v>
      </c>
      <c r="R197" s="98">
        <v>1.8848750628794191E-2</v>
      </c>
      <c r="S197" s="99">
        <v>1.8337440041598541E-2</v>
      </c>
      <c r="T197">
        <v>2317.2399999999998</v>
      </c>
      <c r="U197" s="117">
        <f>C197*S197</f>
        <v>0.71497234381551245</v>
      </c>
      <c r="V197" s="117">
        <f>(1+S197)*Q197*(1-U197)+S197</f>
        <v>3.1240289462403932E-2</v>
      </c>
      <c r="W197" s="117">
        <f>V197+I197/3</f>
        <v>-0.14359576068627447</v>
      </c>
      <c r="X197" s="117">
        <f>V197+I197/5</f>
        <v>-7.3661340626803101E-2</v>
      </c>
      <c r="Y197" s="117">
        <f>V197-E197</f>
        <v>-0.71731636428458234</v>
      </c>
      <c r="Z197" s="100"/>
      <c r="AA197" s="100"/>
      <c r="AB197" s="100"/>
      <c r="AI197" s="58"/>
    </row>
    <row r="198" spans="1:35" x14ac:dyDescent="0.2">
      <c r="A198" t="s">
        <v>136</v>
      </c>
      <c r="B198" t="s">
        <v>32</v>
      </c>
      <c r="C198" s="139">
        <v>83.555609292503505</v>
      </c>
      <c r="D198" s="88">
        <v>13.72045966249147</v>
      </c>
      <c r="E198" s="89">
        <v>0.83579247666712364</v>
      </c>
      <c r="F198" s="90">
        <v>198.88591312913681</v>
      </c>
      <c r="G198" s="91">
        <v>1.3802820039633239</v>
      </c>
      <c r="H198" s="92">
        <v>-0.7701956340562065</v>
      </c>
      <c r="I198" s="92">
        <v>-0.69054870684103586</v>
      </c>
      <c r="J198" s="92">
        <v>-0.5939892758141847</v>
      </c>
      <c r="K198" s="88">
        <v>14.495572161685249</v>
      </c>
      <c r="L198" s="93">
        <v>16.965441028531782</v>
      </c>
      <c r="M198" s="94">
        <v>0.79695628848638056</v>
      </c>
      <c r="N198" s="95">
        <v>198.88591312913681</v>
      </c>
      <c r="O198" s="96">
        <v>1.3802820039633239</v>
      </c>
      <c r="P198" s="97">
        <v>11.72300282643161</v>
      </c>
      <c r="Q198" s="98"/>
      <c r="R198" s="98"/>
      <c r="S198" s="99">
        <v>1.2735044835279079E-2</v>
      </c>
      <c r="U198" s="117">
        <f>C198*S198</f>
        <v>1.0640844305790935</v>
      </c>
      <c r="V198" s="117">
        <f>(1+S198)*R197*(1-U198)+S198</f>
        <v>1.1511750577617729E-2</v>
      </c>
      <c r="W198" s="117">
        <f>V198+I198/3</f>
        <v>-0.21867115170272758</v>
      </c>
      <c r="X198" s="117">
        <f>V198+I198/5</f>
        <v>-0.12659799079058945</v>
      </c>
      <c r="Y198" s="117">
        <f>V198-E198</f>
        <v>-0.82428072608950587</v>
      </c>
      <c r="Z198" s="100"/>
      <c r="AA198" s="100"/>
      <c r="AB198" s="100"/>
      <c r="AI198" s="58"/>
    </row>
    <row r="199" spans="1:35" x14ac:dyDescent="0.2">
      <c r="A199" t="s">
        <v>67</v>
      </c>
      <c r="B199" t="s">
        <v>34</v>
      </c>
      <c r="C199" s="141">
        <v>1.733235007733976</v>
      </c>
      <c r="D199" s="88">
        <v>1.283861055737948</v>
      </c>
      <c r="E199" s="89">
        <v>0.25926891044252398</v>
      </c>
      <c r="F199" s="90">
        <v>3.7279169006191628</v>
      </c>
      <c r="G199" s="91">
        <v>1.150843298216683</v>
      </c>
      <c r="H199" s="92">
        <v>-0.13949781047047319</v>
      </c>
      <c r="I199" s="92">
        <v>-2.8472974714388592E-2</v>
      </c>
      <c r="J199" s="92">
        <v>0.1058276090737806</v>
      </c>
      <c r="K199" s="88">
        <v>2.903676284873677</v>
      </c>
      <c r="L199" s="93">
        <v>1.283861055737948</v>
      </c>
      <c r="M199" s="94">
        <v>0.25926891044252398</v>
      </c>
      <c r="N199" s="95">
        <v>2.1268261309617982</v>
      </c>
      <c r="O199" s="96">
        <v>0.2270846835377516</v>
      </c>
      <c r="P199" s="97">
        <v>1.656585906595105</v>
      </c>
      <c r="Q199" s="98"/>
      <c r="R199" s="98"/>
      <c r="W199" s="117">
        <f>V197+I199/3</f>
        <v>2.1749297890941068E-2</v>
      </c>
      <c r="X199" s="117">
        <f>V197+I199/5</f>
        <v>2.5545694519526214E-2</v>
      </c>
      <c r="Y199" s="117">
        <f>V197-E199</f>
        <v>-0.22802862098012006</v>
      </c>
      <c r="Z199" s="100"/>
      <c r="AA199" s="100"/>
      <c r="AB199" s="100"/>
      <c r="AI199" s="58"/>
    </row>
    <row r="200" spans="1:35" x14ac:dyDescent="0.2">
      <c r="A200">
        <v>4.2699999999999996</v>
      </c>
      <c r="B200" t="s">
        <v>35</v>
      </c>
      <c r="C200" s="140">
        <v>1.574918843191357</v>
      </c>
      <c r="D200" s="88">
        <v>1.1052392508770199</v>
      </c>
      <c r="E200" s="89">
        <v>0.29822463191982362</v>
      </c>
      <c r="F200" s="90">
        <v>4.4197416517387316</v>
      </c>
      <c r="G200" s="91">
        <v>1.806329780639828</v>
      </c>
      <c r="H200" s="92">
        <v>-0.1366529177205722</v>
      </c>
      <c r="I200" s="92">
        <v>4.2357624461143883E-2</v>
      </c>
      <c r="J200" s="92">
        <v>0.30715904158690988</v>
      </c>
      <c r="K200" s="88">
        <v>3.998900372233086</v>
      </c>
      <c r="L200" s="93">
        <v>1.1052392508770199</v>
      </c>
      <c r="M200" s="94">
        <v>0.29822463191982362</v>
      </c>
      <c r="N200" s="95">
        <v>1.8678631709756</v>
      </c>
      <c r="O200" s="96">
        <v>0.18600598313410971</v>
      </c>
      <c r="P200" s="97">
        <v>1.6900079955479581</v>
      </c>
      <c r="Q200" s="98"/>
      <c r="R200" s="98"/>
      <c r="W200" s="117">
        <f>V198+I200/3</f>
        <v>2.5630958731332358E-2</v>
      </c>
      <c r="X200" s="117">
        <f>V198+I200/5</f>
        <v>1.9983275469846504E-2</v>
      </c>
      <c r="Y200" s="117">
        <f>V198-E200</f>
        <v>-0.28671288134220591</v>
      </c>
      <c r="Z200" s="100"/>
      <c r="AA200" s="100"/>
      <c r="AB200" s="100"/>
      <c r="AI200" s="58"/>
    </row>
    <row r="201" spans="1:35" x14ac:dyDescent="0.2">
      <c r="C201" s="57"/>
      <c r="D201" s="88"/>
      <c r="F201" s="90"/>
      <c r="K201" s="88"/>
      <c r="L201" s="93"/>
      <c r="M201" s="94"/>
      <c r="N201" s="95"/>
      <c r="P201" s="97"/>
      <c r="Q201" s="98"/>
      <c r="R201" s="98"/>
    </row>
    <row r="202" spans="1:35" s="128" customFormat="1" x14ac:dyDescent="0.2">
      <c r="A202" s="128" t="s">
        <v>137</v>
      </c>
      <c r="B202" s="128" t="s">
        <v>30</v>
      </c>
      <c r="C202" s="138">
        <v>21.571845670428822</v>
      </c>
      <c r="D202" s="19">
        <v>17.602436157013081</v>
      </c>
      <c r="E202" s="29">
        <v>0.18400880360724531</v>
      </c>
      <c r="F202" s="20">
        <v>109.2407332180785</v>
      </c>
      <c r="G202" s="39">
        <v>4.0640420336322087</v>
      </c>
      <c r="H202" s="21">
        <v>0.66068788339041173</v>
      </c>
      <c r="I202" s="21">
        <v>1.2431090744822439</v>
      </c>
      <c r="J202" s="21">
        <v>1.991403964186004</v>
      </c>
      <c r="K202" s="19">
        <v>6.2060008196396934</v>
      </c>
      <c r="L202" s="22">
        <v>17.602436157013081</v>
      </c>
      <c r="M202" s="32">
        <v>0.18400880360724531</v>
      </c>
      <c r="N202" s="23">
        <v>80.59275644054884</v>
      </c>
      <c r="O202" s="24">
        <v>2.7360158083750452</v>
      </c>
      <c r="P202" s="25">
        <v>4.5785001417794913</v>
      </c>
      <c r="Q202" s="26">
        <v>7.7589932731488481E-2</v>
      </c>
      <c r="R202" s="26">
        <v>2.977265557448663E-2</v>
      </c>
      <c r="S202" s="27">
        <v>3.0061811927003079E-2</v>
      </c>
      <c r="T202" s="128">
        <v>5275.57</v>
      </c>
      <c r="U202" s="117">
        <f>C202*S202</f>
        <v>0.64848876746276685</v>
      </c>
      <c r="V202" s="117">
        <f>(1+S202)*Q202*(1-U202)+S202</f>
        <v>5.8155442642523709E-2</v>
      </c>
      <c r="W202" s="117">
        <f>V202+I202/3</f>
        <v>0.47252513413660502</v>
      </c>
      <c r="X202" s="117">
        <f>V202+I202/5</f>
        <v>0.3067772575389725</v>
      </c>
      <c r="Y202" s="117">
        <f>V202-E202</f>
        <v>-0.12585336096472161</v>
      </c>
      <c r="Z202" s="100"/>
      <c r="AA202" s="100"/>
      <c r="AB202" s="100"/>
      <c r="AC202" s="117"/>
      <c r="AD202" s="117"/>
      <c r="AE202" s="117"/>
      <c r="AF202" s="117"/>
      <c r="AH202" s="27"/>
      <c r="AI202" s="58"/>
    </row>
    <row r="203" spans="1:35" s="128" customFormat="1" x14ac:dyDescent="0.2">
      <c r="A203" s="128" t="s">
        <v>138</v>
      </c>
      <c r="B203" s="128" t="s">
        <v>32</v>
      </c>
      <c r="C203" s="137">
        <v>80.013986354925777</v>
      </c>
      <c r="D203" s="19">
        <v>40.492670478156853</v>
      </c>
      <c r="E203" s="29">
        <v>0.49393009493940732</v>
      </c>
      <c r="F203" s="20">
        <v>-21.559078528994181</v>
      </c>
      <c r="G203" s="39">
        <v>-1.2694413753285889</v>
      </c>
      <c r="H203" s="21">
        <v>-0.22630175766854241</v>
      </c>
      <c r="I203" s="21">
        <v>0.11583179961395999</v>
      </c>
      <c r="J203" s="21">
        <v>8.6681156637270309</v>
      </c>
      <c r="K203" s="19">
        <v>-0.53241928167281294</v>
      </c>
      <c r="L203" s="22">
        <v>40.492670478156853</v>
      </c>
      <c r="M203" s="32">
        <v>0.49393009493940732</v>
      </c>
      <c r="N203" s="23">
        <v>-21.559078528994181</v>
      </c>
      <c r="O203" s="24">
        <v>-1.2694413753285889</v>
      </c>
      <c r="P203" s="25">
        <v>-0.53241928167281294</v>
      </c>
      <c r="Q203" s="26"/>
      <c r="R203" s="26"/>
      <c r="S203" s="27">
        <v>7.8503080650872657E-3</v>
      </c>
      <c r="U203" s="117">
        <f>C203*S203</f>
        <v>0.62813444240185623</v>
      </c>
      <c r="V203" s="117">
        <f>(1+S203)*R202*(1-U203)+S203</f>
        <v>1.9008647329746896E-2</v>
      </c>
      <c r="W203" s="117">
        <f>V203+I203/3</f>
        <v>5.7619247201066898E-2</v>
      </c>
      <c r="X203" s="117">
        <f>V203+I203/5</f>
        <v>4.2175007252538893E-2</v>
      </c>
      <c r="Y203" s="117">
        <f>V203-E203</f>
        <v>-0.47492144760966043</v>
      </c>
      <c r="Z203" s="100"/>
      <c r="AA203" s="100"/>
      <c r="AB203" s="100"/>
      <c r="AC203" s="117"/>
      <c r="AD203" s="117"/>
      <c r="AE203" s="117"/>
      <c r="AF203" s="117"/>
      <c r="AH203" s="27"/>
      <c r="AI203" s="58"/>
    </row>
    <row r="204" spans="1:35" s="128" customFormat="1" x14ac:dyDescent="0.2">
      <c r="A204" s="128" t="s">
        <v>55</v>
      </c>
      <c r="B204" s="128" t="s">
        <v>34</v>
      </c>
      <c r="C204" s="138">
        <v>1.6737580544626229</v>
      </c>
      <c r="D204" s="19">
        <v>1.386462554860709</v>
      </c>
      <c r="E204" s="29">
        <v>0.1716469706215418</v>
      </c>
      <c r="F204" s="20">
        <v>6.2790467339203309</v>
      </c>
      <c r="G204" s="39">
        <v>2.751466179463006</v>
      </c>
      <c r="H204" s="21">
        <v>0.23841586871955231</v>
      </c>
      <c r="I204" s="21">
        <v>0.67209778499613182</v>
      </c>
      <c r="J204" s="21">
        <v>0.95879030929641496</v>
      </c>
      <c r="K204" s="19">
        <v>4.5288253273822869</v>
      </c>
      <c r="L204" s="22">
        <v>1.386462554860709</v>
      </c>
      <c r="M204" s="32">
        <v>0.1716469706215418</v>
      </c>
      <c r="N204" s="23">
        <v>3.776602691206953</v>
      </c>
      <c r="O204" s="24">
        <v>1.2563611754624051</v>
      </c>
      <c r="P204" s="25">
        <v>2.723912505221874</v>
      </c>
      <c r="Q204" s="26"/>
      <c r="R204" s="26"/>
      <c r="S204" s="27"/>
      <c r="V204" s="99"/>
      <c r="W204" s="117">
        <f>V202+I204/3</f>
        <v>0.28218803764123435</v>
      </c>
      <c r="X204" s="117">
        <f>V202+I204/5</f>
        <v>0.19257499964175007</v>
      </c>
      <c r="Y204" s="117">
        <f>V202-E204</f>
        <v>-0.1134915279790181</v>
      </c>
      <c r="Z204" s="100"/>
      <c r="AA204" s="100"/>
      <c r="AB204" s="100"/>
      <c r="AC204" s="117"/>
      <c r="AD204" s="117"/>
      <c r="AE204" s="117"/>
      <c r="AF204" s="117"/>
      <c r="AH204" s="27"/>
      <c r="AI204" s="58"/>
    </row>
    <row r="205" spans="1:35" s="128" customFormat="1" x14ac:dyDescent="0.2">
      <c r="A205" s="128">
        <v>2.4</v>
      </c>
      <c r="B205" s="128" t="s">
        <v>35</v>
      </c>
      <c r="C205" s="138">
        <v>2.3822288568868779</v>
      </c>
      <c r="D205" s="19">
        <v>1.781992228922922</v>
      </c>
      <c r="E205" s="29">
        <v>0.25196430067107461</v>
      </c>
      <c r="F205" s="20">
        <v>8.5882106558206566</v>
      </c>
      <c r="G205" s="39">
        <v>2.605115701202537</v>
      </c>
      <c r="H205" s="21">
        <v>7.0765930603155835E-2</v>
      </c>
      <c r="I205" s="21">
        <v>0.30074634901611003</v>
      </c>
      <c r="J205" s="21">
        <v>0.7192655237181238</v>
      </c>
      <c r="K205" s="19">
        <v>4.8194433827646774</v>
      </c>
      <c r="L205" s="22">
        <v>1.781992228922922</v>
      </c>
      <c r="M205" s="32">
        <v>0.25196430067107461</v>
      </c>
      <c r="N205" s="23">
        <v>3.8097835144926662</v>
      </c>
      <c r="O205" s="24">
        <v>0.59925168544525653</v>
      </c>
      <c r="P205" s="25">
        <v>2.137934976739706</v>
      </c>
      <c r="Q205" s="26"/>
      <c r="R205" s="26"/>
      <c r="S205" s="27"/>
      <c r="V205" s="99"/>
      <c r="W205" s="117">
        <f>V203+I205/3</f>
        <v>0.1192574303351169</v>
      </c>
      <c r="X205" s="117">
        <f>V203+I205/5</f>
        <v>7.9157917132968908E-2</v>
      </c>
      <c r="Y205" s="117">
        <f>V203-E205</f>
        <v>-0.23295565334132773</v>
      </c>
      <c r="Z205" s="100"/>
      <c r="AA205" s="100"/>
      <c r="AB205" s="100"/>
      <c r="AC205" s="117"/>
      <c r="AD205" s="117"/>
      <c r="AE205" s="117"/>
      <c r="AF205" s="117"/>
      <c r="AH205" s="27"/>
      <c r="AI205" s="58"/>
    </row>
    <row r="206" spans="1:35" x14ac:dyDescent="0.2">
      <c r="C206" s="57"/>
      <c r="D206" s="88"/>
      <c r="F206" s="90"/>
      <c r="K206" s="88"/>
      <c r="L206" s="93"/>
      <c r="M206" s="94"/>
      <c r="N206" s="95"/>
      <c r="P206" s="97"/>
      <c r="Q206" s="98"/>
      <c r="R206" s="98"/>
    </row>
    <row r="207" spans="1:35" s="128" customFormat="1" x14ac:dyDescent="0.2">
      <c r="A207" s="128" t="s">
        <v>139</v>
      </c>
      <c r="B207" s="128" t="s">
        <v>30</v>
      </c>
      <c r="C207" s="138">
        <v>16.948057424595831</v>
      </c>
      <c r="D207" s="19">
        <v>14.183562046583299</v>
      </c>
      <c r="E207" s="29">
        <v>0.1631157665303026</v>
      </c>
      <c r="F207" s="20">
        <v>123.17247267363391</v>
      </c>
      <c r="G207" s="39">
        <v>6.2676454644813777</v>
      </c>
      <c r="H207" s="21">
        <v>0.55163210798639351</v>
      </c>
      <c r="I207" s="21">
        <v>1.1343548267516279</v>
      </c>
      <c r="J207" s="21">
        <v>2.674110909873078</v>
      </c>
      <c r="K207" s="19">
        <v>8.6841706102526679</v>
      </c>
      <c r="L207" s="22">
        <v>14.183562046583299</v>
      </c>
      <c r="M207" s="32">
        <v>0.1631157665303026</v>
      </c>
      <c r="N207" s="23">
        <v>115.3395322848426</v>
      </c>
      <c r="O207" s="24">
        <v>5.8054721196221788</v>
      </c>
      <c r="P207" s="25">
        <v>8.1319157984454922</v>
      </c>
      <c r="Q207" s="26">
        <v>8.7012186167551991E-2</v>
      </c>
      <c r="R207" s="26">
        <v>6.0927402284389691E-2</v>
      </c>
      <c r="S207" s="27">
        <v>3.9594323625258797E-2</v>
      </c>
      <c r="T207" s="128">
        <v>4357.21</v>
      </c>
      <c r="U207" s="117">
        <f>C207*S207</f>
        <v>0.67104687048891742</v>
      </c>
      <c r="V207" s="117">
        <f>(1+S207)*Q207*(1-U207)+S207</f>
        <v>6.9350560161632241E-2</v>
      </c>
      <c r="W207" s="117">
        <f>V207+I207/3</f>
        <v>0.44746883574550822</v>
      </c>
      <c r="X207" s="117">
        <f>V207+I207/5</f>
        <v>0.2962215255119578</v>
      </c>
      <c r="Y207" s="117">
        <f>V207-E207</f>
        <v>-9.3765206368670362E-2</v>
      </c>
      <c r="Z207" s="100"/>
      <c r="AA207" s="100"/>
      <c r="AB207" s="100"/>
      <c r="AC207" s="117"/>
      <c r="AD207" s="117"/>
      <c r="AE207" s="117"/>
      <c r="AF207" s="117"/>
      <c r="AH207" s="27"/>
      <c r="AI207" s="58"/>
    </row>
    <row r="208" spans="1:35" s="128" customFormat="1" x14ac:dyDescent="0.2">
      <c r="A208" s="128" t="s">
        <v>140</v>
      </c>
      <c r="B208" s="128" t="s">
        <v>32</v>
      </c>
      <c r="C208" s="138">
        <v>30.307455866334099</v>
      </c>
      <c r="D208" s="19">
        <v>24.116815407862841</v>
      </c>
      <c r="E208" s="29">
        <v>0.20426130407560539</v>
      </c>
      <c r="F208" s="20">
        <v>-15.407731914605399</v>
      </c>
      <c r="G208" s="39">
        <v>-1.5083809074096679</v>
      </c>
      <c r="H208" s="21">
        <v>5.1508395819861219E-2</v>
      </c>
      <c r="I208" s="21">
        <v>0.3367310211922836</v>
      </c>
      <c r="J208" s="21">
        <v>1.233377890024173</v>
      </c>
      <c r="K208" s="19">
        <v>-0.63887920747537807</v>
      </c>
      <c r="L208" s="22">
        <v>24.116815407862841</v>
      </c>
      <c r="M208" s="32">
        <v>0.20426130407560539</v>
      </c>
      <c r="N208" s="23">
        <v>-15.407731914605399</v>
      </c>
      <c r="O208" s="24">
        <v>-1.5083809074096679</v>
      </c>
      <c r="P208" s="25">
        <v>-0.63887920747537807</v>
      </c>
      <c r="Q208" s="26"/>
      <c r="R208" s="26"/>
      <c r="S208" s="27">
        <v>1.9664295741335401E-2</v>
      </c>
      <c r="U208" s="117">
        <f>C208*S208</f>
        <v>0.5959747753230642</v>
      </c>
      <c r="V208" s="117">
        <f>(1+S208)*R207*(1-U208)+S208</f>
        <v>4.4764563520551331E-2</v>
      </c>
      <c r="W208" s="117">
        <f>V208+I208/3</f>
        <v>0.15700823725131252</v>
      </c>
      <c r="X208" s="117">
        <f>V208+I208/5</f>
        <v>0.11211076775900805</v>
      </c>
      <c r="Y208" s="117">
        <f>V208-E208</f>
        <v>-0.15949674055505406</v>
      </c>
      <c r="Z208" s="100"/>
      <c r="AA208" s="100"/>
      <c r="AB208" s="100"/>
      <c r="AC208" s="117"/>
      <c r="AD208" s="117"/>
      <c r="AE208" s="117"/>
      <c r="AF208" s="117"/>
      <c r="AH208" s="27"/>
      <c r="AI208" s="58"/>
    </row>
    <row r="209" spans="1:35" s="128" customFormat="1" x14ac:dyDescent="0.2">
      <c r="A209" s="128" t="s">
        <v>55</v>
      </c>
      <c r="B209" s="128" t="s">
        <v>34</v>
      </c>
      <c r="C209" s="138">
        <v>1.474687527807294</v>
      </c>
      <c r="D209" s="19">
        <v>1.2149388219178501</v>
      </c>
      <c r="E209" s="29">
        <v>0.17613813163230849</v>
      </c>
      <c r="F209" s="20">
        <v>4.9414165263693999</v>
      </c>
      <c r="G209" s="39">
        <v>2.3508227561378829</v>
      </c>
      <c r="H209" s="21">
        <v>0.1122400577907787</v>
      </c>
      <c r="I209" s="21">
        <v>0.6800868546003398</v>
      </c>
      <c r="J209" s="21">
        <v>0.96760840424349714</v>
      </c>
      <c r="K209" s="19">
        <v>4.0672142804434337</v>
      </c>
      <c r="L209" s="22">
        <v>1.2149388219178501</v>
      </c>
      <c r="M209" s="32">
        <v>0.17613813163230849</v>
      </c>
      <c r="N209" s="23">
        <v>3.623236788718093</v>
      </c>
      <c r="O209" s="24">
        <v>1.4569522155689929</v>
      </c>
      <c r="P209" s="25">
        <v>2.9822380545866571</v>
      </c>
      <c r="Q209" s="26"/>
      <c r="R209" s="26"/>
      <c r="S209" s="27"/>
      <c r="V209" s="99"/>
      <c r="W209" s="117">
        <f>V207+I209/3</f>
        <v>0.29604617836174552</v>
      </c>
      <c r="X209" s="117">
        <f>V207+I209/5</f>
        <v>0.20536793108170021</v>
      </c>
      <c r="Y209" s="117">
        <f>V207-E209</f>
        <v>-0.10678757147067625</v>
      </c>
      <c r="Z209" s="100"/>
      <c r="AA209" s="100"/>
      <c r="AB209" s="100"/>
      <c r="AC209" s="117"/>
      <c r="AD209" s="117"/>
      <c r="AE209" s="117"/>
      <c r="AF209" s="117"/>
      <c r="AH209" s="27"/>
      <c r="AI209" s="58"/>
    </row>
    <row r="210" spans="1:35" s="128" customFormat="1" x14ac:dyDescent="0.2">
      <c r="B210" s="128" t="s">
        <v>35</v>
      </c>
      <c r="C210" s="138">
        <v>1.846554555784524</v>
      </c>
      <c r="D210" s="19">
        <v>1.4798161657735081</v>
      </c>
      <c r="E210" s="29">
        <v>0.19860685342990261</v>
      </c>
      <c r="F210" s="20">
        <v>6.2512487987058467</v>
      </c>
      <c r="G210" s="39">
        <v>2.3853583037247179</v>
      </c>
      <c r="H210" s="21">
        <v>0.18056302649368189</v>
      </c>
      <c r="I210" s="21">
        <v>0.44792096135007992</v>
      </c>
      <c r="J210" s="21">
        <v>0.83817230182776425</v>
      </c>
      <c r="K210" s="19">
        <v>4.2243414711166398</v>
      </c>
      <c r="L210" s="22">
        <v>1.4798161657735081</v>
      </c>
      <c r="M210" s="32">
        <v>0.19860685342990261</v>
      </c>
      <c r="N210" s="23">
        <v>3.716532282829101</v>
      </c>
      <c r="O210" s="24">
        <v>1.0126847978505029</v>
      </c>
      <c r="P210" s="25">
        <v>2.5114824184167821</v>
      </c>
      <c r="Q210" s="26"/>
      <c r="R210" s="26"/>
      <c r="S210" s="27"/>
      <c r="V210" s="99"/>
      <c r="W210" s="117">
        <f>V208+I210/3</f>
        <v>0.19407155063724463</v>
      </c>
      <c r="X210" s="117">
        <f>V208+I210/5</f>
        <v>0.13434875579056732</v>
      </c>
      <c r="Y210" s="117">
        <f>V208-E210</f>
        <v>-0.15384228990935128</v>
      </c>
      <c r="Z210" s="100"/>
      <c r="AA210" s="100"/>
      <c r="AB210" s="100"/>
      <c r="AC210" s="117"/>
      <c r="AD210" s="117"/>
      <c r="AE210" s="117"/>
      <c r="AF210" s="117"/>
      <c r="AH210" s="27"/>
      <c r="AI210" s="58"/>
    </row>
    <row r="211" spans="1:35" x14ac:dyDescent="0.2">
      <c r="C211" s="57"/>
      <c r="D211" s="88"/>
      <c r="F211" s="90"/>
      <c r="K211" s="88"/>
      <c r="L211" s="93"/>
      <c r="M211" s="94"/>
      <c r="N211" s="95"/>
      <c r="P211" s="97"/>
      <c r="Q211" s="98"/>
      <c r="R211" s="98"/>
    </row>
    <row r="212" spans="1:35" x14ac:dyDescent="0.2">
      <c r="A212" t="s">
        <v>141</v>
      </c>
      <c r="B212" t="s">
        <v>30</v>
      </c>
      <c r="C212" s="142">
        <v>27.449416721685509</v>
      </c>
      <c r="D212" s="88">
        <v>23.470525379107311</v>
      </c>
      <c r="E212" s="89">
        <v>0.14495358436650529</v>
      </c>
      <c r="F212" s="90">
        <v>66.335232006530205</v>
      </c>
      <c r="G212" s="91">
        <v>1.4166353944462591</v>
      </c>
      <c r="H212" s="92">
        <v>0.18992925822938431</v>
      </c>
      <c r="I212" s="92">
        <v>0.30582979292325119</v>
      </c>
      <c r="J212" s="92">
        <v>0.51640784757339886</v>
      </c>
      <c r="K212" s="88">
        <v>2.8263207122572398</v>
      </c>
      <c r="L212" s="93">
        <v>23.470525379107311</v>
      </c>
      <c r="M212" s="94">
        <v>0.14495358436650529</v>
      </c>
      <c r="N212" s="95">
        <v>66.335232006530205</v>
      </c>
      <c r="O212" s="96">
        <v>1.4166353944462591</v>
      </c>
      <c r="P212" s="97">
        <v>2.8263207122572398</v>
      </c>
      <c r="Q212" s="98">
        <v>0.1443308362341334</v>
      </c>
      <c r="R212" s="98">
        <v>0.13900049464861131</v>
      </c>
      <c r="S212" s="99">
        <v>9.4597396809868849E-3</v>
      </c>
      <c r="T212">
        <v>11029.29</v>
      </c>
      <c r="U212" s="117">
        <f>C212*S212</f>
        <v>0.25966433658207333</v>
      </c>
      <c r="V212" s="117">
        <f>(1+S212)*Q212*(1-U212)+S212</f>
        <v>0.11732380915074883</v>
      </c>
      <c r="W212" s="117">
        <f>V212+I212/3</f>
        <v>0.21926707345849922</v>
      </c>
      <c r="X212" s="117">
        <f>V212+I212/5</f>
        <v>0.17848976773539907</v>
      </c>
      <c r="Y212" s="117">
        <f>V212-E212</f>
        <v>-2.7629775215756464E-2</v>
      </c>
      <c r="Z212" s="100"/>
      <c r="AA212" s="100"/>
      <c r="AB212" s="100"/>
      <c r="AI212" s="58"/>
    </row>
    <row r="213" spans="1:35" x14ac:dyDescent="0.2">
      <c r="A213" t="s">
        <v>142</v>
      </c>
      <c r="B213" t="s">
        <v>32</v>
      </c>
      <c r="C213" s="142">
        <v>21.383505412935499</v>
      </c>
      <c r="D213" s="88">
        <v>18.207559322041011</v>
      </c>
      <c r="E213" s="89">
        <v>0.1485231737998047</v>
      </c>
      <c r="F213" s="90">
        <v>72.973142209207978</v>
      </c>
      <c r="G213" s="91">
        <v>2.4125902559018431</v>
      </c>
      <c r="H213" s="92">
        <v>0.26340325903117862</v>
      </c>
      <c r="I213" s="92">
        <v>0.69883338214124846</v>
      </c>
      <c r="J213" s="92">
        <v>0.8951000989946194</v>
      </c>
      <c r="K213" s="88">
        <v>4.0078486588189186</v>
      </c>
      <c r="L213" s="93">
        <v>18.207559322041011</v>
      </c>
      <c r="M213" s="94">
        <v>0.1485231737998047</v>
      </c>
      <c r="N213" s="95">
        <v>54.667148786240801</v>
      </c>
      <c r="O213" s="96">
        <v>1.5565101572715521</v>
      </c>
      <c r="P213" s="97">
        <v>3.0024424371949698</v>
      </c>
      <c r="Q213" s="98"/>
      <c r="R213" s="98"/>
      <c r="S213" s="99">
        <v>1.19819207225601E-2</v>
      </c>
      <c r="U213" s="117">
        <f>C213*S213</f>
        <v>0.25621546662822792</v>
      </c>
      <c r="V213" s="117">
        <f>(1+S213)*R212*(1-U213)+S213</f>
        <v>0.11660710663809544</v>
      </c>
      <c r="W213" s="117">
        <f>V213+I213/3</f>
        <v>0.34955156735184495</v>
      </c>
      <c r="X213" s="117">
        <f>V213+I213/5</f>
        <v>0.25637378306634512</v>
      </c>
      <c r="Y213" s="117">
        <f>V213-E213</f>
        <v>-3.1916067161709263E-2</v>
      </c>
      <c r="Z213" s="100"/>
      <c r="AA213" s="100"/>
      <c r="AB213" s="100"/>
      <c r="AI213" s="58"/>
    </row>
    <row r="214" spans="1:35" x14ac:dyDescent="0.2">
      <c r="A214" t="s">
        <v>67</v>
      </c>
      <c r="B214" t="s">
        <v>34</v>
      </c>
      <c r="C214" s="142">
        <v>3.9617972695800741</v>
      </c>
      <c r="D214" s="88">
        <v>3.1032218687213158</v>
      </c>
      <c r="E214" s="89">
        <v>0.21671361315006449</v>
      </c>
      <c r="F214" s="90">
        <v>7.929871129173482</v>
      </c>
      <c r="G214" s="91">
        <v>1.00158427844391</v>
      </c>
      <c r="H214" s="92">
        <v>4.9324792492928538E-2</v>
      </c>
      <c r="I214" s="92">
        <v>0.12945922085782019</v>
      </c>
      <c r="J214" s="92">
        <v>0.40303434155128293</v>
      </c>
      <c r="K214" s="88">
        <v>2.5553671199284862</v>
      </c>
      <c r="L214" s="93">
        <v>3.1032218687213158</v>
      </c>
      <c r="M214" s="94">
        <v>0.21671361315006449</v>
      </c>
      <c r="N214" s="95">
        <v>7.929871129173482</v>
      </c>
      <c r="O214" s="96">
        <v>1.00158427844391</v>
      </c>
      <c r="P214" s="97">
        <v>2.5553671199284862</v>
      </c>
      <c r="Q214" s="98"/>
      <c r="R214" s="98"/>
      <c r="W214" s="117">
        <f>V212+I214/3</f>
        <v>0.16047688277002223</v>
      </c>
      <c r="X214" s="117">
        <f>V212+I214/5</f>
        <v>0.14321565332231287</v>
      </c>
      <c r="Y214" s="117">
        <f>V212-E214</f>
        <v>-9.9389803999315657E-2</v>
      </c>
      <c r="Z214" s="100"/>
      <c r="AA214" s="100"/>
      <c r="AB214" s="100"/>
      <c r="AI214" s="58"/>
    </row>
    <row r="215" spans="1:35" x14ac:dyDescent="0.2">
      <c r="B215" t="s">
        <v>35</v>
      </c>
      <c r="C215" s="142">
        <v>2.97231782971929</v>
      </c>
      <c r="D215" s="88">
        <v>2.4297959159506699</v>
      </c>
      <c r="E215" s="89">
        <v>0.18252486606382071</v>
      </c>
      <c r="F215" s="90">
        <v>8.0811948838257912</v>
      </c>
      <c r="G215" s="91">
        <v>1.718819233604298</v>
      </c>
      <c r="H215" s="92">
        <v>7.0086422622200217E-2</v>
      </c>
      <c r="I215" s="92">
        <v>0.30928099298902501</v>
      </c>
      <c r="J215" s="92">
        <v>0.4534331269433165</v>
      </c>
      <c r="K215" s="88">
        <v>3.325873926602589</v>
      </c>
      <c r="L215" s="93">
        <v>2.4297959159506699</v>
      </c>
      <c r="M215" s="94">
        <v>0.18252486606382071</v>
      </c>
      <c r="N215" s="95">
        <v>4.6849510317360119</v>
      </c>
      <c r="O215" s="96">
        <v>0.57619450547738538</v>
      </c>
      <c r="P215" s="97">
        <v>1.928125321547016</v>
      </c>
      <c r="Q215" s="98"/>
      <c r="R215" s="98"/>
      <c r="W215" s="117">
        <f>V213+I215/3</f>
        <v>0.21970077096777044</v>
      </c>
      <c r="X215" s="117">
        <f>V213+I215/5</f>
        <v>0.17846330523590043</v>
      </c>
      <c r="Y215" s="117">
        <f>V213-E215</f>
        <v>-6.5917759425725267E-2</v>
      </c>
      <c r="Z215" s="100"/>
      <c r="AA215" s="100"/>
      <c r="AB215" s="100"/>
      <c r="AI215" s="58"/>
    </row>
    <row r="216" spans="1:35" x14ac:dyDescent="0.2">
      <c r="C216" s="57"/>
      <c r="D216" s="88"/>
      <c r="F216" s="90"/>
      <c r="K216" s="88"/>
      <c r="L216" s="93"/>
      <c r="M216" s="94"/>
      <c r="N216" s="95"/>
      <c r="P216" s="97"/>
      <c r="Q216" s="98"/>
      <c r="R216" s="98"/>
    </row>
    <row r="217" spans="1:35" x14ac:dyDescent="0.2">
      <c r="A217" t="s">
        <v>143</v>
      </c>
      <c r="B217" t="s">
        <v>30</v>
      </c>
      <c r="C217" s="139">
        <v>49.344790944133301</v>
      </c>
      <c r="D217" s="88">
        <v>18.974414377906101</v>
      </c>
      <c r="E217" s="89">
        <v>0.61547279834687374</v>
      </c>
      <c r="F217" s="90">
        <v>75.723956318981607</v>
      </c>
      <c r="G217" s="91">
        <v>0.53458865404281486</v>
      </c>
      <c r="H217" s="92">
        <v>-0.48358792974793008</v>
      </c>
      <c r="I217" s="92">
        <v>-0.35784348730803711</v>
      </c>
      <c r="J217" s="92">
        <v>-0.2092305528162616</v>
      </c>
      <c r="K217" s="88">
        <v>3.9908455044154052</v>
      </c>
      <c r="L217" s="93">
        <v>21.65856572653254</v>
      </c>
      <c r="M217" s="94">
        <v>0.56107695843612515</v>
      </c>
      <c r="N217" s="95">
        <v>75.723956318981607</v>
      </c>
      <c r="O217" s="96">
        <v>0.53458865404281486</v>
      </c>
      <c r="P217" s="97">
        <v>3.4962590448090931</v>
      </c>
      <c r="Q217" s="98">
        <v>0.12284136513416979</v>
      </c>
      <c r="R217" s="98">
        <v>2.3528739370564041E-2</v>
      </c>
      <c r="S217" s="99">
        <v>1.4914695994211051E-2</v>
      </c>
      <c r="T217">
        <v>19484.59</v>
      </c>
      <c r="U217" s="117">
        <f>C217*S217</f>
        <v>0.73596255582964665</v>
      </c>
      <c r="V217" s="117">
        <f>(1+S217)*Q217*(1-U217)+S217</f>
        <v>4.7833170072410565E-2</v>
      </c>
      <c r="W217" s="117">
        <f>V217+I217/3</f>
        <v>-7.1447992363601803E-2</v>
      </c>
      <c r="X217" s="117">
        <f>V217+I217/5</f>
        <v>-2.3735527389196855E-2</v>
      </c>
      <c r="Y217" s="117">
        <f>V217-E217</f>
        <v>-0.56763962827446313</v>
      </c>
      <c r="Z217" s="100"/>
      <c r="AA217" s="100"/>
      <c r="AB217" s="100"/>
      <c r="AI217" s="58"/>
    </row>
    <row r="218" spans="1:35" x14ac:dyDescent="0.2">
      <c r="A218" t="s">
        <v>144</v>
      </c>
      <c r="B218" t="s">
        <v>32</v>
      </c>
      <c r="C218" s="139">
        <v>135.9432512584373</v>
      </c>
      <c r="D218" s="88">
        <v>24.210000903997859</v>
      </c>
      <c r="E218" s="89">
        <v>0.82191097623542175</v>
      </c>
      <c r="F218" s="90">
        <v>-299.30408638577728</v>
      </c>
      <c r="G218" s="91">
        <v>-3.2016840381195539</v>
      </c>
      <c r="H218" s="92">
        <v>-0.73997348444305433</v>
      </c>
      <c r="I218" s="92">
        <v>-0.6755100692938576</v>
      </c>
      <c r="J218" s="92">
        <v>-0.53632340564885261</v>
      </c>
      <c r="K218" s="88">
        <v>-12.362828385369969</v>
      </c>
      <c r="L218" s="93">
        <v>24.210000903997859</v>
      </c>
      <c r="M218" s="94">
        <v>0.82191097623542175</v>
      </c>
      <c r="N218" s="95">
        <v>-299.30408638577728</v>
      </c>
      <c r="O218" s="96">
        <v>-3.2016840381195539</v>
      </c>
      <c r="P218" s="97">
        <v>-12.362828385369969</v>
      </c>
      <c r="Q218" s="98"/>
      <c r="R218" s="98"/>
      <c r="S218" s="99">
        <v>8.9679704390720275E-3</v>
      </c>
      <c r="U218" s="117">
        <f>C218*S218</f>
        <v>1.2191350586770069</v>
      </c>
      <c r="V218" s="117">
        <f>(1+S218)*R217*(1-U218)+S218</f>
        <v>3.7657601548735428E-3</v>
      </c>
      <c r="W218" s="117">
        <f>V218+I218/3</f>
        <v>-0.22140426294307899</v>
      </c>
      <c r="X218" s="117">
        <f>V218+I218/5</f>
        <v>-0.13133625370389798</v>
      </c>
      <c r="Y218" s="117">
        <f>V218-E218</f>
        <v>-0.81814521608054824</v>
      </c>
      <c r="Z218" s="100"/>
      <c r="AA218" s="100"/>
      <c r="AB218" s="100"/>
      <c r="AI218" s="58"/>
    </row>
    <row r="219" spans="1:35" x14ac:dyDescent="0.2">
      <c r="A219" t="s">
        <v>102</v>
      </c>
      <c r="B219" t="s">
        <v>34</v>
      </c>
      <c r="C219" s="141">
        <v>6.0615814818375569</v>
      </c>
      <c r="D219" s="88">
        <v>2.7646654123247409</v>
      </c>
      <c r="E219" s="89">
        <v>0.54390361317280567</v>
      </c>
      <c r="F219" s="90">
        <v>9.6579152714806149</v>
      </c>
      <c r="G219" s="91">
        <v>0.59329958698383045</v>
      </c>
      <c r="H219" s="92">
        <v>-0.41011541653605732</v>
      </c>
      <c r="I219" s="92">
        <v>-0.26666292914977768</v>
      </c>
      <c r="J219" s="92">
        <v>7.8750592351752857E-3</v>
      </c>
      <c r="K219" s="88">
        <v>3.4933396382889992</v>
      </c>
      <c r="L219" s="93">
        <v>3.3612376068394991</v>
      </c>
      <c r="M219" s="94">
        <v>0.44548504100607311</v>
      </c>
      <c r="N219" s="95">
        <v>9.6579152714806149</v>
      </c>
      <c r="O219" s="96">
        <v>0.59329958698383045</v>
      </c>
      <c r="P219" s="97">
        <v>2.8733211992596228</v>
      </c>
      <c r="Q219" s="98"/>
      <c r="R219" s="98"/>
      <c r="W219" s="117">
        <f>V217+I219/3</f>
        <v>-4.1054472977515334E-2</v>
      </c>
      <c r="X219" s="117">
        <f>V217+I219/5</f>
        <v>-5.4994157575449718E-3</v>
      </c>
      <c r="Y219" s="117">
        <f>V217-E219</f>
        <v>-0.49607044310039511</v>
      </c>
      <c r="Z219" s="100"/>
      <c r="AA219" s="100"/>
      <c r="AB219" s="100"/>
      <c r="AI219" s="58"/>
    </row>
    <row r="220" spans="1:35" x14ac:dyDescent="0.2">
      <c r="B220" t="s">
        <v>35</v>
      </c>
      <c r="C220" s="141">
        <v>3.1985733280468729</v>
      </c>
      <c r="D220" s="88">
        <v>1.9642037363701941</v>
      </c>
      <c r="E220" s="89">
        <v>0.38591255071535779</v>
      </c>
      <c r="F220" s="90">
        <v>6.4414366592750589</v>
      </c>
      <c r="G220" s="91">
        <v>1.013846799381759</v>
      </c>
      <c r="H220" s="92">
        <v>-0.14335604229813459</v>
      </c>
      <c r="I220" s="92">
        <v>-1.9744094008919851E-2</v>
      </c>
      <c r="J220" s="92">
        <v>0.1227917689983626</v>
      </c>
      <c r="K220" s="88">
        <v>3.2794137084672772</v>
      </c>
      <c r="L220" s="93">
        <v>1.9642037363701941</v>
      </c>
      <c r="M220" s="94">
        <v>0.38591255071535779</v>
      </c>
      <c r="N220" s="95">
        <v>4.0052342154736449</v>
      </c>
      <c r="O220" s="96">
        <v>0.25219396421320689</v>
      </c>
      <c r="P220" s="97">
        <v>2.039113428668673</v>
      </c>
      <c r="Q220" s="98"/>
      <c r="R220" s="98"/>
      <c r="W220" s="117">
        <f>V218+I220/3</f>
        <v>-2.8156045147664076E-3</v>
      </c>
      <c r="X220" s="117">
        <f>V218+I220/5</f>
        <v>-1.8305864691042784E-4</v>
      </c>
      <c r="Y220" s="117">
        <f>V218-E220</f>
        <v>-0.38214679056048423</v>
      </c>
      <c r="Z220" s="100"/>
      <c r="AA220" s="100"/>
      <c r="AB220" s="100"/>
      <c r="AI220" s="58"/>
    </row>
    <row r="221" spans="1:35" x14ac:dyDescent="0.2">
      <c r="Q221" s="98"/>
      <c r="R221" s="98"/>
    </row>
    <row r="222" spans="1:35" s="128" customFormat="1" x14ac:dyDescent="0.2">
      <c r="A222" s="128" t="s">
        <v>145</v>
      </c>
      <c r="B222" s="128" t="s">
        <v>30</v>
      </c>
      <c r="C222" s="138">
        <v>28.240536289193319</v>
      </c>
      <c r="D222" s="19">
        <v>15.356589988788659</v>
      </c>
      <c r="E222" s="29">
        <v>0.45622172923588938</v>
      </c>
      <c r="F222" s="20">
        <v>231.254354262742</v>
      </c>
      <c r="G222" s="39">
        <v>7.1887380570472761</v>
      </c>
      <c r="H222" s="21">
        <v>0.15635734627977779</v>
      </c>
      <c r="I222" s="21">
        <v>0.64634079335502581</v>
      </c>
      <c r="J222" s="21">
        <v>2.7393860807987922</v>
      </c>
      <c r="K222" s="19">
        <v>15.05896520201251</v>
      </c>
      <c r="L222" s="22">
        <v>15.356589988788659</v>
      </c>
      <c r="M222" s="32">
        <v>0.45622172923588938</v>
      </c>
      <c r="N222" s="23">
        <v>231.254354262742</v>
      </c>
      <c r="O222" s="24">
        <v>7.1887380570472761</v>
      </c>
      <c r="P222" s="25">
        <v>15.05896520201251</v>
      </c>
      <c r="Q222" s="26">
        <v>0.18220195961275609</v>
      </c>
      <c r="R222" s="26">
        <v>0.14952109080148779</v>
      </c>
      <c r="S222" s="27">
        <v>3.2388048626946298E-3</v>
      </c>
      <c r="T222" s="128">
        <v>4300.7</v>
      </c>
      <c r="U222" s="117">
        <f>C222*S222</f>
        <v>9.146558625854348E-2</v>
      </c>
      <c r="V222" s="117">
        <f>(1+S222)*Q222*(1-U222)+S222</f>
        <v>0.16931169665468068</v>
      </c>
      <c r="W222" s="117">
        <f>V222+I222/3</f>
        <v>0.38475862777302261</v>
      </c>
      <c r="X222" s="117">
        <f>V222+I222/5</f>
        <v>0.29857985532568587</v>
      </c>
      <c r="Y222" s="117">
        <f>V222-E222</f>
        <v>-0.28691003258120873</v>
      </c>
      <c r="Z222" s="100"/>
      <c r="AA222" s="100"/>
      <c r="AB222" s="100"/>
      <c r="AC222" s="117"/>
      <c r="AD222" s="117"/>
      <c r="AE222" s="117"/>
      <c r="AF222" s="117"/>
      <c r="AH222" s="27"/>
      <c r="AI222" s="58"/>
    </row>
    <row r="223" spans="1:35" s="128" customFormat="1" x14ac:dyDescent="0.2">
      <c r="A223" s="128" t="s">
        <v>146</v>
      </c>
      <c r="B223" s="128" t="s">
        <v>32</v>
      </c>
      <c r="C223" s="138">
        <v>24.202798920983899</v>
      </c>
      <c r="D223" s="19">
        <v>16.724585538049311</v>
      </c>
      <c r="E223" s="29">
        <v>0.30898134580835451</v>
      </c>
      <c r="F223" s="20">
        <v>-114.31916561410701</v>
      </c>
      <c r="G223" s="39">
        <v>-5.7233861665062156</v>
      </c>
      <c r="H223" s="21">
        <v>0.30406704597910927</v>
      </c>
      <c r="I223" s="21">
        <v>1.121397628462236</v>
      </c>
      <c r="J223" s="21">
        <v>2.8776213069001209</v>
      </c>
      <c r="K223" s="19">
        <v>-6.8353960314307853</v>
      </c>
      <c r="L223" s="22">
        <v>16.724585538049311</v>
      </c>
      <c r="M223" s="32">
        <v>0.30898134580835451</v>
      </c>
      <c r="N223" s="23">
        <v>-114.31916561410701</v>
      </c>
      <c r="O223" s="24">
        <v>-5.7233861665062156</v>
      </c>
      <c r="P223" s="25">
        <v>-6.8353960314307853</v>
      </c>
      <c r="Q223" s="26"/>
      <c r="R223" s="26"/>
      <c r="S223" s="27">
        <v>6.1383792393527436E-3</v>
      </c>
      <c r="U223" s="117">
        <f>C223*S223</f>
        <v>0.14856595843079654</v>
      </c>
      <c r="V223" s="117">
        <f>(1+S223)*R222*(1-U223)+S223</f>
        <v>0.13422718665393721</v>
      </c>
      <c r="W223" s="117">
        <f>V223+I223/3</f>
        <v>0.50802639614134926</v>
      </c>
      <c r="X223" s="117">
        <f>V223+I223/5</f>
        <v>0.35850671234638443</v>
      </c>
      <c r="Y223" s="117">
        <f>V223-E223</f>
        <v>-0.1747541591544173</v>
      </c>
      <c r="Z223" s="100"/>
      <c r="AA223" s="100"/>
      <c r="AB223" s="100"/>
      <c r="AC223" s="117"/>
      <c r="AD223" s="117"/>
      <c r="AE223" s="117"/>
      <c r="AF223" s="117"/>
      <c r="AH223" s="27"/>
      <c r="AI223" s="58"/>
    </row>
    <row r="224" spans="1:35" s="128" customFormat="1" x14ac:dyDescent="0.2">
      <c r="A224" s="128" t="s">
        <v>55</v>
      </c>
      <c r="B224" s="128" t="s">
        <v>34</v>
      </c>
      <c r="C224" s="136">
        <v>5.1454810524061756</v>
      </c>
      <c r="D224" s="19">
        <v>2.0895775055925192</v>
      </c>
      <c r="E224" s="29">
        <v>0.59390045667054359</v>
      </c>
      <c r="F224" s="20">
        <v>11.98704110052112</v>
      </c>
      <c r="G224" s="39">
        <v>1.3296249618712781</v>
      </c>
      <c r="H224" s="21">
        <v>-0.31644671181338452</v>
      </c>
      <c r="I224" s="21">
        <v>-0.14133101467238271</v>
      </c>
      <c r="J224" s="21">
        <v>0.38780213016852477</v>
      </c>
      <c r="K224" s="19">
        <v>5.7365860172399232</v>
      </c>
      <c r="L224" s="22">
        <v>2.0895775055925192</v>
      </c>
      <c r="M224" s="32">
        <v>0.59390045667054359</v>
      </c>
      <c r="N224" s="23">
        <v>11.98704110052112</v>
      </c>
      <c r="O224" s="24">
        <v>1.3296249618712781</v>
      </c>
      <c r="P224" s="25">
        <v>5.7365860172399232</v>
      </c>
      <c r="Q224" s="26"/>
      <c r="R224" s="26"/>
      <c r="S224" s="27"/>
      <c r="V224" s="99"/>
      <c r="W224" s="117">
        <f>V222+I224/3</f>
        <v>0.1222013584305531</v>
      </c>
      <c r="X224" s="117">
        <f>V222+I224/5</f>
        <v>0.14104549372020414</v>
      </c>
      <c r="Y224" s="117">
        <f>V222-E224</f>
        <v>-0.42458876001586288</v>
      </c>
      <c r="Z224" s="100"/>
      <c r="AA224" s="100"/>
      <c r="AB224" s="100"/>
      <c r="AC224" s="117"/>
      <c r="AD224" s="117"/>
      <c r="AE224" s="117"/>
      <c r="AF224" s="117"/>
      <c r="AH224" s="27"/>
      <c r="AI224" s="58"/>
    </row>
    <row r="225" spans="1:35" s="128" customFormat="1" x14ac:dyDescent="0.2">
      <c r="B225" s="128" t="s">
        <v>35</v>
      </c>
      <c r="C225" s="137">
        <v>3.6188288951145839</v>
      </c>
      <c r="D225" s="19">
        <v>1.995135210265554</v>
      </c>
      <c r="E225" s="29">
        <v>0.4486793191689763</v>
      </c>
      <c r="F225" s="20">
        <v>7.3267087747259998</v>
      </c>
      <c r="G225" s="39">
        <v>1.0246076802959789</v>
      </c>
      <c r="H225" s="21">
        <v>-0.1053943971399889</v>
      </c>
      <c r="I225" s="21">
        <v>7.7419269198163221E-2</v>
      </c>
      <c r="J225" s="21">
        <v>0.36007328527335608</v>
      </c>
      <c r="K225" s="19">
        <v>3.672286839021206</v>
      </c>
      <c r="L225" s="22">
        <v>1.995135210265554</v>
      </c>
      <c r="M225" s="32">
        <v>0.4486793191689763</v>
      </c>
      <c r="N225" s="23">
        <v>7.202424872508197</v>
      </c>
      <c r="O225" s="24">
        <v>0.99026400011104809</v>
      </c>
      <c r="P225" s="25">
        <v>3.609993365587262</v>
      </c>
      <c r="Q225" s="26"/>
      <c r="R225" s="26"/>
      <c r="S225" s="27"/>
      <c r="V225" s="99"/>
      <c r="W225" s="117">
        <f>V223+I225/3</f>
        <v>0.16003360971999162</v>
      </c>
      <c r="X225" s="117">
        <f>V223+I225/5</f>
        <v>0.14971104049356984</v>
      </c>
      <c r="Y225" s="117">
        <f>V223-E225</f>
        <v>-0.31445213251503912</v>
      </c>
      <c r="Z225" s="100"/>
      <c r="AA225" s="100"/>
      <c r="AB225" s="100"/>
      <c r="AC225" s="117"/>
      <c r="AD225" s="117"/>
      <c r="AE225" s="117"/>
      <c r="AF225" s="117"/>
      <c r="AH225" s="27"/>
      <c r="AI225" s="58"/>
    </row>
    <row r="227" spans="1:35" x14ac:dyDescent="0.2">
      <c r="A227" t="s">
        <v>147</v>
      </c>
      <c r="B227" t="s">
        <v>30</v>
      </c>
      <c r="C227" s="142">
        <v>4.8298730231573872</v>
      </c>
      <c r="D227" s="88">
        <v>4.664607205756182</v>
      </c>
      <c r="E227" s="89">
        <v>3.4217424890637733E-2</v>
      </c>
      <c r="F227" s="90">
        <v>11.100516839759701</v>
      </c>
      <c r="G227" s="91">
        <v>1.298304072702736</v>
      </c>
      <c r="H227" s="92">
        <v>0.22470984950403411</v>
      </c>
      <c r="I227" s="92">
        <v>0.50883978085122927</v>
      </c>
      <c r="J227" s="92">
        <v>0.69178973163375979</v>
      </c>
      <c r="K227" s="88">
        <v>2.379732386911706</v>
      </c>
      <c r="L227" s="93">
        <v>4.664607205756182</v>
      </c>
      <c r="M227" s="94">
        <v>3.4217424890637733E-2</v>
      </c>
      <c r="N227" s="95">
        <v>9.5907212845960395</v>
      </c>
      <c r="O227" s="96">
        <v>0.98570878335977197</v>
      </c>
      <c r="P227" s="97">
        <v>2.0560619279498979</v>
      </c>
      <c r="Q227" s="98">
        <v>0.1202702963322895</v>
      </c>
      <c r="R227" s="98">
        <v>0.12635126742626659</v>
      </c>
      <c r="S227" s="99">
        <v>7.1300918654994674E-2</v>
      </c>
      <c r="T227">
        <v>2797.94</v>
      </c>
      <c r="U227" s="117">
        <f>C227*S227</f>
        <v>0.34437438353809807</v>
      </c>
      <c r="V227" s="117">
        <f>(1+S227)*Q227*(1-U227)+S227</f>
        <v>0.15577544634352633</v>
      </c>
      <c r="W227" s="117">
        <f>V227+I227/3</f>
        <v>0.32538870662726943</v>
      </c>
      <c r="X227" s="117">
        <f>V227+I227/5</f>
        <v>0.25754340251377217</v>
      </c>
      <c r="Y227" s="117">
        <f>V227-E227</f>
        <v>0.1215580214528886</v>
      </c>
      <c r="Z227" s="100"/>
      <c r="AA227" s="100"/>
      <c r="AB227" s="100"/>
    </row>
    <row r="228" spans="1:35" x14ac:dyDescent="0.2">
      <c r="A228" t="s">
        <v>148</v>
      </c>
      <c r="B228" t="s">
        <v>32</v>
      </c>
      <c r="C228" s="142">
        <v>6.9870686942234119</v>
      </c>
      <c r="D228" s="88">
        <v>6.4817809844241374</v>
      </c>
      <c r="E228" s="89">
        <v>7.2317552884090475E-2</v>
      </c>
      <c r="F228" s="90">
        <v>17.12889494014097</v>
      </c>
      <c r="G228" s="91">
        <v>1.451513744855887</v>
      </c>
      <c r="H228" s="92">
        <v>0.19732169407248851</v>
      </c>
      <c r="I228" s="92">
        <v>0.42459302861461129</v>
      </c>
      <c r="J228" s="92">
        <v>0.6870686198208007</v>
      </c>
      <c r="K228" s="88">
        <v>2.642621677792274</v>
      </c>
      <c r="L228" s="93">
        <v>6.4817809844241374</v>
      </c>
      <c r="M228" s="94">
        <v>7.2317552884090475E-2</v>
      </c>
      <c r="N228" s="95">
        <v>12.54252138166582</v>
      </c>
      <c r="O228" s="96">
        <v>0.79510491889616119</v>
      </c>
      <c r="P228" s="97">
        <v>1.9350424538881801</v>
      </c>
      <c r="Q228" s="98"/>
      <c r="R228" s="98"/>
      <c r="S228" s="99">
        <v>6.7160214749035066E-2</v>
      </c>
      <c r="U228" s="117">
        <f>C228*S228</f>
        <v>0.46925303397030438</v>
      </c>
      <c r="V228" s="102">
        <f>(1+S228)*R227*(1-U228)+S228</f>
        <v>0.13872456765232938</v>
      </c>
      <c r="W228" s="102">
        <f>V228+I228/3</f>
        <v>0.28025557719053318</v>
      </c>
      <c r="X228" s="117">
        <f>V228+I228/5</f>
        <v>0.22364317337525164</v>
      </c>
      <c r="Y228" s="117">
        <f>V228-E228</f>
        <v>6.6407014768238903E-2</v>
      </c>
      <c r="Z228" s="100"/>
      <c r="AA228" s="100"/>
      <c r="AB228" s="100"/>
    </row>
    <row r="229" spans="1:35" x14ac:dyDescent="0.2">
      <c r="A229" t="s">
        <v>149</v>
      </c>
      <c r="B229" t="s">
        <v>34</v>
      </c>
      <c r="C229" s="142">
        <v>0.58089025974246999</v>
      </c>
      <c r="D229" s="88">
        <v>0.5525254994162393</v>
      </c>
      <c r="E229" s="89">
        <v>4.8829808815878277E-2</v>
      </c>
      <c r="F229" s="90">
        <v>1.630099307524989</v>
      </c>
      <c r="G229" s="91">
        <v>1.8062087118618111</v>
      </c>
      <c r="H229" s="92">
        <v>0.26432175347430792</v>
      </c>
      <c r="I229" s="92">
        <v>0.7309291816145369</v>
      </c>
      <c r="J229" s="92">
        <v>1.0115689166630319</v>
      </c>
      <c r="K229" s="88">
        <v>2.9502698232882301</v>
      </c>
      <c r="L229" s="93">
        <v>0.5525254994162393</v>
      </c>
      <c r="M229" s="94">
        <v>4.8829808815878277E-2</v>
      </c>
      <c r="N229" s="95">
        <v>1.274123926053172</v>
      </c>
      <c r="O229" s="96">
        <v>1.193398675023468</v>
      </c>
      <c r="P229" s="97">
        <v>2.306000225146756</v>
      </c>
      <c r="Q229" s="98"/>
      <c r="R229" s="98"/>
      <c r="W229" s="117">
        <f>V227+I229/3</f>
        <v>0.39941850688170533</v>
      </c>
      <c r="X229" s="117">
        <f>V227+I229/5</f>
        <v>0.30196128266643374</v>
      </c>
      <c r="Y229" s="117">
        <f>V227-E229</f>
        <v>0.10694563752764805</v>
      </c>
      <c r="Z229" s="100"/>
      <c r="AA229" s="100"/>
      <c r="AB229" s="100"/>
    </row>
    <row r="230" spans="1:35" x14ac:dyDescent="0.2">
      <c r="B230" t="s">
        <v>35</v>
      </c>
      <c r="C230" s="142">
        <v>0.88282498510951746</v>
      </c>
      <c r="D230" s="88">
        <v>0.78896432419592832</v>
      </c>
      <c r="E230" s="89">
        <v>0.1063185370789493</v>
      </c>
      <c r="F230" s="90">
        <v>2.4145464970706558</v>
      </c>
      <c r="G230" s="91">
        <v>1.7350228389504889</v>
      </c>
      <c r="H230" s="92">
        <v>8.2970630986344052E-2</v>
      </c>
      <c r="I230" s="92">
        <v>0.40868188663946681</v>
      </c>
      <c r="J230" s="92">
        <v>0.65103179319206528</v>
      </c>
      <c r="K230" s="88">
        <v>3.0604001005133372</v>
      </c>
      <c r="L230" s="93">
        <v>0.78896432419592832</v>
      </c>
      <c r="M230" s="94">
        <v>0.1063185370789493</v>
      </c>
      <c r="N230" s="95">
        <v>1.433273997200452</v>
      </c>
      <c r="O230" s="96">
        <v>0.62350864709911868</v>
      </c>
      <c r="P230" s="97">
        <v>1.8166524812908</v>
      </c>
      <c r="Q230" s="98"/>
      <c r="R230" s="98"/>
      <c r="W230" s="102">
        <f>V228+I230/3</f>
        <v>0.27495186319881831</v>
      </c>
      <c r="X230" s="117">
        <f>V228+I230/5</f>
        <v>0.22046094498022273</v>
      </c>
      <c r="Y230" s="117">
        <f>V228-E230</f>
        <v>3.2406030573380082E-2</v>
      </c>
      <c r="Z230" s="100"/>
      <c r="AA230" s="100"/>
      <c r="AB230" s="100"/>
    </row>
    <row r="231" spans="1:35" x14ac:dyDescent="0.2">
      <c r="C231" s="99">
        <f>C230/C228</f>
        <v>0.12635126742626657</v>
      </c>
    </row>
    <row r="232" spans="1:35" s="128" customFormat="1" x14ac:dyDescent="0.2">
      <c r="A232" s="128" t="s">
        <v>150</v>
      </c>
      <c r="B232" s="128" t="s">
        <v>30</v>
      </c>
      <c r="C232" s="138">
        <v>28.011548689771349</v>
      </c>
      <c r="D232" s="19">
        <v>23.746698269305799</v>
      </c>
      <c r="E232" s="29">
        <v>0.15225328908797189</v>
      </c>
      <c r="F232" s="20">
        <v>66.407742700522562</v>
      </c>
      <c r="G232" s="39">
        <v>1.3707272823787819</v>
      </c>
      <c r="H232" s="21">
        <v>0.15306858360666031</v>
      </c>
      <c r="I232" s="21">
        <v>0.2717241100759229</v>
      </c>
      <c r="J232" s="21">
        <v>0.49287322250294419</v>
      </c>
      <c r="K232" s="19">
        <v>2.7965042528189712</v>
      </c>
      <c r="L232" s="22">
        <v>23.746698269305799</v>
      </c>
      <c r="M232" s="32">
        <v>0.15225328908797189</v>
      </c>
      <c r="N232" s="23">
        <v>66.407742700522562</v>
      </c>
      <c r="O232" s="24">
        <v>1.3707272823787819</v>
      </c>
      <c r="P232" s="25">
        <v>2.7965042528189712</v>
      </c>
      <c r="Q232" s="26">
        <v>0.14824596207823409</v>
      </c>
      <c r="R232" s="26">
        <v>0.14601350650272901</v>
      </c>
      <c r="S232" s="27">
        <v>9.2634991512331715E-3</v>
      </c>
      <c r="T232" s="128">
        <v>14209.35</v>
      </c>
      <c r="U232" s="117">
        <f>C232*S232</f>
        <v>0.25948495751242356</v>
      </c>
      <c r="V232" s="102">
        <f>(1+S232)*Q232*(1-U232)+S232</f>
        <v>0.12005879584834787</v>
      </c>
      <c r="W232" s="102">
        <f>V232+I232/3</f>
        <v>0.21063349920698884</v>
      </c>
      <c r="X232" s="117">
        <f>V232+I232/5</f>
        <v>0.17440361786353245</v>
      </c>
      <c r="Y232" s="117">
        <f>V232-E232</f>
        <v>-3.219449323962402E-2</v>
      </c>
      <c r="Z232" s="100"/>
      <c r="AA232" s="100"/>
      <c r="AB232" s="100"/>
      <c r="AC232" s="117"/>
      <c r="AD232" s="36"/>
      <c r="AE232" s="117"/>
      <c r="AF232" s="117"/>
      <c r="AH232" s="27"/>
      <c r="AI232" s="58"/>
    </row>
    <row r="233" spans="1:35" s="128" customFormat="1" x14ac:dyDescent="0.2">
      <c r="A233" s="128" t="s">
        <v>151</v>
      </c>
      <c r="B233" s="128" t="s">
        <v>32</v>
      </c>
      <c r="C233" s="138">
        <v>21.383408352676351</v>
      </c>
      <c r="D233" s="19">
        <v>19.701689822851669</v>
      </c>
      <c r="E233" s="29">
        <v>7.8645953072032149E-2</v>
      </c>
      <c r="F233" s="20">
        <v>71.983934543592213</v>
      </c>
      <c r="G233" s="39">
        <v>2.3663452222565202</v>
      </c>
      <c r="H233" s="21">
        <v>0.30545913464359459</v>
      </c>
      <c r="I233" s="21">
        <v>0.67406513751281127</v>
      </c>
      <c r="J233" s="21">
        <v>0.88005927056326994</v>
      </c>
      <c r="K233" s="19">
        <v>3.6536934238046541</v>
      </c>
      <c r="L233" s="22">
        <v>19.701689822851669</v>
      </c>
      <c r="M233" s="32">
        <v>7.8645953072032149E-2</v>
      </c>
      <c r="N233" s="23">
        <v>54.736129549534368</v>
      </c>
      <c r="O233" s="24">
        <v>1.559747662616356</v>
      </c>
      <c r="P233" s="25">
        <v>2.7782454216717398</v>
      </c>
      <c r="Q233" s="26"/>
      <c r="R233" s="26"/>
      <c r="S233" s="27">
        <v>1.1864927988969071E-2</v>
      </c>
      <c r="U233" s="117">
        <f>C233*S233</f>
        <v>0.25371260026322467</v>
      </c>
      <c r="V233" s="117">
        <f>(1+S233)*R232*(1-U233)+S233</f>
        <v>0.12212586603215825</v>
      </c>
      <c r="W233" s="117">
        <f>V233+I233/3</f>
        <v>0.34681424520309534</v>
      </c>
      <c r="X233" s="117">
        <f>V233+I233/5</f>
        <v>0.25693889353472049</v>
      </c>
      <c r="Y233" s="117">
        <f>V233-E233</f>
        <v>4.3479912960126099E-2</v>
      </c>
      <c r="Z233" s="100"/>
      <c r="AA233" s="100"/>
      <c r="AB233" s="100"/>
      <c r="AC233" s="117"/>
      <c r="AD233" s="117"/>
      <c r="AE233" s="117"/>
      <c r="AF233" s="117"/>
      <c r="AH233" s="27"/>
      <c r="AI233" s="58"/>
    </row>
    <row r="234" spans="1:35" s="128" customFormat="1" x14ac:dyDescent="0.2">
      <c r="A234" s="128" t="s">
        <v>152</v>
      </c>
      <c r="B234" s="128" t="s">
        <v>34</v>
      </c>
      <c r="C234" s="137">
        <v>4.1525989848164517</v>
      </c>
      <c r="D234" s="19">
        <v>3.06662020436768</v>
      </c>
      <c r="E234" s="29">
        <v>0.2615178553044829</v>
      </c>
      <c r="F234" s="20">
        <v>7.805216990828602</v>
      </c>
      <c r="G234" s="39">
        <v>0.8795980587982537</v>
      </c>
      <c r="H234" s="21">
        <v>-2.658150492669042E-3</v>
      </c>
      <c r="I234" s="21">
        <v>7.0458411447345659E-2</v>
      </c>
      <c r="J234" s="21">
        <v>0.3459346837945052</v>
      </c>
      <c r="K234" s="19">
        <v>2.5452180154920732</v>
      </c>
      <c r="L234" s="22">
        <v>3.06662020436768</v>
      </c>
      <c r="M234" s="32">
        <v>0.2615178553044829</v>
      </c>
      <c r="N234" s="23">
        <v>7.805216990828602</v>
      </c>
      <c r="O234" s="24">
        <v>0.8795980587982537</v>
      </c>
      <c r="P234" s="25">
        <v>2.5452180154920732</v>
      </c>
      <c r="Q234" s="26"/>
      <c r="R234" s="26"/>
      <c r="S234" s="27"/>
      <c r="V234" s="99"/>
      <c r="W234" s="102">
        <f>V232+I234/3</f>
        <v>0.1435449329974631</v>
      </c>
      <c r="X234" s="117">
        <f>V232+I234/5</f>
        <v>0.134150478137817</v>
      </c>
      <c r="Y234" s="117">
        <f>V232-E234</f>
        <v>-0.14145905945613502</v>
      </c>
      <c r="Z234" s="100"/>
      <c r="AA234" s="100"/>
      <c r="AB234" s="100"/>
      <c r="AC234" s="117"/>
      <c r="AD234" s="117"/>
      <c r="AE234" s="117"/>
      <c r="AF234" s="117"/>
      <c r="AH234" s="27"/>
      <c r="AI234" s="58"/>
    </row>
    <row r="235" spans="1:35" s="128" customFormat="1" x14ac:dyDescent="0.2">
      <c r="B235" s="128" t="s">
        <v>35</v>
      </c>
      <c r="C235" s="138">
        <v>3.1222664345540192</v>
      </c>
      <c r="D235" s="19">
        <v>2.438323168460808</v>
      </c>
      <c r="E235" s="29">
        <v>0.2190534601800902</v>
      </c>
      <c r="F235" s="20">
        <v>7.9860810757868048</v>
      </c>
      <c r="G235" s="39">
        <v>1.557783342063672</v>
      </c>
      <c r="H235" s="21">
        <v>3.0122305506059769E-2</v>
      </c>
      <c r="I235" s="21">
        <v>0.22669523933376159</v>
      </c>
      <c r="J235" s="21">
        <v>0.36989129651284142</v>
      </c>
      <c r="K235" s="19">
        <v>3.275234874148377</v>
      </c>
      <c r="L235" s="22">
        <v>2.438323168460808</v>
      </c>
      <c r="M235" s="32">
        <v>0.2190534601800902</v>
      </c>
      <c r="N235" s="23">
        <v>4.568183713762707</v>
      </c>
      <c r="O235" s="24">
        <v>0.46309862067079521</v>
      </c>
      <c r="P235" s="25">
        <v>1.8734939538988069</v>
      </c>
      <c r="Q235" s="26"/>
      <c r="R235" s="26"/>
      <c r="S235" s="27"/>
      <c r="V235" s="99"/>
      <c r="W235" s="117">
        <f>V233+I235/3</f>
        <v>0.19769094581007879</v>
      </c>
      <c r="X235" s="117">
        <f>V233+I235/5</f>
        <v>0.16746491389891055</v>
      </c>
      <c r="Y235" s="117">
        <f>V233-E235</f>
        <v>-9.692759414793195E-2</v>
      </c>
      <c r="Z235" s="100"/>
      <c r="AA235" s="100"/>
      <c r="AB235" s="100"/>
      <c r="AC235" s="117"/>
      <c r="AD235" s="117"/>
      <c r="AE235" s="117"/>
      <c r="AF235" s="117"/>
      <c r="AH235" s="27"/>
      <c r="AI235" s="58"/>
    </row>
    <row r="236" spans="1:35" x14ac:dyDescent="0.2">
      <c r="Q236" s="98"/>
      <c r="R236" s="98"/>
    </row>
    <row r="237" spans="1:35" s="128" customFormat="1" x14ac:dyDescent="0.2">
      <c r="A237" s="128" t="s">
        <v>153</v>
      </c>
      <c r="B237" s="128" t="s">
        <v>30</v>
      </c>
      <c r="C237" s="137">
        <v>11.860994467675329</v>
      </c>
      <c r="D237" s="19">
        <v>8.5408167707206566</v>
      </c>
      <c r="E237" s="29">
        <v>0.2799240574644164</v>
      </c>
      <c r="F237" s="20">
        <v>59.740246936035831</v>
      </c>
      <c r="G237" s="39">
        <v>4.0366979850505302</v>
      </c>
      <c r="H237" s="21">
        <v>-9.2420629808495969E-2</v>
      </c>
      <c r="I237" s="21">
        <v>0.29964023041707039</v>
      </c>
      <c r="J237" s="21">
        <v>0.63000739821284246</v>
      </c>
      <c r="K237" s="19">
        <v>6.994676099461044</v>
      </c>
      <c r="L237" s="22">
        <v>8.5408167707206566</v>
      </c>
      <c r="M237" s="32">
        <v>0.2799240574644164</v>
      </c>
      <c r="N237" s="23">
        <v>23.52428851237833</v>
      </c>
      <c r="O237" s="24">
        <v>0.98333188473267397</v>
      </c>
      <c r="P237" s="25">
        <v>2.7543371019295848</v>
      </c>
      <c r="Q237" s="26">
        <v>0.12861833297393849</v>
      </c>
      <c r="R237" s="26">
        <v>0.11506684734648751</v>
      </c>
      <c r="S237" s="27">
        <v>3.0135107715783441E-2</v>
      </c>
      <c r="T237" s="128">
        <v>1740.79</v>
      </c>
      <c r="U237" s="117">
        <f>C237*S237</f>
        <v>0.35743234589970752</v>
      </c>
      <c r="V237" s="102">
        <f>(1+S237)*Q237*(1-U237)+S237</f>
        <v>0.11527163373358115</v>
      </c>
      <c r="W237" s="117">
        <f>V237+I237/3</f>
        <v>0.21515171053927129</v>
      </c>
      <c r="X237" s="117">
        <f>V237+I237/5</f>
        <v>0.17519967981699525</v>
      </c>
      <c r="Y237" s="117">
        <f>V237-E237</f>
        <v>-0.16465242373083525</v>
      </c>
      <c r="Z237" s="100"/>
      <c r="AA237" s="100"/>
      <c r="AB237" s="100"/>
      <c r="AC237" s="117"/>
      <c r="AD237" s="117"/>
      <c r="AE237" s="117"/>
      <c r="AF237" s="117"/>
      <c r="AH237" s="27"/>
      <c r="AI237" s="58"/>
    </row>
    <row r="238" spans="1:35" s="128" customFormat="1" x14ac:dyDescent="0.2">
      <c r="A238" s="128" t="s">
        <v>154</v>
      </c>
      <c r="B238" s="128" t="s">
        <v>32</v>
      </c>
      <c r="C238" s="138">
        <v>16.25491036029311</v>
      </c>
      <c r="D238" s="19">
        <v>14.255921241063589</v>
      </c>
      <c r="E238" s="29">
        <v>0.1229775541618842</v>
      </c>
      <c r="F238" s="20">
        <v>63.433264496027583</v>
      </c>
      <c r="G238" s="39">
        <v>2.9024062938532089</v>
      </c>
      <c r="H238" s="21">
        <v>0.100975971976744</v>
      </c>
      <c r="I238" s="21">
        <v>0.35657372958314593</v>
      </c>
      <c r="J238" s="21">
        <v>1.1564038565730179</v>
      </c>
      <c r="K238" s="19">
        <v>4.4496082310914202</v>
      </c>
      <c r="L238" s="22">
        <v>14.255921241063589</v>
      </c>
      <c r="M238" s="32">
        <v>0.1229775541618842</v>
      </c>
      <c r="N238" s="23">
        <v>27.970735760542802</v>
      </c>
      <c r="O238" s="24">
        <v>0.7207560755836997</v>
      </c>
      <c r="P238" s="25">
        <v>1.962043370439944</v>
      </c>
      <c r="Q238" s="26"/>
      <c r="R238" s="26"/>
      <c r="S238" s="27">
        <v>2.1227384056753291E-2</v>
      </c>
      <c r="U238" s="117">
        <f>C238*S238</f>
        <v>0.34504922502603985</v>
      </c>
      <c r="V238" s="117">
        <f>(1+S238)*R237*(1-U238)+S238</f>
        <v>9.8190266810003868E-2</v>
      </c>
      <c r="W238" s="102">
        <f>V238+I238/3</f>
        <v>0.21704817667105253</v>
      </c>
      <c r="X238" s="117">
        <f>V238+I238/5</f>
        <v>0.16950501272663304</v>
      </c>
      <c r="Y238" s="117">
        <f>V238-E238</f>
        <v>-2.4787287351880335E-2</v>
      </c>
      <c r="Z238" s="100"/>
      <c r="AA238" s="100"/>
      <c r="AB238" s="100"/>
      <c r="AC238" s="117"/>
      <c r="AD238" s="117"/>
      <c r="AE238" s="117"/>
      <c r="AF238" s="117"/>
      <c r="AH238" s="27"/>
      <c r="AI238" s="58"/>
    </row>
    <row r="239" spans="1:35" s="128" customFormat="1" x14ac:dyDescent="0.2">
      <c r="A239" s="128" t="s">
        <v>155</v>
      </c>
      <c r="B239" s="128" t="s">
        <v>34</v>
      </c>
      <c r="C239" s="137">
        <v>1.5255413358455081</v>
      </c>
      <c r="D239" s="19">
        <v>1.0768143093495131</v>
      </c>
      <c r="E239" s="29">
        <v>0.29414281734116049</v>
      </c>
      <c r="F239" s="20">
        <v>4.6893536897815542</v>
      </c>
      <c r="G239" s="39">
        <v>2.0738948723290749</v>
      </c>
      <c r="H239" s="21">
        <v>-9.4255905408867857E-2</v>
      </c>
      <c r="I239" s="21">
        <v>0.15026490807942741</v>
      </c>
      <c r="J239" s="21">
        <v>0.29245468467765301</v>
      </c>
      <c r="K239" s="19">
        <v>4.3548396869041621</v>
      </c>
      <c r="L239" s="22">
        <v>1.0768143093495131</v>
      </c>
      <c r="M239" s="32">
        <v>0.29414281734116049</v>
      </c>
      <c r="N239" s="23">
        <v>2.89696555572892</v>
      </c>
      <c r="O239" s="24">
        <v>0.89897545720930649</v>
      </c>
      <c r="P239" s="25">
        <v>2.6903111618928359</v>
      </c>
      <c r="Q239" s="26"/>
      <c r="R239" s="26"/>
      <c r="S239" s="27"/>
      <c r="V239" s="99"/>
      <c r="W239" s="117">
        <f>V237+I239/3</f>
        <v>0.16535993642672361</v>
      </c>
      <c r="X239" s="117">
        <f>V237+I239/5</f>
        <v>0.14532461534946664</v>
      </c>
      <c r="Y239" s="117">
        <f>V237-E239</f>
        <v>-0.17887118360757934</v>
      </c>
      <c r="Z239" s="100"/>
      <c r="AA239" s="100"/>
      <c r="AB239" s="100"/>
      <c r="AC239" s="117"/>
      <c r="AD239" s="117"/>
      <c r="AE239" s="117"/>
      <c r="AF239" s="117"/>
      <c r="AH239" s="27"/>
      <c r="AI239" s="58"/>
    </row>
    <row r="240" spans="1:35" s="128" customFormat="1" x14ac:dyDescent="0.2">
      <c r="B240" s="128" t="s">
        <v>35</v>
      </c>
      <c r="C240" s="138">
        <v>1.8704012890586861</v>
      </c>
      <c r="D240" s="19">
        <v>1.6482574695379331</v>
      </c>
      <c r="E240" s="29">
        <v>0.1187679995839561</v>
      </c>
      <c r="F240" s="20">
        <v>4.815466453796061</v>
      </c>
      <c r="G240" s="39">
        <v>1.574563267233168</v>
      </c>
      <c r="H240" s="21">
        <v>2.4875612443264309E-2</v>
      </c>
      <c r="I240" s="21">
        <v>0.16440471305780549</v>
      </c>
      <c r="J240" s="21">
        <v>0.30306944117070928</v>
      </c>
      <c r="K240" s="19">
        <v>2.9215499051528711</v>
      </c>
      <c r="L240" s="22">
        <v>1.6482574695379331</v>
      </c>
      <c r="M240" s="32">
        <v>0.1187679995839561</v>
      </c>
      <c r="N240" s="23">
        <v>2.6259822721675761</v>
      </c>
      <c r="O240" s="24">
        <v>0.40396731307277339</v>
      </c>
      <c r="P240" s="25">
        <v>1.593186938751586</v>
      </c>
      <c r="Q240" s="26"/>
      <c r="R240" s="26"/>
      <c r="S240" s="27"/>
      <c r="T240" s="58">
        <f>T237/C240</f>
        <v>930.70402067359817</v>
      </c>
      <c r="U240" s="58"/>
      <c r="V240" s="58">
        <f>T237/C238</f>
        <v>107.0931774716111</v>
      </c>
      <c r="W240" s="102">
        <f>V238+I240/3</f>
        <v>0.15299183782927236</v>
      </c>
      <c r="X240" s="117">
        <f>V238+I240/5</f>
        <v>0.13107120942156497</v>
      </c>
      <c r="Y240" s="117">
        <f>V238-E240</f>
        <v>-2.0577732773952237E-2</v>
      </c>
      <c r="Z240" s="100"/>
      <c r="AA240" s="100"/>
      <c r="AB240" s="100"/>
      <c r="AC240" s="117"/>
      <c r="AD240" s="117"/>
      <c r="AE240" s="117"/>
      <c r="AF240" s="117"/>
      <c r="AH240" s="27"/>
      <c r="AI240" s="58"/>
    </row>
    <row r="241" spans="1:35" x14ac:dyDescent="0.2">
      <c r="C241" s="99">
        <f>C240/C238</f>
        <v>0.11506684734648755</v>
      </c>
    </row>
    <row r="242" spans="1:35" s="128" customFormat="1" x14ac:dyDescent="0.2">
      <c r="A242" s="128" t="s">
        <v>156</v>
      </c>
      <c r="B242" s="128" t="s">
        <v>30</v>
      </c>
      <c r="C242" s="138">
        <v>6.147643826646684</v>
      </c>
      <c r="D242" s="19">
        <v>5.453706131619187</v>
      </c>
      <c r="E242" s="29">
        <v>0.1128786433624628</v>
      </c>
      <c r="F242" s="20">
        <v>22.872485127995269</v>
      </c>
      <c r="G242" s="39">
        <v>2.7205286729292162</v>
      </c>
      <c r="H242" s="21">
        <v>0.64579577444573055</v>
      </c>
      <c r="I242" s="21">
        <v>0.9840512734776421</v>
      </c>
      <c r="J242" s="21">
        <v>1.579846226988447</v>
      </c>
      <c r="K242" s="19">
        <v>4.1939342854185853</v>
      </c>
      <c r="L242" s="22">
        <v>5.453706131619187</v>
      </c>
      <c r="M242" s="32">
        <v>0.1128786433624628</v>
      </c>
      <c r="N242" s="23">
        <v>19.526340078746049</v>
      </c>
      <c r="O242" s="24">
        <v>2.1762315172050162</v>
      </c>
      <c r="P242" s="25">
        <v>3.580379948515624</v>
      </c>
      <c r="Q242" s="26">
        <v>0.1163432964426508</v>
      </c>
      <c r="R242" s="26">
        <v>0.1024984938424436</v>
      </c>
      <c r="S242" s="27">
        <v>5.0077250156384548E-2</v>
      </c>
      <c r="T242" s="128">
        <v>1734.92</v>
      </c>
      <c r="U242" s="117">
        <f>C242*S242</f>
        <v>0.30785709777933917</v>
      </c>
      <c r="V242" s="117">
        <f>(1+S242)*Q242*(1-U242)+S242</f>
        <v>0.13463596701333383</v>
      </c>
      <c r="W242" s="117">
        <f>V242+I242/3</f>
        <v>0.46265305817254787</v>
      </c>
      <c r="X242" s="117">
        <f>V242+I242/5</f>
        <v>0.33144622170886229</v>
      </c>
      <c r="Y242" s="117">
        <f>V242-E242</f>
        <v>2.1757323650871033E-2</v>
      </c>
      <c r="Z242" s="100"/>
      <c r="AA242" s="100"/>
      <c r="AB242" s="100"/>
      <c r="AC242" s="117"/>
      <c r="AD242" s="117"/>
      <c r="AE242" s="117"/>
      <c r="AF242" s="117"/>
      <c r="AH242" s="27"/>
      <c r="AI242" s="58"/>
    </row>
    <row r="243" spans="1:35" s="128" customFormat="1" x14ac:dyDescent="0.2">
      <c r="A243" s="128" t="s">
        <v>157</v>
      </c>
      <c r="B243" s="128" t="s">
        <v>32</v>
      </c>
      <c r="C243" s="138">
        <v>7.5455748142557484</v>
      </c>
      <c r="D243" s="19">
        <v>6.8794580418595546</v>
      </c>
      <c r="E243" s="29">
        <v>8.8279128998589806E-2</v>
      </c>
      <c r="F243" s="20">
        <v>-4.7520498077746209</v>
      </c>
      <c r="G243" s="39">
        <v>-1.6297796953515911</v>
      </c>
      <c r="H243" s="21">
        <v>0.68626870977711962</v>
      </c>
      <c r="I243" s="21">
        <v>0.92578517282028616</v>
      </c>
      <c r="J243" s="21">
        <v>1.6361225093456191</v>
      </c>
      <c r="K243" s="19">
        <v>-0.69075932709520771</v>
      </c>
      <c r="L243" s="22">
        <v>6.8794580418595546</v>
      </c>
      <c r="M243" s="32">
        <v>8.8279128998589806E-2</v>
      </c>
      <c r="N243" s="23">
        <v>-4.7520498077746209</v>
      </c>
      <c r="O243" s="24">
        <v>-1.6297796953515911</v>
      </c>
      <c r="P243" s="25">
        <v>-0.69075932709520771</v>
      </c>
      <c r="Q243" s="26"/>
      <c r="R243" s="26"/>
      <c r="S243" s="27">
        <v>3.8933044424437152E-2</v>
      </c>
      <c r="U243" s="117">
        <f>C243*S243</f>
        <v>0.29377219945133315</v>
      </c>
      <c r="V243" s="117">
        <f>(1+S243)*R242*(1-U243)+S243</f>
        <v>0.11413858770671868</v>
      </c>
      <c r="W243" s="117">
        <f>V243+I243/3</f>
        <v>0.42273364531348073</v>
      </c>
      <c r="X243" s="117">
        <f>V243+I243/5</f>
        <v>0.29929562227077594</v>
      </c>
      <c r="Y243" s="117">
        <f>V243-E243</f>
        <v>2.5859458708128877E-2</v>
      </c>
      <c r="Z243" s="100"/>
      <c r="AA243" s="100"/>
      <c r="AB243" s="100"/>
      <c r="AC243" s="117"/>
      <c r="AD243" s="117"/>
      <c r="AE243" s="117"/>
      <c r="AF243" s="117"/>
      <c r="AH243" s="27"/>
      <c r="AI243" s="58"/>
    </row>
    <row r="244" spans="1:35" s="128" customFormat="1" x14ac:dyDescent="0.2">
      <c r="A244" s="128" t="s">
        <v>158</v>
      </c>
      <c r="B244" s="128" t="s">
        <v>34</v>
      </c>
      <c r="C244" s="138">
        <v>0.71523714814738759</v>
      </c>
      <c r="D244" s="19">
        <v>0.63522847091921153</v>
      </c>
      <c r="E244" s="29">
        <v>0.1118631455810357</v>
      </c>
      <c r="F244" s="20">
        <v>2.1283105407902569</v>
      </c>
      <c r="G244" s="39">
        <v>1.975671141107564</v>
      </c>
      <c r="H244" s="21">
        <v>0.66051204454551771</v>
      </c>
      <c r="I244" s="21">
        <v>0.93808201758542853</v>
      </c>
      <c r="J244" s="21">
        <v>1.23791825444953</v>
      </c>
      <c r="K244" s="19">
        <v>3.350464656772187</v>
      </c>
      <c r="L244" s="22">
        <v>0.63522847091921153</v>
      </c>
      <c r="M244" s="32">
        <v>0.1118631455810357</v>
      </c>
      <c r="N244" s="23">
        <v>1.7772630221747761</v>
      </c>
      <c r="O244" s="24">
        <v>1.484858381277113</v>
      </c>
      <c r="P244" s="25">
        <v>2.7978327539428069</v>
      </c>
      <c r="Q244" s="26"/>
      <c r="R244" s="26"/>
      <c r="S244" s="27"/>
      <c r="V244" s="99"/>
      <c r="W244" s="117">
        <f>V242+I244/3</f>
        <v>0.44732997287514331</v>
      </c>
      <c r="X244" s="117">
        <f>V242+I244/5</f>
        <v>0.32225237053041955</v>
      </c>
      <c r="Y244" s="117">
        <f>V242-E244</f>
        <v>2.2772821432298126E-2</v>
      </c>
      <c r="Z244" s="100"/>
      <c r="AA244" s="100"/>
      <c r="AB244" s="100"/>
      <c r="AC244" s="117"/>
      <c r="AD244" s="117"/>
      <c r="AE244" s="117"/>
      <c r="AF244" s="117"/>
      <c r="AH244" s="27"/>
      <c r="AI244" s="58"/>
    </row>
    <row r="245" spans="1:35" s="128" customFormat="1" x14ac:dyDescent="0.2">
      <c r="B245" s="128" t="s">
        <v>35</v>
      </c>
      <c r="C245" s="138">
        <v>0.77341005363669013</v>
      </c>
      <c r="D245" s="19">
        <v>0.7361472700295093</v>
      </c>
      <c r="E245" s="29">
        <v>4.8179854182093473E-2</v>
      </c>
      <c r="F245" s="20">
        <v>3.0484673979792309</v>
      </c>
      <c r="G245" s="39">
        <v>2.941592669561095</v>
      </c>
      <c r="H245" s="21">
        <v>0.38646700245824023</v>
      </c>
      <c r="I245" s="21">
        <v>0.61392207662312903</v>
      </c>
      <c r="J245" s="21">
        <v>1.2946746335864141</v>
      </c>
      <c r="K245" s="19">
        <v>4.1411107832499736</v>
      </c>
      <c r="L245" s="22">
        <v>0.7361472700295093</v>
      </c>
      <c r="M245" s="32">
        <v>4.8179854182093473E-2</v>
      </c>
      <c r="N245" s="23">
        <v>1.8100737859277769</v>
      </c>
      <c r="O245" s="24">
        <v>1.3403804714155689</v>
      </c>
      <c r="P245" s="25">
        <v>2.4588473796217678</v>
      </c>
      <c r="Q245" s="26"/>
      <c r="R245" s="26"/>
      <c r="S245" s="27"/>
      <c r="V245" s="99"/>
      <c r="W245" s="117">
        <f>V243+I245/3</f>
        <v>0.31877927991442834</v>
      </c>
      <c r="X245" s="117">
        <f>V243+I245/5</f>
        <v>0.2369230030313445</v>
      </c>
      <c r="Y245" s="117">
        <f>V243-E245</f>
        <v>6.595873352462521E-2</v>
      </c>
      <c r="Z245" s="100"/>
      <c r="AA245" s="100"/>
      <c r="AB245" s="100"/>
      <c r="AC245" s="117"/>
      <c r="AD245" s="117"/>
      <c r="AE245" s="117"/>
      <c r="AF245" s="117"/>
      <c r="AH245" s="27"/>
      <c r="AI245" s="58"/>
    </row>
    <row r="247" spans="1:35" s="128" customFormat="1" x14ac:dyDescent="0.2">
      <c r="A247" s="128" t="s">
        <v>159</v>
      </c>
      <c r="B247" s="128" t="s">
        <v>30</v>
      </c>
      <c r="C247" s="138">
        <v>10.8130058073661</v>
      </c>
      <c r="D247" s="19">
        <v>9.9332652811122166</v>
      </c>
      <c r="E247" s="29">
        <v>8.1359479679052771E-2</v>
      </c>
      <c r="F247" s="20">
        <v>55.629752920985091</v>
      </c>
      <c r="G247" s="39">
        <v>4.1447075782654874</v>
      </c>
      <c r="H247" s="21">
        <v>0.26794738507317839</v>
      </c>
      <c r="I247" s="21">
        <v>0.66692619864490776</v>
      </c>
      <c r="J247" s="21">
        <v>1.690786068053092</v>
      </c>
      <c r="K247" s="19">
        <v>5.6003490641454299</v>
      </c>
      <c r="L247" s="22">
        <v>9.9332652811122166</v>
      </c>
      <c r="M247" s="32">
        <v>8.1359479679052771E-2</v>
      </c>
      <c r="N247" s="23">
        <v>30.45548810695156</v>
      </c>
      <c r="O247" s="24">
        <v>1.8165607833304309</v>
      </c>
      <c r="P247" s="25">
        <v>3.066009740509164</v>
      </c>
      <c r="Q247" s="26">
        <v>0.13295750871717671</v>
      </c>
      <c r="R247" s="26">
        <v>0.12719519428805159</v>
      </c>
      <c r="S247" s="27">
        <v>3.863811284133542E-2</v>
      </c>
      <c r="T247" s="128">
        <v>5470.6</v>
      </c>
      <c r="U247" s="117">
        <f>C247*S247</f>
        <v>0.41779413853902658</v>
      </c>
      <c r="V247" s="117">
        <f>(1+S247)*Q247*(1-U247)+S247</f>
        <v>0.11903767754372779</v>
      </c>
      <c r="W247" s="117">
        <f>V247+I247/3</f>
        <v>0.34134641042536373</v>
      </c>
      <c r="X247" s="117">
        <f>V247+I247/5</f>
        <v>0.25242291727270938</v>
      </c>
      <c r="Y247" s="117">
        <f>V247-E247</f>
        <v>3.7678197864675023E-2</v>
      </c>
      <c r="Z247" s="100"/>
      <c r="AA247" s="100"/>
      <c r="AB247" s="100"/>
      <c r="AC247" s="117"/>
      <c r="AD247" s="117"/>
      <c r="AE247" s="117"/>
      <c r="AF247" s="117"/>
      <c r="AH247" s="27"/>
      <c r="AI247" s="58"/>
    </row>
    <row r="248" spans="1:35" s="128" customFormat="1" x14ac:dyDescent="0.2">
      <c r="A248" s="128" t="s">
        <v>160</v>
      </c>
      <c r="B248" s="128" t="s">
        <v>32</v>
      </c>
      <c r="C248" s="138">
        <v>13.10271645586832</v>
      </c>
      <c r="D248" s="19">
        <v>11.5722242013745</v>
      </c>
      <c r="E248" s="29">
        <v>0.1168072483021909</v>
      </c>
      <c r="F248" s="20">
        <v>151.04355479733499</v>
      </c>
      <c r="G248" s="39">
        <v>10.527651941951859</v>
      </c>
      <c r="H248" s="21">
        <v>0.43639235649956332</v>
      </c>
      <c r="I248" s="21">
        <v>1.0618144970285299</v>
      </c>
      <c r="J248" s="21">
        <v>3.558322826988507</v>
      </c>
      <c r="K248" s="19">
        <v>13.052249262453341</v>
      </c>
      <c r="L248" s="22">
        <v>11.5722242013745</v>
      </c>
      <c r="M248" s="32">
        <v>0.1168072483021909</v>
      </c>
      <c r="N248" s="23">
        <v>62.295736235261458</v>
      </c>
      <c r="O248" s="24">
        <v>3.754413822895561</v>
      </c>
      <c r="P248" s="25">
        <v>5.3832120041246876</v>
      </c>
      <c r="Q248" s="26"/>
      <c r="R248" s="26"/>
      <c r="S248" s="27">
        <v>2.626543153455135E-2</v>
      </c>
      <c r="U248" s="117">
        <f>C248*S248</f>
        <v>0.3441485019882487</v>
      </c>
      <c r="V248" s="117">
        <f>(1+S248)*R247*(1-U248)+S248</f>
        <v>0.11187768298099376</v>
      </c>
      <c r="W248" s="117">
        <f>V248+I248/3</f>
        <v>0.46581584865717041</v>
      </c>
      <c r="X248" s="117">
        <f>V248+I248/5</f>
        <v>0.32424058238669973</v>
      </c>
      <c r="Y248" s="117">
        <f>V248-E248</f>
        <v>-4.9295653211971352E-3</v>
      </c>
      <c r="Z248" s="100"/>
      <c r="AA248" s="100"/>
      <c r="AB248" s="100"/>
      <c r="AC248" s="117"/>
      <c r="AD248" s="117"/>
      <c r="AE248" s="117"/>
      <c r="AF248" s="117"/>
      <c r="AH248" s="27"/>
      <c r="AI248" s="58"/>
    </row>
    <row r="249" spans="1:35" s="128" customFormat="1" x14ac:dyDescent="0.2">
      <c r="A249" s="128" t="s">
        <v>119</v>
      </c>
      <c r="B249" s="128" t="s">
        <v>34</v>
      </c>
      <c r="C249" s="137">
        <v>1.4376703138917599</v>
      </c>
      <c r="D249" s="19">
        <v>1.138088925922756</v>
      </c>
      <c r="E249" s="29">
        <v>0.20837975513178661</v>
      </c>
      <c r="F249" s="20">
        <v>2.468651114077467</v>
      </c>
      <c r="G249" s="39">
        <v>0.71711907119710316</v>
      </c>
      <c r="H249" s="21">
        <v>-7.6505660677934739E-2</v>
      </c>
      <c r="I249" s="21">
        <v>1.5994785529478419E-3</v>
      </c>
      <c r="J249" s="21">
        <v>0.1237429617846748</v>
      </c>
      <c r="K249" s="19">
        <v>2.1691197039597738</v>
      </c>
      <c r="L249" s="22">
        <v>1.138088925922756</v>
      </c>
      <c r="M249" s="32">
        <v>0.20837975513178661</v>
      </c>
      <c r="N249" s="23">
        <v>1.94940567930286</v>
      </c>
      <c r="O249" s="24">
        <v>0.35594764701361742</v>
      </c>
      <c r="P249" s="25">
        <v>1.7128764149271489</v>
      </c>
      <c r="Q249" s="26"/>
      <c r="R249" s="26"/>
      <c r="S249" s="27"/>
      <c r="V249" s="99"/>
      <c r="W249" s="117">
        <f>V247+I249/3</f>
        <v>0.11957083706137707</v>
      </c>
      <c r="X249" s="117">
        <f>V247+I249/5</f>
        <v>0.11935757325431737</v>
      </c>
      <c r="Y249" s="117">
        <f>V247-E249</f>
        <v>-8.9342077588058816E-2</v>
      </c>
      <c r="Z249" s="100"/>
      <c r="AA249" s="100"/>
      <c r="AB249" s="100"/>
      <c r="AC249" s="117"/>
      <c r="AD249" s="117"/>
      <c r="AE249" s="117"/>
      <c r="AF249" s="117"/>
      <c r="AH249" s="27"/>
      <c r="AI249" s="58"/>
    </row>
    <row r="250" spans="1:35" s="128" customFormat="1" x14ac:dyDescent="0.2">
      <c r="B250" s="128" t="s">
        <v>35</v>
      </c>
      <c r="C250" s="137">
        <v>1.6666025653054219</v>
      </c>
      <c r="D250" s="19">
        <v>1.296183911434297</v>
      </c>
      <c r="E250" s="29">
        <v>0.22225974061382911</v>
      </c>
      <c r="F250" s="20">
        <v>4.1467441550480659</v>
      </c>
      <c r="G250" s="39">
        <v>1.4881421890096109</v>
      </c>
      <c r="H250" s="21">
        <v>-4.4458082434270851E-2</v>
      </c>
      <c r="I250" s="21">
        <v>0.1206948834383559</v>
      </c>
      <c r="J250" s="21">
        <v>0.37790430512696788</v>
      </c>
      <c r="K250" s="19">
        <v>3.1991942798144071</v>
      </c>
      <c r="L250" s="22">
        <v>1.296183911434297</v>
      </c>
      <c r="M250" s="32">
        <v>0.22225974061382911</v>
      </c>
      <c r="N250" s="23">
        <v>2.5906892578452578</v>
      </c>
      <c r="O250" s="24">
        <v>0.55447334102146129</v>
      </c>
      <c r="P250" s="25">
        <v>1.998704994709062</v>
      </c>
      <c r="Q250" s="26"/>
      <c r="R250" s="26"/>
      <c r="S250" s="27"/>
      <c r="T250" s="58">
        <f>T247/C249</f>
        <v>3805.1839473482191</v>
      </c>
      <c r="U250" s="58"/>
      <c r="V250" s="58">
        <f>T247/C247</f>
        <v>505.92777785001152</v>
      </c>
      <c r="W250" s="117">
        <f>V248+I250/3</f>
        <v>0.15210931079377907</v>
      </c>
      <c r="X250" s="117">
        <f>V248+I250/5</f>
        <v>0.13601665966866494</v>
      </c>
      <c r="Y250" s="117">
        <f>V248-E250</f>
        <v>-0.11038205763283535</v>
      </c>
      <c r="Z250" s="100"/>
      <c r="AA250" s="100"/>
      <c r="AB250" s="100"/>
      <c r="AC250" s="117"/>
      <c r="AD250" s="117"/>
      <c r="AE250" s="117"/>
      <c r="AF250" s="117"/>
      <c r="AH250" s="27"/>
      <c r="AI250" s="58"/>
    </row>
    <row r="252" spans="1:35" s="128" customFormat="1" x14ac:dyDescent="0.2">
      <c r="A252" s="128" t="s">
        <v>161</v>
      </c>
      <c r="B252" s="128" t="s">
        <v>30</v>
      </c>
      <c r="C252" s="137">
        <v>33.030763102698742</v>
      </c>
      <c r="D252" s="19">
        <v>22.865594274252441</v>
      </c>
      <c r="E252" s="29">
        <v>0.30774853117504181</v>
      </c>
      <c r="F252" s="20">
        <v>67.149004276919996</v>
      </c>
      <c r="G252" s="39">
        <v>1.0329231894564881</v>
      </c>
      <c r="H252" s="21">
        <v>-2.8772473290333611E-2</v>
      </c>
      <c r="I252" s="21">
        <v>9.268004022727383E-2</v>
      </c>
      <c r="J252" s="21">
        <v>0.29710574399200462</v>
      </c>
      <c r="K252" s="19">
        <v>2.9366831000116371</v>
      </c>
      <c r="L252" s="22">
        <v>22.865594274252441</v>
      </c>
      <c r="M252" s="32">
        <v>0.30774853117504181</v>
      </c>
      <c r="N252" s="23">
        <v>65.857637991406818</v>
      </c>
      <c r="O252" s="24">
        <v>0.99382732353603997</v>
      </c>
      <c r="P252" s="25">
        <v>2.8802067071383801</v>
      </c>
      <c r="Q252" s="26">
        <v>0.1369363257303127</v>
      </c>
      <c r="R252" s="26">
        <v>0.12573702312071719</v>
      </c>
      <c r="S252" s="27">
        <v>8.7205568701395168E-3</v>
      </c>
      <c r="T252" s="128">
        <v>11525.81</v>
      </c>
      <c r="U252" s="117">
        <f>C252*S252</f>
        <v>0.28804664810119041</v>
      </c>
      <c r="V252" s="117">
        <f>(1+S252)*Q252*(1-U252)+S252</f>
        <v>0.10706301990867577</v>
      </c>
      <c r="W252" s="117">
        <f>V252+I252/3</f>
        <v>0.13795636665110039</v>
      </c>
      <c r="X252" s="117">
        <f>V252+I252/5</f>
        <v>0.12559902795413053</v>
      </c>
      <c r="Y252" s="117">
        <f>V252-E252</f>
        <v>-0.20068551126636602</v>
      </c>
      <c r="Z252" s="100"/>
      <c r="AA252" s="100"/>
      <c r="AB252" s="100"/>
      <c r="AC252" s="117"/>
      <c r="AD252" s="117"/>
      <c r="AE252" s="117"/>
      <c r="AF252" s="117"/>
      <c r="AH252" s="27"/>
      <c r="AI252" s="58"/>
    </row>
    <row r="253" spans="1:35" s="128" customFormat="1" x14ac:dyDescent="0.2">
      <c r="A253" s="128" t="s">
        <v>162</v>
      </c>
      <c r="B253" s="128" t="s">
        <v>32</v>
      </c>
      <c r="C253" s="137">
        <v>28.078703699950172</v>
      </c>
      <c r="D253" s="19">
        <v>19.47304687759685</v>
      </c>
      <c r="E253" s="29">
        <v>0.30648340871835139</v>
      </c>
      <c r="F253" s="20">
        <v>78.197810539379191</v>
      </c>
      <c r="G253" s="39">
        <v>1.784950878609042</v>
      </c>
      <c r="H253" s="21">
        <v>-1.9871714973995761E-2</v>
      </c>
      <c r="I253" s="21">
        <v>0.26385905842085727</v>
      </c>
      <c r="J253" s="21">
        <v>0.51475167519009135</v>
      </c>
      <c r="K253" s="19">
        <v>4.0156946691964981</v>
      </c>
      <c r="L253" s="22">
        <v>19.47304687759685</v>
      </c>
      <c r="M253" s="32">
        <v>0.30648340871835139</v>
      </c>
      <c r="N253" s="23">
        <v>50.88391965354144</v>
      </c>
      <c r="O253" s="24">
        <v>0.81218905962641519</v>
      </c>
      <c r="P253" s="25">
        <v>2.6130435557099099</v>
      </c>
      <c r="Q253" s="26"/>
      <c r="R253" s="26"/>
      <c r="S253" s="27">
        <v>1.074235528218022E-2</v>
      </c>
      <c r="U253" s="117">
        <f>C253*S253</f>
        <v>0.301631411007933</v>
      </c>
      <c r="V253" s="117">
        <f>(1+S253)*R252*(1-U253)+S253</f>
        <v>9.9496437379141461E-2</v>
      </c>
      <c r="W253" s="117">
        <f>V253+I253/3</f>
        <v>0.18744945685276054</v>
      </c>
      <c r="X253" s="117">
        <f>V253+I253/5</f>
        <v>0.15226824906331293</v>
      </c>
      <c r="Y253" s="117">
        <f>V253-E253</f>
        <v>-0.20698697133920993</v>
      </c>
      <c r="Z253" s="100"/>
      <c r="AA253" s="100"/>
      <c r="AB253" s="100"/>
      <c r="AC253" s="117"/>
      <c r="AD253" s="117"/>
      <c r="AE253" s="117"/>
      <c r="AF253" s="117"/>
      <c r="AH253" s="27"/>
      <c r="AI253" s="58"/>
    </row>
    <row r="254" spans="1:35" s="128" customFormat="1" x14ac:dyDescent="0.2">
      <c r="A254" s="128" t="s">
        <v>163</v>
      </c>
      <c r="B254" s="128" t="s">
        <v>34</v>
      </c>
      <c r="C254" s="137">
        <v>4.523111335351949</v>
      </c>
      <c r="D254" s="19">
        <v>3.1593079327851421</v>
      </c>
      <c r="E254" s="29">
        <v>0.30151886642885117</v>
      </c>
      <c r="F254" s="20">
        <v>8.607490304768854</v>
      </c>
      <c r="G254" s="39">
        <v>0.90300208564269058</v>
      </c>
      <c r="H254" s="21">
        <v>-2.8858143389337561E-2</v>
      </c>
      <c r="I254" s="21">
        <v>5.2677782052852118E-2</v>
      </c>
      <c r="J254" s="21">
        <v>0.28615143779847257</v>
      </c>
      <c r="K254" s="19">
        <v>2.724486022855257</v>
      </c>
      <c r="L254" s="22">
        <v>3.1593079327851421</v>
      </c>
      <c r="M254" s="32">
        <v>0.30151886642885117</v>
      </c>
      <c r="N254" s="23">
        <v>8.607490304768854</v>
      </c>
      <c r="O254" s="24">
        <v>0.90300208564269058</v>
      </c>
      <c r="P254" s="25">
        <v>2.724486022855257</v>
      </c>
      <c r="Q254" s="26"/>
      <c r="R254" s="26"/>
      <c r="S254" s="27"/>
      <c r="V254" s="99"/>
      <c r="W254" s="117">
        <f>V252+I254/3</f>
        <v>0.12462228059295981</v>
      </c>
      <c r="X254" s="117">
        <f>V252+I254/5</f>
        <v>0.1175985763192462</v>
      </c>
      <c r="Y254" s="117">
        <f>V252-E254</f>
        <v>-0.19445584652017539</v>
      </c>
      <c r="Z254" s="100"/>
      <c r="AA254" s="100"/>
      <c r="AB254" s="100"/>
      <c r="AC254" s="117"/>
      <c r="AD254" s="117"/>
      <c r="AE254" s="117"/>
      <c r="AF254" s="117"/>
      <c r="AH254" s="27"/>
      <c r="AI254" s="58"/>
    </row>
    <row r="255" spans="1:35" s="128" customFormat="1" x14ac:dyDescent="0.2">
      <c r="B255" s="128" t="s">
        <v>35</v>
      </c>
      <c r="C255" s="137">
        <v>3.5305326163204009</v>
      </c>
      <c r="D255" s="19">
        <v>2.5421172140499588</v>
      </c>
      <c r="E255" s="29">
        <v>0.2799621217777023</v>
      </c>
      <c r="F255" s="20">
        <v>8.175629099818714</v>
      </c>
      <c r="G255" s="39">
        <v>1.3156928396655161</v>
      </c>
      <c r="H255" s="21">
        <v>-3.7164678048573489E-3</v>
      </c>
      <c r="I255" s="21">
        <v>0.15923669868838661</v>
      </c>
      <c r="J255" s="21">
        <v>0.31192674409094101</v>
      </c>
      <c r="K255" s="19">
        <v>3.2160708619701128</v>
      </c>
      <c r="L255" s="22">
        <v>2.5421172140499588</v>
      </c>
      <c r="M255" s="32">
        <v>0.2799621217777023</v>
      </c>
      <c r="N255" s="23">
        <v>5.3230023946090137</v>
      </c>
      <c r="O255" s="24">
        <v>0.50770520289280441</v>
      </c>
      <c r="P255" s="25">
        <v>2.0939248454750459</v>
      </c>
      <c r="Q255" s="26"/>
      <c r="R255" s="26"/>
      <c r="S255" s="27"/>
      <c r="V255" s="99"/>
      <c r="W255" s="117">
        <f>V253+I255/3</f>
        <v>0.15257533694193701</v>
      </c>
      <c r="X255" s="117">
        <f>V253+I255/5</f>
        <v>0.13134377711681877</v>
      </c>
      <c r="Y255" s="117">
        <f>V253-E255</f>
        <v>-0.18046568439856084</v>
      </c>
      <c r="Z255" s="100"/>
      <c r="AA255" s="100"/>
      <c r="AB255" s="100"/>
      <c r="AC255" s="117"/>
      <c r="AD255" s="117"/>
      <c r="AE255" s="117"/>
      <c r="AF255" s="117"/>
      <c r="AH255" s="27"/>
      <c r="AI255" s="58"/>
    </row>
    <row r="256" spans="1:35" ht="19" customHeight="1" x14ac:dyDescent="0.2"/>
    <row r="257" spans="1:35" s="128" customFormat="1" x14ac:dyDescent="0.2">
      <c r="A257" s="128" t="s">
        <v>164</v>
      </c>
      <c r="B257" s="128" t="s">
        <v>30</v>
      </c>
      <c r="C257" s="135">
        <v>19.504718030717122</v>
      </c>
      <c r="D257" s="19">
        <v>11.12635258750265</v>
      </c>
      <c r="E257" s="29">
        <v>0.42955583515843471</v>
      </c>
      <c r="F257" s="20">
        <v>27.11262578695835</v>
      </c>
      <c r="G257" s="39">
        <v>0.39005474184553018</v>
      </c>
      <c r="H257" s="21">
        <v>-0.30989457797972653</v>
      </c>
      <c r="I257" s="21">
        <v>-0.2026604446299021</v>
      </c>
      <c r="J257" s="21">
        <v>-9.4903798802574491E-2</v>
      </c>
      <c r="K257" s="19">
        <v>2.4367936908103931</v>
      </c>
      <c r="L257" s="22">
        <v>11.70647641198922</v>
      </c>
      <c r="M257" s="32">
        <v>0.39981309170667301</v>
      </c>
      <c r="N257" s="23">
        <v>23.413239607652429</v>
      </c>
      <c r="O257" s="24">
        <v>0.2003885198842634</v>
      </c>
      <c r="P257" s="25">
        <v>2.000024497864592</v>
      </c>
      <c r="Q257" s="26">
        <v>0.1049599925863892</v>
      </c>
      <c r="R257" s="26">
        <v>1.0679992907117131E-2</v>
      </c>
      <c r="S257" s="27">
        <v>3.0051334085431258E-2</v>
      </c>
      <c r="T257" s="128">
        <v>9601.61</v>
      </c>
      <c r="U257" s="117">
        <f>C257*S257</f>
        <v>0.5861427977832151</v>
      </c>
      <c r="V257" s="102">
        <f>(1+S257)*Q257*(1-U257)+S257</f>
        <v>7.4795166301269325E-2</v>
      </c>
      <c r="W257" s="102">
        <f>V257+I257/3</f>
        <v>7.2416847579686305E-3</v>
      </c>
      <c r="X257" s="117">
        <f>V257+I257/5</f>
        <v>3.4263077375288907E-2</v>
      </c>
      <c r="Y257" s="117">
        <f>V257-E257</f>
        <v>-0.3547606688571654</v>
      </c>
      <c r="Z257" s="100"/>
      <c r="AA257" s="100"/>
      <c r="AB257" s="100"/>
      <c r="AC257" s="117"/>
      <c r="AD257" s="117"/>
      <c r="AE257" s="117"/>
      <c r="AF257" s="117"/>
      <c r="AH257" s="27"/>
      <c r="AI257" s="58"/>
    </row>
    <row r="258" spans="1:35" s="128" customFormat="1" x14ac:dyDescent="0.2">
      <c r="A258" s="128" t="s">
        <v>165</v>
      </c>
      <c r="B258" s="128" t="s">
        <v>32</v>
      </c>
      <c r="C258" s="135">
        <v>103.9280508832265</v>
      </c>
      <c r="D258" s="19">
        <v>10.139595454718499</v>
      </c>
      <c r="E258" s="29">
        <v>0.90243639355739158</v>
      </c>
      <c r="F258" s="20">
        <v>103.9280508832265</v>
      </c>
      <c r="G258" s="39">
        <v>0</v>
      </c>
      <c r="H258" s="21">
        <v>-0.86924090498831996</v>
      </c>
      <c r="I258" s="21">
        <v>-0.84274689140170667</v>
      </c>
      <c r="J258" s="21">
        <v>-0.81406062737228546</v>
      </c>
      <c r="K258" s="19">
        <v>10.24972360557671</v>
      </c>
      <c r="L258" s="22">
        <v>10.139595454718499</v>
      </c>
      <c r="M258" s="32">
        <v>0.90243639355739158</v>
      </c>
      <c r="N258" s="23">
        <v>103.9280508832265</v>
      </c>
      <c r="O258" s="24">
        <v>0</v>
      </c>
      <c r="P258" s="25">
        <v>10.24972360557671</v>
      </c>
      <c r="Q258" s="26"/>
      <c r="R258" s="26"/>
      <c r="S258" s="27">
        <v>3.7953541656778132E-2</v>
      </c>
      <c r="U258" s="117"/>
      <c r="V258" s="117">
        <f>(1+S258)*R257*(1-U258)+S258</f>
        <v>4.9038878119589631E-2</v>
      </c>
      <c r="W258" s="117">
        <f>V258+I258/3</f>
        <v>-0.23187675234764593</v>
      </c>
      <c r="X258" s="117">
        <f>V258+I258/5</f>
        <v>-0.11951050016075171</v>
      </c>
      <c r="Y258" s="117">
        <f>V258-E258</f>
        <v>-0.85339751543780196</v>
      </c>
      <c r="Z258" s="100"/>
      <c r="AA258" s="100"/>
      <c r="AB258" s="100"/>
      <c r="AC258" s="117"/>
      <c r="AD258" s="117"/>
      <c r="AE258" s="117"/>
      <c r="AF258" s="117"/>
      <c r="AH258" s="27"/>
      <c r="AI258" s="58"/>
    </row>
    <row r="259" spans="1:35" s="128" customFormat="1" x14ac:dyDescent="0.2">
      <c r="A259" s="128" t="s">
        <v>166</v>
      </c>
      <c r="B259" s="128" t="s">
        <v>34</v>
      </c>
      <c r="C259" s="137">
        <v>2.0472150599036798</v>
      </c>
      <c r="D259" s="19">
        <v>1.525620766574918</v>
      </c>
      <c r="E259" s="29">
        <v>0.25478236436640062</v>
      </c>
      <c r="F259" s="20">
        <v>3.8194066263697342</v>
      </c>
      <c r="G259" s="39">
        <v>0.86565969603087689</v>
      </c>
      <c r="H259" s="21">
        <v>-6.8736248604026384E-2</v>
      </c>
      <c r="I259" s="21">
        <v>6.1952018907768032E-2</v>
      </c>
      <c r="J259" s="21">
        <v>0.25628736929472451</v>
      </c>
      <c r="K259" s="19">
        <v>2.5035098564792482</v>
      </c>
      <c r="L259" s="22">
        <v>1.6000636953761029</v>
      </c>
      <c r="M259" s="32">
        <v>0.21841934112609321</v>
      </c>
      <c r="N259" s="23">
        <v>3.725355178903949</v>
      </c>
      <c r="O259" s="24">
        <v>0.81971852975682213</v>
      </c>
      <c r="P259" s="25">
        <v>2.3282542999191582</v>
      </c>
      <c r="Q259" s="26"/>
      <c r="R259" s="26"/>
      <c r="S259" s="27"/>
      <c r="V259" s="99"/>
      <c r="W259" s="102">
        <f>V257+I259/3</f>
        <v>9.5445839270525329E-2</v>
      </c>
      <c r="X259" s="117">
        <f>V257+I259/5</f>
        <v>8.7185570082822933E-2</v>
      </c>
      <c r="Y259" s="117">
        <f>V257-E259</f>
        <v>-0.1799871980651313</v>
      </c>
      <c r="Z259" s="100"/>
      <c r="AA259" s="100"/>
      <c r="AB259" s="100"/>
      <c r="AC259" s="117"/>
      <c r="AD259" s="117"/>
      <c r="AE259" s="117"/>
      <c r="AF259" s="117"/>
      <c r="AH259" s="27"/>
      <c r="AI259" s="58"/>
    </row>
    <row r="260" spans="1:35" s="128" customFormat="1" x14ac:dyDescent="0.2">
      <c r="B260" s="128" t="s">
        <v>35</v>
      </c>
      <c r="C260" s="138">
        <v>1.1099508462833669</v>
      </c>
      <c r="D260" s="19">
        <v>0.9680524479682322</v>
      </c>
      <c r="E260" s="29">
        <v>0.12784205606065929</v>
      </c>
      <c r="F260" s="20">
        <v>3.6135193001825519</v>
      </c>
      <c r="G260" s="39">
        <v>2.255566958016475</v>
      </c>
      <c r="H260" s="21">
        <v>0.32170463393131499</v>
      </c>
      <c r="I260" s="21">
        <v>0.57427214602729015</v>
      </c>
      <c r="J260" s="21">
        <v>0.84213075124383607</v>
      </c>
      <c r="K260" s="19">
        <v>3.7327722353955912</v>
      </c>
      <c r="L260" s="22">
        <v>0.9680524479682322</v>
      </c>
      <c r="M260" s="32">
        <v>0.12784205606065929</v>
      </c>
      <c r="N260" s="23">
        <v>2.064881558514049</v>
      </c>
      <c r="O260" s="24">
        <v>0.86033603688689086</v>
      </c>
      <c r="P260" s="25">
        <v>2.133026534717064</v>
      </c>
      <c r="Q260" s="26"/>
      <c r="R260" s="26"/>
      <c r="S260" s="27"/>
      <c r="T260" s="58">
        <f>T257/C259</f>
        <v>4690.0837083778342</v>
      </c>
      <c r="U260" s="58"/>
      <c r="V260" s="58">
        <f>T257/C257</f>
        <v>492.27115126088199</v>
      </c>
      <c r="W260" s="117">
        <f>V258+I260/3</f>
        <v>0.240462926795353</v>
      </c>
      <c r="X260" s="117">
        <f>V258+I260/5</f>
        <v>0.16389330732504767</v>
      </c>
      <c r="Y260" s="117">
        <f>V258-E260</f>
        <v>-7.8803177941069669E-2</v>
      </c>
      <c r="Z260" s="100"/>
      <c r="AA260" s="100"/>
      <c r="AB260" s="100"/>
      <c r="AC260" s="117"/>
      <c r="AD260" s="117"/>
      <c r="AE260" s="117"/>
      <c r="AF260" s="117"/>
      <c r="AH260" s="27"/>
      <c r="AI260" s="58"/>
    </row>
    <row r="261" spans="1:35" x14ac:dyDescent="0.2">
      <c r="E261" s="16"/>
      <c r="F261" s="16"/>
      <c r="G261" s="16"/>
      <c r="H261" s="16"/>
      <c r="I261" s="16"/>
      <c r="J261" s="16"/>
      <c r="M261" s="14"/>
      <c r="O261" s="78"/>
      <c r="P261" s="7"/>
      <c r="T261" s="99"/>
    </row>
    <row r="262" spans="1:35" x14ac:dyDescent="0.2">
      <c r="A262" t="s">
        <v>167</v>
      </c>
      <c r="B262" t="s">
        <v>30</v>
      </c>
      <c r="C262" s="142">
        <v>6.6555054878141986</v>
      </c>
      <c r="D262" s="88">
        <v>5.9577344887218446</v>
      </c>
      <c r="E262" s="89">
        <v>0.1048411725255021</v>
      </c>
      <c r="F262" s="90">
        <v>13.96247570491461</v>
      </c>
      <c r="G262" s="91">
        <v>1.097883583820793</v>
      </c>
      <c r="H262" s="92">
        <v>4.6570355884213648E-2</v>
      </c>
      <c r="I262" s="92">
        <v>0.25795903837197393</v>
      </c>
      <c r="J262" s="92">
        <v>0.45937785628617139</v>
      </c>
      <c r="K262" s="88">
        <v>2.3435881090951529</v>
      </c>
      <c r="L262" s="93">
        <v>5.9577344887218446</v>
      </c>
      <c r="M262" s="94">
        <v>0.1048411725255021</v>
      </c>
      <c r="N262" s="95">
        <v>11.30018865152276</v>
      </c>
      <c r="O262" s="96">
        <v>0.69787083373496994</v>
      </c>
      <c r="P262" s="97">
        <v>1.8967257894614691</v>
      </c>
      <c r="Q262" s="98">
        <v>0.11716505725817029</v>
      </c>
      <c r="R262" s="98">
        <v>0.1143152269608461</v>
      </c>
      <c r="S262" s="99">
        <v>5.2178931729963671E-2</v>
      </c>
      <c r="T262">
        <v>4271.3999999999996</v>
      </c>
      <c r="U262" s="117">
        <f>C262*S262</f>
        <v>0.34727716647705564</v>
      </c>
      <c r="V262" s="102">
        <f>(1+S262)*Q262*(1-U262)+S262</f>
        <v>0.13264569195601394</v>
      </c>
      <c r="W262" s="102">
        <f>V262+I262/3</f>
        <v>0.21863203808000525</v>
      </c>
      <c r="X262" s="117">
        <f>V262+I262/5</f>
        <v>0.18423749963040872</v>
      </c>
      <c r="Y262" s="117">
        <f>V262-E262</f>
        <v>2.7804519430511848E-2</v>
      </c>
      <c r="Z262" s="100"/>
      <c r="AA262" s="100"/>
      <c r="AB262" s="100"/>
      <c r="AI262" s="58"/>
    </row>
    <row r="263" spans="1:35" x14ac:dyDescent="0.2">
      <c r="A263" t="s">
        <v>168</v>
      </c>
      <c r="B263" t="s">
        <v>32</v>
      </c>
      <c r="C263" s="142">
        <v>7.6844177031022056</v>
      </c>
      <c r="D263" s="88">
        <v>6.9992318145653156</v>
      </c>
      <c r="E263" s="89">
        <v>8.9165622563734392E-2</v>
      </c>
      <c r="F263" s="90">
        <v>20.265599227195999</v>
      </c>
      <c r="G263" s="91">
        <v>1.6372329056259869</v>
      </c>
      <c r="H263" s="92">
        <v>0.1245734631964199</v>
      </c>
      <c r="I263" s="92">
        <v>0.25015124634146918</v>
      </c>
      <c r="J263" s="92">
        <v>0.64582676049652377</v>
      </c>
      <c r="K263" s="88">
        <v>2.8954033476964618</v>
      </c>
      <c r="L263" s="93">
        <v>6.9992318145653156</v>
      </c>
      <c r="M263" s="94">
        <v>8.9165622563734392E-2</v>
      </c>
      <c r="N263" s="95">
        <v>12.823911612023339</v>
      </c>
      <c r="O263" s="96">
        <v>0.66882021611687237</v>
      </c>
      <c r="P263" s="97">
        <v>1.832188438927961</v>
      </c>
      <c r="Q263" s="98"/>
      <c r="R263" s="98"/>
      <c r="S263" s="99">
        <v>4.320502422202023E-2</v>
      </c>
      <c r="U263" s="117"/>
      <c r="V263" s="117">
        <f>(1+S263)*R262*(1-U263)+S263</f>
        <v>0.16245924333265543</v>
      </c>
      <c r="W263" s="117">
        <f>V263+I263/3</f>
        <v>0.24584299211314514</v>
      </c>
      <c r="X263" s="117">
        <f>V263+I263/5</f>
        <v>0.21248949260094926</v>
      </c>
      <c r="Y263" s="117">
        <f>V263-E263</f>
        <v>7.3293620768921042E-2</v>
      </c>
      <c r="Z263" s="100"/>
      <c r="AA263" s="100"/>
      <c r="AB263" s="100"/>
      <c r="AI263" s="58"/>
    </row>
    <row r="264" spans="1:35" x14ac:dyDescent="0.2">
      <c r="A264" t="s">
        <v>77</v>
      </c>
      <c r="B264" t="s">
        <v>34</v>
      </c>
      <c r="C264" s="142">
        <v>0.77979268156181691</v>
      </c>
      <c r="D264" s="88">
        <v>0.69171086596893483</v>
      </c>
      <c r="E264" s="89">
        <v>0.112955427353417</v>
      </c>
      <c r="F264" s="90">
        <v>1.935341701113203</v>
      </c>
      <c r="G264" s="91">
        <v>1.4818669716635211</v>
      </c>
      <c r="H264" s="92">
        <v>0.18060029282561499</v>
      </c>
      <c r="I264" s="92">
        <v>0.38081677292670091</v>
      </c>
      <c r="J264" s="92">
        <v>0.63553397104801879</v>
      </c>
      <c r="K264" s="88">
        <v>2.7979055936937112</v>
      </c>
      <c r="L264" s="93">
        <v>0.69171086596893483</v>
      </c>
      <c r="M264" s="94">
        <v>0.112955427353417</v>
      </c>
      <c r="N264" s="95">
        <v>1.420492826102008</v>
      </c>
      <c r="O264" s="96">
        <v>0.82162882480117316</v>
      </c>
      <c r="P264" s="97">
        <v>2.053593337893008</v>
      </c>
      <c r="Q264" s="98"/>
      <c r="R264" s="98"/>
      <c r="U264" s="128"/>
      <c r="W264" s="102">
        <f>V262+I264/3</f>
        <v>0.25958461626491425</v>
      </c>
      <c r="X264" s="117">
        <f>V262+I264/5</f>
        <v>0.20880904654135413</v>
      </c>
      <c r="Y264" s="117">
        <f>V262-E264</f>
        <v>1.9690264602596944E-2</v>
      </c>
      <c r="Z264" s="100"/>
      <c r="AA264" s="100"/>
      <c r="AB264" s="100"/>
      <c r="AI264" s="58"/>
    </row>
    <row r="265" spans="1:35" x14ac:dyDescent="0.2">
      <c r="B265" t="s">
        <v>35</v>
      </c>
      <c r="C265" s="142">
        <v>0.87844595379207213</v>
      </c>
      <c r="D265" s="88">
        <v>0.76265923831989813</v>
      </c>
      <c r="E265" s="89">
        <v>0.13180858193079081</v>
      </c>
      <c r="F265" s="90">
        <v>2.4640291850677341</v>
      </c>
      <c r="G265" s="91">
        <v>1.804986663585872</v>
      </c>
      <c r="H265" s="92">
        <v>0.15918396361477399</v>
      </c>
      <c r="I265" s="92">
        <v>0.3109610996308263</v>
      </c>
      <c r="J265" s="92">
        <v>0.75450475377126569</v>
      </c>
      <c r="K265" s="88">
        <v>3.230838966162493</v>
      </c>
      <c r="L265" s="93">
        <v>0.76265923831989813</v>
      </c>
      <c r="M265" s="94">
        <v>0.13180858193079081</v>
      </c>
      <c r="N265" s="95">
        <v>1.5341414700345779</v>
      </c>
      <c r="O265" s="96">
        <v>0.74642670207768846</v>
      </c>
      <c r="P265" s="97">
        <v>2.0115687228993888</v>
      </c>
      <c r="Q265" s="98"/>
      <c r="R265" s="98"/>
      <c r="U265" s="128"/>
      <c r="W265" s="117">
        <f>V263+I265/3</f>
        <v>0.26611294320959755</v>
      </c>
      <c r="X265" s="117">
        <f>V263+I265/5</f>
        <v>0.22465146325882068</v>
      </c>
      <c r="Y265" s="117">
        <f>V263-E265</f>
        <v>3.0650661401864621E-2</v>
      </c>
      <c r="Z265" s="100"/>
      <c r="AA265" s="100"/>
      <c r="AB265" s="100"/>
      <c r="AI265" s="58"/>
    </row>
    <row r="266" spans="1:35" x14ac:dyDescent="0.2">
      <c r="C266" s="87"/>
      <c r="D266" s="88"/>
      <c r="F266" s="90"/>
      <c r="K266" s="88"/>
      <c r="L266" s="93"/>
      <c r="M266" s="94"/>
      <c r="N266" s="95"/>
      <c r="P266" s="97"/>
      <c r="Q266" s="98"/>
      <c r="R266" s="98"/>
      <c r="Z266" s="100"/>
      <c r="AA266" s="100"/>
      <c r="AB266" s="100"/>
      <c r="AI266" s="58"/>
    </row>
    <row r="267" spans="1:35" x14ac:dyDescent="0.2">
      <c r="A267" t="s">
        <v>169</v>
      </c>
      <c r="B267" t="s">
        <v>30</v>
      </c>
      <c r="C267" s="140">
        <v>18.57335626577899</v>
      </c>
      <c r="D267" s="88">
        <v>13.061740516872909</v>
      </c>
      <c r="E267" s="89">
        <v>0.29674850737995639</v>
      </c>
      <c r="F267" s="90">
        <v>34.720757924528137</v>
      </c>
      <c r="G267" s="91">
        <v>0.86938523267872703</v>
      </c>
      <c r="H267" s="92">
        <v>-0.1008140345252614</v>
      </c>
      <c r="I267" s="92">
        <v>5.1116861332579637E-2</v>
      </c>
      <c r="J267" s="92">
        <v>0.5073475202267943</v>
      </c>
      <c r="K267" s="88">
        <v>2.6582030074534488</v>
      </c>
      <c r="L267" s="93">
        <v>13.061740516872909</v>
      </c>
      <c r="M267" s="94">
        <v>0.29674850737995639</v>
      </c>
      <c r="N267" s="95">
        <v>28.046258174748921</v>
      </c>
      <c r="O267" s="96">
        <v>0.51002639336777045</v>
      </c>
      <c r="P267" s="97">
        <v>2.1472068089638809</v>
      </c>
      <c r="Q267" s="98">
        <v>7.2552651857038852E-2</v>
      </c>
      <c r="R267" s="98">
        <v>6.8587436599012758E-2</v>
      </c>
      <c r="S267" s="99">
        <v>2.5327561198022399E-2</v>
      </c>
      <c r="T267">
        <v>15739.03</v>
      </c>
      <c r="U267" s="117">
        <f>C267*S267</f>
        <v>0.47041781747419015</v>
      </c>
      <c r="V267" s="102">
        <f>(1+S267)*Q267*(1-U267)+S267</f>
        <v>6.472330345964486E-2</v>
      </c>
      <c r="W267" s="102">
        <f>V267+I267/3</f>
        <v>8.1762257237171398E-2</v>
      </c>
      <c r="X267" s="117">
        <f>V267+I267/5</f>
        <v>7.4946675726160789E-2</v>
      </c>
      <c r="Y267" s="117">
        <f>V267-E267</f>
        <v>-0.23202520392031153</v>
      </c>
      <c r="Z267" s="100"/>
      <c r="AA267" s="100"/>
      <c r="AB267" s="100"/>
      <c r="AI267" s="58"/>
    </row>
    <row r="268" spans="1:35" x14ac:dyDescent="0.2">
      <c r="A268" t="s">
        <v>170</v>
      </c>
      <c r="B268" s="129" t="s">
        <v>32</v>
      </c>
      <c r="C268" s="140">
        <v>18.966509933138589</v>
      </c>
      <c r="D268" s="88">
        <v>12.83855857740758</v>
      </c>
      <c r="E268" s="89">
        <v>0.32309325106904108</v>
      </c>
      <c r="F268" s="90">
        <v>41.311762294819111</v>
      </c>
      <c r="G268" s="91">
        <v>1.1781425491802551</v>
      </c>
      <c r="H268" s="92">
        <v>-0.1434685818300738</v>
      </c>
      <c r="I268" s="92">
        <v>4.7326399563520924E-3</v>
      </c>
      <c r="J268" s="92">
        <v>0.5248736710441384</v>
      </c>
      <c r="K268" s="88">
        <v>3.2177881999554629</v>
      </c>
      <c r="L268" s="93">
        <v>12.83855857740758</v>
      </c>
      <c r="M268" s="94">
        <v>0.32309325106904108</v>
      </c>
      <c r="N268" s="95">
        <v>36.471706527725843</v>
      </c>
      <c r="O268" s="96">
        <v>0.92295296584860287</v>
      </c>
      <c r="P268" s="97">
        <v>2.840794494789022</v>
      </c>
      <c r="Q268" s="98"/>
      <c r="R268" s="98"/>
      <c r="S268" s="99">
        <v>2.603792791964293E-2</v>
      </c>
      <c r="U268" s="117"/>
      <c r="V268" s="117">
        <f>(1+S268)*R267*(1-U268)+S268</f>
        <v>9.6411239249013875E-2</v>
      </c>
      <c r="W268" s="117">
        <f>V268+I268/3</f>
        <v>9.7988785901131234E-2</v>
      </c>
      <c r="X268" s="117">
        <f>V268+I268/5</f>
        <v>9.735776724028429E-2</v>
      </c>
      <c r="Y268" s="117">
        <f>V268-E268</f>
        <v>-0.2266820118200272</v>
      </c>
      <c r="Z268" s="100"/>
      <c r="AA268" s="100"/>
      <c r="AB268" s="100"/>
      <c r="AI268" s="58"/>
    </row>
    <row r="269" spans="1:35" x14ac:dyDescent="0.2">
      <c r="A269" t="s">
        <v>171</v>
      </c>
      <c r="B269" t="s">
        <v>34</v>
      </c>
      <c r="C269" s="142">
        <v>1.347546250967814</v>
      </c>
      <c r="D269" s="88">
        <v>1.099649574424937</v>
      </c>
      <c r="E269" s="89">
        <v>0.18396153480063199</v>
      </c>
      <c r="F269" s="90">
        <v>2.7267054868619751</v>
      </c>
      <c r="G269" s="91">
        <v>1.0234596659696411</v>
      </c>
      <c r="H269" s="92">
        <v>1.257498959039305E-2</v>
      </c>
      <c r="I269" s="92">
        <v>0.11285468105027439</v>
      </c>
      <c r="J269" s="92">
        <v>0.6152807130813196</v>
      </c>
      <c r="K269" s="88">
        <v>2.4796130970067511</v>
      </c>
      <c r="L269" s="93">
        <v>1.099649574424937</v>
      </c>
      <c r="M269" s="94">
        <v>0.18396153480063199</v>
      </c>
      <c r="N269" s="95">
        <v>2.0623996842910208</v>
      </c>
      <c r="O269" s="96">
        <v>0.53048526743315549</v>
      </c>
      <c r="P269" s="97">
        <v>1.8755062815075021</v>
      </c>
      <c r="Q269" s="98"/>
      <c r="R269" s="98"/>
      <c r="U269" s="128"/>
      <c r="W269" s="102">
        <f>V267+I269/3</f>
        <v>0.10234153047640299</v>
      </c>
      <c r="X269" s="117">
        <f>V267+I269/5</f>
        <v>8.7294239669699736E-2</v>
      </c>
      <c r="Y269" s="117">
        <f>V267-E269</f>
        <v>-0.11923823134098713</v>
      </c>
      <c r="Z269" s="100"/>
      <c r="AA269" s="100"/>
      <c r="AB269" s="100"/>
      <c r="AI269" s="58"/>
    </row>
    <row r="270" spans="1:35" x14ac:dyDescent="0.2">
      <c r="B270" t="s">
        <v>35</v>
      </c>
      <c r="C270" s="140">
        <v>1.300864297543689</v>
      </c>
      <c r="D270" s="88">
        <v>1.0969627176034189</v>
      </c>
      <c r="E270" s="89">
        <v>0.1567431593943194</v>
      </c>
      <c r="F270" s="90">
        <v>2.51152880519171</v>
      </c>
      <c r="G270" s="91">
        <v>0.9306616454414316</v>
      </c>
      <c r="H270" s="92">
        <v>-9.1378176720882109E-3</v>
      </c>
      <c r="I270" s="92">
        <v>7.276149030619683E-2</v>
      </c>
      <c r="J270" s="92">
        <v>0.63381198079735479</v>
      </c>
      <c r="K270" s="88">
        <v>2.289529776070014</v>
      </c>
      <c r="L270" s="93">
        <v>1.0969627176034189</v>
      </c>
      <c r="M270" s="94">
        <v>0.1567431593943194</v>
      </c>
      <c r="N270" s="95">
        <v>1.937635517508153</v>
      </c>
      <c r="O270" s="96">
        <v>0.48949857503724648</v>
      </c>
      <c r="P270" s="97">
        <v>1.7663640581526669</v>
      </c>
      <c r="Q270" s="98"/>
      <c r="R270" s="98"/>
      <c r="T270" s="58">
        <f>T267/C269</f>
        <v>11679.769795430884</v>
      </c>
      <c r="U270" s="58"/>
      <c r="V270" s="58">
        <f>T267/C267</f>
        <v>847.39827173825472</v>
      </c>
      <c r="W270" s="117">
        <f>V268+I270/3</f>
        <v>0.12066506935107948</v>
      </c>
      <c r="X270" s="117">
        <f>V268+I270/5</f>
        <v>0.11096353731025324</v>
      </c>
      <c r="Y270" s="117">
        <f>V268-E270</f>
        <v>-6.0331920145305529E-2</v>
      </c>
      <c r="Z270" s="100"/>
      <c r="AA270" s="100"/>
      <c r="AB270" s="100"/>
      <c r="AI270" s="58"/>
    </row>
    <row r="271" spans="1:35" x14ac:dyDescent="0.2">
      <c r="C271" s="124"/>
      <c r="D271" s="88"/>
      <c r="F271" s="90"/>
      <c r="K271" s="88"/>
      <c r="L271" s="93"/>
      <c r="M271" s="94"/>
      <c r="N271" s="95"/>
      <c r="P271" s="97"/>
      <c r="Q271" s="98"/>
      <c r="R271" s="98"/>
      <c r="T271" s="58"/>
      <c r="U271" s="58"/>
      <c r="V271" s="58"/>
      <c r="W271" s="117"/>
      <c r="X271" s="117"/>
      <c r="Y271" s="117"/>
      <c r="Z271" s="100"/>
      <c r="AA271" s="100"/>
      <c r="AB271" s="100"/>
      <c r="AI271" s="58"/>
    </row>
    <row r="272" spans="1:35" x14ac:dyDescent="0.2">
      <c r="A272" t="s">
        <v>172</v>
      </c>
      <c r="B272" t="s">
        <v>30</v>
      </c>
      <c r="C272" s="140">
        <v>8.2158210073143092</v>
      </c>
      <c r="D272" s="88">
        <v>6.3188155951961331</v>
      </c>
      <c r="E272" s="89">
        <v>0.2308966335110425</v>
      </c>
      <c r="F272" s="90">
        <v>13.500982534017909</v>
      </c>
      <c r="G272" s="91">
        <v>0.64329073406034243</v>
      </c>
      <c r="H272" s="92">
        <v>-3.1955882823973991E-2</v>
      </c>
      <c r="I272" s="92">
        <v>8.1854665296192231E-2</v>
      </c>
      <c r="J272" s="92">
        <v>0.1887858251207151</v>
      </c>
      <c r="K272" s="88">
        <v>2.1366318308579868</v>
      </c>
      <c r="L272" s="93">
        <v>6.3188155951961331</v>
      </c>
      <c r="M272" s="94">
        <v>0.2308966335110425</v>
      </c>
      <c r="N272" s="95">
        <v>13.500982534017909</v>
      </c>
      <c r="O272" s="96">
        <v>0.64329073406034243</v>
      </c>
      <c r="P272" s="97">
        <v>2.1366318308579868</v>
      </c>
      <c r="Q272" s="98">
        <v>0.13624923173764611</v>
      </c>
      <c r="R272" s="98">
        <v>0.14803595499891881</v>
      </c>
      <c r="S272" s="99">
        <v>4.5917679885321201E-2</v>
      </c>
      <c r="T272">
        <v>5220.45</v>
      </c>
      <c r="U272" s="117"/>
      <c r="V272" s="102"/>
      <c r="W272" s="102"/>
      <c r="X272" s="117"/>
      <c r="Y272" s="117"/>
      <c r="Z272" s="100"/>
      <c r="AA272" s="100"/>
      <c r="AB272" s="100"/>
      <c r="AI272" s="58"/>
    </row>
    <row r="273" spans="1:35" x14ac:dyDescent="0.2">
      <c r="A273" t="s">
        <v>173</v>
      </c>
      <c r="B273" s="129" t="s">
        <v>32</v>
      </c>
      <c r="C273" s="142">
        <v>8.8106420139226316</v>
      </c>
      <c r="D273" s="88">
        <v>7.0524101977778066</v>
      </c>
      <c r="E273" s="89">
        <v>0.19955774089634509</v>
      </c>
      <c r="F273" s="90">
        <v>13.414003091712919</v>
      </c>
      <c r="G273" s="91">
        <v>0.52247737117409021</v>
      </c>
      <c r="H273" s="92">
        <v>1.4945054975058049E-2</v>
      </c>
      <c r="I273" s="92">
        <v>0.11216205197691689</v>
      </c>
      <c r="J273" s="92">
        <v>0.3484539132362261</v>
      </c>
      <c r="K273" s="88">
        <v>1.90204521795111</v>
      </c>
      <c r="L273" s="93">
        <v>7.0524101977778066</v>
      </c>
      <c r="M273" s="94">
        <v>0.19955774089634509</v>
      </c>
      <c r="N273" s="95">
        <v>12.39866710884003</v>
      </c>
      <c r="O273" s="96">
        <v>0.40723764389105538</v>
      </c>
      <c r="P273" s="97">
        <v>1.75807514893941</v>
      </c>
      <c r="Q273" s="98"/>
      <c r="R273" s="98"/>
      <c r="S273" s="99">
        <v>3.7094570627849648E-2</v>
      </c>
      <c r="U273" s="117"/>
      <c r="V273" s="117"/>
      <c r="W273" s="117"/>
      <c r="X273" s="117"/>
      <c r="Y273" s="117"/>
      <c r="Z273" s="100"/>
      <c r="AA273" s="100"/>
      <c r="AB273" s="100"/>
      <c r="AI273" s="58"/>
    </row>
    <row r="274" spans="1:35" x14ac:dyDescent="0.2">
      <c r="A274" t="s">
        <v>174</v>
      </c>
      <c r="B274" t="s">
        <v>34</v>
      </c>
      <c r="C274" s="141">
        <v>1.119399300340588</v>
      </c>
      <c r="D274" s="88">
        <v>0.82943898791564874</v>
      </c>
      <c r="E274" s="89">
        <v>0.25903206508769139</v>
      </c>
      <c r="F274" s="90">
        <v>1.540298989330847</v>
      </c>
      <c r="G274" s="91">
        <v>0.37600495985855659</v>
      </c>
      <c r="H274" s="92">
        <v>-0.1242560251946119</v>
      </c>
      <c r="I274" s="92">
        <v>-6.1804437924759197E-2</v>
      </c>
      <c r="J274" s="92">
        <v>3.2116388999509297E-2</v>
      </c>
      <c r="K274" s="88">
        <v>1.857037119995486</v>
      </c>
      <c r="L274" s="93">
        <v>0.82943898791564874</v>
      </c>
      <c r="M274" s="94">
        <v>0.25903206508769139</v>
      </c>
      <c r="N274" s="95">
        <v>1.540298989330847</v>
      </c>
      <c r="O274" s="96">
        <v>0.37600495985855659</v>
      </c>
      <c r="P274" s="97">
        <v>1.857037119995486</v>
      </c>
      <c r="Q274" s="98"/>
      <c r="R274" s="98"/>
      <c r="U274" s="128"/>
      <c r="W274" s="102"/>
      <c r="X274" s="117"/>
      <c r="Y274" s="117"/>
      <c r="Z274" s="100"/>
      <c r="AA274" s="100"/>
      <c r="AB274" s="100"/>
      <c r="AI274" s="58"/>
    </row>
    <row r="275" spans="1:35" x14ac:dyDescent="0.2">
      <c r="B275" t="s">
        <v>35</v>
      </c>
      <c r="C275" s="139">
        <v>1.304291804684633</v>
      </c>
      <c r="D275" s="88">
        <v>0.89693378053464312</v>
      </c>
      <c r="E275" s="89">
        <v>0.31232123263128692</v>
      </c>
      <c r="F275" s="90">
        <v>1.440712489781026</v>
      </c>
      <c r="G275" s="91">
        <v>0.10459368417896139</v>
      </c>
      <c r="H275" s="92">
        <v>-0.1990489654237878</v>
      </c>
      <c r="I275" s="92">
        <v>-0.1293678469397519</v>
      </c>
      <c r="J275" s="92">
        <v>-2.677804083246638E-2</v>
      </c>
      <c r="K275" s="88">
        <v>1.606264053208307</v>
      </c>
      <c r="L275" s="93">
        <v>0.89693378053464312</v>
      </c>
      <c r="M275" s="94">
        <v>0.31232123263128692</v>
      </c>
      <c r="N275" s="95">
        <v>1.3772661535803501</v>
      </c>
      <c r="O275" s="96">
        <v>5.594940383249658E-2</v>
      </c>
      <c r="P275" s="97">
        <v>1.535527129727895</v>
      </c>
      <c r="Q275" s="98"/>
      <c r="R275" s="98"/>
      <c r="U275" s="128"/>
      <c r="W275" s="117"/>
      <c r="X275" s="117"/>
      <c r="Y275" s="117"/>
      <c r="Z275" s="100"/>
      <c r="AA275" s="100"/>
      <c r="AB275" s="100"/>
      <c r="AI275" s="58"/>
    </row>
    <row r="276" spans="1:35" x14ac:dyDescent="0.2">
      <c r="E276" s="16"/>
      <c r="F276" s="16"/>
      <c r="G276" s="16"/>
      <c r="H276" s="16"/>
      <c r="I276" s="16"/>
      <c r="J276" s="16"/>
      <c r="M276" s="14"/>
      <c r="O276" s="78"/>
      <c r="P276" s="7"/>
      <c r="Q276" s="99"/>
      <c r="T276" s="99"/>
      <c r="W276" s="117"/>
      <c r="X276" s="117"/>
      <c r="Y276" s="117"/>
      <c r="Z276" s="100"/>
      <c r="AA276" s="100"/>
      <c r="AB276" s="100"/>
    </row>
    <row r="277" spans="1:35" x14ac:dyDescent="0.2">
      <c r="A277" t="s">
        <v>175</v>
      </c>
      <c r="B277" t="s">
        <v>30</v>
      </c>
      <c r="C277" s="140">
        <v>43.452057595910951</v>
      </c>
      <c r="D277" s="88">
        <v>30.792687652249398</v>
      </c>
      <c r="E277" s="89">
        <v>0.29134109278297698</v>
      </c>
      <c r="F277" s="90">
        <v>135.27259379478321</v>
      </c>
      <c r="G277" s="91">
        <v>2.1131458733846711</v>
      </c>
      <c r="H277" s="92">
        <v>0</v>
      </c>
      <c r="I277" s="92">
        <v>0.1912946384393561</v>
      </c>
      <c r="J277" s="92">
        <v>0.66435745467884866</v>
      </c>
      <c r="K277" s="88">
        <v>4.393010292653087</v>
      </c>
      <c r="L277" s="93">
        <v>30.792687652249398</v>
      </c>
      <c r="M277" s="94">
        <v>0.29134109278297698</v>
      </c>
      <c r="N277" s="95">
        <v>135.27259379478321</v>
      </c>
      <c r="O277" s="96">
        <v>2.1131458733846711</v>
      </c>
      <c r="P277" s="97">
        <v>4.393010292653087</v>
      </c>
      <c r="Q277" s="98">
        <v>7.0033200693082456E-2</v>
      </c>
      <c r="R277" s="98">
        <v>3.4181743535609192E-3</v>
      </c>
      <c r="S277" s="99">
        <v>4.0108812985687461E-3</v>
      </c>
      <c r="T277">
        <v>4435.5388000000003</v>
      </c>
      <c r="U277" s="117"/>
      <c r="V277" s="102"/>
      <c r="W277" s="102"/>
      <c r="X277" s="117"/>
      <c r="Y277" s="117"/>
      <c r="Z277" s="100"/>
      <c r="AA277" s="100"/>
      <c r="AB277" s="100"/>
      <c r="AI277" s="58"/>
    </row>
    <row r="278" spans="1:35" x14ac:dyDescent="0.2">
      <c r="A278" t="s">
        <v>176</v>
      </c>
      <c r="B278" t="s">
        <v>32</v>
      </c>
      <c r="C278" s="139">
        <v>523.6221423547521</v>
      </c>
      <c r="D278" s="88">
        <v>19.265745059857341</v>
      </c>
      <c r="E278" s="89">
        <v>0.96320677927556997</v>
      </c>
      <c r="F278" s="90">
        <v>-4.4041209039037357</v>
      </c>
      <c r="G278" s="91">
        <v>-1.0084108759879751</v>
      </c>
      <c r="H278" s="92">
        <v>-0.24599283265724939</v>
      </c>
      <c r="I278" s="92">
        <v>-1.061721547401127</v>
      </c>
      <c r="J278" s="92">
        <v>-1.024434476861299</v>
      </c>
      <c r="K278" s="88">
        <v>-0.22859852501008579</v>
      </c>
      <c r="L278" s="93">
        <v>22.44999181318045</v>
      </c>
      <c r="M278" s="94">
        <v>0.95712558733245723</v>
      </c>
      <c r="N278" s="95">
        <v>-4.4041209039037357</v>
      </c>
      <c r="O278" s="96">
        <v>-1.0084108759879751</v>
      </c>
      <c r="P278" s="97">
        <v>-0.19617472204680561</v>
      </c>
      <c r="Q278" s="98"/>
      <c r="R278" s="98"/>
      <c r="S278" s="99">
        <v>6.4266112366359786E-3</v>
      </c>
      <c r="U278" s="117"/>
      <c r="V278" s="117"/>
      <c r="W278" s="117"/>
      <c r="X278" s="117"/>
      <c r="Y278" s="117"/>
      <c r="Z278" s="100"/>
      <c r="AA278" s="100"/>
      <c r="AB278" s="100"/>
      <c r="AI278" s="58"/>
    </row>
    <row r="279" spans="1:35" x14ac:dyDescent="0.2">
      <c r="A279" t="s">
        <v>177</v>
      </c>
      <c r="B279" t="s">
        <v>34</v>
      </c>
      <c r="C279" s="142">
        <v>3.0430866701418098</v>
      </c>
      <c r="D279" s="88">
        <v>1.74175815471947</v>
      </c>
      <c r="E279" s="89">
        <v>0.42763439115642959</v>
      </c>
      <c r="F279" s="90">
        <v>10.20537884397576</v>
      </c>
      <c r="G279" s="91">
        <v>2.3536274021075392</v>
      </c>
      <c r="H279" s="92">
        <v>0.54351571968889156</v>
      </c>
      <c r="I279" s="92">
        <v>0.99178087107993296</v>
      </c>
      <c r="J279" s="92">
        <v>1.505439716193536</v>
      </c>
      <c r="K279" s="88">
        <v>5.859239881451539</v>
      </c>
      <c r="L279" s="93">
        <v>1.74175815471947</v>
      </c>
      <c r="M279" s="94">
        <v>0.42763439115642959</v>
      </c>
      <c r="N279" s="95">
        <v>9.5458757609510361</v>
      </c>
      <c r="O279" s="96">
        <v>2.1369056473525259</v>
      </c>
      <c r="P279" s="97">
        <v>5.4805977139165503</v>
      </c>
      <c r="Q279" s="98"/>
      <c r="R279" s="98"/>
      <c r="U279" s="128"/>
      <c r="W279" s="102"/>
      <c r="X279" s="117"/>
      <c r="Y279" s="117"/>
      <c r="Z279" s="100"/>
      <c r="AA279" s="100"/>
      <c r="AB279" s="100"/>
      <c r="AI279" s="58"/>
    </row>
    <row r="280" spans="1:35" x14ac:dyDescent="0.2">
      <c r="B280" t="s">
        <v>35</v>
      </c>
      <c r="C280" s="140">
        <v>1.7898317779536379</v>
      </c>
      <c r="D280" s="88">
        <v>0.84358098616189903</v>
      </c>
      <c r="E280" s="89">
        <v>0.52868141210098119</v>
      </c>
      <c r="F280" s="90">
        <v>5.8641337294203533</v>
      </c>
      <c r="G280" s="91">
        <v>2.276360271201002</v>
      </c>
      <c r="H280" s="92">
        <v>-7.9627666326014368E-2</v>
      </c>
      <c r="I280" s="92">
        <v>0.1377674418972481</v>
      </c>
      <c r="J280" s="92">
        <v>0.61668533409937765</v>
      </c>
      <c r="K280" s="88">
        <v>6.9514768891376084</v>
      </c>
      <c r="L280" s="93">
        <v>0.84358098616189903</v>
      </c>
      <c r="M280" s="94">
        <v>0.52868141210098119</v>
      </c>
      <c r="N280" s="95">
        <v>5.8641337294203533</v>
      </c>
      <c r="O280" s="96">
        <v>2.276360271201002</v>
      </c>
      <c r="P280" s="97">
        <v>6.9514768891376084</v>
      </c>
      <c r="Q280" s="98"/>
      <c r="R280" s="98"/>
      <c r="U280" s="128"/>
      <c r="W280" s="117"/>
      <c r="X280" s="117"/>
      <c r="Y280" s="117"/>
      <c r="Z280" s="100"/>
      <c r="AA280" s="100"/>
      <c r="AB280" s="100"/>
      <c r="AI280" s="58"/>
    </row>
    <row r="281" spans="1:35" x14ac:dyDescent="0.2">
      <c r="E281" s="16"/>
      <c r="F281" s="16"/>
      <c r="G281" s="16"/>
      <c r="H281" s="16"/>
      <c r="I281" s="16"/>
      <c r="J281" s="16"/>
      <c r="M281" s="14"/>
      <c r="O281" s="78"/>
      <c r="P281" s="7"/>
      <c r="Q281" s="99"/>
      <c r="T281" s="99"/>
      <c r="W281" s="117"/>
      <c r="X281" s="117"/>
      <c r="Y281" s="117"/>
      <c r="Z281" s="100"/>
      <c r="AA281" s="100"/>
      <c r="AB281" s="100"/>
    </row>
    <row r="282" spans="1:35" x14ac:dyDescent="0.2">
      <c r="A282" t="s">
        <v>178</v>
      </c>
      <c r="B282" t="s">
        <v>30</v>
      </c>
      <c r="C282" s="131">
        <v>59.295726410578709</v>
      </c>
      <c r="D282" s="88">
        <v>31.78610136482062</v>
      </c>
      <c r="E282" s="89">
        <v>0.46393942213093808</v>
      </c>
      <c r="F282" s="90">
        <v>135.27259379478321</v>
      </c>
      <c r="G282" s="91">
        <v>1.2813211336365351</v>
      </c>
      <c r="H282" s="92">
        <v>-0.22026528845538221</v>
      </c>
      <c r="I282" s="92">
        <v>-5.0370684841726243E-3</v>
      </c>
      <c r="J282" s="92">
        <v>0.29675260975429069</v>
      </c>
      <c r="K282" s="88">
        <v>4.2557151706719427</v>
      </c>
      <c r="L282" s="93">
        <v>31.78610136482062</v>
      </c>
      <c r="M282" s="94">
        <v>0.46393942213093808</v>
      </c>
      <c r="N282" s="95">
        <v>135.27259379478321</v>
      </c>
      <c r="O282" s="96">
        <v>1.2813211336365351</v>
      </c>
      <c r="P282" s="97">
        <v>4.2557151706719427</v>
      </c>
      <c r="Q282" s="98">
        <v>0.1336777660269112</v>
      </c>
      <c r="R282" s="98">
        <v>3.5485205952339262E-2</v>
      </c>
      <c r="S282" s="99">
        <v>7.9139557471616352E-4</v>
      </c>
      <c r="T282">
        <v>10701.86</v>
      </c>
      <c r="U282" s="117"/>
      <c r="V282" s="102"/>
      <c r="W282" s="102"/>
      <c r="X282" s="117"/>
      <c r="Y282" s="117"/>
      <c r="Z282" s="100"/>
      <c r="AA282" s="100"/>
      <c r="AB282" s="100"/>
      <c r="AI282" s="58"/>
    </row>
    <row r="283" spans="1:35" x14ac:dyDescent="0.2">
      <c r="A283" t="s">
        <v>176</v>
      </c>
      <c r="B283" t="s">
        <v>32</v>
      </c>
      <c r="C283" s="130">
        <v>150.30024591386791</v>
      </c>
      <c r="D283" s="88">
        <v>19.265745059857341</v>
      </c>
      <c r="E283" s="89">
        <v>0.87181827319898131</v>
      </c>
      <c r="F283" s="90">
        <v>-5.4191509417412664</v>
      </c>
      <c r="G283" s="91">
        <v>-1.0360555028289631</v>
      </c>
      <c r="H283" s="92">
        <v>0.37409984757945952</v>
      </c>
      <c r="I283" s="92">
        <v>-1.2501222074624689</v>
      </c>
      <c r="J283" s="92">
        <v>-1.086707289019103</v>
      </c>
      <c r="K283" s="88">
        <v>-0.2812842651506256</v>
      </c>
      <c r="L283" s="93">
        <v>22.446860141078279</v>
      </c>
      <c r="M283" s="94">
        <v>0.85065320416081136</v>
      </c>
      <c r="N283" s="95">
        <v>-5.4191509417412664</v>
      </c>
      <c r="O283" s="96">
        <v>-1.0360555028289631</v>
      </c>
      <c r="P283" s="97">
        <v>-0.24142133499660801</v>
      </c>
      <c r="Q283" s="98"/>
      <c r="R283" s="98"/>
      <c r="S283" s="99">
        <v>1.8060284920095641E-3</v>
      </c>
      <c r="U283" s="117"/>
      <c r="V283" s="117"/>
      <c r="W283" s="117"/>
      <c r="X283" s="117"/>
      <c r="Y283" s="117"/>
      <c r="Z283" s="100"/>
      <c r="AA283" s="100"/>
      <c r="AB283" s="100"/>
      <c r="AI283" s="58"/>
    </row>
    <row r="284" spans="1:35" x14ac:dyDescent="0.2">
      <c r="A284" t="s">
        <v>179</v>
      </c>
      <c r="B284" t="s">
        <v>34</v>
      </c>
      <c r="C284" s="131">
        <v>7.9265202415090794</v>
      </c>
      <c r="D284" s="88">
        <v>4.4526070948926044</v>
      </c>
      <c r="E284" s="89">
        <v>0.4382645903588962</v>
      </c>
      <c r="F284" s="90">
        <v>10.20537884397576</v>
      </c>
      <c r="G284" s="91">
        <v>0.28749798562714868</v>
      </c>
      <c r="H284" s="92">
        <v>-0.2921931788889407</v>
      </c>
      <c r="I284" s="92">
        <v>-0.16453286045767079</v>
      </c>
      <c r="J284" s="92">
        <v>1.7796515728686121E-2</v>
      </c>
      <c r="K284" s="88">
        <v>2.2920007596632348</v>
      </c>
      <c r="L284" s="93">
        <v>4.4526070948926044</v>
      </c>
      <c r="M284" s="94">
        <v>0.4382645903588962</v>
      </c>
      <c r="N284" s="95">
        <v>10.20537884397576</v>
      </c>
      <c r="O284" s="96">
        <v>0.28749798562714868</v>
      </c>
      <c r="P284" s="97">
        <v>2.2920007596632348</v>
      </c>
      <c r="Q284" s="98"/>
      <c r="R284" s="98"/>
      <c r="U284" s="128"/>
      <c r="W284" s="102"/>
      <c r="X284" s="117"/>
      <c r="Y284" s="117"/>
      <c r="Z284" s="100"/>
      <c r="AA284" s="100"/>
      <c r="AB284" s="100"/>
      <c r="AI284" s="58"/>
    </row>
    <row r="285" spans="1:35" x14ac:dyDescent="0.2">
      <c r="B285" t="s">
        <v>35</v>
      </c>
      <c r="C285" s="130">
        <v>5.3334351809408389</v>
      </c>
      <c r="D285" s="88">
        <v>0.97291308217479489</v>
      </c>
      <c r="E285" s="89">
        <v>0.81758228061877958</v>
      </c>
      <c r="F285" s="90">
        <v>5.8641337294203533</v>
      </c>
      <c r="G285" s="91">
        <v>9.95040776676126E-2</v>
      </c>
      <c r="H285" s="92">
        <v>-0.6758270346420856</v>
      </c>
      <c r="I285" s="92">
        <v>-0.60897531449017717</v>
      </c>
      <c r="J285" s="92">
        <v>-0.45927481795547648</v>
      </c>
      <c r="K285" s="88">
        <v>6.0273973460321866</v>
      </c>
      <c r="L285" s="93">
        <v>0.97291308217479489</v>
      </c>
      <c r="M285" s="94">
        <v>0.81758228061877958</v>
      </c>
      <c r="N285" s="95">
        <v>5.8641337294203533</v>
      </c>
      <c r="O285" s="96">
        <v>9.95040776676126E-2</v>
      </c>
      <c r="P285" s="97">
        <v>6.0273973460321866</v>
      </c>
      <c r="Q285" s="98"/>
      <c r="R285" s="98"/>
      <c r="U285" s="128"/>
      <c r="W285" s="117"/>
      <c r="X285" s="117"/>
      <c r="Y285" s="117"/>
      <c r="Z285" s="100"/>
      <c r="AA285" s="100"/>
      <c r="AB285" s="100"/>
      <c r="AI285" s="58"/>
    </row>
    <row r="287" spans="1:35" x14ac:dyDescent="0.2">
      <c r="C287" s="103"/>
      <c r="D287" s="88"/>
      <c r="W287" s="117"/>
      <c r="X287" s="117"/>
      <c r="Y287" s="117"/>
      <c r="Z287" s="100"/>
      <c r="AA287" s="100"/>
      <c r="AB287" s="100"/>
    </row>
    <row r="289" spans="1:30" x14ac:dyDescent="0.2">
      <c r="W289" s="117" t="e">
        <f>#REF!+I289/3</f>
        <v>#REF!</v>
      </c>
      <c r="X289" s="117" t="e">
        <f>#REF!+I289/5</f>
        <v>#REF!</v>
      </c>
      <c r="Y289" s="117" t="e">
        <f>#REF!-E289</f>
        <v>#REF!</v>
      </c>
      <c r="Z289" s="100"/>
      <c r="AA289" s="100"/>
      <c r="AB289" s="100"/>
    </row>
    <row r="290" spans="1:30" ht="18" customHeight="1" x14ac:dyDescent="0.2">
      <c r="C290" s="126"/>
      <c r="D290" s="126"/>
    </row>
    <row r="291" spans="1:30" x14ac:dyDescent="0.2">
      <c r="C291" s="61"/>
      <c r="Q291" s="98"/>
      <c r="R291" s="98"/>
      <c r="U291" s="117"/>
      <c r="V291" s="102"/>
      <c r="W291" s="102"/>
      <c r="X291" s="117"/>
      <c r="Y291" s="117"/>
      <c r="Z291" s="100"/>
      <c r="AA291" s="76"/>
      <c r="AB291" s="100"/>
      <c r="AD291" s="36"/>
    </row>
    <row r="292" spans="1:30" x14ac:dyDescent="0.2">
      <c r="C292" s="60"/>
      <c r="Q292" s="98"/>
      <c r="R292" s="98"/>
      <c r="U292" s="117"/>
      <c r="V292" s="117"/>
      <c r="W292" s="117"/>
      <c r="X292" s="117"/>
      <c r="Y292" s="117"/>
      <c r="Z292" s="100"/>
      <c r="AA292" s="117"/>
      <c r="AB292" s="100"/>
    </row>
    <row r="293" spans="1:30" x14ac:dyDescent="0.2">
      <c r="C293" s="60"/>
      <c r="Q293" s="98"/>
      <c r="R293" s="98"/>
      <c r="W293" s="102"/>
      <c r="X293" s="117"/>
      <c r="Y293" s="117"/>
      <c r="Z293" s="100"/>
      <c r="AA293" s="100"/>
      <c r="AB293" s="100"/>
    </row>
    <row r="294" spans="1:30" x14ac:dyDescent="0.2">
      <c r="C294" s="60"/>
      <c r="Q294" s="98"/>
      <c r="R294" s="98"/>
      <c r="W294" s="117"/>
      <c r="X294" s="117"/>
      <c r="Y294" s="117"/>
      <c r="Z294" s="100"/>
      <c r="AA294" s="100"/>
      <c r="AB294" s="100"/>
    </row>
    <row r="296" spans="1:30" ht="18" customHeight="1" x14ac:dyDescent="0.2">
      <c r="A296" t="s">
        <v>180</v>
      </c>
      <c r="B296" t="s">
        <v>30</v>
      </c>
      <c r="C296" s="60">
        <v>10.52</v>
      </c>
      <c r="D296" s="38">
        <v>7.82</v>
      </c>
      <c r="E296" s="89">
        <f>1-D296/C296</f>
        <v>0.25665399239543718</v>
      </c>
      <c r="H296" s="92">
        <f>11.5/C296-1</f>
        <v>9.3155893536121637E-2</v>
      </c>
      <c r="I296" s="92">
        <f>13.42/C296-1</f>
        <v>0.2756653992395437</v>
      </c>
      <c r="J296" s="92">
        <f>15.64/C296-1</f>
        <v>0.48669201520912564</v>
      </c>
      <c r="Q296" s="98">
        <f>C298/C296</f>
        <v>0.1673003802281369</v>
      </c>
      <c r="R296" s="98"/>
      <c r="S296" s="99">
        <v>2.2100000000000002E-2</v>
      </c>
      <c r="U296" s="117">
        <f>C296*S296</f>
        <v>0.232492</v>
      </c>
      <c r="V296" s="102">
        <f>(1+S296)*Q296*(1-U296)+S296</f>
        <v>0.15334211703117873</v>
      </c>
      <c r="W296" s="102">
        <f>V296+I296/3</f>
        <v>0.24523058344435994</v>
      </c>
      <c r="X296" s="117">
        <f>V296+I296/5</f>
        <v>0.20847519687908747</v>
      </c>
      <c r="Y296" s="117">
        <f>V296-E296</f>
        <v>-0.10331187536425845</v>
      </c>
      <c r="Z296" s="100"/>
      <c r="AA296" s="100"/>
      <c r="AB296" s="100"/>
      <c r="AD296" s="36"/>
    </row>
    <row r="297" spans="1:30" x14ac:dyDescent="0.2">
      <c r="A297" s="65">
        <v>399959</v>
      </c>
      <c r="C297" s="41" t="s">
        <v>181</v>
      </c>
      <c r="Q297" s="98"/>
      <c r="R297" s="98"/>
      <c r="U297" s="117"/>
      <c r="V297" s="117">
        <f>(1+S297)*R296*(1-U297)+S297</f>
        <v>0</v>
      </c>
      <c r="W297" s="117">
        <f>V297+I297/3</f>
        <v>0</v>
      </c>
      <c r="X297" s="117">
        <f>V297+I297/5</f>
        <v>0</v>
      </c>
      <c r="Y297" s="117">
        <f>V297-E297</f>
        <v>0</v>
      </c>
      <c r="Z297" s="100"/>
      <c r="AA297" s="100"/>
      <c r="AB297" s="100"/>
    </row>
    <row r="298" spans="1:30" ht="18" customHeight="1" x14ac:dyDescent="0.2">
      <c r="A298" t="s">
        <v>182</v>
      </c>
      <c r="B298" t="s">
        <v>34</v>
      </c>
      <c r="C298" s="62">
        <v>1.76</v>
      </c>
      <c r="D298" s="38">
        <v>1.35</v>
      </c>
      <c r="E298" s="89">
        <f>1-D298/C298</f>
        <v>0.23295454545454541</v>
      </c>
      <c r="H298" s="92">
        <f>2.3/C298-1</f>
        <v>0.30681818181818166</v>
      </c>
      <c r="I298" s="92">
        <f>2.54/C298-1</f>
        <v>0.44318181818181812</v>
      </c>
      <c r="J298" s="92">
        <f>2.83/C298-1</f>
        <v>0.60795454545454541</v>
      </c>
      <c r="W298" s="102">
        <f>V296+I298/3</f>
        <v>0.30106938975845143</v>
      </c>
      <c r="X298" s="117">
        <f>V296+I298/5</f>
        <v>0.24197848066754235</v>
      </c>
      <c r="Y298" s="117">
        <f>V296-E298</f>
        <v>-7.9612428423366688E-2</v>
      </c>
      <c r="Z298" s="100"/>
      <c r="AA298" s="100"/>
      <c r="AB298" s="100"/>
    </row>
    <row r="299" spans="1:30" ht="18" customHeight="1" x14ac:dyDescent="0.2">
      <c r="A299" s="112"/>
      <c r="C299" s="60"/>
      <c r="D299" s="38"/>
      <c r="W299" s="117">
        <f>V297+I299/3</f>
        <v>0</v>
      </c>
      <c r="X299" s="117">
        <f>V297+I299/5</f>
        <v>0</v>
      </c>
      <c r="Y299" s="117">
        <f>V297-E299</f>
        <v>0</v>
      </c>
      <c r="Z299" s="100"/>
      <c r="AA299" s="100"/>
      <c r="AB299" s="100"/>
    </row>
    <row r="301" spans="1:30" x14ac:dyDescent="0.2">
      <c r="A301" t="s">
        <v>183</v>
      </c>
      <c r="B301" t="s">
        <v>30</v>
      </c>
      <c r="C301" s="60">
        <v>10.8</v>
      </c>
      <c r="D301" s="2">
        <v>7.76</v>
      </c>
      <c r="E301" s="89">
        <f>1-D301/C301</f>
        <v>0.28148148148148155</v>
      </c>
      <c r="H301" s="92">
        <f>11.2/C301-1</f>
        <v>3.7037037037036979E-2</v>
      </c>
      <c r="I301" s="92">
        <f>12.42/C301-1</f>
        <v>0.14999999999999991</v>
      </c>
      <c r="J301" s="92">
        <f>14.24/C301-1</f>
        <v>0.31851851851851842</v>
      </c>
      <c r="Q301" s="98">
        <f>C303/C301</f>
        <v>0.12685185185185185</v>
      </c>
      <c r="S301" s="99">
        <v>4.0500000000000001E-2</v>
      </c>
      <c r="U301" s="117">
        <f>C301*S301</f>
        <v>0.43740000000000007</v>
      </c>
      <c r="V301" s="102">
        <f>(1+S301)*Q301*(1-U301)+S301</f>
        <v>0.11475720935185185</v>
      </c>
      <c r="W301" s="102">
        <f>V301+I301/3</f>
        <v>0.16475720935185181</v>
      </c>
      <c r="X301" s="117">
        <f>V301+I301/5</f>
        <v>0.14475720935185182</v>
      </c>
      <c r="Y301" s="117">
        <f>V301-E301</f>
        <v>-0.1667242721296297</v>
      </c>
      <c r="Z301" s="100"/>
      <c r="AA301" s="100"/>
      <c r="AB301" s="100"/>
      <c r="AD301" s="36"/>
    </row>
    <row r="302" spans="1:30" x14ac:dyDescent="0.2">
      <c r="A302" t="s">
        <v>184</v>
      </c>
      <c r="C302" s="60"/>
      <c r="Q302" s="98"/>
      <c r="U302" s="117"/>
      <c r="V302" s="117">
        <f>(1+S302)*R301*(1-U302)+S302</f>
        <v>0</v>
      </c>
      <c r="W302" s="117">
        <f>V302+I302/3</f>
        <v>0</v>
      </c>
      <c r="X302" s="117">
        <f>V302+I302/5</f>
        <v>0</v>
      </c>
      <c r="Y302" s="117">
        <f>V302-E302</f>
        <v>0</v>
      </c>
      <c r="Z302" s="100"/>
      <c r="AA302" s="100"/>
      <c r="AB302" s="100"/>
    </row>
    <row r="303" spans="1:30" x14ac:dyDescent="0.2">
      <c r="A303" t="s">
        <v>185</v>
      </c>
      <c r="B303" t="s">
        <v>34</v>
      </c>
      <c r="C303" s="60">
        <v>1.37</v>
      </c>
      <c r="D303" s="2">
        <v>1.1499999999999999</v>
      </c>
      <c r="E303" s="89">
        <f>1-D303/C303</f>
        <v>0.16058394160583955</v>
      </c>
      <c r="H303" s="92">
        <f>1.61/C303-1</f>
        <v>0.17518248175182483</v>
      </c>
      <c r="I303" s="92">
        <f>1.78/C303-1</f>
        <v>0.2992700729927007</v>
      </c>
      <c r="J303" s="92">
        <f>2.02/C303-1</f>
        <v>0.47445255474452552</v>
      </c>
      <c r="W303" s="102">
        <f>V301+I303/3</f>
        <v>0.21451390034941875</v>
      </c>
      <c r="X303" s="117">
        <f>V301+I303/5</f>
        <v>0.174611223950392</v>
      </c>
      <c r="Y303" s="117">
        <f>V301-E303</f>
        <v>-4.5826732253987701E-2</v>
      </c>
      <c r="Z303" s="100"/>
      <c r="AA303" s="100"/>
      <c r="AB303" s="100"/>
    </row>
    <row r="304" spans="1:30" x14ac:dyDescent="0.2">
      <c r="C304" s="60"/>
      <c r="W304" s="117">
        <f>V302+I304/3</f>
        <v>0</v>
      </c>
      <c r="X304" s="117">
        <f>V302+I304/5</f>
        <v>0</v>
      </c>
      <c r="Y304" s="117">
        <f>V302-E304</f>
        <v>0</v>
      </c>
      <c r="Z304" s="100"/>
      <c r="AA304" s="100"/>
      <c r="AB304" s="100"/>
    </row>
    <row r="306" spans="1:30" x14ac:dyDescent="0.2">
      <c r="A306" t="s">
        <v>186</v>
      </c>
      <c r="B306" t="s">
        <v>30</v>
      </c>
      <c r="C306" s="60">
        <v>6.06</v>
      </c>
      <c r="D306" s="2">
        <v>5.75</v>
      </c>
      <c r="E306" s="89">
        <f>1-D306/C306</f>
        <v>5.1155115511551053E-2</v>
      </c>
      <c r="H306" s="92">
        <f>7.23/C306-1</f>
        <v>0.19306930693069324</v>
      </c>
      <c r="I306" s="92">
        <f>7.88/C306-1</f>
        <v>0.3003300330033003</v>
      </c>
      <c r="J306" s="92">
        <f>8.72/C306-1</f>
        <v>0.43894389438943904</v>
      </c>
      <c r="Q306" s="98">
        <f>C308/C306</f>
        <v>0.11056105610561058</v>
      </c>
      <c r="S306" s="99">
        <v>3.9399999999999998E-2</v>
      </c>
      <c r="U306" s="117">
        <f>C306*S306</f>
        <v>0.23876399999999998</v>
      </c>
      <c r="V306" s="102">
        <f>(1+S306)*Q306*(1-U306)+S306</f>
        <v>0.12687908051617164</v>
      </c>
      <c r="W306" s="102">
        <f>V306+I306/3</f>
        <v>0.22698909151727176</v>
      </c>
      <c r="X306" s="117">
        <f>V306+I306/5</f>
        <v>0.18694508711683169</v>
      </c>
      <c r="Y306" s="117">
        <f>V306-E306</f>
        <v>7.5723965004620586E-2</v>
      </c>
      <c r="Z306" s="100"/>
      <c r="AA306" s="100"/>
      <c r="AB306" s="100"/>
      <c r="AD306" s="36"/>
    </row>
    <row r="307" spans="1:30" x14ac:dyDescent="0.2">
      <c r="A307" t="s">
        <v>187</v>
      </c>
      <c r="C307" s="60"/>
      <c r="Q307" s="98"/>
      <c r="U307" s="117"/>
      <c r="V307" s="117">
        <f>(1+S307)*R306*(1-U307)+S307</f>
        <v>0</v>
      </c>
      <c r="W307" s="117">
        <f>V307+I307/3</f>
        <v>0</v>
      </c>
      <c r="X307" s="117">
        <f>V307+I307/5</f>
        <v>0</v>
      </c>
      <c r="Y307" s="117">
        <f>V307-E307</f>
        <v>0</v>
      </c>
      <c r="Z307" s="100"/>
      <c r="AA307" s="100"/>
      <c r="AB307" s="100"/>
    </row>
    <row r="308" spans="1:30" x14ac:dyDescent="0.2">
      <c r="A308" t="s">
        <v>188</v>
      </c>
      <c r="B308" t="s">
        <v>34</v>
      </c>
      <c r="C308" s="60">
        <v>0.67</v>
      </c>
      <c r="D308" s="2">
        <v>0.63</v>
      </c>
      <c r="E308" s="89">
        <f>1-D308/C308</f>
        <v>5.9701492537313494E-2</v>
      </c>
      <c r="H308" s="92">
        <f>0.88/C308-1</f>
        <v>0.31343283582089554</v>
      </c>
      <c r="I308" s="92">
        <f>0.95/C308-1</f>
        <v>0.4179104477611939</v>
      </c>
      <c r="J308" s="92">
        <f>1.02/C308-1</f>
        <v>0.52238805970149249</v>
      </c>
      <c r="W308" s="102">
        <f>V306+I308/3</f>
        <v>0.26618256310323629</v>
      </c>
      <c r="X308" s="117">
        <f>V306+I308/5</f>
        <v>0.21046117006841042</v>
      </c>
      <c r="Y308" s="117">
        <f>V306-E308</f>
        <v>6.7177587978858144E-2</v>
      </c>
      <c r="Z308" s="100"/>
      <c r="AA308" s="100"/>
      <c r="AB308" s="100"/>
    </row>
    <row r="309" spans="1:30" x14ac:dyDescent="0.2">
      <c r="C309" s="60"/>
      <c r="W309" s="117">
        <f>V307+I309/3</f>
        <v>0</v>
      </c>
      <c r="X309" s="117">
        <f>V307+I309/5</f>
        <v>0</v>
      </c>
      <c r="Y309" s="117">
        <f>V307-E309</f>
        <v>0</v>
      </c>
      <c r="Z309" s="100"/>
      <c r="AA309" s="100"/>
      <c r="AB309" s="100"/>
    </row>
    <row r="311" spans="1:30" x14ac:dyDescent="0.2">
      <c r="A311" t="s">
        <v>189</v>
      </c>
      <c r="B311" t="s">
        <v>30</v>
      </c>
      <c r="C311">
        <v>11.37</v>
      </c>
      <c r="D311" s="2">
        <v>10.68</v>
      </c>
      <c r="E311" s="89">
        <f>1-D311/C311</f>
        <v>6.0686015831134532E-2</v>
      </c>
      <c r="H311" s="92">
        <f>11.71/C311-1</f>
        <v>2.990325417766071E-2</v>
      </c>
      <c r="I311" s="92">
        <f>13.15/C311-1</f>
        <v>0.15655233069481111</v>
      </c>
      <c r="J311" s="92">
        <f>15.66/C311-1</f>
        <v>0.37730870712401066</v>
      </c>
      <c r="Q311" s="98">
        <f>C313/C311</f>
        <v>0.12664907651715041</v>
      </c>
      <c r="S311" s="99">
        <v>1.38E-2</v>
      </c>
      <c r="U311" s="117">
        <f>C311*S311</f>
        <v>0.15690599999999999</v>
      </c>
      <c r="V311" s="117">
        <f>(1+S311)*Q311*(1-U311)+S311</f>
        <v>0.12205060017308708</v>
      </c>
      <c r="W311" s="117">
        <f>V311+I311/3</f>
        <v>0.1742347104046908</v>
      </c>
      <c r="X311" s="117">
        <f>V311+I311/5</f>
        <v>0.15336106631204932</v>
      </c>
      <c r="Y311" s="117">
        <f>V311-E311</f>
        <v>6.1364584341952549E-2</v>
      </c>
      <c r="Z311" s="100"/>
      <c r="AA311" s="100"/>
      <c r="AB311" s="100"/>
    </row>
    <row r="312" spans="1:30" x14ac:dyDescent="0.2">
      <c r="U312" s="117"/>
      <c r="V312" s="117">
        <f>(1+S312)*R311*(1-U312)+S312</f>
        <v>0</v>
      </c>
      <c r="W312" s="117">
        <f>V312+I312/3</f>
        <v>0</v>
      </c>
      <c r="X312" s="117">
        <f>V312+I312/5</f>
        <v>0</v>
      </c>
      <c r="Y312" s="117">
        <f>V312-E312</f>
        <v>0</v>
      </c>
      <c r="Z312" s="100"/>
      <c r="AA312" s="100"/>
      <c r="AB312" s="100"/>
    </row>
    <row r="313" spans="1:30" x14ac:dyDescent="0.2">
      <c r="B313" t="s">
        <v>34</v>
      </c>
      <c r="C313">
        <v>1.44</v>
      </c>
      <c r="D313" s="2">
        <v>1.29</v>
      </c>
      <c r="E313" s="89">
        <f>1-D313/C313</f>
        <v>0.10416666666666663</v>
      </c>
      <c r="H313" s="92">
        <f>1.35/C313-1</f>
        <v>-6.2499999999999889E-2</v>
      </c>
      <c r="I313" s="92">
        <f>1.42/C313-1</f>
        <v>-1.3888888888888951E-2</v>
      </c>
      <c r="J313" s="92">
        <f>1.65/C313-1</f>
        <v>0.14583333333333326</v>
      </c>
      <c r="W313" s="117">
        <f>V311+I313/3</f>
        <v>0.11742097054345743</v>
      </c>
      <c r="X313" s="117">
        <f>V311+I313/5</f>
        <v>0.11927282239530929</v>
      </c>
      <c r="Y313" s="117">
        <f>V311-E313</f>
        <v>1.7883933506420452E-2</v>
      </c>
      <c r="Z313" s="100"/>
      <c r="AA313" s="100"/>
      <c r="AB313" s="100"/>
    </row>
    <row r="314" spans="1:30" x14ac:dyDescent="0.2">
      <c r="W314" s="117">
        <f>V312+I314/3</f>
        <v>0</v>
      </c>
      <c r="X314" s="117">
        <f>V312+I314/5</f>
        <v>0</v>
      </c>
      <c r="Y314" s="117">
        <f>V312-E314</f>
        <v>0</v>
      </c>
      <c r="Z314" s="100"/>
      <c r="AA314" s="100"/>
      <c r="AB314" s="100"/>
    </row>
    <row r="316" spans="1:30" x14ac:dyDescent="0.2">
      <c r="A316" t="s">
        <v>190</v>
      </c>
      <c r="B316" t="s">
        <v>30</v>
      </c>
      <c r="C316">
        <v>8.15</v>
      </c>
      <c r="D316" s="2">
        <v>5.92</v>
      </c>
      <c r="E316" s="89">
        <f>1-D316/C316</f>
        <v>0.27361963190184058</v>
      </c>
      <c r="H316" s="92">
        <f>9.7/C316-1</f>
        <v>0.19018404907975439</v>
      </c>
      <c r="I316" s="92">
        <f>11.76/C316-1</f>
        <v>0.4429447852760735</v>
      </c>
      <c r="J316" s="92">
        <f>13.5/C316-1</f>
        <v>0.65644171779141103</v>
      </c>
      <c r="Q316" s="98">
        <f>C318/C316</f>
        <v>0.12760736196319017</v>
      </c>
      <c r="S316" s="99">
        <v>1.38E-2</v>
      </c>
      <c r="U316" s="117">
        <f>C316*S316</f>
        <v>0.11247</v>
      </c>
      <c r="V316" s="117">
        <f>(1+S316)*Q316*(1-U316)+S316</f>
        <v>0.1286182859582822</v>
      </c>
      <c r="W316" s="117">
        <f>V316+I316/3</f>
        <v>0.27626654771697334</v>
      </c>
      <c r="X316" s="117">
        <f>V316+I316/5</f>
        <v>0.21720724301349692</v>
      </c>
      <c r="Y316" s="117">
        <f>V316-E316</f>
        <v>-0.14500134594355837</v>
      </c>
      <c r="Z316" s="100"/>
      <c r="AA316" s="100"/>
      <c r="AB316" s="100"/>
    </row>
    <row r="317" spans="1:30" x14ac:dyDescent="0.2">
      <c r="U317" s="117"/>
      <c r="V317" s="117">
        <f>(1+S317)*R316*(1-U317)+S317</f>
        <v>0</v>
      </c>
      <c r="W317" s="117">
        <f>V317+I317/3</f>
        <v>0</v>
      </c>
      <c r="X317" s="117">
        <f>V317+I317/5</f>
        <v>0</v>
      </c>
      <c r="Y317" s="117">
        <f>V317-E317</f>
        <v>0</v>
      </c>
      <c r="Z317" s="100"/>
      <c r="AA317" s="100"/>
      <c r="AB317" s="100"/>
    </row>
    <row r="318" spans="1:30" x14ac:dyDescent="0.2">
      <c r="B318" t="s">
        <v>34</v>
      </c>
      <c r="C318">
        <v>1.04</v>
      </c>
      <c r="D318" s="2">
        <v>0.96</v>
      </c>
      <c r="E318" s="89">
        <f>1-D318/C318</f>
        <v>7.6923076923076983E-2</v>
      </c>
      <c r="H318" s="92">
        <f>1.53/C318-1</f>
        <v>0.47115384615384603</v>
      </c>
      <c r="I318" s="92">
        <f>1.85/C318-1</f>
        <v>0.77884615384615397</v>
      </c>
      <c r="J318" s="92">
        <f>2.1/C318-1</f>
        <v>1.0192307692307692</v>
      </c>
      <c r="W318" s="117">
        <f>V316+I318/3</f>
        <v>0.38823367057366687</v>
      </c>
      <c r="X318" s="117">
        <f>V316+I318/5</f>
        <v>0.284387516727513</v>
      </c>
      <c r="Y318" s="117">
        <f>V316-E318</f>
        <v>5.169520903520522E-2</v>
      </c>
      <c r="Z318" s="100"/>
      <c r="AA318" s="100"/>
      <c r="AB318" s="100"/>
    </row>
    <row r="319" spans="1:30" x14ac:dyDescent="0.2">
      <c r="W319" s="117">
        <f>V317+I319/3</f>
        <v>0</v>
      </c>
      <c r="X319" s="117">
        <f>V317+I319/5</f>
        <v>0</v>
      </c>
      <c r="Y319" s="117">
        <f>V317-E319</f>
        <v>0</v>
      </c>
      <c r="Z319" s="100"/>
      <c r="AA319" s="100"/>
      <c r="AB319" s="100"/>
    </row>
    <row r="320" spans="1:30" x14ac:dyDescent="0.2">
      <c r="W320" s="117"/>
      <c r="X320" s="117"/>
      <c r="Y320" s="117"/>
      <c r="Z320" s="100"/>
      <c r="AA320" s="100"/>
      <c r="AB320" s="100"/>
    </row>
    <row r="321" spans="1:28" x14ac:dyDescent="0.2">
      <c r="A321" t="s">
        <v>191</v>
      </c>
      <c r="B321" t="s">
        <v>30</v>
      </c>
      <c r="C321">
        <v>25.34</v>
      </c>
      <c r="D321" s="2">
        <v>17.190000000000001</v>
      </c>
      <c r="E321" s="89">
        <f>1-D321/C321</f>
        <v>0.32162588792423041</v>
      </c>
      <c r="I321" s="92">
        <f>29.87/C321-1</f>
        <v>0.17876874506708762</v>
      </c>
      <c r="Q321" s="98">
        <f>C323/C321</f>
        <v>0.11878453038674032</v>
      </c>
      <c r="S321" s="99">
        <v>1.38E-2</v>
      </c>
      <c r="U321" s="117">
        <f>C321*S321</f>
        <v>0.349692</v>
      </c>
      <c r="V321" s="117">
        <f>(1+S321)*Q321*(1-U321)+S321</f>
        <v>9.2112532506077344E-2</v>
      </c>
      <c r="W321" s="117">
        <f>V321+I321/3</f>
        <v>0.15170211419510654</v>
      </c>
      <c r="X321" s="117">
        <f>V321+I321/5</f>
        <v>0.12786628151949486</v>
      </c>
      <c r="Y321" s="117">
        <f>V321-E321</f>
        <v>-0.22951335541815307</v>
      </c>
      <c r="Z321" s="100"/>
      <c r="AA321" s="100"/>
      <c r="AB321" s="100"/>
    </row>
    <row r="322" spans="1:28" x14ac:dyDescent="0.2">
      <c r="U322" s="117"/>
      <c r="V322" s="117">
        <f>(1+S322)*R321*(1-U322)+S322</f>
        <v>0</v>
      </c>
      <c r="W322" s="117">
        <f>V322+I322/3</f>
        <v>0</v>
      </c>
      <c r="X322" s="117">
        <f>V322+I322/5</f>
        <v>0</v>
      </c>
      <c r="Y322" s="117">
        <f>V322-E322</f>
        <v>0</v>
      </c>
      <c r="Z322" s="100"/>
      <c r="AA322" s="100"/>
      <c r="AB322" s="100"/>
    </row>
    <row r="323" spans="1:28" x14ac:dyDescent="0.2">
      <c r="B323" t="s">
        <v>34</v>
      </c>
      <c r="C323">
        <v>3.01</v>
      </c>
      <c r="D323" s="2">
        <v>2.23</v>
      </c>
      <c r="E323" s="89">
        <f>1-D323/C323</f>
        <v>0.25913621262458464</v>
      </c>
      <c r="I323" s="92">
        <f>3.43/C323-1</f>
        <v>0.13953488372093026</v>
      </c>
      <c r="W323" s="117">
        <f>V321+I323/3</f>
        <v>0.13862416041305409</v>
      </c>
      <c r="X323" s="117">
        <f>V321+I323/5</f>
        <v>0.12001950925026339</v>
      </c>
      <c r="Y323" s="117">
        <f>V321-E323</f>
        <v>-0.1670236801185073</v>
      </c>
      <c r="Z323" s="100"/>
      <c r="AA323" s="100"/>
      <c r="AB323" s="100"/>
    </row>
    <row r="324" spans="1:28" x14ac:dyDescent="0.2">
      <c r="W324" s="117">
        <f>V322+I324/3</f>
        <v>0</v>
      </c>
      <c r="X324" s="117">
        <f>V322+I324/5</f>
        <v>0</v>
      </c>
      <c r="Y324" s="117">
        <f>V322-E324</f>
        <v>0</v>
      </c>
      <c r="Z324" s="100"/>
      <c r="AA324" s="100"/>
      <c r="AB324" s="100"/>
    </row>
    <row r="328" spans="1:28" x14ac:dyDescent="0.2">
      <c r="A328" t="s">
        <v>192</v>
      </c>
    </row>
    <row r="335" spans="1:28" x14ac:dyDescent="0.2">
      <c r="E335" s="16"/>
      <c r="F335" s="16"/>
      <c r="G335" s="16"/>
      <c r="H335" s="16"/>
      <c r="I335" s="16"/>
      <c r="J335" s="16"/>
      <c r="M335" s="14"/>
      <c r="O335" s="78"/>
      <c r="P335" s="7"/>
      <c r="T335" s="99"/>
    </row>
    <row r="336" spans="1:28" x14ac:dyDescent="0.2">
      <c r="E336" s="16"/>
      <c r="F336" s="16"/>
      <c r="G336" s="16"/>
      <c r="H336" s="16"/>
      <c r="I336" s="16"/>
      <c r="J336" s="16"/>
      <c r="M336" s="14"/>
      <c r="O336" s="78"/>
      <c r="P336" s="7"/>
      <c r="Q336" s="99"/>
      <c r="S336" s="98"/>
      <c r="T336" s="99"/>
      <c r="U336" s="117"/>
      <c r="V336" s="117"/>
      <c r="W336" s="117"/>
      <c r="X336" s="117"/>
      <c r="Y336" s="117"/>
      <c r="Z336" s="100"/>
      <c r="AA336" s="100"/>
      <c r="AB336" s="100"/>
    </row>
    <row r="337" spans="1:28" x14ac:dyDescent="0.2">
      <c r="E337" s="16"/>
      <c r="F337" s="16"/>
      <c r="G337" s="16"/>
      <c r="H337" s="16"/>
      <c r="I337" s="16"/>
      <c r="J337" s="16"/>
      <c r="M337" s="14"/>
      <c r="O337" s="78"/>
      <c r="P337" s="7"/>
      <c r="Q337" s="99"/>
      <c r="T337" s="99"/>
      <c r="U337" s="117"/>
      <c r="V337" s="117"/>
      <c r="W337" s="117"/>
      <c r="X337" s="117"/>
      <c r="Y337" s="117"/>
      <c r="Z337" s="100"/>
      <c r="AA337" s="100"/>
      <c r="AB337" s="100"/>
    </row>
    <row r="338" spans="1:28" x14ac:dyDescent="0.2">
      <c r="E338" s="16"/>
      <c r="F338" s="16"/>
      <c r="G338" s="16"/>
      <c r="H338" s="16"/>
      <c r="I338" s="16"/>
      <c r="J338" s="16"/>
      <c r="M338" s="14"/>
      <c r="O338" s="78"/>
      <c r="P338" s="7"/>
      <c r="Q338" s="99"/>
      <c r="T338" s="99"/>
      <c r="W338" s="117"/>
      <c r="X338" s="117"/>
      <c r="Y338" s="117"/>
      <c r="Z338" s="100"/>
      <c r="AA338" s="100"/>
      <c r="AB338" s="100"/>
    </row>
    <row r="339" spans="1:28" x14ac:dyDescent="0.2">
      <c r="E339" s="16"/>
      <c r="F339" s="16"/>
      <c r="G339" s="16"/>
      <c r="H339" s="16"/>
      <c r="I339" s="16"/>
      <c r="J339" s="16"/>
      <c r="M339" s="14"/>
      <c r="O339" s="78"/>
      <c r="P339" s="7"/>
      <c r="Q339" s="99"/>
      <c r="T339" s="99"/>
      <c r="W339" s="117"/>
      <c r="X339" s="117"/>
      <c r="Y339" s="117"/>
      <c r="Z339" s="100"/>
      <c r="AA339" s="100"/>
      <c r="AB339" s="100"/>
    </row>
    <row r="340" spans="1:28" x14ac:dyDescent="0.2">
      <c r="E340" s="16"/>
      <c r="F340" s="16"/>
      <c r="G340" s="16"/>
      <c r="H340" s="16"/>
      <c r="I340" s="16"/>
      <c r="J340" s="16"/>
      <c r="M340" s="14"/>
      <c r="O340" s="78"/>
      <c r="P340" s="7"/>
      <c r="Q340" s="99"/>
      <c r="T340" s="99"/>
      <c r="U340" s="117"/>
      <c r="V340" s="117"/>
    </row>
    <row r="341" spans="1:28" x14ac:dyDescent="0.2">
      <c r="E341" s="16"/>
      <c r="F341" s="16"/>
      <c r="G341" s="16"/>
      <c r="H341" s="16"/>
      <c r="I341" s="16"/>
      <c r="J341" s="16"/>
      <c r="M341" s="14"/>
      <c r="O341" s="78"/>
      <c r="P341" s="7"/>
      <c r="Q341" s="99"/>
      <c r="S341" s="98"/>
      <c r="T341" s="99"/>
      <c r="U341" s="117"/>
      <c r="V341" s="117"/>
      <c r="W341" s="117"/>
      <c r="X341" s="117"/>
      <c r="Y341" s="117"/>
      <c r="Z341" s="100"/>
      <c r="AA341" s="100"/>
      <c r="AB341" s="100"/>
    </row>
    <row r="342" spans="1:28" x14ac:dyDescent="0.2">
      <c r="E342" s="16"/>
      <c r="F342" s="16"/>
      <c r="G342" s="16"/>
      <c r="H342" s="16"/>
      <c r="I342" s="16"/>
      <c r="J342" s="16"/>
      <c r="M342" s="14"/>
      <c r="O342" s="78"/>
      <c r="P342" s="7"/>
      <c r="Q342" s="99"/>
      <c r="T342" s="99"/>
      <c r="U342" s="117"/>
      <c r="V342" s="117"/>
      <c r="W342" s="117"/>
      <c r="X342" s="117"/>
      <c r="Y342" s="117"/>
      <c r="Z342" s="100"/>
      <c r="AA342" s="100"/>
      <c r="AB342" s="100"/>
    </row>
    <row r="343" spans="1:28" x14ac:dyDescent="0.2">
      <c r="E343" s="16"/>
      <c r="F343" s="16"/>
      <c r="G343" s="16"/>
      <c r="H343" s="16"/>
      <c r="I343" s="16"/>
      <c r="J343" s="16"/>
      <c r="M343" s="14"/>
      <c r="O343" s="78"/>
      <c r="P343" s="7"/>
      <c r="Q343" s="99"/>
      <c r="T343" s="99"/>
      <c r="W343" s="117"/>
      <c r="X343" s="117"/>
      <c r="Y343" s="117"/>
      <c r="Z343" s="100"/>
      <c r="AA343" s="100"/>
      <c r="AB343" s="100"/>
    </row>
    <row r="344" spans="1:28" x14ac:dyDescent="0.2">
      <c r="E344" s="16"/>
      <c r="F344" s="16"/>
      <c r="G344" s="16"/>
      <c r="H344" s="16"/>
      <c r="I344" s="16"/>
      <c r="J344" s="16"/>
      <c r="M344" s="14"/>
      <c r="O344" s="78"/>
      <c r="P344" s="7"/>
      <c r="Q344" s="99"/>
      <c r="T344" s="99"/>
      <c r="W344" s="117"/>
      <c r="X344" s="117"/>
      <c r="Y344" s="117"/>
      <c r="Z344" s="100"/>
      <c r="AA344" s="100"/>
      <c r="AB344" s="100"/>
    </row>
    <row r="345" spans="1:28" x14ac:dyDescent="0.2">
      <c r="E345" s="16"/>
      <c r="F345" s="16"/>
      <c r="G345" s="16"/>
      <c r="H345" s="16"/>
      <c r="I345" s="16"/>
      <c r="J345" s="16"/>
      <c r="M345" s="14"/>
      <c r="O345" s="78"/>
      <c r="P345" s="7"/>
      <c r="Q345" s="99"/>
      <c r="T345" s="99"/>
      <c r="U345" s="117"/>
      <c r="V345" s="117"/>
    </row>
    <row r="346" spans="1:28" x14ac:dyDescent="0.2">
      <c r="E346" s="16"/>
      <c r="F346" s="16"/>
      <c r="G346" s="16"/>
      <c r="H346" s="16"/>
      <c r="I346" s="16"/>
      <c r="J346" s="16"/>
      <c r="M346" s="14"/>
      <c r="O346" s="78"/>
      <c r="P346" s="7"/>
      <c r="Q346" s="99"/>
      <c r="T346" s="99"/>
    </row>
    <row r="347" spans="1:28" x14ac:dyDescent="0.2">
      <c r="E347" s="16"/>
      <c r="F347" s="16"/>
      <c r="G347" s="16"/>
      <c r="H347" s="16"/>
      <c r="I347" s="16"/>
      <c r="J347" s="16"/>
      <c r="M347" s="14"/>
      <c r="O347" s="78"/>
      <c r="P347" s="7"/>
      <c r="Q347" s="99"/>
      <c r="T347" s="99"/>
    </row>
    <row r="348" spans="1:28" x14ac:dyDescent="0.2">
      <c r="E348" s="16"/>
      <c r="F348" s="16"/>
      <c r="G348" s="16"/>
      <c r="H348" s="16"/>
      <c r="I348" s="16"/>
      <c r="J348" s="16"/>
      <c r="M348" s="14"/>
      <c r="O348" s="78"/>
      <c r="P348" s="7"/>
      <c r="Q348" s="99"/>
      <c r="T348" s="99"/>
    </row>
    <row r="349" spans="1:28" ht="26" customHeight="1" x14ac:dyDescent="0.3">
      <c r="A349" s="56"/>
      <c r="Q349" s="98"/>
      <c r="R349" s="98"/>
    </row>
    <row r="350" spans="1:28" x14ac:dyDescent="0.2">
      <c r="Q350" s="98"/>
      <c r="R350" s="98"/>
    </row>
    <row r="351" spans="1:28" ht="26" customHeight="1" x14ac:dyDescent="0.3">
      <c r="A351" s="56"/>
      <c r="C351" s="38"/>
      <c r="Q351" s="98"/>
      <c r="R351" s="98"/>
    </row>
  </sheetData>
  <conditionalFormatting sqref="E1:E225 E236 E291:E294 E349:E1048576">
    <cfRule type="dataBar" priority="788">
      <dataBar>
        <cfvo type="min"/>
        <cfvo type="max"/>
        <color rgb="FF638EC6"/>
      </dataBar>
    </cfRule>
  </conditionalFormatting>
  <conditionalFormatting sqref="E1:E261 E291:E310 E321:E1048576">
    <cfRule type="dataBar" priority="425">
      <dataBar>
        <cfvo type="min"/>
        <cfvo type="max"/>
        <color rgb="FF638EC6"/>
      </dataBar>
    </cfRule>
  </conditionalFormatting>
  <conditionalFormatting sqref="E2 M2">
    <cfRule type="dataBar" priority="868">
      <dataBar>
        <cfvo type="percent" val="0"/>
        <cfvo type="percentile" val="100"/>
        <color rgb="FF638EC6"/>
      </dataBar>
    </cfRule>
    <cfRule type="dataBar" priority="869">
      <dataBar>
        <cfvo type="percent" val="0"/>
        <cfvo type="percent" val="100"/>
        <color rgb="FF638EC6"/>
      </dataBar>
    </cfRule>
  </conditionalFormatting>
  <conditionalFormatting sqref="E2">
    <cfRule type="dataBar" priority="862">
      <dataBar>
        <cfvo type="min"/>
        <cfvo type="max"/>
        <color rgb="FF638EC6"/>
      </dataBar>
    </cfRule>
  </conditionalFormatting>
  <conditionalFormatting sqref="E3:E96 E1 E111 E221 E236 E291:E294 E349:E1048576 M1 M3:M72 M74:M96 M111 M221 M236 M291:M294 M296:M299 M325 M349:M1048576">
    <cfRule type="dataBar" priority="909">
      <dataBar>
        <cfvo type="percent" val="0"/>
        <cfvo type="percentile" val="100"/>
        <color rgb="FF638EC6"/>
      </dataBar>
    </cfRule>
    <cfRule type="dataBar" priority="910">
      <dataBar>
        <cfvo type="percent" val="0"/>
        <cfvo type="percent" val="100"/>
        <color rgb="FF638EC6"/>
      </dataBar>
    </cfRule>
  </conditionalFormatting>
  <conditionalFormatting sqref="E3:E96 E1 E111 E221 E236 E291:E294 E349:E1048576">
    <cfRule type="dataBar" priority="893">
      <dataBar>
        <cfvo type="min"/>
        <cfvo type="max"/>
        <color rgb="FF638EC6"/>
      </dataBar>
    </cfRule>
  </conditionalFormatting>
  <conditionalFormatting sqref="E97:E110">
    <cfRule type="dataBar" priority="890">
      <dataBar>
        <cfvo type="min"/>
        <cfvo type="max"/>
        <color rgb="FF638EC6"/>
      </dataBar>
    </cfRule>
    <cfRule type="dataBar" priority="891">
      <dataBar>
        <cfvo type="percent" val="0"/>
        <cfvo type="percentile" val="100"/>
        <color rgb="FF638EC6"/>
      </dataBar>
    </cfRule>
    <cfRule type="dataBar" priority="892">
      <dataBar>
        <cfvo type="percent" val="0"/>
        <cfvo type="percent" val="100"/>
        <color rgb="FF638EC6"/>
      </dataBar>
    </cfRule>
  </conditionalFormatting>
  <conditionalFormatting sqref="E112:E220 M112:M220">
    <cfRule type="dataBar" priority="859">
      <dataBar>
        <cfvo type="percent" val="0"/>
        <cfvo type="percentile" val="100"/>
        <color rgb="FF638EC6"/>
      </dataBar>
    </cfRule>
    <cfRule type="dataBar" priority="860">
      <dataBar>
        <cfvo type="percent" val="0"/>
        <cfvo type="percent" val="100"/>
        <color rgb="FF638EC6"/>
      </dataBar>
    </cfRule>
  </conditionalFormatting>
  <conditionalFormatting sqref="E112:E220">
    <cfRule type="dataBar" priority="852">
      <dataBar>
        <cfvo type="min"/>
        <cfvo type="max"/>
        <color rgb="FF638EC6"/>
      </dataBar>
    </cfRule>
  </conditionalFormatting>
  <conditionalFormatting sqref="E222:E225 M222:M225">
    <cfRule type="dataBar" priority="846">
      <dataBar>
        <cfvo type="percent" val="0"/>
        <cfvo type="percentile" val="100"/>
        <color rgb="FF638EC6"/>
      </dataBar>
    </cfRule>
    <cfRule type="dataBar" priority="847">
      <dataBar>
        <cfvo type="percent" val="0"/>
        <cfvo type="percent" val="100"/>
        <color rgb="FF638EC6"/>
      </dataBar>
    </cfRule>
  </conditionalFormatting>
  <conditionalFormatting sqref="E222:E225">
    <cfRule type="dataBar" priority="840">
      <dataBar>
        <cfvo type="min"/>
        <cfvo type="max"/>
        <color rgb="FF638EC6"/>
      </dataBar>
    </cfRule>
  </conditionalFormatting>
  <conditionalFormatting sqref="E226 M226">
    <cfRule type="dataBar" priority="785">
      <dataBar>
        <cfvo type="percent" val="0"/>
        <cfvo type="percentile" val="100"/>
        <color rgb="FF638EC6"/>
      </dataBar>
    </cfRule>
    <cfRule type="dataBar" priority="786">
      <dataBar>
        <cfvo type="percent" val="0"/>
        <cfvo type="percent" val="100"/>
        <color rgb="FF638EC6"/>
      </dataBar>
    </cfRule>
  </conditionalFormatting>
  <conditionalFormatting sqref="E226">
    <cfRule type="dataBar" priority="769">
      <dataBar>
        <cfvo type="min"/>
        <cfvo type="max"/>
        <color rgb="FF638EC6"/>
      </dataBar>
    </cfRule>
    <cfRule type="dataBar" priority="778">
      <dataBar>
        <cfvo type="min"/>
        <cfvo type="max"/>
        <color rgb="FF638EC6"/>
      </dataBar>
    </cfRule>
  </conditionalFormatting>
  <conditionalFormatting sqref="E227:E230 M227:M230">
    <cfRule type="dataBar" priority="767">
      <dataBar>
        <cfvo type="percent" val="0"/>
        <cfvo type="percentile" val="100"/>
        <color rgb="FF638EC6"/>
      </dataBar>
    </cfRule>
    <cfRule type="dataBar" priority="768">
      <dataBar>
        <cfvo type="percent" val="0"/>
        <cfvo type="percent" val="100"/>
        <color rgb="FF638EC6"/>
      </dataBar>
    </cfRule>
  </conditionalFormatting>
  <conditionalFormatting sqref="E227:E230">
    <cfRule type="dataBar" priority="751">
      <dataBar>
        <cfvo type="min"/>
        <cfvo type="max"/>
        <color rgb="FF638EC6"/>
      </dataBar>
    </cfRule>
    <cfRule type="dataBar" priority="761">
      <dataBar>
        <cfvo type="min"/>
        <cfvo type="max"/>
        <color rgb="FF638EC6"/>
      </dataBar>
    </cfRule>
  </conditionalFormatting>
  <conditionalFormatting sqref="E231 M231">
    <cfRule type="dataBar" priority="749">
      <dataBar>
        <cfvo type="percent" val="0"/>
        <cfvo type="percentile" val="100"/>
        <color rgb="FF638EC6"/>
      </dataBar>
    </cfRule>
    <cfRule type="dataBar" priority="750">
      <dataBar>
        <cfvo type="percent" val="0"/>
        <cfvo type="percent" val="100"/>
        <color rgb="FF638EC6"/>
      </dataBar>
    </cfRule>
  </conditionalFormatting>
  <conditionalFormatting sqref="E231">
    <cfRule type="dataBar" priority="733">
      <dataBar>
        <cfvo type="min"/>
        <cfvo type="max"/>
        <color rgb="FF638EC6"/>
      </dataBar>
    </cfRule>
    <cfRule type="dataBar" priority="742">
      <dataBar>
        <cfvo type="min"/>
        <cfvo type="max"/>
        <color rgb="FF638EC6"/>
      </dataBar>
    </cfRule>
  </conditionalFormatting>
  <conditionalFormatting sqref="E232:E235 M232:M235">
    <cfRule type="dataBar" priority="731">
      <dataBar>
        <cfvo type="percent" val="0"/>
        <cfvo type="percentile" val="100"/>
        <color rgb="FF638EC6"/>
      </dataBar>
    </cfRule>
    <cfRule type="dataBar" priority="732">
      <dataBar>
        <cfvo type="percent" val="0"/>
        <cfvo type="percent" val="100"/>
        <color rgb="FF638EC6"/>
      </dataBar>
    </cfRule>
  </conditionalFormatting>
  <conditionalFormatting sqref="E232:E235">
    <cfRule type="dataBar" priority="715">
      <dataBar>
        <cfvo type="min"/>
        <cfvo type="max"/>
        <color rgb="FF638EC6"/>
      </dataBar>
    </cfRule>
    <cfRule type="dataBar" priority="725">
      <dataBar>
        <cfvo type="min"/>
        <cfvo type="max"/>
        <color rgb="FF638EC6"/>
      </dataBar>
    </cfRule>
  </conditionalFormatting>
  <conditionalFormatting sqref="E237:E240 M237:M240">
    <cfRule type="dataBar" priority="695">
      <dataBar>
        <cfvo type="percent" val="0"/>
        <cfvo type="percentile" val="100"/>
        <color rgb="FF638EC6"/>
      </dataBar>
    </cfRule>
    <cfRule type="dataBar" priority="696">
      <dataBar>
        <cfvo type="percent" val="0"/>
        <cfvo type="percent" val="100"/>
        <color rgb="FF638EC6"/>
      </dataBar>
    </cfRule>
  </conditionalFormatting>
  <conditionalFormatting sqref="E237:E240">
    <cfRule type="dataBar" priority="679">
      <dataBar>
        <cfvo type="min"/>
        <cfvo type="max"/>
        <color rgb="FF638EC6"/>
      </dataBar>
    </cfRule>
    <cfRule type="dataBar" priority="689">
      <dataBar>
        <cfvo type="min"/>
        <cfvo type="max"/>
        <color rgb="FF638EC6"/>
      </dataBar>
    </cfRule>
  </conditionalFormatting>
  <conditionalFormatting sqref="E241 M241">
    <cfRule type="dataBar" priority="713">
      <dataBar>
        <cfvo type="percent" val="0"/>
        <cfvo type="percentile" val="100"/>
        <color rgb="FF638EC6"/>
      </dataBar>
    </cfRule>
    <cfRule type="dataBar" priority="714">
      <dataBar>
        <cfvo type="percent" val="0"/>
        <cfvo type="percent" val="100"/>
        <color rgb="FF638EC6"/>
      </dataBar>
    </cfRule>
  </conditionalFormatting>
  <conditionalFormatting sqref="E241">
    <cfRule type="dataBar" priority="697">
      <dataBar>
        <cfvo type="min"/>
        <cfvo type="max"/>
        <color rgb="FF638EC6"/>
      </dataBar>
    </cfRule>
    <cfRule type="dataBar" priority="706">
      <dataBar>
        <cfvo type="min"/>
        <cfvo type="max"/>
        <color rgb="FF638EC6"/>
      </dataBar>
    </cfRule>
  </conditionalFormatting>
  <conditionalFormatting sqref="E242:E245 M242:M245">
    <cfRule type="dataBar" priority="659">
      <dataBar>
        <cfvo type="percent" val="0"/>
        <cfvo type="percentile" val="100"/>
        <color rgb="FF638EC6"/>
      </dataBar>
    </cfRule>
    <cfRule type="dataBar" priority="660">
      <dataBar>
        <cfvo type="percent" val="0"/>
        <cfvo type="percent" val="100"/>
        <color rgb="FF638EC6"/>
      </dataBar>
    </cfRule>
  </conditionalFormatting>
  <conditionalFormatting sqref="E242:E245">
    <cfRule type="dataBar" priority="643">
      <dataBar>
        <cfvo type="min"/>
        <cfvo type="max"/>
        <color rgb="FF638EC6"/>
      </dataBar>
    </cfRule>
    <cfRule type="dataBar" priority="653">
      <dataBar>
        <cfvo type="min"/>
        <cfvo type="max"/>
        <color rgb="FF638EC6"/>
      </dataBar>
    </cfRule>
  </conditionalFormatting>
  <conditionalFormatting sqref="E246 M246">
    <cfRule type="dataBar" priority="677">
      <dataBar>
        <cfvo type="percent" val="0"/>
        <cfvo type="percentile" val="100"/>
        <color rgb="FF638EC6"/>
      </dataBar>
    </cfRule>
    <cfRule type="dataBar" priority="678">
      <dataBar>
        <cfvo type="percent" val="0"/>
        <cfvo type="percent" val="100"/>
        <color rgb="FF638EC6"/>
      </dataBar>
    </cfRule>
  </conditionalFormatting>
  <conditionalFormatting sqref="E246">
    <cfRule type="dataBar" priority="661">
      <dataBar>
        <cfvo type="min"/>
        <cfvo type="max"/>
        <color rgb="FF638EC6"/>
      </dataBar>
    </cfRule>
    <cfRule type="dataBar" priority="670">
      <dataBar>
        <cfvo type="min"/>
        <cfvo type="max"/>
        <color rgb="FF638EC6"/>
      </dataBar>
    </cfRule>
  </conditionalFormatting>
  <conditionalFormatting sqref="E247:E250 M247:M250">
    <cfRule type="dataBar" priority="558">
      <dataBar>
        <cfvo type="percent" val="0"/>
        <cfvo type="percentile" val="100"/>
        <color rgb="FF638EC6"/>
      </dataBar>
    </cfRule>
    <cfRule type="dataBar" priority="559">
      <dataBar>
        <cfvo type="percent" val="0"/>
        <cfvo type="percent" val="100"/>
        <color rgb="FF638EC6"/>
      </dataBar>
    </cfRule>
  </conditionalFormatting>
  <conditionalFormatting sqref="E247:E250">
    <cfRule type="dataBar" priority="542">
      <dataBar>
        <cfvo type="min"/>
        <cfvo type="max"/>
        <color rgb="FF638EC6"/>
      </dataBar>
    </cfRule>
    <cfRule type="dataBar" priority="552">
      <dataBar>
        <cfvo type="min"/>
        <cfvo type="max"/>
        <color rgb="FF638EC6"/>
      </dataBar>
    </cfRule>
  </conditionalFormatting>
  <conditionalFormatting sqref="E251 M251">
    <cfRule type="dataBar" priority="577">
      <dataBar>
        <cfvo type="percent" val="0"/>
        <cfvo type="percentile" val="100"/>
        <color rgb="FF638EC6"/>
      </dataBar>
    </cfRule>
    <cfRule type="dataBar" priority="578">
      <dataBar>
        <cfvo type="percent" val="0"/>
        <cfvo type="percent" val="100"/>
        <color rgb="FF638EC6"/>
      </dataBar>
    </cfRule>
  </conditionalFormatting>
  <conditionalFormatting sqref="E251">
    <cfRule type="dataBar" priority="561">
      <dataBar>
        <cfvo type="min"/>
        <cfvo type="max"/>
        <color rgb="FF638EC6"/>
      </dataBar>
    </cfRule>
    <cfRule type="dataBar" priority="570">
      <dataBar>
        <cfvo type="min"/>
        <cfvo type="max"/>
        <color rgb="FF638EC6"/>
      </dataBar>
    </cfRule>
  </conditionalFormatting>
  <conditionalFormatting sqref="E252:E255 M252:M255">
    <cfRule type="dataBar" priority="540">
      <dataBar>
        <cfvo type="percent" val="0"/>
        <cfvo type="percentile" val="100"/>
        <color rgb="FF638EC6"/>
      </dataBar>
    </cfRule>
    <cfRule type="dataBar" priority="541">
      <dataBar>
        <cfvo type="percent" val="0"/>
        <cfvo type="percent" val="100"/>
        <color rgb="FF638EC6"/>
      </dataBar>
    </cfRule>
  </conditionalFormatting>
  <conditionalFormatting sqref="E252:E255">
    <cfRule type="dataBar" priority="524">
      <dataBar>
        <cfvo type="min"/>
        <cfvo type="max"/>
        <color rgb="FF638EC6"/>
      </dataBar>
    </cfRule>
    <cfRule type="dataBar" priority="534">
      <dataBar>
        <cfvo type="min"/>
        <cfvo type="max"/>
        <color rgb="FF638EC6"/>
      </dataBar>
    </cfRule>
  </conditionalFormatting>
  <conditionalFormatting sqref="E256 M256">
    <cfRule type="dataBar" priority="604">
      <dataBar>
        <cfvo type="percent" val="0"/>
        <cfvo type="percentile" val="100"/>
        <color rgb="FF638EC6"/>
      </dataBar>
    </cfRule>
    <cfRule type="dataBar" priority="605">
      <dataBar>
        <cfvo type="percent" val="0"/>
        <cfvo type="percent" val="100"/>
        <color rgb="FF638EC6"/>
      </dataBar>
    </cfRule>
  </conditionalFormatting>
  <conditionalFormatting sqref="E256">
    <cfRule type="dataBar" priority="588">
      <dataBar>
        <cfvo type="min"/>
        <cfvo type="max"/>
        <color rgb="FF638EC6"/>
      </dataBar>
    </cfRule>
    <cfRule type="dataBar" priority="597">
      <dataBar>
        <cfvo type="min"/>
        <cfvo type="max"/>
        <color rgb="FF638EC6"/>
      </dataBar>
    </cfRule>
  </conditionalFormatting>
  <conditionalFormatting sqref="E257:E260 M257:M260">
    <cfRule type="dataBar" priority="491">
      <dataBar>
        <cfvo type="percent" val="0"/>
        <cfvo type="percentile" val="100"/>
        <color rgb="FF638EC6"/>
      </dataBar>
    </cfRule>
    <cfRule type="dataBar" priority="492">
      <dataBar>
        <cfvo type="percent" val="0"/>
        <cfvo type="percent" val="100"/>
        <color rgb="FF638EC6"/>
      </dataBar>
    </cfRule>
  </conditionalFormatting>
  <conditionalFormatting sqref="E257:E260">
    <cfRule type="dataBar" priority="476">
      <dataBar>
        <cfvo type="min"/>
        <cfvo type="max"/>
        <color rgb="FF638EC6"/>
      </dataBar>
    </cfRule>
    <cfRule type="dataBar" priority="485">
      <dataBar>
        <cfvo type="min"/>
        <cfvo type="max"/>
        <color rgb="FF638EC6"/>
      </dataBar>
    </cfRule>
  </conditionalFormatting>
  <conditionalFormatting sqref="E261">
    <cfRule type="dataBar" priority="497">
      <dataBar>
        <cfvo type="min"/>
        <cfvo type="max"/>
        <color rgb="FF638EC6"/>
      </dataBar>
    </cfRule>
  </conditionalFormatting>
  <conditionalFormatting sqref="E262:E271 M262:M271">
    <cfRule type="dataBar" priority="407">
      <dataBar>
        <cfvo type="percent" val="0"/>
        <cfvo type="percentile" val="100"/>
        <color rgb="FF638EC6"/>
      </dataBar>
    </cfRule>
    <cfRule type="dataBar" priority="408">
      <dataBar>
        <cfvo type="percent" val="0"/>
        <cfvo type="percent" val="100"/>
        <color rgb="FF638EC6"/>
      </dataBar>
    </cfRule>
  </conditionalFormatting>
  <conditionalFormatting sqref="E262:E271">
    <cfRule type="dataBar" priority="385">
      <dataBar>
        <cfvo type="min"/>
        <cfvo type="max"/>
        <color rgb="FF638EC6"/>
      </dataBar>
    </cfRule>
    <cfRule type="dataBar" priority="392">
      <dataBar>
        <cfvo type="min"/>
        <cfvo type="max"/>
        <color rgb="FF638EC6"/>
      </dataBar>
    </cfRule>
    <cfRule type="dataBar" priority="401">
      <dataBar>
        <cfvo type="min"/>
        <cfvo type="max"/>
        <color rgb="FF638EC6"/>
      </dataBar>
    </cfRule>
  </conditionalFormatting>
  <conditionalFormatting sqref="E272:E275 M272:M275">
    <cfRule type="dataBar" priority="165">
      <dataBar>
        <cfvo type="percent" val="0"/>
        <cfvo type="percentile" val="100"/>
        <color rgb="FF638EC6"/>
      </dataBar>
    </cfRule>
    <cfRule type="dataBar" priority="166">
      <dataBar>
        <cfvo type="percent" val="0"/>
        <cfvo type="percent" val="100"/>
        <color rgb="FF638EC6"/>
      </dataBar>
    </cfRule>
  </conditionalFormatting>
  <conditionalFormatting sqref="E272:E275">
    <cfRule type="dataBar" priority="149">
      <dataBar>
        <cfvo type="min"/>
        <cfvo type="max"/>
        <color rgb="FF638EC6"/>
      </dataBar>
    </cfRule>
    <cfRule type="dataBar" priority="150">
      <dataBar>
        <cfvo type="min"/>
        <cfvo type="max"/>
        <color rgb="FF638EC6"/>
      </dataBar>
    </cfRule>
    <cfRule type="dataBar" priority="159">
      <dataBar>
        <cfvo type="min"/>
        <cfvo type="max"/>
        <color rgb="FF638EC6"/>
      </dataBar>
    </cfRule>
  </conditionalFormatting>
  <conditionalFormatting sqref="E276 E281">
    <cfRule type="dataBar" priority="177">
      <dataBar>
        <cfvo type="min"/>
        <cfvo type="max"/>
        <color rgb="FF638EC6"/>
      </dataBar>
    </cfRule>
    <cfRule type="dataBar" priority="187">
      <dataBar>
        <cfvo type="min"/>
        <cfvo type="max"/>
        <color rgb="FF638EC6"/>
      </dataBar>
    </cfRule>
  </conditionalFormatting>
  <conditionalFormatting sqref="E277:E280 M277:M280">
    <cfRule type="dataBar" priority="76">
      <dataBar>
        <cfvo type="percent" val="0"/>
        <cfvo type="percentile" val="100"/>
        <color rgb="FF638EC6"/>
      </dataBar>
    </cfRule>
    <cfRule type="dataBar" priority="77">
      <dataBar>
        <cfvo type="percent" val="0"/>
        <cfvo type="percent" val="100"/>
        <color rgb="FF638EC6"/>
      </dataBar>
    </cfRule>
  </conditionalFormatting>
  <conditionalFormatting sqref="E277:E280">
    <cfRule type="dataBar" priority="60">
      <dataBar>
        <cfvo type="min"/>
        <cfvo type="max"/>
        <color rgb="FF638EC6"/>
      </dataBar>
    </cfRule>
    <cfRule type="dataBar" priority="61">
      <dataBar>
        <cfvo type="min"/>
        <cfvo type="max"/>
        <color rgb="FF638EC6"/>
      </dataBar>
    </cfRule>
    <cfRule type="dataBar" priority="70">
      <dataBar>
        <cfvo type="min"/>
        <cfvo type="max"/>
        <color rgb="FF638EC6"/>
      </dataBar>
    </cfRule>
  </conditionalFormatting>
  <conditionalFormatting sqref="E282:E285 M282:M285">
    <cfRule type="dataBar" priority="48">
      <dataBar>
        <cfvo type="percent" val="0"/>
        <cfvo type="percentile" val="100"/>
        <color rgb="FF638EC6"/>
      </dataBar>
    </cfRule>
    <cfRule type="dataBar" priority="49">
      <dataBar>
        <cfvo type="percent" val="0"/>
        <cfvo type="percent" val="100"/>
        <color rgb="FF638EC6"/>
      </dataBar>
    </cfRule>
  </conditionalFormatting>
  <conditionalFormatting sqref="E282:E285">
    <cfRule type="dataBar" priority="32">
      <dataBar>
        <cfvo type="min"/>
        <cfvo type="max"/>
        <color rgb="FF638EC6"/>
      </dataBar>
    </cfRule>
    <cfRule type="dataBar" priority="33">
      <dataBar>
        <cfvo type="min"/>
        <cfvo type="max"/>
        <color rgb="FF638EC6"/>
      </dataBar>
    </cfRule>
    <cfRule type="dataBar" priority="42">
      <dataBar>
        <cfvo type="min"/>
        <cfvo type="max"/>
        <color rgb="FF638EC6"/>
      </dataBar>
    </cfRule>
  </conditionalFormatting>
  <conditionalFormatting sqref="E287 E289">
    <cfRule type="dataBar" priority="1210">
      <dataBar>
        <cfvo type="min"/>
        <cfvo type="max"/>
        <color rgb="FF638EC6"/>
      </dataBar>
    </cfRule>
  </conditionalFormatting>
  <conditionalFormatting sqref="E289:E290 E287">
    <cfRule type="dataBar" priority="1231">
      <dataBar>
        <cfvo type="min"/>
        <cfvo type="max"/>
        <color rgb="FF638EC6"/>
      </dataBar>
    </cfRule>
  </conditionalFormatting>
  <conditionalFormatting sqref="E290 M287 M289">
    <cfRule type="dataBar" priority="1170">
      <dataBar>
        <cfvo type="percent" val="0"/>
        <cfvo type="percentile" val="100"/>
        <color rgb="FF638EC6"/>
      </dataBar>
    </cfRule>
    <cfRule type="dataBar" priority="1171">
      <dataBar>
        <cfvo type="percent" val="0"/>
        <cfvo type="percent" val="100"/>
        <color rgb="FF638EC6"/>
      </dataBar>
    </cfRule>
  </conditionalFormatting>
  <conditionalFormatting sqref="E290">
    <cfRule type="dataBar" priority="348">
      <dataBar>
        <cfvo type="min"/>
        <cfvo type="max"/>
        <color rgb="FF638EC6"/>
      </dataBar>
    </cfRule>
    <cfRule type="dataBar" priority="356">
      <dataBar>
        <cfvo type="min"/>
        <cfvo type="max"/>
        <color rgb="FF638EC6"/>
      </dataBar>
    </cfRule>
  </conditionalFormatting>
  <conditionalFormatting sqref="E296:E299 E301:E304">
    <cfRule type="dataBar" priority="787">
      <dataBar>
        <cfvo type="min"/>
        <cfvo type="max"/>
        <color rgb="FF638EC6"/>
      </dataBar>
    </cfRule>
  </conditionalFormatting>
  <conditionalFormatting sqref="E300">
    <cfRule type="dataBar" priority="631">
      <dataBar>
        <cfvo type="min"/>
        <cfvo type="max"/>
        <color rgb="FF638EC6"/>
      </dataBar>
    </cfRule>
    <cfRule type="dataBar" priority="641">
      <dataBar>
        <cfvo type="min"/>
        <cfvo type="max"/>
        <color rgb="FF638EC6"/>
      </dataBar>
    </cfRule>
  </conditionalFormatting>
  <conditionalFormatting sqref="E305 E325 M305 M321:M324">
    <cfRule type="dataBar" priority="622">
      <dataBar>
        <cfvo type="percent" val="0"/>
        <cfvo type="percentile" val="100"/>
        <color rgb="FF638EC6"/>
      </dataBar>
    </cfRule>
    <cfRule type="dataBar" priority="623">
      <dataBar>
        <cfvo type="percent" val="0"/>
        <cfvo type="percent" val="100"/>
        <color rgb="FF638EC6"/>
      </dataBar>
    </cfRule>
  </conditionalFormatting>
  <conditionalFormatting sqref="E305 E325">
    <cfRule type="dataBar" priority="606">
      <dataBar>
        <cfvo type="min"/>
        <cfvo type="max"/>
        <color rgb="FF638EC6"/>
      </dataBar>
    </cfRule>
    <cfRule type="dataBar" priority="615">
      <dataBar>
        <cfvo type="min"/>
        <cfvo type="max"/>
        <color rgb="FF638EC6"/>
      </dataBar>
    </cfRule>
  </conditionalFormatting>
  <conditionalFormatting sqref="E306:E309 E321:E324">
    <cfRule type="dataBar" priority="461">
      <dataBar>
        <cfvo type="min"/>
        <cfvo type="max"/>
        <color rgb="FF638EC6"/>
      </dataBar>
    </cfRule>
  </conditionalFormatting>
  <conditionalFormatting sqref="E310 M310">
    <cfRule type="dataBar" priority="446">
      <dataBar>
        <cfvo type="percent" val="0"/>
        <cfvo type="percentile" val="100"/>
        <color rgb="FF638EC6"/>
      </dataBar>
    </cfRule>
    <cfRule type="dataBar" priority="447">
      <dataBar>
        <cfvo type="percent" val="0"/>
        <cfvo type="percent" val="100"/>
        <color rgb="FF638EC6"/>
      </dataBar>
    </cfRule>
  </conditionalFormatting>
  <conditionalFormatting sqref="E310">
    <cfRule type="dataBar" priority="432">
      <dataBar>
        <cfvo type="min"/>
        <cfvo type="max"/>
        <color rgb="FF638EC6"/>
      </dataBar>
    </cfRule>
    <cfRule type="dataBar" priority="440">
      <dataBar>
        <cfvo type="min"/>
        <cfvo type="max"/>
        <color rgb="FF638EC6"/>
      </dataBar>
    </cfRule>
  </conditionalFormatting>
  <conditionalFormatting sqref="E311:E314">
    <cfRule type="dataBar" priority="279">
      <dataBar>
        <cfvo type="min"/>
        <cfvo type="max"/>
        <color rgb="FF638EC6"/>
      </dataBar>
    </cfRule>
  </conditionalFormatting>
  <conditionalFormatting sqref="E311:E315">
    <cfRule type="dataBar" priority="272">
      <dataBar>
        <cfvo type="min"/>
        <cfvo type="max"/>
        <color rgb="FF638EC6"/>
      </dataBar>
    </cfRule>
  </conditionalFormatting>
  <conditionalFormatting sqref="E315">
    <cfRule type="dataBar" priority="281">
      <dataBar>
        <cfvo type="min"/>
        <cfvo type="max"/>
        <color rgb="FF638EC6"/>
      </dataBar>
    </cfRule>
    <cfRule type="dataBar" priority="289">
      <dataBar>
        <cfvo type="min"/>
        <cfvo type="max"/>
        <color rgb="FF638EC6"/>
      </dataBar>
    </cfRule>
  </conditionalFormatting>
  <conditionalFormatting sqref="E316:E320">
    <cfRule type="dataBar" priority="226">
      <dataBar>
        <cfvo type="min"/>
        <cfvo type="max"/>
        <color rgb="FF638EC6"/>
      </dataBar>
    </cfRule>
    <cfRule type="dataBar" priority="233">
      <dataBar>
        <cfvo type="min"/>
        <cfvo type="max"/>
        <color rgb="FF638EC6"/>
      </dataBar>
    </cfRule>
  </conditionalFormatting>
  <conditionalFormatting sqref="E340 E335 E346:E348">
    <cfRule type="dataBar" priority="585">
      <dataBar>
        <cfvo type="min"/>
        <cfvo type="max"/>
        <color rgb="FF638EC6"/>
      </dataBar>
    </cfRule>
  </conditionalFormatting>
  <conditionalFormatting sqref="E336:E339">
    <cfRule type="dataBar" priority="519">
      <dataBar>
        <cfvo type="min"/>
        <cfvo type="max"/>
        <color rgb="FF638EC6"/>
      </dataBar>
    </cfRule>
  </conditionalFormatting>
  <conditionalFormatting sqref="E341:E344">
    <cfRule type="dataBar" priority="505">
      <dataBar>
        <cfvo type="min"/>
        <cfvo type="max"/>
        <color rgb="FF638EC6"/>
      </dataBar>
    </cfRule>
  </conditionalFormatting>
  <conditionalFormatting sqref="E345">
    <cfRule type="dataBar" priority="513">
      <dataBar>
        <cfvo type="min"/>
        <cfvo type="max"/>
        <color rgb="FF638EC6"/>
      </dataBar>
    </cfRule>
  </conditionalFormatting>
  <conditionalFormatting sqref="G1">
    <cfRule type="dataBar" priority="902">
      <dataBar>
        <cfvo type="percent" val="0"/>
        <cfvo type="percentile" val="100"/>
        <color rgb="FF638EC6"/>
      </dataBar>
    </cfRule>
    <cfRule type="dataBar" priority="903">
      <dataBar>
        <cfvo type="percent" val="0"/>
        <cfvo type="percent" val="100"/>
        <color rgb="FF638EC6"/>
      </dataBar>
    </cfRule>
    <cfRule type="dataBar" priority="904">
      <dataBar>
        <cfvo type="min"/>
        <cfvo type="max"/>
        <color rgb="FF638EC6"/>
      </dataBar>
    </cfRule>
  </conditionalFormatting>
  <conditionalFormatting sqref="G1:G225 G236 G291:G294 G296:G299 G325 G349:G1048576">
    <cfRule type="dataBar" priority="791">
      <dataBar>
        <cfvo type="min"/>
        <cfvo type="max"/>
        <color rgb="FF638EC6"/>
      </dataBar>
    </cfRule>
  </conditionalFormatting>
  <conditionalFormatting sqref="G2">
    <cfRule type="dataBar" priority="866">
      <dataBar>
        <cfvo type="min"/>
        <cfvo type="max"/>
        <color rgb="FF638EC6"/>
      </dataBar>
    </cfRule>
  </conditionalFormatting>
  <conditionalFormatting sqref="G3:G72 G1 G74:G96 G111 G221 G236 G291:G294 G296:G299 G325 G349:G1048576">
    <cfRule type="dataBar" priority="897">
      <dataBar>
        <cfvo type="min"/>
        <cfvo type="max"/>
        <color rgb="FF638EC6"/>
      </dataBar>
    </cfRule>
  </conditionalFormatting>
  <conditionalFormatting sqref="G73">
    <cfRule type="dataBar" priority="872">
      <dataBar>
        <cfvo type="min"/>
        <cfvo type="max"/>
        <color rgb="FF638EC6"/>
      </dataBar>
    </cfRule>
  </conditionalFormatting>
  <conditionalFormatting sqref="G97">
    <cfRule type="dataBar" priority="879">
      <dataBar>
        <cfvo type="min"/>
        <cfvo type="max"/>
        <color rgb="FF638EC6"/>
      </dataBar>
    </cfRule>
  </conditionalFormatting>
  <conditionalFormatting sqref="G98:G110">
    <cfRule type="dataBar" priority="886">
      <dataBar>
        <cfvo type="min"/>
        <cfvo type="max"/>
        <color rgb="FF638EC6"/>
      </dataBar>
    </cfRule>
  </conditionalFormatting>
  <conditionalFormatting sqref="G112:G220">
    <cfRule type="dataBar" priority="856">
      <dataBar>
        <cfvo type="min"/>
        <cfvo type="max"/>
        <color rgb="FF638EC6"/>
      </dataBar>
    </cfRule>
  </conditionalFormatting>
  <conditionalFormatting sqref="G222:G225">
    <cfRule type="dataBar" priority="844">
      <dataBar>
        <cfvo type="min"/>
        <cfvo type="max"/>
        <color rgb="FF638EC6"/>
      </dataBar>
    </cfRule>
  </conditionalFormatting>
  <conditionalFormatting sqref="G226">
    <cfRule type="dataBar" priority="772">
      <dataBar>
        <cfvo type="min"/>
        <cfvo type="max"/>
        <color rgb="FF638EC6"/>
      </dataBar>
    </cfRule>
    <cfRule type="dataBar" priority="782">
      <dataBar>
        <cfvo type="min"/>
        <cfvo type="max"/>
        <color rgb="FF638EC6"/>
      </dataBar>
    </cfRule>
  </conditionalFormatting>
  <conditionalFormatting sqref="G227:G230">
    <cfRule type="dataBar" priority="754">
      <dataBar>
        <cfvo type="min"/>
        <cfvo type="max"/>
        <color rgb="FF638EC6"/>
      </dataBar>
    </cfRule>
    <cfRule type="dataBar" priority="765">
      <dataBar>
        <cfvo type="min"/>
        <cfvo type="max"/>
        <color rgb="FF638EC6"/>
      </dataBar>
    </cfRule>
  </conditionalFormatting>
  <conditionalFormatting sqref="G231">
    <cfRule type="dataBar" priority="736">
      <dataBar>
        <cfvo type="min"/>
        <cfvo type="max"/>
        <color rgb="FF638EC6"/>
      </dataBar>
    </cfRule>
    <cfRule type="dataBar" priority="746">
      <dataBar>
        <cfvo type="min"/>
        <cfvo type="max"/>
        <color rgb="FF638EC6"/>
      </dataBar>
    </cfRule>
  </conditionalFormatting>
  <conditionalFormatting sqref="G232:G235">
    <cfRule type="dataBar" priority="718">
      <dataBar>
        <cfvo type="min"/>
        <cfvo type="max"/>
        <color rgb="FF638EC6"/>
      </dataBar>
    </cfRule>
    <cfRule type="dataBar" priority="729">
      <dataBar>
        <cfvo type="min"/>
        <cfvo type="max"/>
        <color rgb="FF638EC6"/>
      </dataBar>
    </cfRule>
  </conditionalFormatting>
  <conditionalFormatting sqref="G237:G240">
    <cfRule type="dataBar" priority="682">
      <dataBar>
        <cfvo type="min"/>
        <cfvo type="max"/>
        <color rgb="FF638EC6"/>
      </dataBar>
    </cfRule>
    <cfRule type="dataBar" priority="693">
      <dataBar>
        <cfvo type="min"/>
        <cfvo type="max"/>
        <color rgb="FF638EC6"/>
      </dataBar>
    </cfRule>
  </conditionalFormatting>
  <conditionalFormatting sqref="G241">
    <cfRule type="dataBar" priority="700">
      <dataBar>
        <cfvo type="min"/>
        <cfvo type="max"/>
        <color rgb="FF638EC6"/>
      </dataBar>
    </cfRule>
    <cfRule type="dataBar" priority="710">
      <dataBar>
        <cfvo type="min"/>
        <cfvo type="max"/>
        <color rgb="FF638EC6"/>
      </dataBar>
    </cfRule>
  </conditionalFormatting>
  <conditionalFormatting sqref="G242:G245">
    <cfRule type="dataBar" priority="646">
      <dataBar>
        <cfvo type="min"/>
        <cfvo type="max"/>
        <color rgb="FF638EC6"/>
      </dataBar>
    </cfRule>
    <cfRule type="dataBar" priority="657">
      <dataBar>
        <cfvo type="min"/>
        <cfvo type="max"/>
        <color rgb="FF638EC6"/>
      </dataBar>
    </cfRule>
  </conditionalFormatting>
  <conditionalFormatting sqref="G246">
    <cfRule type="dataBar" priority="664">
      <dataBar>
        <cfvo type="min"/>
        <cfvo type="max"/>
        <color rgb="FF638EC6"/>
      </dataBar>
    </cfRule>
    <cfRule type="dataBar" priority="674">
      <dataBar>
        <cfvo type="min"/>
        <cfvo type="max"/>
        <color rgb="FF638EC6"/>
      </dataBar>
    </cfRule>
  </conditionalFormatting>
  <conditionalFormatting sqref="G247:G250">
    <cfRule type="dataBar" priority="545">
      <dataBar>
        <cfvo type="min"/>
        <cfvo type="max"/>
        <color rgb="FF638EC6"/>
      </dataBar>
    </cfRule>
    <cfRule type="dataBar" priority="556">
      <dataBar>
        <cfvo type="min"/>
        <cfvo type="max"/>
        <color rgb="FF638EC6"/>
      </dataBar>
    </cfRule>
  </conditionalFormatting>
  <conditionalFormatting sqref="G251">
    <cfRule type="dataBar" priority="564">
      <dataBar>
        <cfvo type="min"/>
        <cfvo type="max"/>
        <color rgb="FF638EC6"/>
      </dataBar>
    </cfRule>
    <cfRule type="dataBar" priority="574">
      <dataBar>
        <cfvo type="min"/>
        <cfvo type="max"/>
        <color rgb="FF638EC6"/>
      </dataBar>
    </cfRule>
  </conditionalFormatting>
  <conditionalFormatting sqref="G252:G255">
    <cfRule type="dataBar" priority="527">
      <dataBar>
        <cfvo type="min"/>
        <cfvo type="max"/>
        <color rgb="FF638EC6"/>
      </dataBar>
    </cfRule>
    <cfRule type="dataBar" priority="538">
      <dataBar>
        <cfvo type="min"/>
        <cfvo type="max"/>
        <color rgb="FF638EC6"/>
      </dataBar>
    </cfRule>
  </conditionalFormatting>
  <conditionalFormatting sqref="G256">
    <cfRule type="dataBar" priority="591">
      <dataBar>
        <cfvo type="min"/>
        <cfvo type="max"/>
        <color rgb="FF638EC6"/>
      </dataBar>
    </cfRule>
    <cfRule type="dataBar" priority="601">
      <dataBar>
        <cfvo type="min"/>
        <cfvo type="max"/>
        <color rgb="FF638EC6"/>
      </dataBar>
    </cfRule>
  </conditionalFormatting>
  <conditionalFormatting sqref="G257:G260">
    <cfRule type="dataBar" priority="479">
      <dataBar>
        <cfvo type="min"/>
        <cfvo type="max"/>
        <color rgb="FF638EC6"/>
      </dataBar>
    </cfRule>
    <cfRule type="dataBar" priority="489">
      <dataBar>
        <cfvo type="min"/>
        <cfvo type="max"/>
        <color rgb="FF638EC6"/>
      </dataBar>
    </cfRule>
  </conditionalFormatting>
  <conditionalFormatting sqref="G262:G271">
    <cfRule type="dataBar" priority="395">
      <dataBar>
        <cfvo type="min"/>
        <cfvo type="max"/>
        <color rgb="FF638EC6"/>
      </dataBar>
    </cfRule>
    <cfRule type="dataBar" priority="405">
      <dataBar>
        <cfvo type="min"/>
        <cfvo type="max"/>
        <color rgb="FF638EC6"/>
      </dataBar>
    </cfRule>
  </conditionalFormatting>
  <conditionalFormatting sqref="G272:G275">
    <cfRule type="dataBar" priority="153">
      <dataBar>
        <cfvo type="min"/>
        <cfvo type="max"/>
        <color rgb="FF638EC6"/>
      </dataBar>
    </cfRule>
    <cfRule type="dataBar" priority="163">
      <dataBar>
        <cfvo type="min"/>
        <cfvo type="max"/>
        <color rgb="FF638EC6"/>
      </dataBar>
    </cfRule>
  </conditionalFormatting>
  <conditionalFormatting sqref="G277:G280">
    <cfRule type="dataBar" priority="64">
      <dataBar>
        <cfvo type="min"/>
        <cfvo type="max"/>
        <color rgb="FF638EC6"/>
      </dataBar>
    </cfRule>
    <cfRule type="dataBar" priority="74">
      <dataBar>
        <cfvo type="min"/>
        <cfvo type="max"/>
        <color rgb="FF638EC6"/>
      </dataBar>
    </cfRule>
  </conditionalFormatting>
  <conditionalFormatting sqref="G282:G285">
    <cfRule type="dataBar" priority="36">
      <dataBar>
        <cfvo type="min"/>
        <cfvo type="max"/>
        <color rgb="FF638EC6"/>
      </dataBar>
    </cfRule>
    <cfRule type="dataBar" priority="46">
      <dataBar>
        <cfvo type="min"/>
        <cfvo type="max"/>
        <color rgb="FF638EC6"/>
      </dataBar>
    </cfRule>
  </conditionalFormatting>
  <conditionalFormatting sqref="G287 G289">
    <cfRule type="dataBar" priority="1184">
      <dataBar>
        <cfvo type="min"/>
        <cfvo type="max"/>
        <color rgb="FF638EC6"/>
      </dataBar>
    </cfRule>
    <cfRule type="dataBar" priority="1185">
      <dataBar>
        <cfvo type="min"/>
        <cfvo type="max"/>
        <color rgb="FF638EC6"/>
      </dataBar>
    </cfRule>
  </conditionalFormatting>
  <conditionalFormatting sqref="G290">
    <cfRule type="dataBar" priority="367">
      <dataBar>
        <cfvo type="min"/>
        <cfvo type="max"/>
        <color rgb="FF638EC6"/>
      </dataBar>
    </cfRule>
    <cfRule type="dataBar" priority="375">
      <dataBar>
        <cfvo type="min"/>
        <cfvo type="max"/>
        <color rgb="FF638EC6"/>
      </dataBar>
    </cfRule>
  </conditionalFormatting>
  <conditionalFormatting sqref="G300:G304">
    <cfRule type="dataBar" priority="627">
      <dataBar>
        <cfvo type="min"/>
        <cfvo type="max"/>
        <color rgb="FF638EC6"/>
      </dataBar>
    </cfRule>
    <cfRule type="dataBar" priority="637">
      <dataBar>
        <cfvo type="min"/>
        <cfvo type="max"/>
        <color rgb="FF638EC6"/>
      </dataBar>
    </cfRule>
  </conditionalFormatting>
  <conditionalFormatting sqref="G306:G309">
    <cfRule type="dataBar" priority="450">
      <dataBar>
        <cfvo type="min"/>
        <cfvo type="max"/>
        <color rgb="FF638EC6"/>
      </dataBar>
    </cfRule>
    <cfRule type="dataBar" priority="457">
      <dataBar>
        <cfvo type="min"/>
        <cfvo type="max"/>
        <color rgb="FF638EC6"/>
      </dataBar>
    </cfRule>
  </conditionalFormatting>
  <conditionalFormatting sqref="G310">
    <cfRule type="dataBar" priority="435">
      <dataBar>
        <cfvo type="min"/>
        <cfvo type="max"/>
        <color rgb="FF638EC6"/>
      </dataBar>
    </cfRule>
    <cfRule type="dataBar" priority="443">
      <dataBar>
        <cfvo type="min"/>
        <cfvo type="max"/>
        <color rgb="FF638EC6"/>
      </dataBar>
    </cfRule>
  </conditionalFormatting>
  <conditionalFormatting sqref="G311:G314">
    <cfRule type="dataBar" priority="284">
      <dataBar>
        <cfvo type="min"/>
        <cfvo type="max"/>
        <color rgb="FF638EC6"/>
      </dataBar>
    </cfRule>
    <cfRule type="dataBar" priority="293">
      <dataBar>
        <cfvo type="min"/>
        <cfvo type="max"/>
        <color rgb="FF638EC6"/>
      </dataBar>
    </cfRule>
  </conditionalFormatting>
  <conditionalFormatting sqref="G315">
    <cfRule type="dataBar" priority="300">
      <dataBar>
        <cfvo type="min"/>
        <cfvo type="max"/>
        <color rgb="FF638EC6"/>
      </dataBar>
    </cfRule>
    <cfRule type="dataBar" priority="308">
      <dataBar>
        <cfvo type="min"/>
        <cfvo type="max"/>
        <color rgb="FF638EC6"/>
      </dataBar>
    </cfRule>
  </conditionalFormatting>
  <conditionalFormatting sqref="G316:G320">
    <cfRule type="dataBar" priority="237">
      <dataBar>
        <cfvo type="min"/>
        <cfvo type="max"/>
        <color rgb="FF638EC6"/>
      </dataBar>
    </cfRule>
    <cfRule type="dataBar" priority="245">
      <dataBar>
        <cfvo type="min"/>
        <cfvo type="max"/>
        <color rgb="FF638EC6"/>
      </dataBar>
    </cfRule>
  </conditionalFormatting>
  <conditionalFormatting sqref="G321:G324 G305">
    <cfRule type="dataBar" priority="609">
      <dataBar>
        <cfvo type="min"/>
        <cfvo type="max"/>
        <color rgb="FF638EC6"/>
      </dataBar>
    </cfRule>
    <cfRule type="dataBar" priority="619">
      <dataBar>
        <cfvo type="min"/>
        <cfvo type="max"/>
        <color rgb="FF638EC6"/>
      </dataBar>
    </cfRule>
  </conditionalFormatting>
  <conditionalFormatting sqref="G261:J261">
    <cfRule type="dataBar" priority="496">
      <dataBar>
        <cfvo type="min"/>
        <cfvo type="max"/>
        <color rgb="FF638EC6"/>
      </dataBar>
    </cfRule>
  </conditionalFormatting>
  <conditionalFormatting sqref="G276:J276 G281:J281">
    <cfRule type="dataBar" priority="186">
      <dataBar>
        <cfvo type="min"/>
        <cfvo type="max"/>
        <color rgb="FF638EC6"/>
      </dataBar>
    </cfRule>
  </conditionalFormatting>
  <conditionalFormatting sqref="G335:J335 G340:J340 G346:J348">
    <cfRule type="dataBar" priority="584">
      <dataBar>
        <cfvo type="min"/>
        <cfvo type="max"/>
        <color rgb="FF638EC6"/>
      </dataBar>
    </cfRule>
  </conditionalFormatting>
  <conditionalFormatting sqref="G336:J339">
    <cfRule type="dataBar" priority="518">
      <dataBar>
        <cfvo type="min"/>
        <cfvo type="max"/>
        <color rgb="FF638EC6"/>
      </dataBar>
    </cfRule>
  </conditionalFormatting>
  <conditionalFormatting sqref="G341:J344">
    <cfRule type="dataBar" priority="504">
      <dataBar>
        <cfvo type="min"/>
        <cfvo type="max"/>
        <color rgb="FF638EC6"/>
      </dataBar>
    </cfRule>
  </conditionalFormatting>
  <conditionalFormatting sqref="G345:J345">
    <cfRule type="dataBar" priority="512">
      <dataBar>
        <cfvo type="min"/>
        <cfvo type="max"/>
        <color rgb="FF638EC6"/>
      </dataBar>
    </cfRule>
  </conditionalFormatting>
  <conditionalFormatting sqref="H1">
    <cfRule type="dataBar" priority="810">
      <dataBar>
        <cfvo type="percent" val="0"/>
        <cfvo type="percentile" val="100"/>
        <color rgb="FF638EC6"/>
      </dataBar>
    </cfRule>
    <cfRule type="dataBar" priority="811">
      <dataBar>
        <cfvo type="percent" val="0"/>
        <cfvo type="percent" val="100"/>
        <color rgb="FF638EC6"/>
      </dataBar>
    </cfRule>
    <cfRule type="dataBar" priority="812">
      <dataBar>
        <cfvo type="min"/>
        <cfvo type="max"/>
        <color rgb="FF638EC6"/>
      </dataBar>
    </cfRule>
  </conditionalFormatting>
  <conditionalFormatting sqref="H1:H225 H236 H291:H294 H296 H298:H299 H325 H349:H1048576">
    <cfRule type="dataBar" priority="792">
      <dataBar>
        <cfvo type="min"/>
        <cfvo type="max"/>
        <color rgb="FF638EC6"/>
      </dataBar>
    </cfRule>
  </conditionalFormatting>
  <conditionalFormatting sqref="H1:H261 H291:H310 H321:H1048576">
    <cfRule type="dataBar" priority="424">
      <dataBar>
        <cfvo type="min"/>
        <cfvo type="max"/>
        <color rgb="FF638EC6"/>
      </dataBar>
    </cfRule>
  </conditionalFormatting>
  <conditionalFormatting sqref="H2">
    <cfRule type="dataBar" priority="805">
      <dataBar>
        <cfvo type="min"/>
        <cfvo type="max"/>
        <color rgb="FF638EC6"/>
      </dataBar>
    </cfRule>
  </conditionalFormatting>
  <conditionalFormatting sqref="H3:H72 H1 H74:H96 H111 H221 H236 H291:H294 H296 H298:H299 H325 H349:H1048576">
    <cfRule type="dataBar" priority="809">
      <dataBar>
        <cfvo type="min"/>
        <cfvo type="max"/>
        <color rgb="FF638EC6"/>
      </dataBar>
    </cfRule>
  </conditionalFormatting>
  <conditionalFormatting sqref="H73">
    <cfRule type="dataBar" priority="806">
      <dataBar>
        <cfvo type="min"/>
        <cfvo type="max"/>
        <color rgb="FF638EC6"/>
      </dataBar>
    </cfRule>
  </conditionalFormatting>
  <conditionalFormatting sqref="H97">
    <cfRule type="dataBar" priority="807">
      <dataBar>
        <cfvo type="min"/>
        <cfvo type="max"/>
        <color rgb="FF638EC6"/>
      </dataBar>
    </cfRule>
  </conditionalFormatting>
  <conditionalFormatting sqref="H98:H110">
    <cfRule type="dataBar" priority="808">
      <dataBar>
        <cfvo type="min"/>
        <cfvo type="max"/>
        <color rgb="FF638EC6"/>
      </dataBar>
    </cfRule>
  </conditionalFormatting>
  <conditionalFormatting sqref="H112:H220">
    <cfRule type="dataBar" priority="804">
      <dataBar>
        <cfvo type="min"/>
        <cfvo type="max"/>
        <color rgb="FF638EC6"/>
      </dataBar>
    </cfRule>
  </conditionalFormatting>
  <conditionalFormatting sqref="H222:H225">
    <cfRule type="dataBar" priority="803">
      <dataBar>
        <cfvo type="min"/>
        <cfvo type="max"/>
        <color rgb="FF638EC6"/>
      </dataBar>
    </cfRule>
  </conditionalFormatting>
  <conditionalFormatting sqref="H226">
    <cfRule type="dataBar" priority="773">
      <dataBar>
        <cfvo type="min"/>
        <cfvo type="max"/>
        <color rgb="FF638EC6"/>
      </dataBar>
    </cfRule>
    <cfRule type="dataBar" priority="775">
      <dataBar>
        <cfvo type="min"/>
        <cfvo type="max"/>
        <color rgb="FF638EC6"/>
      </dataBar>
    </cfRule>
  </conditionalFormatting>
  <conditionalFormatting sqref="H227:H230">
    <cfRule type="dataBar" priority="755">
      <dataBar>
        <cfvo type="min"/>
        <cfvo type="max"/>
        <color rgb="FF638EC6"/>
      </dataBar>
    </cfRule>
    <cfRule type="dataBar" priority="757">
      <dataBar>
        <cfvo type="min"/>
        <cfvo type="max"/>
        <color rgb="FF638EC6"/>
      </dataBar>
    </cfRule>
  </conditionalFormatting>
  <conditionalFormatting sqref="H231">
    <cfRule type="dataBar" priority="737">
      <dataBar>
        <cfvo type="min"/>
        <cfvo type="max"/>
        <color rgb="FF638EC6"/>
      </dataBar>
    </cfRule>
    <cfRule type="dataBar" priority="739">
      <dataBar>
        <cfvo type="min"/>
        <cfvo type="max"/>
        <color rgb="FF638EC6"/>
      </dataBar>
    </cfRule>
  </conditionalFormatting>
  <conditionalFormatting sqref="H232:H235">
    <cfRule type="dataBar" priority="719">
      <dataBar>
        <cfvo type="min"/>
        <cfvo type="max"/>
        <color rgb="FF638EC6"/>
      </dataBar>
    </cfRule>
    <cfRule type="dataBar" priority="721">
      <dataBar>
        <cfvo type="min"/>
        <cfvo type="max"/>
        <color rgb="FF638EC6"/>
      </dataBar>
    </cfRule>
  </conditionalFormatting>
  <conditionalFormatting sqref="H237:H240">
    <cfRule type="dataBar" priority="683">
      <dataBar>
        <cfvo type="min"/>
        <cfvo type="max"/>
        <color rgb="FF638EC6"/>
      </dataBar>
    </cfRule>
    <cfRule type="dataBar" priority="685">
      <dataBar>
        <cfvo type="min"/>
        <cfvo type="max"/>
        <color rgb="FF638EC6"/>
      </dataBar>
    </cfRule>
  </conditionalFormatting>
  <conditionalFormatting sqref="H241">
    <cfRule type="dataBar" priority="701">
      <dataBar>
        <cfvo type="min"/>
        <cfvo type="max"/>
        <color rgb="FF638EC6"/>
      </dataBar>
    </cfRule>
    <cfRule type="dataBar" priority="703">
      <dataBar>
        <cfvo type="min"/>
        <cfvo type="max"/>
        <color rgb="FF638EC6"/>
      </dataBar>
    </cfRule>
  </conditionalFormatting>
  <conditionalFormatting sqref="H242:H245">
    <cfRule type="dataBar" priority="647">
      <dataBar>
        <cfvo type="min"/>
        <cfvo type="max"/>
        <color rgb="FF638EC6"/>
      </dataBar>
    </cfRule>
    <cfRule type="dataBar" priority="649">
      <dataBar>
        <cfvo type="min"/>
        <cfvo type="max"/>
        <color rgb="FF638EC6"/>
      </dataBar>
    </cfRule>
  </conditionalFormatting>
  <conditionalFormatting sqref="H246">
    <cfRule type="dataBar" priority="665">
      <dataBar>
        <cfvo type="min"/>
        <cfvo type="max"/>
        <color rgb="FF638EC6"/>
      </dataBar>
    </cfRule>
    <cfRule type="dataBar" priority="667">
      <dataBar>
        <cfvo type="min"/>
        <cfvo type="max"/>
        <color rgb="FF638EC6"/>
      </dataBar>
    </cfRule>
  </conditionalFormatting>
  <conditionalFormatting sqref="H247:H250">
    <cfRule type="dataBar" priority="546">
      <dataBar>
        <cfvo type="min"/>
        <cfvo type="max"/>
        <color rgb="FF638EC6"/>
      </dataBar>
    </cfRule>
    <cfRule type="dataBar" priority="548">
      <dataBar>
        <cfvo type="min"/>
        <cfvo type="max"/>
        <color rgb="FF638EC6"/>
      </dataBar>
    </cfRule>
  </conditionalFormatting>
  <conditionalFormatting sqref="H251">
    <cfRule type="dataBar" priority="565">
      <dataBar>
        <cfvo type="min"/>
        <cfvo type="max"/>
        <color rgb="FF638EC6"/>
      </dataBar>
    </cfRule>
    <cfRule type="dataBar" priority="567">
      <dataBar>
        <cfvo type="min"/>
        <cfvo type="max"/>
        <color rgb="FF638EC6"/>
      </dataBar>
    </cfRule>
  </conditionalFormatting>
  <conditionalFormatting sqref="H252:H255">
    <cfRule type="dataBar" priority="528">
      <dataBar>
        <cfvo type="min"/>
        <cfvo type="max"/>
        <color rgb="FF638EC6"/>
      </dataBar>
    </cfRule>
    <cfRule type="dataBar" priority="530">
      <dataBar>
        <cfvo type="min"/>
        <cfvo type="max"/>
        <color rgb="FF638EC6"/>
      </dataBar>
    </cfRule>
  </conditionalFormatting>
  <conditionalFormatting sqref="H256">
    <cfRule type="dataBar" priority="592">
      <dataBar>
        <cfvo type="min"/>
        <cfvo type="max"/>
        <color rgb="FF638EC6"/>
      </dataBar>
    </cfRule>
    <cfRule type="dataBar" priority="594">
      <dataBar>
        <cfvo type="min"/>
        <cfvo type="max"/>
        <color rgb="FF638EC6"/>
      </dataBar>
    </cfRule>
  </conditionalFormatting>
  <conditionalFormatting sqref="H257:H260">
    <cfRule type="dataBar" priority="480">
      <dataBar>
        <cfvo type="min"/>
        <cfvo type="max"/>
        <color rgb="FF638EC6"/>
      </dataBar>
    </cfRule>
    <cfRule type="dataBar" priority="482">
      <dataBar>
        <cfvo type="min"/>
        <cfvo type="max"/>
        <color rgb="FF638EC6"/>
      </dataBar>
    </cfRule>
  </conditionalFormatting>
  <conditionalFormatting sqref="H262:H271">
    <cfRule type="dataBar" priority="384">
      <dataBar>
        <cfvo type="min"/>
        <cfvo type="max"/>
        <color rgb="FF638EC6"/>
      </dataBar>
    </cfRule>
    <cfRule type="dataBar" priority="396">
      <dataBar>
        <cfvo type="min"/>
        <cfvo type="max"/>
        <color rgb="FF638EC6"/>
      </dataBar>
    </cfRule>
    <cfRule type="dataBar" priority="398">
      <dataBar>
        <cfvo type="min"/>
        <cfvo type="max"/>
        <color rgb="FF638EC6"/>
      </dataBar>
    </cfRule>
  </conditionalFormatting>
  <conditionalFormatting sqref="H272:H275">
    <cfRule type="dataBar" priority="148">
      <dataBar>
        <cfvo type="min"/>
        <cfvo type="max"/>
        <color rgb="FF638EC6"/>
      </dataBar>
    </cfRule>
    <cfRule type="dataBar" priority="154">
      <dataBar>
        <cfvo type="min"/>
        <cfvo type="max"/>
        <color rgb="FF638EC6"/>
      </dataBar>
    </cfRule>
    <cfRule type="dataBar" priority="156">
      <dataBar>
        <cfvo type="min"/>
        <cfvo type="max"/>
        <color rgb="FF638EC6"/>
      </dataBar>
    </cfRule>
  </conditionalFormatting>
  <conditionalFormatting sqref="H276 H281">
    <cfRule type="dataBar" priority="176">
      <dataBar>
        <cfvo type="min"/>
        <cfvo type="max"/>
        <color rgb="FF638EC6"/>
      </dataBar>
    </cfRule>
  </conditionalFormatting>
  <conditionalFormatting sqref="H277:H280">
    <cfRule type="dataBar" priority="59">
      <dataBar>
        <cfvo type="min"/>
        <cfvo type="max"/>
        <color rgb="FF638EC6"/>
      </dataBar>
    </cfRule>
    <cfRule type="dataBar" priority="65">
      <dataBar>
        <cfvo type="min"/>
        <cfvo type="max"/>
        <color rgb="FF638EC6"/>
      </dataBar>
    </cfRule>
    <cfRule type="dataBar" priority="67">
      <dataBar>
        <cfvo type="min"/>
        <cfvo type="max"/>
        <color rgb="FF638EC6"/>
      </dataBar>
    </cfRule>
  </conditionalFormatting>
  <conditionalFormatting sqref="H282:H285">
    <cfRule type="dataBar" priority="31">
      <dataBar>
        <cfvo type="min"/>
        <cfvo type="max"/>
        <color rgb="FF638EC6"/>
      </dataBar>
    </cfRule>
    <cfRule type="dataBar" priority="37">
      <dataBar>
        <cfvo type="min"/>
        <cfvo type="max"/>
        <color rgb="FF638EC6"/>
      </dataBar>
    </cfRule>
    <cfRule type="dataBar" priority="39">
      <dataBar>
        <cfvo type="min"/>
        <cfvo type="max"/>
        <color rgb="FF638EC6"/>
      </dataBar>
    </cfRule>
  </conditionalFormatting>
  <conditionalFormatting sqref="H287">
    <cfRule type="dataBar" priority="324">
      <dataBar>
        <cfvo type="min"/>
        <cfvo type="max"/>
        <color rgb="FF638EC6"/>
      </dataBar>
    </cfRule>
    <cfRule type="dataBar" priority="325">
      <dataBar>
        <cfvo type="min"/>
        <cfvo type="max"/>
        <color rgb="FF638EC6"/>
      </dataBar>
    </cfRule>
    <cfRule type="dataBar" priority="326">
      <dataBar>
        <cfvo type="min"/>
        <cfvo type="max"/>
        <color rgb="FF638EC6"/>
      </dataBar>
    </cfRule>
  </conditionalFormatting>
  <conditionalFormatting sqref="H289">
    <cfRule type="dataBar" priority="352">
      <dataBar>
        <cfvo type="min"/>
        <cfvo type="max"/>
        <color rgb="FF638EC6"/>
      </dataBar>
    </cfRule>
    <cfRule type="dataBar" priority="354">
      <dataBar>
        <cfvo type="min"/>
        <cfvo type="max"/>
        <color rgb="FF638EC6"/>
      </dataBar>
    </cfRule>
  </conditionalFormatting>
  <conditionalFormatting sqref="H289:H290">
    <cfRule type="dataBar" priority="338">
      <dataBar>
        <cfvo type="min"/>
        <cfvo type="max"/>
        <color rgb="FF638EC6"/>
      </dataBar>
    </cfRule>
  </conditionalFormatting>
  <conditionalFormatting sqref="H290">
    <cfRule type="dataBar" priority="368">
      <dataBar>
        <cfvo type="min"/>
        <cfvo type="max"/>
        <color rgb="FF638EC6"/>
      </dataBar>
    </cfRule>
    <cfRule type="dataBar" priority="370">
      <dataBar>
        <cfvo type="min"/>
        <cfvo type="max"/>
        <color rgb="FF638EC6"/>
      </dataBar>
    </cfRule>
  </conditionalFormatting>
  <conditionalFormatting sqref="H300:H304">
    <cfRule type="dataBar" priority="628">
      <dataBar>
        <cfvo type="min"/>
        <cfvo type="max"/>
        <color rgb="FF638EC6"/>
      </dataBar>
    </cfRule>
    <cfRule type="dataBar" priority="630">
      <dataBar>
        <cfvo type="min"/>
        <cfvo type="max"/>
        <color rgb="FF638EC6"/>
      </dataBar>
    </cfRule>
  </conditionalFormatting>
  <conditionalFormatting sqref="H306:H309">
    <cfRule type="dataBar" priority="451">
      <dataBar>
        <cfvo type="min"/>
        <cfvo type="max"/>
        <color rgb="FF638EC6"/>
      </dataBar>
    </cfRule>
    <cfRule type="dataBar" priority="453">
      <dataBar>
        <cfvo type="min"/>
        <cfvo type="max"/>
        <color rgb="FF638EC6"/>
      </dataBar>
    </cfRule>
  </conditionalFormatting>
  <conditionalFormatting sqref="H310">
    <cfRule type="dataBar" priority="436">
      <dataBar>
        <cfvo type="min"/>
        <cfvo type="max"/>
        <color rgb="FF638EC6"/>
      </dataBar>
    </cfRule>
    <cfRule type="dataBar" priority="438">
      <dataBar>
        <cfvo type="min"/>
        <cfvo type="max"/>
        <color rgb="FF638EC6"/>
      </dataBar>
    </cfRule>
  </conditionalFormatting>
  <conditionalFormatting sqref="H311:H312">
    <cfRule type="dataBar" priority="262">
      <dataBar>
        <cfvo type="min"/>
        <cfvo type="max"/>
        <color rgb="FF638EC6"/>
      </dataBar>
    </cfRule>
    <cfRule type="dataBar" priority="265">
      <dataBar>
        <cfvo type="min"/>
        <cfvo type="max"/>
        <color rgb="FF638EC6"/>
      </dataBar>
    </cfRule>
    <cfRule type="dataBar" priority="267">
      <dataBar>
        <cfvo type="min"/>
        <cfvo type="max"/>
        <color rgb="FF638EC6"/>
      </dataBar>
    </cfRule>
  </conditionalFormatting>
  <conditionalFormatting sqref="H313">
    <cfRule type="dataBar" priority="253">
      <dataBar>
        <cfvo type="min"/>
        <cfvo type="max"/>
        <color rgb="FF638EC6"/>
      </dataBar>
    </cfRule>
    <cfRule type="dataBar" priority="256">
      <dataBar>
        <cfvo type="min"/>
        <cfvo type="max"/>
        <color rgb="FF638EC6"/>
      </dataBar>
    </cfRule>
    <cfRule type="dataBar" priority="258">
      <dataBar>
        <cfvo type="min"/>
        <cfvo type="max"/>
        <color rgb="FF638EC6"/>
      </dataBar>
    </cfRule>
  </conditionalFormatting>
  <conditionalFormatting sqref="H314">
    <cfRule type="dataBar" priority="285">
      <dataBar>
        <cfvo type="min"/>
        <cfvo type="max"/>
        <color rgb="FF638EC6"/>
      </dataBar>
    </cfRule>
    <cfRule type="dataBar" priority="287">
      <dataBar>
        <cfvo type="min"/>
        <cfvo type="max"/>
        <color rgb="FF638EC6"/>
      </dataBar>
    </cfRule>
  </conditionalFormatting>
  <conditionalFormatting sqref="H314:H315">
    <cfRule type="dataBar" priority="271">
      <dataBar>
        <cfvo type="min"/>
        <cfvo type="max"/>
        <color rgb="FF638EC6"/>
      </dataBar>
    </cfRule>
  </conditionalFormatting>
  <conditionalFormatting sqref="H315">
    <cfRule type="dataBar" priority="301">
      <dataBar>
        <cfvo type="min"/>
        <cfvo type="max"/>
        <color rgb="FF638EC6"/>
      </dataBar>
    </cfRule>
    <cfRule type="dataBar" priority="303">
      <dataBar>
        <cfvo type="min"/>
        <cfvo type="max"/>
        <color rgb="FF638EC6"/>
      </dataBar>
    </cfRule>
  </conditionalFormatting>
  <conditionalFormatting sqref="H316:H317">
    <cfRule type="dataBar" priority="207">
      <dataBar>
        <cfvo type="min"/>
        <cfvo type="max"/>
        <color rgb="FF638EC6"/>
      </dataBar>
    </cfRule>
    <cfRule type="dataBar" priority="210">
      <dataBar>
        <cfvo type="min"/>
        <cfvo type="max"/>
        <color rgb="FF638EC6"/>
      </dataBar>
    </cfRule>
    <cfRule type="dataBar" priority="212">
      <dataBar>
        <cfvo type="min"/>
        <cfvo type="max"/>
        <color rgb="FF638EC6"/>
      </dataBar>
    </cfRule>
  </conditionalFormatting>
  <conditionalFormatting sqref="H318">
    <cfRule type="dataBar" priority="198">
      <dataBar>
        <cfvo type="min"/>
        <cfvo type="max"/>
        <color rgb="FF638EC6"/>
      </dataBar>
    </cfRule>
    <cfRule type="dataBar" priority="201">
      <dataBar>
        <cfvo type="min"/>
        <cfvo type="max"/>
        <color rgb="FF638EC6"/>
      </dataBar>
    </cfRule>
    <cfRule type="dataBar" priority="203">
      <dataBar>
        <cfvo type="min"/>
        <cfvo type="max"/>
        <color rgb="FF638EC6"/>
      </dataBar>
    </cfRule>
  </conditionalFormatting>
  <conditionalFormatting sqref="H319">
    <cfRule type="dataBar" priority="216">
      <dataBar>
        <cfvo type="min"/>
        <cfvo type="max"/>
        <color rgb="FF638EC6"/>
      </dataBar>
    </cfRule>
    <cfRule type="dataBar" priority="219">
      <dataBar>
        <cfvo type="min"/>
        <cfvo type="max"/>
        <color rgb="FF638EC6"/>
      </dataBar>
    </cfRule>
    <cfRule type="dataBar" priority="221">
      <dataBar>
        <cfvo type="min"/>
        <cfvo type="max"/>
        <color rgb="FF638EC6"/>
      </dataBar>
    </cfRule>
  </conditionalFormatting>
  <conditionalFormatting sqref="H320">
    <cfRule type="dataBar" priority="225">
      <dataBar>
        <cfvo type="min"/>
        <cfvo type="max"/>
        <color rgb="FF638EC6"/>
      </dataBar>
    </cfRule>
    <cfRule type="dataBar" priority="238">
      <dataBar>
        <cfvo type="min"/>
        <cfvo type="max"/>
        <color rgb="FF638EC6"/>
      </dataBar>
    </cfRule>
    <cfRule type="dataBar" priority="240">
      <dataBar>
        <cfvo type="min"/>
        <cfvo type="max"/>
        <color rgb="FF638EC6"/>
      </dataBar>
    </cfRule>
  </conditionalFormatting>
  <conditionalFormatting sqref="H321:H324 H305">
    <cfRule type="dataBar" priority="610">
      <dataBar>
        <cfvo type="min"/>
        <cfvo type="max"/>
        <color rgb="FF638EC6"/>
      </dataBar>
    </cfRule>
    <cfRule type="dataBar" priority="612">
      <dataBar>
        <cfvo type="min"/>
        <cfvo type="max"/>
        <color rgb="FF638EC6"/>
      </dataBar>
    </cfRule>
  </conditionalFormatting>
  <conditionalFormatting sqref="I1">
    <cfRule type="dataBar" priority="820">
      <dataBar>
        <cfvo type="percent" val="0"/>
        <cfvo type="percentile" val="100"/>
        <color rgb="FF638EC6"/>
      </dataBar>
    </cfRule>
    <cfRule type="dataBar" priority="821">
      <dataBar>
        <cfvo type="percent" val="0"/>
        <cfvo type="percent" val="100"/>
        <color rgb="FF638EC6"/>
      </dataBar>
    </cfRule>
    <cfRule type="dataBar" priority="822">
      <dataBar>
        <cfvo type="min"/>
        <cfvo type="max"/>
        <color rgb="FF638EC6"/>
      </dataBar>
    </cfRule>
  </conditionalFormatting>
  <conditionalFormatting sqref="I1:I225 I236 I291:I294 I296:I299 I325 I349:I1048576">
    <cfRule type="dataBar" priority="790">
      <dataBar>
        <cfvo type="min"/>
        <cfvo type="max"/>
        <color rgb="FF638EC6"/>
      </dataBar>
    </cfRule>
  </conditionalFormatting>
  <conditionalFormatting sqref="I1:I261 I291:I310 I321:I1048576">
    <cfRule type="dataBar" priority="423">
      <dataBar>
        <cfvo type="min"/>
        <cfvo type="max"/>
        <color rgb="FF638EC6"/>
      </dataBar>
    </cfRule>
  </conditionalFormatting>
  <conditionalFormatting sqref="I2">
    <cfRule type="dataBar" priority="815">
      <dataBar>
        <cfvo type="min"/>
        <cfvo type="max"/>
        <color rgb="FF638EC6"/>
      </dataBar>
    </cfRule>
  </conditionalFormatting>
  <conditionalFormatting sqref="I3:I72 I1 I74:I96 I111 I221 I236 I291:I294 I296:I299 I325 I349:I1048576">
    <cfRule type="dataBar" priority="819">
      <dataBar>
        <cfvo type="min"/>
        <cfvo type="max"/>
        <color rgb="FF638EC6"/>
      </dataBar>
    </cfRule>
  </conditionalFormatting>
  <conditionalFormatting sqref="I73">
    <cfRule type="dataBar" priority="816">
      <dataBar>
        <cfvo type="min"/>
        <cfvo type="max"/>
        <color rgb="FF638EC6"/>
      </dataBar>
    </cfRule>
  </conditionalFormatting>
  <conditionalFormatting sqref="I97">
    <cfRule type="dataBar" priority="817">
      <dataBar>
        <cfvo type="min"/>
        <cfvo type="max"/>
        <color rgb="FF638EC6"/>
      </dataBar>
    </cfRule>
  </conditionalFormatting>
  <conditionalFormatting sqref="I98:I110">
    <cfRule type="dataBar" priority="818">
      <dataBar>
        <cfvo type="min"/>
        <cfvo type="max"/>
        <color rgb="FF638EC6"/>
      </dataBar>
    </cfRule>
  </conditionalFormatting>
  <conditionalFormatting sqref="I112:I220">
    <cfRule type="dataBar" priority="814">
      <dataBar>
        <cfvo type="min"/>
        <cfvo type="max"/>
        <color rgb="FF638EC6"/>
      </dataBar>
    </cfRule>
  </conditionalFormatting>
  <conditionalFormatting sqref="I222:I225">
    <cfRule type="dataBar" priority="813">
      <dataBar>
        <cfvo type="min"/>
        <cfvo type="max"/>
        <color rgb="FF638EC6"/>
      </dataBar>
    </cfRule>
  </conditionalFormatting>
  <conditionalFormatting sqref="I226">
    <cfRule type="dataBar" priority="771">
      <dataBar>
        <cfvo type="min"/>
        <cfvo type="max"/>
        <color rgb="FF638EC6"/>
      </dataBar>
    </cfRule>
    <cfRule type="dataBar" priority="776">
      <dataBar>
        <cfvo type="min"/>
        <cfvo type="max"/>
        <color rgb="FF638EC6"/>
      </dataBar>
    </cfRule>
  </conditionalFormatting>
  <conditionalFormatting sqref="I227:I230">
    <cfRule type="dataBar" priority="753">
      <dataBar>
        <cfvo type="min"/>
        <cfvo type="max"/>
        <color rgb="FF638EC6"/>
      </dataBar>
    </cfRule>
    <cfRule type="dataBar" priority="758">
      <dataBar>
        <cfvo type="min"/>
        <cfvo type="max"/>
        <color rgb="FF638EC6"/>
      </dataBar>
    </cfRule>
  </conditionalFormatting>
  <conditionalFormatting sqref="I231">
    <cfRule type="dataBar" priority="735">
      <dataBar>
        <cfvo type="min"/>
        <cfvo type="max"/>
        <color rgb="FF638EC6"/>
      </dataBar>
    </cfRule>
    <cfRule type="dataBar" priority="740">
      <dataBar>
        <cfvo type="min"/>
        <cfvo type="max"/>
        <color rgb="FF638EC6"/>
      </dataBar>
    </cfRule>
  </conditionalFormatting>
  <conditionalFormatting sqref="I232:I235">
    <cfRule type="dataBar" priority="717">
      <dataBar>
        <cfvo type="min"/>
        <cfvo type="max"/>
        <color rgb="FF638EC6"/>
      </dataBar>
    </cfRule>
    <cfRule type="dataBar" priority="722">
      <dataBar>
        <cfvo type="min"/>
        <cfvo type="max"/>
        <color rgb="FF638EC6"/>
      </dataBar>
    </cfRule>
  </conditionalFormatting>
  <conditionalFormatting sqref="I237:I240">
    <cfRule type="dataBar" priority="681">
      <dataBar>
        <cfvo type="min"/>
        <cfvo type="max"/>
        <color rgb="FF638EC6"/>
      </dataBar>
    </cfRule>
    <cfRule type="dataBar" priority="686">
      <dataBar>
        <cfvo type="min"/>
        <cfvo type="max"/>
        <color rgb="FF638EC6"/>
      </dataBar>
    </cfRule>
  </conditionalFormatting>
  <conditionalFormatting sqref="I241">
    <cfRule type="dataBar" priority="699">
      <dataBar>
        <cfvo type="min"/>
        <cfvo type="max"/>
        <color rgb="FF638EC6"/>
      </dataBar>
    </cfRule>
    <cfRule type="dataBar" priority="704">
      <dataBar>
        <cfvo type="min"/>
        <cfvo type="max"/>
        <color rgb="FF638EC6"/>
      </dataBar>
    </cfRule>
  </conditionalFormatting>
  <conditionalFormatting sqref="I242:I245">
    <cfRule type="dataBar" priority="645">
      <dataBar>
        <cfvo type="min"/>
        <cfvo type="max"/>
        <color rgb="FF638EC6"/>
      </dataBar>
    </cfRule>
    <cfRule type="dataBar" priority="650">
      <dataBar>
        <cfvo type="min"/>
        <cfvo type="max"/>
        <color rgb="FF638EC6"/>
      </dataBar>
    </cfRule>
  </conditionalFormatting>
  <conditionalFormatting sqref="I246">
    <cfRule type="dataBar" priority="663">
      <dataBar>
        <cfvo type="min"/>
        <cfvo type="max"/>
        <color rgb="FF638EC6"/>
      </dataBar>
    </cfRule>
    <cfRule type="dataBar" priority="668">
      <dataBar>
        <cfvo type="min"/>
        <cfvo type="max"/>
        <color rgb="FF638EC6"/>
      </dataBar>
    </cfRule>
  </conditionalFormatting>
  <conditionalFormatting sqref="I247:I250">
    <cfRule type="dataBar" priority="544">
      <dataBar>
        <cfvo type="min"/>
        <cfvo type="max"/>
        <color rgb="FF638EC6"/>
      </dataBar>
    </cfRule>
    <cfRule type="dataBar" priority="549">
      <dataBar>
        <cfvo type="min"/>
        <cfvo type="max"/>
        <color rgb="FF638EC6"/>
      </dataBar>
    </cfRule>
  </conditionalFormatting>
  <conditionalFormatting sqref="I251">
    <cfRule type="dataBar" priority="563">
      <dataBar>
        <cfvo type="min"/>
        <cfvo type="max"/>
        <color rgb="FF638EC6"/>
      </dataBar>
    </cfRule>
    <cfRule type="dataBar" priority="568">
      <dataBar>
        <cfvo type="min"/>
        <cfvo type="max"/>
        <color rgb="FF638EC6"/>
      </dataBar>
    </cfRule>
  </conditionalFormatting>
  <conditionalFormatting sqref="I252:I255">
    <cfRule type="dataBar" priority="526">
      <dataBar>
        <cfvo type="min"/>
        <cfvo type="max"/>
        <color rgb="FF638EC6"/>
      </dataBar>
    </cfRule>
    <cfRule type="dataBar" priority="531">
      <dataBar>
        <cfvo type="min"/>
        <cfvo type="max"/>
        <color rgb="FF638EC6"/>
      </dataBar>
    </cfRule>
  </conditionalFormatting>
  <conditionalFormatting sqref="I256">
    <cfRule type="dataBar" priority="590">
      <dataBar>
        <cfvo type="min"/>
        <cfvo type="max"/>
        <color rgb="FF638EC6"/>
      </dataBar>
    </cfRule>
    <cfRule type="dataBar" priority="595">
      <dataBar>
        <cfvo type="min"/>
        <cfvo type="max"/>
        <color rgb="FF638EC6"/>
      </dataBar>
    </cfRule>
  </conditionalFormatting>
  <conditionalFormatting sqref="I257:I260">
    <cfRule type="dataBar" priority="478">
      <dataBar>
        <cfvo type="min"/>
        <cfvo type="max"/>
        <color rgb="FF638EC6"/>
      </dataBar>
    </cfRule>
    <cfRule type="dataBar" priority="483">
      <dataBar>
        <cfvo type="min"/>
        <cfvo type="max"/>
        <color rgb="FF638EC6"/>
      </dataBar>
    </cfRule>
  </conditionalFormatting>
  <conditionalFormatting sqref="I262:I271">
    <cfRule type="dataBar" priority="383">
      <dataBar>
        <cfvo type="min"/>
        <cfvo type="max"/>
        <color rgb="FF638EC6"/>
      </dataBar>
    </cfRule>
    <cfRule type="dataBar" priority="394">
      <dataBar>
        <cfvo type="min"/>
        <cfvo type="max"/>
        <color rgb="FF638EC6"/>
      </dataBar>
    </cfRule>
    <cfRule type="dataBar" priority="399">
      <dataBar>
        <cfvo type="min"/>
        <cfvo type="max"/>
        <color rgb="FF638EC6"/>
      </dataBar>
    </cfRule>
  </conditionalFormatting>
  <conditionalFormatting sqref="I272:I275">
    <cfRule type="dataBar" priority="147">
      <dataBar>
        <cfvo type="min"/>
        <cfvo type="max"/>
        <color rgb="FF638EC6"/>
      </dataBar>
    </cfRule>
    <cfRule type="dataBar" priority="152">
      <dataBar>
        <cfvo type="min"/>
        <cfvo type="max"/>
        <color rgb="FF638EC6"/>
      </dataBar>
    </cfRule>
    <cfRule type="dataBar" priority="157">
      <dataBar>
        <cfvo type="min"/>
        <cfvo type="max"/>
        <color rgb="FF638EC6"/>
      </dataBar>
    </cfRule>
  </conditionalFormatting>
  <conditionalFormatting sqref="I276 I281">
    <cfRule type="dataBar" priority="175">
      <dataBar>
        <cfvo type="min"/>
        <cfvo type="max"/>
        <color rgb="FF638EC6"/>
      </dataBar>
    </cfRule>
  </conditionalFormatting>
  <conditionalFormatting sqref="I277:I280">
    <cfRule type="dataBar" priority="58">
      <dataBar>
        <cfvo type="min"/>
        <cfvo type="max"/>
        <color rgb="FF638EC6"/>
      </dataBar>
    </cfRule>
    <cfRule type="dataBar" priority="63">
      <dataBar>
        <cfvo type="min"/>
        <cfvo type="max"/>
        <color rgb="FF638EC6"/>
      </dataBar>
    </cfRule>
    <cfRule type="dataBar" priority="68">
      <dataBar>
        <cfvo type="min"/>
        <cfvo type="max"/>
        <color rgb="FF638EC6"/>
      </dataBar>
    </cfRule>
  </conditionalFormatting>
  <conditionalFormatting sqref="I282:I285">
    <cfRule type="dataBar" priority="30">
      <dataBar>
        <cfvo type="min"/>
        <cfvo type="max"/>
        <color rgb="FF638EC6"/>
      </dataBar>
    </cfRule>
    <cfRule type="dataBar" priority="35">
      <dataBar>
        <cfvo type="min"/>
        <cfvo type="max"/>
        <color rgb="FF638EC6"/>
      </dataBar>
    </cfRule>
    <cfRule type="dataBar" priority="40">
      <dataBar>
        <cfvo type="min"/>
        <cfvo type="max"/>
        <color rgb="FF638EC6"/>
      </dataBar>
    </cfRule>
  </conditionalFormatting>
  <conditionalFormatting sqref="I287 I289">
    <cfRule type="dataBar" priority="1199">
      <dataBar>
        <cfvo type="min"/>
        <cfvo type="max"/>
        <color rgb="FF638EC6"/>
      </dataBar>
    </cfRule>
    <cfRule type="dataBar" priority="1200">
      <dataBar>
        <cfvo type="min"/>
        <cfvo type="max"/>
        <color rgb="FF638EC6"/>
      </dataBar>
    </cfRule>
  </conditionalFormatting>
  <conditionalFormatting sqref="I289:I290 I287">
    <cfRule type="dataBar" priority="1235">
      <dataBar>
        <cfvo type="min"/>
        <cfvo type="max"/>
        <color rgb="FF638EC6"/>
      </dataBar>
    </cfRule>
  </conditionalFormatting>
  <conditionalFormatting sqref="I290">
    <cfRule type="dataBar" priority="366">
      <dataBar>
        <cfvo type="min"/>
        <cfvo type="max"/>
        <color rgb="FF638EC6"/>
      </dataBar>
    </cfRule>
    <cfRule type="dataBar" priority="371">
      <dataBar>
        <cfvo type="min"/>
        <cfvo type="max"/>
        <color rgb="FF638EC6"/>
      </dataBar>
    </cfRule>
  </conditionalFormatting>
  <conditionalFormatting sqref="I300:I304">
    <cfRule type="dataBar" priority="626">
      <dataBar>
        <cfvo type="min"/>
        <cfvo type="max"/>
        <color rgb="FF638EC6"/>
      </dataBar>
    </cfRule>
    <cfRule type="dataBar" priority="912">
      <dataBar>
        <cfvo type="min"/>
        <cfvo type="max"/>
        <color rgb="FF638EC6"/>
      </dataBar>
    </cfRule>
  </conditionalFormatting>
  <conditionalFormatting sqref="I306:I309">
    <cfRule type="dataBar" priority="449">
      <dataBar>
        <cfvo type="min"/>
        <cfvo type="max"/>
        <color rgb="FF638EC6"/>
      </dataBar>
    </cfRule>
    <cfRule type="dataBar" priority="465">
      <dataBar>
        <cfvo type="min"/>
        <cfvo type="max"/>
        <color rgb="FF638EC6"/>
      </dataBar>
    </cfRule>
  </conditionalFormatting>
  <conditionalFormatting sqref="I310">
    <cfRule type="dataBar" priority="434">
      <dataBar>
        <cfvo type="min"/>
        <cfvo type="max"/>
        <color rgb="FF638EC6"/>
      </dataBar>
    </cfRule>
    <cfRule type="dataBar" priority="439">
      <dataBar>
        <cfvo type="min"/>
        <cfvo type="max"/>
        <color rgb="FF638EC6"/>
      </dataBar>
    </cfRule>
  </conditionalFormatting>
  <conditionalFormatting sqref="I311:I312">
    <cfRule type="dataBar" priority="261">
      <dataBar>
        <cfvo type="min"/>
        <cfvo type="max"/>
        <color rgb="FF638EC6"/>
      </dataBar>
    </cfRule>
    <cfRule type="dataBar" priority="264">
      <dataBar>
        <cfvo type="min"/>
        <cfvo type="max"/>
        <color rgb="FF638EC6"/>
      </dataBar>
    </cfRule>
    <cfRule type="dataBar" priority="268">
      <dataBar>
        <cfvo type="min"/>
        <cfvo type="max"/>
        <color rgb="FF638EC6"/>
      </dataBar>
    </cfRule>
  </conditionalFormatting>
  <conditionalFormatting sqref="I313">
    <cfRule type="dataBar" priority="252">
      <dataBar>
        <cfvo type="min"/>
        <cfvo type="max"/>
        <color rgb="FF638EC6"/>
      </dataBar>
    </cfRule>
    <cfRule type="dataBar" priority="255">
      <dataBar>
        <cfvo type="min"/>
        <cfvo type="max"/>
        <color rgb="FF638EC6"/>
      </dataBar>
    </cfRule>
    <cfRule type="dataBar" priority="259">
      <dataBar>
        <cfvo type="min"/>
        <cfvo type="max"/>
        <color rgb="FF638EC6"/>
      </dataBar>
    </cfRule>
  </conditionalFormatting>
  <conditionalFormatting sqref="I314">
    <cfRule type="dataBar" priority="283">
      <dataBar>
        <cfvo type="min"/>
        <cfvo type="max"/>
        <color rgb="FF638EC6"/>
      </dataBar>
    </cfRule>
    <cfRule type="dataBar" priority="288">
      <dataBar>
        <cfvo type="min"/>
        <cfvo type="max"/>
        <color rgb="FF638EC6"/>
      </dataBar>
    </cfRule>
  </conditionalFormatting>
  <conditionalFormatting sqref="I314:I315">
    <cfRule type="dataBar" priority="270">
      <dataBar>
        <cfvo type="min"/>
        <cfvo type="max"/>
        <color rgb="FF638EC6"/>
      </dataBar>
    </cfRule>
  </conditionalFormatting>
  <conditionalFormatting sqref="I315">
    <cfRule type="dataBar" priority="299">
      <dataBar>
        <cfvo type="min"/>
        <cfvo type="max"/>
        <color rgb="FF638EC6"/>
      </dataBar>
    </cfRule>
    <cfRule type="dataBar" priority="304">
      <dataBar>
        <cfvo type="min"/>
        <cfvo type="max"/>
        <color rgb="FF638EC6"/>
      </dataBar>
    </cfRule>
  </conditionalFormatting>
  <conditionalFormatting sqref="I316:I317">
    <cfRule type="dataBar" priority="206">
      <dataBar>
        <cfvo type="min"/>
        <cfvo type="max"/>
        <color rgb="FF638EC6"/>
      </dataBar>
    </cfRule>
    <cfRule type="dataBar" priority="209">
      <dataBar>
        <cfvo type="min"/>
        <cfvo type="max"/>
        <color rgb="FF638EC6"/>
      </dataBar>
    </cfRule>
    <cfRule type="dataBar" priority="213">
      <dataBar>
        <cfvo type="min"/>
        <cfvo type="max"/>
        <color rgb="FF638EC6"/>
      </dataBar>
    </cfRule>
  </conditionalFormatting>
  <conditionalFormatting sqref="I318">
    <cfRule type="dataBar" priority="197">
      <dataBar>
        <cfvo type="min"/>
        <cfvo type="max"/>
        <color rgb="FF638EC6"/>
      </dataBar>
    </cfRule>
    <cfRule type="dataBar" priority="200">
      <dataBar>
        <cfvo type="min"/>
        <cfvo type="max"/>
        <color rgb="FF638EC6"/>
      </dataBar>
    </cfRule>
    <cfRule type="dataBar" priority="204">
      <dataBar>
        <cfvo type="min"/>
        <cfvo type="max"/>
        <color rgb="FF638EC6"/>
      </dataBar>
    </cfRule>
  </conditionalFormatting>
  <conditionalFormatting sqref="I319">
    <cfRule type="dataBar" priority="215">
      <dataBar>
        <cfvo type="min"/>
        <cfvo type="max"/>
        <color rgb="FF638EC6"/>
      </dataBar>
    </cfRule>
    <cfRule type="dataBar" priority="218">
      <dataBar>
        <cfvo type="min"/>
        <cfvo type="max"/>
        <color rgb="FF638EC6"/>
      </dataBar>
    </cfRule>
    <cfRule type="dataBar" priority="222">
      <dataBar>
        <cfvo type="min"/>
        <cfvo type="max"/>
        <color rgb="FF638EC6"/>
      </dataBar>
    </cfRule>
  </conditionalFormatting>
  <conditionalFormatting sqref="I320">
    <cfRule type="dataBar" priority="224">
      <dataBar>
        <cfvo type="min"/>
        <cfvo type="max"/>
        <color rgb="FF638EC6"/>
      </dataBar>
    </cfRule>
    <cfRule type="dataBar" priority="236">
      <dataBar>
        <cfvo type="min"/>
        <cfvo type="max"/>
        <color rgb="FF638EC6"/>
      </dataBar>
    </cfRule>
    <cfRule type="dataBar" priority="241">
      <dataBar>
        <cfvo type="min"/>
        <cfvo type="max"/>
        <color rgb="FF638EC6"/>
      </dataBar>
    </cfRule>
  </conditionalFormatting>
  <conditionalFormatting sqref="I321:I324 I305">
    <cfRule type="dataBar" priority="608">
      <dataBar>
        <cfvo type="min"/>
        <cfvo type="max"/>
        <color rgb="FF638EC6"/>
      </dataBar>
    </cfRule>
    <cfRule type="dataBar" priority="613">
      <dataBar>
        <cfvo type="min"/>
        <cfvo type="max"/>
        <color rgb="FF638EC6"/>
      </dataBar>
    </cfRule>
  </conditionalFormatting>
  <conditionalFormatting sqref="J1">
    <cfRule type="dataBar" priority="800">
      <dataBar>
        <cfvo type="percent" val="0"/>
        <cfvo type="percentile" val="100"/>
        <color rgb="FF638EC6"/>
      </dataBar>
    </cfRule>
    <cfRule type="dataBar" priority="801">
      <dataBar>
        <cfvo type="percent" val="0"/>
        <cfvo type="percent" val="100"/>
        <color rgb="FF638EC6"/>
      </dataBar>
    </cfRule>
    <cfRule type="dataBar" priority="802">
      <dataBar>
        <cfvo type="min"/>
        <cfvo type="max"/>
        <color rgb="FF638EC6"/>
      </dataBar>
    </cfRule>
  </conditionalFormatting>
  <conditionalFormatting sqref="J1:J225 J236 J291:J294 J296:J299 J325 J349:J1048576">
    <cfRule type="dataBar" priority="789">
      <dataBar>
        <cfvo type="min"/>
        <cfvo type="max"/>
        <color rgb="FF638EC6"/>
      </dataBar>
    </cfRule>
  </conditionalFormatting>
  <conditionalFormatting sqref="J1:J261 J291:J310 J321:J1048576">
    <cfRule type="dataBar" priority="422">
      <dataBar>
        <cfvo type="min"/>
        <cfvo type="max"/>
        <color rgb="FF638EC6"/>
      </dataBar>
    </cfRule>
  </conditionalFormatting>
  <conditionalFormatting sqref="J2">
    <cfRule type="dataBar" priority="795">
      <dataBar>
        <cfvo type="min"/>
        <cfvo type="max"/>
        <color rgb="FF638EC6"/>
      </dataBar>
    </cfRule>
  </conditionalFormatting>
  <conditionalFormatting sqref="J3:J72 J1 J74:J96 J111 J221 J236 J291:J294 J296:J299 J325 J349:J1048576">
    <cfRule type="dataBar" priority="799">
      <dataBar>
        <cfvo type="min"/>
        <cfvo type="max"/>
        <color rgb="FF638EC6"/>
      </dataBar>
    </cfRule>
  </conditionalFormatting>
  <conditionalFormatting sqref="J73">
    <cfRule type="dataBar" priority="796">
      <dataBar>
        <cfvo type="min"/>
        <cfvo type="max"/>
        <color rgb="FF638EC6"/>
      </dataBar>
    </cfRule>
  </conditionalFormatting>
  <conditionalFormatting sqref="J97">
    <cfRule type="dataBar" priority="797">
      <dataBar>
        <cfvo type="min"/>
        <cfvo type="max"/>
        <color rgb="FF638EC6"/>
      </dataBar>
    </cfRule>
  </conditionalFormatting>
  <conditionalFormatting sqref="J98">
    <cfRule type="dataBar" priority="642">
      <dataBar>
        <cfvo type="min"/>
        <cfvo type="max"/>
        <color rgb="FF638EC6"/>
      </dataBar>
    </cfRule>
  </conditionalFormatting>
  <conditionalFormatting sqref="J98:J110">
    <cfRule type="dataBar" priority="798">
      <dataBar>
        <cfvo type="min"/>
        <cfvo type="max"/>
        <color rgb="FF638EC6"/>
      </dataBar>
    </cfRule>
  </conditionalFormatting>
  <conditionalFormatting sqref="J112:J220">
    <cfRule type="dataBar" priority="794">
      <dataBar>
        <cfvo type="min"/>
        <cfvo type="max"/>
        <color rgb="FF638EC6"/>
      </dataBar>
    </cfRule>
  </conditionalFormatting>
  <conditionalFormatting sqref="J222:J225">
    <cfRule type="dataBar" priority="793">
      <dataBar>
        <cfvo type="min"/>
        <cfvo type="max"/>
        <color rgb="FF638EC6"/>
      </dataBar>
    </cfRule>
  </conditionalFormatting>
  <conditionalFormatting sqref="J226">
    <cfRule type="dataBar" priority="770">
      <dataBar>
        <cfvo type="min"/>
        <cfvo type="max"/>
        <color rgb="FF638EC6"/>
      </dataBar>
    </cfRule>
    <cfRule type="dataBar" priority="774">
      <dataBar>
        <cfvo type="min"/>
        <cfvo type="max"/>
        <color rgb="FF638EC6"/>
      </dataBar>
    </cfRule>
  </conditionalFormatting>
  <conditionalFormatting sqref="J227:J230">
    <cfRule type="dataBar" priority="752">
      <dataBar>
        <cfvo type="min"/>
        <cfvo type="max"/>
        <color rgb="FF638EC6"/>
      </dataBar>
    </cfRule>
    <cfRule type="dataBar" priority="756">
      <dataBar>
        <cfvo type="min"/>
        <cfvo type="max"/>
        <color rgb="FF638EC6"/>
      </dataBar>
    </cfRule>
  </conditionalFormatting>
  <conditionalFormatting sqref="J231">
    <cfRule type="dataBar" priority="734">
      <dataBar>
        <cfvo type="min"/>
        <cfvo type="max"/>
        <color rgb="FF638EC6"/>
      </dataBar>
    </cfRule>
    <cfRule type="dataBar" priority="738">
      <dataBar>
        <cfvo type="min"/>
        <cfvo type="max"/>
        <color rgb="FF638EC6"/>
      </dataBar>
    </cfRule>
  </conditionalFormatting>
  <conditionalFormatting sqref="J232:J235">
    <cfRule type="dataBar" priority="716">
      <dataBar>
        <cfvo type="min"/>
        <cfvo type="max"/>
        <color rgb="FF638EC6"/>
      </dataBar>
    </cfRule>
    <cfRule type="dataBar" priority="720">
      <dataBar>
        <cfvo type="min"/>
        <cfvo type="max"/>
        <color rgb="FF638EC6"/>
      </dataBar>
    </cfRule>
  </conditionalFormatting>
  <conditionalFormatting sqref="J237:J240">
    <cfRule type="dataBar" priority="680">
      <dataBar>
        <cfvo type="min"/>
        <cfvo type="max"/>
        <color rgb="FF638EC6"/>
      </dataBar>
    </cfRule>
    <cfRule type="dataBar" priority="684">
      <dataBar>
        <cfvo type="min"/>
        <cfvo type="max"/>
        <color rgb="FF638EC6"/>
      </dataBar>
    </cfRule>
  </conditionalFormatting>
  <conditionalFormatting sqref="J241">
    <cfRule type="dataBar" priority="698">
      <dataBar>
        <cfvo type="min"/>
        <cfvo type="max"/>
        <color rgb="FF638EC6"/>
      </dataBar>
    </cfRule>
    <cfRule type="dataBar" priority="702">
      <dataBar>
        <cfvo type="min"/>
        <cfvo type="max"/>
        <color rgb="FF638EC6"/>
      </dataBar>
    </cfRule>
  </conditionalFormatting>
  <conditionalFormatting sqref="J242:J245">
    <cfRule type="dataBar" priority="644">
      <dataBar>
        <cfvo type="min"/>
        <cfvo type="max"/>
        <color rgb="FF638EC6"/>
      </dataBar>
    </cfRule>
    <cfRule type="dataBar" priority="648">
      <dataBar>
        <cfvo type="min"/>
        <cfvo type="max"/>
        <color rgb="FF638EC6"/>
      </dataBar>
    </cfRule>
  </conditionalFormatting>
  <conditionalFormatting sqref="J246">
    <cfRule type="dataBar" priority="662">
      <dataBar>
        <cfvo type="min"/>
        <cfvo type="max"/>
        <color rgb="FF638EC6"/>
      </dataBar>
    </cfRule>
    <cfRule type="dataBar" priority="666">
      <dataBar>
        <cfvo type="min"/>
        <cfvo type="max"/>
        <color rgb="FF638EC6"/>
      </dataBar>
    </cfRule>
  </conditionalFormatting>
  <conditionalFormatting sqref="J247:J250">
    <cfRule type="dataBar" priority="543">
      <dataBar>
        <cfvo type="min"/>
        <cfvo type="max"/>
        <color rgb="FF638EC6"/>
      </dataBar>
    </cfRule>
    <cfRule type="dataBar" priority="547">
      <dataBar>
        <cfvo type="min"/>
        <cfvo type="max"/>
        <color rgb="FF638EC6"/>
      </dataBar>
    </cfRule>
  </conditionalFormatting>
  <conditionalFormatting sqref="J251">
    <cfRule type="dataBar" priority="562">
      <dataBar>
        <cfvo type="min"/>
        <cfvo type="max"/>
        <color rgb="FF638EC6"/>
      </dataBar>
    </cfRule>
    <cfRule type="dataBar" priority="566">
      <dataBar>
        <cfvo type="min"/>
        <cfvo type="max"/>
        <color rgb="FF638EC6"/>
      </dataBar>
    </cfRule>
  </conditionalFormatting>
  <conditionalFormatting sqref="J252:J255">
    <cfRule type="dataBar" priority="525">
      <dataBar>
        <cfvo type="min"/>
        <cfvo type="max"/>
        <color rgb="FF638EC6"/>
      </dataBar>
    </cfRule>
    <cfRule type="dataBar" priority="529">
      <dataBar>
        <cfvo type="min"/>
        <cfvo type="max"/>
        <color rgb="FF638EC6"/>
      </dataBar>
    </cfRule>
  </conditionalFormatting>
  <conditionalFormatting sqref="J256">
    <cfRule type="dataBar" priority="589">
      <dataBar>
        <cfvo type="min"/>
        <cfvo type="max"/>
        <color rgb="FF638EC6"/>
      </dataBar>
    </cfRule>
    <cfRule type="dataBar" priority="593">
      <dataBar>
        <cfvo type="min"/>
        <cfvo type="max"/>
        <color rgb="FF638EC6"/>
      </dataBar>
    </cfRule>
  </conditionalFormatting>
  <conditionalFormatting sqref="J257:J260">
    <cfRule type="dataBar" priority="477">
      <dataBar>
        <cfvo type="min"/>
        <cfvo type="max"/>
        <color rgb="FF638EC6"/>
      </dataBar>
    </cfRule>
    <cfRule type="dataBar" priority="481">
      <dataBar>
        <cfvo type="min"/>
        <cfvo type="max"/>
        <color rgb="FF638EC6"/>
      </dataBar>
    </cfRule>
  </conditionalFormatting>
  <conditionalFormatting sqref="J262:J271">
    <cfRule type="dataBar" priority="382">
      <dataBar>
        <cfvo type="min"/>
        <cfvo type="max"/>
        <color rgb="FF638EC6"/>
      </dataBar>
    </cfRule>
    <cfRule type="dataBar" priority="393">
      <dataBar>
        <cfvo type="min"/>
        <cfvo type="max"/>
        <color rgb="FF638EC6"/>
      </dataBar>
    </cfRule>
    <cfRule type="dataBar" priority="397">
      <dataBar>
        <cfvo type="min"/>
        <cfvo type="max"/>
        <color rgb="FF638EC6"/>
      </dataBar>
    </cfRule>
  </conditionalFormatting>
  <conditionalFormatting sqref="J272:J275">
    <cfRule type="dataBar" priority="146">
      <dataBar>
        <cfvo type="min"/>
        <cfvo type="max"/>
        <color rgb="FF638EC6"/>
      </dataBar>
    </cfRule>
    <cfRule type="dataBar" priority="151">
      <dataBar>
        <cfvo type="min"/>
        <cfvo type="max"/>
        <color rgb="FF638EC6"/>
      </dataBar>
    </cfRule>
    <cfRule type="dataBar" priority="155">
      <dataBar>
        <cfvo type="min"/>
        <cfvo type="max"/>
        <color rgb="FF638EC6"/>
      </dataBar>
    </cfRule>
  </conditionalFormatting>
  <conditionalFormatting sqref="J276 J281">
    <cfRule type="dataBar" priority="174">
      <dataBar>
        <cfvo type="min"/>
        <cfvo type="max"/>
        <color rgb="FF638EC6"/>
      </dataBar>
    </cfRule>
  </conditionalFormatting>
  <conditionalFormatting sqref="J277:J280">
    <cfRule type="dataBar" priority="57">
      <dataBar>
        <cfvo type="min"/>
        <cfvo type="max"/>
        <color rgb="FF638EC6"/>
      </dataBar>
    </cfRule>
    <cfRule type="dataBar" priority="62">
      <dataBar>
        <cfvo type="min"/>
        <cfvo type="max"/>
        <color rgb="FF638EC6"/>
      </dataBar>
    </cfRule>
    <cfRule type="dataBar" priority="66">
      <dataBar>
        <cfvo type="min"/>
        <cfvo type="max"/>
        <color rgb="FF638EC6"/>
      </dataBar>
    </cfRule>
  </conditionalFormatting>
  <conditionalFormatting sqref="J282:J285">
    <cfRule type="dataBar" priority="29">
      <dataBar>
        <cfvo type="min"/>
        <cfvo type="max"/>
        <color rgb="FF638EC6"/>
      </dataBar>
    </cfRule>
    <cfRule type="dataBar" priority="34">
      <dataBar>
        <cfvo type="min"/>
        <cfvo type="max"/>
        <color rgb="FF638EC6"/>
      </dataBar>
    </cfRule>
    <cfRule type="dataBar" priority="38">
      <dataBar>
        <cfvo type="min"/>
        <cfvo type="max"/>
        <color rgb="FF638EC6"/>
      </dataBar>
    </cfRule>
  </conditionalFormatting>
  <conditionalFormatting sqref="J287">
    <cfRule type="dataBar" priority="315">
      <dataBar>
        <cfvo type="min"/>
        <cfvo type="max"/>
        <color rgb="FF638EC6"/>
      </dataBar>
    </cfRule>
    <cfRule type="dataBar" priority="316">
      <dataBar>
        <cfvo type="min"/>
        <cfvo type="max"/>
        <color rgb="FF638EC6"/>
      </dataBar>
    </cfRule>
    <cfRule type="dataBar" priority="317">
      <dataBar>
        <cfvo type="min"/>
        <cfvo type="max"/>
        <color rgb="FF638EC6"/>
      </dataBar>
    </cfRule>
  </conditionalFormatting>
  <conditionalFormatting sqref="J289">
    <cfRule type="dataBar" priority="349">
      <dataBar>
        <cfvo type="min"/>
        <cfvo type="max"/>
        <color rgb="FF638EC6"/>
      </dataBar>
    </cfRule>
    <cfRule type="dataBar" priority="353">
      <dataBar>
        <cfvo type="min"/>
        <cfvo type="max"/>
        <color rgb="FF638EC6"/>
      </dataBar>
    </cfRule>
  </conditionalFormatting>
  <conditionalFormatting sqref="J289:J290">
    <cfRule type="dataBar" priority="336">
      <dataBar>
        <cfvo type="min"/>
        <cfvo type="max"/>
        <color rgb="FF638EC6"/>
      </dataBar>
    </cfRule>
  </conditionalFormatting>
  <conditionalFormatting sqref="J290">
    <cfRule type="dataBar" priority="365">
      <dataBar>
        <cfvo type="min"/>
        <cfvo type="max"/>
        <color rgb="FF638EC6"/>
      </dataBar>
    </cfRule>
    <cfRule type="dataBar" priority="369">
      <dataBar>
        <cfvo type="min"/>
        <cfvo type="max"/>
        <color rgb="FF638EC6"/>
      </dataBar>
    </cfRule>
  </conditionalFormatting>
  <conditionalFormatting sqref="J300:J304">
    <cfRule type="dataBar" priority="625">
      <dataBar>
        <cfvo type="min"/>
        <cfvo type="max"/>
        <color rgb="FF638EC6"/>
      </dataBar>
    </cfRule>
    <cfRule type="dataBar" priority="629">
      <dataBar>
        <cfvo type="min"/>
        <cfvo type="max"/>
        <color rgb="FF638EC6"/>
      </dataBar>
    </cfRule>
  </conditionalFormatting>
  <conditionalFormatting sqref="J306:J309">
    <cfRule type="dataBar" priority="448">
      <dataBar>
        <cfvo type="min"/>
        <cfvo type="max"/>
        <color rgb="FF638EC6"/>
      </dataBar>
    </cfRule>
    <cfRule type="dataBar" priority="452">
      <dataBar>
        <cfvo type="min"/>
        <cfvo type="max"/>
        <color rgb="FF638EC6"/>
      </dataBar>
    </cfRule>
  </conditionalFormatting>
  <conditionalFormatting sqref="J310">
    <cfRule type="dataBar" priority="433">
      <dataBar>
        <cfvo type="min"/>
        <cfvo type="max"/>
        <color rgb="FF638EC6"/>
      </dataBar>
    </cfRule>
    <cfRule type="dataBar" priority="437">
      <dataBar>
        <cfvo type="min"/>
        <cfvo type="max"/>
        <color rgb="FF638EC6"/>
      </dataBar>
    </cfRule>
  </conditionalFormatting>
  <conditionalFormatting sqref="J311:J312">
    <cfRule type="dataBar" priority="260">
      <dataBar>
        <cfvo type="min"/>
        <cfvo type="max"/>
        <color rgb="FF638EC6"/>
      </dataBar>
    </cfRule>
    <cfRule type="dataBar" priority="263">
      <dataBar>
        <cfvo type="min"/>
        <cfvo type="max"/>
        <color rgb="FF638EC6"/>
      </dataBar>
    </cfRule>
    <cfRule type="dataBar" priority="266">
      <dataBar>
        <cfvo type="min"/>
        <cfvo type="max"/>
        <color rgb="FF638EC6"/>
      </dataBar>
    </cfRule>
  </conditionalFormatting>
  <conditionalFormatting sqref="J313">
    <cfRule type="dataBar" priority="251">
      <dataBar>
        <cfvo type="min"/>
        <cfvo type="max"/>
        <color rgb="FF638EC6"/>
      </dataBar>
    </cfRule>
    <cfRule type="dataBar" priority="254">
      <dataBar>
        <cfvo type="min"/>
        <cfvo type="max"/>
        <color rgb="FF638EC6"/>
      </dataBar>
    </cfRule>
    <cfRule type="dataBar" priority="257">
      <dataBar>
        <cfvo type="min"/>
        <cfvo type="max"/>
        <color rgb="FF638EC6"/>
      </dataBar>
    </cfRule>
  </conditionalFormatting>
  <conditionalFormatting sqref="J314">
    <cfRule type="dataBar" priority="282">
      <dataBar>
        <cfvo type="min"/>
        <cfvo type="max"/>
        <color rgb="FF638EC6"/>
      </dataBar>
    </cfRule>
    <cfRule type="dataBar" priority="286">
      <dataBar>
        <cfvo type="min"/>
        <cfvo type="max"/>
        <color rgb="FF638EC6"/>
      </dataBar>
    </cfRule>
  </conditionalFormatting>
  <conditionalFormatting sqref="J314:J315">
    <cfRule type="dataBar" priority="269">
      <dataBar>
        <cfvo type="min"/>
        <cfvo type="max"/>
        <color rgb="FF638EC6"/>
      </dataBar>
    </cfRule>
  </conditionalFormatting>
  <conditionalFormatting sqref="J315">
    <cfRule type="dataBar" priority="298">
      <dataBar>
        <cfvo type="min"/>
        <cfvo type="max"/>
        <color rgb="FF638EC6"/>
      </dataBar>
    </cfRule>
    <cfRule type="dataBar" priority="302">
      <dataBar>
        <cfvo type="min"/>
        <cfvo type="max"/>
        <color rgb="FF638EC6"/>
      </dataBar>
    </cfRule>
  </conditionalFormatting>
  <conditionalFormatting sqref="J316:J317">
    <cfRule type="dataBar" priority="205">
      <dataBar>
        <cfvo type="min"/>
        <cfvo type="max"/>
        <color rgb="FF638EC6"/>
      </dataBar>
    </cfRule>
    <cfRule type="dataBar" priority="208">
      <dataBar>
        <cfvo type="min"/>
        <cfvo type="max"/>
        <color rgb="FF638EC6"/>
      </dataBar>
    </cfRule>
    <cfRule type="dataBar" priority="211">
      <dataBar>
        <cfvo type="min"/>
        <cfvo type="max"/>
        <color rgb="FF638EC6"/>
      </dataBar>
    </cfRule>
  </conditionalFormatting>
  <conditionalFormatting sqref="J318">
    <cfRule type="dataBar" priority="196">
      <dataBar>
        <cfvo type="min"/>
        <cfvo type="max"/>
        <color rgb="FF638EC6"/>
      </dataBar>
    </cfRule>
    <cfRule type="dataBar" priority="199">
      <dataBar>
        <cfvo type="min"/>
        <cfvo type="max"/>
        <color rgb="FF638EC6"/>
      </dataBar>
    </cfRule>
    <cfRule type="dataBar" priority="202">
      <dataBar>
        <cfvo type="min"/>
        <cfvo type="max"/>
        <color rgb="FF638EC6"/>
      </dataBar>
    </cfRule>
  </conditionalFormatting>
  <conditionalFormatting sqref="J319">
    <cfRule type="dataBar" priority="214">
      <dataBar>
        <cfvo type="min"/>
        <cfvo type="max"/>
        <color rgb="FF638EC6"/>
      </dataBar>
    </cfRule>
    <cfRule type="dataBar" priority="217">
      <dataBar>
        <cfvo type="min"/>
        <cfvo type="max"/>
        <color rgb="FF638EC6"/>
      </dataBar>
    </cfRule>
    <cfRule type="dataBar" priority="220">
      <dataBar>
        <cfvo type="min"/>
        <cfvo type="max"/>
        <color rgb="FF638EC6"/>
      </dataBar>
    </cfRule>
  </conditionalFormatting>
  <conditionalFormatting sqref="J320">
    <cfRule type="dataBar" priority="223">
      <dataBar>
        <cfvo type="min"/>
        <cfvo type="max"/>
        <color rgb="FF638EC6"/>
      </dataBar>
    </cfRule>
    <cfRule type="dataBar" priority="235">
      <dataBar>
        <cfvo type="min"/>
        <cfvo type="max"/>
        <color rgb="FF638EC6"/>
      </dataBar>
    </cfRule>
    <cfRule type="dataBar" priority="239">
      <dataBar>
        <cfvo type="min"/>
        <cfvo type="max"/>
        <color rgb="FF638EC6"/>
      </dataBar>
    </cfRule>
  </conditionalFormatting>
  <conditionalFormatting sqref="J321:J324 J305">
    <cfRule type="dataBar" priority="607">
      <dataBar>
        <cfvo type="min"/>
        <cfvo type="max"/>
        <color rgb="FF638EC6"/>
      </dataBar>
    </cfRule>
    <cfRule type="dataBar" priority="611">
      <dataBar>
        <cfvo type="min"/>
        <cfvo type="max"/>
        <color rgb="FF638EC6"/>
      </dataBar>
    </cfRule>
  </conditionalFormatting>
  <conditionalFormatting sqref="K2">
    <cfRule type="dataBar" priority="864">
      <dataBar>
        <cfvo type="min"/>
        <cfvo type="max"/>
        <color rgb="FF638EC6"/>
      </dataBar>
    </cfRule>
  </conditionalFormatting>
  <conditionalFormatting sqref="K3:K72 K1 K74:K96 K111 K221 K236 K291:K294 K296:K299 K325 K349:K1048576">
    <cfRule type="dataBar" priority="895">
      <dataBar>
        <cfvo type="min"/>
        <cfvo type="max"/>
        <color rgb="FF638EC6"/>
      </dataBar>
    </cfRule>
  </conditionalFormatting>
  <conditionalFormatting sqref="K73">
    <cfRule type="dataBar" priority="871">
      <dataBar>
        <cfvo type="min"/>
        <cfvo type="max"/>
        <color rgb="FF638EC6"/>
      </dataBar>
    </cfRule>
  </conditionalFormatting>
  <conditionalFormatting sqref="K97">
    <cfRule type="dataBar" priority="877">
      <dataBar>
        <cfvo type="min"/>
        <cfvo type="max"/>
        <color rgb="FF638EC6"/>
      </dataBar>
    </cfRule>
  </conditionalFormatting>
  <conditionalFormatting sqref="K98:K110">
    <cfRule type="dataBar" priority="884">
      <dataBar>
        <cfvo type="min"/>
        <cfvo type="max"/>
        <color rgb="FF638EC6"/>
      </dataBar>
    </cfRule>
  </conditionalFormatting>
  <conditionalFormatting sqref="K112:K220">
    <cfRule type="dataBar" priority="854">
      <dataBar>
        <cfvo type="min"/>
        <cfvo type="max"/>
        <color rgb="FF638EC6"/>
      </dataBar>
    </cfRule>
  </conditionalFormatting>
  <conditionalFormatting sqref="K222:K225">
    <cfRule type="dataBar" priority="842">
      <dataBar>
        <cfvo type="min"/>
        <cfvo type="max"/>
        <color rgb="FF638EC6"/>
      </dataBar>
    </cfRule>
  </conditionalFormatting>
  <conditionalFormatting sqref="K226">
    <cfRule type="dataBar" priority="780">
      <dataBar>
        <cfvo type="min"/>
        <cfvo type="max"/>
        <color rgb="FF638EC6"/>
      </dataBar>
    </cfRule>
  </conditionalFormatting>
  <conditionalFormatting sqref="K227:K230">
    <cfRule type="dataBar" priority="763">
      <dataBar>
        <cfvo type="min"/>
        <cfvo type="max"/>
        <color rgb="FF638EC6"/>
      </dataBar>
    </cfRule>
  </conditionalFormatting>
  <conditionalFormatting sqref="K231">
    <cfRule type="dataBar" priority="744">
      <dataBar>
        <cfvo type="min"/>
        <cfvo type="max"/>
        <color rgb="FF638EC6"/>
      </dataBar>
    </cfRule>
  </conditionalFormatting>
  <conditionalFormatting sqref="K232:K235">
    <cfRule type="dataBar" priority="727">
      <dataBar>
        <cfvo type="min"/>
        <cfvo type="max"/>
        <color rgb="FF638EC6"/>
      </dataBar>
    </cfRule>
  </conditionalFormatting>
  <conditionalFormatting sqref="K237:K240">
    <cfRule type="dataBar" priority="691">
      <dataBar>
        <cfvo type="min"/>
        <cfvo type="max"/>
        <color rgb="FF638EC6"/>
      </dataBar>
    </cfRule>
  </conditionalFormatting>
  <conditionalFormatting sqref="K241">
    <cfRule type="dataBar" priority="708">
      <dataBar>
        <cfvo type="min"/>
        <cfvo type="max"/>
        <color rgb="FF638EC6"/>
      </dataBar>
    </cfRule>
  </conditionalFormatting>
  <conditionalFormatting sqref="K242:K245">
    <cfRule type="dataBar" priority="655">
      <dataBar>
        <cfvo type="min"/>
        <cfvo type="max"/>
        <color rgb="FF638EC6"/>
      </dataBar>
    </cfRule>
  </conditionalFormatting>
  <conditionalFormatting sqref="K246">
    <cfRule type="dataBar" priority="672">
      <dataBar>
        <cfvo type="min"/>
        <cfvo type="max"/>
        <color rgb="FF638EC6"/>
      </dataBar>
    </cfRule>
  </conditionalFormatting>
  <conditionalFormatting sqref="K247:K250">
    <cfRule type="dataBar" priority="554">
      <dataBar>
        <cfvo type="min"/>
        <cfvo type="max"/>
        <color rgb="FF638EC6"/>
      </dataBar>
    </cfRule>
  </conditionalFormatting>
  <conditionalFormatting sqref="K251">
    <cfRule type="dataBar" priority="572">
      <dataBar>
        <cfvo type="min"/>
        <cfvo type="max"/>
        <color rgb="FF638EC6"/>
      </dataBar>
    </cfRule>
  </conditionalFormatting>
  <conditionalFormatting sqref="K252:K255">
    <cfRule type="dataBar" priority="536">
      <dataBar>
        <cfvo type="min"/>
        <cfvo type="max"/>
        <color rgb="FF638EC6"/>
      </dataBar>
    </cfRule>
  </conditionalFormatting>
  <conditionalFormatting sqref="K256">
    <cfRule type="dataBar" priority="599">
      <dataBar>
        <cfvo type="min"/>
        <cfvo type="max"/>
        <color rgb="FF638EC6"/>
      </dataBar>
    </cfRule>
  </conditionalFormatting>
  <conditionalFormatting sqref="K257:K260">
    <cfRule type="dataBar" priority="487">
      <dataBar>
        <cfvo type="min"/>
        <cfvo type="max"/>
        <color rgb="FF638EC6"/>
      </dataBar>
    </cfRule>
  </conditionalFormatting>
  <conditionalFormatting sqref="K262:K271">
    <cfRule type="dataBar" priority="403">
      <dataBar>
        <cfvo type="min"/>
        <cfvo type="max"/>
        <color rgb="FF638EC6"/>
      </dataBar>
    </cfRule>
  </conditionalFormatting>
  <conditionalFormatting sqref="K272:K275">
    <cfRule type="dataBar" priority="161">
      <dataBar>
        <cfvo type="min"/>
        <cfvo type="max"/>
        <color rgb="FF638EC6"/>
      </dataBar>
    </cfRule>
  </conditionalFormatting>
  <conditionalFormatting sqref="K277:K280">
    <cfRule type="dataBar" priority="72">
      <dataBar>
        <cfvo type="min"/>
        <cfvo type="max"/>
        <color rgb="FF638EC6"/>
      </dataBar>
    </cfRule>
  </conditionalFormatting>
  <conditionalFormatting sqref="K282:K285">
    <cfRule type="dataBar" priority="44">
      <dataBar>
        <cfvo type="min"/>
        <cfvo type="max"/>
        <color rgb="FF638EC6"/>
      </dataBar>
    </cfRule>
  </conditionalFormatting>
  <conditionalFormatting sqref="K289 K287">
    <cfRule type="dataBar" priority="1193">
      <dataBar>
        <cfvo type="min"/>
        <cfvo type="max"/>
        <color rgb="FF638EC6"/>
      </dataBar>
    </cfRule>
  </conditionalFormatting>
  <conditionalFormatting sqref="K290">
    <cfRule type="dataBar" priority="373">
      <dataBar>
        <cfvo type="min"/>
        <cfvo type="max"/>
        <color rgb="FF638EC6"/>
      </dataBar>
    </cfRule>
  </conditionalFormatting>
  <conditionalFormatting sqref="K300:K304">
    <cfRule type="dataBar" priority="635">
      <dataBar>
        <cfvo type="min"/>
        <cfvo type="max"/>
        <color rgb="FF638EC6"/>
      </dataBar>
    </cfRule>
  </conditionalFormatting>
  <conditionalFormatting sqref="K306:K309">
    <cfRule type="dataBar" priority="455">
      <dataBar>
        <cfvo type="min"/>
        <cfvo type="max"/>
        <color rgb="FF638EC6"/>
      </dataBar>
    </cfRule>
  </conditionalFormatting>
  <conditionalFormatting sqref="K310">
    <cfRule type="dataBar" priority="442">
      <dataBar>
        <cfvo type="min"/>
        <cfvo type="max"/>
        <color rgb="FF638EC6"/>
      </dataBar>
    </cfRule>
  </conditionalFormatting>
  <conditionalFormatting sqref="K311:K314">
    <cfRule type="dataBar" priority="291">
      <dataBar>
        <cfvo type="min"/>
        <cfvo type="max"/>
        <color rgb="FF638EC6"/>
      </dataBar>
    </cfRule>
  </conditionalFormatting>
  <conditionalFormatting sqref="K315">
    <cfRule type="dataBar" priority="306">
      <dataBar>
        <cfvo type="min"/>
        <cfvo type="max"/>
        <color rgb="FF638EC6"/>
      </dataBar>
    </cfRule>
  </conditionalFormatting>
  <conditionalFormatting sqref="K316:K320">
    <cfRule type="dataBar" priority="243">
      <dataBar>
        <cfvo type="min"/>
        <cfvo type="max"/>
        <color rgb="FF638EC6"/>
      </dataBar>
    </cfRule>
  </conditionalFormatting>
  <conditionalFormatting sqref="K321:K324 K305">
    <cfRule type="dataBar" priority="617">
      <dataBar>
        <cfvo type="min"/>
        <cfvo type="max"/>
        <color rgb="FF638EC6"/>
      </dataBar>
    </cfRule>
  </conditionalFormatting>
  <conditionalFormatting sqref="M1">
    <cfRule type="dataBar" priority="905">
      <dataBar>
        <cfvo type="min"/>
        <cfvo type="max"/>
        <color rgb="FF638EC6"/>
      </dataBar>
    </cfRule>
  </conditionalFormatting>
  <conditionalFormatting sqref="M2">
    <cfRule type="dataBar" priority="863">
      <dataBar>
        <cfvo type="min"/>
        <cfvo type="max"/>
        <color rgb="FF638EC6"/>
      </dataBar>
    </cfRule>
  </conditionalFormatting>
  <conditionalFormatting sqref="M3:M72 M1 M74:M96 M111 M221 M236 M291:M294 M296:M299 M325 M349:M1048576">
    <cfRule type="dataBar" priority="894">
      <dataBar>
        <cfvo type="min"/>
        <cfvo type="max"/>
        <color rgb="FF638EC6"/>
      </dataBar>
    </cfRule>
  </conditionalFormatting>
  <conditionalFormatting sqref="M73">
    <cfRule type="dataBar" priority="870">
      <dataBar>
        <cfvo type="min"/>
        <cfvo type="max"/>
        <color rgb="FF638EC6"/>
      </dataBar>
    </cfRule>
    <cfRule type="dataBar" priority="874">
      <dataBar>
        <cfvo type="percent" val="0"/>
        <cfvo type="percentile" val="100"/>
        <color rgb="FF638EC6"/>
      </dataBar>
    </cfRule>
    <cfRule type="dataBar" priority="875">
      <dataBar>
        <cfvo type="percent" val="0"/>
        <cfvo type="percent" val="100"/>
        <color rgb="FF638EC6"/>
      </dataBar>
    </cfRule>
  </conditionalFormatting>
  <conditionalFormatting sqref="M97">
    <cfRule type="dataBar" priority="876">
      <dataBar>
        <cfvo type="min"/>
        <cfvo type="max"/>
        <color rgb="FF638EC6"/>
      </dataBar>
    </cfRule>
    <cfRule type="dataBar" priority="881">
      <dataBar>
        <cfvo type="percent" val="0"/>
        <cfvo type="percentile" val="100"/>
        <color rgb="FF638EC6"/>
      </dataBar>
    </cfRule>
    <cfRule type="dataBar" priority="882">
      <dataBar>
        <cfvo type="percent" val="0"/>
        <cfvo type="percent" val="100"/>
        <color rgb="FF638EC6"/>
      </dataBar>
    </cfRule>
  </conditionalFormatting>
  <conditionalFormatting sqref="M98:M110">
    <cfRule type="dataBar" priority="883">
      <dataBar>
        <cfvo type="min"/>
        <cfvo type="max"/>
        <color rgb="FF638EC6"/>
      </dataBar>
    </cfRule>
    <cfRule type="dataBar" priority="888">
      <dataBar>
        <cfvo type="percent" val="0"/>
        <cfvo type="percentile" val="100"/>
        <color rgb="FF638EC6"/>
      </dataBar>
    </cfRule>
    <cfRule type="dataBar" priority="889">
      <dataBar>
        <cfvo type="percent" val="0"/>
        <cfvo type="percent" val="100"/>
        <color rgb="FF638EC6"/>
      </dataBar>
    </cfRule>
  </conditionalFormatting>
  <conditionalFormatting sqref="M112:M220">
    <cfRule type="dataBar" priority="853">
      <dataBar>
        <cfvo type="min"/>
        <cfvo type="max"/>
        <color rgb="FF638EC6"/>
      </dataBar>
    </cfRule>
  </conditionalFormatting>
  <conditionalFormatting sqref="M222:M225">
    <cfRule type="dataBar" priority="841">
      <dataBar>
        <cfvo type="min"/>
        <cfvo type="max"/>
        <color rgb="FF638EC6"/>
      </dataBar>
    </cfRule>
  </conditionalFormatting>
  <conditionalFormatting sqref="M226">
    <cfRule type="dataBar" priority="779">
      <dataBar>
        <cfvo type="min"/>
        <cfvo type="max"/>
        <color rgb="FF638EC6"/>
      </dataBar>
    </cfRule>
  </conditionalFormatting>
  <conditionalFormatting sqref="M227:M230">
    <cfRule type="dataBar" priority="762">
      <dataBar>
        <cfvo type="min"/>
        <cfvo type="max"/>
        <color rgb="FF638EC6"/>
      </dataBar>
    </cfRule>
  </conditionalFormatting>
  <conditionalFormatting sqref="M231">
    <cfRule type="dataBar" priority="743">
      <dataBar>
        <cfvo type="min"/>
        <cfvo type="max"/>
        <color rgb="FF638EC6"/>
      </dataBar>
    </cfRule>
  </conditionalFormatting>
  <conditionalFormatting sqref="M232:M235">
    <cfRule type="dataBar" priority="726">
      <dataBar>
        <cfvo type="min"/>
        <cfvo type="max"/>
        <color rgb="FF638EC6"/>
      </dataBar>
    </cfRule>
  </conditionalFormatting>
  <conditionalFormatting sqref="M237:M240">
    <cfRule type="dataBar" priority="690">
      <dataBar>
        <cfvo type="min"/>
        <cfvo type="max"/>
        <color rgb="FF638EC6"/>
      </dataBar>
    </cfRule>
  </conditionalFormatting>
  <conditionalFormatting sqref="M241">
    <cfRule type="dataBar" priority="707">
      <dataBar>
        <cfvo type="min"/>
        <cfvo type="max"/>
        <color rgb="FF638EC6"/>
      </dataBar>
    </cfRule>
  </conditionalFormatting>
  <conditionalFormatting sqref="M242:M245">
    <cfRule type="dataBar" priority="654">
      <dataBar>
        <cfvo type="min"/>
        <cfvo type="max"/>
        <color rgb="FF638EC6"/>
      </dataBar>
    </cfRule>
  </conditionalFormatting>
  <conditionalFormatting sqref="M246">
    <cfRule type="dataBar" priority="671">
      <dataBar>
        <cfvo type="min"/>
        <cfvo type="max"/>
        <color rgb="FF638EC6"/>
      </dataBar>
    </cfRule>
  </conditionalFormatting>
  <conditionalFormatting sqref="M247:M250">
    <cfRule type="dataBar" priority="553">
      <dataBar>
        <cfvo type="min"/>
        <cfvo type="max"/>
        <color rgb="FF638EC6"/>
      </dataBar>
    </cfRule>
  </conditionalFormatting>
  <conditionalFormatting sqref="M251">
    <cfRule type="dataBar" priority="571">
      <dataBar>
        <cfvo type="min"/>
        <cfvo type="max"/>
        <color rgb="FF638EC6"/>
      </dataBar>
    </cfRule>
  </conditionalFormatting>
  <conditionalFormatting sqref="M252:M255">
    <cfRule type="dataBar" priority="535">
      <dataBar>
        <cfvo type="min"/>
        <cfvo type="max"/>
        <color rgb="FF638EC6"/>
      </dataBar>
    </cfRule>
  </conditionalFormatting>
  <conditionalFormatting sqref="M256">
    <cfRule type="dataBar" priority="598">
      <dataBar>
        <cfvo type="min"/>
        <cfvo type="max"/>
        <color rgb="FF638EC6"/>
      </dataBar>
    </cfRule>
  </conditionalFormatting>
  <conditionalFormatting sqref="M257:M260">
    <cfRule type="dataBar" priority="486">
      <dataBar>
        <cfvo type="min"/>
        <cfvo type="max"/>
        <color rgb="FF638EC6"/>
      </dataBar>
    </cfRule>
  </conditionalFormatting>
  <conditionalFormatting sqref="M261">
    <cfRule type="dataBar" priority="498">
      <dataBar>
        <cfvo type="min"/>
        <cfvo type="max"/>
        <color rgb="FF638EC6"/>
      </dataBar>
    </cfRule>
  </conditionalFormatting>
  <conditionalFormatting sqref="M262:M271">
    <cfRule type="dataBar" priority="402">
      <dataBar>
        <cfvo type="min"/>
        <cfvo type="max"/>
        <color rgb="FF638EC6"/>
      </dataBar>
    </cfRule>
  </conditionalFormatting>
  <conditionalFormatting sqref="M272:M275">
    <cfRule type="dataBar" priority="160">
      <dataBar>
        <cfvo type="min"/>
        <cfvo type="max"/>
        <color rgb="FF638EC6"/>
      </dataBar>
    </cfRule>
  </conditionalFormatting>
  <conditionalFormatting sqref="M276 M281">
    <cfRule type="dataBar" priority="188">
      <dataBar>
        <cfvo type="min"/>
        <cfvo type="max"/>
        <color rgb="FF638EC6"/>
      </dataBar>
    </cfRule>
  </conditionalFormatting>
  <conditionalFormatting sqref="M277:M280">
    <cfRule type="dataBar" priority="71">
      <dataBar>
        <cfvo type="min"/>
        <cfvo type="max"/>
        <color rgb="FF638EC6"/>
      </dataBar>
    </cfRule>
  </conditionalFormatting>
  <conditionalFormatting sqref="M282:M285">
    <cfRule type="dataBar" priority="43">
      <dataBar>
        <cfvo type="min"/>
        <cfvo type="max"/>
        <color rgb="FF638EC6"/>
      </dataBar>
    </cfRule>
  </conditionalFormatting>
  <conditionalFormatting sqref="M289 M287">
    <cfRule type="dataBar" priority="1196">
      <dataBar>
        <cfvo type="min"/>
        <cfvo type="max"/>
        <color rgb="FF638EC6"/>
      </dataBar>
    </cfRule>
  </conditionalFormatting>
  <conditionalFormatting sqref="M290">
    <cfRule type="dataBar" priority="372">
      <dataBar>
        <cfvo type="min"/>
        <cfvo type="max"/>
        <color rgb="FF638EC6"/>
      </dataBar>
    </cfRule>
    <cfRule type="dataBar" priority="378">
      <dataBar>
        <cfvo type="percent" val="0"/>
        <cfvo type="percentile" val="100"/>
        <color rgb="FF638EC6"/>
      </dataBar>
    </cfRule>
    <cfRule type="dataBar" priority="379">
      <dataBar>
        <cfvo type="percent" val="0"/>
        <cfvo type="percent" val="100"/>
        <color rgb="FF638EC6"/>
      </dataBar>
    </cfRule>
  </conditionalFormatting>
  <conditionalFormatting sqref="M300:M304 E300">
    <cfRule type="dataBar" priority="640">
      <dataBar>
        <cfvo type="percent" val="0"/>
        <cfvo type="percentile" val="100"/>
        <color rgb="FF638EC6"/>
      </dataBar>
    </cfRule>
    <cfRule type="dataBar" priority="911">
      <dataBar>
        <cfvo type="percent" val="0"/>
        <cfvo type="percent" val="100"/>
        <color rgb="FF638EC6"/>
      </dataBar>
    </cfRule>
  </conditionalFormatting>
  <conditionalFormatting sqref="M300:M304">
    <cfRule type="dataBar" priority="634">
      <dataBar>
        <cfvo type="min"/>
        <cfvo type="max"/>
        <color rgb="FF638EC6"/>
      </dataBar>
    </cfRule>
  </conditionalFormatting>
  <conditionalFormatting sqref="M306:M309">
    <cfRule type="dataBar" priority="454">
      <dataBar>
        <cfvo type="min"/>
        <cfvo type="max"/>
        <color rgb="FF638EC6"/>
      </dataBar>
    </cfRule>
    <cfRule type="dataBar" priority="460">
      <dataBar>
        <cfvo type="percent" val="0"/>
        <cfvo type="percentile" val="100"/>
        <color rgb="FF638EC6"/>
      </dataBar>
    </cfRule>
    <cfRule type="dataBar" priority="464">
      <dataBar>
        <cfvo type="percent" val="0"/>
        <cfvo type="percent" val="100"/>
        <color rgb="FF638EC6"/>
      </dataBar>
    </cfRule>
  </conditionalFormatting>
  <conditionalFormatting sqref="M310">
    <cfRule type="dataBar" priority="441">
      <dataBar>
        <cfvo type="min"/>
        <cfvo type="max"/>
        <color rgb="FF638EC6"/>
      </dataBar>
    </cfRule>
  </conditionalFormatting>
  <conditionalFormatting sqref="M311:M314 E315">
    <cfRule type="dataBar" priority="296">
      <dataBar>
        <cfvo type="percent" val="0"/>
        <cfvo type="percentile" val="100"/>
        <color rgb="FF638EC6"/>
      </dataBar>
    </cfRule>
    <cfRule type="dataBar" priority="297">
      <dataBar>
        <cfvo type="percent" val="0"/>
        <cfvo type="percent" val="100"/>
        <color rgb="FF638EC6"/>
      </dataBar>
    </cfRule>
  </conditionalFormatting>
  <conditionalFormatting sqref="M311:M314">
    <cfRule type="dataBar" priority="290">
      <dataBar>
        <cfvo type="min"/>
        <cfvo type="max"/>
        <color rgb="FF638EC6"/>
      </dataBar>
    </cfRule>
  </conditionalFormatting>
  <conditionalFormatting sqref="M315">
    <cfRule type="dataBar" priority="305">
      <dataBar>
        <cfvo type="min"/>
        <cfvo type="max"/>
        <color rgb="FF638EC6"/>
      </dataBar>
    </cfRule>
    <cfRule type="dataBar" priority="311">
      <dataBar>
        <cfvo type="percent" val="0"/>
        <cfvo type="percentile" val="100"/>
        <color rgb="FF638EC6"/>
      </dataBar>
    </cfRule>
    <cfRule type="dataBar" priority="312">
      <dataBar>
        <cfvo type="percent" val="0"/>
        <cfvo type="percent" val="100"/>
        <color rgb="FF638EC6"/>
      </dataBar>
    </cfRule>
  </conditionalFormatting>
  <conditionalFormatting sqref="M316:M320">
    <cfRule type="dataBar" priority="242">
      <dataBar>
        <cfvo type="min"/>
        <cfvo type="max"/>
        <color rgb="FF638EC6"/>
      </dataBar>
    </cfRule>
    <cfRule type="dataBar" priority="248">
      <dataBar>
        <cfvo type="percent" val="0"/>
        <cfvo type="percentile" val="100"/>
        <color rgb="FF638EC6"/>
      </dataBar>
    </cfRule>
    <cfRule type="dataBar" priority="249">
      <dataBar>
        <cfvo type="percent" val="0"/>
        <cfvo type="percent" val="100"/>
        <color rgb="FF638EC6"/>
      </dataBar>
    </cfRule>
  </conditionalFormatting>
  <conditionalFormatting sqref="M321:M324 M305">
    <cfRule type="dataBar" priority="616">
      <dataBar>
        <cfvo type="min"/>
        <cfvo type="max"/>
        <color rgb="FF638EC6"/>
      </dataBar>
    </cfRule>
  </conditionalFormatting>
  <conditionalFormatting sqref="M335 M340 M346:M348">
    <cfRule type="dataBar" priority="586">
      <dataBar>
        <cfvo type="min"/>
        <cfvo type="max"/>
        <color rgb="FF638EC6"/>
      </dataBar>
    </cfRule>
  </conditionalFormatting>
  <conditionalFormatting sqref="M336:M339">
    <cfRule type="dataBar" priority="520">
      <dataBar>
        <cfvo type="min"/>
        <cfvo type="max"/>
        <color rgb="FF638EC6"/>
      </dataBar>
    </cfRule>
  </conditionalFormatting>
  <conditionalFormatting sqref="M341:M344">
    <cfRule type="dataBar" priority="506">
      <dataBar>
        <cfvo type="min"/>
        <cfvo type="max"/>
        <color rgb="FF638EC6"/>
      </dataBar>
    </cfRule>
  </conditionalFormatting>
  <conditionalFormatting sqref="M345">
    <cfRule type="dataBar" priority="514">
      <dataBar>
        <cfvo type="min"/>
        <cfvo type="max"/>
        <color rgb="FF638EC6"/>
      </dataBar>
    </cfRule>
  </conditionalFormatting>
  <conditionalFormatting sqref="O1">
    <cfRule type="dataBar" priority="899">
      <dataBar>
        <cfvo type="percent" val="0"/>
        <cfvo type="percentile" val="100"/>
        <color rgb="FF638EC6"/>
      </dataBar>
    </cfRule>
    <cfRule type="dataBar" priority="900">
      <dataBar>
        <cfvo type="percent" val="0"/>
        <cfvo type="percent" val="100"/>
        <color rgb="FF638EC6"/>
      </dataBar>
    </cfRule>
    <cfRule type="dataBar" priority="901">
      <dataBar>
        <cfvo type="min"/>
        <cfvo type="max"/>
        <color rgb="FF638EC6"/>
      </dataBar>
    </cfRule>
  </conditionalFormatting>
  <conditionalFormatting sqref="O2">
    <cfRule type="dataBar" priority="867">
      <dataBar>
        <cfvo type="min"/>
        <cfvo type="max"/>
        <color rgb="FF638EC6"/>
      </dataBar>
    </cfRule>
  </conditionalFormatting>
  <conditionalFormatting sqref="O3:O72 O1 O74:O96 O111 O221 O236 O291:O294 O296:O299 O325 O349:O1048576">
    <cfRule type="dataBar" priority="898">
      <dataBar>
        <cfvo type="min"/>
        <cfvo type="max"/>
        <color rgb="FF638EC6"/>
      </dataBar>
    </cfRule>
  </conditionalFormatting>
  <conditionalFormatting sqref="O73">
    <cfRule type="dataBar" priority="873">
      <dataBar>
        <cfvo type="min"/>
        <cfvo type="max"/>
        <color rgb="FF638EC6"/>
      </dataBar>
    </cfRule>
  </conditionalFormatting>
  <conditionalFormatting sqref="O97">
    <cfRule type="dataBar" priority="880">
      <dataBar>
        <cfvo type="min"/>
        <cfvo type="max"/>
        <color rgb="FF638EC6"/>
      </dataBar>
    </cfRule>
  </conditionalFormatting>
  <conditionalFormatting sqref="O98:O110">
    <cfRule type="dataBar" priority="887">
      <dataBar>
        <cfvo type="min"/>
        <cfvo type="max"/>
        <color rgb="FF638EC6"/>
      </dataBar>
    </cfRule>
  </conditionalFormatting>
  <conditionalFormatting sqref="O112:O220">
    <cfRule type="dataBar" priority="857">
      <dataBar>
        <cfvo type="min"/>
        <cfvo type="max"/>
        <color rgb="FF638EC6"/>
      </dataBar>
    </cfRule>
  </conditionalFormatting>
  <conditionalFormatting sqref="O222:O225">
    <cfRule type="dataBar" priority="845">
      <dataBar>
        <cfvo type="min"/>
        <cfvo type="max"/>
        <color rgb="FF638EC6"/>
      </dataBar>
    </cfRule>
  </conditionalFormatting>
  <conditionalFormatting sqref="O226">
    <cfRule type="dataBar" priority="783">
      <dataBar>
        <cfvo type="min"/>
        <cfvo type="max"/>
        <color rgb="FF638EC6"/>
      </dataBar>
    </cfRule>
  </conditionalFormatting>
  <conditionalFormatting sqref="O227:O230">
    <cfRule type="dataBar" priority="766">
      <dataBar>
        <cfvo type="min"/>
        <cfvo type="max"/>
        <color rgb="FF638EC6"/>
      </dataBar>
    </cfRule>
  </conditionalFormatting>
  <conditionalFormatting sqref="O231">
    <cfRule type="dataBar" priority="747">
      <dataBar>
        <cfvo type="min"/>
        <cfvo type="max"/>
        <color rgb="FF638EC6"/>
      </dataBar>
    </cfRule>
  </conditionalFormatting>
  <conditionalFormatting sqref="O232:O235">
    <cfRule type="dataBar" priority="730">
      <dataBar>
        <cfvo type="min"/>
        <cfvo type="max"/>
        <color rgb="FF638EC6"/>
      </dataBar>
    </cfRule>
  </conditionalFormatting>
  <conditionalFormatting sqref="O237:O240">
    <cfRule type="dataBar" priority="694">
      <dataBar>
        <cfvo type="min"/>
        <cfvo type="max"/>
        <color rgb="FF638EC6"/>
      </dataBar>
    </cfRule>
  </conditionalFormatting>
  <conditionalFormatting sqref="O241">
    <cfRule type="dataBar" priority="711">
      <dataBar>
        <cfvo type="min"/>
        <cfvo type="max"/>
        <color rgb="FF638EC6"/>
      </dataBar>
    </cfRule>
  </conditionalFormatting>
  <conditionalFormatting sqref="O242:O245">
    <cfRule type="dataBar" priority="658">
      <dataBar>
        <cfvo type="min"/>
        <cfvo type="max"/>
        <color rgb="FF638EC6"/>
      </dataBar>
    </cfRule>
  </conditionalFormatting>
  <conditionalFormatting sqref="O246">
    <cfRule type="dataBar" priority="675">
      <dataBar>
        <cfvo type="min"/>
        <cfvo type="max"/>
        <color rgb="FF638EC6"/>
      </dataBar>
    </cfRule>
  </conditionalFormatting>
  <conditionalFormatting sqref="O247:O250">
    <cfRule type="dataBar" priority="557">
      <dataBar>
        <cfvo type="min"/>
        <cfvo type="max"/>
        <color rgb="FF638EC6"/>
      </dataBar>
    </cfRule>
  </conditionalFormatting>
  <conditionalFormatting sqref="O251">
    <cfRule type="dataBar" priority="575">
      <dataBar>
        <cfvo type="min"/>
        <cfvo type="max"/>
        <color rgb="FF638EC6"/>
      </dataBar>
    </cfRule>
  </conditionalFormatting>
  <conditionalFormatting sqref="O252:O255">
    <cfRule type="dataBar" priority="539">
      <dataBar>
        <cfvo type="min"/>
        <cfvo type="max"/>
        <color rgb="FF638EC6"/>
      </dataBar>
    </cfRule>
  </conditionalFormatting>
  <conditionalFormatting sqref="O256">
    <cfRule type="dataBar" priority="602">
      <dataBar>
        <cfvo type="min"/>
        <cfvo type="max"/>
        <color rgb="FF638EC6"/>
      </dataBar>
    </cfRule>
  </conditionalFormatting>
  <conditionalFormatting sqref="O257:O260">
    <cfRule type="dataBar" priority="490">
      <dataBar>
        <cfvo type="min"/>
        <cfvo type="max"/>
        <color rgb="FF638EC6"/>
      </dataBar>
    </cfRule>
  </conditionalFormatting>
  <conditionalFormatting sqref="O261">
    <cfRule type="dataBar" priority="495">
      <dataBar>
        <cfvo type="min"/>
        <cfvo type="max"/>
        <color rgb="FF638EC6"/>
      </dataBar>
    </cfRule>
  </conditionalFormatting>
  <conditionalFormatting sqref="O262:O271">
    <cfRule type="dataBar" priority="406">
      <dataBar>
        <cfvo type="min"/>
        <cfvo type="max"/>
        <color rgb="FF638EC6"/>
      </dataBar>
    </cfRule>
  </conditionalFormatting>
  <conditionalFormatting sqref="O272:O275">
    <cfRule type="dataBar" priority="164">
      <dataBar>
        <cfvo type="min"/>
        <cfvo type="max"/>
        <color rgb="FF638EC6"/>
      </dataBar>
    </cfRule>
  </conditionalFormatting>
  <conditionalFormatting sqref="O276 O281">
    <cfRule type="dataBar" priority="185">
      <dataBar>
        <cfvo type="min"/>
        <cfvo type="max"/>
        <color rgb="FF638EC6"/>
      </dataBar>
    </cfRule>
  </conditionalFormatting>
  <conditionalFormatting sqref="O277:O280">
    <cfRule type="dataBar" priority="75">
      <dataBar>
        <cfvo type="min"/>
        <cfvo type="max"/>
        <color rgb="FF638EC6"/>
      </dataBar>
    </cfRule>
  </conditionalFormatting>
  <conditionalFormatting sqref="O282:O285">
    <cfRule type="dataBar" priority="47">
      <dataBar>
        <cfvo type="min"/>
        <cfvo type="max"/>
        <color rgb="FF638EC6"/>
      </dataBar>
    </cfRule>
  </conditionalFormatting>
  <conditionalFormatting sqref="O287 O289">
    <cfRule type="dataBar" priority="1181">
      <dataBar>
        <cfvo type="min"/>
        <cfvo type="max"/>
        <color rgb="FF638EC6"/>
      </dataBar>
    </cfRule>
  </conditionalFormatting>
  <conditionalFormatting sqref="O290">
    <cfRule type="dataBar" priority="376">
      <dataBar>
        <cfvo type="min"/>
        <cfvo type="max"/>
        <color rgb="FF638EC6"/>
      </dataBar>
    </cfRule>
  </conditionalFormatting>
  <conditionalFormatting sqref="O300:O304">
    <cfRule type="dataBar" priority="638">
      <dataBar>
        <cfvo type="min"/>
        <cfvo type="max"/>
        <color rgb="FF638EC6"/>
      </dataBar>
    </cfRule>
  </conditionalFormatting>
  <conditionalFormatting sqref="O306:O309">
    <cfRule type="dataBar" priority="458">
      <dataBar>
        <cfvo type="min"/>
        <cfvo type="max"/>
        <color rgb="FF638EC6"/>
      </dataBar>
    </cfRule>
  </conditionalFormatting>
  <conditionalFormatting sqref="O310">
    <cfRule type="dataBar" priority="444">
      <dataBar>
        <cfvo type="min"/>
        <cfvo type="max"/>
        <color rgb="FF638EC6"/>
      </dataBar>
    </cfRule>
  </conditionalFormatting>
  <conditionalFormatting sqref="O311:O314">
    <cfRule type="dataBar" priority="294">
      <dataBar>
        <cfvo type="min"/>
        <cfvo type="max"/>
        <color rgb="FF638EC6"/>
      </dataBar>
    </cfRule>
  </conditionalFormatting>
  <conditionalFormatting sqref="O315">
    <cfRule type="dataBar" priority="309">
      <dataBar>
        <cfvo type="min"/>
        <cfvo type="max"/>
        <color rgb="FF638EC6"/>
      </dataBar>
    </cfRule>
  </conditionalFormatting>
  <conditionalFormatting sqref="O316:O320">
    <cfRule type="dataBar" priority="246">
      <dataBar>
        <cfvo type="min"/>
        <cfvo type="max"/>
        <color rgb="FF638EC6"/>
      </dataBar>
    </cfRule>
  </conditionalFormatting>
  <conditionalFormatting sqref="O321:O324 O305">
    <cfRule type="dataBar" priority="620">
      <dataBar>
        <cfvo type="min"/>
        <cfvo type="max"/>
        <color rgb="FF638EC6"/>
      </dataBar>
    </cfRule>
  </conditionalFormatting>
  <conditionalFormatting sqref="O340 O335 O346:O348">
    <cfRule type="dataBar" priority="583">
      <dataBar>
        <cfvo type="min"/>
        <cfvo type="max"/>
        <color rgb="FF638EC6"/>
      </dataBar>
    </cfRule>
  </conditionalFormatting>
  <conditionalFormatting sqref="O336:O339">
    <cfRule type="dataBar" priority="517">
      <dataBar>
        <cfvo type="min"/>
        <cfvo type="max"/>
        <color rgb="FF638EC6"/>
      </dataBar>
    </cfRule>
  </conditionalFormatting>
  <conditionalFormatting sqref="O341:O344">
    <cfRule type="dataBar" priority="503">
      <dataBar>
        <cfvo type="min"/>
        <cfvo type="max"/>
        <color rgb="FF638EC6"/>
      </dataBar>
    </cfRule>
  </conditionalFormatting>
  <conditionalFormatting sqref="O345">
    <cfRule type="dataBar" priority="511">
      <dataBar>
        <cfvo type="min"/>
        <cfvo type="max"/>
        <color rgb="FF638EC6"/>
      </dataBar>
    </cfRule>
  </conditionalFormatting>
  <conditionalFormatting sqref="P2">
    <cfRule type="dataBar" priority="865">
      <dataBar>
        <cfvo type="min"/>
        <cfvo type="max"/>
        <color rgb="FF638EC6"/>
      </dataBar>
    </cfRule>
  </conditionalFormatting>
  <conditionalFormatting sqref="P3:P96 P1 P111 P221 P236 P291:P294 P296:P299 P325 P349:P1048576">
    <cfRule type="dataBar" priority="896">
      <dataBar>
        <cfvo type="min"/>
        <cfvo type="max"/>
        <color rgb="FF638EC6"/>
      </dataBar>
    </cfRule>
  </conditionalFormatting>
  <conditionalFormatting sqref="P97">
    <cfRule type="dataBar" priority="878">
      <dataBar>
        <cfvo type="min"/>
        <cfvo type="max"/>
        <color rgb="FF638EC6"/>
      </dataBar>
    </cfRule>
  </conditionalFormatting>
  <conditionalFormatting sqref="P98:P110">
    <cfRule type="dataBar" priority="885">
      <dataBar>
        <cfvo type="min"/>
        <cfvo type="max"/>
        <color rgb="FF638EC6"/>
      </dataBar>
    </cfRule>
  </conditionalFormatting>
  <conditionalFormatting sqref="P112:P220">
    <cfRule type="dataBar" priority="855">
      <dataBar>
        <cfvo type="min"/>
        <cfvo type="max"/>
        <color rgb="FF638EC6"/>
      </dataBar>
    </cfRule>
  </conditionalFormatting>
  <conditionalFormatting sqref="P222:P225">
    <cfRule type="dataBar" priority="843">
      <dataBar>
        <cfvo type="min"/>
        <cfvo type="max"/>
        <color rgb="FF638EC6"/>
      </dataBar>
    </cfRule>
  </conditionalFormatting>
  <conditionalFormatting sqref="P226">
    <cfRule type="dataBar" priority="781">
      <dataBar>
        <cfvo type="min"/>
        <cfvo type="max"/>
        <color rgb="FF638EC6"/>
      </dataBar>
    </cfRule>
  </conditionalFormatting>
  <conditionalFormatting sqref="P227:P230">
    <cfRule type="dataBar" priority="764">
      <dataBar>
        <cfvo type="min"/>
        <cfvo type="max"/>
        <color rgb="FF638EC6"/>
      </dataBar>
    </cfRule>
  </conditionalFormatting>
  <conditionalFormatting sqref="P231">
    <cfRule type="dataBar" priority="745">
      <dataBar>
        <cfvo type="min"/>
        <cfvo type="max"/>
        <color rgb="FF638EC6"/>
      </dataBar>
    </cfRule>
  </conditionalFormatting>
  <conditionalFormatting sqref="P232:P235">
    <cfRule type="dataBar" priority="728">
      <dataBar>
        <cfvo type="min"/>
        <cfvo type="max"/>
        <color rgb="FF638EC6"/>
      </dataBar>
    </cfRule>
  </conditionalFormatting>
  <conditionalFormatting sqref="P237:P240">
    <cfRule type="dataBar" priority="692">
      <dataBar>
        <cfvo type="min"/>
        <cfvo type="max"/>
        <color rgb="FF638EC6"/>
      </dataBar>
    </cfRule>
  </conditionalFormatting>
  <conditionalFormatting sqref="P241">
    <cfRule type="dataBar" priority="709">
      <dataBar>
        <cfvo type="min"/>
        <cfvo type="max"/>
        <color rgb="FF638EC6"/>
      </dataBar>
    </cfRule>
  </conditionalFormatting>
  <conditionalFormatting sqref="P242:P245">
    <cfRule type="dataBar" priority="656">
      <dataBar>
        <cfvo type="min"/>
        <cfvo type="max"/>
        <color rgb="FF638EC6"/>
      </dataBar>
    </cfRule>
  </conditionalFormatting>
  <conditionalFormatting sqref="P246">
    <cfRule type="dataBar" priority="673">
      <dataBar>
        <cfvo type="min"/>
        <cfvo type="max"/>
        <color rgb="FF638EC6"/>
      </dataBar>
    </cfRule>
  </conditionalFormatting>
  <conditionalFormatting sqref="P247:P250">
    <cfRule type="dataBar" priority="555">
      <dataBar>
        <cfvo type="min"/>
        <cfvo type="max"/>
        <color rgb="FF638EC6"/>
      </dataBar>
    </cfRule>
  </conditionalFormatting>
  <conditionalFormatting sqref="P251">
    <cfRule type="dataBar" priority="573">
      <dataBar>
        <cfvo type="min"/>
        <cfvo type="max"/>
        <color rgb="FF638EC6"/>
      </dataBar>
    </cfRule>
  </conditionalFormatting>
  <conditionalFormatting sqref="P252:P255">
    <cfRule type="dataBar" priority="537">
      <dataBar>
        <cfvo type="min"/>
        <cfvo type="max"/>
        <color rgb="FF638EC6"/>
      </dataBar>
    </cfRule>
  </conditionalFormatting>
  <conditionalFormatting sqref="P256">
    <cfRule type="dataBar" priority="600">
      <dataBar>
        <cfvo type="min"/>
        <cfvo type="max"/>
        <color rgb="FF638EC6"/>
      </dataBar>
    </cfRule>
  </conditionalFormatting>
  <conditionalFormatting sqref="P257:P260">
    <cfRule type="dataBar" priority="488">
      <dataBar>
        <cfvo type="min"/>
        <cfvo type="max"/>
        <color rgb="FF638EC6"/>
      </dataBar>
    </cfRule>
  </conditionalFormatting>
  <conditionalFormatting sqref="P262:P271">
    <cfRule type="dataBar" priority="404">
      <dataBar>
        <cfvo type="min"/>
        <cfvo type="max"/>
        <color rgb="FF638EC6"/>
      </dataBar>
    </cfRule>
  </conditionalFormatting>
  <conditionalFormatting sqref="P272:P275">
    <cfRule type="dataBar" priority="162">
      <dataBar>
        <cfvo type="min"/>
        <cfvo type="max"/>
        <color rgb="FF638EC6"/>
      </dataBar>
    </cfRule>
  </conditionalFormatting>
  <conditionalFormatting sqref="P277:P280">
    <cfRule type="dataBar" priority="73">
      <dataBar>
        <cfvo type="min"/>
        <cfvo type="max"/>
        <color rgb="FF638EC6"/>
      </dataBar>
    </cfRule>
  </conditionalFormatting>
  <conditionalFormatting sqref="P282:P285">
    <cfRule type="dataBar" priority="45">
      <dataBar>
        <cfvo type="min"/>
        <cfvo type="max"/>
        <color rgb="FF638EC6"/>
      </dataBar>
    </cfRule>
  </conditionalFormatting>
  <conditionalFormatting sqref="P287 P289">
    <cfRule type="dataBar" priority="1190">
      <dataBar>
        <cfvo type="min"/>
        <cfvo type="max"/>
        <color rgb="FF638EC6"/>
      </dataBar>
    </cfRule>
  </conditionalFormatting>
  <conditionalFormatting sqref="P290">
    <cfRule type="dataBar" priority="374">
      <dataBar>
        <cfvo type="min"/>
        <cfvo type="max"/>
        <color rgb="FF638EC6"/>
      </dataBar>
    </cfRule>
  </conditionalFormatting>
  <conditionalFormatting sqref="P300:P304">
    <cfRule type="dataBar" priority="636">
      <dataBar>
        <cfvo type="min"/>
        <cfvo type="max"/>
        <color rgb="FF638EC6"/>
      </dataBar>
    </cfRule>
  </conditionalFormatting>
  <conditionalFormatting sqref="P306:P309">
    <cfRule type="dataBar" priority="456">
      <dataBar>
        <cfvo type="min"/>
        <cfvo type="max"/>
        <color rgb="FF638EC6"/>
      </dataBar>
    </cfRule>
  </conditionalFormatting>
  <conditionalFormatting sqref="P311:P314">
    <cfRule type="dataBar" priority="292">
      <dataBar>
        <cfvo type="min"/>
        <cfvo type="max"/>
        <color rgb="FF638EC6"/>
      </dataBar>
    </cfRule>
  </conditionalFormatting>
  <conditionalFormatting sqref="P315">
    <cfRule type="dataBar" priority="307">
      <dataBar>
        <cfvo type="min"/>
        <cfvo type="max"/>
        <color rgb="FF638EC6"/>
      </dataBar>
    </cfRule>
  </conditionalFormatting>
  <conditionalFormatting sqref="P316:P320">
    <cfRule type="dataBar" priority="244">
      <dataBar>
        <cfvo type="min"/>
        <cfvo type="max"/>
        <color rgb="FF638EC6"/>
      </dataBar>
    </cfRule>
  </conditionalFormatting>
  <conditionalFormatting sqref="P321:P324">
    <cfRule type="dataBar" priority="618">
      <dataBar>
        <cfvo type="min"/>
        <cfvo type="max"/>
        <color rgb="FF638EC6"/>
      </dataBar>
    </cfRule>
  </conditionalFormatting>
  <conditionalFormatting sqref="Q276 Q281">
    <cfRule type="dataBar" priority="184">
      <dataBar>
        <cfvo type="min"/>
        <cfvo type="max"/>
        <color rgb="FF638EC6"/>
      </dataBar>
    </cfRule>
  </conditionalFormatting>
  <conditionalFormatting sqref="Q306:Q307">
    <cfRule type="dataBar" priority="462">
      <dataBar>
        <cfvo type="min"/>
        <cfvo type="max"/>
        <color rgb="FF638EC6"/>
      </dataBar>
    </cfRule>
  </conditionalFormatting>
  <conditionalFormatting sqref="Q308:Q309">
    <cfRule type="dataBar" priority="463">
      <dataBar>
        <cfvo type="min"/>
        <cfvo type="max"/>
        <color rgb="FF638EC6"/>
      </dataBar>
    </cfRule>
  </conditionalFormatting>
  <conditionalFormatting sqref="Q311">
    <cfRule type="dataBar" priority="280">
      <dataBar>
        <cfvo type="min"/>
        <cfvo type="max"/>
        <color rgb="FF638EC6"/>
      </dataBar>
    </cfRule>
  </conditionalFormatting>
  <conditionalFormatting sqref="Q316">
    <cfRule type="dataBar" priority="234">
      <dataBar>
        <cfvo type="min"/>
        <cfvo type="max"/>
        <color rgb="FF638EC6"/>
      </dataBar>
    </cfRule>
  </conditionalFormatting>
  <conditionalFormatting sqref="Q321">
    <cfRule type="dataBar" priority="587">
      <dataBar>
        <cfvo type="min"/>
        <cfvo type="max"/>
        <color rgb="FF638EC6"/>
      </dataBar>
    </cfRule>
  </conditionalFormatting>
  <conditionalFormatting sqref="Q336:Q339">
    <cfRule type="dataBar" priority="516">
      <dataBar>
        <cfvo type="min"/>
        <cfvo type="max"/>
        <color rgb="FF638EC6"/>
      </dataBar>
    </cfRule>
  </conditionalFormatting>
  <conditionalFormatting sqref="Q341:Q344">
    <cfRule type="dataBar" priority="502">
      <dataBar>
        <cfvo type="min"/>
        <cfvo type="max"/>
        <color rgb="FF638EC6"/>
      </dataBar>
    </cfRule>
  </conditionalFormatting>
  <conditionalFormatting sqref="Q345">
    <cfRule type="dataBar" priority="510">
      <dataBar>
        <cfvo type="min"/>
        <cfvo type="max"/>
        <color rgb="FF638EC6"/>
      </dataBar>
    </cfRule>
  </conditionalFormatting>
  <conditionalFormatting sqref="Q346:Q348 Q340">
    <cfRule type="dataBar" priority="581">
      <dataBar>
        <cfvo type="min"/>
        <cfvo type="max"/>
        <color rgb="FF638EC6"/>
      </dataBar>
    </cfRule>
  </conditionalFormatting>
  <conditionalFormatting sqref="Q1:R111 Q298:R299 Q303:Q304 Q325:R325 Q352:R1048576">
    <cfRule type="dataBar" priority="906">
      <dataBar>
        <cfvo type="min"/>
        <cfvo type="max"/>
        <color rgb="FF638EC6"/>
      </dataBar>
    </cfRule>
  </conditionalFormatting>
  <conditionalFormatting sqref="Q2:R75">
    <cfRule type="dataBar" priority="908">
      <dataBar>
        <cfvo type="min"/>
        <cfvo type="max"/>
        <color rgb="FF638EC6"/>
      </dataBar>
    </cfRule>
  </conditionalFormatting>
  <conditionalFormatting sqref="Q77:R87">
    <cfRule type="dataBar" priority="907">
      <dataBar>
        <cfvo type="min"/>
        <cfvo type="max"/>
        <color rgb="FF638EC6"/>
      </dataBar>
    </cfRule>
  </conditionalFormatting>
  <conditionalFormatting sqref="Q112:R221 Q236:R236 Q291:R294 Q296:R297 Q301:Q302 Q349:R351">
    <cfRule type="dataBar" priority="849">
      <dataBar>
        <cfvo type="min"/>
        <cfvo type="max"/>
        <color rgb="FF638EC6"/>
      </dataBar>
    </cfRule>
  </conditionalFormatting>
  <conditionalFormatting sqref="Q222:R225">
    <cfRule type="dataBar" priority="839">
      <dataBar>
        <cfvo type="min"/>
        <cfvo type="max"/>
        <color rgb="FF638EC6"/>
      </dataBar>
    </cfRule>
  </conditionalFormatting>
  <conditionalFormatting sqref="Q226:R226">
    <cfRule type="dataBar" priority="784">
      <dataBar>
        <cfvo type="min"/>
        <cfvo type="max"/>
        <color rgb="FF638EC6"/>
      </dataBar>
    </cfRule>
  </conditionalFormatting>
  <conditionalFormatting sqref="Q227:R230">
    <cfRule type="dataBar" priority="760">
      <dataBar>
        <cfvo type="min"/>
        <cfvo type="max"/>
        <color rgb="FF638EC6"/>
      </dataBar>
    </cfRule>
  </conditionalFormatting>
  <conditionalFormatting sqref="Q231:R231">
    <cfRule type="dataBar" priority="748">
      <dataBar>
        <cfvo type="min"/>
        <cfvo type="max"/>
        <color rgb="FF638EC6"/>
      </dataBar>
    </cfRule>
  </conditionalFormatting>
  <conditionalFormatting sqref="Q232:R235">
    <cfRule type="dataBar" priority="724">
      <dataBar>
        <cfvo type="min"/>
        <cfvo type="max"/>
        <color rgb="FF638EC6"/>
      </dataBar>
    </cfRule>
  </conditionalFormatting>
  <conditionalFormatting sqref="Q237:R240">
    <cfRule type="dataBar" priority="688">
      <dataBar>
        <cfvo type="min"/>
        <cfvo type="max"/>
        <color rgb="FF638EC6"/>
      </dataBar>
    </cfRule>
  </conditionalFormatting>
  <conditionalFormatting sqref="Q241:R241">
    <cfRule type="dataBar" priority="712">
      <dataBar>
        <cfvo type="min"/>
        <cfvo type="max"/>
        <color rgb="FF638EC6"/>
      </dataBar>
    </cfRule>
  </conditionalFormatting>
  <conditionalFormatting sqref="Q242:R245">
    <cfRule type="dataBar" priority="652">
      <dataBar>
        <cfvo type="min"/>
        <cfvo type="max"/>
        <color rgb="FF638EC6"/>
      </dataBar>
    </cfRule>
  </conditionalFormatting>
  <conditionalFormatting sqref="Q246:R246">
    <cfRule type="dataBar" priority="676">
      <dataBar>
        <cfvo type="min"/>
        <cfvo type="max"/>
        <color rgb="FF638EC6"/>
      </dataBar>
    </cfRule>
  </conditionalFormatting>
  <conditionalFormatting sqref="Q247:R250">
    <cfRule type="dataBar" priority="551">
      <dataBar>
        <cfvo type="min"/>
        <cfvo type="max"/>
        <color rgb="FF638EC6"/>
      </dataBar>
    </cfRule>
  </conditionalFormatting>
  <conditionalFormatting sqref="Q251:R251">
    <cfRule type="dataBar" priority="576">
      <dataBar>
        <cfvo type="min"/>
        <cfvo type="max"/>
        <color rgb="FF638EC6"/>
      </dataBar>
    </cfRule>
  </conditionalFormatting>
  <conditionalFormatting sqref="Q252:R255">
    <cfRule type="dataBar" priority="533">
      <dataBar>
        <cfvo type="min"/>
        <cfvo type="max"/>
        <color rgb="FF638EC6"/>
      </dataBar>
    </cfRule>
  </conditionalFormatting>
  <conditionalFormatting sqref="Q256:R256">
    <cfRule type="dataBar" priority="603">
      <dataBar>
        <cfvo type="min"/>
        <cfvo type="max"/>
        <color rgb="FF638EC6"/>
      </dataBar>
    </cfRule>
  </conditionalFormatting>
  <conditionalFormatting sqref="Q257:R260">
    <cfRule type="dataBar" priority="484">
      <dataBar>
        <cfvo type="min"/>
        <cfvo type="max"/>
        <color rgb="FF638EC6"/>
      </dataBar>
    </cfRule>
  </conditionalFormatting>
  <conditionalFormatting sqref="Q262:R271">
    <cfRule type="dataBar" priority="400">
      <dataBar>
        <cfvo type="min"/>
        <cfvo type="max"/>
        <color rgb="FF638EC6"/>
      </dataBar>
    </cfRule>
  </conditionalFormatting>
  <conditionalFormatting sqref="Q272:R275">
    <cfRule type="dataBar" priority="158">
      <dataBar>
        <cfvo type="min"/>
        <cfvo type="max"/>
        <color rgb="FF638EC6"/>
      </dataBar>
    </cfRule>
  </conditionalFormatting>
  <conditionalFormatting sqref="Q277:R280">
    <cfRule type="dataBar" priority="69">
      <dataBar>
        <cfvo type="min"/>
        <cfvo type="max"/>
        <color rgb="FF638EC6"/>
      </dataBar>
    </cfRule>
  </conditionalFormatting>
  <conditionalFormatting sqref="Q282:R285">
    <cfRule type="dataBar" priority="41">
      <dataBar>
        <cfvo type="min"/>
        <cfvo type="max"/>
        <color rgb="FF638EC6"/>
      </dataBar>
    </cfRule>
  </conditionalFormatting>
  <conditionalFormatting sqref="Q287:R287 Q289:R289">
    <cfRule type="dataBar" priority="362">
      <dataBar>
        <cfvo type="min"/>
        <cfvo type="max"/>
        <color rgb="FF638EC6"/>
      </dataBar>
    </cfRule>
  </conditionalFormatting>
  <conditionalFormatting sqref="Q290:R290">
    <cfRule type="dataBar" priority="377">
      <dataBar>
        <cfvo type="min"/>
        <cfvo type="max"/>
        <color rgb="FF638EC6"/>
      </dataBar>
    </cfRule>
  </conditionalFormatting>
  <conditionalFormatting sqref="Q300:R300 R301:R304">
    <cfRule type="dataBar" priority="639">
      <dataBar>
        <cfvo type="min"/>
        <cfvo type="max"/>
        <color rgb="FF638EC6"/>
      </dataBar>
    </cfRule>
  </conditionalFormatting>
  <conditionalFormatting sqref="Q312:R314 R311">
    <cfRule type="dataBar" priority="295">
      <dataBar>
        <cfvo type="min"/>
        <cfvo type="max"/>
        <color rgb="FF638EC6"/>
      </dataBar>
    </cfRule>
  </conditionalFormatting>
  <conditionalFormatting sqref="Q315:R315">
    <cfRule type="dataBar" priority="310">
      <dataBar>
        <cfvo type="min"/>
        <cfvo type="max"/>
        <color rgb="FF638EC6"/>
      </dataBar>
    </cfRule>
  </conditionalFormatting>
  <conditionalFormatting sqref="Q317:R320 R316">
    <cfRule type="dataBar" priority="247">
      <dataBar>
        <cfvo type="min"/>
        <cfvo type="max"/>
        <color rgb="FF638EC6"/>
      </dataBar>
    </cfRule>
  </conditionalFormatting>
  <conditionalFormatting sqref="Q322:R324 R305 R321">
    <cfRule type="dataBar" priority="621">
      <dataBar>
        <cfvo type="min"/>
        <cfvo type="max"/>
        <color rgb="FF638EC6"/>
      </dataBar>
    </cfRule>
  </conditionalFormatting>
  <conditionalFormatting sqref="R306:R309">
    <cfRule type="dataBar" priority="459">
      <dataBar>
        <cfvo type="min"/>
        <cfvo type="max"/>
        <color rgb="FF638EC6"/>
      </dataBar>
    </cfRule>
  </conditionalFormatting>
  <conditionalFormatting sqref="R310">
    <cfRule type="dataBar" priority="445">
      <dataBar>
        <cfvo type="min"/>
        <cfvo type="max"/>
        <color rgb="FF638EC6"/>
      </dataBar>
    </cfRule>
  </conditionalFormatting>
  <conditionalFormatting sqref="S1:S111 S298:S299 S325 S352:S1048576">
    <cfRule type="dataBar" priority="913">
      <dataBar>
        <cfvo type="min"/>
        <cfvo type="max"/>
        <color rgb="FF638EC6"/>
      </dataBar>
    </cfRule>
  </conditionalFormatting>
  <conditionalFormatting sqref="S112:S221 S236 S291:S294 S296:S297 S349:S351">
    <cfRule type="dataBar" priority="917">
      <dataBar>
        <cfvo type="min"/>
        <cfvo type="max"/>
        <color rgb="FF638EC6"/>
      </dataBar>
    </cfRule>
  </conditionalFormatting>
  <conditionalFormatting sqref="S222:S225">
    <cfRule type="dataBar" priority="922">
      <dataBar>
        <cfvo type="min"/>
        <cfvo type="max"/>
        <color rgb="FF638EC6"/>
      </dataBar>
    </cfRule>
  </conditionalFormatting>
  <conditionalFormatting sqref="S226">
    <cfRule type="dataBar" priority="923">
      <dataBar>
        <cfvo type="min"/>
        <cfvo type="max"/>
        <color rgb="FF638EC6"/>
      </dataBar>
    </cfRule>
  </conditionalFormatting>
  <conditionalFormatting sqref="S227:S230">
    <cfRule type="dataBar" priority="924">
      <dataBar>
        <cfvo type="min"/>
        <cfvo type="max"/>
        <color rgb="FF638EC6"/>
      </dataBar>
    </cfRule>
  </conditionalFormatting>
  <conditionalFormatting sqref="S231">
    <cfRule type="dataBar" priority="925">
      <dataBar>
        <cfvo type="min"/>
        <cfvo type="max"/>
        <color rgb="FF638EC6"/>
      </dataBar>
    </cfRule>
  </conditionalFormatting>
  <conditionalFormatting sqref="S232:S235">
    <cfRule type="dataBar" priority="926">
      <dataBar>
        <cfvo type="min"/>
        <cfvo type="max"/>
        <color rgb="FF638EC6"/>
      </dataBar>
    </cfRule>
  </conditionalFormatting>
  <conditionalFormatting sqref="S237:S240">
    <cfRule type="dataBar" priority="928">
      <dataBar>
        <cfvo type="min"/>
        <cfvo type="max"/>
        <color rgb="FF638EC6"/>
      </dataBar>
    </cfRule>
  </conditionalFormatting>
  <conditionalFormatting sqref="S241">
    <cfRule type="dataBar" priority="927">
      <dataBar>
        <cfvo type="min"/>
        <cfvo type="max"/>
        <color rgb="FF638EC6"/>
      </dataBar>
    </cfRule>
  </conditionalFormatting>
  <conditionalFormatting sqref="S242:S245">
    <cfRule type="dataBar" priority="930">
      <dataBar>
        <cfvo type="min"/>
        <cfvo type="max"/>
        <color rgb="FF638EC6"/>
      </dataBar>
    </cfRule>
  </conditionalFormatting>
  <conditionalFormatting sqref="S246">
    <cfRule type="dataBar" priority="929">
      <dataBar>
        <cfvo type="min"/>
        <cfvo type="max"/>
        <color rgb="FF638EC6"/>
      </dataBar>
    </cfRule>
  </conditionalFormatting>
  <conditionalFormatting sqref="S247:S250">
    <cfRule type="dataBar" priority="938">
      <dataBar>
        <cfvo type="min"/>
        <cfvo type="max"/>
        <color rgb="FF638EC6"/>
      </dataBar>
    </cfRule>
  </conditionalFormatting>
  <conditionalFormatting sqref="S251">
    <cfRule type="dataBar" priority="937">
      <dataBar>
        <cfvo type="min"/>
        <cfvo type="max"/>
        <color rgb="FF638EC6"/>
      </dataBar>
    </cfRule>
  </conditionalFormatting>
  <conditionalFormatting sqref="S252:S255">
    <cfRule type="dataBar" priority="939">
      <dataBar>
        <cfvo type="min"/>
        <cfvo type="max"/>
        <color rgb="FF638EC6"/>
      </dataBar>
    </cfRule>
  </conditionalFormatting>
  <conditionalFormatting sqref="S256">
    <cfRule type="dataBar" priority="933">
      <dataBar>
        <cfvo type="min"/>
        <cfvo type="max"/>
        <color rgb="FF638EC6"/>
      </dataBar>
    </cfRule>
  </conditionalFormatting>
  <conditionalFormatting sqref="S257:S260">
    <cfRule type="dataBar" priority="493">
      <dataBar>
        <cfvo type="min"/>
        <cfvo type="max"/>
        <color rgb="FF638EC6"/>
      </dataBar>
    </cfRule>
  </conditionalFormatting>
  <conditionalFormatting sqref="S262:S271">
    <cfRule type="dataBar" priority="409">
      <dataBar>
        <cfvo type="min"/>
        <cfvo type="max"/>
        <color rgb="FF638EC6"/>
      </dataBar>
    </cfRule>
  </conditionalFormatting>
  <conditionalFormatting sqref="S272:S275">
    <cfRule type="dataBar" priority="167">
      <dataBar>
        <cfvo type="min"/>
        <cfvo type="max"/>
        <color rgb="FF638EC6"/>
      </dataBar>
    </cfRule>
  </conditionalFormatting>
  <conditionalFormatting sqref="S276 S281">
    <cfRule type="dataBar" priority="189">
      <dataBar>
        <cfvo type="min"/>
        <cfvo type="max"/>
        <color rgb="FF638EC6"/>
      </dataBar>
    </cfRule>
  </conditionalFormatting>
  <conditionalFormatting sqref="S277:S280">
    <cfRule type="dataBar" priority="78">
      <dataBar>
        <cfvo type="min"/>
        <cfvo type="max"/>
        <color rgb="FF638EC6"/>
      </dataBar>
    </cfRule>
  </conditionalFormatting>
  <conditionalFormatting sqref="S282:S285">
    <cfRule type="dataBar" priority="50">
      <dataBar>
        <cfvo type="min"/>
        <cfvo type="max"/>
        <color rgb="FF638EC6"/>
      </dataBar>
    </cfRule>
  </conditionalFormatting>
  <conditionalFormatting sqref="S289 S287">
    <cfRule type="dataBar" priority="1207">
      <dataBar>
        <cfvo type="min"/>
        <cfvo type="max"/>
        <color rgb="FF638EC6"/>
      </dataBar>
    </cfRule>
  </conditionalFormatting>
  <conditionalFormatting sqref="S290">
    <cfRule type="dataBar" priority="380">
      <dataBar>
        <cfvo type="min"/>
        <cfvo type="max"/>
        <color rgb="FF638EC6"/>
      </dataBar>
    </cfRule>
  </conditionalFormatting>
  <conditionalFormatting sqref="S300:S304">
    <cfRule type="dataBar" priority="931">
      <dataBar>
        <cfvo type="min"/>
        <cfvo type="max"/>
        <color rgb="FF638EC6"/>
      </dataBar>
    </cfRule>
  </conditionalFormatting>
  <conditionalFormatting sqref="S306:S309">
    <cfRule type="dataBar" priority="466">
      <dataBar>
        <cfvo type="min"/>
        <cfvo type="max"/>
        <color rgb="FF638EC6"/>
      </dataBar>
    </cfRule>
  </conditionalFormatting>
  <conditionalFormatting sqref="S310">
    <cfRule type="dataBar" priority="467">
      <dataBar>
        <cfvo type="min"/>
        <cfvo type="max"/>
        <color rgb="FF638EC6"/>
      </dataBar>
    </cfRule>
  </conditionalFormatting>
  <conditionalFormatting sqref="S311:S314">
    <cfRule type="dataBar" priority="314">
      <dataBar>
        <cfvo type="min"/>
        <cfvo type="max"/>
        <color rgb="FF638EC6"/>
      </dataBar>
    </cfRule>
  </conditionalFormatting>
  <conditionalFormatting sqref="S315">
    <cfRule type="dataBar" priority="313">
      <dataBar>
        <cfvo type="min"/>
        <cfvo type="max"/>
        <color rgb="FF638EC6"/>
      </dataBar>
    </cfRule>
  </conditionalFormatting>
  <conditionalFormatting sqref="S316:S320">
    <cfRule type="dataBar" priority="250">
      <dataBar>
        <cfvo type="min"/>
        <cfvo type="max"/>
        <color rgb="FF638EC6"/>
      </dataBar>
    </cfRule>
  </conditionalFormatting>
  <conditionalFormatting sqref="S321:S324 S305">
    <cfRule type="dataBar" priority="932">
      <dataBar>
        <cfvo type="min"/>
        <cfvo type="max"/>
        <color rgb="FF638EC6"/>
      </dataBar>
    </cfRule>
  </conditionalFormatting>
  <conditionalFormatting sqref="S336">
    <cfRule type="dataBar" priority="522">
      <dataBar>
        <cfvo type="min"/>
        <cfvo type="max"/>
        <color rgb="FF638EC6"/>
      </dataBar>
    </cfRule>
    <cfRule type="dataBar" priority="523">
      <dataBar>
        <cfvo type="min"/>
        <cfvo type="max"/>
        <color rgb="FF638EC6"/>
      </dataBar>
    </cfRule>
  </conditionalFormatting>
  <conditionalFormatting sqref="S336:S339">
    <cfRule type="dataBar" priority="521">
      <dataBar>
        <cfvo type="min"/>
        <cfvo type="max"/>
        <color rgb="FF638EC6"/>
      </dataBar>
    </cfRule>
  </conditionalFormatting>
  <conditionalFormatting sqref="S341">
    <cfRule type="dataBar" priority="508">
      <dataBar>
        <cfvo type="min"/>
        <cfvo type="max"/>
        <color rgb="FF638EC6"/>
      </dataBar>
    </cfRule>
    <cfRule type="dataBar" priority="509">
      <dataBar>
        <cfvo type="min"/>
        <cfvo type="max"/>
        <color rgb="FF638EC6"/>
      </dataBar>
    </cfRule>
  </conditionalFormatting>
  <conditionalFormatting sqref="S341:S344">
    <cfRule type="dataBar" priority="507">
      <dataBar>
        <cfvo type="min"/>
        <cfvo type="max"/>
        <color rgb="FF638EC6"/>
      </dataBar>
    </cfRule>
  </conditionalFormatting>
  <conditionalFormatting sqref="S345">
    <cfRule type="dataBar" priority="515">
      <dataBar>
        <cfvo type="min"/>
        <cfvo type="max"/>
        <color rgb="FF638EC6"/>
      </dataBar>
    </cfRule>
  </conditionalFormatting>
  <conditionalFormatting sqref="S346:S348 S340">
    <cfRule type="dataBar" priority="934">
      <dataBar>
        <cfvo type="min"/>
        <cfvo type="max"/>
        <color rgb="FF638EC6"/>
      </dataBar>
    </cfRule>
  </conditionalFormatting>
  <conditionalFormatting sqref="V1:V19 V21:V24 V26:V39 V41:V44 V46:V49 V51:V64 V66:V74 V76:V94 V96:V104 V106:V109 V111:V239 V241:V249 V251:V259 V261:V269 V291:V310 V321:V325 V335:V1048576">
    <cfRule type="top10" dxfId="76" priority="428" percent="1" rank="30"/>
    <cfRule type="dataBar" priority="429">
      <dataBar>
        <cfvo type="min"/>
        <cfvo type="max"/>
        <color rgb="FF638EC6"/>
      </dataBar>
    </cfRule>
  </conditionalFormatting>
  <conditionalFormatting sqref="V272:V275">
    <cfRule type="top10" dxfId="75" priority="170" percent="1" rank="30"/>
    <cfRule type="dataBar" priority="171">
      <dataBar>
        <cfvo type="min"/>
        <cfvo type="max"/>
        <color rgb="FF638EC6"/>
      </dataBar>
    </cfRule>
  </conditionalFormatting>
  <conditionalFormatting sqref="V276 V281">
    <cfRule type="top10" dxfId="74" priority="180" percent="1" rank="30"/>
    <cfRule type="dataBar" priority="181">
      <dataBar>
        <cfvo type="min"/>
        <cfvo type="max"/>
        <color rgb="FF638EC6"/>
      </dataBar>
    </cfRule>
  </conditionalFormatting>
  <conditionalFormatting sqref="V277:V280">
    <cfRule type="top10" dxfId="73" priority="81" percent="1" rank="30"/>
    <cfRule type="dataBar" priority="82">
      <dataBar>
        <cfvo type="min"/>
        <cfvo type="max"/>
        <color rgb="FF638EC6"/>
      </dataBar>
    </cfRule>
  </conditionalFormatting>
  <conditionalFormatting sqref="V282:V285">
    <cfRule type="top10" dxfId="72" priority="53" percent="1" rank="30"/>
    <cfRule type="dataBar" priority="54">
      <dataBar>
        <cfvo type="min"/>
        <cfvo type="max"/>
        <color rgb="FF638EC6"/>
      </dataBar>
    </cfRule>
  </conditionalFormatting>
  <conditionalFormatting sqref="V289:V290 V287">
    <cfRule type="top10" dxfId="71" priority="1225" percent="1" rank="30"/>
    <cfRule type="dataBar" priority="1226">
      <dataBar>
        <cfvo type="min"/>
        <cfvo type="max"/>
        <color rgb="FF638EC6"/>
      </dataBar>
    </cfRule>
  </conditionalFormatting>
  <conditionalFormatting sqref="V311:V315">
    <cfRule type="top10" dxfId="70" priority="275" percent="1" rank="30"/>
    <cfRule type="dataBar" priority="276">
      <dataBar>
        <cfvo type="min"/>
        <cfvo type="max"/>
        <color rgb="FF638EC6"/>
      </dataBar>
    </cfRule>
  </conditionalFormatting>
  <conditionalFormatting sqref="V316:V320">
    <cfRule type="top10" dxfId="69" priority="229" percent="1" rank="30"/>
    <cfRule type="dataBar" priority="230">
      <dataBar>
        <cfvo type="min"/>
        <cfvo type="max"/>
        <color rgb="FF638EC6"/>
      </dataBar>
    </cfRule>
  </conditionalFormatting>
  <conditionalFormatting sqref="W1:W271 W291:W310 W321:W325 W335:W1048576">
    <cfRule type="top10" dxfId="68" priority="430" percent="1" rank="30"/>
    <cfRule type="dataBar" priority="431">
      <dataBar>
        <cfvo type="min"/>
        <cfvo type="max"/>
        <color rgb="FF638EC6"/>
      </dataBar>
    </cfRule>
  </conditionalFormatting>
  <conditionalFormatting sqref="W1:W271 W291:W310 W321:W1048576">
    <cfRule type="top10" dxfId="67" priority="426" percent="1" rank="20"/>
    <cfRule type="top10" dxfId="66" priority="427" percent="1" rank="10"/>
  </conditionalFormatting>
  <conditionalFormatting sqref="W272:W275">
    <cfRule type="top10" dxfId="65" priority="168" percent="1" rank="20"/>
    <cfRule type="top10" dxfId="64" priority="169" percent="1" rank="10"/>
    <cfRule type="top10" dxfId="63" priority="172" percent="1" rank="30"/>
    <cfRule type="dataBar" priority="173">
      <dataBar>
        <cfvo type="min"/>
        <cfvo type="max"/>
        <color rgb="FF638EC6"/>
      </dataBar>
    </cfRule>
  </conditionalFormatting>
  <conditionalFormatting sqref="W276 W281">
    <cfRule type="top10" dxfId="62" priority="178" percent="1" rank="20"/>
    <cfRule type="top10" dxfId="61" priority="179" percent="1" rank="10"/>
    <cfRule type="top10" dxfId="60" priority="182" percent="1" rank="30"/>
    <cfRule type="dataBar" priority="183">
      <dataBar>
        <cfvo type="min"/>
        <cfvo type="max"/>
        <color rgb="FF638EC6"/>
      </dataBar>
    </cfRule>
  </conditionalFormatting>
  <conditionalFormatting sqref="W277:W280">
    <cfRule type="top10" dxfId="59" priority="79" percent="1" rank="20"/>
    <cfRule type="top10" dxfId="58" priority="80" percent="1" rank="10"/>
    <cfRule type="top10" dxfId="57" priority="83" percent="1" rank="30"/>
    <cfRule type="dataBar" priority="84">
      <dataBar>
        <cfvo type="min"/>
        <cfvo type="max"/>
        <color rgb="FF638EC6"/>
      </dataBar>
    </cfRule>
  </conditionalFormatting>
  <conditionalFormatting sqref="W282:W285">
    <cfRule type="top10" dxfId="56" priority="51" percent="1" rank="20"/>
    <cfRule type="top10" dxfId="55" priority="52" percent="1" rank="10"/>
    <cfRule type="top10" dxfId="54" priority="55" percent="1" rank="30"/>
    <cfRule type="dataBar" priority="56">
      <dataBar>
        <cfvo type="min"/>
        <cfvo type="max"/>
        <color rgb="FF638EC6"/>
      </dataBar>
    </cfRule>
  </conditionalFormatting>
  <conditionalFormatting sqref="W289:W290 W287">
    <cfRule type="top10" dxfId="53" priority="1213" percent="1" rank="20"/>
    <cfRule type="top10" dxfId="52" priority="1214" percent="1" rank="10"/>
    <cfRule type="top10" dxfId="51" priority="1215" percent="1" rank="30"/>
    <cfRule type="dataBar" priority="1216">
      <dataBar>
        <cfvo type="min"/>
        <cfvo type="max"/>
        <color rgb="FF638EC6"/>
      </dataBar>
    </cfRule>
  </conditionalFormatting>
  <conditionalFormatting sqref="W311:W315">
    <cfRule type="top10" dxfId="50" priority="273" percent="1" rank="20"/>
    <cfRule type="top10" dxfId="49" priority="274" percent="1" rank="10"/>
    <cfRule type="top10" dxfId="48" priority="277" percent="1" rank="30"/>
    <cfRule type="dataBar" priority="278">
      <dataBar>
        <cfvo type="min"/>
        <cfvo type="max"/>
        <color rgb="FF638EC6"/>
      </dataBar>
    </cfRule>
  </conditionalFormatting>
  <conditionalFormatting sqref="W316:W320">
    <cfRule type="top10" dxfId="47" priority="227" percent="1" rank="20"/>
    <cfRule type="top10" dxfId="46" priority="228" percent="1" rank="10"/>
    <cfRule type="top10" dxfId="45" priority="231" percent="1" rank="30"/>
    <cfRule type="dataBar" priority="232">
      <dataBar>
        <cfvo type="min"/>
        <cfvo type="max"/>
        <color rgb="FF638EC6"/>
      </dataBar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280"/>
  <sheetViews>
    <sheetView zoomScale="120" zoomScaleNormal="120" workbookViewId="0">
      <pane xSplit="1" topLeftCell="B1" activePane="topRight" state="frozen"/>
      <selection pane="topRight" activeCell="A27" sqref="A27"/>
    </sheetView>
  </sheetViews>
  <sheetFormatPr baseColWidth="10" defaultRowHeight="16" x14ac:dyDescent="0.2"/>
  <cols>
    <col min="4" max="4" width="10.83203125" style="2" customWidth="1"/>
    <col min="5" max="5" width="20.33203125" style="16" customWidth="1"/>
    <col min="6" max="6" width="17.6640625" style="16" customWidth="1"/>
    <col min="7" max="10" width="21.6640625" style="16" customWidth="1"/>
    <col min="11" max="11" width="21.83203125" style="2" customWidth="1"/>
    <col min="12" max="12" width="10.83203125" style="78" customWidth="1"/>
    <col min="13" max="13" width="17.6640625" style="14" customWidth="1"/>
    <col min="14" max="14" width="14" style="7" customWidth="1"/>
    <col min="15" max="15" width="22.5" style="78" customWidth="1"/>
    <col min="16" max="16" width="18.6640625" style="7" customWidth="1"/>
    <col min="17" max="17" width="12.83203125" style="99" customWidth="1"/>
    <col min="19" max="19" width="10.83203125" style="98" customWidth="1"/>
    <col min="20" max="20" width="14.5" style="99" customWidth="1"/>
    <col min="21" max="21" width="15.1640625" customWidth="1"/>
    <col min="22" max="22" width="19.1640625" style="99" customWidth="1"/>
    <col min="23" max="24" width="20.33203125" bestFit="1" customWidth="1"/>
    <col min="25" max="25" width="20.33203125" style="99" customWidth="1"/>
    <col min="26" max="27" width="20.33203125" style="117" customWidth="1"/>
  </cols>
  <sheetData>
    <row r="1" spans="1:27" x14ac:dyDescent="0.2">
      <c r="A1" t="s">
        <v>0</v>
      </c>
      <c r="C1" t="s">
        <v>1</v>
      </c>
      <c r="D1" s="2" t="s">
        <v>2</v>
      </c>
      <c r="E1" s="2" t="s">
        <v>3</v>
      </c>
      <c r="F1" s="2" t="s">
        <v>4</v>
      </c>
      <c r="G1" s="12" t="s">
        <v>5</v>
      </c>
      <c r="H1" s="12" t="s">
        <v>6</v>
      </c>
      <c r="I1" s="12" t="s">
        <v>7</v>
      </c>
      <c r="J1" s="12" t="s">
        <v>8</v>
      </c>
      <c r="K1" s="2" t="s">
        <v>9</v>
      </c>
      <c r="L1" s="78" t="s">
        <v>10</v>
      </c>
      <c r="M1" s="15" t="s">
        <v>11</v>
      </c>
      <c r="N1" s="7" t="s">
        <v>12</v>
      </c>
      <c r="O1" s="78" t="s">
        <v>13</v>
      </c>
      <c r="P1" s="7" t="s">
        <v>14</v>
      </c>
      <c r="Q1" s="99" t="s">
        <v>15</v>
      </c>
      <c r="R1" t="s">
        <v>16</v>
      </c>
      <c r="S1" s="98" t="s">
        <v>17</v>
      </c>
      <c r="T1" s="69" t="s">
        <v>18</v>
      </c>
      <c r="U1" s="68" t="s">
        <v>19</v>
      </c>
      <c r="V1" s="69" t="s">
        <v>20</v>
      </c>
      <c r="W1" s="127" t="s">
        <v>193</v>
      </c>
      <c r="X1" s="127" t="s">
        <v>194</v>
      </c>
      <c r="Y1" s="69"/>
      <c r="Z1" s="69"/>
      <c r="AA1" s="69"/>
    </row>
    <row r="2" spans="1:27" x14ac:dyDescent="0.2">
      <c r="A2" t="s">
        <v>195</v>
      </c>
      <c r="B2" t="s">
        <v>30</v>
      </c>
      <c r="C2" s="140">
        <v>9.6359854880439233</v>
      </c>
      <c r="D2" s="88">
        <v>6.7812842569432927</v>
      </c>
      <c r="E2" s="16">
        <v>0.29625420613622427</v>
      </c>
      <c r="F2" s="90">
        <v>16.953772907575079</v>
      </c>
      <c r="G2" s="12">
        <v>0.75942283522644094</v>
      </c>
      <c r="H2" s="12">
        <v>-5.170687606133062E-2</v>
      </c>
      <c r="I2" s="12">
        <v>4.3434379167953903E-2</v>
      </c>
      <c r="J2" s="12">
        <v>0.24211279808205449</v>
      </c>
      <c r="K2" s="90">
        <v>2.5000829142674958</v>
      </c>
      <c r="L2" s="93">
        <v>6.7812842569432927</v>
      </c>
      <c r="M2" s="14">
        <v>0.29625420613622427</v>
      </c>
      <c r="N2" s="7">
        <v>16.953772907575079</v>
      </c>
      <c r="O2" s="14">
        <v>0.75942283522644094</v>
      </c>
      <c r="P2" s="7">
        <v>2.5000829142674958</v>
      </c>
      <c r="Q2" s="99">
        <v>0.1117090761099131</v>
      </c>
      <c r="R2" s="98">
        <v>0.10225527365056709</v>
      </c>
      <c r="S2" s="98">
        <v>4.2236357692865878E-2</v>
      </c>
      <c r="T2">
        <v>20719.810000000001</v>
      </c>
      <c r="U2" s="117">
        <f>C2*S2</f>
        <v>0.40698892979628792</v>
      </c>
      <c r="V2" s="117">
        <f>(1+S2)*Q2*(1-U2)+S2</f>
        <v>0.11127901210573479</v>
      </c>
      <c r="W2" s="117">
        <f>V2+I2/3</f>
        <v>0.12575713849505277</v>
      </c>
      <c r="X2" s="117">
        <f>V2+I2/5</f>
        <v>0.11996588793932557</v>
      </c>
      <c r="Y2" s="117"/>
    </row>
    <row r="3" spans="1:27" x14ac:dyDescent="0.2">
      <c r="A3" t="s">
        <v>196</v>
      </c>
      <c r="B3" t="s">
        <v>32</v>
      </c>
      <c r="C3" s="140">
        <v>10.460761166386259</v>
      </c>
      <c r="D3" s="88">
        <v>7.3609437813083707</v>
      </c>
      <c r="E3" s="16">
        <v>0.29632809083134271</v>
      </c>
      <c r="F3" s="90">
        <v>16.64627857826034</v>
      </c>
      <c r="G3" s="12">
        <v>0.59130662802532008</v>
      </c>
      <c r="H3" s="12">
        <v>-4.7468006810453163E-2</v>
      </c>
      <c r="I3" s="12">
        <v>4.1546289910109113E-2</v>
      </c>
      <c r="J3" s="12">
        <v>0.26843333476530629</v>
      </c>
      <c r="K3" s="90">
        <v>2.261432646793228</v>
      </c>
      <c r="L3" s="93">
        <v>7.3609437813083707</v>
      </c>
      <c r="M3" s="14">
        <v>0.29632809083134271</v>
      </c>
      <c r="N3" s="7">
        <v>16.64627857826034</v>
      </c>
      <c r="O3" s="14">
        <v>0.59130662802532008</v>
      </c>
      <c r="P3" s="7">
        <v>2.261432646793228</v>
      </c>
      <c r="R3" s="98"/>
      <c r="S3" s="98">
        <v>4.7710994909244499E-2</v>
      </c>
      <c r="U3" s="117">
        <f>C3*S3</f>
        <v>0.49909332275627738</v>
      </c>
      <c r="V3" s="117">
        <f>(1+S3)*R2*(1-U3)+S3</f>
        <v>0.10137511809152153</v>
      </c>
      <c r="W3" s="117">
        <f>V3+I3/3</f>
        <v>0.11522388139489123</v>
      </c>
      <c r="X3" s="117">
        <f>V3+I3/5</f>
        <v>0.10968437607354335</v>
      </c>
      <c r="Y3" s="117"/>
    </row>
    <row r="4" spans="1:27" x14ac:dyDescent="0.2">
      <c r="A4" t="s">
        <v>197</v>
      </c>
      <c r="B4" t="s">
        <v>34</v>
      </c>
      <c r="C4" s="140">
        <v>1.076427036277916</v>
      </c>
      <c r="D4" s="88">
        <v>0.75332598284204755</v>
      </c>
      <c r="E4" s="16">
        <v>0.30016066351611898</v>
      </c>
      <c r="F4" s="90">
        <v>1.5800004578214759</v>
      </c>
      <c r="G4" s="12">
        <v>0.46781937332679968</v>
      </c>
      <c r="H4" s="12">
        <v>-2.423363792464062E-2</v>
      </c>
      <c r="I4" s="12">
        <v>0.10701989663299651</v>
      </c>
      <c r="J4" s="12">
        <v>0.2296560257204405</v>
      </c>
      <c r="K4" s="90">
        <v>2.0973662050798532</v>
      </c>
      <c r="L4" s="93">
        <v>0.75332598284204755</v>
      </c>
      <c r="M4" s="14">
        <v>0.30016066351611898</v>
      </c>
      <c r="N4" s="7">
        <v>1.5592545756541341</v>
      </c>
      <c r="O4" s="14">
        <v>0.44854646260627629</v>
      </c>
      <c r="P4" s="7">
        <v>2.0698271547353069</v>
      </c>
      <c r="R4" s="98"/>
      <c r="W4" s="117">
        <f>V2+I4/3</f>
        <v>0.14695231098340028</v>
      </c>
      <c r="X4" s="117">
        <f>V2+I4/5</f>
        <v>0.13268299143233409</v>
      </c>
      <c r="Y4" s="117"/>
    </row>
    <row r="5" spans="1:27" x14ac:dyDescent="0.2">
      <c r="A5">
        <v>3.81</v>
      </c>
      <c r="B5" t="s">
        <v>35</v>
      </c>
      <c r="C5" s="140">
        <v>1.0696679956620521</v>
      </c>
      <c r="D5" s="88">
        <v>0.7252450134977052</v>
      </c>
      <c r="E5" s="16">
        <v>0.32199054618921502</v>
      </c>
      <c r="F5" s="90">
        <v>1.526087498335283</v>
      </c>
      <c r="G5" s="12">
        <v>0.42669267896599838</v>
      </c>
      <c r="H5" s="12">
        <v>-5.0708706123078102E-2</v>
      </c>
      <c r="I5" s="12">
        <v>5.3176871354655653E-2</v>
      </c>
      <c r="J5" s="12">
        <v>0.18933399331466119</v>
      </c>
      <c r="K5" s="90">
        <v>2.104237147354219</v>
      </c>
      <c r="L5" s="93">
        <v>0.7252450134977052</v>
      </c>
      <c r="M5" s="14">
        <v>0.32199054618921502</v>
      </c>
      <c r="N5" s="7">
        <v>1.3388627439417611</v>
      </c>
      <c r="O5" s="14">
        <v>0.25166196368537269</v>
      </c>
      <c r="P5" s="7">
        <v>1.846083349797478</v>
      </c>
      <c r="R5" s="98"/>
      <c r="W5" s="117">
        <f>V3+I5/3</f>
        <v>0.11910074187640675</v>
      </c>
      <c r="X5" s="117">
        <f>V3+I5/5</f>
        <v>0.11201049236245265</v>
      </c>
      <c r="Y5" s="117"/>
    </row>
    <row r="6" spans="1:27" x14ac:dyDescent="0.2">
      <c r="F6" s="3"/>
      <c r="K6" s="90"/>
      <c r="O6" s="14"/>
      <c r="R6" s="98"/>
    </row>
    <row r="7" spans="1:27" x14ac:dyDescent="0.2">
      <c r="A7" t="s">
        <v>198</v>
      </c>
      <c r="B7" t="s">
        <v>30</v>
      </c>
      <c r="C7" s="141">
        <v>8.4730652087609339</v>
      </c>
      <c r="D7" s="88">
        <v>5.591450880589262</v>
      </c>
      <c r="E7" s="16">
        <v>0.34009113079787889</v>
      </c>
      <c r="F7" s="90">
        <v>14.99281686064845</v>
      </c>
      <c r="G7" s="12">
        <v>0.76946789517756287</v>
      </c>
      <c r="H7" s="12">
        <v>-0.13326381580477109</v>
      </c>
      <c r="I7" s="12">
        <v>-8.3365645878548111E-3</v>
      </c>
      <c r="J7" s="12">
        <v>0.1161287925552261</v>
      </c>
      <c r="K7" s="90">
        <v>2.6813821995103369</v>
      </c>
      <c r="L7" s="93">
        <v>6.0841564738530884</v>
      </c>
      <c r="M7" s="14">
        <v>0.28194150240196131</v>
      </c>
      <c r="N7" s="7">
        <v>14.99281686064845</v>
      </c>
      <c r="O7" s="14">
        <v>0.76946789517756287</v>
      </c>
      <c r="P7" s="7">
        <v>2.4642391965230832</v>
      </c>
      <c r="Q7" s="99">
        <v>0.1152461260734708</v>
      </c>
      <c r="R7" s="98">
        <v>0.1061226786886053</v>
      </c>
      <c r="S7" s="98">
        <v>4.2909657464393833E-2</v>
      </c>
      <c r="T7" s="55">
        <v>6991.27</v>
      </c>
      <c r="U7" s="117">
        <f>C7*S7</f>
        <v>0.36357632578140431</v>
      </c>
      <c r="V7" s="117">
        <f>(1+S7)*Q7*(1-U7)+S7</f>
        <v>0.11940224486225462</v>
      </c>
      <c r="W7" s="117">
        <f>V7+I7/3</f>
        <v>0.11662338999963635</v>
      </c>
      <c r="X7" s="117">
        <f>V7+I7/5</f>
        <v>0.11773493194468365</v>
      </c>
      <c r="Y7" s="117"/>
    </row>
    <row r="8" spans="1:27" x14ac:dyDescent="0.2">
      <c r="A8" t="s">
        <v>199</v>
      </c>
      <c r="B8" t="s">
        <v>32</v>
      </c>
      <c r="C8" s="139">
        <v>10.44705996935159</v>
      </c>
      <c r="D8" s="88">
        <v>6.4979813194648361</v>
      </c>
      <c r="E8" s="16">
        <v>0.3780086130903928</v>
      </c>
      <c r="F8" s="90">
        <v>12.83218610542586</v>
      </c>
      <c r="G8" s="12">
        <v>0.22830596771450359</v>
      </c>
      <c r="H8" s="12">
        <v>-0.18591551729780881</v>
      </c>
      <c r="I8" s="12">
        <v>-0.10005399894522921</v>
      </c>
      <c r="J8" s="12">
        <v>-3.5204030040371088E-3</v>
      </c>
      <c r="K8" s="90">
        <v>1.974795782651265</v>
      </c>
      <c r="L8" s="93">
        <v>7.0214507070488894</v>
      </c>
      <c r="M8" s="14">
        <v>0.32790175153127982</v>
      </c>
      <c r="N8" s="7">
        <v>12.83218610542586</v>
      </c>
      <c r="O8" s="14">
        <v>0.22830596771450359</v>
      </c>
      <c r="P8" s="7">
        <v>1.8275690652564911</v>
      </c>
      <c r="S8" s="98">
        <v>3.6723147498987398E-2</v>
      </c>
      <c r="T8" s="98"/>
      <c r="U8" s="117">
        <f>C8*S8</f>
        <v>0.38364892418526519</v>
      </c>
      <c r="V8" s="117">
        <f>(1+S8)*R7*(1-U8)+S8</f>
        <v>0.10453399268524649</v>
      </c>
      <c r="W8" s="117">
        <f>V8+I8/3</f>
        <v>7.1182659703503431E-2</v>
      </c>
      <c r="X8" s="117">
        <f>V8+I8/5</f>
        <v>8.4523192896200652E-2</v>
      </c>
      <c r="Y8" s="117"/>
    </row>
    <row r="9" spans="1:27" x14ac:dyDescent="0.2">
      <c r="A9" t="s">
        <v>200</v>
      </c>
      <c r="B9" t="s">
        <v>34</v>
      </c>
      <c r="C9" s="140">
        <v>0.97648794127760175</v>
      </c>
      <c r="D9" s="88">
        <v>0.69416575561312632</v>
      </c>
      <c r="E9" s="16">
        <v>0.28911999189165127</v>
      </c>
      <c r="F9" s="90">
        <v>1.713295411170199</v>
      </c>
      <c r="G9" s="12">
        <v>0.75454845753505606</v>
      </c>
      <c r="H9" s="12">
        <v>-3.6192929423005782E-2</v>
      </c>
      <c r="I9" s="12">
        <v>8.0043579582585567E-2</v>
      </c>
      <c r="J9" s="12">
        <v>0.24407195189106631</v>
      </c>
      <c r="K9" s="90">
        <v>2.4681358844285239</v>
      </c>
      <c r="L9" s="93">
        <v>0.69416575561312632</v>
      </c>
      <c r="M9" s="14">
        <v>0.28911999189165127</v>
      </c>
      <c r="N9" s="7">
        <v>1.713295411170199</v>
      </c>
      <c r="O9" s="14">
        <v>0.75454845753505606</v>
      </c>
      <c r="P9" s="7">
        <v>2.4681358844285239</v>
      </c>
      <c r="T9" s="98"/>
      <c r="W9" s="117">
        <f>V7+I9/3</f>
        <v>0.1460834380564498</v>
      </c>
      <c r="X9" s="117">
        <f>V7+I9/5</f>
        <v>0.13541096077877174</v>
      </c>
      <c r="Y9" s="117"/>
    </row>
    <row r="10" spans="1:27" x14ac:dyDescent="0.2">
      <c r="B10" t="s">
        <v>35</v>
      </c>
      <c r="C10" s="141">
        <v>1.1086699883680899</v>
      </c>
      <c r="D10" s="88">
        <v>0.75796019257961511</v>
      </c>
      <c r="E10" s="16">
        <v>0.31633380489058188</v>
      </c>
      <c r="F10" s="90">
        <v>1.5864738701122401</v>
      </c>
      <c r="G10" s="12">
        <v>0.43097033991824252</v>
      </c>
      <c r="H10" s="12">
        <v>-0.13489301384741431</v>
      </c>
      <c r="I10" s="12">
        <v>-2.1965955739173149E-2</v>
      </c>
      <c r="J10" s="12">
        <v>0.11943137108784301</v>
      </c>
      <c r="K10" s="90">
        <v>2.0930833645931859</v>
      </c>
      <c r="L10" s="93">
        <v>0.75796019257961511</v>
      </c>
      <c r="M10" s="14">
        <v>0.31633380489058188</v>
      </c>
      <c r="N10" s="7">
        <v>1.452147247314721</v>
      </c>
      <c r="O10" s="14">
        <v>0.3098101892811338</v>
      </c>
      <c r="P10" s="7">
        <v>1.915862154148932</v>
      </c>
      <c r="T10" s="98"/>
      <c r="W10" s="117">
        <f>V8+I10/3</f>
        <v>9.7212007438855441E-2</v>
      </c>
      <c r="X10" s="117">
        <f>V8+I10/5</f>
        <v>0.10014080153741187</v>
      </c>
      <c r="Y10" s="117"/>
    </row>
    <row r="12" spans="1:27" x14ac:dyDescent="0.2">
      <c r="A12" t="s">
        <v>201</v>
      </c>
      <c r="B12" t="s">
        <v>30</v>
      </c>
      <c r="C12" s="63">
        <v>13.41</v>
      </c>
      <c r="D12" s="2">
        <v>8.01</v>
      </c>
      <c r="E12" s="16">
        <f>1-D12/C12</f>
        <v>0.40268456375838924</v>
      </c>
      <c r="F12" s="67">
        <v>19.89</v>
      </c>
      <c r="G12" s="16">
        <f>F12/C12-1</f>
        <v>0.48322147651006708</v>
      </c>
      <c r="H12" s="16">
        <f>12.01/C12-1</f>
        <v>-0.10439970171513802</v>
      </c>
      <c r="I12" s="16">
        <f>12.9/C12-1</f>
        <v>-3.8031319910514561E-2</v>
      </c>
      <c r="J12" s="16">
        <f>13.85/C12-1</f>
        <v>3.2811334824757621E-2</v>
      </c>
      <c r="Q12" s="99">
        <f>C14/C12</f>
        <v>0.13049962714392244</v>
      </c>
      <c r="S12" s="98">
        <v>1.9E-2</v>
      </c>
      <c r="U12" s="117">
        <f>C12*S12</f>
        <v>0.25479000000000002</v>
      </c>
      <c r="V12" s="117">
        <f>(1+S12)*Q12*(1-U12)+S12</f>
        <v>0.11809737005965695</v>
      </c>
      <c r="W12" s="117">
        <f>V12+I12/3</f>
        <v>0.10542026342281877</v>
      </c>
      <c r="X12" s="117">
        <f>V12+I12/5</f>
        <v>0.11049110607755404</v>
      </c>
      <c r="Y12" s="117"/>
    </row>
    <row r="13" spans="1:27" x14ac:dyDescent="0.2">
      <c r="U13" s="117">
        <f>C13*S13</f>
        <v>0</v>
      </c>
      <c r="V13" s="117">
        <f>(1+S13)*R12*(1-U13)+S13</f>
        <v>0</v>
      </c>
      <c r="W13" s="117">
        <f>V13+I13/3</f>
        <v>0</v>
      </c>
      <c r="X13" s="117">
        <f>V13+I13/5</f>
        <v>0</v>
      </c>
      <c r="Y13" s="117"/>
    </row>
    <row r="14" spans="1:27" x14ac:dyDescent="0.2">
      <c r="A14" t="s">
        <v>202</v>
      </c>
      <c r="B14" t="s">
        <v>34</v>
      </c>
      <c r="C14" s="64">
        <v>1.75</v>
      </c>
      <c r="D14" s="2">
        <v>1.01</v>
      </c>
      <c r="E14" s="16">
        <f>1-D14/C14</f>
        <v>0.42285714285714282</v>
      </c>
      <c r="F14" s="67">
        <v>2.09</v>
      </c>
      <c r="G14" s="16">
        <f>F14/C14-1</f>
        <v>0.19428571428571417</v>
      </c>
      <c r="H14" s="16">
        <f>1.36/C14-1</f>
        <v>-0.22285714285714275</v>
      </c>
      <c r="I14" s="16">
        <f>1.43/C14-1</f>
        <v>-0.18285714285714294</v>
      </c>
      <c r="J14" s="16">
        <f>1.55/C14-1</f>
        <v>-0.11428571428571421</v>
      </c>
      <c r="W14" s="117">
        <f>V12+I14/3</f>
        <v>5.7144989107275973E-2</v>
      </c>
      <c r="X14" s="117">
        <f>V12+I14/5</f>
        <v>8.1525941488228365E-2</v>
      </c>
      <c r="Y14" s="117"/>
    </row>
    <row r="15" spans="1:27" x14ac:dyDescent="0.2">
      <c r="W15" s="117">
        <f>V13+I15/3</f>
        <v>0</v>
      </c>
      <c r="X15" s="117">
        <f>V13+I15/5</f>
        <v>0</v>
      </c>
      <c r="Y15" s="117"/>
    </row>
    <row r="17" spans="1:35" x14ac:dyDescent="0.2">
      <c r="A17" t="s">
        <v>203</v>
      </c>
      <c r="B17" t="s">
        <v>30</v>
      </c>
      <c r="C17" s="74">
        <v>9.68</v>
      </c>
      <c r="D17" s="2">
        <v>6.72</v>
      </c>
      <c r="E17" s="16">
        <f>1-D17/C17</f>
        <v>0.30578512396694213</v>
      </c>
      <c r="F17" s="67">
        <v>11.13</v>
      </c>
      <c r="G17" s="16">
        <f>F17/C17-1</f>
        <v>0.14979338842975221</v>
      </c>
      <c r="H17" s="16">
        <f>8.57/C17-1</f>
        <v>-0.11466942148760328</v>
      </c>
      <c r="I17" s="16">
        <f>9.31/C17-1</f>
        <v>-3.8223140495867725E-2</v>
      </c>
      <c r="J17" s="16">
        <f>10.28/C17-1</f>
        <v>6.198347107438007E-2</v>
      </c>
      <c r="Q17" s="99">
        <f>C19/C17</f>
        <v>0.11983471074380164</v>
      </c>
      <c r="S17" s="98">
        <v>3.4799999999999998E-2</v>
      </c>
      <c r="U17" s="117">
        <f>C17*S17</f>
        <v>0.33686399999999994</v>
      </c>
      <c r="V17" s="102">
        <f>(1+S17)*Q17*(1-U17)+S17</f>
        <v>0.11703215227768594</v>
      </c>
      <c r="W17" s="117">
        <f>V17+I17/3</f>
        <v>0.10429110544573003</v>
      </c>
      <c r="X17" s="117">
        <f>V17+I17/5</f>
        <v>0.1093875241785124</v>
      </c>
      <c r="Y17" s="117"/>
    </row>
    <row r="18" spans="1:35" x14ac:dyDescent="0.2">
      <c r="U18" s="117">
        <f>C18*S18</f>
        <v>0</v>
      </c>
      <c r="V18" s="117">
        <f>(1+S18)*R17*(1-U18)+S18</f>
        <v>0</v>
      </c>
      <c r="W18" s="117">
        <f>V18+I18/3</f>
        <v>0</v>
      </c>
      <c r="X18" s="117">
        <f>V18+I18/5</f>
        <v>0</v>
      </c>
      <c r="Y18" s="117"/>
    </row>
    <row r="19" spans="1:35" x14ac:dyDescent="0.2">
      <c r="A19" t="s">
        <v>204</v>
      </c>
      <c r="B19" t="s">
        <v>34</v>
      </c>
      <c r="C19" s="73">
        <v>1.1599999999999999</v>
      </c>
      <c r="D19" s="2">
        <v>0.86</v>
      </c>
      <c r="E19" s="16">
        <f>1-D19/C19</f>
        <v>0.25862068965517238</v>
      </c>
      <c r="F19" s="3">
        <v>1.68</v>
      </c>
      <c r="G19" s="16">
        <f>F19/C19-1</f>
        <v>0.44827586206896552</v>
      </c>
      <c r="H19" s="16">
        <f>1.18/C19-1</f>
        <v>1.7241379310344751E-2</v>
      </c>
      <c r="I19" s="16">
        <f>1.3/C19-1</f>
        <v>0.12068965517241392</v>
      </c>
      <c r="J19" s="16">
        <f>1.61/C19-1</f>
        <v>0.3879310344827589</v>
      </c>
      <c r="W19" s="102">
        <f>V17+I19/3</f>
        <v>0.15726203733515726</v>
      </c>
      <c r="X19" s="117">
        <f>V17+I19/5</f>
        <v>0.14117008331216874</v>
      </c>
      <c r="Y19" s="117"/>
    </row>
    <row r="20" spans="1:35" x14ac:dyDescent="0.2">
      <c r="W20" s="117">
        <f>V18+I20/3</f>
        <v>0</v>
      </c>
      <c r="X20" s="117">
        <f>V18+I20/5</f>
        <v>0</v>
      </c>
      <c r="Y20" s="117"/>
    </row>
    <row r="22" spans="1:35" x14ac:dyDescent="0.2">
      <c r="A22" t="s">
        <v>205</v>
      </c>
      <c r="B22" t="s">
        <v>30</v>
      </c>
      <c r="C22">
        <v>21.36</v>
      </c>
      <c r="Q22" s="99">
        <f>C24/C22</f>
        <v>0.2443820224719101</v>
      </c>
      <c r="S22" s="98">
        <v>1.6000000000000001E-3</v>
      </c>
      <c r="U22" s="117">
        <f>C22*S22</f>
        <v>3.4175999999999998E-2</v>
      </c>
      <c r="V22" s="117">
        <f>(1+S22)*Q22*(1-U22)+S22</f>
        <v>0.23800767050786514</v>
      </c>
      <c r="W22" s="117">
        <f>V22+I22/3</f>
        <v>0.23800767050786514</v>
      </c>
      <c r="X22" s="117">
        <f>V22+I22/5</f>
        <v>0.23800767050786514</v>
      </c>
      <c r="Y22" s="117"/>
    </row>
    <row r="23" spans="1:35" x14ac:dyDescent="0.2">
      <c r="A23" t="s">
        <v>206</v>
      </c>
      <c r="U23" s="117">
        <f>C23*S23</f>
        <v>0</v>
      </c>
      <c r="V23" s="117">
        <f>(1+S23)*R22*(1-U23)+S23</f>
        <v>0</v>
      </c>
      <c r="W23" s="117">
        <f>V23+I23/3</f>
        <v>0</v>
      </c>
      <c r="X23" s="117">
        <f>V23+I23/5</f>
        <v>0</v>
      </c>
      <c r="Y23" s="117"/>
    </row>
    <row r="24" spans="1:35" x14ac:dyDescent="0.2">
      <c r="B24" t="s">
        <v>34</v>
      </c>
      <c r="C24">
        <v>5.22</v>
      </c>
      <c r="W24" s="117">
        <f>V22+I24/3</f>
        <v>0.23800767050786514</v>
      </c>
      <c r="X24" s="117">
        <f>V22+I24/5</f>
        <v>0.23800767050786514</v>
      </c>
      <c r="Y24" s="117"/>
    </row>
    <row r="25" spans="1:35" x14ac:dyDescent="0.2">
      <c r="W25" s="117">
        <f>V23+I25/3</f>
        <v>0</v>
      </c>
      <c r="X25" s="117">
        <f>V23+I25/5</f>
        <v>0</v>
      </c>
      <c r="Y25" s="117"/>
    </row>
    <row r="27" spans="1:35" x14ac:dyDescent="0.2">
      <c r="A27" t="s">
        <v>207</v>
      </c>
      <c r="B27" t="s">
        <v>30</v>
      </c>
      <c r="C27">
        <v>21.57</v>
      </c>
      <c r="D27" s="2">
        <v>13.69</v>
      </c>
      <c r="E27" s="16">
        <f>1-D27/C27</f>
        <v>0.36532220676866023</v>
      </c>
      <c r="F27" s="3">
        <v>27.65</v>
      </c>
      <c r="H27" s="16">
        <f>18.04/C27-1</f>
        <v>-0.16365322206768662</v>
      </c>
      <c r="I27" s="16">
        <f>20.19/C27-1</f>
        <v>-6.3977746870653607E-2</v>
      </c>
      <c r="J27" s="16">
        <f>22.97/C27-1</f>
        <v>6.4904960593416661E-2</v>
      </c>
      <c r="Q27" s="99">
        <f>C29/C27</f>
        <v>0.15484469170143716</v>
      </c>
      <c r="S27" s="98">
        <v>1.8599999999999998E-2</v>
      </c>
      <c r="U27" s="117">
        <f>C27*S27</f>
        <v>0.40120199999999995</v>
      </c>
      <c r="V27" s="117">
        <f>(1+S27)*Q27*(1-U27)+S27</f>
        <v>0.1130452965670839</v>
      </c>
      <c r="W27" s="117">
        <f>V27+I27/3</f>
        <v>9.17193809435327E-2</v>
      </c>
      <c r="X27" s="117">
        <f>V27+J27/5</f>
        <v>0.12602628868576723</v>
      </c>
      <c r="Y27" s="117"/>
    </row>
    <row r="28" spans="1:35" x14ac:dyDescent="0.2">
      <c r="U28" s="117">
        <f>C28*S28</f>
        <v>0</v>
      </c>
      <c r="V28" s="117">
        <f>(1+S28)*R27*(1-U28)+S28</f>
        <v>0</v>
      </c>
      <c r="W28" s="117">
        <f>V28+J28/3</f>
        <v>0</v>
      </c>
      <c r="X28" s="117">
        <f>V28+J28/5</f>
        <v>0</v>
      </c>
      <c r="Y28" s="117"/>
    </row>
    <row r="29" spans="1:35" x14ac:dyDescent="0.2">
      <c r="B29" t="s">
        <v>34</v>
      </c>
      <c r="C29">
        <v>3.34</v>
      </c>
      <c r="D29" s="2">
        <v>1.96</v>
      </c>
      <c r="E29" s="16">
        <f>1-D29/C29</f>
        <v>0.41317365269461082</v>
      </c>
      <c r="F29" s="3">
        <v>3.49</v>
      </c>
      <c r="H29" s="16">
        <f>2.55/C29-1</f>
        <v>-0.23652694610778446</v>
      </c>
      <c r="I29" s="16">
        <f>2.73/C29-1</f>
        <v>-0.1826347305389221</v>
      </c>
      <c r="J29" s="16">
        <f>2.88/C29-1</f>
        <v>-0.13772455089820357</v>
      </c>
      <c r="W29" s="117">
        <f>V27+I29/3</f>
        <v>5.2167053054109867E-2</v>
      </c>
      <c r="X29" s="117">
        <f>V27+J29/5</f>
        <v>8.5500386387443186E-2</v>
      </c>
      <c r="Y29" s="117"/>
    </row>
    <row r="30" spans="1:35" x14ac:dyDescent="0.2">
      <c r="W30" s="117">
        <f>V28+I30/3</f>
        <v>0</v>
      </c>
      <c r="X30" s="117">
        <f>V28+I30/5</f>
        <v>0</v>
      </c>
      <c r="Y30" s="117"/>
    </row>
    <row r="32" spans="1:35" x14ac:dyDescent="0.2">
      <c r="A32" t="s">
        <v>208</v>
      </c>
      <c r="B32" t="s">
        <v>30</v>
      </c>
      <c r="C32" s="63">
        <v>15.05</v>
      </c>
      <c r="D32" s="2">
        <v>8.76</v>
      </c>
      <c r="E32" s="89">
        <f>1-D32/C32</f>
        <v>0.41794019933554827</v>
      </c>
      <c r="H32" s="16">
        <f>12.25/C32-1</f>
        <v>-0.18604651162790697</v>
      </c>
      <c r="I32" s="16">
        <f>16.5/C32-1</f>
        <v>9.6345514950165967E-2</v>
      </c>
      <c r="J32" s="16">
        <f>20/C32-1</f>
        <v>0.32890365448504988</v>
      </c>
      <c r="Q32" s="99">
        <f>C34/C32</f>
        <v>0.10498338870431893</v>
      </c>
      <c r="S32" s="98">
        <v>1.6500000000000001E-2</v>
      </c>
      <c r="U32" s="117">
        <f>C32*S32</f>
        <v>0.24832500000000002</v>
      </c>
      <c r="V32" s="117">
        <f>(1+S32)*Q32*(1-U32)+S32</f>
        <v>9.6715459617940189E-2</v>
      </c>
      <c r="W32" s="102">
        <f>V32+I32/3</f>
        <v>0.12883063126799552</v>
      </c>
      <c r="X32" s="117">
        <f>V32+I32/5</f>
        <v>0.11598456260797338</v>
      </c>
      <c r="Y32" s="117"/>
      <c r="Z32" s="100"/>
      <c r="AA32" s="100"/>
      <c r="AB32" s="100"/>
      <c r="AC32" s="117"/>
      <c r="AD32" s="117"/>
      <c r="AE32" s="117"/>
      <c r="AF32" s="117"/>
      <c r="AH32" s="99"/>
      <c r="AI32" s="101"/>
    </row>
    <row r="33" spans="1:35" x14ac:dyDescent="0.2">
      <c r="E33" s="89"/>
      <c r="S33" s="99"/>
      <c r="U33" s="117"/>
      <c r="V33" s="117">
        <f>(1+S33)*R32*(1-U33)+S33</f>
        <v>0</v>
      </c>
      <c r="W33" s="117">
        <f>V33+I33/3</f>
        <v>0</v>
      </c>
      <c r="X33" s="117">
        <f>V33+I33/5</f>
        <v>0</v>
      </c>
      <c r="Y33" s="117"/>
      <c r="Z33" s="100"/>
      <c r="AA33" s="100"/>
      <c r="AB33" s="100"/>
      <c r="AC33" s="117"/>
      <c r="AD33" s="117"/>
      <c r="AE33" s="117"/>
      <c r="AF33" s="117"/>
      <c r="AH33" s="99"/>
      <c r="AI33" s="101"/>
    </row>
    <row r="34" spans="1:35" x14ac:dyDescent="0.2">
      <c r="B34" t="s">
        <v>34</v>
      </c>
      <c r="C34" s="74">
        <v>1.58</v>
      </c>
      <c r="D34" s="2">
        <v>1.1399999999999999</v>
      </c>
      <c r="E34" s="89">
        <f>1-D34/C34</f>
        <v>0.27848101265822789</v>
      </c>
      <c r="H34" s="16">
        <f>1.2/C34-1</f>
        <v>-0.24050632911392411</v>
      </c>
      <c r="I34" s="16">
        <f>1.54/C34-1</f>
        <v>-2.5316455696202556E-2</v>
      </c>
      <c r="J34" s="16">
        <f>1.8/C34-1</f>
        <v>0.139240506329114</v>
      </c>
      <c r="S34" s="99"/>
      <c r="W34" s="117">
        <f>V32+I34/3</f>
        <v>8.8276641052539337E-2</v>
      </c>
      <c r="X34" s="117">
        <f>V32+I34/5</f>
        <v>9.1652168478699683E-2</v>
      </c>
      <c r="Y34" s="117"/>
      <c r="Z34" s="100"/>
      <c r="AA34" s="100"/>
      <c r="AB34" s="100"/>
      <c r="AC34" s="117"/>
      <c r="AD34" s="117"/>
      <c r="AE34" s="117"/>
      <c r="AF34" s="117"/>
      <c r="AH34" s="99"/>
      <c r="AI34" s="101"/>
    </row>
    <row r="35" spans="1:35" x14ac:dyDescent="0.2">
      <c r="E35" s="89"/>
      <c r="S35" s="99"/>
      <c r="W35" s="117">
        <f>V33+I35/3</f>
        <v>0</v>
      </c>
      <c r="X35" s="117">
        <f>V33+I35/5</f>
        <v>0</v>
      </c>
      <c r="Y35" s="117"/>
      <c r="Z35" s="100"/>
      <c r="AA35" s="100"/>
      <c r="AB35" s="100"/>
      <c r="AC35" s="117"/>
      <c r="AD35" s="117"/>
      <c r="AE35" s="117"/>
      <c r="AF35" s="117"/>
      <c r="AH35" s="99"/>
      <c r="AI35" s="101"/>
    </row>
    <row r="36" spans="1:35" x14ac:dyDescent="0.2">
      <c r="S36" s="99"/>
      <c r="AC36" s="117"/>
      <c r="AD36" s="117"/>
      <c r="AE36" s="117"/>
      <c r="AF36" s="117"/>
      <c r="AH36" s="99"/>
      <c r="AI36" s="101"/>
    </row>
    <row r="37" spans="1:35" x14ac:dyDescent="0.2">
      <c r="A37" t="s">
        <v>209</v>
      </c>
      <c r="B37" t="s">
        <v>30</v>
      </c>
      <c r="C37">
        <v>29.97</v>
      </c>
      <c r="D37" s="2">
        <v>20.72</v>
      </c>
      <c r="E37" s="89">
        <f>1-D37/C37</f>
        <v>0.30864197530864201</v>
      </c>
      <c r="I37" s="16">
        <f>22.62/C37-1</f>
        <v>-0.24524524524524516</v>
      </c>
      <c r="Q37" s="99">
        <f>C39/C37</f>
        <v>0.14147480814147481</v>
      </c>
      <c r="S37" s="98">
        <v>1.4500000000000001E-2</v>
      </c>
      <c r="U37" s="117">
        <f>C37*S37</f>
        <v>0.43456499999999998</v>
      </c>
      <c r="V37" s="117">
        <f>(1+S37)*Q37*(1-U37)+S37</f>
        <v>9.5654732859526193E-2</v>
      </c>
      <c r="W37" s="117">
        <f>V37+I37/3</f>
        <v>1.3906317777777802E-2</v>
      </c>
      <c r="X37" s="117">
        <f>V37+I37/5</f>
        <v>4.660568381047716E-2</v>
      </c>
      <c r="Y37" s="117"/>
      <c r="Z37" s="100"/>
      <c r="AA37" s="100"/>
      <c r="AB37" s="100"/>
      <c r="AC37" s="117"/>
      <c r="AD37" s="117"/>
      <c r="AE37" s="117"/>
      <c r="AF37" s="117"/>
      <c r="AH37" s="99"/>
      <c r="AI37" s="101"/>
    </row>
    <row r="38" spans="1:35" x14ac:dyDescent="0.2">
      <c r="E38" s="89"/>
      <c r="S38" s="99"/>
      <c r="U38" s="117"/>
      <c r="V38" s="117">
        <f>(1+S38)*R37*(1-U38)+S38</f>
        <v>0</v>
      </c>
      <c r="W38" s="117">
        <f>V38+I38/3</f>
        <v>0</v>
      </c>
      <c r="X38" s="117">
        <f>V38+I38/5</f>
        <v>0</v>
      </c>
      <c r="Y38" s="117"/>
      <c r="Z38" s="100"/>
      <c r="AA38" s="100"/>
      <c r="AB38" s="100"/>
      <c r="AC38" s="117"/>
      <c r="AD38" s="117"/>
      <c r="AE38" s="117"/>
      <c r="AF38" s="117"/>
      <c r="AH38" s="99"/>
      <c r="AI38" s="101"/>
    </row>
    <row r="39" spans="1:35" x14ac:dyDescent="0.2">
      <c r="B39" t="s">
        <v>34</v>
      </c>
      <c r="C39">
        <v>4.24</v>
      </c>
      <c r="D39" s="2">
        <v>3.01</v>
      </c>
      <c r="E39" s="89">
        <f>1-D39/C39</f>
        <v>0.29009433962264164</v>
      </c>
      <c r="I39" s="16">
        <f>3.85/C39-1</f>
        <v>-9.1981132075471761E-2</v>
      </c>
      <c r="S39" s="99"/>
      <c r="W39" s="117">
        <f>V37+I39/3</f>
        <v>6.4994355501035606E-2</v>
      </c>
      <c r="X39" s="117">
        <f>V37+I39/5</f>
        <v>7.7258506444431843E-2</v>
      </c>
      <c r="Y39" s="117"/>
      <c r="Z39" s="100"/>
      <c r="AA39" s="100"/>
      <c r="AB39" s="100"/>
      <c r="AC39" s="117"/>
      <c r="AD39" s="117"/>
      <c r="AE39" s="117"/>
      <c r="AF39" s="117"/>
      <c r="AH39" s="99"/>
      <c r="AI39" s="101"/>
    </row>
    <row r="40" spans="1:35" x14ac:dyDescent="0.2">
      <c r="S40" s="99"/>
      <c r="W40" s="117">
        <f>V38+I40/3</f>
        <v>0</v>
      </c>
      <c r="X40" s="117">
        <f>V38+I40/5</f>
        <v>0</v>
      </c>
      <c r="Y40" s="117"/>
      <c r="Z40" s="100"/>
      <c r="AA40" s="100"/>
      <c r="AB40" s="100"/>
      <c r="AC40" s="117"/>
      <c r="AD40" s="117"/>
      <c r="AE40" s="117"/>
      <c r="AF40" s="117"/>
      <c r="AH40" s="99"/>
      <c r="AI40" s="101"/>
    </row>
    <row r="42" spans="1:35" x14ac:dyDescent="0.2">
      <c r="U42" s="117"/>
      <c r="V42" s="117"/>
      <c r="W42" s="117"/>
      <c r="X42" s="117"/>
      <c r="Y42" s="117"/>
    </row>
    <row r="43" spans="1:35" x14ac:dyDescent="0.2">
      <c r="U43" s="117"/>
      <c r="V43" s="117"/>
      <c r="W43" s="117"/>
      <c r="X43" s="117"/>
      <c r="Y43" s="117"/>
    </row>
    <row r="44" spans="1:35" x14ac:dyDescent="0.2">
      <c r="W44" s="117"/>
      <c r="X44" s="117"/>
      <c r="Y44" s="117"/>
    </row>
    <row r="45" spans="1:35" x14ac:dyDescent="0.2">
      <c r="W45" s="117"/>
      <c r="X45" s="117"/>
      <c r="Y45" s="117"/>
    </row>
    <row r="47" spans="1:35" x14ac:dyDescent="0.2">
      <c r="U47" s="117"/>
      <c r="V47" s="117"/>
      <c r="W47" s="117"/>
      <c r="X47" s="117"/>
      <c r="Y47" s="117"/>
    </row>
    <row r="48" spans="1:35" x14ac:dyDescent="0.2">
      <c r="U48" s="117"/>
      <c r="V48" s="117"/>
      <c r="W48" s="117"/>
      <c r="X48" s="117"/>
      <c r="Y48" s="117"/>
    </row>
    <row r="49" spans="21:25" x14ac:dyDescent="0.2">
      <c r="W49" s="117"/>
      <c r="X49" s="117"/>
      <c r="Y49" s="117"/>
    </row>
    <row r="50" spans="21:25" x14ac:dyDescent="0.2">
      <c r="W50" s="117"/>
      <c r="X50" s="117"/>
      <c r="Y50" s="117"/>
    </row>
    <row r="52" spans="21:25" x14ac:dyDescent="0.2">
      <c r="U52" s="117"/>
      <c r="V52" s="117"/>
      <c r="W52" s="117"/>
      <c r="X52" s="117"/>
      <c r="Y52" s="117"/>
    </row>
    <row r="53" spans="21:25" x14ac:dyDescent="0.2">
      <c r="U53" s="117"/>
      <c r="V53" s="117"/>
      <c r="W53" s="117"/>
      <c r="X53" s="117"/>
      <c r="Y53" s="117"/>
    </row>
    <row r="54" spans="21:25" x14ac:dyDescent="0.2">
      <c r="W54" s="117"/>
      <c r="X54" s="117"/>
      <c r="Y54" s="117"/>
    </row>
    <row r="55" spans="21:25" x14ac:dyDescent="0.2">
      <c r="W55" s="117"/>
      <c r="X55" s="117"/>
      <c r="Y55" s="117"/>
    </row>
    <row r="57" spans="21:25" x14ac:dyDescent="0.2">
      <c r="U57" s="117"/>
      <c r="V57" s="117"/>
      <c r="W57" s="117"/>
      <c r="X57" s="117"/>
      <c r="Y57" s="117"/>
    </row>
    <row r="58" spans="21:25" x14ac:dyDescent="0.2">
      <c r="U58" s="117"/>
      <c r="V58" s="117"/>
      <c r="W58" s="117"/>
      <c r="X58" s="117"/>
      <c r="Y58" s="117"/>
    </row>
    <row r="59" spans="21:25" x14ac:dyDescent="0.2">
      <c r="W59" s="117"/>
      <c r="X59" s="117"/>
      <c r="Y59" s="117"/>
    </row>
    <row r="60" spans="21:25" x14ac:dyDescent="0.2">
      <c r="W60" s="117"/>
      <c r="X60" s="117"/>
      <c r="Y60" s="117"/>
    </row>
    <row r="62" spans="21:25" x14ac:dyDescent="0.2">
      <c r="U62" s="117"/>
      <c r="V62" s="117"/>
      <c r="W62" s="117"/>
      <c r="X62" s="117"/>
      <c r="Y62" s="117"/>
    </row>
    <row r="63" spans="21:25" x14ac:dyDescent="0.2">
      <c r="U63" s="117"/>
      <c r="V63" s="117"/>
      <c r="W63" s="117"/>
      <c r="X63" s="117"/>
      <c r="Y63" s="117"/>
    </row>
    <row r="64" spans="21:25" x14ac:dyDescent="0.2">
      <c r="W64" s="117"/>
      <c r="X64" s="117"/>
      <c r="Y64" s="117"/>
    </row>
    <row r="65" spans="21:25" x14ac:dyDescent="0.2">
      <c r="W65" s="117"/>
      <c r="X65" s="117"/>
      <c r="Y65" s="117"/>
    </row>
    <row r="67" spans="21:25" x14ac:dyDescent="0.2">
      <c r="U67" s="117"/>
      <c r="V67" s="117"/>
      <c r="W67" s="117"/>
      <c r="X67" s="117"/>
      <c r="Y67" s="117"/>
    </row>
    <row r="68" spans="21:25" x14ac:dyDescent="0.2">
      <c r="U68" s="117"/>
      <c r="V68" s="117"/>
      <c r="W68" s="117"/>
      <c r="X68" s="117"/>
      <c r="Y68" s="117"/>
    </row>
    <row r="69" spans="21:25" x14ac:dyDescent="0.2">
      <c r="W69" s="117"/>
      <c r="X69" s="117"/>
      <c r="Y69" s="117"/>
    </row>
    <row r="70" spans="21:25" x14ac:dyDescent="0.2">
      <c r="W70" s="117"/>
      <c r="X70" s="117"/>
      <c r="Y70" s="117"/>
    </row>
    <row r="72" spans="21:25" x14ac:dyDescent="0.2">
      <c r="U72" s="117"/>
      <c r="V72" s="117"/>
      <c r="W72" s="117"/>
      <c r="X72" s="117"/>
      <c r="Y72" s="117"/>
    </row>
    <row r="73" spans="21:25" x14ac:dyDescent="0.2">
      <c r="U73" s="117"/>
      <c r="V73" s="117"/>
      <c r="W73" s="117"/>
      <c r="X73" s="117"/>
      <c r="Y73" s="117"/>
    </row>
    <row r="74" spans="21:25" x14ac:dyDescent="0.2">
      <c r="W74" s="117"/>
      <c r="X74" s="117"/>
      <c r="Y74" s="117"/>
    </row>
    <row r="75" spans="21:25" x14ac:dyDescent="0.2">
      <c r="W75" s="117"/>
      <c r="X75" s="117"/>
      <c r="Y75" s="117"/>
    </row>
    <row r="77" spans="21:25" x14ac:dyDescent="0.2">
      <c r="U77" s="117"/>
      <c r="V77" s="117"/>
      <c r="W77" s="117"/>
      <c r="X77" s="117"/>
      <c r="Y77" s="117"/>
    </row>
    <row r="78" spans="21:25" x14ac:dyDescent="0.2">
      <c r="U78" s="117"/>
      <c r="V78" s="117"/>
      <c r="W78" s="117"/>
      <c r="X78" s="117"/>
      <c r="Y78" s="117"/>
    </row>
    <row r="79" spans="21:25" x14ac:dyDescent="0.2">
      <c r="W79" s="117"/>
      <c r="X79" s="117"/>
      <c r="Y79" s="117"/>
    </row>
    <row r="80" spans="21:25" x14ac:dyDescent="0.2">
      <c r="W80" s="117"/>
      <c r="X80" s="117"/>
      <c r="Y80" s="117"/>
    </row>
    <row r="82" spans="21:25" x14ac:dyDescent="0.2">
      <c r="U82" s="117"/>
      <c r="V82" s="117"/>
      <c r="W82" s="117"/>
      <c r="X82" s="117"/>
      <c r="Y82" s="117"/>
    </row>
    <row r="83" spans="21:25" x14ac:dyDescent="0.2">
      <c r="U83" s="117"/>
      <c r="V83" s="117"/>
      <c r="W83" s="117"/>
      <c r="X83" s="117"/>
      <c r="Y83" s="117"/>
    </row>
    <row r="84" spans="21:25" x14ac:dyDescent="0.2">
      <c r="W84" s="117"/>
      <c r="X84" s="117"/>
      <c r="Y84" s="117"/>
    </row>
    <row r="85" spans="21:25" x14ac:dyDescent="0.2">
      <c r="W85" s="117"/>
      <c r="X85" s="117"/>
      <c r="Y85" s="117"/>
    </row>
    <row r="87" spans="21:25" x14ac:dyDescent="0.2">
      <c r="U87" s="117"/>
      <c r="V87" s="117"/>
      <c r="W87" s="117"/>
      <c r="X87" s="117"/>
      <c r="Y87" s="117"/>
    </row>
    <row r="88" spans="21:25" x14ac:dyDescent="0.2">
      <c r="U88" s="117"/>
      <c r="V88" s="117"/>
      <c r="W88" s="117"/>
      <c r="X88" s="117"/>
      <c r="Y88" s="117"/>
    </row>
    <row r="89" spans="21:25" x14ac:dyDescent="0.2">
      <c r="W89" s="117"/>
      <c r="X89" s="117"/>
      <c r="Y89" s="117"/>
    </row>
    <row r="90" spans="21:25" x14ac:dyDescent="0.2">
      <c r="W90" s="117"/>
      <c r="X90" s="117"/>
      <c r="Y90" s="117"/>
    </row>
    <row r="92" spans="21:25" x14ac:dyDescent="0.2">
      <c r="U92" s="117"/>
      <c r="V92" s="117"/>
      <c r="W92" s="117"/>
      <c r="X92" s="117"/>
      <c r="Y92" s="117"/>
    </row>
    <row r="93" spans="21:25" x14ac:dyDescent="0.2">
      <c r="U93" s="117"/>
      <c r="V93" s="117"/>
      <c r="W93" s="117"/>
      <c r="X93" s="117"/>
      <c r="Y93" s="117"/>
    </row>
    <row r="94" spans="21:25" x14ac:dyDescent="0.2">
      <c r="W94" s="117"/>
      <c r="X94" s="117"/>
      <c r="Y94" s="117"/>
    </row>
    <row r="95" spans="21:25" x14ac:dyDescent="0.2">
      <c r="W95" s="117"/>
      <c r="X95" s="117"/>
      <c r="Y95" s="117"/>
    </row>
    <row r="97" spans="21:25" x14ac:dyDescent="0.2">
      <c r="U97" s="117"/>
      <c r="V97" s="117"/>
      <c r="W97" s="117"/>
      <c r="X97" s="117"/>
      <c r="Y97" s="117"/>
    </row>
    <row r="98" spans="21:25" x14ac:dyDescent="0.2">
      <c r="U98" s="117"/>
      <c r="V98" s="117"/>
      <c r="W98" s="117"/>
      <c r="X98" s="117"/>
      <c r="Y98" s="117"/>
    </row>
    <row r="99" spans="21:25" x14ac:dyDescent="0.2">
      <c r="W99" s="117"/>
      <c r="X99" s="117"/>
      <c r="Y99" s="117"/>
    </row>
    <row r="100" spans="21:25" x14ac:dyDescent="0.2">
      <c r="W100" s="117"/>
      <c r="X100" s="117"/>
      <c r="Y100" s="117"/>
    </row>
    <row r="102" spans="21:25" x14ac:dyDescent="0.2">
      <c r="U102" s="117"/>
      <c r="V102" s="117"/>
      <c r="W102" s="117"/>
      <c r="X102" s="117"/>
      <c r="Y102" s="117"/>
    </row>
    <row r="103" spans="21:25" x14ac:dyDescent="0.2">
      <c r="U103" s="117"/>
      <c r="V103" s="117"/>
      <c r="W103" s="117"/>
      <c r="X103" s="117"/>
      <c r="Y103" s="117"/>
    </row>
    <row r="104" spans="21:25" x14ac:dyDescent="0.2">
      <c r="W104" s="117"/>
      <c r="X104" s="117"/>
      <c r="Y104" s="117"/>
    </row>
    <row r="105" spans="21:25" x14ac:dyDescent="0.2">
      <c r="W105" s="117"/>
      <c r="X105" s="117"/>
      <c r="Y105" s="117"/>
    </row>
    <row r="107" spans="21:25" x14ac:dyDescent="0.2">
      <c r="U107" s="117"/>
      <c r="V107" s="117"/>
      <c r="W107" s="117"/>
      <c r="X107" s="117"/>
      <c r="Y107" s="117"/>
    </row>
    <row r="108" spans="21:25" x14ac:dyDescent="0.2">
      <c r="U108" s="117"/>
      <c r="V108" s="117"/>
      <c r="W108" s="117"/>
      <c r="X108" s="117"/>
      <c r="Y108" s="117"/>
    </row>
    <row r="109" spans="21:25" x14ac:dyDescent="0.2">
      <c r="W109" s="117"/>
      <c r="X109" s="117"/>
      <c r="Y109" s="117"/>
    </row>
    <row r="110" spans="21:25" x14ac:dyDescent="0.2">
      <c r="W110" s="117"/>
      <c r="X110" s="117"/>
      <c r="Y110" s="117"/>
    </row>
    <row r="112" spans="21:25" x14ac:dyDescent="0.2">
      <c r="U112" s="117"/>
      <c r="V112" s="117"/>
      <c r="W112" s="117"/>
      <c r="X112" s="117"/>
      <c r="Y112" s="117"/>
    </row>
    <row r="113" spans="21:25" x14ac:dyDescent="0.2">
      <c r="U113" s="117"/>
      <c r="V113" s="117"/>
      <c r="W113" s="117"/>
      <c r="X113" s="117"/>
      <c r="Y113" s="117"/>
    </row>
    <row r="114" spans="21:25" x14ac:dyDescent="0.2">
      <c r="W114" s="117"/>
      <c r="X114" s="117"/>
      <c r="Y114" s="117"/>
    </row>
    <row r="115" spans="21:25" x14ac:dyDescent="0.2">
      <c r="W115" s="117"/>
      <c r="X115" s="117"/>
      <c r="Y115" s="117"/>
    </row>
    <row r="117" spans="21:25" x14ac:dyDescent="0.2">
      <c r="U117" s="117"/>
      <c r="V117" s="117"/>
      <c r="W117" s="117"/>
      <c r="X117" s="117"/>
      <c r="Y117" s="117"/>
    </row>
    <row r="118" spans="21:25" x14ac:dyDescent="0.2">
      <c r="U118" s="117"/>
      <c r="V118" s="117"/>
      <c r="W118" s="117"/>
      <c r="X118" s="117"/>
      <c r="Y118" s="117"/>
    </row>
    <row r="119" spans="21:25" x14ac:dyDescent="0.2">
      <c r="W119" s="117"/>
      <c r="X119" s="117"/>
      <c r="Y119" s="117"/>
    </row>
    <row r="120" spans="21:25" x14ac:dyDescent="0.2">
      <c r="W120" s="117"/>
      <c r="X120" s="117"/>
      <c r="Y120" s="117"/>
    </row>
    <row r="122" spans="21:25" x14ac:dyDescent="0.2">
      <c r="U122" s="117"/>
      <c r="V122" s="117"/>
      <c r="W122" s="117"/>
      <c r="X122" s="117"/>
      <c r="Y122" s="117"/>
    </row>
    <row r="123" spans="21:25" x14ac:dyDescent="0.2">
      <c r="U123" s="117"/>
      <c r="V123" s="117"/>
      <c r="W123" s="117"/>
      <c r="X123" s="117"/>
      <c r="Y123" s="117"/>
    </row>
    <row r="124" spans="21:25" x14ac:dyDescent="0.2">
      <c r="W124" s="117"/>
      <c r="X124" s="117"/>
      <c r="Y124" s="117"/>
    </row>
    <row r="125" spans="21:25" x14ac:dyDescent="0.2">
      <c r="W125" s="117"/>
      <c r="X125" s="117"/>
      <c r="Y125" s="117"/>
    </row>
    <row r="127" spans="21:25" x14ac:dyDescent="0.2">
      <c r="U127" s="117"/>
      <c r="V127" s="117"/>
      <c r="W127" s="117"/>
      <c r="X127" s="117"/>
      <c r="Y127" s="117"/>
    </row>
    <row r="128" spans="21:25" x14ac:dyDescent="0.2">
      <c r="U128" s="117"/>
      <c r="V128" s="117"/>
      <c r="W128" s="117"/>
      <c r="X128" s="117"/>
      <c r="Y128" s="117"/>
    </row>
    <row r="129" spans="21:25" x14ac:dyDescent="0.2">
      <c r="W129" s="117"/>
      <c r="X129" s="117"/>
      <c r="Y129" s="117"/>
    </row>
    <row r="130" spans="21:25" x14ac:dyDescent="0.2">
      <c r="W130" s="117"/>
      <c r="X130" s="117"/>
      <c r="Y130" s="117"/>
    </row>
    <row r="132" spans="21:25" x14ac:dyDescent="0.2">
      <c r="U132" s="117"/>
      <c r="V132" s="117"/>
      <c r="W132" s="117"/>
      <c r="X132" s="117"/>
      <c r="Y132" s="117"/>
    </row>
    <row r="133" spans="21:25" x14ac:dyDescent="0.2">
      <c r="U133" s="117"/>
      <c r="V133" s="117"/>
      <c r="W133" s="117"/>
      <c r="X133" s="117"/>
      <c r="Y133" s="117"/>
    </row>
    <row r="134" spans="21:25" x14ac:dyDescent="0.2">
      <c r="W134" s="117"/>
      <c r="X134" s="117"/>
      <c r="Y134" s="117"/>
    </row>
    <row r="135" spans="21:25" x14ac:dyDescent="0.2">
      <c r="W135" s="117"/>
      <c r="X135" s="117"/>
      <c r="Y135" s="117"/>
    </row>
    <row r="137" spans="21:25" x14ac:dyDescent="0.2">
      <c r="U137" s="117"/>
      <c r="V137" s="117"/>
      <c r="W137" s="117"/>
      <c r="X137" s="117"/>
      <c r="Y137" s="117"/>
    </row>
    <row r="138" spans="21:25" x14ac:dyDescent="0.2">
      <c r="U138" s="117"/>
      <c r="V138" s="117"/>
      <c r="W138" s="117"/>
      <c r="X138" s="117"/>
      <c r="Y138" s="117"/>
    </row>
    <row r="139" spans="21:25" x14ac:dyDescent="0.2">
      <c r="W139" s="117"/>
      <c r="X139" s="117"/>
      <c r="Y139" s="117"/>
    </row>
    <row r="140" spans="21:25" x14ac:dyDescent="0.2">
      <c r="W140" s="117"/>
      <c r="X140" s="117"/>
      <c r="Y140" s="117"/>
    </row>
    <row r="142" spans="21:25" x14ac:dyDescent="0.2">
      <c r="U142" s="117"/>
      <c r="V142" s="117"/>
      <c r="W142" s="117"/>
      <c r="X142" s="117"/>
      <c r="Y142" s="117"/>
    </row>
    <row r="143" spans="21:25" x14ac:dyDescent="0.2">
      <c r="U143" s="117"/>
      <c r="V143" s="117"/>
      <c r="W143" s="117"/>
      <c r="X143" s="117"/>
      <c r="Y143" s="117"/>
    </row>
    <row r="144" spans="21:25" x14ac:dyDescent="0.2">
      <c r="W144" s="117"/>
      <c r="X144" s="117"/>
      <c r="Y144" s="117"/>
    </row>
    <row r="145" spans="21:25" x14ac:dyDescent="0.2">
      <c r="W145" s="117"/>
      <c r="X145" s="117"/>
      <c r="Y145" s="117"/>
    </row>
    <row r="147" spans="21:25" x14ac:dyDescent="0.2">
      <c r="U147" s="117"/>
      <c r="V147" s="117"/>
      <c r="W147" s="117"/>
      <c r="X147" s="117"/>
      <c r="Y147" s="117"/>
    </row>
    <row r="148" spans="21:25" x14ac:dyDescent="0.2">
      <c r="U148" s="117"/>
      <c r="V148" s="117"/>
      <c r="W148" s="117"/>
      <c r="X148" s="117"/>
      <c r="Y148" s="117"/>
    </row>
    <row r="149" spans="21:25" x14ac:dyDescent="0.2">
      <c r="W149" s="117"/>
      <c r="X149" s="117"/>
      <c r="Y149" s="117"/>
    </row>
    <row r="150" spans="21:25" x14ac:dyDescent="0.2">
      <c r="W150" s="117"/>
      <c r="X150" s="117"/>
      <c r="Y150" s="117"/>
    </row>
    <row r="152" spans="21:25" x14ac:dyDescent="0.2">
      <c r="U152" s="117"/>
      <c r="V152" s="117"/>
      <c r="W152" s="117"/>
      <c r="X152" s="117"/>
      <c r="Y152" s="117"/>
    </row>
    <row r="153" spans="21:25" x14ac:dyDescent="0.2">
      <c r="U153" s="117"/>
      <c r="V153" s="117"/>
      <c r="W153" s="117"/>
      <c r="X153" s="117"/>
      <c r="Y153" s="117"/>
    </row>
    <row r="154" spans="21:25" x14ac:dyDescent="0.2">
      <c r="W154" s="117"/>
      <c r="X154" s="117"/>
      <c r="Y154" s="117"/>
    </row>
    <row r="155" spans="21:25" x14ac:dyDescent="0.2">
      <c r="W155" s="117"/>
      <c r="X155" s="117"/>
      <c r="Y155" s="117"/>
    </row>
    <row r="157" spans="21:25" x14ac:dyDescent="0.2">
      <c r="U157" s="117"/>
      <c r="V157" s="117"/>
      <c r="W157" s="117"/>
      <c r="X157" s="117"/>
      <c r="Y157" s="117"/>
    </row>
    <row r="158" spans="21:25" x14ac:dyDescent="0.2">
      <c r="U158" s="117"/>
      <c r="V158" s="117"/>
      <c r="W158" s="117"/>
      <c r="X158" s="117"/>
      <c r="Y158" s="117"/>
    </row>
    <row r="159" spans="21:25" x14ac:dyDescent="0.2">
      <c r="W159" s="117"/>
      <c r="X159" s="117"/>
      <c r="Y159" s="117"/>
    </row>
    <row r="160" spans="21:25" x14ac:dyDescent="0.2">
      <c r="W160" s="117"/>
      <c r="X160" s="117"/>
      <c r="Y160" s="117"/>
    </row>
    <row r="162" spans="21:25" x14ac:dyDescent="0.2">
      <c r="U162" s="117"/>
      <c r="V162" s="117"/>
      <c r="W162" s="117"/>
      <c r="X162" s="117"/>
      <c r="Y162" s="117"/>
    </row>
    <row r="163" spans="21:25" x14ac:dyDescent="0.2">
      <c r="U163" s="117"/>
      <c r="V163" s="117"/>
      <c r="W163" s="117"/>
      <c r="X163" s="117"/>
      <c r="Y163" s="117"/>
    </row>
    <row r="164" spans="21:25" x14ac:dyDescent="0.2">
      <c r="W164" s="117"/>
      <c r="X164" s="117"/>
      <c r="Y164" s="117"/>
    </row>
    <row r="165" spans="21:25" x14ac:dyDescent="0.2">
      <c r="W165" s="117"/>
      <c r="X165" s="117"/>
      <c r="Y165" s="117"/>
    </row>
    <row r="167" spans="21:25" x14ac:dyDescent="0.2">
      <c r="U167" s="117"/>
      <c r="V167" s="117"/>
      <c r="W167" s="117"/>
      <c r="X167" s="117"/>
      <c r="Y167" s="117"/>
    </row>
    <row r="168" spans="21:25" x14ac:dyDescent="0.2">
      <c r="U168" s="117"/>
      <c r="V168" s="117"/>
      <c r="W168" s="117"/>
      <c r="X168" s="117"/>
      <c r="Y168" s="117"/>
    </row>
    <row r="169" spans="21:25" x14ac:dyDescent="0.2">
      <c r="W169" s="117"/>
      <c r="X169" s="117"/>
      <c r="Y169" s="117"/>
    </row>
    <row r="170" spans="21:25" x14ac:dyDescent="0.2">
      <c r="W170" s="117"/>
      <c r="X170" s="117"/>
      <c r="Y170" s="117"/>
    </row>
    <row r="172" spans="21:25" x14ac:dyDescent="0.2">
      <c r="U172" s="117"/>
      <c r="V172" s="117"/>
      <c r="W172" s="117"/>
      <c r="X172" s="117"/>
      <c r="Y172" s="117"/>
    </row>
    <row r="173" spans="21:25" x14ac:dyDescent="0.2">
      <c r="U173" s="117"/>
      <c r="V173" s="117"/>
      <c r="W173" s="117"/>
      <c r="X173" s="117"/>
      <c r="Y173" s="117"/>
    </row>
    <row r="174" spans="21:25" x14ac:dyDescent="0.2">
      <c r="W174" s="117"/>
      <c r="X174" s="117"/>
      <c r="Y174" s="117"/>
    </row>
    <row r="175" spans="21:25" x14ac:dyDescent="0.2">
      <c r="W175" s="117"/>
      <c r="X175" s="117"/>
      <c r="Y175" s="117"/>
    </row>
    <row r="177" spans="21:25" x14ac:dyDescent="0.2">
      <c r="U177" s="117"/>
      <c r="V177" s="117"/>
      <c r="W177" s="117"/>
      <c r="X177" s="117"/>
      <c r="Y177" s="117"/>
    </row>
    <row r="178" spans="21:25" x14ac:dyDescent="0.2">
      <c r="U178" s="117"/>
      <c r="V178" s="117"/>
      <c r="W178" s="117"/>
      <c r="X178" s="117"/>
      <c r="Y178" s="117"/>
    </row>
    <row r="179" spans="21:25" x14ac:dyDescent="0.2">
      <c r="W179" s="117"/>
      <c r="X179" s="117"/>
      <c r="Y179" s="117"/>
    </row>
    <row r="180" spans="21:25" x14ac:dyDescent="0.2">
      <c r="W180" s="117"/>
      <c r="X180" s="117"/>
      <c r="Y180" s="117"/>
    </row>
    <row r="182" spans="21:25" x14ac:dyDescent="0.2">
      <c r="U182" s="117"/>
      <c r="V182" s="117"/>
      <c r="W182" s="117"/>
      <c r="X182" s="117"/>
      <c r="Y182" s="117"/>
    </row>
    <row r="183" spans="21:25" x14ac:dyDescent="0.2">
      <c r="U183" s="117"/>
      <c r="V183" s="117"/>
      <c r="W183" s="117"/>
      <c r="X183" s="117"/>
      <c r="Y183" s="117"/>
    </row>
    <row r="184" spans="21:25" x14ac:dyDescent="0.2">
      <c r="W184" s="117"/>
      <c r="X184" s="117"/>
      <c r="Y184" s="117"/>
    </row>
    <row r="185" spans="21:25" x14ac:dyDescent="0.2">
      <c r="W185" s="117"/>
      <c r="X185" s="117"/>
      <c r="Y185" s="117"/>
    </row>
    <row r="187" spans="21:25" x14ac:dyDescent="0.2">
      <c r="U187" s="117"/>
      <c r="V187" s="117"/>
      <c r="W187" s="117"/>
      <c r="X187" s="117"/>
      <c r="Y187" s="117"/>
    </row>
    <row r="188" spans="21:25" x14ac:dyDescent="0.2">
      <c r="U188" s="117"/>
      <c r="V188" s="117"/>
      <c r="W188" s="117"/>
      <c r="X188" s="117"/>
      <c r="Y188" s="117"/>
    </row>
    <row r="189" spans="21:25" x14ac:dyDescent="0.2">
      <c r="W189" s="117"/>
      <c r="X189" s="117"/>
      <c r="Y189" s="117"/>
    </row>
    <row r="190" spans="21:25" x14ac:dyDescent="0.2">
      <c r="W190" s="117"/>
      <c r="X190" s="117"/>
      <c r="Y190" s="117"/>
    </row>
    <row r="192" spans="21:25" x14ac:dyDescent="0.2">
      <c r="U192" s="117"/>
      <c r="V192" s="117"/>
      <c r="W192" s="117"/>
      <c r="X192" s="117"/>
      <c r="Y192" s="117"/>
    </row>
    <row r="193" spans="21:25" x14ac:dyDescent="0.2">
      <c r="U193" s="117"/>
      <c r="V193" s="117"/>
      <c r="W193" s="117"/>
      <c r="X193" s="117"/>
      <c r="Y193" s="117"/>
    </row>
    <row r="194" spans="21:25" x14ac:dyDescent="0.2">
      <c r="W194" s="117"/>
      <c r="X194" s="117"/>
      <c r="Y194" s="117"/>
    </row>
    <row r="195" spans="21:25" x14ac:dyDescent="0.2">
      <c r="W195" s="117"/>
      <c r="X195" s="117"/>
      <c r="Y195" s="117"/>
    </row>
    <row r="197" spans="21:25" x14ac:dyDescent="0.2">
      <c r="U197" s="117"/>
      <c r="V197" s="117"/>
      <c r="W197" s="117"/>
      <c r="X197" s="117"/>
      <c r="Y197" s="117"/>
    </row>
    <row r="198" spans="21:25" x14ac:dyDescent="0.2">
      <c r="U198" s="117"/>
      <c r="V198" s="117"/>
      <c r="W198" s="117"/>
      <c r="X198" s="117"/>
      <c r="Y198" s="117"/>
    </row>
    <row r="199" spans="21:25" x14ac:dyDescent="0.2">
      <c r="W199" s="117"/>
      <c r="X199" s="117"/>
      <c r="Y199" s="117"/>
    </row>
    <row r="200" spans="21:25" x14ac:dyDescent="0.2">
      <c r="W200" s="117"/>
      <c r="X200" s="117"/>
      <c r="Y200" s="117"/>
    </row>
    <row r="202" spans="21:25" x14ac:dyDescent="0.2">
      <c r="U202" s="117"/>
      <c r="V202" s="117"/>
      <c r="W202" s="117"/>
      <c r="X202" s="117"/>
      <c r="Y202" s="117"/>
    </row>
    <row r="203" spans="21:25" x14ac:dyDescent="0.2">
      <c r="U203" s="117"/>
      <c r="V203" s="117"/>
      <c r="W203" s="117"/>
      <c r="X203" s="117"/>
      <c r="Y203" s="117"/>
    </row>
    <row r="204" spans="21:25" x14ac:dyDescent="0.2">
      <c r="W204" s="117"/>
      <c r="X204" s="117"/>
      <c r="Y204" s="117"/>
    </row>
    <row r="205" spans="21:25" x14ac:dyDescent="0.2">
      <c r="W205" s="117"/>
      <c r="X205" s="117"/>
      <c r="Y205" s="117"/>
    </row>
    <row r="207" spans="21:25" x14ac:dyDescent="0.2">
      <c r="U207" s="117"/>
      <c r="V207" s="117"/>
      <c r="W207" s="117"/>
      <c r="X207" s="117"/>
      <c r="Y207" s="117"/>
    </row>
    <row r="208" spans="21:25" x14ac:dyDescent="0.2">
      <c r="U208" s="117"/>
      <c r="V208" s="117"/>
      <c r="W208" s="117"/>
      <c r="X208" s="117"/>
      <c r="Y208" s="117"/>
    </row>
    <row r="209" spans="21:25" x14ac:dyDescent="0.2">
      <c r="W209" s="117"/>
      <c r="X209" s="117"/>
      <c r="Y209" s="117"/>
    </row>
    <row r="210" spans="21:25" x14ac:dyDescent="0.2">
      <c r="W210" s="117"/>
      <c r="X210" s="117"/>
      <c r="Y210" s="117"/>
    </row>
    <row r="212" spans="21:25" x14ac:dyDescent="0.2">
      <c r="U212" s="117"/>
      <c r="V212" s="117"/>
      <c r="W212" s="117"/>
      <c r="X212" s="117"/>
      <c r="Y212" s="117"/>
    </row>
    <row r="213" spans="21:25" x14ac:dyDescent="0.2">
      <c r="U213" s="117"/>
      <c r="V213" s="117"/>
      <c r="W213" s="117"/>
      <c r="X213" s="117"/>
      <c r="Y213" s="117"/>
    </row>
    <row r="214" spans="21:25" x14ac:dyDescent="0.2">
      <c r="W214" s="117"/>
      <c r="X214" s="117"/>
      <c r="Y214" s="117"/>
    </row>
    <row r="215" spans="21:25" x14ac:dyDescent="0.2">
      <c r="W215" s="117"/>
      <c r="X215" s="117"/>
      <c r="Y215" s="117"/>
    </row>
    <row r="217" spans="21:25" x14ac:dyDescent="0.2">
      <c r="U217" s="117"/>
      <c r="V217" s="117"/>
      <c r="W217" s="117"/>
      <c r="X217" s="117"/>
      <c r="Y217" s="117"/>
    </row>
    <row r="218" spans="21:25" x14ac:dyDescent="0.2">
      <c r="U218" s="117"/>
      <c r="V218" s="117"/>
      <c r="W218" s="117"/>
      <c r="X218" s="117"/>
      <c r="Y218" s="117"/>
    </row>
    <row r="219" spans="21:25" x14ac:dyDescent="0.2">
      <c r="W219" s="117"/>
      <c r="X219" s="117"/>
      <c r="Y219" s="117"/>
    </row>
    <row r="220" spans="21:25" x14ac:dyDescent="0.2">
      <c r="W220" s="117"/>
      <c r="X220" s="117"/>
      <c r="Y220" s="117"/>
    </row>
    <row r="222" spans="21:25" x14ac:dyDescent="0.2">
      <c r="U222" s="117"/>
      <c r="V222" s="117"/>
      <c r="W222" s="117"/>
      <c r="X222" s="117"/>
      <c r="Y222" s="117"/>
    </row>
    <row r="223" spans="21:25" x14ac:dyDescent="0.2">
      <c r="U223" s="117"/>
      <c r="V223" s="117"/>
      <c r="W223" s="117"/>
      <c r="X223" s="117"/>
      <c r="Y223" s="117"/>
    </row>
    <row r="224" spans="21:25" x14ac:dyDescent="0.2">
      <c r="W224" s="117"/>
      <c r="X224" s="117"/>
      <c r="Y224" s="117"/>
    </row>
    <row r="225" spans="21:25" x14ac:dyDescent="0.2">
      <c r="W225" s="117"/>
      <c r="X225" s="117"/>
      <c r="Y225" s="117"/>
    </row>
    <row r="227" spans="21:25" x14ac:dyDescent="0.2">
      <c r="U227" s="117"/>
      <c r="V227" s="117"/>
      <c r="W227" s="117"/>
      <c r="X227" s="117"/>
      <c r="Y227" s="117"/>
    </row>
    <row r="228" spans="21:25" x14ac:dyDescent="0.2">
      <c r="U228" s="117"/>
      <c r="V228" s="117"/>
      <c r="W228" s="117"/>
      <c r="X228" s="117"/>
      <c r="Y228" s="117"/>
    </row>
    <row r="229" spans="21:25" x14ac:dyDescent="0.2">
      <c r="W229" s="117"/>
      <c r="X229" s="117"/>
      <c r="Y229" s="117"/>
    </row>
    <row r="230" spans="21:25" x14ac:dyDescent="0.2">
      <c r="W230" s="117"/>
      <c r="X230" s="117"/>
      <c r="Y230" s="117"/>
    </row>
    <row r="232" spans="21:25" x14ac:dyDescent="0.2">
      <c r="U232" s="117"/>
      <c r="V232" s="117"/>
      <c r="W232" s="117"/>
      <c r="X232" s="117"/>
      <c r="Y232" s="117"/>
    </row>
    <row r="233" spans="21:25" x14ac:dyDescent="0.2">
      <c r="U233" s="117"/>
      <c r="V233" s="117"/>
      <c r="W233" s="117"/>
      <c r="X233" s="117"/>
      <c r="Y233" s="117"/>
    </row>
    <row r="234" spans="21:25" x14ac:dyDescent="0.2">
      <c r="W234" s="117"/>
      <c r="X234" s="117"/>
      <c r="Y234" s="117"/>
    </row>
    <row r="235" spans="21:25" x14ac:dyDescent="0.2">
      <c r="W235" s="117"/>
      <c r="X235" s="117"/>
      <c r="Y235" s="117"/>
    </row>
    <row r="237" spans="21:25" x14ac:dyDescent="0.2">
      <c r="U237" s="117"/>
      <c r="V237" s="117"/>
      <c r="W237" s="117"/>
      <c r="X237" s="117"/>
      <c r="Y237" s="117"/>
    </row>
    <row r="238" spans="21:25" x14ac:dyDescent="0.2">
      <c r="U238" s="117"/>
      <c r="V238" s="117"/>
      <c r="W238" s="117"/>
      <c r="X238" s="117"/>
      <c r="Y238" s="117"/>
    </row>
    <row r="239" spans="21:25" x14ac:dyDescent="0.2">
      <c r="W239" s="117"/>
      <c r="X239" s="117"/>
      <c r="Y239" s="117"/>
    </row>
    <row r="240" spans="21:25" x14ac:dyDescent="0.2">
      <c r="W240" s="117"/>
      <c r="X240" s="117"/>
      <c r="Y240" s="117"/>
    </row>
    <row r="242" spans="21:25" x14ac:dyDescent="0.2">
      <c r="U242" s="117"/>
      <c r="V242" s="117"/>
      <c r="W242" s="117"/>
      <c r="X242" s="117"/>
      <c r="Y242" s="117"/>
    </row>
    <row r="243" spans="21:25" x14ac:dyDescent="0.2">
      <c r="U243" s="117"/>
      <c r="V243" s="117"/>
      <c r="W243" s="117"/>
      <c r="X243" s="117"/>
      <c r="Y243" s="117"/>
    </row>
    <row r="244" spans="21:25" x14ac:dyDescent="0.2">
      <c r="W244" s="117"/>
      <c r="X244" s="117"/>
      <c r="Y244" s="117"/>
    </row>
    <row r="245" spans="21:25" x14ac:dyDescent="0.2">
      <c r="W245" s="117"/>
      <c r="X245" s="117"/>
      <c r="Y245" s="117"/>
    </row>
    <row r="247" spans="21:25" x14ac:dyDescent="0.2">
      <c r="U247" s="117"/>
      <c r="V247" s="117"/>
      <c r="W247" s="117"/>
      <c r="X247" s="117"/>
      <c r="Y247" s="117"/>
    </row>
    <row r="248" spans="21:25" x14ac:dyDescent="0.2">
      <c r="U248" s="117"/>
      <c r="V248" s="117"/>
      <c r="W248" s="117"/>
      <c r="X248" s="117"/>
      <c r="Y248" s="117"/>
    </row>
    <row r="249" spans="21:25" x14ac:dyDescent="0.2">
      <c r="W249" s="117"/>
      <c r="X249" s="117"/>
      <c r="Y249" s="117"/>
    </row>
    <row r="250" spans="21:25" x14ac:dyDescent="0.2">
      <c r="W250" s="117"/>
      <c r="X250" s="117"/>
      <c r="Y250" s="117"/>
    </row>
    <row r="252" spans="21:25" x14ac:dyDescent="0.2">
      <c r="U252" s="117"/>
      <c r="V252" s="117"/>
      <c r="W252" s="117"/>
      <c r="X252" s="117"/>
      <c r="Y252" s="117"/>
    </row>
    <row r="253" spans="21:25" x14ac:dyDescent="0.2">
      <c r="U253" s="117"/>
      <c r="V253" s="117"/>
      <c r="W253" s="117"/>
      <c r="X253" s="117"/>
      <c r="Y253" s="117"/>
    </row>
    <row r="254" spans="21:25" x14ac:dyDescent="0.2">
      <c r="W254" s="117"/>
      <c r="X254" s="117"/>
      <c r="Y254" s="117"/>
    </row>
    <row r="255" spans="21:25" x14ac:dyDescent="0.2">
      <c r="W255" s="117"/>
      <c r="X255" s="117"/>
      <c r="Y255" s="117"/>
    </row>
    <row r="257" spans="21:25" x14ac:dyDescent="0.2">
      <c r="U257" s="117"/>
      <c r="V257" s="117"/>
      <c r="W257" s="117"/>
      <c r="X257" s="117"/>
      <c r="Y257" s="117"/>
    </row>
    <row r="258" spans="21:25" x14ac:dyDescent="0.2">
      <c r="U258" s="117"/>
      <c r="V258" s="117"/>
      <c r="W258" s="117"/>
      <c r="X258" s="117"/>
      <c r="Y258" s="117"/>
    </row>
    <row r="259" spans="21:25" x14ac:dyDescent="0.2">
      <c r="W259" s="117"/>
      <c r="X259" s="117"/>
      <c r="Y259" s="117"/>
    </row>
    <row r="260" spans="21:25" x14ac:dyDescent="0.2">
      <c r="W260" s="117"/>
      <c r="X260" s="117"/>
      <c r="Y260" s="117"/>
    </row>
    <row r="262" spans="21:25" x14ac:dyDescent="0.2">
      <c r="U262" s="117"/>
      <c r="V262" s="117"/>
      <c r="W262" s="117"/>
      <c r="X262" s="117"/>
      <c r="Y262" s="117"/>
    </row>
    <row r="263" spans="21:25" x14ac:dyDescent="0.2">
      <c r="U263" s="117"/>
      <c r="V263" s="117"/>
      <c r="W263" s="117"/>
      <c r="X263" s="117"/>
      <c r="Y263" s="117"/>
    </row>
    <row r="264" spans="21:25" x14ac:dyDescent="0.2">
      <c r="W264" s="117"/>
      <c r="X264" s="117"/>
      <c r="Y264" s="117"/>
    </row>
    <row r="265" spans="21:25" x14ac:dyDescent="0.2">
      <c r="W265" s="117"/>
      <c r="X265" s="117"/>
      <c r="Y265" s="117"/>
    </row>
    <row r="267" spans="21:25" x14ac:dyDescent="0.2">
      <c r="U267" s="117"/>
      <c r="V267" s="117"/>
      <c r="W267" s="117"/>
      <c r="X267" s="117"/>
      <c r="Y267" s="117"/>
    </row>
    <row r="268" spans="21:25" x14ac:dyDescent="0.2">
      <c r="U268" s="117"/>
      <c r="V268" s="117"/>
      <c r="W268" s="117"/>
      <c r="X268" s="117"/>
      <c r="Y268" s="117"/>
    </row>
    <row r="269" spans="21:25" x14ac:dyDescent="0.2">
      <c r="W269" s="117"/>
      <c r="X269" s="117"/>
      <c r="Y269" s="117"/>
    </row>
    <row r="270" spans="21:25" x14ac:dyDescent="0.2">
      <c r="W270" s="117"/>
      <c r="X270" s="117"/>
      <c r="Y270" s="117"/>
    </row>
    <row r="272" spans="21:25" x14ac:dyDescent="0.2">
      <c r="U272" s="117"/>
      <c r="V272" s="117"/>
      <c r="W272" s="117"/>
      <c r="X272" s="117"/>
      <c r="Y272" s="117"/>
    </row>
    <row r="273" spans="21:25" x14ac:dyDescent="0.2">
      <c r="U273" s="117"/>
      <c r="V273" s="117"/>
      <c r="W273" s="117"/>
      <c r="X273" s="117"/>
      <c r="Y273" s="117"/>
    </row>
    <row r="274" spans="21:25" x14ac:dyDescent="0.2">
      <c r="W274" s="117"/>
      <c r="X274" s="117"/>
      <c r="Y274" s="117"/>
    </row>
    <row r="275" spans="21:25" x14ac:dyDescent="0.2">
      <c r="W275" s="117"/>
      <c r="X275" s="117"/>
      <c r="Y275" s="117"/>
    </row>
    <row r="277" spans="21:25" x14ac:dyDescent="0.2">
      <c r="U277" s="117"/>
      <c r="V277" s="117"/>
      <c r="W277" s="117"/>
      <c r="X277" s="117"/>
      <c r="Y277" s="117"/>
    </row>
    <row r="278" spans="21:25" x14ac:dyDescent="0.2">
      <c r="U278" s="117"/>
      <c r="V278" s="117"/>
      <c r="W278" s="117"/>
      <c r="X278" s="117"/>
      <c r="Y278" s="117"/>
    </row>
    <row r="279" spans="21:25" x14ac:dyDescent="0.2">
      <c r="W279" s="117"/>
      <c r="X279" s="117"/>
      <c r="Y279" s="117"/>
    </row>
    <row r="280" spans="21:25" x14ac:dyDescent="0.2">
      <c r="W280" s="117"/>
      <c r="X280" s="117"/>
      <c r="Y280" s="117"/>
    </row>
  </sheetData>
  <conditionalFormatting sqref="E1:E1048576">
    <cfRule type="dataBar" priority="1">
      <dataBar>
        <cfvo type="min"/>
        <cfvo type="max"/>
        <color rgb="FF638EC6"/>
      </dataBar>
    </cfRule>
  </conditionalFormatting>
  <conditionalFormatting sqref="G1:G1048576">
    <cfRule type="dataBar" priority="9">
      <dataBar>
        <cfvo type="min"/>
        <cfvo type="max"/>
        <color rgb="FF638EC6"/>
      </dataBar>
    </cfRule>
  </conditionalFormatting>
  <conditionalFormatting sqref="H1:H1048576">
    <cfRule type="dataBar" priority="8">
      <dataBar>
        <cfvo type="min"/>
        <cfvo type="max"/>
        <color rgb="FF638EC6"/>
      </dataBar>
    </cfRule>
  </conditionalFormatting>
  <conditionalFormatting sqref="I1:I1048576">
    <cfRule type="dataBar" priority="7">
      <dataBar>
        <cfvo type="min"/>
        <cfvo type="max"/>
        <color rgb="FF638EC6"/>
      </dataBar>
    </cfRule>
  </conditionalFormatting>
  <conditionalFormatting sqref="J1:J1048576">
    <cfRule type="dataBar" priority="6">
      <dataBar>
        <cfvo type="min"/>
        <cfvo type="max"/>
        <color rgb="FF638EC6"/>
      </dataBar>
    </cfRule>
  </conditionalFormatting>
  <conditionalFormatting sqref="Q1:Q1048576">
    <cfRule type="dataBar" priority="5">
      <dataBar>
        <cfvo type="min"/>
        <cfvo type="max"/>
        <color rgb="FF638EC6"/>
      </dataBar>
    </cfRule>
  </conditionalFormatting>
  <conditionalFormatting sqref="R1:R1048576">
    <cfRule type="dataBar" priority="4">
      <dataBar>
        <cfvo type="min"/>
        <cfvo type="max"/>
        <color rgb="FF638EC6"/>
      </dataBar>
    </cfRule>
  </conditionalFormatting>
  <conditionalFormatting sqref="V1:V1048576">
    <cfRule type="dataBar" priority="3">
      <dataBar>
        <cfvo type="min"/>
        <cfvo type="max"/>
        <color rgb="FF638EC6"/>
      </dataBar>
    </cfRule>
  </conditionalFormatting>
  <conditionalFormatting sqref="W1:W1048576">
    <cfRule type="dataBar" priority="2">
      <dataBar>
        <cfvo type="min"/>
        <cfvo type="max"/>
        <color rgb="FF638EC6"/>
      </dataBar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313"/>
  <sheetViews>
    <sheetView topLeftCell="A9" zoomScale="116" workbookViewId="0">
      <pane xSplit="1" topLeftCell="I1" activePane="topRight" state="frozen"/>
      <selection pane="topRight" activeCell="M18" sqref="M18"/>
    </sheetView>
  </sheetViews>
  <sheetFormatPr baseColWidth="10" defaultRowHeight="16" x14ac:dyDescent="0.2"/>
  <cols>
    <col min="4" max="4" width="18.33203125" style="2" customWidth="1"/>
    <col min="5" max="5" width="19.6640625" style="12" customWidth="1"/>
    <col min="6" max="6" width="19.5" style="2" customWidth="1"/>
    <col min="7" max="7" width="21" style="12" customWidth="1"/>
    <col min="8" max="8" width="21.6640625" style="12" customWidth="1"/>
    <col min="9" max="10" width="19.6640625" style="12" customWidth="1"/>
    <col min="11" max="11" width="22.5" style="2" customWidth="1"/>
    <col min="12" max="12" width="16.5" style="78" customWidth="1"/>
    <col min="13" max="13" width="21" style="14" customWidth="1"/>
    <col min="14" max="14" width="10.83203125" style="78" customWidth="1"/>
    <col min="15" max="15" width="22.1640625" style="14" customWidth="1"/>
    <col min="16" max="16" width="22" style="78" customWidth="1"/>
    <col min="17" max="17" width="11.83203125" style="99" customWidth="1"/>
    <col min="18" max="19" width="10.83203125" style="99" customWidth="1"/>
    <col min="21" max="21" width="15.1640625" customWidth="1"/>
    <col min="22" max="22" width="19.1640625" style="99" customWidth="1"/>
    <col min="23" max="24" width="20.33203125" bestFit="1" customWidth="1"/>
    <col min="25" max="25" width="20.33203125" style="99" customWidth="1"/>
    <col min="26" max="26" width="20.33203125" style="117" customWidth="1"/>
    <col min="27" max="27" width="29" customWidth="1"/>
  </cols>
  <sheetData>
    <row r="1" spans="1:27" s="127" customFormat="1" x14ac:dyDescent="0.2">
      <c r="A1" t="s">
        <v>0</v>
      </c>
      <c r="C1" s="127" t="s">
        <v>1</v>
      </c>
      <c r="D1" s="4" t="s">
        <v>2</v>
      </c>
      <c r="E1" s="13" t="s">
        <v>3</v>
      </c>
      <c r="F1" s="4" t="s">
        <v>4</v>
      </c>
      <c r="G1" s="13" t="s">
        <v>5</v>
      </c>
      <c r="H1" s="13" t="s">
        <v>6</v>
      </c>
      <c r="I1" s="13" t="s">
        <v>7</v>
      </c>
      <c r="J1" s="13" t="s">
        <v>8</v>
      </c>
      <c r="K1" s="4" t="s">
        <v>9</v>
      </c>
      <c r="L1" s="8" t="s">
        <v>10</v>
      </c>
      <c r="M1" s="15" t="s">
        <v>11</v>
      </c>
      <c r="N1" s="8" t="s">
        <v>12</v>
      </c>
      <c r="O1" s="15" t="s">
        <v>13</v>
      </c>
      <c r="P1" s="8" t="s">
        <v>14</v>
      </c>
      <c r="Q1" s="69" t="s">
        <v>15</v>
      </c>
      <c r="R1" s="69" t="s">
        <v>16</v>
      </c>
      <c r="S1" s="99" t="s">
        <v>17</v>
      </c>
      <c r="T1" t="s">
        <v>18</v>
      </c>
      <c r="U1" s="68" t="s">
        <v>19</v>
      </c>
      <c r="V1" s="69" t="s">
        <v>20</v>
      </c>
      <c r="W1" s="127" t="s">
        <v>193</v>
      </c>
      <c r="X1" s="127" t="s">
        <v>194</v>
      </c>
      <c r="Y1" s="69"/>
      <c r="Z1" s="69"/>
      <c r="AA1" s="69"/>
    </row>
    <row r="2" spans="1:27" x14ac:dyDescent="0.2">
      <c r="A2" t="s">
        <v>210</v>
      </c>
      <c r="B2" t="s">
        <v>30</v>
      </c>
      <c r="C2" s="145">
        <v>7.2699177079688422</v>
      </c>
      <c r="D2" s="90">
        <v>6.9969687175719253</v>
      </c>
      <c r="E2" s="12">
        <v>3.7544990378326697E-2</v>
      </c>
      <c r="F2" s="90">
        <v>95.600279441787677</v>
      </c>
      <c r="G2" s="12">
        <v>12.150118513308129</v>
      </c>
      <c r="H2" s="12">
        <v>0.58130015379918865</v>
      </c>
      <c r="I2" s="12">
        <v>1.1372775021821939</v>
      </c>
      <c r="J2" s="12">
        <v>3.2840770704875468</v>
      </c>
      <c r="K2" s="90">
        <v>13.663099450723671</v>
      </c>
      <c r="L2" s="7">
        <v>6.9969687175719253</v>
      </c>
      <c r="M2" s="14">
        <v>3.7544990378326697E-2</v>
      </c>
      <c r="N2" s="7">
        <v>32.036631547746367</v>
      </c>
      <c r="O2" s="14">
        <v>3.4067392279598661</v>
      </c>
      <c r="P2" s="7">
        <v>4.5786443874317717</v>
      </c>
      <c r="Q2" s="99">
        <v>0.14380111017165251</v>
      </c>
      <c r="R2" s="99">
        <v>9.5222715892245652E-2</v>
      </c>
      <c r="S2" s="99">
        <v>6.8293398727599056E-2</v>
      </c>
      <c r="U2" s="117">
        <f>C2*S2</f>
        <v>0.49648738874714915</v>
      </c>
      <c r="V2" s="117">
        <f>(1+S2)*Q2*(1-U2)+S2</f>
        <v>0.14564390067224831</v>
      </c>
      <c r="W2" s="117">
        <f>V2+I2/3</f>
        <v>0.52473640139964628</v>
      </c>
      <c r="X2" s="117">
        <f>V2+I2/5</f>
        <v>0.37309940110868711</v>
      </c>
      <c r="Y2" s="117"/>
      <c r="AA2" s="117"/>
    </row>
    <row r="3" spans="1:27" x14ac:dyDescent="0.2">
      <c r="A3" t="s">
        <v>211</v>
      </c>
      <c r="B3" t="s">
        <v>32</v>
      </c>
      <c r="C3" s="144">
        <v>16.181488064431338</v>
      </c>
      <c r="D3" s="90">
        <v>15.166099106647771</v>
      </c>
      <c r="E3" s="12">
        <v>6.2750035950989602E-2</v>
      </c>
      <c r="F3" s="90">
        <v>-5.3988093054305644</v>
      </c>
      <c r="G3" s="12">
        <v>-1.3336410893691371</v>
      </c>
      <c r="H3" s="12">
        <v>0.77874708463448017</v>
      </c>
      <c r="I3" s="12">
        <v>2.1301153277732898</v>
      </c>
      <c r="J3" s="12">
        <v>-13.57777140386167</v>
      </c>
      <c r="K3" s="90">
        <v>-0.35597876998338362</v>
      </c>
      <c r="L3" s="7">
        <v>15.166099106647771</v>
      </c>
      <c r="M3" s="14">
        <v>6.2750035950989602E-2</v>
      </c>
      <c r="N3" s="7">
        <v>-5.3988093054305644</v>
      </c>
      <c r="O3" s="14">
        <v>-1.3336410893691371</v>
      </c>
      <c r="P3" s="7">
        <v>-0.35597876998338362</v>
      </c>
      <c r="S3" s="99">
        <v>2.240331986125103E-2</v>
      </c>
      <c r="U3" s="117">
        <f>C3*S3</f>
        <v>0.36251905293847109</v>
      </c>
      <c r="V3" s="117">
        <f>(1+S3)*R2*(1-U3)+S3</f>
        <v>8.4465928237679275E-2</v>
      </c>
      <c r="W3" s="117">
        <f>V3+I3/3</f>
        <v>0.7945043708287759</v>
      </c>
      <c r="X3" s="117">
        <f>V3+I3/5</f>
        <v>0.51048899379233725</v>
      </c>
      <c r="Y3" s="117"/>
      <c r="AA3" s="117"/>
    </row>
    <row r="4" spans="1:27" x14ac:dyDescent="0.2">
      <c r="A4" s="17">
        <v>40879</v>
      </c>
      <c r="B4" t="s">
        <v>34</v>
      </c>
      <c r="C4" s="143">
        <v>1.0454222372624751</v>
      </c>
      <c r="D4" s="90">
        <v>0.79073146763939806</v>
      </c>
      <c r="E4" s="12">
        <v>0.24362478675602461</v>
      </c>
      <c r="F4" s="90">
        <v>2.2066386609601221</v>
      </c>
      <c r="G4" s="12">
        <v>1.1107630795556731</v>
      </c>
      <c r="H4" s="12">
        <v>-2.9803518581825731E-2</v>
      </c>
      <c r="I4" s="12">
        <v>0.16645510726181351</v>
      </c>
      <c r="J4" s="12">
        <v>0.29795614506844709</v>
      </c>
      <c r="K4" s="90">
        <v>2.7906296274608722</v>
      </c>
      <c r="L4" s="7">
        <v>0.79073146763939806</v>
      </c>
      <c r="M4" s="14">
        <v>0.24362478675602461</v>
      </c>
      <c r="N4" s="7">
        <v>1.398579603476735</v>
      </c>
      <c r="O4" s="14">
        <v>0.33781313772225879</v>
      </c>
      <c r="P4" s="7">
        <v>1.7687162592023431</v>
      </c>
      <c r="W4" s="117">
        <f>V2+I4/3</f>
        <v>0.20112893642618615</v>
      </c>
      <c r="X4" s="117">
        <f>V2+I4/5</f>
        <v>0.17893492212461101</v>
      </c>
      <c r="Y4" s="117"/>
      <c r="AA4" s="117"/>
    </row>
    <row r="5" spans="1:27" x14ac:dyDescent="0.2">
      <c r="B5" t="s">
        <v>35</v>
      </c>
      <c r="C5" s="143">
        <v>1.5408452406731099</v>
      </c>
      <c r="D5" s="90">
        <v>1.0206269456210371</v>
      </c>
      <c r="E5" s="12">
        <v>0.3376187830679338</v>
      </c>
      <c r="F5" s="90">
        <v>3.9758279683175699</v>
      </c>
      <c r="G5" s="12">
        <v>1.5802902610652521</v>
      </c>
      <c r="H5" s="12">
        <v>-9.8793513635919816E-2</v>
      </c>
      <c r="I5" s="12">
        <v>0.1198768368669907</v>
      </c>
      <c r="J5" s="12">
        <v>0.47314570620014718</v>
      </c>
      <c r="K5" s="90">
        <v>3.8954761927222439</v>
      </c>
      <c r="L5" s="7">
        <v>1.0206269456210371</v>
      </c>
      <c r="M5" s="14">
        <v>0.3376187830679338</v>
      </c>
      <c r="N5" s="7">
        <v>2.907671259661297</v>
      </c>
      <c r="O5" s="14">
        <v>0.88706249200672249</v>
      </c>
      <c r="P5" s="7">
        <v>2.8489070096929692</v>
      </c>
      <c r="W5" s="117">
        <f>V3+I5/3</f>
        <v>0.1244248738600095</v>
      </c>
      <c r="X5" s="117">
        <f>V3+I5/5</f>
        <v>0.10844129561107742</v>
      </c>
      <c r="Y5" s="117"/>
      <c r="AA5" s="117"/>
    </row>
    <row r="6" spans="1:27" x14ac:dyDescent="0.2">
      <c r="C6" s="101"/>
      <c r="D6" s="90"/>
      <c r="F6" s="90"/>
      <c r="K6" s="90"/>
      <c r="L6" s="7"/>
      <c r="N6" s="7"/>
      <c r="P6" s="7"/>
      <c r="AA6" s="117"/>
    </row>
    <row r="7" spans="1:27" ht="17" customHeight="1" x14ac:dyDescent="0.2">
      <c r="A7" s="11" t="s">
        <v>212</v>
      </c>
      <c r="B7" t="s">
        <v>30</v>
      </c>
      <c r="C7" s="145">
        <v>18.49208623623851</v>
      </c>
      <c r="D7" s="90">
        <v>12.81251242906567</v>
      </c>
      <c r="E7" s="12">
        <v>0.30713537318697509</v>
      </c>
      <c r="F7" s="90">
        <v>-426.83107796780229</v>
      </c>
      <c r="G7" s="12">
        <v>-24.081823895637658</v>
      </c>
      <c r="H7" s="12">
        <v>1.014927924744069E-2</v>
      </c>
      <c r="I7" s="12">
        <v>0.78828713065640033</v>
      </c>
      <c r="J7" s="12">
        <v>3.745892872766833</v>
      </c>
      <c r="K7" s="90">
        <v>-33.313612793031893</v>
      </c>
      <c r="L7" s="7">
        <v>12.81251242906567</v>
      </c>
      <c r="M7" s="14">
        <v>0.30713537318697509</v>
      </c>
      <c r="N7" s="7">
        <v>39.23594721360179</v>
      </c>
      <c r="O7" s="14">
        <v>1.12176964309803</v>
      </c>
      <c r="P7" s="7">
        <v>3.062314860635261</v>
      </c>
      <c r="Q7" s="99">
        <v>0.11613798696043751</v>
      </c>
      <c r="R7" s="99">
        <v>5.8310432439618073E-2</v>
      </c>
      <c r="S7" s="99">
        <v>1.79619326761618E-2</v>
      </c>
      <c r="U7" s="117">
        <f>C7*S7</f>
        <v>0.33215360801709437</v>
      </c>
      <c r="V7" s="117">
        <f>(1+S7)*Q7*(1-U7)+S7</f>
        <v>9.6917437689448521E-2</v>
      </c>
      <c r="W7" s="117">
        <f>V7+I7/3</f>
        <v>0.35967981457491527</v>
      </c>
      <c r="X7" s="117">
        <f>V7+I7/5</f>
        <v>0.25457486382072858</v>
      </c>
      <c r="Y7" s="117"/>
      <c r="AA7" s="117"/>
    </row>
    <row r="8" spans="1:27" x14ac:dyDescent="0.2">
      <c r="A8" t="s">
        <v>213</v>
      </c>
      <c r="B8" t="s">
        <v>32</v>
      </c>
      <c r="C8" s="143">
        <v>36.712479282857672</v>
      </c>
      <c r="D8" s="90">
        <v>22.510953934248128</v>
      </c>
      <c r="E8" s="12">
        <v>0.38683100749452037</v>
      </c>
      <c r="F8" s="90">
        <v>-124.04950251441581</v>
      </c>
      <c r="G8" s="12">
        <v>-4.3789464764461936</v>
      </c>
      <c r="H8" s="12">
        <v>-5.941964732247107E-2</v>
      </c>
      <c r="I8" s="12">
        <v>1.1544422591051859</v>
      </c>
      <c r="J8" s="12">
        <v>7.3685155063679746</v>
      </c>
      <c r="K8" s="90">
        <v>-5.5106284201349238</v>
      </c>
      <c r="L8" s="7">
        <v>22.510953934248128</v>
      </c>
      <c r="M8" s="14">
        <v>0.38683100749452037</v>
      </c>
      <c r="N8" s="7">
        <v>-124.04950251441581</v>
      </c>
      <c r="O8" s="14">
        <v>-4.3789464764461936</v>
      </c>
      <c r="P8" s="7">
        <v>-5.5106284201349238</v>
      </c>
      <c r="S8" s="99">
        <v>1.3148296664050889E-2</v>
      </c>
      <c r="U8" s="117">
        <f>C8*S8</f>
        <v>0.4827065688838349</v>
      </c>
      <c r="V8" s="117">
        <f>(1+S8)*R7*(1-U8)+S8</f>
        <v>4.3708500340073009E-2</v>
      </c>
      <c r="W8" s="117">
        <f>V8+I8/3</f>
        <v>0.42852258670846832</v>
      </c>
      <c r="X8" s="117">
        <f>V8+I8/5</f>
        <v>0.27459695216111019</v>
      </c>
      <c r="Y8" s="117"/>
      <c r="AA8" s="117"/>
    </row>
    <row r="9" spans="1:27" x14ac:dyDescent="0.2">
      <c r="A9" s="17">
        <v>40879</v>
      </c>
      <c r="B9" t="s">
        <v>34</v>
      </c>
      <c r="C9" s="143">
        <v>2.147633670175555</v>
      </c>
      <c r="D9" s="90">
        <v>1.5244240259396229</v>
      </c>
      <c r="E9" s="12">
        <v>0.2901843330594589</v>
      </c>
      <c r="F9" s="90">
        <v>4.530439979620458</v>
      </c>
      <c r="G9" s="12">
        <v>1.1095031441047041</v>
      </c>
      <c r="H9" s="12">
        <v>-0.17308186623231089</v>
      </c>
      <c r="I9" s="12">
        <v>7.283527941385648E-2</v>
      </c>
      <c r="J9" s="12">
        <v>0.26215904178847721</v>
      </c>
      <c r="K9" s="90">
        <v>2.971902766245099</v>
      </c>
      <c r="L9" s="7">
        <v>1.5521216949426919</v>
      </c>
      <c r="M9" s="14">
        <v>0.27728750182249817</v>
      </c>
      <c r="N9" s="7">
        <v>3.5234282039565099</v>
      </c>
      <c r="O9" s="14">
        <v>0.64060950099953207</v>
      </c>
      <c r="P9" s="7">
        <v>2.270072131223321</v>
      </c>
      <c r="W9" s="117">
        <f>V7+I9/3</f>
        <v>0.12119586416073401</v>
      </c>
      <c r="X9" s="117">
        <f>V7+I9/5</f>
        <v>0.11148449357221982</v>
      </c>
      <c r="Y9" s="117"/>
      <c r="AA9" s="117"/>
    </row>
    <row r="10" spans="1:27" x14ac:dyDescent="0.2">
      <c r="B10" t="s">
        <v>35</v>
      </c>
      <c r="C10" s="143">
        <v>2.1407205429139502</v>
      </c>
      <c r="D10" s="90">
        <v>1.6602036220675289</v>
      </c>
      <c r="E10" s="12">
        <v>0.22446503932378839</v>
      </c>
      <c r="F10" s="90">
        <v>5.3656044852095324</v>
      </c>
      <c r="G10" s="12">
        <v>1.5064478887589261</v>
      </c>
      <c r="H10" s="12">
        <v>-9.6170843884202717E-2</v>
      </c>
      <c r="I10" s="12">
        <v>5.3285400177312432E-2</v>
      </c>
      <c r="J10" s="12">
        <v>0.4099539941188024</v>
      </c>
      <c r="K10" s="90">
        <v>3.231895421675743</v>
      </c>
      <c r="L10" s="7">
        <v>1.667504499163295</v>
      </c>
      <c r="M10" s="14">
        <v>0.22105456282794991</v>
      </c>
      <c r="N10" s="7">
        <v>2.8438231564823591</v>
      </c>
      <c r="O10" s="14">
        <v>0.3284420359751139</v>
      </c>
      <c r="P10" s="7">
        <v>1.705436571780949</v>
      </c>
      <c r="W10" s="117">
        <f>V8+I10/3</f>
        <v>6.1470300399177155E-2</v>
      </c>
      <c r="X10" s="117">
        <f>V8+I10/5</f>
        <v>5.4365580375535495E-2</v>
      </c>
      <c r="Y10" s="117"/>
      <c r="AA10" s="117"/>
    </row>
    <row r="11" spans="1:27" x14ac:dyDescent="0.2">
      <c r="C11" s="101"/>
      <c r="D11" s="90"/>
      <c r="F11" s="90"/>
      <c r="K11" s="90"/>
      <c r="L11" s="7"/>
      <c r="N11" s="7"/>
      <c r="P11" s="7"/>
      <c r="AA11" s="117"/>
    </row>
    <row r="12" spans="1:27" ht="17" customHeight="1" x14ac:dyDescent="0.2">
      <c r="A12" s="11" t="s">
        <v>214</v>
      </c>
      <c r="B12" t="s">
        <v>30</v>
      </c>
      <c r="C12" s="146">
        <v>28.637520097174239</v>
      </c>
      <c r="D12" s="90">
        <v>16.747868808154639</v>
      </c>
      <c r="E12" s="12">
        <v>0.41517740532961839</v>
      </c>
      <c r="F12" s="90">
        <v>61.740558803369787</v>
      </c>
      <c r="G12" s="12">
        <v>1.155932447847045</v>
      </c>
      <c r="H12" s="12">
        <v>-0.23024812977135681</v>
      </c>
      <c r="I12" s="12">
        <v>-3.9398059603353852E-3</v>
      </c>
      <c r="J12" s="12">
        <v>0.2164008859693631</v>
      </c>
      <c r="K12" s="90">
        <v>3.6864725602166142</v>
      </c>
      <c r="L12" s="7">
        <v>16.747868808154639</v>
      </c>
      <c r="M12" s="14">
        <v>0.41517740532961839</v>
      </c>
      <c r="N12" s="7">
        <v>37.202076660075278</v>
      </c>
      <c r="O12" s="14">
        <v>0.29906767533778628</v>
      </c>
      <c r="P12" s="7">
        <v>2.2213021302126141</v>
      </c>
      <c r="Q12" s="99">
        <v>7.4748077915537517E-2</v>
      </c>
      <c r="R12" s="99">
        <v>1.7651120503987448E-2</v>
      </c>
      <c r="S12" s="99">
        <v>1.169519579880047E-2</v>
      </c>
      <c r="U12" s="117">
        <f>C12*S12</f>
        <v>0.33492140472853621</v>
      </c>
      <c r="V12" s="117">
        <f>(1+S12)*Q12*(1-U12)+S12</f>
        <v>6.1989949781102331E-2</v>
      </c>
      <c r="W12" s="117">
        <f>V12+I12/3</f>
        <v>6.06766811276572E-2</v>
      </c>
      <c r="X12" s="117">
        <f>V12+I12/5</f>
        <v>6.1201988589035257E-2</v>
      </c>
      <c r="Y12" s="117"/>
      <c r="AA12" s="117"/>
    </row>
    <row r="13" spans="1:27" x14ac:dyDescent="0.2">
      <c r="A13" t="s">
        <v>215</v>
      </c>
      <c r="B13" t="s">
        <v>32</v>
      </c>
      <c r="C13" s="146">
        <v>128.17413662096291</v>
      </c>
      <c r="D13" s="90">
        <v>28.709320684808439</v>
      </c>
      <c r="E13" s="12">
        <v>0.77601315334225518</v>
      </c>
      <c r="F13" s="90">
        <v>-13.85624885606007</v>
      </c>
      <c r="G13" s="12">
        <v>-1.1081048737393551</v>
      </c>
      <c r="H13" s="12">
        <v>-0.66477127168678629</v>
      </c>
      <c r="I13" s="12">
        <v>-0.43753996289771652</v>
      </c>
      <c r="J13" s="12">
        <v>0.53014488467584964</v>
      </c>
      <c r="K13" s="90">
        <v>-0.48263938419804259</v>
      </c>
      <c r="L13" s="7">
        <v>28.709320684808439</v>
      </c>
      <c r="M13" s="14">
        <v>0.77601315334225518</v>
      </c>
      <c r="N13" s="7">
        <v>-13.85624885606007</v>
      </c>
      <c r="O13" s="14">
        <v>-1.1081048737393551</v>
      </c>
      <c r="P13" s="7">
        <v>-0.48263938419804259</v>
      </c>
      <c r="S13" s="99">
        <v>9.2380785804072139E-3</v>
      </c>
      <c r="U13" s="117">
        <f>C13*S13</f>
        <v>1.1840827460803054</v>
      </c>
      <c r="V13" s="117">
        <f>(1+S13)*R12*(1-U13)+S13</f>
        <v>5.9587948652235646E-3</v>
      </c>
      <c r="W13" s="117">
        <f>V13+I13/3</f>
        <v>-0.13988785943401527</v>
      </c>
      <c r="X13" s="117">
        <f>V13+I13/5</f>
        <v>-8.1549197714319746E-2</v>
      </c>
      <c r="Y13" s="117"/>
      <c r="AA13" s="117"/>
    </row>
    <row r="14" spans="1:27" x14ac:dyDescent="0.2">
      <c r="A14" s="17">
        <v>40879</v>
      </c>
      <c r="B14" t="s">
        <v>34</v>
      </c>
      <c r="C14" s="146">
        <v>2.140599583531352</v>
      </c>
      <c r="D14" s="90">
        <v>1.484677704792656</v>
      </c>
      <c r="E14" s="12">
        <v>0.30641969838031058</v>
      </c>
      <c r="F14" s="90">
        <v>5.1542779439406976</v>
      </c>
      <c r="G14" s="12">
        <v>1.407866461151821</v>
      </c>
      <c r="H14" s="12">
        <v>-0.19319209709579899</v>
      </c>
      <c r="I14" s="12">
        <v>-1.241112485471263E-2</v>
      </c>
      <c r="J14" s="12">
        <v>0.2191763029670353</v>
      </c>
      <c r="K14" s="90">
        <v>3.471647703270738</v>
      </c>
      <c r="L14" s="7">
        <v>1.5219012514437089</v>
      </c>
      <c r="M14" s="14">
        <v>0.28903038982516061</v>
      </c>
      <c r="N14" s="7">
        <v>2.6019196275429191</v>
      </c>
      <c r="O14" s="14">
        <v>0.21550973267523801</v>
      </c>
      <c r="P14" s="7">
        <v>1.709650757613006</v>
      </c>
      <c r="W14" s="117">
        <f>V12+I14/3</f>
        <v>5.7852908162864786E-2</v>
      </c>
      <c r="X14" s="117">
        <f>V12+I14/5</f>
        <v>5.9507724810159805E-2</v>
      </c>
      <c r="Y14" s="117"/>
      <c r="AA14" s="117"/>
    </row>
    <row r="15" spans="1:27" x14ac:dyDescent="0.2">
      <c r="B15" t="s">
        <v>35</v>
      </c>
      <c r="C15" s="143">
        <v>2.262417130991166</v>
      </c>
      <c r="D15" s="90">
        <v>1.609797353500354</v>
      </c>
      <c r="E15" s="12">
        <v>0.2884612959082834</v>
      </c>
      <c r="F15" s="90">
        <v>6.3344675831480162</v>
      </c>
      <c r="G15" s="12">
        <v>1.7998672288928801</v>
      </c>
      <c r="H15" s="12">
        <v>-0.10805689593271051</v>
      </c>
      <c r="I15" s="12">
        <v>8.0168544336982617E-3</v>
      </c>
      <c r="J15" s="12">
        <v>0.43012037410560522</v>
      </c>
      <c r="K15" s="90">
        <v>3.9349471965364509</v>
      </c>
      <c r="L15" s="7">
        <v>1.609797353500354</v>
      </c>
      <c r="M15" s="14">
        <v>0.2884612959082834</v>
      </c>
      <c r="N15" s="7">
        <v>2.6659540815093519</v>
      </c>
      <c r="O15" s="14">
        <v>0.17836540618015739</v>
      </c>
      <c r="P15" s="7">
        <v>1.6560805468542259</v>
      </c>
      <c r="W15" s="117">
        <f>V13+I15/3</f>
        <v>8.6310796764563179E-3</v>
      </c>
      <c r="X15" s="117">
        <f>V13+I15/5</f>
        <v>7.5621657519632166E-3</v>
      </c>
      <c r="Y15" s="117"/>
      <c r="AA15" s="117"/>
    </row>
    <row r="16" spans="1:27" x14ac:dyDescent="0.2">
      <c r="C16" s="101"/>
      <c r="D16" s="90"/>
      <c r="F16" s="90"/>
      <c r="K16" s="90"/>
      <c r="L16" s="7"/>
      <c r="N16" s="7"/>
      <c r="P16" s="7"/>
      <c r="AA16" s="117"/>
    </row>
    <row r="17" spans="1:27" ht="17" customHeight="1" x14ac:dyDescent="0.2">
      <c r="A17" s="18" t="s">
        <v>216</v>
      </c>
      <c r="B17" t="s">
        <v>30</v>
      </c>
      <c r="C17" s="144">
        <v>44.26880736565569</v>
      </c>
      <c r="D17" s="90">
        <v>14.926816964605891</v>
      </c>
      <c r="E17" s="12">
        <v>0.66281411556195868</v>
      </c>
      <c r="F17" s="90">
        <v>73.549526223911201</v>
      </c>
      <c r="G17" s="12">
        <v>0.66143003619681595</v>
      </c>
      <c r="H17" s="12">
        <v>-0.51895789471846332</v>
      </c>
      <c r="I17" s="12">
        <v>-0.33526160659091803</v>
      </c>
      <c r="J17" s="12">
        <v>-9.5826996647346063E-2</v>
      </c>
      <c r="K17" s="90">
        <v>4.9273416025874823</v>
      </c>
      <c r="L17" s="7">
        <v>14.926816964605891</v>
      </c>
      <c r="M17" s="14">
        <v>0.66281411556195868</v>
      </c>
      <c r="N17" s="7">
        <v>73.549526223911201</v>
      </c>
      <c r="O17" s="14">
        <v>0.66143003619681595</v>
      </c>
      <c r="P17" s="7">
        <v>4.9273416025874823</v>
      </c>
      <c r="Q17" s="99">
        <v>5.203674863044138E-2</v>
      </c>
      <c r="R17" s="99">
        <v>-3.09247090693609E-3</v>
      </c>
      <c r="S17" s="99">
        <v>1.6008009444378281E-2</v>
      </c>
      <c r="U17" s="117">
        <f>C17*S17</f>
        <v>0.70865548640077913</v>
      </c>
      <c r="V17" s="117">
        <f>(1+S17)*Q17*(1-U17)+S17</f>
        <v>3.1411322031055872E-2</v>
      </c>
      <c r="W17" s="36">
        <f>V17+I17/3</f>
        <v>-8.0342546832583475E-2</v>
      </c>
      <c r="X17" s="117">
        <f>V17+I17/5</f>
        <v>-3.5640999287127731E-2</v>
      </c>
      <c r="Y17" s="117"/>
      <c r="AA17" s="36"/>
    </row>
    <row r="18" spans="1:27" x14ac:dyDescent="0.2">
      <c r="A18" t="s">
        <v>217</v>
      </c>
      <c r="B18" t="s">
        <v>32</v>
      </c>
      <c r="C18" s="145">
        <v>-683.86795972430434</v>
      </c>
      <c r="D18" s="90">
        <v>25.164978574491819</v>
      </c>
      <c r="E18" s="12">
        <v>1.0367980078853769</v>
      </c>
      <c r="F18" s="90">
        <v>-12.387784092006729</v>
      </c>
      <c r="G18" s="12">
        <v>-0.98188570773662098</v>
      </c>
      <c r="H18" s="12">
        <v>-1.050483767783708</v>
      </c>
      <c r="I18" s="12">
        <v>-1.0808589486588529</v>
      </c>
      <c r="J18" s="12">
        <v>-0.93345487301738617</v>
      </c>
      <c r="K18" s="90">
        <v>-0.49226285074462439</v>
      </c>
      <c r="L18" s="7">
        <v>28.808691766772949</v>
      </c>
      <c r="M18" s="14">
        <v>1.0421261024984809</v>
      </c>
      <c r="N18" s="7">
        <v>-12.387784092006729</v>
      </c>
      <c r="O18" s="14">
        <v>-0.98188570773662098</v>
      </c>
      <c r="P18" s="7">
        <v>-0.43000161868837172</v>
      </c>
      <c r="S18" s="99">
        <v>1.1946815238499E-2</v>
      </c>
      <c r="U18" s="117">
        <f>C18*S18</f>
        <v>-8.1700441623555395</v>
      </c>
      <c r="V18" s="117">
        <f>(1+S18)*R17*(1-U18)+S18</f>
        <v>-1.6750068467845582E-2</v>
      </c>
      <c r="W18" s="117">
        <f>V18+I18/3</f>
        <v>-0.37703638468746326</v>
      </c>
      <c r="X18" s="117">
        <f>V18+I18/5</f>
        <v>-0.23292185819961617</v>
      </c>
      <c r="Y18" s="117"/>
      <c r="AA18" s="117"/>
    </row>
    <row r="19" spans="1:27" x14ac:dyDescent="0.2">
      <c r="A19" s="17">
        <v>40879</v>
      </c>
      <c r="B19" t="s">
        <v>34</v>
      </c>
      <c r="C19" s="143">
        <v>2.303604801056057</v>
      </c>
      <c r="D19" s="90">
        <v>1.656190442023588</v>
      </c>
      <c r="E19" s="12">
        <v>0.28104402228006758</v>
      </c>
      <c r="F19" s="90">
        <v>5.5726610115517072</v>
      </c>
      <c r="G19" s="12">
        <v>1.4191046176831179</v>
      </c>
      <c r="H19" s="12">
        <v>-7.7370697711616754E-2</v>
      </c>
      <c r="I19" s="12">
        <v>0.1197449721562043</v>
      </c>
      <c r="J19" s="12">
        <v>0.33584681428000618</v>
      </c>
      <c r="K19" s="90">
        <v>3.36474651112154</v>
      </c>
      <c r="L19" s="7">
        <v>1.656190442023588</v>
      </c>
      <c r="M19" s="14">
        <v>0.28104402228006758</v>
      </c>
      <c r="N19" s="7">
        <v>2.9308735212777441</v>
      </c>
      <c r="O19" s="14">
        <v>0.2722987553829217</v>
      </c>
      <c r="P19" s="7">
        <v>1.7696476485498289</v>
      </c>
      <c r="W19" s="117">
        <f>V17+I19/3</f>
        <v>7.1326312749790649E-2</v>
      </c>
      <c r="X19" s="117">
        <f>V17+I19/5</f>
        <v>5.5360316462296735E-2</v>
      </c>
      <c r="Y19" s="117"/>
      <c r="AA19" s="117"/>
    </row>
    <row r="20" spans="1:27" x14ac:dyDescent="0.2">
      <c r="B20" t="s">
        <v>35</v>
      </c>
      <c r="C20" s="143">
        <v>2.114841769633153</v>
      </c>
      <c r="D20" s="90">
        <v>1.5161316841904871</v>
      </c>
      <c r="E20" s="12">
        <v>0.28309923420252853</v>
      </c>
      <c r="F20" s="90">
        <v>6.3149152855465784</v>
      </c>
      <c r="G20" s="12">
        <v>1.985998941491488</v>
      </c>
      <c r="H20" s="12">
        <v>-8.3285804974851496E-2</v>
      </c>
      <c r="I20" s="12">
        <v>6.6383482101236124E-2</v>
      </c>
      <c r="J20" s="12">
        <v>0.60706346005966605</v>
      </c>
      <c r="K20" s="90">
        <v>4.1651496050083026</v>
      </c>
      <c r="L20" s="7">
        <v>1.5161316841904871</v>
      </c>
      <c r="M20" s="14">
        <v>0.28309923420252853</v>
      </c>
      <c r="N20" s="7">
        <v>2.5971848694650421</v>
      </c>
      <c r="O20" s="14">
        <v>0.22807526631912409</v>
      </c>
      <c r="P20" s="7">
        <v>1.713033832448245</v>
      </c>
      <c r="W20" s="117">
        <f>V18+I20/3</f>
        <v>5.3777588992331253E-3</v>
      </c>
      <c r="X20" s="117">
        <f>V18+I20/5</f>
        <v>-3.4733720475983564E-3</v>
      </c>
      <c r="Y20" s="117"/>
      <c r="AA20" s="117"/>
    </row>
    <row r="21" spans="1:27" x14ac:dyDescent="0.2">
      <c r="C21" s="101"/>
      <c r="D21" s="90"/>
      <c r="F21" s="90"/>
      <c r="K21" s="90"/>
      <c r="L21" s="7"/>
      <c r="N21" s="7"/>
      <c r="P21" s="7"/>
      <c r="AA21" s="117"/>
    </row>
    <row r="22" spans="1:27" ht="17" customHeight="1" x14ac:dyDescent="0.2">
      <c r="A22" s="11" t="s">
        <v>218</v>
      </c>
      <c r="B22" t="s">
        <v>30</v>
      </c>
      <c r="C22" s="144">
        <v>47.709920563470128</v>
      </c>
      <c r="D22" s="90">
        <v>19.6707667292815</v>
      </c>
      <c r="E22" s="12">
        <v>0.58770070255906615</v>
      </c>
      <c r="F22" s="90">
        <v>76.532344474625333</v>
      </c>
      <c r="G22" s="12">
        <v>0.60411804443924288</v>
      </c>
      <c r="H22" s="12">
        <v>-0.4148690370340149</v>
      </c>
      <c r="I22" s="12">
        <v>-0.2671083508887715</v>
      </c>
      <c r="J22" s="12">
        <v>-0.1252570363052431</v>
      </c>
      <c r="K22" s="90">
        <v>3.890664025856239</v>
      </c>
      <c r="L22" s="7">
        <v>24.346598389671382</v>
      </c>
      <c r="M22" s="14">
        <v>0.48969526458795359</v>
      </c>
      <c r="N22" s="7">
        <v>76.532344474625333</v>
      </c>
      <c r="O22" s="14">
        <v>0.60411804443924288</v>
      </c>
      <c r="P22" s="7">
        <v>3.1434512226189621</v>
      </c>
      <c r="Q22" s="99">
        <v>0.11804748984184341</v>
      </c>
      <c r="R22" s="99">
        <v>-1.013294895826246E-3</v>
      </c>
      <c r="S22" s="99">
        <v>1.4759791454415789E-2</v>
      </c>
      <c r="U22" s="117">
        <f>C22*S22</f>
        <v>0.70418847782356253</v>
      </c>
      <c r="V22" s="117">
        <f>(1+S22)*Q22*(1-U22)+S22</f>
        <v>5.0195008192317474E-2</v>
      </c>
      <c r="W22" s="117">
        <f>V22+I22/3</f>
        <v>-3.8841108770606363E-2</v>
      </c>
      <c r="X22" s="117">
        <f>V22+I22/5</f>
        <v>-3.2266619854368281E-3</v>
      </c>
      <c r="Y22" s="117"/>
      <c r="AA22" s="117"/>
    </row>
    <row r="23" spans="1:27" x14ac:dyDescent="0.2">
      <c r="A23" t="s">
        <v>219</v>
      </c>
      <c r="B23" t="s">
        <v>32</v>
      </c>
      <c r="C23" s="145">
        <v>-2954.7046069699149</v>
      </c>
      <c r="D23" s="90">
        <v>37.891969140054897</v>
      </c>
      <c r="E23" s="12">
        <v>1.012824283365136</v>
      </c>
      <c r="F23" s="90">
        <v>-18.040663737806241</v>
      </c>
      <c r="G23" s="12">
        <v>-0.99389425809427789</v>
      </c>
      <c r="H23" s="12">
        <v>-1.0199474539035089</v>
      </c>
      <c r="I23" s="12">
        <v>-1.0344518493529999</v>
      </c>
      <c r="J23" s="12">
        <v>-0.92362561654462449</v>
      </c>
      <c r="K23" s="90">
        <v>-0.4761078441483208</v>
      </c>
      <c r="L23" s="7">
        <v>55.142136866162893</v>
      </c>
      <c r="M23" s="14">
        <v>1.0186624871860579</v>
      </c>
      <c r="N23" s="7">
        <v>-18.040663737806241</v>
      </c>
      <c r="O23" s="14">
        <v>-0.99389425809427789</v>
      </c>
      <c r="P23" s="7">
        <v>-0.32716656921717169</v>
      </c>
      <c r="S23" s="99">
        <v>7.8738144734264385E-3</v>
      </c>
      <c r="U23" s="117">
        <f>C23*S23</f>
        <v>-23.264795899059493</v>
      </c>
      <c r="V23" s="117">
        <f>(1+S23)*R22*(1-U23)+S23</f>
        <v>-1.6907175936780573E-2</v>
      </c>
      <c r="W23" s="117">
        <f>V23+I23/3</f>
        <v>-0.36172445905444722</v>
      </c>
      <c r="X23" s="117">
        <f>V23+I23/5</f>
        <v>-0.22379754580738057</v>
      </c>
      <c r="Y23" s="117"/>
      <c r="AA23" s="117"/>
    </row>
    <row r="24" spans="1:27" x14ac:dyDescent="0.2">
      <c r="A24" s="17">
        <v>40879</v>
      </c>
      <c r="B24" t="s">
        <v>34</v>
      </c>
      <c r="C24" s="146">
        <v>5.6320363630713937</v>
      </c>
      <c r="D24" s="90">
        <v>2.7773286418909282</v>
      </c>
      <c r="E24" s="12">
        <v>0.50686954720293564</v>
      </c>
      <c r="F24" s="90">
        <v>9.079384970822332</v>
      </c>
      <c r="G24" s="12">
        <v>0.61209629794914</v>
      </c>
      <c r="H24" s="12">
        <v>-0.35222354918007109</v>
      </c>
      <c r="I24" s="12">
        <v>-0.194991901826127</v>
      </c>
      <c r="J24" s="12">
        <v>3.419470295288507E-2</v>
      </c>
      <c r="K24" s="90">
        <v>3.269107167900982</v>
      </c>
      <c r="L24" s="7">
        <v>3.260081833831626</v>
      </c>
      <c r="M24" s="14">
        <v>0.4211539798983539</v>
      </c>
      <c r="N24" s="7">
        <v>9.079384970822332</v>
      </c>
      <c r="O24" s="14">
        <v>0.61209629794914</v>
      </c>
      <c r="P24" s="7">
        <v>2.785017503732778</v>
      </c>
      <c r="W24" s="117">
        <f>V22+I24/3</f>
        <v>-1.480229241639152E-2</v>
      </c>
      <c r="X24" s="117">
        <f>V22+I24/5</f>
        <v>1.1196627827092076E-2</v>
      </c>
      <c r="Y24" s="117"/>
      <c r="AA24" s="117"/>
    </row>
    <row r="25" spans="1:27" x14ac:dyDescent="0.2">
      <c r="B25" t="s">
        <v>35</v>
      </c>
      <c r="C25" s="146">
        <v>2.9939870969169089</v>
      </c>
      <c r="D25" s="90">
        <v>2.0430088178309518</v>
      </c>
      <c r="E25" s="12">
        <v>0.31762938459729417</v>
      </c>
      <c r="F25" s="90">
        <v>6.644208187020987</v>
      </c>
      <c r="G25" s="12">
        <v>1.2191839750621949</v>
      </c>
      <c r="H25" s="12">
        <v>-9.6619945795218376E-2</v>
      </c>
      <c r="I25" s="12">
        <v>-1.6338404521248129E-2</v>
      </c>
      <c r="J25" s="12">
        <v>0.2077616835485652</v>
      </c>
      <c r="K25" s="90">
        <v>3.252168139966765</v>
      </c>
      <c r="L25" s="7">
        <v>2.0430088178309518</v>
      </c>
      <c r="M25" s="14">
        <v>0.31762938459729417</v>
      </c>
      <c r="N25" s="7">
        <v>3.3932944554284301</v>
      </c>
      <c r="O25" s="14">
        <v>0.1333697659962236</v>
      </c>
      <c r="P25" s="7">
        <v>1.660929911712798</v>
      </c>
      <c r="W25" s="117">
        <f>V23+I25/3</f>
        <v>-2.2353310777196617E-2</v>
      </c>
      <c r="X25" s="117">
        <f>V23+I25/5</f>
        <v>-2.0174856841030198E-2</v>
      </c>
      <c r="Y25" s="117"/>
      <c r="AA25" s="117"/>
    </row>
    <row r="26" spans="1:27" x14ac:dyDescent="0.2">
      <c r="C26" s="101"/>
      <c r="D26" s="90"/>
      <c r="F26" s="90"/>
      <c r="K26" s="90"/>
      <c r="L26" s="7"/>
      <c r="N26" s="7"/>
      <c r="P26" s="7"/>
      <c r="AA26" s="117"/>
    </row>
    <row r="27" spans="1:27" ht="17" customHeight="1" x14ac:dyDescent="0.2">
      <c r="A27" s="18" t="s">
        <v>220</v>
      </c>
      <c r="B27" t="s">
        <v>30</v>
      </c>
      <c r="C27" s="145">
        <v>36.435089326948727</v>
      </c>
      <c r="D27" s="90">
        <v>25.814806970271071</v>
      </c>
      <c r="E27" s="12">
        <v>0.29148500944726657</v>
      </c>
      <c r="F27" s="90">
        <v>86.261715854437853</v>
      </c>
      <c r="G27" s="12">
        <v>1.367545062957634</v>
      </c>
      <c r="H27" s="12">
        <v>3.5345917632760848E-3</v>
      </c>
      <c r="I27" s="12">
        <v>0.1110758087907502</v>
      </c>
      <c r="J27" s="12">
        <v>0.35615309714366172</v>
      </c>
      <c r="K27" s="90">
        <v>3.341559592282787</v>
      </c>
      <c r="L27" s="7">
        <v>25.814806970271071</v>
      </c>
      <c r="M27" s="14">
        <v>0.29148500944726657</v>
      </c>
      <c r="N27" s="7">
        <v>86.261715854437853</v>
      </c>
      <c r="O27" s="14">
        <v>1.367545062957634</v>
      </c>
      <c r="P27" s="7">
        <v>3.341559592282787</v>
      </c>
      <c r="Q27" s="99">
        <v>0.10310912869094201</v>
      </c>
      <c r="R27" s="99">
        <v>3.7260696657396897E-2</v>
      </c>
      <c r="S27" s="99">
        <v>8.7302882462560356E-3</v>
      </c>
      <c r="U27" s="117">
        <f>C27*S27</f>
        <v>0.31808883210234923</v>
      </c>
      <c r="V27" s="117">
        <f>(1+S27)*Q27*(1-U27)+S27</f>
        <v>7.9655392235144742E-2</v>
      </c>
      <c r="W27" s="117">
        <f>V27+I27/3</f>
        <v>0.11668066183206147</v>
      </c>
      <c r="X27" s="117">
        <f>V27+I27/5</f>
        <v>0.10187055399329478</v>
      </c>
      <c r="Y27" s="117"/>
      <c r="AA27" s="117"/>
    </row>
    <row r="28" spans="1:27" x14ac:dyDescent="0.2">
      <c r="A28" t="s">
        <v>221</v>
      </c>
      <c r="B28" t="s">
        <v>32</v>
      </c>
      <c r="C28" s="144">
        <v>75.530255777837027</v>
      </c>
      <c r="D28" s="90">
        <v>25.94744077534228</v>
      </c>
      <c r="E28" s="12">
        <v>0.65646295635932317</v>
      </c>
      <c r="F28" s="90">
        <v>1311.767908154583</v>
      </c>
      <c r="G28" s="12">
        <v>16.367449568991091</v>
      </c>
      <c r="H28" s="12">
        <v>-0.42654423829079208</v>
      </c>
      <c r="I28" s="12">
        <v>-0.31570014279067737</v>
      </c>
      <c r="J28" s="12">
        <v>-0.11671611919753699</v>
      </c>
      <c r="K28" s="90">
        <v>50.554808834987263</v>
      </c>
      <c r="L28" s="7">
        <v>25.94744077534228</v>
      </c>
      <c r="M28" s="14">
        <v>0.65646295635932317</v>
      </c>
      <c r="N28" s="7">
        <v>1311.767908154583</v>
      </c>
      <c r="O28" s="14">
        <v>16.367449568991091</v>
      </c>
      <c r="P28" s="7">
        <v>50.554808834987263</v>
      </c>
      <c r="S28" s="99">
        <v>9.7429564604503329E-3</v>
      </c>
      <c r="U28" s="117">
        <f>C28*S28</f>
        <v>0.73588799349014333</v>
      </c>
      <c r="V28" s="117">
        <f>(1+S28)*R27*(1-U28)+S28</f>
        <v>1.9679834227378304E-2</v>
      </c>
      <c r="W28" s="117">
        <f>V28+I28/3</f>
        <v>-8.5553546702847483E-2</v>
      </c>
      <c r="X28" s="117">
        <f>V28+I28/5</f>
        <v>-4.3460194330757165E-2</v>
      </c>
      <c r="Y28" s="117"/>
      <c r="AA28" s="117"/>
    </row>
    <row r="29" spans="1:27" x14ac:dyDescent="0.2">
      <c r="A29" s="17">
        <v>40879</v>
      </c>
      <c r="B29" t="s">
        <v>34</v>
      </c>
      <c r="C29" s="145">
        <v>3.7567903142783221</v>
      </c>
      <c r="D29" s="90">
        <v>2.9652490890629508</v>
      </c>
      <c r="E29" s="12">
        <v>0.21069614191853711</v>
      </c>
      <c r="F29" s="90">
        <v>8.5174207854961441</v>
      </c>
      <c r="G29" s="12">
        <v>1.26720686356229</v>
      </c>
      <c r="H29" s="12">
        <v>2.1703959700320571E-2</v>
      </c>
      <c r="I29" s="12">
        <v>0.1878356192179873</v>
      </c>
      <c r="J29" s="12">
        <v>0.35340097317562619</v>
      </c>
      <c r="K29" s="90">
        <v>2.8724132542226788</v>
      </c>
      <c r="L29" s="7">
        <v>2.9652490890629508</v>
      </c>
      <c r="M29" s="14">
        <v>0.21069614191853711</v>
      </c>
      <c r="N29" s="7">
        <v>6.4303946536596737</v>
      </c>
      <c r="O29" s="14">
        <v>0.71167249585899506</v>
      </c>
      <c r="P29" s="7">
        <v>2.168584985786723</v>
      </c>
      <c r="W29" s="117">
        <f>V27+I29/3</f>
        <v>0.14226726530780717</v>
      </c>
      <c r="X29" s="117">
        <f>V27+I29/5</f>
        <v>0.11722251607874221</v>
      </c>
      <c r="Y29" s="117"/>
      <c r="AA29" s="117"/>
    </row>
    <row r="30" spans="1:27" x14ac:dyDescent="0.2">
      <c r="B30" t="s">
        <v>35</v>
      </c>
      <c r="C30" s="143">
        <v>2.8143099489935852</v>
      </c>
      <c r="D30" s="90">
        <v>2.143631790491956</v>
      </c>
      <c r="E30" s="12">
        <v>0.23830998385286861</v>
      </c>
      <c r="F30" s="90">
        <v>8.5706285054399078</v>
      </c>
      <c r="G30" s="12">
        <v>2.045374767091598</v>
      </c>
      <c r="H30" s="12">
        <v>-5.4688650105929049E-2</v>
      </c>
      <c r="I30" s="12">
        <v>0.27417496503403699</v>
      </c>
      <c r="J30" s="12">
        <v>0.59827482048580571</v>
      </c>
      <c r="K30" s="90">
        <v>3.9981812844233739</v>
      </c>
      <c r="L30" s="7">
        <v>2.143631790491956</v>
      </c>
      <c r="M30" s="14">
        <v>0.23830998385286861</v>
      </c>
      <c r="N30" s="7">
        <v>3.7676537607518972</v>
      </c>
      <c r="O30" s="14">
        <v>0.33874869116645567</v>
      </c>
      <c r="P30" s="7">
        <v>1.757603044265001</v>
      </c>
      <c r="W30" s="117">
        <f>V28+I30/3</f>
        <v>0.11107148923872397</v>
      </c>
      <c r="X30" s="117">
        <f>V28+I30/5</f>
        <v>7.4514827234185704E-2</v>
      </c>
      <c r="Y30" s="117"/>
      <c r="AA30" s="117"/>
    </row>
    <row r="31" spans="1:27" x14ac:dyDescent="0.2">
      <c r="C31" s="101"/>
      <c r="D31" s="90"/>
      <c r="F31" s="90"/>
      <c r="K31" s="90"/>
      <c r="L31" s="7"/>
      <c r="N31" s="7"/>
      <c r="P31" s="7"/>
      <c r="AA31" s="117"/>
    </row>
    <row r="32" spans="1:27" ht="17" customHeight="1" x14ac:dyDescent="0.2">
      <c r="A32" s="18" t="s">
        <v>222</v>
      </c>
      <c r="B32" t="s">
        <v>30</v>
      </c>
      <c r="C32" s="145">
        <v>6.375271934663977</v>
      </c>
      <c r="D32" s="90">
        <v>5.4530759231935786</v>
      </c>
      <c r="E32" s="12">
        <v>0.14465202754037559</v>
      </c>
      <c r="F32" s="90">
        <v>12.41190460625756</v>
      </c>
      <c r="G32" s="12">
        <v>0.94688238140413672</v>
      </c>
      <c r="H32" s="12">
        <v>6.4730458409290703E-2</v>
      </c>
      <c r="I32" s="12">
        <v>0.31177496437636848</v>
      </c>
      <c r="J32" s="59">
        <v>0.47477930981423788</v>
      </c>
      <c r="K32" s="90">
        <v>2.2761290657014288</v>
      </c>
      <c r="L32" s="7">
        <v>5.6327208968315317</v>
      </c>
      <c r="M32" s="14">
        <v>0.11647362582214039</v>
      </c>
      <c r="N32" s="7">
        <v>10.77986451963192</v>
      </c>
      <c r="O32" s="14">
        <v>0.6908870131514</v>
      </c>
      <c r="P32" s="7">
        <v>1.9137934786890849</v>
      </c>
      <c r="Q32" s="99">
        <v>0.10946845023874011</v>
      </c>
      <c r="R32" s="99">
        <v>5.9322182712543879E-2</v>
      </c>
      <c r="S32" s="99">
        <v>4.6109864153288042E-2</v>
      </c>
      <c r="U32" s="117">
        <f>C32*S32</f>
        <v>0.29396292284762582</v>
      </c>
      <c r="V32" s="117">
        <f>(1+S32)*Q32*(1-U32)+S32</f>
        <v>0.12696242416089229</v>
      </c>
      <c r="W32" s="117">
        <f>V32+I32/3</f>
        <v>0.23088741228634846</v>
      </c>
      <c r="X32" s="117">
        <f>V32+I32/5</f>
        <v>0.189317417036166</v>
      </c>
      <c r="Y32" s="117"/>
      <c r="AA32" s="117"/>
    </row>
    <row r="33" spans="1:27" x14ac:dyDescent="0.2">
      <c r="A33" t="s">
        <v>223</v>
      </c>
      <c r="B33" t="s">
        <v>32</v>
      </c>
      <c r="C33" s="143">
        <v>15.758346344556941</v>
      </c>
      <c r="D33" s="90">
        <v>8.9695076594372107</v>
      </c>
      <c r="E33" s="12">
        <v>0.43080907962558213</v>
      </c>
      <c r="F33" s="90">
        <v>56.142279544195908</v>
      </c>
      <c r="G33" s="12">
        <v>2.562701207134459</v>
      </c>
      <c r="H33" s="12">
        <v>-4.2464049350849131E-2</v>
      </c>
      <c r="I33" s="12">
        <v>0.16067122983115389</v>
      </c>
      <c r="J33" s="12">
        <v>0.63705200086865976</v>
      </c>
      <c r="K33" s="90">
        <v>6.2592375942871472</v>
      </c>
      <c r="L33" s="7">
        <v>8.9695076594372107</v>
      </c>
      <c r="M33" s="14">
        <v>0.43080907962558213</v>
      </c>
      <c r="N33" s="7">
        <v>56.142279544195908</v>
      </c>
      <c r="O33" s="14">
        <v>2.562701207134459</v>
      </c>
      <c r="P33" s="7">
        <v>6.2592375942871472</v>
      </c>
      <c r="S33" s="99">
        <v>2.5701080839608939E-2</v>
      </c>
      <c r="U33" s="117">
        <f>C33*S33</f>
        <v>0.40500653330001396</v>
      </c>
      <c r="V33" s="117">
        <f>(1+S33)*R32*(1-U33)+S33</f>
        <v>6.1904545330016249E-2</v>
      </c>
      <c r="W33" s="117">
        <f>V33+I33/3</f>
        <v>0.11546162194040088</v>
      </c>
      <c r="X33" s="117">
        <f>V33+I33/5</f>
        <v>9.4038791296247037E-2</v>
      </c>
      <c r="Y33" s="117"/>
      <c r="AA33" s="117"/>
    </row>
    <row r="34" spans="1:27" x14ac:dyDescent="0.2">
      <c r="A34" s="17">
        <v>40879</v>
      </c>
      <c r="B34" t="s">
        <v>34</v>
      </c>
      <c r="C34" s="145">
        <v>0.69789113853820006</v>
      </c>
      <c r="D34" s="90">
        <v>0.61682916891179307</v>
      </c>
      <c r="E34" s="12">
        <v>0.1161527423835744</v>
      </c>
      <c r="F34" s="90">
        <v>1.9798181576967031</v>
      </c>
      <c r="G34" s="12">
        <v>1.836858140717508</v>
      </c>
      <c r="H34" s="12">
        <v>0.35341297763897761</v>
      </c>
      <c r="I34" s="12">
        <v>0.5897162145893875</v>
      </c>
      <c r="J34" s="12">
        <v>0.86727701844687255</v>
      </c>
      <c r="K34" s="90">
        <v>3.2096701282617488</v>
      </c>
      <c r="L34" s="7">
        <v>0.61682916891179307</v>
      </c>
      <c r="M34" s="14">
        <v>0.1161527423835744</v>
      </c>
      <c r="N34" s="7">
        <v>1.387111488089283</v>
      </c>
      <c r="O34" s="14">
        <v>0.98757572849358866</v>
      </c>
      <c r="P34" s="7">
        <v>2.2487773892671421</v>
      </c>
      <c r="W34" s="117">
        <f>V32+I34/3</f>
        <v>0.32353449569068815</v>
      </c>
      <c r="X34" s="117">
        <f>V32+I34/5</f>
        <v>0.24490566707876979</v>
      </c>
      <c r="Y34" s="117"/>
      <c r="AA34" s="117"/>
    </row>
    <row r="35" spans="1:27" x14ac:dyDescent="0.2">
      <c r="B35" t="s">
        <v>35</v>
      </c>
      <c r="C35" s="145">
        <v>0.93481950109935497</v>
      </c>
      <c r="D35" s="90">
        <v>0.83638390027940757</v>
      </c>
      <c r="E35" s="12">
        <v>0.1052990451142561</v>
      </c>
      <c r="F35" s="90">
        <v>4.1053950979522362</v>
      </c>
      <c r="G35" s="12">
        <v>3.3916446898297048</v>
      </c>
      <c r="H35" s="12">
        <v>0.29386894016289</v>
      </c>
      <c r="I35" s="12">
        <v>0.58913160366153883</v>
      </c>
      <c r="J35" s="12">
        <v>1.3391128005143029</v>
      </c>
      <c r="K35" s="90">
        <v>4.9085056474434321</v>
      </c>
      <c r="L35" s="7">
        <v>0.83638390027940757</v>
      </c>
      <c r="M35" s="14">
        <v>0.1052990451142561</v>
      </c>
      <c r="N35" s="7">
        <v>1.788238578529846</v>
      </c>
      <c r="O35" s="14">
        <v>0.91292391357568392</v>
      </c>
      <c r="P35" s="7">
        <v>2.1380595417157791</v>
      </c>
      <c r="W35" s="117">
        <f>V33+I35/3</f>
        <v>0.25828174655052921</v>
      </c>
      <c r="X35" s="117">
        <f>V33+I35/5</f>
        <v>0.17973086606232402</v>
      </c>
      <c r="Y35" s="117"/>
      <c r="AA35" s="117"/>
    </row>
    <row r="36" spans="1:27" x14ac:dyDescent="0.2">
      <c r="C36" s="101"/>
      <c r="D36" s="90"/>
      <c r="F36" s="90"/>
      <c r="K36" s="90"/>
      <c r="L36" s="7"/>
      <c r="N36" s="7"/>
      <c r="P36" s="7"/>
      <c r="AA36" s="117"/>
    </row>
    <row r="37" spans="1:27" ht="17" customHeight="1" x14ac:dyDescent="0.2">
      <c r="A37" s="18" t="s">
        <v>224</v>
      </c>
      <c r="B37" t="s">
        <v>30</v>
      </c>
      <c r="C37" s="143">
        <v>50.391033986937202</v>
      </c>
      <c r="D37" s="90">
        <v>33.862369319437683</v>
      </c>
      <c r="E37" s="12">
        <v>0.32800804745908219</v>
      </c>
      <c r="F37" s="90">
        <v>164.6618380493311</v>
      </c>
      <c r="G37" s="12">
        <v>2.2676812722679238</v>
      </c>
      <c r="H37" s="12">
        <v>-2.570760515427661E-2</v>
      </c>
      <c r="I37" s="12">
        <v>0.20912720020261991</v>
      </c>
      <c r="J37" s="12">
        <v>0.69416846708261737</v>
      </c>
      <c r="K37" s="90">
        <v>4.8626791733327401</v>
      </c>
      <c r="L37" s="7">
        <v>33.862369319437683</v>
      </c>
      <c r="M37" s="14">
        <v>0.32800804745908219</v>
      </c>
      <c r="N37" s="7">
        <v>164.6618380493311</v>
      </c>
      <c r="O37" s="14">
        <v>2.2676812722679238</v>
      </c>
      <c r="P37" s="7">
        <v>4.8626791733327401</v>
      </c>
      <c r="Q37" s="99">
        <v>6.9146424391811331E-2</v>
      </c>
      <c r="R37" s="99">
        <v>1.2691460859824069E-2</v>
      </c>
      <c r="S37" s="99">
        <v>7.5193318123321189E-3</v>
      </c>
      <c r="U37" s="117">
        <f>C37*S37</f>
        <v>0.37890690491428591</v>
      </c>
      <c r="V37" s="117">
        <f>(1+S37)*Q37*(1-U37)+S37</f>
        <v>5.0788626533601847E-2</v>
      </c>
      <c r="W37" s="117">
        <f>V37+I37/3</f>
        <v>0.12049769326780849</v>
      </c>
      <c r="X37" s="117">
        <f>V37+I37/5</f>
        <v>9.2614066574125825E-2</v>
      </c>
      <c r="Y37" s="117"/>
      <c r="AA37" s="117"/>
    </row>
    <row r="38" spans="1:27" x14ac:dyDescent="0.2">
      <c r="A38" t="s">
        <v>225</v>
      </c>
      <c r="B38" t="s">
        <v>32</v>
      </c>
      <c r="C38" s="144">
        <v>237.8600839014758</v>
      </c>
      <c r="D38" s="90">
        <v>45.763955226430951</v>
      </c>
      <c r="E38" s="12">
        <v>0.80760136599721843</v>
      </c>
      <c r="F38" s="90">
        <v>-17.461523052072842</v>
      </c>
      <c r="G38" s="12">
        <v>-1.073410900919826</v>
      </c>
      <c r="H38" s="12">
        <v>-0.6388338221692158</v>
      </c>
      <c r="I38" s="12">
        <v>-0.42703596231916718</v>
      </c>
      <c r="J38" s="12">
        <v>-1.253022914645691</v>
      </c>
      <c r="K38" s="90">
        <v>-0.38155624804885618</v>
      </c>
      <c r="L38" s="7">
        <v>53.824665869626138</v>
      </c>
      <c r="M38" s="14">
        <v>0.77371291144452425</v>
      </c>
      <c r="N38" s="7">
        <v>-17.461523052072842</v>
      </c>
      <c r="O38" s="14">
        <v>-1.073410900919826</v>
      </c>
      <c r="P38" s="7">
        <v>-0.32441488990137091</v>
      </c>
      <c r="S38" s="99">
        <v>5.5741378733598834E-3</v>
      </c>
      <c r="U38" s="117">
        <f>C38*S38</f>
        <v>1.3258649022357758</v>
      </c>
      <c r="V38" s="117">
        <f>(1+S38)*R37*(1-U38)+S38</f>
        <v>1.4153832498310474E-3</v>
      </c>
      <c r="W38" s="117">
        <f>V38+I38/3</f>
        <v>-0.14092993752322469</v>
      </c>
      <c r="X38" s="117">
        <f>V38+I38/5</f>
        <v>-8.3991809214002386E-2</v>
      </c>
      <c r="Y38" s="117"/>
      <c r="AA38" s="117"/>
    </row>
    <row r="39" spans="1:27" x14ac:dyDescent="0.2">
      <c r="A39" s="17">
        <v>40879</v>
      </c>
      <c r="B39" t="s">
        <v>34</v>
      </c>
      <c r="C39" s="145">
        <v>3.4843598216029479</v>
      </c>
      <c r="D39" s="90">
        <v>2.5517260600665459</v>
      </c>
      <c r="E39" s="12">
        <v>0.26766287332154798</v>
      </c>
      <c r="F39" s="90">
        <v>11.196203538522511</v>
      </c>
      <c r="G39" s="12">
        <v>2.213274205811441</v>
      </c>
      <c r="H39" s="12">
        <v>1.415611670103867E-2</v>
      </c>
      <c r="I39" s="12">
        <v>0.2323181426223937</v>
      </c>
      <c r="J39" s="12">
        <v>0.43519659079484557</v>
      </c>
      <c r="K39" s="90">
        <v>4.3876980815999191</v>
      </c>
      <c r="L39" s="7">
        <v>2.5517260600665459</v>
      </c>
      <c r="M39" s="14">
        <v>0.26766287332154798</v>
      </c>
      <c r="N39" s="7">
        <v>5.8810075255912846</v>
      </c>
      <c r="O39" s="14">
        <v>0.6878301400243394</v>
      </c>
      <c r="P39" s="7">
        <v>2.3047174293614869</v>
      </c>
      <c r="W39" s="117">
        <f>V37+I39/3</f>
        <v>0.12822800740773307</v>
      </c>
      <c r="X39" s="117">
        <f>V37+I39/5</f>
        <v>9.7252255058080578E-2</v>
      </c>
      <c r="Y39" s="117"/>
      <c r="AA39" s="117"/>
    </row>
    <row r="40" spans="1:27" x14ac:dyDescent="0.2">
      <c r="B40" t="s">
        <v>35</v>
      </c>
      <c r="C40" s="143">
        <v>3.0187919449500491</v>
      </c>
      <c r="D40" s="90">
        <v>2.1471024764404798</v>
      </c>
      <c r="E40" s="12">
        <v>0.28875440388257462</v>
      </c>
      <c r="F40" s="90">
        <v>10.46845598570062</v>
      </c>
      <c r="G40" s="12">
        <v>2.4677633227465892</v>
      </c>
      <c r="H40" s="12">
        <v>-2.4713831383245122E-3</v>
      </c>
      <c r="I40" s="12">
        <v>0.18873353718102279</v>
      </c>
      <c r="J40" s="12">
        <v>0.61877258695702486</v>
      </c>
      <c r="K40" s="90">
        <v>4.8756200975816899</v>
      </c>
      <c r="L40" s="7">
        <v>2.1471024764404798</v>
      </c>
      <c r="M40" s="14">
        <v>0.28875440388257462</v>
      </c>
      <c r="N40" s="7">
        <v>4.5110946363974351</v>
      </c>
      <c r="O40" s="14">
        <v>0.49433770814970113</v>
      </c>
      <c r="P40" s="7">
        <v>2.1010150590837382</v>
      </c>
      <c r="W40" s="117">
        <f>V38+I40/3</f>
        <v>6.4326562310171975E-2</v>
      </c>
      <c r="X40" s="117">
        <f>V38+I40/5</f>
        <v>3.91620906860356E-2</v>
      </c>
      <c r="Y40" s="117"/>
      <c r="AA40" s="117"/>
    </row>
    <row r="41" spans="1:27" x14ac:dyDescent="0.2">
      <c r="C41" s="101"/>
      <c r="D41" s="90"/>
      <c r="F41" s="90"/>
      <c r="K41" s="90"/>
      <c r="L41" s="7"/>
      <c r="N41" s="7"/>
      <c r="P41" s="7"/>
      <c r="AA41" s="117"/>
    </row>
    <row r="42" spans="1:27" ht="17" customHeight="1" x14ac:dyDescent="0.2">
      <c r="A42" s="11" t="s">
        <v>226</v>
      </c>
      <c r="B42" t="s">
        <v>30</v>
      </c>
      <c r="C42" s="145">
        <v>19.243562870367889</v>
      </c>
      <c r="D42" s="90">
        <v>16.293276748934719</v>
      </c>
      <c r="E42" s="12">
        <v>0.15331288396579379</v>
      </c>
      <c r="F42" s="90">
        <v>-138.4453558419508</v>
      </c>
      <c r="G42" s="12">
        <v>-8.1943723090454981</v>
      </c>
      <c r="H42" s="12">
        <v>1.6629663993669821</v>
      </c>
      <c r="I42" s="12">
        <v>2.546002380515203</v>
      </c>
      <c r="J42" s="12">
        <v>3.7416336130189798</v>
      </c>
      <c r="K42" s="90">
        <v>-8.4970849004330944</v>
      </c>
      <c r="L42" s="7">
        <v>16.293276748934719</v>
      </c>
      <c r="M42" s="14">
        <v>0.15331288396579379</v>
      </c>
      <c r="N42" s="7">
        <v>-138.4453558419508</v>
      </c>
      <c r="O42" s="14">
        <v>-8.1943723090454981</v>
      </c>
      <c r="P42" s="7">
        <v>-8.4970849004330944</v>
      </c>
      <c r="Q42" s="99">
        <v>8.1021210595234039E-2</v>
      </c>
      <c r="R42" s="99">
        <v>-0.17389449361938869</v>
      </c>
      <c r="S42" s="99">
        <v>3.4830217602738169E-2</v>
      </c>
      <c r="U42" s="117">
        <f>C42*S42</f>
        <v>0.6702574822268863</v>
      </c>
      <c r="V42" s="117">
        <f>(1+S42)*Q42*(1-U42)+S42</f>
        <v>6.2476884476599832E-2</v>
      </c>
      <c r="W42" s="117">
        <f>V42+I42/3</f>
        <v>0.91114434464833416</v>
      </c>
      <c r="X42" s="117">
        <f>V42+I42/5</f>
        <v>0.57167736057964047</v>
      </c>
      <c r="Y42" s="117"/>
      <c r="AA42" s="117"/>
    </row>
    <row r="43" spans="1:27" x14ac:dyDescent="0.2">
      <c r="A43" t="s">
        <v>227</v>
      </c>
      <c r="B43" t="s">
        <v>32</v>
      </c>
      <c r="C43" s="144">
        <v>-18.082015993415361</v>
      </c>
      <c r="D43" s="90">
        <v>42.182526411304693</v>
      </c>
      <c r="E43" s="12">
        <v>3.3328442153057281</v>
      </c>
      <c r="F43" s="90">
        <v>-12.25338219316111</v>
      </c>
      <c r="G43" s="12">
        <v>-0.32234424537489481</v>
      </c>
      <c r="H43" s="12">
        <v>-5.898322206296168</v>
      </c>
      <c r="I43" s="12">
        <v>-9.9971286977187486</v>
      </c>
      <c r="J43" s="12">
        <v>0.37940872578131207</v>
      </c>
      <c r="K43" s="90">
        <v>-0.29048478684475543</v>
      </c>
      <c r="L43" s="7">
        <v>94.179569941435929</v>
      </c>
      <c r="M43" s="14">
        <v>6.2084662448994514</v>
      </c>
      <c r="N43" s="7">
        <v>-12.25338219316111</v>
      </c>
      <c r="O43" s="14">
        <v>-0.32234424537489481</v>
      </c>
      <c r="P43" s="7">
        <v>-0.13010658469539291</v>
      </c>
      <c r="S43" s="99">
        <v>4.228751988091973E-3</v>
      </c>
      <c r="U43" s="117">
        <f>C43*S43</f>
        <v>-7.6464361080866058E-2</v>
      </c>
      <c r="V43" s="117">
        <f>(1+S43)*R42*(1-U43)+S43</f>
        <v>-0.18375405824612703</v>
      </c>
      <c r="W43" s="117">
        <f>V43+I43/3</f>
        <v>-3.516130290819043</v>
      </c>
      <c r="X43" s="117">
        <f>V43+I43/5</f>
        <v>-2.1831797977898768</v>
      </c>
      <c r="Y43" s="117"/>
      <c r="AA43" s="117"/>
    </row>
    <row r="44" spans="1:27" x14ac:dyDescent="0.2">
      <c r="A44" s="17">
        <v>40879</v>
      </c>
      <c r="B44" t="s">
        <v>34</v>
      </c>
      <c r="C44" s="145">
        <v>1.5591367599227031</v>
      </c>
      <c r="D44" s="90">
        <v>1.292087662856279</v>
      </c>
      <c r="E44" s="12">
        <v>0.1712800980201786</v>
      </c>
      <c r="F44" s="90">
        <v>7.1886479089227278</v>
      </c>
      <c r="G44" s="12">
        <v>3.6106589836796088</v>
      </c>
      <c r="H44" s="12">
        <v>0.44235657643336063</v>
      </c>
      <c r="I44" s="12">
        <v>0.84844191488931098</v>
      </c>
      <c r="J44" s="12">
        <v>1.3303020363637921</v>
      </c>
      <c r="K44" s="90">
        <v>5.5635914772466446</v>
      </c>
      <c r="L44" s="7">
        <v>1.292087662856279</v>
      </c>
      <c r="M44" s="14">
        <v>0.1712800980201786</v>
      </c>
      <c r="N44" s="7">
        <v>3.912349014325986</v>
      </c>
      <c r="O44" s="14">
        <v>1.509304581158069</v>
      </c>
      <c r="P44" s="7">
        <v>3.027928465532578</v>
      </c>
      <c r="W44" s="117">
        <f>V42+I44/3</f>
        <v>0.34529085610637017</v>
      </c>
      <c r="X44" s="117">
        <f>V42+I44/5</f>
        <v>0.23216526745446203</v>
      </c>
      <c r="Y44" s="117"/>
      <c r="AA44" s="117"/>
    </row>
    <row r="45" spans="1:27" x14ac:dyDescent="0.2">
      <c r="B45" t="s">
        <v>35</v>
      </c>
      <c r="C45" s="143">
        <v>3.1443630147926531</v>
      </c>
      <c r="D45" s="90">
        <v>2.0741154744243291</v>
      </c>
      <c r="E45" s="12">
        <v>0.34037022294606101</v>
      </c>
      <c r="F45" s="90">
        <v>9.4126542044717976</v>
      </c>
      <c r="G45" s="12">
        <v>1.9935011193650269</v>
      </c>
      <c r="H45" s="12">
        <v>-0.11212238629244441</v>
      </c>
      <c r="I45" s="12">
        <v>6.7828244523352454E-2</v>
      </c>
      <c r="J45" s="12">
        <v>0.4445857590112674</v>
      </c>
      <c r="K45" s="90">
        <v>4.538153405891868</v>
      </c>
      <c r="L45" s="7">
        <v>2.0741154744243291</v>
      </c>
      <c r="M45" s="14">
        <v>0.34037022294606101</v>
      </c>
      <c r="N45" s="7">
        <v>3.8391970341020811</v>
      </c>
      <c r="O45" s="14">
        <v>0.22097767212010269</v>
      </c>
      <c r="P45" s="7">
        <v>1.8510044794722189</v>
      </c>
      <c r="W45" s="117">
        <f>V43+I45/3</f>
        <v>-0.16114464340500956</v>
      </c>
      <c r="X45" s="117">
        <f>V43+I45/5</f>
        <v>-0.17018840934145654</v>
      </c>
      <c r="Y45" s="117"/>
      <c r="AA45" s="117"/>
    </row>
    <row r="46" spans="1:27" x14ac:dyDescent="0.2">
      <c r="C46" s="101"/>
      <c r="D46" s="90"/>
      <c r="F46" s="90"/>
      <c r="K46" s="90"/>
      <c r="L46" s="7"/>
      <c r="N46" s="7"/>
      <c r="P46" s="7"/>
      <c r="AA46" s="117"/>
    </row>
    <row r="47" spans="1:27" ht="17" customHeight="1" x14ac:dyDescent="0.2">
      <c r="A47" s="11" t="s">
        <v>228</v>
      </c>
      <c r="B47" t="s">
        <v>30</v>
      </c>
      <c r="C47" s="144">
        <v>39.670679813344456</v>
      </c>
      <c r="D47" s="90">
        <v>10.44099953460197</v>
      </c>
      <c r="E47" s="12">
        <v>0.73680815192156546</v>
      </c>
      <c r="F47" s="90">
        <v>57.044551737137382</v>
      </c>
      <c r="G47" s="12">
        <v>0.4379524627644189</v>
      </c>
      <c r="H47" s="12">
        <v>-0.58822776192450887</v>
      </c>
      <c r="I47" s="12">
        <v>-0.49211396939531149</v>
      </c>
      <c r="J47" s="12">
        <v>-0.38349130630085682</v>
      </c>
      <c r="K47" s="90">
        <v>5.4635144411307568</v>
      </c>
      <c r="L47" s="7">
        <v>15.779029596544911</v>
      </c>
      <c r="M47" s="14">
        <v>0.60224957901434439</v>
      </c>
      <c r="N47" s="7">
        <v>57.044551737137382</v>
      </c>
      <c r="O47" s="14">
        <v>0.4379524627644189</v>
      </c>
      <c r="P47" s="7">
        <v>3.6152129247307001</v>
      </c>
      <c r="Q47" s="99">
        <v>4.4259834793733091E-2</v>
      </c>
      <c r="R47" s="99">
        <v>1.1439060718931309E-2</v>
      </c>
      <c r="S47" s="99">
        <v>1.814735271264032E-2</v>
      </c>
      <c r="U47" s="117">
        <f>C47*S47</f>
        <v>0.71991781892298212</v>
      </c>
      <c r="V47" s="117">
        <f>(1+S47)*Q47*(1-U47)+S47</f>
        <v>3.0768705456764141E-2</v>
      </c>
      <c r="W47" s="117">
        <f>V47+I47/3</f>
        <v>-0.13326928434167304</v>
      </c>
      <c r="X47" s="117">
        <f>V47+I47/5</f>
        <v>-6.765408842229817E-2</v>
      </c>
      <c r="Y47" s="117"/>
      <c r="AA47" s="117"/>
    </row>
    <row r="48" spans="1:27" x14ac:dyDescent="0.2">
      <c r="A48" t="s">
        <v>229</v>
      </c>
      <c r="B48" t="s">
        <v>32</v>
      </c>
      <c r="C48" s="144">
        <v>147.23960662060171</v>
      </c>
      <c r="D48" s="90">
        <v>15.70196708506923</v>
      </c>
      <c r="E48" s="12">
        <v>0.89335772184226814</v>
      </c>
      <c r="F48" s="90">
        <v>-42.592719465097289</v>
      </c>
      <c r="G48" s="12">
        <v>-1.2892748795155891</v>
      </c>
      <c r="H48" s="12">
        <v>-0.83867170035488692</v>
      </c>
      <c r="I48" s="12">
        <v>-0.76547610986138337</v>
      </c>
      <c r="J48" s="12">
        <v>-0.59370445860681176</v>
      </c>
      <c r="K48" s="90">
        <v>-2.712572204128366</v>
      </c>
      <c r="L48" s="7">
        <v>22.125191755175539</v>
      </c>
      <c r="M48" s="14">
        <v>0.84973342252817596</v>
      </c>
      <c r="N48" s="7">
        <v>-42.592719465097289</v>
      </c>
      <c r="O48" s="14">
        <v>-1.2892748795155891</v>
      </c>
      <c r="P48" s="7">
        <v>-1.9250779806296581</v>
      </c>
      <c r="S48" s="99">
        <v>1.383436914446233E-2</v>
      </c>
      <c r="U48" s="117">
        <f>C48*S48</f>
        <v>2.0369670706748235</v>
      </c>
      <c r="V48" s="117">
        <f>(1+S48)*R47*(1-U48)+S48</f>
        <v>1.8083375509867477E-3</v>
      </c>
      <c r="W48" s="117">
        <f>V48+I48/3</f>
        <v>-0.25335036573614106</v>
      </c>
      <c r="X48" s="117">
        <f>V48+I48/5</f>
        <v>-0.15128688442128993</v>
      </c>
      <c r="Y48" s="117"/>
      <c r="AA48" s="117"/>
    </row>
    <row r="49" spans="1:27" x14ac:dyDescent="0.2">
      <c r="A49" s="17">
        <v>40879</v>
      </c>
      <c r="B49" t="s">
        <v>34</v>
      </c>
      <c r="C49" s="146">
        <v>1.7558177346937081</v>
      </c>
      <c r="D49" s="90">
        <v>1.339841523160388</v>
      </c>
      <c r="E49" s="12">
        <v>0.23691309371919811</v>
      </c>
      <c r="F49" s="90">
        <v>3.8243930784200231</v>
      </c>
      <c r="G49" s="12">
        <v>1.17812646657608</v>
      </c>
      <c r="H49" s="12">
        <v>-0.13631239985750229</v>
      </c>
      <c r="I49" s="12">
        <v>-2.0402516197194132E-2</v>
      </c>
      <c r="J49" s="12">
        <v>0.1160113362550326</v>
      </c>
      <c r="K49" s="90">
        <v>2.8543622602463699</v>
      </c>
      <c r="L49" s="7">
        <v>1.339841523160388</v>
      </c>
      <c r="M49" s="14">
        <v>0.23691309371919811</v>
      </c>
      <c r="N49" s="7">
        <v>2.188396794012204</v>
      </c>
      <c r="O49" s="14">
        <v>0.24636899990872729</v>
      </c>
      <c r="P49" s="7">
        <v>1.633325103143739</v>
      </c>
      <c r="W49" s="117">
        <f>V47+I49/3</f>
        <v>2.3967866724366096E-2</v>
      </c>
      <c r="X49" s="117">
        <f>V47+I49/5</f>
        <v>2.6688202217325315E-2</v>
      </c>
      <c r="Y49" s="117"/>
      <c r="AA49" s="117"/>
    </row>
    <row r="50" spans="1:27" x14ac:dyDescent="0.2">
      <c r="B50" t="s">
        <v>35</v>
      </c>
      <c r="C50" s="143">
        <v>1.6842828003646231</v>
      </c>
      <c r="D50" s="90">
        <v>1.1876510268514191</v>
      </c>
      <c r="E50" s="12">
        <v>0.29486246217422052</v>
      </c>
      <c r="F50" s="90">
        <v>4.6522789104622619</v>
      </c>
      <c r="G50" s="12">
        <v>1.7621720707799839</v>
      </c>
      <c r="H50" s="12">
        <v>-0.1545432290154263</v>
      </c>
      <c r="I50" s="12">
        <v>2.931543363647671E-2</v>
      </c>
      <c r="J50" s="12">
        <v>0.31017307387380311</v>
      </c>
      <c r="K50" s="90">
        <v>3.917210363380828</v>
      </c>
      <c r="L50" s="7">
        <v>1.1876510268514191</v>
      </c>
      <c r="M50" s="14">
        <v>0.29486246217422052</v>
      </c>
      <c r="N50" s="7">
        <v>1.9090576844465661</v>
      </c>
      <c r="O50" s="14">
        <v>0.13345436053451509</v>
      </c>
      <c r="P50" s="7">
        <v>1.607423090861688</v>
      </c>
      <c r="W50" s="117">
        <f>V48+I50/3</f>
        <v>1.1580148763145651E-2</v>
      </c>
      <c r="X50" s="117">
        <f>V48+I50/5</f>
        <v>7.6714242782820897E-3</v>
      </c>
      <c r="Y50" s="117"/>
      <c r="AA50" s="117"/>
    </row>
    <row r="51" spans="1:27" x14ac:dyDescent="0.2">
      <c r="C51" s="101"/>
      <c r="D51" s="90"/>
      <c r="F51" s="90"/>
      <c r="K51" s="90"/>
      <c r="L51" s="7"/>
      <c r="N51" s="7"/>
      <c r="P51" s="7"/>
      <c r="AA51" s="117"/>
    </row>
    <row r="52" spans="1:27" ht="17" customHeight="1" x14ac:dyDescent="0.2">
      <c r="A52" s="11" t="s">
        <v>230</v>
      </c>
      <c r="B52" t="s">
        <v>30</v>
      </c>
      <c r="C52" s="145">
        <v>-131.8619452876512</v>
      </c>
      <c r="D52" s="90">
        <v>8.7167045116705495</v>
      </c>
      <c r="E52" s="12">
        <v>1.06610477717931</v>
      </c>
      <c r="F52" s="90">
        <v>-113.58005374304619</v>
      </c>
      <c r="G52" s="12">
        <v>-0.13864418202479761</v>
      </c>
      <c r="H52" s="12">
        <v>-1.0802411048821421</v>
      </c>
      <c r="I52" s="12">
        <v>-1.1048823806499111</v>
      </c>
      <c r="J52" s="12">
        <v>-1.182139699553177</v>
      </c>
      <c r="K52" s="90">
        <v>-13.030159917773631</v>
      </c>
      <c r="L52" s="7">
        <v>8.7167045116705495</v>
      </c>
      <c r="M52" s="14">
        <v>1.06610477717931</v>
      </c>
      <c r="N52" s="7">
        <v>-113.58005374304619</v>
      </c>
      <c r="O52" s="14">
        <v>-0.13864418202479761</v>
      </c>
      <c r="P52" s="7">
        <v>-13.030159917773631</v>
      </c>
      <c r="Q52" s="99">
        <v>-7.5768251655334304E-3</v>
      </c>
      <c r="R52" s="99">
        <v>-0.1536496373447867</v>
      </c>
      <c r="S52" s="99">
        <v>2.4889303697388829E-2</v>
      </c>
      <c r="U52" s="117"/>
      <c r="V52" s="117"/>
      <c r="W52" s="117"/>
      <c r="X52" s="117"/>
      <c r="Y52" s="117"/>
      <c r="AA52" s="117"/>
    </row>
    <row r="53" spans="1:27" x14ac:dyDescent="0.2">
      <c r="A53" t="s">
        <v>231</v>
      </c>
      <c r="B53" t="s">
        <v>32</v>
      </c>
      <c r="C53" s="145">
        <v>-7.0289028748224638</v>
      </c>
      <c r="D53" s="90">
        <v>13.29632405919407</v>
      </c>
      <c r="E53" s="12">
        <v>2.8916642178712579</v>
      </c>
      <c r="F53" s="90">
        <v>-6.4925644491086896</v>
      </c>
      <c r="G53" s="12">
        <v>-7.6304714301137722E-2</v>
      </c>
      <c r="H53" s="12">
        <v>-3.639546974359114</v>
      </c>
      <c r="I53" s="12">
        <v>-5.8464824194235918</v>
      </c>
      <c r="J53" s="12">
        <v>-11.212699593579231</v>
      </c>
      <c r="K53" s="90">
        <v>-0.48829769943966178</v>
      </c>
      <c r="L53" s="7">
        <v>13.29632405919407</v>
      </c>
      <c r="M53" s="14">
        <v>2.8916642178712579</v>
      </c>
      <c r="N53" s="7">
        <v>-6.4925644491086896</v>
      </c>
      <c r="O53" s="14">
        <v>-7.6304714301137722E-2</v>
      </c>
      <c r="P53" s="7">
        <v>-0.48829769943966178</v>
      </c>
      <c r="S53" s="99">
        <v>1.345952393429416E-2</v>
      </c>
      <c r="U53" s="117"/>
      <c r="V53" s="117"/>
      <c r="W53" s="117"/>
      <c r="X53" s="117"/>
      <c r="Y53" s="117"/>
      <c r="AA53" s="117"/>
    </row>
    <row r="54" spans="1:27" x14ac:dyDescent="0.2">
      <c r="A54" s="17"/>
      <c r="B54" t="s">
        <v>34</v>
      </c>
      <c r="C54" s="145">
        <v>0.99909490543166757</v>
      </c>
      <c r="D54" s="90">
        <v>0.86035210103090654</v>
      </c>
      <c r="E54" s="12">
        <v>0.13886849351995839</v>
      </c>
      <c r="F54" s="90">
        <v>4.6266063130434096</v>
      </c>
      <c r="G54" s="12">
        <v>3.6307976228188701</v>
      </c>
      <c r="H54" s="12">
        <v>0.19323112480588911</v>
      </c>
      <c r="I54" s="12">
        <v>0.7195911363499643</v>
      </c>
      <c r="J54" s="12">
        <v>1.371386765448265</v>
      </c>
      <c r="K54" s="90">
        <v>5.3775730976883001</v>
      </c>
      <c r="L54" s="7">
        <v>0.86035210103090654</v>
      </c>
      <c r="M54" s="14">
        <v>0.13886849351995839</v>
      </c>
      <c r="N54" s="7">
        <v>2.1474355503460512</v>
      </c>
      <c r="O54" s="14">
        <v>1.149380943363167</v>
      </c>
      <c r="P54" s="7">
        <v>2.4959961715359471</v>
      </c>
      <c r="W54" s="117"/>
      <c r="X54" s="117"/>
      <c r="Y54" s="117"/>
      <c r="AA54" s="117"/>
    </row>
    <row r="55" spans="1:27" x14ac:dyDescent="0.2">
      <c r="B55" t="s">
        <v>35</v>
      </c>
      <c r="C55" s="145">
        <v>1.0799883776482</v>
      </c>
      <c r="D55" s="90">
        <v>0.91462206612870844</v>
      </c>
      <c r="E55" s="12">
        <v>0.15311860288681611</v>
      </c>
      <c r="F55" s="90">
        <v>5.2569170387406254</v>
      </c>
      <c r="G55" s="12">
        <v>3.8675681586390511</v>
      </c>
      <c r="H55" s="12">
        <v>3.434516514542274E-2</v>
      </c>
      <c r="I55" s="12">
        <v>0.72149539442165334</v>
      </c>
      <c r="J55" s="12">
        <v>1.410968945060795</v>
      </c>
      <c r="K55" s="90">
        <v>5.74763854210451</v>
      </c>
      <c r="L55" s="7">
        <v>0.91462206612870844</v>
      </c>
      <c r="M55" s="14">
        <v>0.15311860288681611</v>
      </c>
      <c r="N55" s="7">
        <v>1.9969888766345181</v>
      </c>
      <c r="O55" s="14">
        <v>0.84908367345877633</v>
      </c>
      <c r="P55" s="7">
        <v>2.1834033428551631</v>
      </c>
      <c r="W55" s="117"/>
      <c r="X55" s="117"/>
      <c r="Y55" s="117"/>
      <c r="AA55" s="117"/>
    </row>
    <row r="56" spans="1:27" x14ac:dyDescent="0.2">
      <c r="C56" s="101"/>
      <c r="D56" s="90"/>
      <c r="F56" s="90"/>
      <c r="K56" s="90"/>
      <c r="L56" s="7"/>
      <c r="N56" s="7"/>
      <c r="P56" s="7"/>
    </row>
    <row r="57" spans="1:27" x14ac:dyDescent="0.2">
      <c r="C57" s="101"/>
      <c r="D57" s="90"/>
      <c r="F57" s="90"/>
      <c r="K57" s="90"/>
      <c r="L57" s="7"/>
      <c r="N57" s="7"/>
      <c r="P57" s="7"/>
      <c r="U57" s="117"/>
      <c r="V57" s="117"/>
      <c r="W57" s="117"/>
      <c r="X57" s="117"/>
      <c r="Y57" s="117"/>
    </row>
    <row r="58" spans="1:27" x14ac:dyDescent="0.2">
      <c r="C58" s="101"/>
      <c r="D58" s="90"/>
      <c r="F58" s="90"/>
      <c r="K58" s="90"/>
      <c r="L58" s="7"/>
      <c r="N58" s="7"/>
      <c r="P58" s="7"/>
      <c r="U58" s="117"/>
      <c r="V58" s="117"/>
      <c r="W58" s="117"/>
      <c r="X58" s="117"/>
      <c r="Y58" s="117"/>
    </row>
    <row r="59" spans="1:27" x14ac:dyDescent="0.2">
      <c r="C59" s="101"/>
      <c r="D59" s="90"/>
      <c r="F59" s="90"/>
      <c r="K59" s="90"/>
      <c r="L59" s="7"/>
      <c r="N59" s="7"/>
      <c r="P59" s="7"/>
      <c r="W59" s="117"/>
      <c r="X59" s="117"/>
      <c r="Y59" s="117"/>
    </row>
    <row r="60" spans="1:27" x14ac:dyDescent="0.2">
      <c r="C60" s="101"/>
      <c r="D60" s="90"/>
      <c r="F60" s="90"/>
      <c r="K60" s="90"/>
      <c r="L60" s="7"/>
      <c r="N60" s="7"/>
      <c r="P60" s="7"/>
      <c r="W60" s="117"/>
      <c r="X60" s="117"/>
      <c r="Y60" s="117"/>
    </row>
    <row r="61" spans="1:27" x14ac:dyDescent="0.2">
      <c r="C61" s="101"/>
      <c r="D61" s="90"/>
      <c r="F61" s="90"/>
      <c r="K61" s="90"/>
      <c r="L61" s="7"/>
      <c r="N61" s="7"/>
      <c r="P61" s="7"/>
    </row>
    <row r="62" spans="1:27" x14ac:dyDescent="0.2">
      <c r="C62" s="101"/>
      <c r="D62" s="90"/>
      <c r="F62" s="90"/>
      <c r="K62" s="90"/>
      <c r="L62" s="7"/>
      <c r="N62" s="7"/>
      <c r="P62" s="7"/>
      <c r="U62" s="117"/>
      <c r="V62" s="117"/>
      <c r="W62" s="117"/>
      <c r="X62" s="117"/>
      <c r="Y62" s="117"/>
    </row>
    <row r="63" spans="1:27" x14ac:dyDescent="0.2">
      <c r="C63" s="101"/>
      <c r="D63" s="90"/>
      <c r="F63" s="90"/>
      <c r="K63" s="90"/>
      <c r="L63" s="7"/>
      <c r="N63" s="7"/>
      <c r="P63" s="7"/>
      <c r="U63" s="117"/>
      <c r="V63" s="117"/>
      <c r="W63" s="117"/>
      <c r="X63" s="117"/>
      <c r="Y63" s="117"/>
    </row>
    <row r="64" spans="1:27" x14ac:dyDescent="0.2">
      <c r="C64" s="101"/>
      <c r="D64" s="90"/>
      <c r="F64" s="90"/>
      <c r="K64" s="90"/>
      <c r="L64" s="7"/>
      <c r="N64" s="7"/>
      <c r="P64" s="7"/>
      <c r="W64" s="117"/>
      <c r="X64" s="117"/>
      <c r="Y64" s="117"/>
    </row>
    <row r="65" spans="3:25" x14ac:dyDescent="0.2">
      <c r="C65" s="101"/>
      <c r="D65" s="90"/>
      <c r="F65" s="90"/>
      <c r="K65" s="90"/>
      <c r="L65" s="7"/>
      <c r="N65" s="7"/>
      <c r="P65" s="7"/>
      <c r="W65" s="117"/>
      <c r="X65" s="117"/>
      <c r="Y65" s="117"/>
    </row>
    <row r="66" spans="3:25" x14ac:dyDescent="0.2">
      <c r="C66" s="101"/>
      <c r="D66" s="90"/>
      <c r="F66" s="90"/>
      <c r="K66" s="90"/>
      <c r="L66" s="7"/>
      <c r="N66" s="7"/>
      <c r="P66" s="7"/>
    </row>
    <row r="67" spans="3:25" x14ac:dyDescent="0.2">
      <c r="C67" s="101"/>
      <c r="D67" s="90"/>
      <c r="F67" s="90"/>
      <c r="K67" s="90"/>
      <c r="L67" s="7"/>
      <c r="N67" s="7"/>
      <c r="P67" s="7"/>
      <c r="U67" s="117"/>
      <c r="V67" s="117"/>
      <c r="W67" s="117"/>
      <c r="X67" s="117"/>
      <c r="Y67" s="117"/>
    </row>
    <row r="68" spans="3:25" x14ac:dyDescent="0.2">
      <c r="C68" s="101"/>
      <c r="D68" s="90"/>
      <c r="F68" s="90"/>
      <c r="K68" s="90"/>
      <c r="L68" s="7"/>
      <c r="N68" s="7"/>
      <c r="P68" s="7"/>
      <c r="U68" s="117"/>
      <c r="V68" s="117"/>
      <c r="W68" s="117"/>
      <c r="X68" s="117"/>
      <c r="Y68" s="117"/>
    </row>
    <row r="69" spans="3:25" x14ac:dyDescent="0.2">
      <c r="C69" s="101"/>
      <c r="D69" s="90"/>
      <c r="F69" s="90"/>
      <c r="K69" s="90"/>
      <c r="L69" s="7"/>
      <c r="N69" s="7"/>
      <c r="P69" s="7"/>
      <c r="W69" s="117"/>
      <c r="X69" s="117"/>
      <c r="Y69" s="117"/>
    </row>
    <row r="70" spans="3:25" x14ac:dyDescent="0.2">
      <c r="C70" s="101"/>
      <c r="D70" s="90"/>
      <c r="F70" s="90"/>
      <c r="K70" s="90"/>
      <c r="L70" s="7"/>
      <c r="N70" s="7"/>
      <c r="P70" s="7"/>
      <c r="W70" s="117"/>
      <c r="X70" s="117"/>
      <c r="Y70" s="117"/>
    </row>
    <row r="71" spans="3:25" x14ac:dyDescent="0.2">
      <c r="C71" s="101"/>
      <c r="D71" s="90"/>
      <c r="F71" s="90"/>
      <c r="K71" s="90"/>
      <c r="L71" s="7"/>
      <c r="N71" s="7"/>
      <c r="P71" s="7"/>
    </row>
    <row r="72" spans="3:25" x14ac:dyDescent="0.2">
      <c r="C72" s="101"/>
      <c r="D72" s="90"/>
      <c r="F72" s="90"/>
      <c r="K72" s="90"/>
      <c r="L72" s="7"/>
      <c r="N72" s="7"/>
      <c r="P72" s="7"/>
      <c r="U72" s="117"/>
      <c r="V72" s="117"/>
      <c r="W72" s="117"/>
      <c r="X72" s="117"/>
      <c r="Y72" s="117"/>
    </row>
    <row r="73" spans="3:25" x14ac:dyDescent="0.2">
      <c r="C73" s="101"/>
      <c r="D73" s="90"/>
      <c r="F73" s="90"/>
      <c r="K73" s="90"/>
      <c r="L73" s="7"/>
      <c r="N73" s="7"/>
      <c r="P73" s="7"/>
      <c r="U73" s="117"/>
      <c r="V73" s="117"/>
      <c r="W73" s="117"/>
      <c r="X73" s="117"/>
      <c r="Y73" s="117"/>
    </row>
    <row r="74" spans="3:25" x14ac:dyDescent="0.2">
      <c r="C74" s="101"/>
      <c r="D74" s="90"/>
      <c r="F74" s="90"/>
      <c r="K74" s="90"/>
      <c r="L74" s="7"/>
      <c r="N74" s="7"/>
      <c r="P74" s="7"/>
      <c r="W74" s="117"/>
      <c r="X74" s="117"/>
      <c r="Y74" s="117"/>
    </row>
    <row r="75" spans="3:25" x14ac:dyDescent="0.2">
      <c r="C75" s="101"/>
      <c r="D75" s="90"/>
      <c r="F75" s="90"/>
      <c r="K75" s="90"/>
      <c r="L75" s="7"/>
      <c r="N75" s="7"/>
      <c r="P75" s="7"/>
      <c r="W75" s="117"/>
      <c r="X75" s="117"/>
      <c r="Y75" s="117"/>
    </row>
    <row r="76" spans="3:25" x14ac:dyDescent="0.2">
      <c r="C76" s="101"/>
      <c r="D76" s="90"/>
      <c r="F76" s="90"/>
      <c r="K76" s="90"/>
      <c r="L76" s="7"/>
      <c r="N76" s="7"/>
      <c r="P76" s="7"/>
    </row>
    <row r="77" spans="3:25" x14ac:dyDescent="0.2">
      <c r="C77" s="101"/>
      <c r="D77" s="90"/>
      <c r="F77" s="90"/>
      <c r="K77" s="90"/>
      <c r="L77" s="7"/>
      <c r="N77" s="7"/>
      <c r="P77" s="7"/>
      <c r="U77" s="117"/>
      <c r="V77" s="117"/>
      <c r="W77" s="117"/>
      <c r="X77" s="117"/>
      <c r="Y77" s="117"/>
    </row>
    <row r="78" spans="3:25" x14ac:dyDescent="0.2">
      <c r="C78" s="101"/>
      <c r="D78" s="90"/>
      <c r="F78" s="90"/>
      <c r="K78" s="90"/>
      <c r="L78" s="7"/>
      <c r="N78" s="7"/>
      <c r="P78" s="7"/>
      <c r="U78" s="117"/>
      <c r="V78" s="117"/>
      <c r="W78" s="117"/>
      <c r="X78" s="117"/>
      <c r="Y78" s="117"/>
    </row>
    <row r="79" spans="3:25" x14ac:dyDescent="0.2">
      <c r="C79" s="101"/>
      <c r="D79" s="90"/>
      <c r="F79" s="90"/>
      <c r="K79" s="90"/>
      <c r="L79" s="7"/>
      <c r="N79" s="7"/>
      <c r="P79" s="7"/>
      <c r="W79" s="117"/>
      <c r="X79" s="117"/>
      <c r="Y79" s="117"/>
    </row>
    <row r="80" spans="3:25" x14ac:dyDescent="0.2">
      <c r="C80" s="101"/>
      <c r="D80" s="90"/>
      <c r="F80" s="90"/>
      <c r="K80" s="90"/>
      <c r="L80" s="7"/>
      <c r="N80" s="7"/>
      <c r="P80" s="7"/>
      <c r="W80" s="117"/>
      <c r="X80" s="117"/>
      <c r="Y80" s="117"/>
    </row>
    <row r="81" spans="3:25" x14ac:dyDescent="0.2">
      <c r="C81" s="101"/>
      <c r="D81" s="90"/>
      <c r="F81" s="90"/>
      <c r="K81" s="90"/>
      <c r="L81" s="7"/>
      <c r="N81" s="7"/>
      <c r="P81" s="7"/>
    </row>
    <row r="82" spans="3:25" x14ac:dyDescent="0.2">
      <c r="C82" s="101"/>
      <c r="D82" s="90"/>
      <c r="F82" s="90"/>
      <c r="K82" s="90"/>
      <c r="L82" s="7"/>
      <c r="N82" s="7"/>
      <c r="P82" s="7"/>
      <c r="U82" s="117"/>
      <c r="V82" s="117"/>
      <c r="W82" s="117"/>
      <c r="X82" s="117"/>
      <c r="Y82" s="117"/>
    </row>
    <row r="83" spans="3:25" x14ac:dyDescent="0.2">
      <c r="C83" s="101"/>
      <c r="D83" s="90"/>
      <c r="F83" s="90"/>
      <c r="K83" s="90"/>
      <c r="L83" s="7"/>
      <c r="N83" s="7"/>
      <c r="P83" s="7"/>
      <c r="U83" s="117"/>
      <c r="V83" s="117"/>
      <c r="W83" s="117"/>
      <c r="X83" s="117"/>
      <c r="Y83" s="117"/>
    </row>
    <row r="84" spans="3:25" x14ac:dyDescent="0.2">
      <c r="C84" s="101"/>
      <c r="D84" s="90"/>
      <c r="F84" s="90"/>
      <c r="K84" s="90"/>
      <c r="L84" s="7"/>
      <c r="N84" s="7"/>
      <c r="P84" s="7"/>
      <c r="W84" s="117"/>
      <c r="X84" s="117"/>
      <c r="Y84" s="117"/>
    </row>
    <row r="85" spans="3:25" x14ac:dyDescent="0.2">
      <c r="C85" s="101"/>
      <c r="D85" s="90"/>
      <c r="F85" s="90"/>
      <c r="K85" s="90"/>
      <c r="L85" s="7"/>
      <c r="N85" s="7"/>
      <c r="P85" s="7"/>
      <c r="W85" s="117"/>
      <c r="X85" s="117"/>
      <c r="Y85" s="117"/>
    </row>
    <row r="86" spans="3:25" x14ac:dyDescent="0.2">
      <c r="C86" s="101"/>
      <c r="D86" s="90"/>
      <c r="F86" s="90"/>
      <c r="K86" s="90"/>
      <c r="L86" s="7"/>
      <c r="N86" s="7"/>
      <c r="P86" s="7"/>
    </row>
    <row r="87" spans="3:25" x14ac:dyDescent="0.2">
      <c r="C87" s="101"/>
      <c r="D87" s="90"/>
      <c r="F87" s="90"/>
      <c r="K87" s="90"/>
      <c r="L87" s="7"/>
      <c r="N87" s="7"/>
      <c r="P87" s="7"/>
      <c r="U87" s="117"/>
      <c r="V87" s="117"/>
      <c r="W87" s="117"/>
      <c r="X87" s="117"/>
      <c r="Y87" s="117"/>
    </row>
    <row r="88" spans="3:25" x14ac:dyDescent="0.2">
      <c r="C88" s="101"/>
      <c r="D88" s="90"/>
      <c r="F88" s="90"/>
      <c r="K88" s="90"/>
      <c r="L88" s="7"/>
      <c r="N88" s="7"/>
      <c r="P88" s="7"/>
      <c r="U88" s="117"/>
      <c r="V88" s="117"/>
      <c r="W88" s="117"/>
      <c r="X88" s="117"/>
      <c r="Y88" s="117"/>
    </row>
    <row r="89" spans="3:25" x14ac:dyDescent="0.2">
      <c r="C89" s="101"/>
      <c r="D89" s="90"/>
      <c r="F89" s="90"/>
      <c r="K89" s="90"/>
      <c r="L89" s="7"/>
      <c r="N89" s="7"/>
      <c r="P89" s="7"/>
      <c r="W89" s="117"/>
      <c r="X89" s="117"/>
      <c r="Y89" s="117"/>
    </row>
    <row r="90" spans="3:25" x14ac:dyDescent="0.2">
      <c r="C90" s="101"/>
      <c r="D90" s="90"/>
      <c r="F90" s="90"/>
      <c r="K90" s="90"/>
      <c r="L90" s="7"/>
      <c r="N90" s="7"/>
      <c r="P90" s="7"/>
      <c r="W90" s="117"/>
      <c r="X90" s="117"/>
      <c r="Y90" s="117"/>
    </row>
    <row r="91" spans="3:25" x14ac:dyDescent="0.2">
      <c r="C91" s="101"/>
      <c r="D91" s="90"/>
      <c r="F91" s="90"/>
      <c r="K91" s="90"/>
      <c r="L91" s="7"/>
      <c r="N91" s="7"/>
      <c r="P91" s="7"/>
    </row>
    <row r="92" spans="3:25" x14ac:dyDescent="0.2">
      <c r="C92" s="101"/>
      <c r="D92" s="90"/>
      <c r="F92" s="90"/>
      <c r="K92" s="90"/>
      <c r="L92" s="7"/>
      <c r="N92" s="7"/>
      <c r="P92" s="7"/>
      <c r="U92" s="117"/>
      <c r="V92" s="117"/>
      <c r="W92" s="117"/>
      <c r="X92" s="117"/>
      <c r="Y92" s="117"/>
    </row>
    <row r="93" spans="3:25" x14ac:dyDescent="0.2">
      <c r="C93" s="101"/>
      <c r="D93" s="90"/>
      <c r="F93" s="90"/>
      <c r="K93" s="90"/>
      <c r="L93" s="7"/>
      <c r="N93" s="7"/>
      <c r="P93" s="7"/>
      <c r="U93" s="117"/>
      <c r="V93" s="117"/>
      <c r="W93" s="117"/>
      <c r="X93" s="117"/>
      <c r="Y93" s="117"/>
    </row>
    <row r="94" spans="3:25" x14ac:dyDescent="0.2">
      <c r="C94" s="101"/>
      <c r="D94" s="90"/>
      <c r="F94" s="90"/>
      <c r="K94" s="90"/>
      <c r="L94" s="7"/>
      <c r="N94" s="7"/>
      <c r="P94" s="7"/>
      <c r="W94" s="117"/>
      <c r="X94" s="117"/>
      <c r="Y94" s="117"/>
    </row>
    <row r="95" spans="3:25" x14ac:dyDescent="0.2">
      <c r="C95" s="101"/>
      <c r="D95" s="90"/>
      <c r="F95" s="90"/>
      <c r="K95" s="90"/>
      <c r="L95" s="7"/>
      <c r="N95" s="7"/>
      <c r="P95" s="7"/>
      <c r="W95" s="117"/>
      <c r="X95" s="117"/>
      <c r="Y95" s="117"/>
    </row>
    <row r="96" spans="3:25" x14ac:dyDescent="0.2">
      <c r="C96" s="101"/>
      <c r="D96" s="90"/>
      <c r="F96" s="90"/>
      <c r="K96" s="90"/>
      <c r="L96" s="7"/>
      <c r="N96" s="7"/>
      <c r="P96" s="7"/>
    </row>
    <row r="97" spans="3:25" x14ac:dyDescent="0.2">
      <c r="C97" s="101"/>
      <c r="D97" s="90"/>
      <c r="F97" s="90"/>
      <c r="K97" s="90"/>
      <c r="L97" s="7"/>
      <c r="N97" s="7"/>
      <c r="P97" s="7"/>
      <c r="U97" s="117"/>
      <c r="V97" s="117"/>
      <c r="W97" s="117"/>
      <c r="X97" s="117"/>
      <c r="Y97" s="117"/>
    </row>
    <row r="98" spans="3:25" x14ac:dyDescent="0.2">
      <c r="C98" s="101"/>
      <c r="D98" s="90"/>
      <c r="F98" s="90"/>
      <c r="K98" s="90"/>
      <c r="L98" s="7"/>
      <c r="N98" s="7"/>
      <c r="P98" s="7"/>
      <c r="U98" s="117"/>
      <c r="V98" s="117"/>
      <c r="W98" s="117"/>
      <c r="X98" s="117"/>
      <c r="Y98" s="117"/>
    </row>
    <row r="99" spans="3:25" x14ac:dyDescent="0.2">
      <c r="C99" s="101"/>
      <c r="D99" s="90"/>
      <c r="F99" s="90"/>
      <c r="K99" s="90"/>
      <c r="L99" s="7"/>
      <c r="N99" s="7"/>
      <c r="P99" s="7"/>
      <c r="W99" s="117"/>
      <c r="X99" s="117"/>
      <c r="Y99" s="117"/>
    </row>
    <row r="100" spans="3:25" x14ac:dyDescent="0.2">
      <c r="C100" s="101"/>
      <c r="D100" s="90"/>
      <c r="F100" s="90"/>
      <c r="K100" s="90"/>
      <c r="L100" s="7"/>
      <c r="N100" s="7"/>
      <c r="P100" s="7"/>
      <c r="W100" s="117"/>
      <c r="X100" s="117"/>
      <c r="Y100" s="117"/>
    </row>
    <row r="101" spans="3:25" x14ac:dyDescent="0.2">
      <c r="C101" s="101"/>
      <c r="D101" s="90"/>
      <c r="F101" s="90"/>
      <c r="K101" s="90"/>
      <c r="L101" s="7"/>
      <c r="N101" s="7"/>
      <c r="P101" s="7"/>
    </row>
    <row r="102" spans="3:25" x14ac:dyDescent="0.2">
      <c r="C102" s="101"/>
      <c r="D102" s="90"/>
      <c r="F102" s="90"/>
      <c r="K102" s="90"/>
      <c r="L102" s="7"/>
      <c r="N102" s="7"/>
      <c r="P102" s="7"/>
      <c r="U102" s="117"/>
      <c r="V102" s="117"/>
      <c r="W102" s="117"/>
      <c r="X102" s="117"/>
      <c r="Y102" s="117"/>
    </row>
    <row r="103" spans="3:25" x14ac:dyDescent="0.2">
      <c r="C103" s="101"/>
      <c r="D103" s="90"/>
      <c r="F103" s="90"/>
      <c r="K103" s="90"/>
      <c r="L103" s="7"/>
      <c r="N103" s="7"/>
      <c r="P103" s="7"/>
      <c r="U103" s="117"/>
      <c r="V103" s="117"/>
      <c r="W103" s="117"/>
      <c r="X103" s="117"/>
      <c r="Y103" s="117"/>
    </row>
    <row r="104" spans="3:25" x14ac:dyDescent="0.2">
      <c r="C104" s="101"/>
      <c r="D104" s="90"/>
      <c r="F104" s="90"/>
      <c r="K104" s="90"/>
      <c r="L104" s="7"/>
      <c r="N104" s="7"/>
      <c r="P104" s="7"/>
      <c r="W104" s="117"/>
      <c r="X104" s="117"/>
      <c r="Y104" s="117"/>
    </row>
    <row r="105" spans="3:25" x14ac:dyDescent="0.2">
      <c r="C105" s="101"/>
      <c r="D105" s="90"/>
      <c r="F105" s="90"/>
      <c r="K105" s="90"/>
      <c r="L105" s="7"/>
      <c r="N105" s="7"/>
      <c r="P105" s="7"/>
      <c r="W105" s="117"/>
      <c r="X105" s="117"/>
      <c r="Y105" s="117"/>
    </row>
    <row r="106" spans="3:25" x14ac:dyDescent="0.2">
      <c r="C106" s="101"/>
      <c r="D106" s="90"/>
      <c r="F106" s="90"/>
      <c r="K106" s="90"/>
      <c r="L106" s="7"/>
      <c r="N106" s="7"/>
      <c r="P106" s="7"/>
    </row>
    <row r="107" spans="3:25" x14ac:dyDescent="0.2">
      <c r="C107" s="101"/>
      <c r="D107" s="90"/>
      <c r="F107" s="90"/>
      <c r="K107" s="90"/>
      <c r="L107" s="7"/>
      <c r="N107" s="7"/>
      <c r="P107" s="7"/>
      <c r="U107" s="117"/>
      <c r="V107" s="117"/>
      <c r="W107" s="117"/>
      <c r="X107" s="117"/>
      <c r="Y107" s="117"/>
    </row>
    <row r="108" spans="3:25" x14ac:dyDescent="0.2">
      <c r="C108" s="101"/>
      <c r="D108" s="90"/>
      <c r="F108" s="90"/>
      <c r="K108" s="90"/>
      <c r="L108" s="7"/>
      <c r="N108" s="7"/>
      <c r="P108" s="7"/>
      <c r="U108" s="117"/>
      <c r="V108" s="117"/>
      <c r="W108" s="117"/>
      <c r="X108" s="117"/>
      <c r="Y108" s="117"/>
    </row>
    <row r="109" spans="3:25" x14ac:dyDescent="0.2">
      <c r="C109" s="101"/>
      <c r="D109" s="90"/>
      <c r="F109" s="90"/>
      <c r="K109" s="90"/>
      <c r="L109" s="7"/>
      <c r="N109" s="7"/>
      <c r="P109" s="7"/>
      <c r="W109" s="117"/>
      <c r="X109" s="117"/>
      <c r="Y109" s="117"/>
    </row>
    <row r="110" spans="3:25" x14ac:dyDescent="0.2">
      <c r="C110" s="101"/>
      <c r="D110" s="90"/>
      <c r="F110" s="90"/>
      <c r="K110" s="90"/>
      <c r="L110" s="7"/>
      <c r="N110" s="7"/>
      <c r="P110" s="7"/>
      <c r="W110" s="117"/>
      <c r="X110" s="117"/>
      <c r="Y110" s="117"/>
    </row>
    <row r="111" spans="3:25" x14ac:dyDescent="0.2">
      <c r="C111" s="101"/>
      <c r="D111" s="90"/>
      <c r="F111" s="90"/>
      <c r="K111" s="90"/>
      <c r="L111" s="7"/>
      <c r="N111" s="7"/>
      <c r="P111" s="7"/>
    </row>
    <row r="112" spans="3:25" x14ac:dyDescent="0.2">
      <c r="C112" s="101"/>
      <c r="D112" s="90"/>
      <c r="F112" s="90"/>
      <c r="K112" s="90"/>
      <c r="L112" s="7"/>
      <c r="N112" s="7"/>
      <c r="P112" s="7"/>
      <c r="U112" s="117"/>
      <c r="V112" s="117"/>
      <c r="W112" s="117"/>
      <c r="X112" s="117"/>
      <c r="Y112" s="117"/>
    </row>
    <row r="113" spans="3:25" x14ac:dyDescent="0.2">
      <c r="C113" s="101"/>
      <c r="D113" s="90"/>
      <c r="F113" s="90"/>
      <c r="K113" s="90"/>
      <c r="L113" s="7"/>
      <c r="N113" s="7"/>
      <c r="P113" s="7"/>
      <c r="U113" s="117"/>
      <c r="V113" s="117"/>
      <c r="W113" s="117"/>
      <c r="X113" s="117"/>
      <c r="Y113" s="117"/>
    </row>
    <row r="114" spans="3:25" x14ac:dyDescent="0.2">
      <c r="C114" s="101"/>
      <c r="D114" s="90"/>
      <c r="F114" s="90"/>
      <c r="K114" s="90"/>
      <c r="L114" s="7"/>
      <c r="N114" s="7"/>
      <c r="P114" s="7"/>
      <c r="W114" s="117"/>
      <c r="X114" s="117"/>
      <c r="Y114" s="117"/>
    </row>
    <row r="115" spans="3:25" x14ac:dyDescent="0.2">
      <c r="C115" s="101"/>
      <c r="D115" s="90"/>
      <c r="F115" s="90"/>
      <c r="K115" s="90"/>
      <c r="L115" s="7"/>
      <c r="N115" s="7"/>
      <c r="P115" s="7"/>
      <c r="W115" s="117"/>
      <c r="X115" s="117"/>
      <c r="Y115" s="117"/>
    </row>
    <row r="116" spans="3:25" x14ac:dyDescent="0.2">
      <c r="C116" s="101"/>
      <c r="D116" s="90"/>
      <c r="F116" s="90"/>
      <c r="K116" s="90"/>
      <c r="L116" s="7"/>
      <c r="N116" s="7"/>
      <c r="P116" s="7"/>
    </row>
    <row r="117" spans="3:25" x14ac:dyDescent="0.2">
      <c r="C117" s="101"/>
      <c r="D117" s="90"/>
      <c r="F117" s="90"/>
      <c r="K117" s="90"/>
      <c r="L117" s="7"/>
      <c r="N117" s="7"/>
      <c r="P117" s="7"/>
      <c r="U117" s="117"/>
      <c r="V117" s="117"/>
      <c r="W117" s="117"/>
      <c r="X117" s="117"/>
      <c r="Y117" s="117"/>
    </row>
    <row r="118" spans="3:25" x14ac:dyDescent="0.2">
      <c r="C118" s="101"/>
      <c r="D118" s="90"/>
      <c r="F118" s="90"/>
      <c r="K118" s="90"/>
      <c r="L118" s="7"/>
      <c r="N118" s="7"/>
      <c r="P118" s="7"/>
      <c r="U118" s="117"/>
      <c r="V118" s="117"/>
      <c r="W118" s="117"/>
      <c r="X118" s="117"/>
      <c r="Y118" s="117"/>
    </row>
    <row r="119" spans="3:25" x14ac:dyDescent="0.2">
      <c r="C119" s="101"/>
      <c r="D119" s="90"/>
      <c r="F119" s="90"/>
      <c r="K119" s="90"/>
      <c r="L119" s="7"/>
      <c r="N119" s="7"/>
      <c r="P119" s="7"/>
      <c r="W119" s="117"/>
      <c r="X119" s="117"/>
      <c r="Y119" s="117"/>
    </row>
    <row r="120" spans="3:25" x14ac:dyDescent="0.2">
      <c r="C120" s="101"/>
      <c r="D120" s="90"/>
      <c r="F120" s="90"/>
      <c r="K120" s="90"/>
      <c r="L120" s="7"/>
      <c r="N120" s="7"/>
      <c r="P120" s="7"/>
      <c r="W120" s="117"/>
      <c r="X120" s="117"/>
      <c r="Y120" s="117"/>
    </row>
    <row r="121" spans="3:25" x14ac:dyDescent="0.2">
      <c r="C121" s="101"/>
      <c r="D121" s="90"/>
      <c r="F121" s="90"/>
      <c r="K121" s="90"/>
      <c r="L121" s="7"/>
      <c r="N121" s="7"/>
      <c r="P121" s="7"/>
    </row>
    <row r="122" spans="3:25" x14ac:dyDescent="0.2">
      <c r="C122" s="101"/>
      <c r="D122" s="90"/>
      <c r="F122" s="90"/>
      <c r="K122" s="90"/>
      <c r="L122" s="7"/>
      <c r="N122" s="7"/>
      <c r="P122" s="7"/>
      <c r="U122" s="117"/>
      <c r="V122" s="117"/>
      <c r="W122" s="117"/>
      <c r="X122" s="117"/>
      <c r="Y122" s="117"/>
    </row>
    <row r="123" spans="3:25" x14ac:dyDescent="0.2">
      <c r="C123" s="101"/>
      <c r="D123" s="90"/>
      <c r="F123" s="90"/>
      <c r="K123" s="90"/>
      <c r="L123" s="7"/>
      <c r="N123" s="7"/>
      <c r="P123" s="7"/>
      <c r="U123" s="117"/>
      <c r="V123" s="117"/>
      <c r="W123" s="117"/>
      <c r="X123" s="117"/>
      <c r="Y123" s="117"/>
    </row>
    <row r="124" spans="3:25" x14ac:dyDescent="0.2">
      <c r="C124" s="101"/>
      <c r="D124" s="90"/>
      <c r="F124" s="90"/>
      <c r="K124" s="90"/>
      <c r="L124" s="7"/>
      <c r="N124" s="7"/>
      <c r="P124" s="7"/>
      <c r="W124" s="117"/>
      <c r="X124" s="117"/>
      <c r="Y124" s="117"/>
    </row>
    <row r="125" spans="3:25" x14ac:dyDescent="0.2">
      <c r="C125" s="101"/>
      <c r="D125" s="90"/>
      <c r="F125" s="90"/>
      <c r="K125" s="90"/>
      <c r="L125" s="7"/>
      <c r="N125" s="7"/>
      <c r="P125" s="7"/>
      <c r="W125" s="117"/>
      <c r="X125" s="117"/>
      <c r="Y125" s="117"/>
    </row>
    <row r="126" spans="3:25" x14ac:dyDescent="0.2">
      <c r="C126" s="101"/>
      <c r="D126" s="90"/>
      <c r="F126" s="90"/>
      <c r="K126" s="90"/>
      <c r="L126" s="7"/>
      <c r="N126" s="7"/>
      <c r="P126" s="7"/>
    </row>
    <row r="127" spans="3:25" x14ac:dyDescent="0.2">
      <c r="C127" s="101"/>
      <c r="D127" s="90"/>
      <c r="F127" s="90"/>
      <c r="K127" s="90"/>
      <c r="L127" s="7"/>
      <c r="N127" s="7"/>
      <c r="P127" s="7"/>
      <c r="U127" s="117"/>
      <c r="V127" s="117"/>
      <c r="W127" s="117"/>
      <c r="X127" s="117"/>
      <c r="Y127" s="117"/>
    </row>
    <row r="128" spans="3:25" x14ac:dyDescent="0.2">
      <c r="C128" s="101"/>
      <c r="D128" s="90"/>
      <c r="F128" s="90"/>
      <c r="K128" s="90"/>
      <c r="L128" s="7"/>
      <c r="N128" s="7"/>
      <c r="P128" s="7"/>
      <c r="U128" s="117"/>
      <c r="V128" s="117"/>
      <c r="W128" s="117"/>
      <c r="X128" s="117"/>
      <c r="Y128" s="117"/>
    </row>
    <row r="129" spans="3:25" x14ac:dyDescent="0.2">
      <c r="C129" s="101"/>
      <c r="D129" s="90"/>
      <c r="F129" s="90"/>
      <c r="K129" s="90"/>
      <c r="L129" s="7"/>
      <c r="N129" s="7"/>
      <c r="P129" s="7"/>
      <c r="W129" s="117"/>
      <c r="X129" s="117"/>
      <c r="Y129" s="117"/>
    </row>
    <row r="130" spans="3:25" x14ac:dyDescent="0.2">
      <c r="C130" s="101"/>
      <c r="D130" s="90"/>
      <c r="F130" s="90"/>
      <c r="K130" s="90"/>
      <c r="L130" s="7"/>
      <c r="N130" s="7"/>
      <c r="P130" s="7"/>
      <c r="W130" s="117"/>
      <c r="X130" s="117"/>
      <c r="Y130" s="117"/>
    </row>
    <row r="131" spans="3:25" x14ac:dyDescent="0.2">
      <c r="C131" s="101"/>
      <c r="D131" s="90"/>
      <c r="F131" s="90"/>
      <c r="K131" s="90"/>
      <c r="L131" s="7"/>
      <c r="N131" s="7"/>
      <c r="P131" s="7"/>
    </row>
    <row r="132" spans="3:25" x14ac:dyDescent="0.2">
      <c r="C132" s="101"/>
      <c r="D132" s="90"/>
      <c r="F132" s="90"/>
      <c r="K132" s="90"/>
      <c r="L132" s="7"/>
      <c r="N132" s="7"/>
      <c r="P132" s="7"/>
      <c r="U132" s="117"/>
      <c r="V132" s="117"/>
      <c r="W132" s="117"/>
      <c r="X132" s="117"/>
      <c r="Y132" s="117"/>
    </row>
    <row r="133" spans="3:25" x14ac:dyDescent="0.2">
      <c r="C133" s="101"/>
      <c r="D133" s="90"/>
      <c r="F133" s="90"/>
      <c r="K133" s="90"/>
      <c r="L133" s="7"/>
      <c r="N133" s="7"/>
      <c r="P133" s="7"/>
      <c r="U133" s="117"/>
      <c r="V133" s="117"/>
      <c r="W133" s="117"/>
      <c r="X133" s="117"/>
      <c r="Y133" s="117"/>
    </row>
    <row r="134" spans="3:25" x14ac:dyDescent="0.2">
      <c r="C134" s="101"/>
      <c r="D134" s="90"/>
      <c r="F134" s="90"/>
      <c r="K134" s="90"/>
      <c r="L134" s="7"/>
      <c r="N134" s="7"/>
      <c r="P134" s="7"/>
      <c r="W134" s="117"/>
      <c r="X134" s="117"/>
      <c r="Y134" s="117"/>
    </row>
    <row r="135" spans="3:25" x14ac:dyDescent="0.2">
      <c r="C135" s="101"/>
      <c r="D135" s="90"/>
      <c r="F135" s="90"/>
      <c r="K135" s="90"/>
      <c r="L135" s="7"/>
      <c r="N135" s="7"/>
      <c r="P135" s="7"/>
      <c r="W135" s="117"/>
      <c r="X135" s="117"/>
      <c r="Y135" s="117"/>
    </row>
    <row r="136" spans="3:25" x14ac:dyDescent="0.2">
      <c r="C136" s="101"/>
      <c r="D136" s="90"/>
      <c r="F136" s="90"/>
      <c r="K136" s="90"/>
      <c r="L136" s="7"/>
      <c r="N136" s="7"/>
      <c r="P136" s="7"/>
    </row>
    <row r="137" spans="3:25" x14ac:dyDescent="0.2">
      <c r="C137" s="101"/>
      <c r="D137" s="90"/>
      <c r="F137" s="90"/>
      <c r="K137" s="90"/>
      <c r="L137" s="7"/>
      <c r="N137" s="7"/>
      <c r="P137" s="7"/>
      <c r="U137" s="117"/>
      <c r="V137" s="117"/>
      <c r="W137" s="117"/>
      <c r="X137" s="117"/>
      <c r="Y137" s="117"/>
    </row>
    <row r="138" spans="3:25" x14ac:dyDescent="0.2">
      <c r="C138" s="101"/>
      <c r="D138" s="90"/>
      <c r="F138" s="90"/>
      <c r="K138" s="90"/>
      <c r="L138" s="7"/>
      <c r="N138" s="7"/>
      <c r="P138" s="7"/>
      <c r="U138" s="117"/>
      <c r="V138" s="117"/>
      <c r="W138" s="117"/>
      <c r="X138" s="117"/>
      <c r="Y138" s="117"/>
    </row>
    <row r="139" spans="3:25" x14ac:dyDescent="0.2">
      <c r="C139" s="101"/>
      <c r="D139" s="90"/>
      <c r="F139" s="90"/>
      <c r="K139" s="90"/>
      <c r="L139" s="7"/>
      <c r="N139" s="7"/>
      <c r="P139" s="7"/>
      <c r="W139" s="117"/>
      <c r="X139" s="117"/>
      <c r="Y139" s="117"/>
    </row>
    <row r="140" spans="3:25" x14ac:dyDescent="0.2">
      <c r="C140" s="101"/>
      <c r="D140" s="90"/>
      <c r="F140" s="90"/>
      <c r="K140" s="90"/>
      <c r="L140" s="7"/>
      <c r="N140" s="7"/>
      <c r="P140" s="7"/>
      <c r="W140" s="117"/>
      <c r="X140" s="117"/>
      <c r="Y140" s="117"/>
    </row>
    <row r="141" spans="3:25" x14ac:dyDescent="0.2">
      <c r="C141" s="101"/>
      <c r="D141" s="90"/>
      <c r="F141" s="90"/>
      <c r="K141" s="90"/>
      <c r="L141" s="7"/>
      <c r="N141" s="7"/>
      <c r="P141" s="7"/>
    </row>
    <row r="142" spans="3:25" x14ac:dyDescent="0.2">
      <c r="C142" s="101"/>
      <c r="D142" s="90"/>
      <c r="F142" s="90"/>
      <c r="K142" s="90"/>
      <c r="L142" s="7"/>
      <c r="N142" s="7"/>
      <c r="P142" s="7"/>
      <c r="U142" s="117"/>
      <c r="V142" s="117"/>
      <c r="W142" s="117"/>
      <c r="X142" s="117"/>
      <c r="Y142" s="117"/>
    </row>
    <row r="143" spans="3:25" x14ac:dyDescent="0.2">
      <c r="C143" s="101"/>
      <c r="D143" s="90"/>
      <c r="F143" s="90"/>
      <c r="K143" s="90"/>
      <c r="L143" s="7"/>
      <c r="N143" s="7"/>
      <c r="P143" s="7"/>
      <c r="U143" s="117"/>
      <c r="V143" s="117"/>
      <c r="W143" s="117"/>
      <c r="X143" s="117"/>
      <c r="Y143" s="117"/>
    </row>
    <row r="144" spans="3:25" x14ac:dyDescent="0.2">
      <c r="C144" s="101"/>
      <c r="D144" s="90"/>
      <c r="F144" s="90"/>
      <c r="K144" s="90"/>
      <c r="L144" s="7"/>
      <c r="N144" s="7"/>
      <c r="P144" s="7"/>
      <c r="W144" s="117"/>
      <c r="X144" s="117"/>
      <c r="Y144" s="117"/>
    </row>
    <row r="145" spans="3:25" x14ac:dyDescent="0.2">
      <c r="C145" s="101"/>
      <c r="D145" s="90"/>
      <c r="F145" s="90"/>
      <c r="K145" s="90"/>
      <c r="L145" s="7"/>
      <c r="N145" s="7"/>
      <c r="P145" s="7"/>
      <c r="W145" s="117"/>
      <c r="X145" s="117"/>
      <c r="Y145" s="117"/>
    </row>
    <row r="146" spans="3:25" x14ac:dyDescent="0.2">
      <c r="C146" s="101"/>
      <c r="D146" s="90"/>
      <c r="F146" s="90"/>
      <c r="K146" s="90"/>
      <c r="L146" s="7"/>
      <c r="N146" s="7"/>
      <c r="P146" s="7"/>
    </row>
    <row r="147" spans="3:25" x14ac:dyDescent="0.2">
      <c r="C147" s="101"/>
      <c r="D147" s="90"/>
      <c r="F147" s="90"/>
      <c r="K147" s="90"/>
      <c r="L147" s="7"/>
      <c r="N147" s="7"/>
      <c r="P147" s="7"/>
      <c r="U147" s="117"/>
      <c r="V147" s="117"/>
      <c r="W147" s="117"/>
      <c r="X147" s="117"/>
      <c r="Y147" s="117"/>
    </row>
    <row r="148" spans="3:25" x14ac:dyDescent="0.2">
      <c r="C148" s="101"/>
      <c r="D148" s="90"/>
      <c r="F148" s="90"/>
      <c r="K148" s="90"/>
      <c r="L148" s="7"/>
      <c r="N148" s="7"/>
      <c r="P148" s="7"/>
      <c r="U148" s="117"/>
      <c r="V148" s="117"/>
      <c r="W148" s="117"/>
      <c r="X148" s="117"/>
      <c r="Y148" s="117"/>
    </row>
    <row r="149" spans="3:25" x14ac:dyDescent="0.2">
      <c r="C149" s="101"/>
      <c r="D149" s="90"/>
      <c r="F149" s="90"/>
      <c r="K149" s="90"/>
      <c r="L149" s="7"/>
      <c r="N149" s="7"/>
      <c r="P149" s="7"/>
      <c r="W149" s="117"/>
      <c r="X149" s="117"/>
      <c r="Y149" s="117"/>
    </row>
    <row r="150" spans="3:25" x14ac:dyDescent="0.2">
      <c r="C150" s="101"/>
      <c r="D150" s="90"/>
      <c r="F150" s="90"/>
      <c r="K150" s="90"/>
      <c r="L150" s="7"/>
      <c r="N150" s="7"/>
      <c r="P150" s="7"/>
      <c r="W150" s="117"/>
      <c r="X150" s="117"/>
      <c r="Y150" s="117"/>
    </row>
    <row r="151" spans="3:25" x14ac:dyDescent="0.2">
      <c r="C151" s="101"/>
      <c r="D151" s="90"/>
      <c r="F151" s="90"/>
      <c r="K151" s="90"/>
      <c r="L151" s="7"/>
      <c r="N151" s="7"/>
      <c r="P151" s="7"/>
    </row>
    <row r="152" spans="3:25" x14ac:dyDescent="0.2">
      <c r="C152" s="101"/>
      <c r="D152" s="90"/>
      <c r="F152" s="90"/>
      <c r="K152" s="90"/>
      <c r="L152" s="7"/>
      <c r="N152" s="7"/>
      <c r="P152" s="7"/>
      <c r="U152" s="117"/>
      <c r="V152" s="117"/>
      <c r="W152" s="117"/>
      <c r="X152" s="117"/>
      <c r="Y152" s="117"/>
    </row>
    <row r="153" spans="3:25" x14ac:dyDescent="0.2">
      <c r="C153" s="101"/>
      <c r="D153" s="90"/>
      <c r="F153" s="90"/>
      <c r="K153" s="90"/>
      <c r="L153" s="7"/>
      <c r="N153" s="7"/>
      <c r="P153" s="7"/>
      <c r="U153" s="117"/>
      <c r="V153" s="117"/>
      <c r="W153" s="117"/>
      <c r="X153" s="117"/>
      <c r="Y153" s="117"/>
    </row>
    <row r="154" spans="3:25" x14ac:dyDescent="0.2">
      <c r="C154" s="101"/>
      <c r="D154" s="90"/>
      <c r="F154" s="90"/>
      <c r="K154" s="90"/>
      <c r="L154" s="7"/>
      <c r="N154" s="7"/>
      <c r="P154" s="7"/>
      <c r="W154" s="117"/>
      <c r="X154" s="117"/>
      <c r="Y154" s="117"/>
    </row>
    <row r="155" spans="3:25" x14ac:dyDescent="0.2">
      <c r="C155" s="101"/>
      <c r="D155" s="90"/>
      <c r="F155" s="90"/>
      <c r="K155" s="90"/>
      <c r="L155" s="7"/>
      <c r="N155" s="7"/>
      <c r="P155" s="7"/>
      <c r="W155" s="117"/>
      <c r="X155" s="117"/>
      <c r="Y155" s="117"/>
    </row>
    <row r="156" spans="3:25" x14ac:dyDescent="0.2">
      <c r="C156" s="101"/>
      <c r="D156" s="90"/>
      <c r="F156" s="90"/>
      <c r="K156" s="90"/>
      <c r="L156" s="7"/>
      <c r="N156" s="7"/>
      <c r="P156" s="7"/>
    </row>
    <row r="157" spans="3:25" x14ac:dyDescent="0.2">
      <c r="C157" s="101"/>
      <c r="D157" s="90"/>
      <c r="F157" s="90"/>
      <c r="K157" s="90"/>
      <c r="L157" s="7"/>
      <c r="N157" s="7"/>
      <c r="P157" s="7"/>
      <c r="U157" s="117"/>
      <c r="V157" s="117"/>
      <c r="W157" s="117"/>
      <c r="X157" s="117"/>
      <c r="Y157" s="117"/>
    </row>
    <row r="158" spans="3:25" x14ac:dyDescent="0.2">
      <c r="C158" s="101"/>
      <c r="D158" s="90"/>
      <c r="F158" s="90"/>
      <c r="K158" s="90"/>
      <c r="L158" s="7"/>
      <c r="N158" s="7"/>
      <c r="P158" s="7"/>
      <c r="U158" s="117"/>
      <c r="V158" s="117"/>
      <c r="W158" s="117"/>
      <c r="X158" s="117"/>
      <c r="Y158" s="117"/>
    </row>
    <row r="159" spans="3:25" x14ac:dyDescent="0.2">
      <c r="C159" s="101"/>
      <c r="D159" s="90"/>
      <c r="F159" s="90"/>
      <c r="K159" s="90"/>
      <c r="L159" s="7"/>
      <c r="N159" s="7"/>
      <c r="P159" s="7"/>
      <c r="W159" s="117"/>
      <c r="X159" s="117"/>
      <c r="Y159" s="117"/>
    </row>
    <row r="160" spans="3:25" x14ac:dyDescent="0.2">
      <c r="C160" s="101"/>
      <c r="D160" s="90"/>
      <c r="F160" s="90"/>
      <c r="K160" s="90"/>
      <c r="L160" s="7"/>
      <c r="N160" s="7"/>
      <c r="P160" s="7"/>
      <c r="W160" s="117"/>
      <c r="X160" s="117"/>
      <c r="Y160" s="117"/>
    </row>
    <row r="161" spans="3:25" x14ac:dyDescent="0.2">
      <c r="C161" s="101"/>
      <c r="D161" s="90"/>
      <c r="F161" s="90"/>
      <c r="K161" s="90"/>
      <c r="L161" s="7"/>
      <c r="N161" s="7"/>
      <c r="P161" s="7"/>
    </row>
    <row r="162" spans="3:25" x14ac:dyDescent="0.2">
      <c r="C162" s="101"/>
      <c r="D162" s="90"/>
      <c r="F162" s="90"/>
      <c r="K162" s="90"/>
      <c r="L162" s="7"/>
      <c r="N162" s="7"/>
      <c r="P162" s="7"/>
      <c r="U162" s="117"/>
      <c r="V162" s="117"/>
      <c r="W162" s="117"/>
      <c r="X162" s="117"/>
      <c r="Y162" s="117"/>
    </row>
    <row r="163" spans="3:25" x14ac:dyDescent="0.2">
      <c r="C163" s="101"/>
      <c r="D163" s="90"/>
      <c r="F163" s="90"/>
      <c r="K163" s="90"/>
      <c r="L163" s="7"/>
      <c r="N163" s="7"/>
      <c r="P163" s="7"/>
      <c r="U163" s="117"/>
      <c r="V163" s="117"/>
      <c r="W163" s="117"/>
      <c r="X163" s="117"/>
      <c r="Y163" s="117"/>
    </row>
    <row r="164" spans="3:25" x14ac:dyDescent="0.2">
      <c r="C164" s="101"/>
      <c r="D164" s="90"/>
      <c r="F164" s="90"/>
      <c r="K164" s="90"/>
      <c r="L164" s="7"/>
      <c r="N164" s="7"/>
      <c r="P164" s="7"/>
      <c r="W164" s="117"/>
      <c r="X164" s="117"/>
      <c r="Y164" s="117"/>
    </row>
    <row r="165" spans="3:25" x14ac:dyDescent="0.2">
      <c r="C165" s="101"/>
      <c r="D165" s="90"/>
      <c r="F165" s="90"/>
      <c r="K165" s="90"/>
      <c r="L165" s="7"/>
      <c r="N165" s="7"/>
      <c r="P165" s="7"/>
      <c r="W165" s="117"/>
      <c r="X165" s="117"/>
      <c r="Y165" s="117"/>
    </row>
    <row r="166" spans="3:25" x14ac:dyDescent="0.2">
      <c r="C166" s="101"/>
      <c r="D166" s="90"/>
      <c r="F166" s="90"/>
      <c r="K166" s="90"/>
      <c r="L166" s="7"/>
      <c r="N166" s="7"/>
      <c r="P166" s="7"/>
    </row>
    <row r="167" spans="3:25" x14ac:dyDescent="0.2">
      <c r="C167" s="101"/>
      <c r="D167" s="90"/>
      <c r="F167" s="90"/>
      <c r="K167" s="90"/>
      <c r="L167" s="7"/>
      <c r="N167" s="7"/>
      <c r="P167" s="7"/>
      <c r="U167" s="117"/>
      <c r="V167" s="117"/>
      <c r="W167" s="117"/>
      <c r="X167" s="117"/>
      <c r="Y167" s="117"/>
    </row>
    <row r="168" spans="3:25" x14ac:dyDescent="0.2">
      <c r="C168" s="101"/>
      <c r="D168" s="90"/>
      <c r="F168" s="90"/>
      <c r="K168" s="90"/>
      <c r="L168" s="7"/>
      <c r="N168" s="7"/>
      <c r="P168" s="7"/>
      <c r="U168" s="117"/>
      <c r="V168" s="117"/>
      <c r="W168" s="117"/>
      <c r="X168" s="117"/>
      <c r="Y168" s="117"/>
    </row>
    <row r="169" spans="3:25" x14ac:dyDescent="0.2">
      <c r="C169" s="101"/>
      <c r="D169" s="90"/>
      <c r="F169" s="90"/>
      <c r="K169" s="90"/>
      <c r="L169" s="7"/>
      <c r="N169" s="7"/>
      <c r="P169" s="7"/>
      <c r="W169" s="117"/>
      <c r="X169" s="117"/>
      <c r="Y169" s="117"/>
    </row>
    <row r="170" spans="3:25" x14ac:dyDescent="0.2">
      <c r="C170" s="101"/>
      <c r="D170" s="90"/>
      <c r="F170" s="90"/>
      <c r="K170" s="90"/>
      <c r="L170" s="7"/>
      <c r="N170" s="7"/>
      <c r="P170" s="7"/>
      <c r="W170" s="117"/>
      <c r="X170" s="117"/>
      <c r="Y170" s="117"/>
    </row>
    <row r="171" spans="3:25" x14ac:dyDescent="0.2">
      <c r="C171" s="101"/>
      <c r="D171" s="90"/>
      <c r="F171" s="90"/>
      <c r="K171" s="90"/>
      <c r="L171" s="7"/>
      <c r="N171" s="7"/>
      <c r="P171" s="7"/>
    </row>
    <row r="172" spans="3:25" x14ac:dyDescent="0.2">
      <c r="C172" s="101"/>
      <c r="D172" s="90"/>
      <c r="F172" s="90"/>
      <c r="K172" s="90"/>
      <c r="L172" s="7"/>
      <c r="N172" s="7"/>
      <c r="P172" s="7"/>
      <c r="U172" s="117"/>
      <c r="V172" s="117"/>
      <c r="W172" s="117"/>
      <c r="X172" s="117"/>
      <c r="Y172" s="117"/>
    </row>
    <row r="173" spans="3:25" x14ac:dyDescent="0.2">
      <c r="C173" s="101"/>
      <c r="D173" s="90"/>
      <c r="F173" s="90"/>
      <c r="K173" s="90"/>
      <c r="L173" s="7"/>
      <c r="N173" s="7"/>
      <c r="P173" s="7"/>
      <c r="U173" s="117"/>
      <c r="V173" s="117"/>
      <c r="W173" s="117"/>
      <c r="X173" s="117"/>
      <c r="Y173" s="117"/>
    </row>
    <row r="174" spans="3:25" x14ac:dyDescent="0.2">
      <c r="C174" s="101"/>
      <c r="D174" s="90"/>
      <c r="F174" s="90"/>
      <c r="K174" s="90"/>
      <c r="L174" s="7"/>
      <c r="N174" s="7"/>
      <c r="P174" s="7"/>
      <c r="W174" s="117"/>
      <c r="X174" s="117"/>
      <c r="Y174" s="117"/>
    </row>
    <row r="175" spans="3:25" x14ac:dyDescent="0.2">
      <c r="C175" s="101"/>
      <c r="D175" s="90"/>
      <c r="F175" s="90"/>
      <c r="K175" s="90"/>
      <c r="L175" s="7"/>
      <c r="N175" s="7"/>
      <c r="P175" s="7"/>
      <c r="W175" s="117"/>
      <c r="X175" s="117"/>
      <c r="Y175" s="117"/>
    </row>
    <row r="176" spans="3:25" x14ac:dyDescent="0.2">
      <c r="C176" s="101"/>
      <c r="D176" s="90"/>
      <c r="F176" s="90"/>
      <c r="K176" s="90"/>
      <c r="L176" s="7"/>
      <c r="N176" s="7"/>
      <c r="P176" s="7"/>
    </row>
    <row r="177" spans="3:25" x14ac:dyDescent="0.2">
      <c r="C177" s="101"/>
      <c r="D177" s="90"/>
      <c r="F177" s="90"/>
      <c r="K177" s="90"/>
      <c r="L177" s="7"/>
      <c r="N177" s="7"/>
      <c r="P177" s="7"/>
      <c r="U177" s="117"/>
      <c r="V177" s="117"/>
      <c r="W177" s="117"/>
      <c r="X177" s="117"/>
      <c r="Y177" s="117"/>
    </row>
    <row r="178" spans="3:25" x14ac:dyDescent="0.2">
      <c r="C178" s="101"/>
      <c r="D178" s="90"/>
      <c r="F178" s="90"/>
      <c r="K178" s="90"/>
      <c r="L178" s="7"/>
      <c r="N178" s="7"/>
      <c r="P178" s="7"/>
      <c r="U178" s="117"/>
      <c r="V178" s="117"/>
      <c r="W178" s="117"/>
      <c r="X178" s="117"/>
      <c r="Y178" s="117"/>
    </row>
    <row r="179" spans="3:25" x14ac:dyDescent="0.2">
      <c r="C179" s="101"/>
      <c r="D179" s="90"/>
      <c r="F179" s="90"/>
      <c r="K179" s="90"/>
      <c r="L179" s="7"/>
      <c r="N179" s="7"/>
      <c r="P179" s="7"/>
      <c r="W179" s="117"/>
      <c r="X179" s="117"/>
      <c r="Y179" s="117"/>
    </row>
    <row r="180" spans="3:25" x14ac:dyDescent="0.2">
      <c r="C180" s="101"/>
      <c r="D180" s="90"/>
      <c r="F180" s="90"/>
      <c r="K180" s="90"/>
      <c r="L180" s="7"/>
      <c r="N180" s="7"/>
      <c r="P180" s="7"/>
      <c r="W180" s="117"/>
      <c r="X180" s="117"/>
      <c r="Y180" s="117"/>
    </row>
    <row r="181" spans="3:25" x14ac:dyDescent="0.2">
      <c r="C181" s="101"/>
      <c r="D181" s="90"/>
      <c r="F181" s="90"/>
      <c r="K181" s="90"/>
      <c r="L181" s="7"/>
      <c r="N181" s="7"/>
      <c r="P181" s="7"/>
    </row>
    <row r="182" spans="3:25" x14ac:dyDescent="0.2">
      <c r="C182" s="101"/>
      <c r="D182" s="90"/>
      <c r="F182" s="90"/>
      <c r="K182" s="90"/>
      <c r="L182" s="7"/>
      <c r="N182" s="7"/>
      <c r="P182" s="7"/>
      <c r="U182" s="117"/>
      <c r="V182" s="117"/>
      <c r="W182" s="117"/>
      <c r="X182" s="117"/>
      <c r="Y182" s="117"/>
    </row>
    <row r="183" spans="3:25" x14ac:dyDescent="0.2">
      <c r="C183" s="101"/>
      <c r="D183" s="90"/>
      <c r="F183" s="90"/>
      <c r="K183" s="90"/>
      <c r="L183" s="7"/>
      <c r="N183" s="7"/>
      <c r="P183" s="7"/>
      <c r="U183" s="117"/>
      <c r="V183" s="117"/>
      <c r="W183" s="117"/>
      <c r="X183" s="117"/>
      <c r="Y183" s="117"/>
    </row>
    <row r="184" spans="3:25" x14ac:dyDescent="0.2">
      <c r="C184" s="101"/>
      <c r="D184" s="90"/>
      <c r="F184" s="90"/>
      <c r="K184" s="90"/>
      <c r="L184" s="7"/>
      <c r="N184" s="7"/>
      <c r="P184" s="7"/>
      <c r="W184" s="117"/>
      <c r="X184" s="117"/>
      <c r="Y184" s="117"/>
    </row>
    <row r="185" spans="3:25" x14ac:dyDescent="0.2">
      <c r="C185" s="101"/>
      <c r="D185" s="90"/>
      <c r="F185" s="90"/>
      <c r="K185" s="90"/>
      <c r="L185" s="7"/>
      <c r="N185" s="7"/>
      <c r="P185" s="7"/>
      <c r="W185" s="117"/>
      <c r="X185" s="117"/>
      <c r="Y185" s="117"/>
    </row>
    <row r="186" spans="3:25" x14ac:dyDescent="0.2">
      <c r="C186" s="101"/>
      <c r="D186" s="90"/>
      <c r="F186" s="90"/>
      <c r="K186" s="90"/>
      <c r="L186" s="7"/>
      <c r="N186" s="7"/>
      <c r="P186" s="7"/>
    </row>
    <row r="187" spans="3:25" x14ac:dyDescent="0.2">
      <c r="C187" s="101"/>
      <c r="D187" s="90"/>
      <c r="F187" s="90"/>
      <c r="K187" s="90"/>
      <c r="L187" s="7"/>
      <c r="N187" s="7"/>
      <c r="P187" s="7"/>
      <c r="U187" s="117"/>
      <c r="V187" s="117"/>
      <c r="W187" s="117"/>
      <c r="X187" s="117"/>
      <c r="Y187" s="117"/>
    </row>
    <row r="188" spans="3:25" x14ac:dyDescent="0.2">
      <c r="C188" s="101"/>
      <c r="D188" s="90"/>
      <c r="F188" s="90"/>
      <c r="K188" s="90"/>
      <c r="L188" s="7"/>
      <c r="N188" s="7"/>
      <c r="P188" s="7"/>
      <c r="U188" s="117"/>
      <c r="V188" s="117"/>
      <c r="W188" s="117"/>
      <c r="X188" s="117"/>
      <c r="Y188" s="117"/>
    </row>
    <row r="189" spans="3:25" x14ac:dyDescent="0.2">
      <c r="C189" s="101"/>
      <c r="D189" s="90"/>
      <c r="F189" s="90"/>
      <c r="K189" s="90"/>
      <c r="L189" s="7"/>
      <c r="N189" s="7"/>
      <c r="P189" s="7"/>
      <c r="W189" s="117"/>
      <c r="X189" s="117"/>
      <c r="Y189" s="117"/>
    </row>
    <row r="190" spans="3:25" x14ac:dyDescent="0.2">
      <c r="C190" s="101"/>
      <c r="D190" s="90"/>
      <c r="F190" s="90"/>
      <c r="K190" s="90"/>
      <c r="L190" s="7"/>
      <c r="N190" s="7"/>
      <c r="P190" s="7"/>
      <c r="W190" s="117"/>
      <c r="X190" s="117"/>
      <c r="Y190" s="117"/>
    </row>
    <row r="191" spans="3:25" x14ac:dyDescent="0.2">
      <c r="C191" s="101"/>
      <c r="D191" s="90"/>
      <c r="F191" s="90"/>
      <c r="K191" s="90"/>
      <c r="L191" s="7"/>
      <c r="N191" s="7"/>
      <c r="P191" s="7"/>
    </row>
    <row r="192" spans="3:25" x14ac:dyDescent="0.2">
      <c r="C192" s="101"/>
      <c r="D192" s="90"/>
      <c r="F192" s="90"/>
      <c r="K192" s="90"/>
      <c r="L192" s="7"/>
      <c r="N192" s="7"/>
      <c r="P192" s="7"/>
      <c r="U192" s="117"/>
      <c r="V192" s="117"/>
      <c r="W192" s="117"/>
      <c r="X192" s="117"/>
      <c r="Y192" s="117"/>
    </row>
    <row r="193" spans="3:25" x14ac:dyDescent="0.2">
      <c r="C193" s="101"/>
      <c r="D193" s="90"/>
      <c r="F193" s="90"/>
      <c r="K193" s="90"/>
      <c r="L193" s="7"/>
      <c r="N193" s="7"/>
      <c r="P193" s="7"/>
      <c r="U193" s="117"/>
      <c r="V193" s="117"/>
      <c r="W193" s="117"/>
      <c r="X193" s="117"/>
      <c r="Y193" s="117"/>
    </row>
    <row r="194" spans="3:25" x14ac:dyDescent="0.2">
      <c r="C194" s="101"/>
      <c r="D194" s="90"/>
      <c r="F194" s="90"/>
      <c r="K194" s="90"/>
      <c r="L194" s="7"/>
      <c r="N194" s="7"/>
      <c r="P194" s="7"/>
      <c r="W194" s="117"/>
      <c r="X194" s="117"/>
      <c r="Y194" s="117"/>
    </row>
    <row r="195" spans="3:25" x14ac:dyDescent="0.2">
      <c r="C195" s="101"/>
      <c r="D195" s="90"/>
      <c r="F195" s="90"/>
      <c r="K195" s="90"/>
      <c r="L195" s="7"/>
      <c r="N195" s="7"/>
      <c r="P195" s="7"/>
      <c r="W195" s="117"/>
      <c r="X195" s="117"/>
      <c r="Y195" s="117"/>
    </row>
    <row r="196" spans="3:25" x14ac:dyDescent="0.2">
      <c r="C196" s="101"/>
      <c r="D196" s="90"/>
      <c r="F196" s="90"/>
      <c r="K196" s="90"/>
      <c r="L196" s="7"/>
      <c r="N196" s="7"/>
      <c r="P196" s="7"/>
    </row>
    <row r="197" spans="3:25" x14ac:dyDescent="0.2">
      <c r="C197" s="101"/>
      <c r="D197" s="90"/>
      <c r="F197" s="90"/>
      <c r="K197" s="90"/>
      <c r="L197" s="7"/>
      <c r="N197" s="7"/>
      <c r="P197" s="7"/>
      <c r="U197" s="117"/>
      <c r="V197" s="117"/>
      <c r="W197" s="117"/>
      <c r="X197" s="117"/>
      <c r="Y197" s="117"/>
    </row>
    <row r="198" spans="3:25" x14ac:dyDescent="0.2">
      <c r="C198" s="101"/>
      <c r="D198" s="90"/>
      <c r="F198" s="90"/>
      <c r="K198" s="90"/>
      <c r="L198" s="7"/>
      <c r="N198" s="7"/>
      <c r="P198" s="7"/>
      <c r="U198" s="117"/>
      <c r="V198" s="117"/>
      <c r="W198" s="117"/>
      <c r="X198" s="117"/>
      <c r="Y198" s="117"/>
    </row>
    <row r="199" spans="3:25" x14ac:dyDescent="0.2">
      <c r="C199" s="101"/>
      <c r="D199" s="90"/>
      <c r="F199" s="90"/>
      <c r="K199" s="90"/>
      <c r="L199" s="7"/>
      <c r="N199" s="7"/>
      <c r="P199" s="7"/>
      <c r="W199" s="117"/>
      <c r="X199" s="117"/>
      <c r="Y199" s="117"/>
    </row>
    <row r="200" spans="3:25" x14ac:dyDescent="0.2">
      <c r="C200" s="101"/>
      <c r="D200" s="90"/>
      <c r="F200" s="90"/>
      <c r="K200" s="90"/>
      <c r="L200" s="7"/>
      <c r="N200" s="7"/>
      <c r="P200" s="7"/>
      <c r="W200" s="117"/>
      <c r="X200" s="117"/>
      <c r="Y200" s="117"/>
    </row>
    <row r="201" spans="3:25" x14ac:dyDescent="0.2">
      <c r="C201" s="101"/>
      <c r="D201" s="90"/>
      <c r="F201" s="90"/>
      <c r="K201" s="90"/>
      <c r="L201" s="7"/>
      <c r="N201" s="7"/>
      <c r="P201" s="7"/>
    </row>
    <row r="202" spans="3:25" x14ac:dyDescent="0.2">
      <c r="C202" s="101"/>
      <c r="D202" s="90"/>
      <c r="F202" s="90"/>
      <c r="K202" s="90"/>
      <c r="L202" s="7"/>
      <c r="N202" s="7"/>
      <c r="P202" s="7"/>
      <c r="U202" s="117"/>
      <c r="V202" s="117"/>
      <c r="W202" s="117"/>
      <c r="X202" s="117"/>
      <c r="Y202" s="117"/>
    </row>
    <row r="203" spans="3:25" x14ac:dyDescent="0.2">
      <c r="C203" s="101"/>
      <c r="D203" s="90"/>
      <c r="F203" s="90"/>
      <c r="K203" s="90"/>
      <c r="L203" s="7"/>
      <c r="N203" s="7"/>
      <c r="P203" s="7"/>
      <c r="U203" s="117"/>
      <c r="V203" s="117"/>
      <c r="W203" s="117"/>
      <c r="X203" s="117"/>
      <c r="Y203" s="117"/>
    </row>
    <row r="204" spans="3:25" x14ac:dyDescent="0.2">
      <c r="C204" s="101"/>
      <c r="D204" s="90"/>
      <c r="F204" s="90"/>
      <c r="K204" s="90"/>
      <c r="L204" s="7"/>
      <c r="N204" s="7"/>
      <c r="P204" s="7"/>
      <c r="W204" s="117"/>
      <c r="X204" s="117"/>
      <c r="Y204" s="117"/>
    </row>
    <row r="205" spans="3:25" x14ac:dyDescent="0.2">
      <c r="C205" s="101"/>
      <c r="D205" s="90"/>
      <c r="F205" s="90"/>
      <c r="K205" s="90"/>
      <c r="L205" s="7"/>
      <c r="N205" s="7"/>
      <c r="P205" s="7"/>
      <c r="W205" s="117"/>
      <c r="X205" s="117"/>
      <c r="Y205" s="117"/>
    </row>
    <row r="206" spans="3:25" x14ac:dyDescent="0.2">
      <c r="C206" s="101"/>
      <c r="D206" s="90"/>
      <c r="F206" s="90"/>
      <c r="K206" s="90"/>
      <c r="L206" s="7"/>
      <c r="N206" s="7"/>
      <c r="P206" s="7"/>
    </row>
    <row r="207" spans="3:25" x14ac:dyDescent="0.2">
      <c r="C207" s="101"/>
      <c r="D207" s="90"/>
      <c r="F207" s="90"/>
      <c r="K207" s="90"/>
      <c r="L207" s="7"/>
      <c r="N207" s="7"/>
      <c r="P207" s="7"/>
      <c r="U207" s="117"/>
      <c r="V207" s="117"/>
      <c r="W207" s="117"/>
      <c r="X207" s="117"/>
      <c r="Y207" s="117"/>
    </row>
    <row r="208" spans="3:25" x14ac:dyDescent="0.2">
      <c r="C208" s="101"/>
      <c r="D208" s="90"/>
      <c r="F208" s="90"/>
      <c r="K208" s="90"/>
      <c r="L208" s="7"/>
      <c r="N208" s="7"/>
      <c r="P208" s="7"/>
      <c r="U208" s="117"/>
      <c r="V208" s="117"/>
      <c r="W208" s="117"/>
      <c r="X208" s="117"/>
      <c r="Y208" s="117"/>
    </row>
    <row r="209" spans="3:25" x14ac:dyDescent="0.2">
      <c r="C209" s="101"/>
      <c r="D209" s="90"/>
      <c r="F209" s="90"/>
      <c r="K209" s="90"/>
      <c r="L209" s="7"/>
      <c r="N209" s="7"/>
      <c r="P209" s="7"/>
      <c r="W209" s="117"/>
      <c r="X209" s="117"/>
      <c r="Y209" s="117"/>
    </row>
    <row r="210" spans="3:25" x14ac:dyDescent="0.2">
      <c r="C210" s="101"/>
      <c r="D210" s="90"/>
      <c r="F210" s="90"/>
      <c r="K210" s="90"/>
      <c r="L210" s="7"/>
      <c r="N210" s="7"/>
      <c r="P210" s="7"/>
      <c r="W210" s="117"/>
      <c r="X210" s="117"/>
      <c r="Y210" s="117"/>
    </row>
    <row r="211" spans="3:25" x14ac:dyDescent="0.2">
      <c r="C211" s="101"/>
      <c r="D211" s="90"/>
      <c r="F211" s="90"/>
      <c r="K211" s="90"/>
      <c r="L211" s="7"/>
      <c r="N211" s="7"/>
      <c r="P211" s="7"/>
    </row>
    <row r="212" spans="3:25" x14ac:dyDescent="0.2">
      <c r="C212" s="101"/>
      <c r="D212" s="90"/>
      <c r="F212" s="90"/>
      <c r="K212" s="90"/>
      <c r="L212" s="7"/>
      <c r="N212" s="7"/>
      <c r="P212" s="7"/>
      <c r="U212" s="117"/>
      <c r="V212" s="117"/>
      <c r="W212" s="117"/>
      <c r="X212" s="117"/>
      <c r="Y212" s="117"/>
    </row>
    <row r="213" spans="3:25" x14ac:dyDescent="0.2">
      <c r="C213" s="101"/>
      <c r="D213" s="90"/>
      <c r="F213" s="90"/>
      <c r="K213" s="90"/>
      <c r="L213" s="7"/>
      <c r="N213" s="7"/>
      <c r="P213" s="7"/>
      <c r="U213" s="117"/>
      <c r="V213" s="117"/>
      <c r="W213" s="117"/>
      <c r="X213" s="117"/>
      <c r="Y213" s="117"/>
    </row>
    <row r="214" spans="3:25" x14ac:dyDescent="0.2">
      <c r="C214" s="101"/>
      <c r="D214" s="90"/>
      <c r="F214" s="90"/>
      <c r="K214" s="90"/>
      <c r="L214" s="7"/>
      <c r="N214" s="7"/>
      <c r="P214" s="7"/>
      <c r="W214" s="117"/>
      <c r="X214" s="117"/>
      <c r="Y214" s="117"/>
    </row>
    <row r="215" spans="3:25" x14ac:dyDescent="0.2">
      <c r="C215" s="101"/>
      <c r="D215" s="90"/>
      <c r="F215" s="90"/>
      <c r="K215" s="90"/>
      <c r="L215" s="7"/>
      <c r="N215" s="7"/>
      <c r="P215" s="7"/>
      <c r="W215" s="117"/>
      <c r="X215" s="117"/>
      <c r="Y215" s="117"/>
    </row>
    <row r="216" spans="3:25" x14ac:dyDescent="0.2">
      <c r="C216" s="101"/>
      <c r="D216" s="90"/>
      <c r="F216" s="90"/>
      <c r="K216" s="90"/>
      <c r="L216" s="7"/>
      <c r="N216" s="7"/>
      <c r="P216" s="7"/>
    </row>
    <row r="217" spans="3:25" x14ac:dyDescent="0.2">
      <c r="C217" s="101"/>
      <c r="D217" s="90"/>
      <c r="F217" s="90"/>
      <c r="K217" s="90"/>
      <c r="L217" s="7"/>
      <c r="N217" s="7"/>
      <c r="P217" s="7"/>
      <c r="U217" s="117"/>
      <c r="V217" s="117"/>
      <c r="W217" s="117"/>
      <c r="X217" s="117"/>
      <c r="Y217" s="117"/>
    </row>
    <row r="218" spans="3:25" x14ac:dyDescent="0.2">
      <c r="C218" s="101"/>
      <c r="D218" s="90"/>
      <c r="F218" s="90"/>
      <c r="K218" s="90"/>
      <c r="L218" s="7"/>
      <c r="N218" s="7"/>
      <c r="P218" s="7"/>
      <c r="U218" s="117"/>
      <c r="V218" s="117"/>
      <c r="W218" s="117"/>
      <c r="X218" s="117"/>
      <c r="Y218" s="117"/>
    </row>
    <row r="219" spans="3:25" x14ac:dyDescent="0.2">
      <c r="C219" s="101"/>
      <c r="D219" s="90"/>
      <c r="F219" s="90"/>
      <c r="K219" s="90"/>
      <c r="L219" s="7"/>
      <c r="N219" s="7"/>
      <c r="P219" s="7"/>
      <c r="W219" s="117"/>
      <c r="X219" s="117"/>
      <c r="Y219" s="117"/>
    </row>
    <row r="220" spans="3:25" x14ac:dyDescent="0.2">
      <c r="C220" s="101"/>
      <c r="D220" s="90"/>
      <c r="F220" s="90"/>
      <c r="K220" s="90"/>
      <c r="L220" s="7"/>
      <c r="N220" s="7"/>
      <c r="P220" s="7"/>
      <c r="W220" s="117"/>
      <c r="X220" s="117"/>
      <c r="Y220" s="117"/>
    </row>
    <row r="221" spans="3:25" x14ac:dyDescent="0.2">
      <c r="C221" s="101"/>
      <c r="D221" s="90"/>
      <c r="F221" s="90"/>
      <c r="K221" s="90"/>
      <c r="L221" s="7"/>
      <c r="N221" s="7"/>
      <c r="P221" s="7"/>
    </row>
    <row r="222" spans="3:25" x14ac:dyDescent="0.2">
      <c r="C222" s="101"/>
      <c r="D222" s="90"/>
      <c r="F222" s="90"/>
      <c r="K222" s="90"/>
      <c r="L222" s="7"/>
      <c r="N222" s="7"/>
      <c r="P222" s="7"/>
      <c r="U222" s="117"/>
      <c r="V222" s="117"/>
      <c r="W222" s="117"/>
      <c r="X222" s="117"/>
      <c r="Y222" s="117"/>
    </row>
    <row r="223" spans="3:25" x14ac:dyDescent="0.2">
      <c r="C223" s="101"/>
      <c r="D223" s="90"/>
      <c r="F223" s="90"/>
      <c r="K223" s="90"/>
      <c r="L223" s="7"/>
      <c r="N223" s="7"/>
      <c r="P223" s="7"/>
      <c r="U223" s="117"/>
      <c r="V223" s="117"/>
      <c r="W223" s="117"/>
      <c r="X223" s="117"/>
      <c r="Y223" s="117"/>
    </row>
    <row r="224" spans="3:25" x14ac:dyDescent="0.2">
      <c r="C224" s="101"/>
      <c r="D224" s="90"/>
      <c r="F224" s="90"/>
      <c r="K224" s="90"/>
      <c r="L224" s="7"/>
      <c r="N224" s="7"/>
      <c r="P224" s="7"/>
      <c r="W224" s="117"/>
      <c r="X224" s="117"/>
      <c r="Y224" s="117"/>
    </row>
    <row r="225" spans="3:25" x14ac:dyDescent="0.2">
      <c r="C225" s="101"/>
      <c r="D225" s="90"/>
      <c r="F225" s="90"/>
      <c r="K225" s="90"/>
      <c r="L225" s="7"/>
      <c r="N225" s="7"/>
      <c r="P225" s="7"/>
      <c r="W225" s="117"/>
      <c r="X225" s="117"/>
      <c r="Y225" s="117"/>
    </row>
    <row r="226" spans="3:25" x14ac:dyDescent="0.2">
      <c r="C226" s="101"/>
      <c r="D226" s="90"/>
      <c r="F226" s="90"/>
      <c r="K226" s="90"/>
      <c r="L226" s="7"/>
      <c r="N226" s="7"/>
      <c r="P226" s="7"/>
    </row>
    <row r="227" spans="3:25" x14ac:dyDescent="0.2">
      <c r="C227" s="101"/>
      <c r="D227" s="90"/>
      <c r="F227" s="90"/>
      <c r="K227" s="90"/>
      <c r="L227" s="7"/>
      <c r="N227" s="7"/>
      <c r="P227" s="7"/>
      <c r="U227" s="117"/>
      <c r="V227" s="117"/>
      <c r="W227" s="117"/>
      <c r="X227" s="117"/>
      <c r="Y227" s="117"/>
    </row>
    <row r="228" spans="3:25" x14ac:dyDescent="0.2">
      <c r="C228" s="101"/>
      <c r="D228" s="90"/>
      <c r="F228" s="90"/>
      <c r="K228" s="90"/>
      <c r="L228" s="7"/>
      <c r="N228" s="7"/>
      <c r="P228" s="7"/>
      <c r="U228" s="117"/>
      <c r="V228" s="117"/>
      <c r="W228" s="117"/>
      <c r="X228" s="117"/>
      <c r="Y228" s="117"/>
    </row>
    <row r="229" spans="3:25" x14ac:dyDescent="0.2">
      <c r="C229" s="101"/>
      <c r="D229" s="90"/>
      <c r="F229" s="90"/>
      <c r="K229" s="90"/>
      <c r="L229" s="7"/>
      <c r="N229" s="7"/>
      <c r="P229" s="7"/>
      <c r="W229" s="117"/>
      <c r="X229" s="117"/>
      <c r="Y229" s="117"/>
    </row>
    <row r="230" spans="3:25" x14ac:dyDescent="0.2">
      <c r="C230" s="101"/>
      <c r="D230" s="90"/>
      <c r="F230" s="90"/>
      <c r="K230" s="90"/>
      <c r="L230" s="7"/>
      <c r="N230" s="7"/>
      <c r="P230" s="7"/>
      <c r="W230" s="117"/>
      <c r="X230" s="117"/>
      <c r="Y230" s="117"/>
    </row>
    <row r="231" spans="3:25" x14ac:dyDescent="0.2">
      <c r="C231" s="101"/>
      <c r="D231" s="90"/>
      <c r="F231" s="90"/>
      <c r="K231" s="90"/>
      <c r="L231" s="7"/>
      <c r="N231" s="7"/>
      <c r="P231" s="7"/>
    </row>
    <row r="232" spans="3:25" x14ac:dyDescent="0.2">
      <c r="C232" s="101"/>
      <c r="D232" s="90"/>
      <c r="F232" s="90"/>
      <c r="K232" s="90"/>
      <c r="L232" s="7"/>
      <c r="N232" s="7"/>
      <c r="P232" s="7"/>
      <c r="U232" s="117"/>
      <c r="V232" s="117"/>
      <c r="W232" s="117"/>
      <c r="X232" s="117"/>
      <c r="Y232" s="117"/>
    </row>
    <row r="233" spans="3:25" x14ac:dyDescent="0.2">
      <c r="C233" s="101"/>
      <c r="D233" s="90"/>
      <c r="F233" s="90"/>
      <c r="K233" s="90"/>
      <c r="L233" s="7"/>
      <c r="N233" s="7"/>
      <c r="P233" s="7"/>
      <c r="U233" s="117"/>
      <c r="V233" s="117"/>
      <c r="W233" s="117"/>
      <c r="X233" s="117"/>
      <c r="Y233" s="117"/>
    </row>
    <row r="234" spans="3:25" x14ac:dyDescent="0.2">
      <c r="C234" s="101"/>
      <c r="D234" s="90"/>
      <c r="F234" s="90"/>
      <c r="K234" s="90"/>
      <c r="L234" s="7"/>
      <c r="N234" s="7"/>
      <c r="P234" s="7"/>
      <c r="W234" s="117"/>
      <c r="X234" s="117"/>
      <c r="Y234" s="117"/>
    </row>
    <row r="235" spans="3:25" x14ac:dyDescent="0.2">
      <c r="C235" s="101"/>
      <c r="D235" s="90"/>
      <c r="F235" s="90"/>
      <c r="K235" s="90"/>
      <c r="L235" s="7"/>
      <c r="N235" s="7"/>
      <c r="P235" s="7"/>
      <c r="W235" s="117"/>
      <c r="X235" s="117"/>
      <c r="Y235" s="117"/>
    </row>
    <row r="236" spans="3:25" x14ac:dyDescent="0.2">
      <c r="C236" s="101"/>
      <c r="D236" s="90"/>
      <c r="F236" s="90"/>
      <c r="K236" s="90"/>
      <c r="L236" s="7"/>
      <c r="N236" s="7"/>
      <c r="P236" s="7"/>
    </row>
    <row r="237" spans="3:25" x14ac:dyDescent="0.2">
      <c r="C237" s="101"/>
      <c r="D237" s="90"/>
      <c r="F237" s="90"/>
      <c r="K237" s="90"/>
      <c r="L237" s="7"/>
      <c r="N237" s="7"/>
      <c r="P237" s="7"/>
      <c r="U237" s="117"/>
      <c r="V237" s="117"/>
      <c r="W237" s="117"/>
      <c r="X237" s="117"/>
      <c r="Y237" s="117"/>
    </row>
    <row r="238" spans="3:25" x14ac:dyDescent="0.2">
      <c r="C238" s="101"/>
      <c r="D238" s="90"/>
      <c r="F238" s="90"/>
      <c r="K238" s="90"/>
      <c r="L238" s="7"/>
      <c r="N238" s="7"/>
      <c r="P238" s="7"/>
      <c r="U238" s="117"/>
      <c r="V238" s="117"/>
      <c r="W238" s="117"/>
      <c r="X238" s="117"/>
      <c r="Y238" s="117"/>
    </row>
    <row r="239" spans="3:25" x14ac:dyDescent="0.2">
      <c r="C239" s="101"/>
      <c r="D239" s="90"/>
      <c r="F239" s="90"/>
      <c r="K239" s="90"/>
      <c r="L239" s="7"/>
      <c r="N239" s="7"/>
      <c r="P239" s="7"/>
      <c r="W239" s="117"/>
      <c r="X239" s="117"/>
      <c r="Y239" s="117"/>
    </row>
    <row r="240" spans="3:25" x14ac:dyDescent="0.2">
      <c r="C240" s="101"/>
      <c r="D240" s="90"/>
      <c r="F240" s="90"/>
      <c r="K240" s="90"/>
      <c r="L240" s="7"/>
      <c r="N240" s="7"/>
      <c r="P240" s="7"/>
      <c r="W240" s="117"/>
      <c r="X240" s="117"/>
      <c r="Y240" s="117"/>
    </row>
    <row r="241" spans="3:25" x14ac:dyDescent="0.2">
      <c r="C241" s="101"/>
      <c r="D241" s="90"/>
      <c r="F241" s="90"/>
      <c r="K241" s="90"/>
      <c r="L241" s="7"/>
      <c r="N241" s="7"/>
      <c r="P241" s="7"/>
    </row>
    <row r="242" spans="3:25" x14ac:dyDescent="0.2">
      <c r="C242" s="101"/>
      <c r="D242" s="90"/>
      <c r="F242" s="90"/>
      <c r="K242" s="90"/>
      <c r="L242" s="7"/>
      <c r="N242" s="7"/>
      <c r="P242" s="7"/>
      <c r="U242" s="117"/>
      <c r="V242" s="117"/>
      <c r="W242" s="117"/>
      <c r="X242" s="117"/>
      <c r="Y242" s="117"/>
    </row>
    <row r="243" spans="3:25" x14ac:dyDescent="0.2">
      <c r="C243" s="101"/>
      <c r="D243" s="90"/>
      <c r="F243" s="90"/>
      <c r="K243" s="90"/>
      <c r="L243" s="7"/>
      <c r="N243" s="7"/>
      <c r="P243" s="7"/>
      <c r="U243" s="117"/>
      <c r="V243" s="117"/>
      <c r="W243" s="117"/>
      <c r="X243" s="117"/>
      <c r="Y243" s="117"/>
    </row>
    <row r="244" spans="3:25" x14ac:dyDescent="0.2">
      <c r="C244" s="101"/>
      <c r="D244" s="90"/>
      <c r="F244" s="90"/>
      <c r="K244" s="90"/>
      <c r="L244" s="7"/>
      <c r="N244" s="7"/>
      <c r="P244" s="7"/>
      <c r="W244" s="117"/>
      <c r="X244" s="117"/>
      <c r="Y244" s="117"/>
    </row>
    <row r="245" spans="3:25" x14ac:dyDescent="0.2">
      <c r="C245" s="101"/>
      <c r="D245" s="90"/>
      <c r="F245" s="90"/>
      <c r="K245" s="90"/>
      <c r="L245" s="7"/>
      <c r="N245" s="7"/>
      <c r="P245" s="7"/>
      <c r="W245" s="117"/>
      <c r="X245" s="117"/>
      <c r="Y245" s="117"/>
    </row>
    <row r="246" spans="3:25" x14ac:dyDescent="0.2">
      <c r="C246" s="101"/>
      <c r="D246" s="90"/>
      <c r="F246" s="90"/>
      <c r="K246" s="90"/>
      <c r="L246" s="7"/>
      <c r="N246" s="7"/>
      <c r="P246" s="7"/>
    </row>
    <row r="247" spans="3:25" x14ac:dyDescent="0.2">
      <c r="C247" s="101"/>
      <c r="D247" s="90"/>
      <c r="F247" s="90"/>
      <c r="K247" s="90"/>
      <c r="L247" s="7"/>
      <c r="N247" s="7"/>
      <c r="P247" s="7"/>
      <c r="U247" s="117"/>
      <c r="V247" s="117"/>
      <c r="W247" s="117"/>
      <c r="X247" s="117"/>
      <c r="Y247" s="117"/>
    </row>
    <row r="248" spans="3:25" x14ac:dyDescent="0.2">
      <c r="C248" s="101"/>
      <c r="D248" s="90"/>
      <c r="F248" s="90"/>
      <c r="K248" s="90"/>
      <c r="L248" s="7"/>
      <c r="N248" s="7"/>
      <c r="P248" s="7"/>
      <c r="U248" s="117"/>
      <c r="V248" s="117"/>
      <c r="W248" s="117"/>
      <c r="X248" s="117"/>
      <c r="Y248" s="117"/>
    </row>
    <row r="249" spans="3:25" x14ac:dyDescent="0.2">
      <c r="C249" s="101"/>
      <c r="D249" s="90"/>
      <c r="F249" s="90"/>
      <c r="K249" s="90"/>
      <c r="L249" s="7"/>
      <c r="N249" s="7"/>
      <c r="P249" s="7"/>
      <c r="W249" s="117"/>
      <c r="X249" s="117"/>
      <c r="Y249" s="117"/>
    </row>
    <row r="250" spans="3:25" x14ac:dyDescent="0.2">
      <c r="C250" s="101"/>
      <c r="D250" s="90"/>
      <c r="F250" s="90"/>
      <c r="K250" s="90"/>
      <c r="L250" s="7"/>
      <c r="N250" s="7"/>
      <c r="P250" s="7"/>
      <c r="W250" s="117"/>
      <c r="X250" s="117"/>
      <c r="Y250" s="117"/>
    </row>
    <row r="251" spans="3:25" x14ac:dyDescent="0.2">
      <c r="C251" s="101"/>
      <c r="D251" s="90"/>
      <c r="F251" s="90"/>
      <c r="K251" s="90"/>
      <c r="L251" s="7"/>
      <c r="N251" s="7"/>
      <c r="P251" s="7"/>
    </row>
    <row r="252" spans="3:25" x14ac:dyDescent="0.2">
      <c r="C252" s="101"/>
      <c r="D252" s="90"/>
      <c r="F252" s="90"/>
      <c r="K252" s="90"/>
      <c r="L252" s="7"/>
      <c r="N252" s="7"/>
      <c r="P252" s="7"/>
      <c r="U252" s="117"/>
      <c r="V252" s="117"/>
      <c r="W252" s="117"/>
      <c r="X252" s="117"/>
      <c r="Y252" s="117"/>
    </row>
    <row r="253" spans="3:25" x14ac:dyDescent="0.2">
      <c r="C253" s="101"/>
      <c r="D253" s="90"/>
      <c r="F253" s="90"/>
      <c r="K253" s="90"/>
      <c r="L253" s="7"/>
      <c r="N253" s="7"/>
      <c r="P253" s="7"/>
      <c r="U253" s="117"/>
      <c r="V253" s="117"/>
      <c r="W253" s="117"/>
      <c r="X253" s="117"/>
      <c r="Y253" s="117"/>
    </row>
    <row r="254" spans="3:25" x14ac:dyDescent="0.2">
      <c r="C254" s="101"/>
      <c r="D254" s="90"/>
      <c r="F254" s="90"/>
      <c r="K254" s="90"/>
      <c r="L254" s="7"/>
      <c r="N254" s="7"/>
      <c r="P254" s="7"/>
      <c r="W254" s="117"/>
      <c r="X254" s="117"/>
      <c r="Y254" s="117"/>
    </row>
    <row r="255" spans="3:25" x14ac:dyDescent="0.2">
      <c r="C255" s="101"/>
      <c r="D255" s="90"/>
      <c r="F255" s="90"/>
      <c r="K255" s="90"/>
      <c r="L255" s="7"/>
      <c r="N255" s="7"/>
      <c r="P255" s="7"/>
      <c r="W255" s="117"/>
      <c r="X255" s="117"/>
      <c r="Y255" s="117"/>
    </row>
    <row r="256" spans="3:25" x14ac:dyDescent="0.2">
      <c r="C256" s="101"/>
      <c r="D256" s="90"/>
      <c r="F256" s="90"/>
      <c r="K256" s="90"/>
      <c r="L256" s="7"/>
      <c r="N256" s="7"/>
      <c r="P256" s="7"/>
    </row>
    <row r="257" spans="3:25" x14ac:dyDescent="0.2">
      <c r="C257" s="101"/>
      <c r="D257" s="90"/>
      <c r="F257" s="90"/>
      <c r="K257" s="90"/>
      <c r="L257" s="7"/>
      <c r="N257" s="7"/>
      <c r="P257" s="7"/>
      <c r="U257" s="117"/>
      <c r="V257" s="117"/>
      <c r="W257" s="117"/>
      <c r="X257" s="117"/>
      <c r="Y257" s="117"/>
    </row>
    <row r="258" spans="3:25" x14ac:dyDescent="0.2">
      <c r="C258" s="101"/>
      <c r="D258" s="90"/>
      <c r="F258" s="90"/>
      <c r="K258" s="90"/>
      <c r="L258" s="7"/>
      <c r="N258" s="7"/>
      <c r="P258" s="7"/>
      <c r="U258" s="117"/>
      <c r="V258" s="117"/>
      <c r="W258" s="117"/>
      <c r="X258" s="117"/>
      <c r="Y258" s="117"/>
    </row>
    <row r="259" spans="3:25" x14ac:dyDescent="0.2">
      <c r="C259" s="101"/>
      <c r="D259" s="90"/>
      <c r="F259" s="90"/>
      <c r="K259" s="90"/>
      <c r="L259" s="7"/>
      <c r="N259" s="7"/>
      <c r="P259" s="7"/>
      <c r="W259" s="117"/>
      <c r="X259" s="117"/>
      <c r="Y259" s="117"/>
    </row>
    <row r="260" spans="3:25" x14ac:dyDescent="0.2">
      <c r="C260" s="101"/>
      <c r="D260" s="90"/>
      <c r="F260" s="90"/>
      <c r="K260" s="90"/>
      <c r="L260" s="7"/>
      <c r="N260" s="7"/>
      <c r="P260" s="7"/>
      <c r="W260" s="117"/>
      <c r="X260" s="117"/>
      <c r="Y260" s="117"/>
    </row>
    <row r="261" spans="3:25" x14ac:dyDescent="0.2">
      <c r="C261" s="101"/>
      <c r="D261" s="90"/>
      <c r="F261" s="90"/>
      <c r="K261" s="90"/>
      <c r="L261" s="7"/>
      <c r="N261" s="7"/>
      <c r="P261" s="7"/>
    </row>
    <row r="262" spans="3:25" x14ac:dyDescent="0.2">
      <c r="C262" s="101"/>
      <c r="D262" s="90"/>
      <c r="F262" s="90"/>
      <c r="K262" s="90"/>
      <c r="L262" s="7"/>
      <c r="N262" s="7"/>
      <c r="P262" s="7"/>
      <c r="U262" s="117"/>
      <c r="V262" s="117"/>
      <c r="W262" s="117"/>
      <c r="X262" s="117"/>
      <c r="Y262" s="117"/>
    </row>
    <row r="263" spans="3:25" x14ac:dyDescent="0.2">
      <c r="C263" s="101"/>
      <c r="D263" s="90"/>
      <c r="F263" s="90"/>
      <c r="K263" s="90"/>
      <c r="L263" s="7"/>
      <c r="N263" s="7"/>
      <c r="P263" s="7"/>
      <c r="U263" s="117"/>
      <c r="V263" s="117"/>
      <c r="W263" s="117"/>
      <c r="X263" s="117"/>
      <c r="Y263" s="117"/>
    </row>
    <row r="264" spans="3:25" x14ac:dyDescent="0.2">
      <c r="C264" s="101"/>
      <c r="D264" s="90"/>
      <c r="F264" s="90"/>
      <c r="K264" s="90"/>
      <c r="L264" s="7"/>
      <c r="N264" s="7"/>
      <c r="P264" s="7"/>
      <c r="W264" s="117"/>
      <c r="X264" s="117"/>
      <c r="Y264" s="117"/>
    </row>
    <row r="265" spans="3:25" x14ac:dyDescent="0.2">
      <c r="C265" s="101"/>
      <c r="D265" s="90"/>
      <c r="F265" s="90"/>
      <c r="K265" s="90"/>
      <c r="L265" s="7"/>
      <c r="N265" s="7"/>
      <c r="P265" s="7"/>
      <c r="W265" s="117"/>
      <c r="X265" s="117"/>
      <c r="Y265" s="117"/>
    </row>
    <row r="266" spans="3:25" x14ac:dyDescent="0.2">
      <c r="C266" s="101"/>
      <c r="D266" s="90"/>
      <c r="F266" s="90"/>
      <c r="K266" s="90"/>
      <c r="L266" s="7"/>
      <c r="N266" s="7"/>
      <c r="P266" s="7"/>
    </row>
    <row r="267" spans="3:25" x14ac:dyDescent="0.2">
      <c r="C267" s="101"/>
      <c r="D267" s="90"/>
      <c r="F267" s="90"/>
      <c r="K267" s="90"/>
      <c r="L267" s="7"/>
      <c r="N267" s="7"/>
      <c r="P267" s="7"/>
      <c r="U267" s="117"/>
      <c r="V267" s="117"/>
      <c r="W267" s="117"/>
      <c r="X267" s="117"/>
      <c r="Y267" s="117"/>
    </row>
    <row r="268" spans="3:25" x14ac:dyDescent="0.2">
      <c r="C268" s="101"/>
      <c r="D268" s="90"/>
      <c r="F268" s="90"/>
      <c r="K268" s="90"/>
      <c r="L268" s="7"/>
      <c r="N268" s="7"/>
      <c r="P268" s="7"/>
      <c r="U268" s="117"/>
      <c r="V268" s="117"/>
      <c r="W268" s="117"/>
      <c r="X268" s="117"/>
      <c r="Y268" s="117"/>
    </row>
    <row r="269" spans="3:25" x14ac:dyDescent="0.2">
      <c r="C269" s="101"/>
      <c r="D269" s="90"/>
      <c r="F269" s="90"/>
      <c r="K269" s="90"/>
      <c r="L269" s="7"/>
      <c r="N269" s="7"/>
      <c r="P269" s="7"/>
      <c r="W269" s="117"/>
      <c r="X269" s="117"/>
      <c r="Y269" s="117"/>
    </row>
    <row r="270" spans="3:25" x14ac:dyDescent="0.2">
      <c r="C270" s="101"/>
      <c r="D270" s="90"/>
      <c r="F270" s="90"/>
      <c r="K270" s="90"/>
      <c r="L270" s="7"/>
      <c r="N270" s="7"/>
      <c r="P270" s="7"/>
      <c r="W270" s="117"/>
      <c r="X270" s="117"/>
      <c r="Y270" s="117"/>
    </row>
    <row r="271" spans="3:25" x14ac:dyDescent="0.2">
      <c r="C271" s="101"/>
      <c r="D271" s="90"/>
      <c r="F271" s="90"/>
      <c r="K271" s="90"/>
      <c r="L271" s="7"/>
      <c r="N271" s="7"/>
      <c r="P271" s="7"/>
    </row>
    <row r="272" spans="3:25" x14ac:dyDescent="0.2">
      <c r="C272" s="101"/>
      <c r="D272" s="90"/>
      <c r="F272" s="90"/>
      <c r="K272" s="90"/>
      <c r="L272" s="7"/>
      <c r="N272" s="7"/>
      <c r="P272" s="7"/>
      <c r="U272" s="117"/>
      <c r="V272" s="117"/>
      <c r="W272" s="117"/>
      <c r="X272" s="117"/>
      <c r="Y272" s="117"/>
    </row>
    <row r="273" spans="3:25" x14ac:dyDescent="0.2">
      <c r="C273" s="101"/>
      <c r="D273" s="90"/>
      <c r="F273" s="90"/>
      <c r="K273" s="90"/>
      <c r="L273" s="7"/>
      <c r="N273" s="7"/>
      <c r="P273" s="7"/>
      <c r="U273" s="117"/>
      <c r="V273" s="117"/>
      <c r="W273" s="117"/>
      <c r="X273" s="117"/>
      <c r="Y273" s="117"/>
    </row>
    <row r="274" spans="3:25" x14ac:dyDescent="0.2">
      <c r="C274" s="101"/>
      <c r="D274" s="90"/>
      <c r="F274" s="90"/>
      <c r="K274" s="90"/>
      <c r="L274" s="7"/>
      <c r="N274" s="7"/>
      <c r="P274" s="7"/>
      <c r="W274" s="117"/>
      <c r="X274" s="117"/>
      <c r="Y274" s="117"/>
    </row>
    <row r="275" spans="3:25" x14ac:dyDescent="0.2">
      <c r="C275" s="101"/>
      <c r="D275" s="90"/>
      <c r="F275" s="90"/>
      <c r="K275" s="90"/>
      <c r="L275" s="7"/>
      <c r="N275" s="7"/>
      <c r="P275" s="7"/>
      <c r="W275" s="117"/>
      <c r="X275" s="117"/>
      <c r="Y275" s="117"/>
    </row>
    <row r="276" spans="3:25" x14ac:dyDescent="0.2">
      <c r="C276" s="101"/>
      <c r="D276" s="90"/>
      <c r="F276" s="90"/>
      <c r="K276" s="90"/>
      <c r="L276" s="7"/>
      <c r="N276" s="7"/>
      <c r="P276" s="7"/>
    </row>
    <row r="277" spans="3:25" x14ac:dyDescent="0.2">
      <c r="C277" s="101"/>
      <c r="D277" s="90"/>
      <c r="F277" s="90"/>
      <c r="K277" s="90"/>
      <c r="L277" s="7"/>
      <c r="N277" s="7"/>
      <c r="P277" s="7"/>
      <c r="U277" s="117"/>
      <c r="V277" s="117"/>
      <c r="W277" s="117"/>
      <c r="X277" s="117"/>
      <c r="Y277" s="117"/>
    </row>
    <row r="278" spans="3:25" x14ac:dyDescent="0.2">
      <c r="C278" s="101"/>
      <c r="D278" s="90"/>
      <c r="F278" s="90"/>
      <c r="K278" s="90"/>
      <c r="L278" s="7"/>
      <c r="N278" s="7"/>
      <c r="P278" s="7"/>
      <c r="U278" s="117"/>
      <c r="V278" s="117"/>
      <c r="W278" s="117"/>
      <c r="X278" s="117"/>
      <c r="Y278" s="117"/>
    </row>
    <row r="279" spans="3:25" x14ac:dyDescent="0.2">
      <c r="C279" s="101"/>
      <c r="D279" s="90"/>
      <c r="F279" s="90"/>
      <c r="K279" s="90"/>
      <c r="L279" s="7"/>
      <c r="N279" s="7"/>
      <c r="P279" s="7"/>
      <c r="W279" s="117"/>
      <c r="X279" s="117"/>
      <c r="Y279" s="117"/>
    </row>
    <row r="280" spans="3:25" x14ac:dyDescent="0.2">
      <c r="C280" s="101"/>
      <c r="D280" s="90"/>
      <c r="F280" s="90"/>
      <c r="K280" s="90"/>
      <c r="L280" s="7"/>
      <c r="N280" s="7"/>
      <c r="P280" s="7"/>
      <c r="W280" s="117"/>
      <c r="X280" s="117"/>
      <c r="Y280" s="117"/>
    </row>
    <row r="281" spans="3:25" x14ac:dyDescent="0.2">
      <c r="C281" s="101"/>
      <c r="D281" s="90"/>
      <c r="F281" s="90"/>
      <c r="K281" s="90"/>
      <c r="L281" s="7"/>
      <c r="N281" s="7"/>
      <c r="P281" s="7"/>
    </row>
    <row r="282" spans="3:25" x14ac:dyDescent="0.2">
      <c r="C282" s="101"/>
      <c r="D282" s="90"/>
      <c r="F282" s="90"/>
      <c r="K282" s="90"/>
      <c r="L282" s="7"/>
      <c r="N282" s="7"/>
      <c r="P282" s="7"/>
    </row>
    <row r="283" spans="3:25" x14ac:dyDescent="0.2">
      <c r="C283" s="101"/>
      <c r="D283" s="90"/>
      <c r="F283" s="90"/>
      <c r="K283" s="90"/>
      <c r="L283" s="7"/>
      <c r="N283" s="7"/>
      <c r="P283" s="7"/>
    </row>
    <row r="284" spans="3:25" x14ac:dyDescent="0.2">
      <c r="C284" s="101"/>
      <c r="D284" s="90"/>
      <c r="F284" s="90"/>
      <c r="K284" s="90"/>
      <c r="L284" s="7"/>
      <c r="N284" s="7"/>
      <c r="P284" s="7"/>
    </row>
    <row r="285" spans="3:25" x14ac:dyDescent="0.2">
      <c r="C285" s="101"/>
      <c r="D285" s="90"/>
      <c r="F285" s="90"/>
      <c r="K285" s="90"/>
      <c r="L285" s="7"/>
      <c r="N285" s="7"/>
      <c r="P285" s="7"/>
    </row>
    <row r="286" spans="3:25" x14ac:dyDescent="0.2">
      <c r="C286" s="101"/>
      <c r="D286" s="90"/>
      <c r="F286" s="90"/>
      <c r="K286" s="90"/>
      <c r="L286" s="7"/>
      <c r="N286" s="7"/>
      <c r="P286" s="7"/>
    </row>
    <row r="287" spans="3:25" x14ac:dyDescent="0.2">
      <c r="C287" s="101"/>
      <c r="D287" s="90"/>
      <c r="F287" s="90"/>
      <c r="K287" s="90"/>
      <c r="L287" s="7"/>
      <c r="N287" s="7"/>
      <c r="P287" s="7"/>
    </row>
    <row r="288" spans="3:25" x14ac:dyDescent="0.2">
      <c r="C288" s="101"/>
      <c r="D288" s="90"/>
      <c r="F288" s="90"/>
      <c r="K288" s="90"/>
      <c r="L288" s="7"/>
      <c r="N288" s="7"/>
      <c r="P288" s="7"/>
    </row>
    <row r="289" spans="3:16" x14ac:dyDescent="0.2">
      <c r="C289" s="101"/>
      <c r="D289" s="90"/>
      <c r="F289" s="90"/>
      <c r="K289" s="90"/>
      <c r="L289" s="7"/>
      <c r="N289" s="7"/>
      <c r="P289" s="7"/>
    </row>
    <row r="290" spans="3:16" x14ac:dyDescent="0.2">
      <c r="C290" s="101"/>
      <c r="D290" s="90"/>
      <c r="F290" s="90"/>
      <c r="K290" s="90"/>
      <c r="L290" s="7"/>
      <c r="N290" s="7"/>
      <c r="P290" s="7"/>
    </row>
    <row r="291" spans="3:16" x14ac:dyDescent="0.2">
      <c r="C291" s="101"/>
      <c r="D291" s="90"/>
      <c r="F291" s="90"/>
      <c r="K291" s="90"/>
      <c r="L291" s="7"/>
      <c r="N291" s="7"/>
      <c r="P291" s="7"/>
    </row>
    <row r="292" spans="3:16" x14ac:dyDescent="0.2">
      <c r="C292" s="101"/>
      <c r="D292" s="90"/>
      <c r="F292" s="90"/>
      <c r="K292" s="90"/>
      <c r="L292" s="7"/>
      <c r="N292" s="7"/>
      <c r="P292" s="7"/>
    </row>
    <row r="293" spans="3:16" x14ac:dyDescent="0.2">
      <c r="C293" s="101"/>
      <c r="D293" s="90"/>
      <c r="F293" s="90"/>
      <c r="K293" s="90"/>
      <c r="L293" s="7"/>
      <c r="N293" s="7"/>
      <c r="P293" s="7"/>
    </row>
    <row r="294" spans="3:16" x14ac:dyDescent="0.2">
      <c r="C294" s="101"/>
      <c r="D294" s="90"/>
      <c r="F294" s="90"/>
      <c r="K294" s="90"/>
      <c r="L294" s="7"/>
      <c r="N294" s="7"/>
      <c r="P294" s="7"/>
    </row>
    <row r="295" spans="3:16" x14ac:dyDescent="0.2">
      <c r="C295" s="101"/>
      <c r="D295" s="90"/>
      <c r="F295" s="90"/>
      <c r="K295" s="90"/>
      <c r="L295" s="7"/>
      <c r="N295" s="7"/>
      <c r="P295" s="7"/>
    </row>
    <row r="296" spans="3:16" x14ac:dyDescent="0.2">
      <c r="C296" s="101"/>
      <c r="D296" s="90"/>
      <c r="F296" s="90"/>
      <c r="K296" s="90"/>
      <c r="L296" s="7"/>
      <c r="N296" s="7"/>
      <c r="P296" s="7"/>
    </row>
    <row r="297" spans="3:16" x14ac:dyDescent="0.2">
      <c r="C297" s="101"/>
      <c r="D297" s="90"/>
      <c r="F297" s="90"/>
      <c r="K297" s="90"/>
      <c r="L297" s="7"/>
      <c r="N297" s="7"/>
      <c r="P297" s="7"/>
    </row>
    <row r="298" spans="3:16" x14ac:dyDescent="0.2">
      <c r="C298" s="101"/>
      <c r="D298" s="90"/>
      <c r="F298" s="90"/>
      <c r="K298" s="90"/>
      <c r="L298" s="7"/>
      <c r="N298" s="7"/>
      <c r="P298" s="7"/>
    </row>
    <row r="299" spans="3:16" x14ac:dyDescent="0.2">
      <c r="C299" s="101"/>
      <c r="D299" s="90"/>
      <c r="F299" s="90"/>
      <c r="K299" s="90"/>
      <c r="L299" s="7"/>
      <c r="N299" s="7"/>
      <c r="P299" s="7"/>
    </row>
    <row r="300" spans="3:16" x14ac:dyDescent="0.2">
      <c r="C300" s="101"/>
      <c r="D300" s="90"/>
      <c r="F300" s="90"/>
      <c r="K300" s="90"/>
      <c r="L300" s="7"/>
      <c r="N300" s="7"/>
      <c r="P300" s="7"/>
    </row>
    <row r="301" spans="3:16" x14ac:dyDescent="0.2">
      <c r="C301" s="101"/>
      <c r="D301" s="90"/>
      <c r="F301" s="90"/>
      <c r="K301" s="90"/>
      <c r="L301" s="7"/>
      <c r="N301" s="7"/>
      <c r="P301" s="7"/>
    </row>
    <row r="302" spans="3:16" x14ac:dyDescent="0.2">
      <c r="C302" s="101"/>
      <c r="D302" s="90"/>
      <c r="F302" s="90"/>
      <c r="K302" s="90"/>
      <c r="L302" s="7"/>
      <c r="N302" s="7"/>
      <c r="P302" s="7"/>
    </row>
    <row r="303" spans="3:16" x14ac:dyDescent="0.2">
      <c r="C303" s="101"/>
      <c r="D303" s="90"/>
      <c r="F303" s="90"/>
      <c r="K303" s="90"/>
      <c r="L303" s="7"/>
      <c r="N303" s="7"/>
      <c r="P303" s="7"/>
    </row>
    <row r="304" spans="3:16" x14ac:dyDescent="0.2">
      <c r="C304" s="101"/>
      <c r="D304" s="90"/>
      <c r="F304" s="90"/>
      <c r="K304" s="90"/>
      <c r="L304" s="7"/>
      <c r="N304" s="7"/>
      <c r="P304" s="7"/>
    </row>
    <row r="305" spans="3:16" x14ac:dyDescent="0.2">
      <c r="C305" s="101"/>
      <c r="D305" s="90"/>
      <c r="F305" s="90"/>
      <c r="K305" s="90"/>
      <c r="L305" s="7"/>
      <c r="N305" s="7"/>
      <c r="P305" s="7"/>
    </row>
    <row r="306" spans="3:16" x14ac:dyDescent="0.2">
      <c r="C306" s="101"/>
      <c r="D306" s="90"/>
      <c r="F306" s="90"/>
      <c r="K306" s="90"/>
      <c r="L306" s="7"/>
      <c r="N306" s="7"/>
      <c r="P306" s="7"/>
    </row>
    <row r="307" spans="3:16" x14ac:dyDescent="0.2">
      <c r="C307" s="101"/>
      <c r="D307" s="90"/>
      <c r="F307" s="90"/>
      <c r="K307" s="90"/>
      <c r="L307" s="7"/>
      <c r="N307" s="7"/>
      <c r="P307" s="7"/>
    </row>
    <row r="308" spans="3:16" x14ac:dyDescent="0.2">
      <c r="C308" s="101"/>
      <c r="D308" s="90"/>
      <c r="F308" s="90"/>
      <c r="K308" s="90"/>
      <c r="L308" s="7"/>
      <c r="N308" s="7"/>
      <c r="P308" s="7"/>
    </row>
    <row r="309" spans="3:16" x14ac:dyDescent="0.2">
      <c r="C309" s="101"/>
      <c r="D309" s="90"/>
      <c r="F309" s="90"/>
      <c r="K309" s="90"/>
      <c r="L309" s="7"/>
      <c r="N309" s="7"/>
      <c r="P309" s="7"/>
    </row>
    <row r="310" spans="3:16" x14ac:dyDescent="0.2">
      <c r="C310" s="101"/>
      <c r="D310" s="90"/>
      <c r="F310" s="90"/>
      <c r="K310" s="90"/>
      <c r="L310" s="7"/>
      <c r="N310" s="7"/>
      <c r="P310" s="7"/>
    </row>
    <row r="311" spans="3:16" x14ac:dyDescent="0.2">
      <c r="C311" s="101"/>
      <c r="D311" s="90"/>
      <c r="F311" s="90"/>
      <c r="K311" s="90"/>
      <c r="L311" s="7"/>
      <c r="N311" s="7"/>
      <c r="P311" s="7"/>
    </row>
    <row r="312" spans="3:16" x14ac:dyDescent="0.2">
      <c r="C312" s="101"/>
      <c r="D312" s="90"/>
      <c r="F312" s="90"/>
      <c r="K312" s="90"/>
      <c r="L312" s="7"/>
      <c r="N312" s="7"/>
      <c r="P312" s="7"/>
    </row>
    <row r="313" spans="3:16" x14ac:dyDescent="0.2">
      <c r="C313" s="101"/>
      <c r="D313" s="90"/>
      <c r="F313" s="90"/>
      <c r="K313" s="90"/>
      <c r="L313" s="7"/>
      <c r="N313" s="7"/>
      <c r="P313" s="7"/>
    </row>
  </sheetData>
  <autoFilter ref="Q1:Q313" xr:uid="{00000000-0009-0000-0000-000002000000}"/>
  <conditionalFormatting sqref="E1:E51 E56:E1048576">
    <cfRule type="dataBar" priority="7">
      <dataBar>
        <cfvo type="min"/>
        <cfvo type="max"/>
        <color rgb="FF638EC6"/>
      </dataBar>
    </cfRule>
  </conditionalFormatting>
  <conditionalFormatting sqref="E52:E55">
    <cfRule type="dataBar" priority="1">
      <dataBar>
        <cfvo type="min"/>
        <cfvo type="max"/>
        <color rgb="FF638EC6"/>
      </dataBar>
    </cfRule>
  </conditionalFormatting>
  <conditionalFormatting sqref="H1:H51 H56:H1048576">
    <cfRule type="dataBar" priority="11">
      <dataBar>
        <cfvo type="min"/>
        <cfvo type="max"/>
        <color rgb="FF638EC6"/>
      </dataBar>
    </cfRule>
  </conditionalFormatting>
  <conditionalFormatting sqref="H52:H55">
    <cfRule type="dataBar" priority="3">
      <dataBar>
        <cfvo type="min"/>
        <cfvo type="max"/>
        <color rgb="FF638EC6"/>
      </dataBar>
    </cfRule>
  </conditionalFormatting>
  <conditionalFormatting sqref="I1:I51 I56:I1048576">
    <cfRule type="dataBar" priority="13">
      <dataBar>
        <cfvo type="min"/>
        <cfvo type="max"/>
        <color rgb="FF638EC6"/>
      </dataBar>
    </cfRule>
  </conditionalFormatting>
  <conditionalFormatting sqref="I52:I55">
    <cfRule type="dataBar" priority="4">
      <dataBar>
        <cfvo type="min"/>
        <cfvo type="max"/>
        <color rgb="FF638EC6"/>
      </dataBar>
    </cfRule>
  </conditionalFormatting>
  <conditionalFormatting sqref="J1:J51 J56:J1048576">
    <cfRule type="dataBar" priority="9">
      <dataBar>
        <cfvo type="min"/>
        <cfvo type="max"/>
        <color rgb="FF638EC6"/>
      </dataBar>
    </cfRule>
  </conditionalFormatting>
  <conditionalFormatting sqref="J52:J55">
    <cfRule type="dataBar" priority="2">
      <dataBar>
        <cfvo type="min"/>
        <cfvo type="max"/>
        <color rgb="FF638EC6"/>
      </dataBar>
    </cfRule>
  </conditionalFormatting>
  <conditionalFormatting sqref="M1:M51 M56:M1048576">
    <cfRule type="dataBar" priority="15">
      <dataBar>
        <cfvo type="min"/>
        <cfvo type="max"/>
        <color rgb="FF638EC6"/>
      </dataBar>
    </cfRule>
  </conditionalFormatting>
  <conditionalFormatting sqref="M52:M55">
    <cfRule type="dataBar" priority="6">
      <dataBar>
        <cfvo type="min"/>
        <cfvo type="max"/>
        <color rgb="FF638EC6"/>
      </dataBar>
    </cfRule>
  </conditionalFormatting>
  <conditionalFormatting sqref="Q1:S51 Q56:S1048576">
    <cfRule type="dataBar" priority="14">
      <dataBar>
        <cfvo type="min"/>
        <cfvo type="max"/>
        <color rgb="FF638EC6"/>
      </dataBar>
    </cfRule>
  </conditionalFormatting>
  <conditionalFormatting sqref="Q52:S55">
    <cfRule type="dataBar" priority="5">
      <dataBar>
        <cfvo type="min"/>
        <cfvo type="max"/>
        <color rgb="FF638EC6"/>
      </dataBar>
    </cfRule>
  </conditionalFormatting>
  <hyperlinks>
    <hyperlink ref="A52" r:id="rId1" display="https://www.lixinger.com/analytics/industry/sz/C11/11/detail" xr:uid="{00000000-0004-0000-0200-000000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280"/>
  <sheetViews>
    <sheetView topLeftCell="A130" zoomScale="125" zoomScaleNormal="125" workbookViewId="0">
      <pane xSplit="1" topLeftCell="B1" activePane="topRight" state="frozen"/>
      <selection pane="topRight" activeCell="Q92" sqref="Q92"/>
    </sheetView>
  </sheetViews>
  <sheetFormatPr baseColWidth="10" defaultRowHeight="16" x14ac:dyDescent="0.2"/>
  <cols>
    <col min="1" max="1" width="19.83203125" customWidth="1"/>
    <col min="3" max="3" width="11" bestFit="1" customWidth="1"/>
    <col min="4" max="4" width="14.5" style="2" customWidth="1"/>
    <col min="5" max="5" width="20.6640625" style="12" customWidth="1"/>
    <col min="6" max="6" width="13.33203125" style="2" customWidth="1"/>
    <col min="7" max="7" width="22.83203125" style="2" customWidth="1"/>
    <col min="8" max="10" width="20.6640625" style="12" customWidth="1"/>
    <col min="11" max="11" width="23.1640625" style="2" customWidth="1"/>
    <col min="12" max="12" width="11" style="78" bestFit="1" customWidth="1"/>
    <col min="13" max="13" width="21.1640625" style="14" customWidth="1"/>
    <col min="14" max="14" width="12.33203125" style="78" customWidth="1"/>
    <col min="15" max="15" width="21.1640625" style="78" customWidth="1"/>
    <col min="16" max="16" width="20" style="78" customWidth="1"/>
    <col min="17" max="17" width="15.5" style="99" customWidth="1"/>
    <col min="18" max="19" width="11" style="99" bestFit="1" customWidth="1"/>
    <col min="21" max="21" width="15.1640625" customWidth="1"/>
    <col min="22" max="22" width="19.1640625" style="99" customWidth="1"/>
    <col min="23" max="24" width="20.33203125" bestFit="1" customWidth="1"/>
    <col min="25" max="25" width="20.33203125" style="99" customWidth="1"/>
    <col min="26" max="26" width="20.33203125" style="117" customWidth="1"/>
    <col min="27" max="27" width="29" customWidth="1"/>
  </cols>
  <sheetData>
    <row r="1" spans="1:27" s="127" customFormat="1" x14ac:dyDescent="0.2">
      <c r="A1" t="s">
        <v>0</v>
      </c>
      <c r="C1" s="127" t="s">
        <v>1</v>
      </c>
      <c r="D1" s="4" t="s">
        <v>2</v>
      </c>
      <c r="E1" s="13" t="s">
        <v>3</v>
      </c>
      <c r="F1" s="4" t="s">
        <v>4</v>
      </c>
      <c r="G1" s="4" t="s">
        <v>5</v>
      </c>
      <c r="H1" s="13" t="s">
        <v>6</v>
      </c>
      <c r="I1" s="13" t="s">
        <v>7</v>
      </c>
      <c r="J1" s="13" t="s">
        <v>8</v>
      </c>
      <c r="K1" s="4" t="s">
        <v>9</v>
      </c>
      <c r="L1" s="8" t="s">
        <v>10</v>
      </c>
      <c r="M1" s="15" t="s">
        <v>11</v>
      </c>
      <c r="N1" s="8" t="s">
        <v>12</v>
      </c>
      <c r="O1" s="8" t="s">
        <v>13</v>
      </c>
      <c r="P1" s="8" t="s">
        <v>14</v>
      </c>
      <c r="Q1" s="69" t="s">
        <v>15</v>
      </c>
      <c r="R1" s="69" t="s">
        <v>16</v>
      </c>
      <c r="S1" s="99" t="s">
        <v>17</v>
      </c>
      <c r="T1" t="s">
        <v>18</v>
      </c>
      <c r="U1" s="68" t="s">
        <v>19</v>
      </c>
      <c r="V1" s="69" t="s">
        <v>20</v>
      </c>
      <c r="W1" s="127" t="s">
        <v>193</v>
      </c>
      <c r="X1" s="127" t="s">
        <v>194</v>
      </c>
      <c r="Y1" s="69"/>
      <c r="Z1" s="69"/>
      <c r="AA1" s="69"/>
    </row>
    <row r="2" spans="1:27" x14ac:dyDescent="0.2">
      <c r="A2" t="s">
        <v>210</v>
      </c>
      <c r="B2" t="s">
        <v>30</v>
      </c>
      <c r="C2" s="145">
        <v>7.2699177079688422</v>
      </c>
      <c r="D2" s="90">
        <v>6.9969687175719253</v>
      </c>
      <c r="E2" s="12">
        <v>3.7544990378326697E-2</v>
      </c>
      <c r="F2" s="90">
        <v>95.600279441787677</v>
      </c>
      <c r="G2" s="90">
        <v>12.150118513308129</v>
      </c>
      <c r="H2" s="12">
        <v>0.58130015379918865</v>
      </c>
      <c r="I2" s="12">
        <v>1.1372775021821939</v>
      </c>
      <c r="J2" s="12">
        <v>3.2840770704875468</v>
      </c>
      <c r="K2" s="90">
        <v>13.663099450723671</v>
      </c>
      <c r="L2" s="7">
        <v>6.9969687175719253</v>
      </c>
      <c r="M2" s="14">
        <v>3.7544990378326697E-2</v>
      </c>
      <c r="N2" s="7">
        <v>32.036631547746367</v>
      </c>
      <c r="O2" s="7">
        <v>3.4067392279598661</v>
      </c>
      <c r="P2" s="7">
        <v>4.5786443874317717</v>
      </c>
      <c r="Q2" s="99">
        <v>0.14380111017165251</v>
      </c>
      <c r="R2" s="99">
        <v>9.5222715892245652E-2</v>
      </c>
      <c r="S2" s="99">
        <v>6.8293398727599056E-2</v>
      </c>
      <c r="U2" s="117">
        <f>C2*S2</f>
        <v>0.49648738874714915</v>
      </c>
      <c r="V2" s="117">
        <f>(1+S2)*Q2*(1-U2)+S2</f>
        <v>0.14564390067224831</v>
      </c>
      <c r="W2" s="117">
        <f>V2+I2/3</f>
        <v>0.52473640139964628</v>
      </c>
      <c r="X2" s="117">
        <f>V2+I2/5</f>
        <v>0.37309940110868711</v>
      </c>
      <c r="Y2" s="117"/>
      <c r="AA2" s="117"/>
    </row>
    <row r="3" spans="1:27" x14ac:dyDescent="0.2">
      <c r="A3" t="s">
        <v>232</v>
      </c>
      <c r="B3" t="s">
        <v>32</v>
      </c>
      <c r="C3" s="144">
        <v>16.181488064431338</v>
      </c>
      <c r="D3" s="90">
        <v>15.166099106647771</v>
      </c>
      <c r="E3" s="12">
        <v>6.2750035950989602E-2</v>
      </c>
      <c r="F3" s="90">
        <v>-5.3988093054305644</v>
      </c>
      <c r="G3" s="90">
        <v>-1.3336410893691371</v>
      </c>
      <c r="H3" s="12">
        <v>0.77874708463448017</v>
      </c>
      <c r="I3" s="12">
        <v>2.1301153277732898</v>
      </c>
      <c r="J3" s="12">
        <v>-13.57777140386167</v>
      </c>
      <c r="K3" s="90">
        <v>-0.35597876998338362</v>
      </c>
      <c r="L3" s="7">
        <v>15.166099106647771</v>
      </c>
      <c r="M3" s="14">
        <v>6.2750035950989602E-2</v>
      </c>
      <c r="N3" s="7">
        <v>-5.3988093054305644</v>
      </c>
      <c r="O3" s="7">
        <v>-1.3336410893691371</v>
      </c>
      <c r="P3" s="7">
        <v>-0.35597876998338362</v>
      </c>
      <c r="S3" s="99">
        <v>2.240331986125103E-2</v>
      </c>
      <c r="U3" s="117">
        <f>C3*S3</f>
        <v>0.36251905293847109</v>
      </c>
      <c r="V3" s="117">
        <f>(1+S3)*R2*(1-U3)+S3</f>
        <v>8.4465928237679275E-2</v>
      </c>
      <c r="W3" s="117">
        <f>V3+I3/3</f>
        <v>0.7945043708287759</v>
      </c>
      <c r="X3" s="117">
        <f>V3+I3/5</f>
        <v>0.51048899379233725</v>
      </c>
      <c r="Y3" s="117"/>
      <c r="AA3" s="117"/>
    </row>
    <row r="4" spans="1:27" x14ac:dyDescent="0.2">
      <c r="B4" t="s">
        <v>34</v>
      </c>
      <c r="C4" s="143">
        <v>1.0454222372624751</v>
      </c>
      <c r="D4" s="90">
        <v>0.79073146763939806</v>
      </c>
      <c r="E4" s="12">
        <v>0.24362478675602461</v>
      </c>
      <c r="F4" s="90">
        <v>2.2066386609601221</v>
      </c>
      <c r="G4" s="90">
        <v>1.1107630795556731</v>
      </c>
      <c r="H4" s="12">
        <v>-2.9803518581825731E-2</v>
      </c>
      <c r="I4" s="12">
        <v>0.16645510726181351</v>
      </c>
      <c r="J4" s="12">
        <v>0.29795614506844709</v>
      </c>
      <c r="K4" s="90">
        <v>2.7906296274608722</v>
      </c>
      <c r="L4" s="7">
        <v>0.79073146763939806</v>
      </c>
      <c r="M4" s="14">
        <v>0.24362478675602461</v>
      </c>
      <c r="N4" s="7">
        <v>1.398579603476735</v>
      </c>
      <c r="O4" s="7">
        <v>0.33781313772225879</v>
      </c>
      <c r="P4" s="7">
        <v>1.7687162592023431</v>
      </c>
      <c r="W4" s="117">
        <f>V2+I4/3</f>
        <v>0.20112893642618615</v>
      </c>
      <c r="X4" s="117">
        <f>V2+I4/5</f>
        <v>0.17893492212461101</v>
      </c>
      <c r="Y4" s="117"/>
      <c r="AA4" s="117"/>
    </row>
    <row r="5" spans="1:27" x14ac:dyDescent="0.2">
      <c r="B5" t="s">
        <v>35</v>
      </c>
      <c r="C5" s="143">
        <v>1.5408452406731099</v>
      </c>
      <c r="D5" s="90">
        <v>1.0206269456210371</v>
      </c>
      <c r="E5" s="12">
        <v>0.3376187830679338</v>
      </c>
      <c r="F5" s="90">
        <v>3.9758279683175699</v>
      </c>
      <c r="G5" s="90">
        <v>1.5802902610652521</v>
      </c>
      <c r="H5" s="12">
        <v>-9.8793513635919816E-2</v>
      </c>
      <c r="I5" s="12">
        <v>0.1198768368669907</v>
      </c>
      <c r="J5" s="12">
        <v>0.47314570620014718</v>
      </c>
      <c r="K5" s="90">
        <v>3.8954761927222439</v>
      </c>
      <c r="L5" s="7">
        <v>1.0206269456210371</v>
      </c>
      <c r="M5" s="14">
        <v>0.3376187830679338</v>
      </c>
      <c r="N5" s="7">
        <v>2.907671259661297</v>
      </c>
      <c r="O5" s="7">
        <v>0.88706249200672249</v>
      </c>
      <c r="P5" s="7">
        <v>2.8489070096929692</v>
      </c>
      <c r="W5" s="117">
        <f>V3+I5/3</f>
        <v>0.1244248738600095</v>
      </c>
      <c r="X5" s="117">
        <f>V3+I5/5</f>
        <v>0.10844129561107742</v>
      </c>
      <c r="Y5" s="117"/>
      <c r="AA5" s="117"/>
    </row>
    <row r="6" spans="1:27" x14ac:dyDescent="0.2">
      <c r="C6" s="101"/>
      <c r="D6" s="90"/>
      <c r="F6" s="90"/>
      <c r="G6" s="90"/>
      <c r="K6" s="90"/>
      <c r="L6" s="7"/>
      <c r="N6" s="7"/>
      <c r="O6" s="7"/>
      <c r="P6" s="7"/>
      <c r="AA6" s="117"/>
    </row>
    <row r="7" spans="1:27" x14ac:dyDescent="0.2">
      <c r="A7" t="s">
        <v>233</v>
      </c>
      <c r="B7" t="s">
        <v>30</v>
      </c>
      <c r="C7" s="145">
        <v>18.443966211039129</v>
      </c>
      <c r="D7" s="90">
        <v>14.33958757763712</v>
      </c>
      <c r="E7" s="12">
        <v>0.22253232230199191</v>
      </c>
      <c r="F7" s="90">
        <v>134.4662846952269</v>
      </c>
      <c r="G7" s="90">
        <v>6.2905297676562526</v>
      </c>
      <c r="H7" s="12">
        <v>0.1854451973122262</v>
      </c>
      <c r="I7" s="12">
        <v>1.042003696816066</v>
      </c>
      <c r="J7" s="12">
        <v>2.5183610061716779</v>
      </c>
      <c r="K7" s="90">
        <v>9.3772769940001481</v>
      </c>
      <c r="L7" s="7">
        <v>14.33958757763712</v>
      </c>
      <c r="M7" s="14">
        <v>0.22253232230199191</v>
      </c>
      <c r="N7" s="7">
        <v>45.85963264049159</v>
      </c>
      <c r="O7" s="7">
        <v>1.4864300940349571</v>
      </c>
      <c r="P7" s="7">
        <v>3.198113780622994</v>
      </c>
      <c r="Q7" s="99">
        <v>0.13790178733870559</v>
      </c>
      <c r="R7" s="99">
        <v>7.3045696685684072E-2</v>
      </c>
      <c r="S7" s="99">
        <v>1.5980545213925279E-2</v>
      </c>
      <c r="U7" s="117">
        <f>C7*S7</f>
        <v>0.29474463595962092</v>
      </c>
      <c r="V7" s="117">
        <f>(1+S7)*Q7*(1-U7)+S7</f>
        <v>0.11479072395481246</v>
      </c>
      <c r="W7" s="117">
        <f>V7+I7/3</f>
        <v>0.46212528956016774</v>
      </c>
      <c r="X7" s="117">
        <f>V7+I7/5</f>
        <v>0.32319146331802562</v>
      </c>
      <c r="Y7" s="117"/>
      <c r="AA7" s="117"/>
    </row>
    <row r="8" spans="1:27" x14ac:dyDescent="0.2">
      <c r="A8" t="s">
        <v>234</v>
      </c>
      <c r="B8" t="s">
        <v>32</v>
      </c>
      <c r="C8" s="145">
        <v>31.976645880381909</v>
      </c>
      <c r="D8" s="90">
        <v>25.264749636731391</v>
      </c>
      <c r="E8" s="12">
        <v>0.20989994600304071</v>
      </c>
      <c r="F8" s="90">
        <v>595.94644445800759</v>
      </c>
      <c r="G8" s="90">
        <v>17.636927921937819</v>
      </c>
      <c r="H8" s="12">
        <v>8.2422323494187211E-2</v>
      </c>
      <c r="I8" s="12">
        <v>1.752906543000035</v>
      </c>
      <c r="J8" s="12">
        <v>3.828492017194391</v>
      </c>
      <c r="K8" s="90">
        <v>23.58806055974468</v>
      </c>
      <c r="L8" s="7">
        <v>25.264749636731391</v>
      </c>
      <c r="M8" s="14">
        <v>0.20989994600304071</v>
      </c>
      <c r="N8" s="7">
        <v>595.94644445800759</v>
      </c>
      <c r="O8" s="7">
        <v>17.636927921937819</v>
      </c>
      <c r="P8" s="7">
        <v>23.58806055974468</v>
      </c>
      <c r="S8" s="99">
        <v>1.1759082678683719E-2</v>
      </c>
      <c r="U8" s="117">
        <f>C8*S8</f>
        <v>0.37601602269440199</v>
      </c>
      <c r="V8" s="117">
        <f>(1+S8)*R7*(1-U8)+S8</f>
        <v>5.7874398300244635E-2</v>
      </c>
      <c r="W8" s="117">
        <f>V8+I8/3</f>
        <v>0.64217657930025629</v>
      </c>
      <c r="X8" s="117">
        <f>V8+I8/5</f>
        <v>0.40845570690025168</v>
      </c>
      <c r="Y8" s="117"/>
      <c r="AA8" s="117"/>
    </row>
    <row r="9" spans="1:27" x14ac:dyDescent="0.2">
      <c r="B9" t="s">
        <v>34</v>
      </c>
      <c r="C9" s="143">
        <v>2.5434559061169901</v>
      </c>
      <c r="D9" s="90">
        <v>1.7538261199417891</v>
      </c>
      <c r="E9" s="12">
        <v>0.31045546505294169</v>
      </c>
      <c r="F9" s="90">
        <v>6.2450165716413153</v>
      </c>
      <c r="G9" s="90">
        <v>1.4553272406343289</v>
      </c>
      <c r="H9" s="12">
        <v>-0.1435666273878993</v>
      </c>
      <c r="I9" s="12">
        <v>9.9271386555324304E-2</v>
      </c>
      <c r="J9" s="12">
        <v>0.31494909496196399</v>
      </c>
      <c r="K9" s="90">
        <v>3.5607957371786632</v>
      </c>
      <c r="L9" s="7">
        <v>1.7538261199417891</v>
      </c>
      <c r="M9" s="14">
        <v>0.31045546505294169</v>
      </c>
      <c r="N9" s="7">
        <v>4.3253980656034834</v>
      </c>
      <c r="O9" s="7">
        <v>0.70059880149718201</v>
      </c>
      <c r="P9" s="7">
        <v>2.4662639108984461</v>
      </c>
      <c r="W9" s="117">
        <f>V7+I9/3</f>
        <v>0.14788118613992057</v>
      </c>
      <c r="X9" s="117">
        <f>V7+I9/5</f>
        <v>0.13464500126587733</v>
      </c>
      <c r="Y9" s="117"/>
      <c r="AA9" s="117"/>
    </row>
    <row r="10" spans="1:27" x14ac:dyDescent="0.2">
      <c r="B10" t="s">
        <v>35</v>
      </c>
      <c r="C10" s="143">
        <v>2.3357563760039062</v>
      </c>
      <c r="D10" s="90">
        <v>1.770527618618341</v>
      </c>
      <c r="E10" s="12">
        <v>0.24198960267961619</v>
      </c>
      <c r="F10" s="90">
        <v>6.1240620778788752</v>
      </c>
      <c r="G10" s="90">
        <v>1.6218753551498959</v>
      </c>
      <c r="H10" s="12">
        <v>-9.9529620977844124E-2</v>
      </c>
      <c r="I10" s="12">
        <v>5.4318107506633462E-2</v>
      </c>
      <c r="J10" s="12">
        <v>0.4058348925120665</v>
      </c>
      <c r="K10" s="90">
        <v>3.4588910184060748</v>
      </c>
      <c r="L10" s="7">
        <v>1.770527618618341</v>
      </c>
      <c r="M10" s="14">
        <v>0.24198960267961619</v>
      </c>
      <c r="N10" s="7">
        <v>3.1484861142600491</v>
      </c>
      <c r="O10" s="7">
        <v>0.34795141591204359</v>
      </c>
      <c r="P10" s="7">
        <v>1.778275628773879</v>
      </c>
      <c r="W10" s="117">
        <f>V8+I10/3</f>
        <v>7.5980434135789116E-2</v>
      </c>
      <c r="X10" s="117">
        <f>V8+I10/5</f>
        <v>6.8738019801571321E-2</v>
      </c>
      <c r="Y10" s="117"/>
      <c r="AA10" s="117"/>
    </row>
    <row r="11" spans="1:27" x14ac:dyDescent="0.2">
      <c r="C11" s="101"/>
      <c r="D11" s="90"/>
      <c r="F11" s="90"/>
      <c r="G11" s="90"/>
      <c r="K11" s="90"/>
      <c r="L11" s="7"/>
      <c r="N11" s="7"/>
      <c r="O11" s="7"/>
      <c r="P11" s="7"/>
      <c r="AA11" s="117"/>
    </row>
    <row r="12" spans="1:27" x14ac:dyDescent="0.2">
      <c r="A12" t="s">
        <v>235</v>
      </c>
      <c r="B12" t="s">
        <v>30</v>
      </c>
      <c r="C12" s="143">
        <v>18.53023439104804</v>
      </c>
      <c r="D12" s="90">
        <v>11.57655062869021</v>
      </c>
      <c r="E12" s="12">
        <v>0.37526151130161389</v>
      </c>
      <c r="F12" s="90">
        <v>-69.844762121299937</v>
      </c>
      <c r="G12" s="90">
        <v>-4.769232522770567</v>
      </c>
      <c r="H12" s="12">
        <v>-5.4215882379205493E-2</v>
      </c>
      <c r="I12" s="12">
        <v>0.70379429157439288</v>
      </c>
      <c r="J12" s="12">
        <v>3.9866689871431151</v>
      </c>
      <c r="K12" s="90">
        <v>-6.0332964767763686</v>
      </c>
      <c r="L12" s="7">
        <v>11.57655062869021</v>
      </c>
      <c r="M12" s="14">
        <v>0.37526151130161389</v>
      </c>
      <c r="N12" s="7">
        <v>35.416072469642558</v>
      </c>
      <c r="O12" s="7">
        <v>0.91125874191597167</v>
      </c>
      <c r="P12" s="7">
        <v>3.0592940510164359</v>
      </c>
      <c r="Q12" s="99">
        <v>0.1032231312568465</v>
      </c>
      <c r="R12" s="99">
        <v>4.4253666077764653E-2</v>
      </c>
      <c r="S12" s="99">
        <v>1.9525406109115181E-2</v>
      </c>
      <c r="U12" s="117">
        <f>C12*S12</f>
        <v>0.36181035178230564</v>
      </c>
      <c r="V12" s="117">
        <f>(1+S12)*Q12*(1-U12)+S12</f>
        <v>8.6687594294596104E-2</v>
      </c>
      <c r="W12" s="117">
        <f>V12+I12/3</f>
        <v>0.3212856914860604</v>
      </c>
      <c r="X12" s="117">
        <f>V12+I12/5</f>
        <v>0.22744645260947469</v>
      </c>
      <c r="Y12" s="117"/>
      <c r="AA12" s="117"/>
    </row>
    <row r="13" spans="1:27" x14ac:dyDescent="0.2">
      <c r="A13" t="s">
        <v>236</v>
      </c>
      <c r="B13" t="s">
        <v>32</v>
      </c>
      <c r="C13" s="144">
        <v>44.169567751815869</v>
      </c>
      <c r="D13" s="90">
        <v>19.431330274462219</v>
      </c>
      <c r="E13" s="12">
        <v>0.56007424877588086</v>
      </c>
      <c r="F13" s="90">
        <v>-42.306869028390217</v>
      </c>
      <c r="G13" s="90">
        <v>-1.957828459316334</v>
      </c>
      <c r="H13" s="12">
        <v>-0.38142791333746179</v>
      </c>
      <c r="I13" s="12">
        <v>0.56818077850214088</v>
      </c>
      <c r="J13" s="12">
        <v>-34.336417797576793</v>
      </c>
      <c r="K13" s="90">
        <v>-2.1772502670078309</v>
      </c>
      <c r="L13" s="7">
        <v>19.431330274462219</v>
      </c>
      <c r="M13" s="14">
        <v>0.56007424877588086</v>
      </c>
      <c r="N13" s="7">
        <v>-42.306869028390217</v>
      </c>
      <c r="O13" s="7">
        <v>-1.957828459316334</v>
      </c>
      <c r="P13" s="7">
        <v>-2.1772502670078309</v>
      </c>
      <c r="S13" s="99">
        <v>1.473191960363854E-2</v>
      </c>
      <c r="U13" s="117">
        <f>C13*S13</f>
        <v>0.65070252104721682</v>
      </c>
      <c r="V13" s="117">
        <f>(1+S13)*R12*(1-U13)+S13</f>
        <v>3.0417335104217638E-2</v>
      </c>
      <c r="W13" s="117">
        <f>V13+I13/3</f>
        <v>0.21981092793826462</v>
      </c>
      <c r="X13" s="117">
        <f>V13+I13/5</f>
        <v>0.1440534908046458</v>
      </c>
      <c r="Y13" s="117"/>
      <c r="AA13" s="117"/>
    </row>
    <row r="14" spans="1:27" x14ac:dyDescent="0.2">
      <c r="B14" t="s">
        <v>34</v>
      </c>
      <c r="C14" s="143">
        <v>1.912748816767283</v>
      </c>
      <c r="D14" s="90">
        <v>1.3343125552107959</v>
      </c>
      <c r="E14" s="12">
        <v>0.30241098908851838</v>
      </c>
      <c r="F14" s="90">
        <v>3.8989761527303819</v>
      </c>
      <c r="G14" s="90">
        <v>1.038415142935496</v>
      </c>
      <c r="H14" s="12">
        <v>-0.14328442629637961</v>
      </c>
      <c r="I14" s="12">
        <v>7.7717226682111118E-2</v>
      </c>
      <c r="J14" s="12">
        <v>0.25577853022725111</v>
      </c>
      <c r="K14" s="90">
        <v>2.922086086579931</v>
      </c>
      <c r="L14" s="7">
        <v>1.4484734350907951</v>
      </c>
      <c r="M14" s="14">
        <v>0.2427267906829266</v>
      </c>
      <c r="N14" s="7">
        <v>3.1226089872351119</v>
      </c>
      <c r="O14" s="7">
        <v>0.63252433349434889</v>
      </c>
      <c r="P14" s="7">
        <v>2.1557930657108511</v>
      </c>
      <c r="W14" s="117">
        <f>V12+I14/3</f>
        <v>0.11259333652196647</v>
      </c>
      <c r="X14" s="117">
        <f>V12+I14/5</f>
        <v>0.10223103963101833</v>
      </c>
      <c r="Y14" s="117"/>
      <c r="AA14" s="117"/>
    </row>
    <row r="15" spans="1:27" x14ac:dyDescent="0.2">
      <c r="B15" t="s">
        <v>35</v>
      </c>
      <c r="C15" s="143">
        <v>1.9546653020880611</v>
      </c>
      <c r="D15" s="90">
        <v>1.537093365259617</v>
      </c>
      <c r="E15" s="12">
        <v>0.21362835692759019</v>
      </c>
      <c r="F15" s="90">
        <v>4.8398592461674106</v>
      </c>
      <c r="G15" s="90">
        <v>1.4760552310399411</v>
      </c>
      <c r="H15" s="12">
        <v>-7.7593978793674578E-2</v>
      </c>
      <c r="I15" s="12">
        <v>7.7779329068515146E-2</v>
      </c>
      <c r="J15" s="12">
        <v>0.43809077095963112</v>
      </c>
      <c r="K15" s="90">
        <v>3.1487086962670952</v>
      </c>
      <c r="L15" s="7">
        <v>1.578836478371709</v>
      </c>
      <c r="M15" s="14">
        <v>0.19227272480607061</v>
      </c>
      <c r="N15" s="7">
        <v>2.6277964139133569</v>
      </c>
      <c r="O15" s="7">
        <v>0.34437154591439628</v>
      </c>
      <c r="P15" s="7">
        <v>1.664387952717856</v>
      </c>
      <c r="W15" s="117">
        <f>V13+I15/3</f>
        <v>5.6343778127056016E-2</v>
      </c>
      <c r="X15" s="117">
        <f>V13+I15/5</f>
        <v>4.5973200917920669E-2</v>
      </c>
      <c r="Y15" s="117"/>
      <c r="AA15" s="117"/>
    </row>
    <row r="16" spans="1:27" x14ac:dyDescent="0.2">
      <c r="C16" s="101"/>
      <c r="D16" s="90"/>
      <c r="F16" s="90"/>
      <c r="G16" s="90"/>
      <c r="K16" s="90"/>
      <c r="L16" s="7"/>
      <c r="N16" s="7"/>
      <c r="O16" s="7"/>
      <c r="P16" s="7"/>
      <c r="AA16" s="117"/>
    </row>
    <row r="17" spans="1:27" x14ac:dyDescent="0.2">
      <c r="A17" t="s">
        <v>237</v>
      </c>
      <c r="B17" t="s">
        <v>30</v>
      </c>
      <c r="C17" s="143">
        <v>42.824870919946591</v>
      </c>
      <c r="D17" s="90">
        <v>24.669102304926081</v>
      </c>
      <c r="E17" s="12">
        <v>0.42395384329259178</v>
      </c>
      <c r="F17" s="90">
        <v>122.9382775306803</v>
      </c>
      <c r="G17" s="90">
        <v>1.8707214964054719</v>
      </c>
      <c r="H17" s="12">
        <v>-0.1042983491592706</v>
      </c>
      <c r="I17" s="12">
        <v>0.11701341793270829</v>
      </c>
      <c r="J17" s="12">
        <v>0.61115179254928176</v>
      </c>
      <c r="K17" s="90">
        <v>4.9834921437790278</v>
      </c>
      <c r="L17" s="7">
        <v>25.26121629544209</v>
      </c>
      <c r="M17" s="14">
        <v>0.41012743873382818</v>
      </c>
      <c r="N17" s="7">
        <v>67.055186099606914</v>
      </c>
      <c r="O17" s="7">
        <v>0.56580007503010443</v>
      </c>
      <c r="P17" s="7">
        <v>2.654471792464947</v>
      </c>
      <c r="Q17" s="99">
        <v>7.3269247992269471E-2</v>
      </c>
      <c r="R17" s="99">
        <v>3.1159461131057321E-2</v>
      </c>
      <c r="S17" s="99">
        <v>7.4890775573553366E-3</v>
      </c>
      <c r="U17" s="117">
        <f>C17*S17</f>
        <v>0.32071877970321122</v>
      </c>
      <c r="V17" s="117">
        <f>(1+S17)*Q17*(1-U17)+S17</f>
        <v>5.7632236310566735E-2</v>
      </c>
      <c r="W17" s="117">
        <f>V17+I17/3</f>
        <v>9.6636708954802836E-2</v>
      </c>
      <c r="X17" s="117">
        <f>V17+I17/5</f>
        <v>8.1034919897108398E-2</v>
      </c>
      <c r="Y17" s="117"/>
      <c r="AA17" s="117"/>
    </row>
    <row r="18" spans="1:27" x14ac:dyDescent="0.2">
      <c r="A18" t="s">
        <v>238</v>
      </c>
      <c r="B18" t="s">
        <v>32</v>
      </c>
      <c r="C18" s="143">
        <v>87.50462767285245</v>
      </c>
      <c r="D18" s="90">
        <v>33.499467741138481</v>
      </c>
      <c r="E18" s="12">
        <v>0.61716918713852897</v>
      </c>
      <c r="F18" s="90">
        <v>-9.5919650701228161</v>
      </c>
      <c r="G18" s="90">
        <v>-1.1096166605723261</v>
      </c>
      <c r="H18" s="12">
        <v>-0.30762455399178912</v>
      </c>
      <c r="I18" s="12">
        <v>6.9992515028644231E-2</v>
      </c>
      <c r="J18" s="12">
        <v>3.8791359338472708</v>
      </c>
      <c r="K18" s="90">
        <v>-0.28633186485955892</v>
      </c>
      <c r="L18" s="7">
        <v>33.499467741138481</v>
      </c>
      <c r="M18" s="14">
        <v>0.61716918713852897</v>
      </c>
      <c r="N18" s="7">
        <v>-9.5919650701228161</v>
      </c>
      <c r="O18" s="7">
        <v>-1.1096166605723261</v>
      </c>
      <c r="P18" s="7">
        <v>-0.28633186485955892</v>
      </c>
      <c r="S18" s="99">
        <v>7.2239446425526703E-3</v>
      </c>
      <c r="U18" s="117">
        <f>C18*S18</f>
        <v>0.63212858627586854</v>
      </c>
      <c r="V18" s="117">
        <f>(1+S18)*R17*(1-U18)+S18</f>
        <v>1.8769425389496417E-2</v>
      </c>
      <c r="W18" s="117">
        <f>V18+I18/3</f>
        <v>4.2100263732377824E-2</v>
      </c>
      <c r="X18" s="117">
        <f>V18+I18/5</f>
        <v>3.2767928395225264E-2</v>
      </c>
      <c r="Y18" s="117"/>
      <c r="AA18" s="117"/>
    </row>
    <row r="19" spans="1:27" x14ac:dyDescent="0.2">
      <c r="B19" t="s">
        <v>34</v>
      </c>
      <c r="C19" s="146">
        <v>3.1377460876704961</v>
      </c>
      <c r="D19" s="90">
        <v>1.7566632147691861</v>
      </c>
      <c r="E19" s="12">
        <v>0.44015125326047139</v>
      </c>
      <c r="F19" s="90">
        <v>6.7209946595399312</v>
      </c>
      <c r="G19" s="90">
        <v>1.1419816874123441</v>
      </c>
      <c r="H19" s="12">
        <v>-0.30600776164078081</v>
      </c>
      <c r="I19" s="12">
        <v>-5.5783439544025759E-2</v>
      </c>
      <c r="J19" s="12">
        <v>0.11155654676993659</v>
      </c>
      <c r="K19" s="90">
        <v>3.8260006830182451</v>
      </c>
      <c r="L19" s="7">
        <v>1.7566632147691861</v>
      </c>
      <c r="M19" s="14">
        <v>0.44015125326047139</v>
      </c>
      <c r="N19" s="7">
        <v>4.1735562421460326</v>
      </c>
      <c r="O19" s="7">
        <v>0.33011280248126629</v>
      </c>
      <c r="P19" s="7">
        <v>2.3758431366107988</v>
      </c>
      <c r="W19" s="117">
        <f>V17+I19/3</f>
        <v>3.9037756462558151E-2</v>
      </c>
      <c r="X19" s="117">
        <f>V17+I19/5</f>
        <v>4.6475548401761588E-2</v>
      </c>
      <c r="Y19" s="117"/>
      <c r="AA19" s="117"/>
    </row>
    <row r="20" spans="1:27" x14ac:dyDescent="0.2">
      <c r="B20" t="s">
        <v>35</v>
      </c>
      <c r="C20" s="146">
        <v>2.7265970447598891</v>
      </c>
      <c r="D20" s="90">
        <v>1.666121582485653</v>
      </c>
      <c r="E20" s="12">
        <v>0.38893736216442792</v>
      </c>
      <c r="F20" s="90">
        <v>7.0498399697121981</v>
      </c>
      <c r="G20" s="90">
        <v>1.585581900802296</v>
      </c>
      <c r="H20" s="12">
        <v>-0.189145225776127</v>
      </c>
      <c r="I20" s="12">
        <v>-1.943250486575698E-2</v>
      </c>
      <c r="J20" s="12">
        <v>0.32835448849093041</v>
      </c>
      <c r="K20" s="90">
        <v>4.2312878266630962</v>
      </c>
      <c r="L20" s="7">
        <v>1.666121582485653</v>
      </c>
      <c r="M20" s="14">
        <v>0.38893736216442792</v>
      </c>
      <c r="N20" s="7">
        <v>3.7716428892000842</v>
      </c>
      <c r="O20" s="7">
        <v>0.38327843362429248</v>
      </c>
      <c r="P20" s="7">
        <v>2.26372608628792</v>
      </c>
      <c r="W20" s="117">
        <f>V18+I20/3</f>
        <v>1.2291923767577425E-2</v>
      </c>
      <c r="X20" s="117">
        <f>V18+I20/5</f>
        <v>1.4882924416345021E-2</v>
      </c>
      <c r="Y20" s="117"/>
      <c r="AA20" s="117"/>
    </row>
    <row r="21" spans="1:27" x14ac:dyDescent="0.2">
      <c r="C21" s="101"/>
      <c r="D21" s="90"/>
      <c r="F21" s="90"/>
      <c r="G21" s="90"/>
      <c r="K21" s="90"/>
      <c r="L21" s="7"/>
      <c r="N21" s="7"/>
      <c r="O21" s="7"/>
      <c r="P21" s="7"/>
      <c r="AA21" s="117"/>
    </row>
    <row r="22" spans="1:27" x14ac:dyDescent="0.2">
      <c r="A22" t="s">
        <v>239</v>
      </c>
      <c r="B22" t="s">
        <v>30</v>
      </c>
      <c r="C22" s="146">
        <v>13.970791348989041</v>
      </c>
      <c r="D22" s="90">
        <v>10.53659976985942</v>
      </c>
      <c r="E22" s="12">
        <v>0.2458122445138464</v>
      </c>
      <c r="F22" s="90">
        <v>38.603202486609263</v>
      </c>
      <c r="G22" s="90">
        <v>1.763136426728088</v>
      </c>
      <c r="H22" s="12">
        <v>-0.1177761763126127</v>
      </c>
      <c r="I22" s="12">
        <v>-1.174085451790619E-2</v>
      </c>
      <c r="J22" s="12">
        <v>0.51626607036001326</v>
      </c>
      <c r="K22" s="90">
        <v>3.6637248571437691</v>
      </c>
      <c r="L22" s="7">
        <v>11.08331049993555</v>
      </c>
      <c r="M22" s="14">
        <v>0.20667983487295019</v>
      </c>
      <c r="N22" s="7">
        <v>18.275264092544099</v>
      </c>
      <c r="O22" s="7">
        <v>0.30810514852235199</v>
      </c>
      <c r="P22" s="7">
        <v>1.6488994053401631</v>
      </c>
      <c r="Q22" s="99">
        <v>8.3237874405261536E-2</v>
      </c>
      <c r="R22" s="99">
        <v>-3.0190250590979361E-2</v>
      </c>
      <c r="S22" s="99">
        <v>1.816166749046344E-2</v>
      </c>
      <c r="U22" s="117">
        <f>C22*S22</f>
        <v>0.25373286705898213</v>
      </c>
      <c r="V22" s="117">
        <f>(1+S22)*Q22*(1-U22)+S22</f>
        <v>8.1407518203940862E-2</v>
      </c>
      <c r="W22" s="117">
        <f>V22+I22/3</f>
        <v>7.7493900031305463E-2</v>
      </c>
      <c r="X22" s="117">
        <f>V22+I22/5</f>
        <v>7.9059347300359628E-2</v>
      </c>
      <c r="Y22" s="117"/>
      <c r="AA22" s="117"/>
    </row>
    <row r="23" spans="1:27" x14ac:dyDescent="0.2">
      <c r="A23" t="s">
        <v>240</v>
      </c>
      <c r="B23" t="s">
        <v>32</v>
      </c>
      <c r="C23" s="145">
        <v>-60.674877005423937</v>
      </c>
      <c r="D23" s="90">
        <v>23.105514245709202</v>
      </c>
      <c r="E23" s="12">
        <v>1.380808588102185</v>
      </c>
      <c r="F23" s="90">
        <v>-38.656880220817847</v>
      </c>
      <c r="G23" s="90">
        <v>-0.36288490181262029</v>
      </c>
      <c r="H23" s="12">
        <v>-1.49352417394415</v>
      </c>
      <c r="I23" s="12">
        <v>-1.75207770375776</v>
      </c>
      <c r="J23" s="12">
        <v>-2.472076649635758</v>
      </c>
      <c r="K23" s="90">
        <v>-1.673058639151328</v>
      </c>
      <c r="L23" s="7">
        <v>23.15884709319263</v>
      </c>
      <c r="M23" s="14">
        <v>1.3816875820139261</v>
      </c>
      <c r="N23" s="7">
        <v>-38.656880220817847</v>
      </c>
      <c r="O23" s="7">
        <v>-0.36288490181262029</v>
      </c>
      <c r="P23" s="7">
        <v>-1.669205727956153</v>
      </c>
      <c r="S23" s="99">
        <v>1.070137078315655E-2</v>
      </c>
      <c r="U23" s="117">
        <f>C23*S23</f>
        <v>-0.64930435605746095</v>
      </c>
      <c r="V23" s="117">
        <f>(1+S23)*R22*(1-U23)+S23</f>
        <v>-3.9624393438665674E-2</v>
      </c>
      <c r="W23" s="117">
        <f>V23+I23/3</f>
        <v>-0.62365029469125233</v>
      </c>
      <c r="X23" s="117">
        <f>V23+I23/5</f>
        <v>-0.39003993419021771</v>
      </c>
      <c r="Y23" s="117"/>
      <c r="AA23" s="117"/>
    </row>
    <row r="24" spans="1:27" x14ac:dyDescent="0.2">
      <c r="B24" t="s">
        <v>34</v>
      </c>
      <c r="C24" s="145">
        <v>1.162898975649264</v>
      </c>
      <c r="D24" s="90">
        <v>1.0189199257306041</v>
      </c>
      <c r="E24" s="12">
        <v>0.12381045381717271</v>
      </c>
      <c r="F24" s="90">
        <v>4.2676795728889916</v>
      </c>
      <c r="G24" s="90">
        <v>2.6698626985257099</v>
      </c>
      <c r="H24" s="12">
        <v>4.8033337450037017E-2</v>
      </c>
      <c r="I24" s="12">
        <v>0.27405340726197558</v>
      </c>
      <c r="J24" s="12">
        <v>0.93344275168994351</v>
      </c>
      <c r="K24" s="90">
        <v>4.1884346994479538</v>
      </c>
      <c r="L24" s="7">
        <v>1.0189199257306041</v>
      </c>
      <c r="M24" s="14">
        <v>0.12381045381717271</v>
      </c>
      <c r="N24" s="7">
        <v>1.9319193781820061</v>
      </c>
      <c r="O24" s="7">
        <v>0.66129596692041615</v>
      </c>
      <c r="P24" s="7">
        <v>1.8960463225770641</v>
      </c>
      <c r="W24" s="117">
        <f>V22+I24/3</f>
        <v>0.17275865395793272</v>
      </c>
      <c r="X24" s="117">
        <f>V22+I24/5</f>
        <v>0.13621819965633597</v>
      </c>
      <c r="Y24" s="117"/>
      <c r="AA24" s="117"/>
    </row>
    <row r="25" spans="1:27" x14ac:dyDescent="0.2">
      <c r="B25" t="s">
        <v>35</v>
      </c>
      <c r="C25" s="143">
        <v>1.8317897413705999</v>
      </c>
      <c r="D25" s="90">
        <v>1.5040976698208359</v>
      </c>
      <c r="E25" s="12">
        <v>0.17889174949990441</v>
      </c>
      <c r="F25" s="90">
        <v>6.453580430539966</v>
      </c>
      <c r="G25" s="90">
        <v>2.5231010878525848</v>
      </c>
      <c r="H25" s="12">
        <v>-2.4534413516940409E-2</v>
      </c>
      <c r="I25" s="12">
        <v>0.22554155102051879</v>
      </c>
      <c r="J25" s="12">
        <v>0.81878406900867873</v>
      </c>
      <c r="K25" s="90">
        <v>4.2906657991888908</v>
      </c>
      <c r="L25" s="7">
        <v>1.5040976698208359</v>
      </c>
      <c r="M25" s="14">
        <v>0.17889174949990441</v>
      </c>
      <c r="N25" s="7">
        <v>2.7660750117996611</v>
      </c>
      <c r="O25" s="7">
        <v>0.51003958005027394</v>
      </c>
      <c r="P25" s="7">
        <v>1.839026193112278</v>
      </c>
      <c r="W25" s="117">
        <f>V23+I25/3</f>
        <v>3.5556123568173927E-2</v>
      </c>
      <c r="X25" s="117">
        <f>V23+I25/5</f>
        <v>5.4839167654380863E-3</v>
      </c>
      <c r="Y25" s="117"/>
      <c r="AA25" s="117"/>
    </row>
    <row r="26" spans="1:27" x14ac:dyDescent="0.2">
      <c r="C26" s="101"/>
      <c r="D26" s="90"/>
      <c r="F26" s="90"/>
      <c r="G26" s="90"/>
      <c r="K26" s="90"/>
      <c r="L26" s="7"/>
      <c r="N26" s="7"/>
      <c r="O26" s="7"/>
      <c r="P26" s="7"/>
      <c r="AA26" s="117"/>
    </row>
    <row r="27" spans="1:27" x14ac:dyDescent="0.2">
      <c r="A27" t="s">
        <v>241</v>
      </c>
      <c r="B27" t="s">
        <v>30</v>
      </c>
      <c r="C27" s="146">
        <v>23.062225056791569</v>
      </c>
      <c r="D27" s="90">
        <v>14.665239471387469</v>
      </c>
      <c r="E27" s="12">
        <v>0.3641012766429178</v>
      </c>
      <c r="F27" s="90">
        <v>124.1201452388991</v>
      </c>
      <c r="G27" s="90">
        <v>4.3819674785606653</v>
      </c>
      <c r="H27" s="12">
        <v>-0.21980885120379171</v>
      </c>
      <c r="I27" s="12">
        <v>-2.6057493728748549E-2</v>
      </c>
      <c r="J27" s="12">
        <v>0.34066148909661709</v>
      </c>
      <c r="K27" s="90">
        <v>8.4635607540581237</v>
      </c>
      <c r="L27" s="7">
        <v>15.45586378573843</v>
      </c>
      <c r="M27" s="14">
        <v>0.32981905485364932</v>
      </c>
      <c r="N27" s="7">
        <v>124.1201452388991</v>
      </c>
      <c r="O27" s="7">
        <v>4.3819674785606653</v>
      </c>
      <c r="P27" s="7">
        <v>8.0306184733219741</v>
      </c>
      <c r="Q27" s="99">
        <v>6.702627747893837E-2</v>
      </c>
      <c r="R27" s="99">
        <v>6.0977369395093003E-2</v>
      </c>
      <c r="S27" s="99">
        <v>2.107409393174961E-2</v>
      </c>
      <c r="U27" s="117">
        <f>C27*S27</f>
        <v>0.486015497121975</v>
      </c>
      <c r="V27" s="117">
        <f>(1+S27)*Q27*(1-U27)+S27</f>
        <v>5.6250574238249668E-2</v>
      </c>
      <c r="W27" s="117">
        <f>V27+I27/3</f>
        <v>4.7564742995333482E-2</v>
      </c>
      <c r="X27" s="117">
        <f>V27+I27/5</f>
        <v>5.1039075492499961E-2</v>
      </c>
      <c r="Y27" s="117"/>
      <c r="AA27" s="117"/>
    </row>
    <row r="28" spans="1:27" x14ac:dyDescent="0.2">
      <c r="A28" t="s">
        <v>242</v>
      </c>
      <c r="B28" t="s">
        <v>32</v>
      </c>
      <c r="C28" s="145">
        <v>22.898687123760109</v>
      </c>
      <c r="D28" s="90">
        <v>18.45540156918517</v>
      </c>
      <c r="E28" s="12">
        <v>0.1940410614180802</v>
      </c>
      <c r="F28" s="90">
        <v>-9.9251065912800698</v>
      </c>
      <c r="G28" s="90">
        <v>-1.4334356174062739</v>
      </c>
      <c r="H28" s="12">
        <v>0.12756995527704329</v>
      </c>
      <c r="I28" s="12">
        <v>0.40227821439994571</v>
      </c>
      <c r="J28" s="12">
        <v>14.886489476584551</v>
      </c>
      <c r="K28" s="90">
        <v>-0.53778870939616596</v>
      </c>
      <c r="L28" s="7">
        <v>18.45540156918517</v>
      </c>
      <c r="M28" s="14">
        <v>0.1940410614180802</v>
      </c>
      <c r="N28" s="7">
        <v>-9.9251065912800698</v>
      </c>
      <c r="O28" s="7">
        <v>-1.4334356174062739</v>
      </c>
      <c r="P28" s="7">
        <v>-0.53778870939616596</v>
      </c>
      <c r="S28" s="99">
        <v>1.9932738896533381E-2</v>
      </c>
      <c r="U28" s="117">
        <f>C28*S28</f>
        <v>0.4564335515113212</v>
      </c>
      <c r="V28" s="117">
        <f>(1+S28)*R27*(1-U28)+S28</f>
        <v>5.3738666672979517E-2</v>
      </c>
      <c r="W28" s="117">
        <f>V28+I28/3</f>
        <v>0.18783140480629476</v>
      </c>
      <c r="X28" s="117">
        <f>V28+I28/5</f>
        <v>0.13419430955296865</v>
      </c>
      <c r="Y28" s="117"/>
      <c r="AA28" s="117"/>
    </row>
    <row r="29" spans="1:27" x14ac:dyDescent="0.2">
      <c r="B29" t="s">
        <v>34</v>
      </c>
      <c r="C29" s="143">
        <v>1.545775095938237</v>
      </c>
      <c r="D29" s="90">
        <v>1.050016997496906</v>
      </c>
      <c r="E29" s="12">
        <v>0.32071813017560691</v>
      </c>
      <c r="F29" s="90">
        <v>3.8706180893681612</v>
      </c>
      <c r="G29" s="90">
        <v>1.5039982204001141</v>
      </c>
      <c r="H29" s="12">
        <v>-5.120714221549616E-2</v>
      </c>
      <c r="I29" s="12">
        <v>8.2259354182697475E-2</v>
      </c>
      <c r="J29" s="12">
        <v>0.31406324627325422</v>
      </c>
      <c r="K29" s="90">
        <v>3.686243269009144</v>
      </c>
      <c r="L29" s="7">
        <v>1.3004563449517359</v>
      </c>
      <c r="M29" s="14">
        <v>0.1587027450701686</v>
      </c>
      <c r="N29" s="7">
        <v>2.210676310400189</v>
      </c>
      <c r="O29" s="7">
        <v>0.43014097989357108</v>
      </c>
      <c r="P29" s="7">
        <v>1.699923506838082</v>
      </c>
      <c r="W29" s="117">
        <f>V27+I29/3</f>
        <v>8.3670358965815497E-2</v>
      </c>
      <c r="X29" s="117">
        <f>V27+I29/5</f>
        <v>7.2702445074789165E-2</v>
      </c>
      <c r="Y29" s="117"/>
      <c r="AA29" s="117"/>
    </row>
    <row r="30" spans="1:27" x14ac:dyDescent="0.2">
      <c r="B30" t="s">
        <v>35</v>
      </c>
      <c r="C30" s="145">
        <v>1.3963017034081799</v>
      </c>
      <c r="D30" s="90">
        <v>1.171489680535662</v>
      </c>
      <c r="E30" s="12">
        <v>0.16100533453750149</v>
      </c>
      <c r="F30" s="90">
        <v>4.1757141679048848</v>
      </c>
      <c r="G30" s="90">
        <v>1.990552942614439</v>
      </c>
      <c r="H30" s="12">
        <v>7.0821618316450063E-3</v>
      </c>
      <c r="I30" s="12">
        <v>0.10299893399520441</v>
      </c>
      <c r="J30" s="12">
        <v>0.52624162415274189</v>
      </c>
      <c r="K30" s="90">
        <v>3.564448101664492</v>
      </c>
      <c r="L30" s="7">
        <v>1.231914142157633</v>
      </c>
      <c r="M30" s="14">
        <v>0.1177306887539419</v>
      </c>
      <c r="N30" s="7">
        <v>1.9858155663804999</v>
      </c>
      <c r="O30" s="7">
        <v>0.42219662235847633</v>
      </c>
      <c r="P30" s="7">
        <v>1.6119756226699771</v>
      </c>
      <c r="W30" s="117">
        <f>V28+I30/3</f>
        <v>8.8071644671380983E-2</v>
      </c>
      <c r="X30" s="117">
        <f>V28+I30/5</f>
        <v>7.4338453472020394E-2</v>
      </c>
      <c r="Y30" s="117"/>
      <c r="AA30" s="117"/>
    </row>
    <row r="31" spans="1:27" x14ac:dyDescent="0.2">
      <c r="C31" s="101"/>
      <c r="D31" s="90"/>
      <c r="F31" s="90"/>
      <c r="G31" s="90"/>
      <c r="K31" s="90"/>
      <c r="L31" s="7"/>
      <c r="N31" s="7"/>
      <c r="O31" s="7"/>
      <c r="P31" s="7"/>
      <c r="AA31" s="117"/>
    </row>
    <row r="32" spans="1:27" x14ac:dyDescent="0.2">
      <c r="A32" t="s">
        <v>243</v>
      </c>
      <c r="B32" t="s">
        <v>30</v>
      </c>
      <c r="C32" s="144">
        <v>43.574126606739583</v>
      </c>
      <c r="D32" s="90">
        <v>13.626874203782039</v>
      </c>
      <c r="E32" s="12">
        <v>0.68727143227067267</v>
      </c>
      <c r="F32" s="90">
        <v>74.820476813367407</v>
      </c>
      <c r="G32" s="90">
        <v>0.7170849455831656</v>
      </c>
      <c r="H32" s="12">
        <v>-0.60220736889761384</v>
      </c>
      <c r="I32" s="12">
        <v>-0.51175811019843676</v>
      </c>
      <c r="J32" s="12">
        <v>-1.2127642414400451E-2</v>
      </c>
      <c r="K32" s="90">
        <v>5.4906558682842697</v>
      </c>
      <c r="L32" s="7">
        <v>13.77181109803993</v>
      </c>
      <c r="M32" s="14">
        <v>0.68394521771298455</v>
      </c>
      <c r="N32" s="7">
        <v>74.820476813367407</v>
      </c>
      <c r="O32" s="7">
        <v>0.7170849455831656</v>
      </c>
      <c r="P32" s="7">
        <v>5.4328712673103849</v>
      </c>
      <c r="Q32" s="99">
        <v>5.5573526354681983E-2</v>
      </c>
      <c r="R32" s="99">
        <v>2.728518069865668E-2</v>
      </c>
      <c r="S32" s="99">
        <v>1.079938201711347E-2</v>
      </c>
      <c r="U32" s="117">
        <f>C32*S32</f>
        <v>0.47057363928824902</v>
      </c>
      <c r="V32" s="117">
        <f>(1+S32)*Q32*(1-U32)+S32</f>
        <v>4.0539212214590031E-2</v>
      </c>
      <c r="W32" s="117">
        <f>V32+I32/3</f>
        <v>-0.13004682451822222</v>
      </c>
      <c r="X32" s="117">
        <f>V32+I32/5</f>
        <v>-6.1812409825097323E-2</v>
      </c>
      <c r="Y32" s="117"/>
      <c r="AA32" s="117"/>
    </row>
    <row r="33" spans="1:27" x14ac:dyDescent="0.2">
      <c r="A33" t="s">
        <v>244</v>
      </c>
      <c r="B33" t="s">
        <v>32</v>
      </c>
      <c r="C33" s="146">
        <v>82.972838317172119</v>
      </c>
      <c r="D33" s="90">
        <v>24.05474086785172</v>
      </c>
      <c r="E33" s="12">
        <v>0.7100889718162946</v>
      </c>
      <c r="F33" s="90">
        <v>-32.141832186532262</v>
      </c>
      <c r="G33" s="90">
        <v>-1.387377759257395</v>
      </c>
      <c r="H33" s="12">
        <v>-0.61043516694635325</v>
      </c>
      <c r="I33" s="12">
        <v>-0.47172354179463222</v>
      </c>
      <c r="J33" s="12">
        <v>0.21114856034083271</v>
      </c>
      <c r="K33" s="90">
        <v>-1.336195320627571</v>
      </c>
      <c r="L33" s="7">
        <v>25.043159191469119</v>
      </c>
      <c r="M33" s="14">
        <v>0.69817641894159266</v>
      </c>
      <c r="N33" s="7">
        <v>-32.141832186532262</v>
      </c>
      <c r="O33" s="7">
        <v>-1.387377759257395</v>
      </c>
      <c r="P33" s="7">
        <v>-1.283457567824801</v>
      </c>
      <c r="S33" s="99">
        <v>1.029355412000495E-2</v>
      </c>
      <c r="U33" s="117">
        <f>C33*S33</f>
        <v>0.85408540170823166</v>
      </c>
      <c r="V33" s="117">
        <f>(1+S33)*R32*(1-U33)+S33</f>
        <v>1.4315842091609802E-2</v>
      </c>
      <c r="W33" s="117">
        <f>V33+I33/3</f>
        <v>-0.14292533850660094</v>
      </c>
      <c r="X33" s="117">
        <f>V33+I33/5</f>
        <v>-8.0028866267316645E-2</v>
      </c>
      <c r="Y33" s="117"/>
      <c r="AA33" s="117"/>
    </row>
    <row r="34" spans="1:27" x14ac:dyDescent="0.2">
      <c r="B34" t="s">
        <v>34</v>
      </c>
      <c r="C34" s="146">
        <v>2.4215678733618908</v>
      </c>
      <c r="D34" s="90">
        <v>1.396364235140753</v>
      </c>
      <c r="E34" s="12">
        <v>0.42336357758076609</v>
      </c>
      <c r="F34" s="90">
        <v>4.2548611836283996</v>
      </c>
      <c r="G34" s="90">
        <v>0.75706872825386728</v>
      </c>
      <c r="H34" s="12">
        <v>-0.2262640576075495</v>
      </c>
      <c r="I34" s="12">
        <v>-1.6753982538381559E-2</v>
      </c>
      <c r="J34" s="12">
        <v>0.12957221479925279</v>
      </c>
      <c r="K34" s="90">
        <v>3.0470998014350541</v>
      </c>
      <c r="L34" s="7">
        <v>1.396364235140753</v>
      </c>
      <c r="M34" s="14">
        <v>0.42336357758076609</v>
      </c>
      <c r="N34" s="7">
        <v>3.2689281784533799</v>
      </c>
      <c r="O34" s="7">
        <v>0.34992217827662581</v>
      </c>
      <c r="P34" s="7">
        <v>2.3410282906049029</v>
      </c>
      <c r="W34" s="117">
        <f>V32+I34/3</f>
        <v>3.4954551368462844E-2</v>
      </c>
      <c r="X34" s="117">
        <f>V32+I34/5</f>
        <v>3.7188415706913718E-2</v>
      </c>
      <c r="Y34" s="117"/>
      <c r="AA34" s="117"/>
    </row>
    <row r="35" spans="1:27" x14ac:dyDescent="0.2">
      <c r="B35" t="s">
        <v>35</v>
      </c>
      <c r="C35" s="146">
        <v>2.2639288865644658</v>
      </c>
      <c r="D35" s="90">
        <v>1.4898500672884201</v>
      </c>
      <c r="E35" s="12">
        <v>0.34191834552308648</v>
      </c>
      <c r="F35" s="90">
        <v>5.7849657034764226</v>
      </c>
      <c r="G35" s="90">
        <v>1.5552771280970601</v>
      </c>
      <c r="H35" s="12">
        <v>-0.14733511732323731</v>
      </c>
      <c r="I35" s="12">
        <v>-1.8817205271843159E-2</v>
      </c>
      <c r="J35" s="12">
        <v>0.37348460885290669</v>
      </c>
      <c r="K35" s="90">
        <v>3.882918040206063</v>
      </c>
      <c r="L35" s="7">
        <v>1.4898500672884201</v>
      </c>
      <c r="M35" s="14">
        <v>0.34191834552308648</v>
      </c>
      <c r="N35" s="7">
        <v>2.5928878364084351</v>
      </c>
      <c r="O35" s="7">
        <v>0.14530445359667099</v>
      </c>
      <c r="P35" s="7">
        <v>1.740368305065477</v>
      </c>
      <c r="W35" s="117">
        <f>V33+I35/3</f>
        <v>8.0434403343287476E-3</v>
      </c>
      <c r="X35" s="117">
        <f>V33+I35/5</f>
        <v>1.055240103724117E-2</v>
      </c>
      <c r="Y35" s="117"/>
      <c r="AA35" s="117"/>
    </row>
    <row r="36" spans="1:27" x14ac:dyDescent="0.2">
      <c r="C36" s="101"/>
      <c r="D36" s="90"/>
      <c r="F36" s="90"/>
      <c r="G36" s="90"/>
      <c r="K36" s="90"/>
      <c r="L36" s="7"/>
      <c r="N36" s="7"/>
      <c r="O36" s="7"/>
      <c r="P36" s="7"/>
      <c r="AA36" s="117"/>
    </row>
    <row r="37" spans="1:27" x14ac:dyDescent="0.2">
      <c r="A37" s="128" t="s">
        <v>245</v>
      </c>
      <c r="B37" t="s">
        <v>30</v>
      </c>
      <c r="C37" s="143">
        <v>19.060668563391179</v>
      </c>
      <c r="D37" s="90">
        <v>13.54503130908479</v>
      </c>
      <c r="E37" s="12">
        <v>0.28937270673180782</v>
      </c>
      <c r="F37" s="90">
        <v>38.690370361660428</v>
      </c>
      <c r="G37" s="90">
        <v>1.0298537920107891</v>
      </c>
      <c r="H37" s="12">
        <v>-5.7873751395161273E-2</v>
      </c>
      <c r="I37" s="12">
        <v>0.17171659704159281</v>
      </c>
      <c r="J37" s="12">
        <v>0.35117938105170848</v>
      </c>
      <c r="K37" s="90">
        <v>2.8564253177997738</v>
      </c>
      <c r="L37" s="7">
        <v>13.54503130908479</v>
      </c>
      <c r="M37" s="14">
        <v>0.28937270673180782</v>
      </c>
      <c r="N37" s="7">
        <v>38.690370361660428</v>
      </c>
      <c r="O37" s="7">
        <v>1.0298537920107891</v>
      </c>
      <c r="P37" s="7">
        <v>2.8564253177997738</v>
      </c>
      <c r="Q37" s="99">
        <v>0.1441692603540598</v>
      </c>
      <c r="R37" s="99">
        <v>4.5521014995151987E-2</v>
      </c>
      <c r="S37" s="99">
        <v>2.5216816510136939E-2</v>
      </c>
      <c r="U37" s="117">
        <f>C37*S37</f>
        <v>0.4806493817235708</v>
      </c>
      <c r="V37" s="117">
        <f>(1+S37)*Q37*(1-U37)+S37</f>
        <v>0.10197930487892118</v>
      </c>
      <c r="W37" s="117">
        <f>V37+I37/3</f>
        <v>0.15921817055945212</v>
      </c>
      <c r="X37" s="117">
        <f>V37+I37/5</f>
        <v>0.13632262428723974</v>
      </c>
      <c r="Y37" s="117"/>
      <c r="AA37" s="36"/>
    </row>
    <row r="38" spans="1:27" x14ac:dyDescent="0.2">
      <c r="A38" t="s">
        <v>246</v>
      </c>
      <c r="B38" t="s">
        <v>32</v>
      </c>
      <c r="C38" s="144">
        <v>53.927192093765001</v>
      </c>
      <c r="D38" s="90">
        <v>27.224269319270078</v>
      </c>
      <c r="E38" s="12">
        <v>0.49516619979148302</v>
      </c>
      <c r="F38" s="90">
        <v>-27.796798502124759</v>
      </c>
      <c r="G38" s="90">
        <v>-1.5154505069315229</v>
      </c>
      <c r="H38" s="12">
        <v>-0.32648338197128879</v>
      </c>
      <c r="I38" s="12">
        <v>-7.2951681586346462E-2</v>
      </c>
      <c r="J38" s="12">
        <v>-2.353861943693516</v>
      </c>
      <c r="K38" s="90">
        <v>-1.021030102815264</v>
      </c>
      <c r="L38" s="7">
        <v>32.020407501243533</v>
      </c>
      <c r="M38" s="14">
        <v>0.40622891239045822</v>
      </c>
      <c r="N38" s="7">
        <v>-27.796798502124759</v>
      </c>
      <c r="O38" s="7">
        <v>-1.5154505069315229</v>
      </c>
      <c r="P38" s="7">
        <v>-0.86809633828193045</v>
      </c>
      <c r="S38" s="99">
        <v>1.33427380707117E-2</v>
      </c>
      <c r="U38" s="117">
        <f>C38*S38</f>
        <v>0.71953639899606125</v>
      </c>
      <c r="V38" s="117">
        <f>(1+S38)*R37*(1-U38)+S38</f>
        <v>2.6280072431598828E-2</v>
      </c>
      <c r="W38" s="117">
        <f>V38+I38/3</f>
        <v>1.9628452361500071E-3</v>
      </c>
      <c r="X38" s="117">
        <f>V38+I38/5</f>
        <v>1.1689736114329535E-2</v>
      </c>
      <c r="Y38" s="117"/>
      <c r="AA38" s="117"/>
    </row>
    <row r="39" spans="1:27" x14ac:dyDescent="0.2">
      <c r="B39" t="s">
        <v>34</v>
      </c>
      <c r="C39" s="143">
        <v>2.7479624886379859</v>
      </c>
      <c r="D39" s="90">
        <v>2.2236930108039061</v>
      </c>
      <c r="E39" s="12">
        <v>0.19078480146718871</v>
      </c>
      <c r="F39" s="90">
        <v>5.6614449061694891</v>
      </c>
      <c r="G39" s="90">
        <v>1.0602336929917691</v>
      </c>
      <c r="H39" s="12">
        <v>-1.214920883627202E-2</v>
      </c>
      <c r="I39" s="12">
        <v>0.2009969861755079</v>
      </c>
      <c r="J39" s="12">
        <v>0.39916063601591989</v>
      </c>
      <c r="K39" s="90">
        <v>2.5459651483649588</v>
      </c>
      <c r="L39" s="7">
        <v>2.232096377231461</v>
      </c>
      <c r="M39" s="14">
        <v>0.1877267661183438</v>
      </c>
      <c r="N39" s="7">
        <v>4.4324947392891536</v>
      </c>
      <c r="O39" s="7">
        <v>0.61301137028478792</v>
      </c>
      <c r="P39" s="7">
        <v>1.985798993494589</v>
      </c>
      <c r="W39" s="117">
        <f>V37+I39/3</f>
        <v>0.16897830027075716</v>
      </c>
      <c r="X39" s="117">
        <f>V37+I39/5</f>
        <v>0.14217870211402275</v>
      </c>
      <c r="Y39" s="117"/>
      <c r="AA39" s="117"/>
    </row>
    <row r="40" spans="1:27" x14ac:dyDescent="0.2">
      <c r="B40" t="s">
        <v>35</v>
      </c>
      <c r="C40" s="143">
        <v>2.4548205199467179</v>
      </c>
      <c r="D40" s="90">
        <v>1.705481053321902</v>
      </c>
      <c r="E40" s="12">
        <v>0.30525224167552611</v>
      </c>
      <c r="F40" s="90">
        <v>6.8052577558531278</v>
      </c>
      <c r="G40" s="90">
        <v>1.772201755915269</v>
      </c>
      <c r="H40" s="12">
        <v>-7.1063493825366919E-2</v>
      </c>
      <c r="I40" s="12">
        <v>0.11305118584367051</v>
      </c>
      <c r="J40" s="12">
        <v>0.56150452996780209</v>
      </c>
      <c r="K40" s="90">
        <v>3.9902277088320521</v>
      </c>
      <c r="L40" s="7">
        <v>1.705481053321902</v>
      </c>
      <c r="M40" s="14">
        <v>0.30525224167552611</v>
      </c>
      <c r="N40" s="7">
        <v>3.5972727331788912</v>
      </c>
      <c r="O40" s="7">
        <v>0.46539134081255318</v>
      </c>
      <c r="P40" s="7">
        <v>2.109242272830997</v>
      </c>
      <c r="W40" s="117">
        <f>V38+I40/3</f>
        <v>6.3963801046155663E-2</v>
      </c>
      <c r="X40" s="117">
        <f>V38+I40/5</f>
        <v>4.8890309600332929E-2</v>
      </c>
      <c r="Y40" s="117"/>
      <c r="AA40" s="117"/>
    </row>
    <row r="41" spans="1:27" x14ac:dyDescent="0.2">
      <c r="C41" s="101"/>
      <c r="D41" s="90"/>
      <c r="F41" s="90"/>
      <c r="G41" s="90"/>
      <c r="K41" s="90"/>
      <c r="L41" s="7"/>
      <c r="N41" s="7"/>
      <c r="O41" s="7"/>
      <c r="P41" s="7"/>
      <c r="AA41" s="117"/>
    </row>
    <row r="42" spans="1:27" x14ac:dyDescent="0.2">
      <c r="A42" t="s">
        <v>247</v>
      </c>
      <c r="B42" t="s">
        <v>30</v>
      </c>
      <c r="C42" s="143">
        <v>33.447419807869323</v>
      </c>
      <c r="D42" s="90">
        <v>18.927713978660801</v>
      </c>
      <c r="E42" s="12">
        <v>0.43410540820827082</v>
      </c>
      <c r="F42" s="90">
        <v>-45.459912466224687</v>
      </c>
      <c r="G42" s="90">
        <v>-2.3591455701922079</v>
      </c>
      <c r="H42" s="12">
        <v>-0.2447739765659567</v>
      </c>
      <c r="I42" s="12">
        <v>0.11532834059493589</v>
      </c>
      <c r="J42" s="12">
        <v>1.26597810930334</v>
      </c>
      <c r="K42" s="90">
        <v>-2.401764551042795</v>
      </c>
      <c r="L42" s="7">
        <v>18.927713978660801</v>
      </c>
      <c r="M42" s="14">
        <v>0.43410540820827082</v>
      </c>
      <c r="N42" s="7">
        <v>-45.459912466224687</v>
      </c>
      <c r="O42" s="7">
        <v>-2.3591455701922079</v>
      </c>
      <c r="P42" s="7">
        <v>-2.401764551042795</v>
      </c>
      <c r="Q42" s="99">
        <v>5.9209933937070962E-2</v>
      </c>
      <c r="R42" s="99">
        <v>-2.2524635134028411E-2</v>
      </c>
      <c r="S42" s="99">
        <v>2.637514485984542E-2</v>
      </c>
      <c r="U42" s="117">
        <f>C42*S42</f>
        <v>0.88218054262061651</v>
      </c>
      <c r="V42" s="117">
        <f>(1+S42)*Q42*(1-U42)+S42</f>
        <v>3.3535222328678747E-2</v>
      </c>
      <c r="W42" s="117">
        <f>V42+I42/3</f>
        <v>7.1978002526990714E-2</v>
      </c>
      <c r="X42" s="117">
        <f>V42+I42/5</f>
        <v>5.6600890447665926E-2</v>
      </c>
      <c r="Y42" s="117"/>
      <c r="AA42" s="117"/>
    </row>
    <row r="43" spans="1:27" x14ac:dyDescent="0.2">
      <c r="A43" t="s">
        <v>248</v>
      </c>
      <c r="B43" t="s">
        <v>32</v>
      </c>
      <c r="C43" s="145">
        <v>-82.668174980905789</v>
      </c>
      <c r="D43" s="90">
        <v>23.692271339509539</v>
      </c>
      <c r="E43" s="12">
        <v>1.2865948273925469</v>
      </c>
      <c r="F43" s="90">
        <v>-3.5855459001056489</v>
      </c>
      <c r="G43" s="90">
        <v>-0.95662725225355683</v>
      </c>
      <c r="H43" s="12">
        <v>-1.462764902752735</v>
      </c>
      <c r="I43" s="12">
        <v>-1.882251822780372</v>
      </c>
      <c r="J43" s="12">
        <v>-0.45074902589194848</v>
      </c>
      <c r="K43" s="90">
        <v>-0.15133820851217189</v>
      </c>
      <c r="L43" s="7">
        <v>23.692271339509539</v>
      </c>
      <c r="M43" s="14">
        <v>1.2865948273925469</v>
      </c>
      <c r="N43" s="7">
        <v>-3.5855459001056489</v>
      </c>
      <c r="O43" s="7">
        <v>-0.95662725225355683</v>
      </c>
      <c r="P43" s="7">
        <v>-0.15133820851217189</v>
      </c>
      <c r="S43" s="99">
        <v>1.7639361917755721E-2</v>
      </c>
      <c r="U43" s="117">
        <f>C43*S43</f>
        <v>-1.4582138575685559</v>
      </c>
      <c r="V43" s="117">
        <f>(1+S43)*R42*(1-U43)+S43</f>
        <v>-3.8707706305274647E-2</v>
      </c>
      <c r="W43" s="117">
        <f>V43+I43/3</f>
        <v>-0.66612498056539859</v>
      </c>
      <c r="X43" s="117">
        <f>V43+I43/5</f>
        <v>-0.41515807086134904</v>
      </c>
      <c r="Y43" s="117"/>
      <c r="AA43" s="117"/>
    </row>
    <row r="44" spans="1:27" x14ac:dyDescent="0.2">
      <c r="B44" t="s">
        <v>34</v>
      </c>
      <c r="C44" s="143">
        <v>1.980419517189421</v>
      </c>
      <c r="D44" s="90">
        <v>1.5603740403419271</v>
      </c>
      <c r="E44" s="12">
        <v>0.2120992411969439</v>
      </c>
      <c r="F44" s="90">
        <v>6.4574858418325682</v>
      </c>
      <c r="G44" s="90">
        <v>2.2606656245222858</v>
      </c>
      <c r="H44" s="12">
        <v>-3.3948412716443672E-2</v>
      </c>
      <c r="I44" s="12">
        <v>9.6162056763717585E-2</v>
      </c>
      <c r="J44" s="12">
        <v>0.73185322111395879</v>
      </c>
      <c r="K44" s="90">
        <v>4.138421734071871</v>
      </c>
      <c r="L44" s="7">
        <v>1.5603740403419271</v>
      </c>
      <c r="M44" s="14">
        <v>0.2120992411969439</v>
      </c>
      <c r="N44" s="7">
        <v>2.8568233716917901</v>
      </c>
      <c r="O44" s="7">
        <v>0.44253444631072258</v>
      </c>
      <c r="P44" s="7">
        <v>1.830858049308338</v>
      </c>
      <c r="W44" s="117">
        <f>V42+I44/3</f>
        <v>6.558924124991794E-2</v>
      </c>
      <c r="X44" s="117">
        <f>V42+I44/5</f>
        <v>5.276763368142226E-2</v>
      </c>
      <c r="Y44" s="117"/>
      <c r="AA44" s="117"/>
    </row>
    <row r="45" spans="1:27" x14ac:dyDescent="0.2">
      <c r="B45" t="s">
        <v>35</v>
      </c>
      <c r="C45" s="143">
        <v>1.862070478640919</v>
      </c>
      <c r="D45" s="90">
        <v>1.388187831299057</v>
      </c>
      <c r="E45" s="12">
        <v>0.25449232603039662</v>
      </c>
      <c r="F45" s="90">
        <v>6.2212568758807141</v>
      </c>
      <c r="G45" s="90">
        <v>2.341042644326472</v>
      </c>
      <c r="H45" s="12">
        <v>-4.8481586224785822E-2</v>
      </c>
      <c r="I45" s="12">
        <v>0.1053147667822409</v>
      </c>
      <c r="J45" s="12">
        <v>0.85148806688049294</v>
      </c>
      <c r="K45" s="90">
        <v>4.4815670729939354</v>
      </c>
      <c r="L45" s="7">
        <v>1.388187831299057</v>
      </c>
      <c r="M45" s="14">
        <v>0.25449232603039662</v>
      </c>
      <c r="N45" s="7">
        <v>2.568605882891132</v>
      </c>
      <c r="O45" s="7">
        <v>0.37943537172980529</v>
      </c>
      <c r="P45" s="7">
        <v>1.850330211069094</v>
      </c>
      <c r="W45" s="117">
        <f>V43+I45/3</f>
        <v>-3.6027840445276779E-3</v>
      </c>
      <c r="X45" s="117">
        <f>V43+I45/5</f>
        <v>-1.7644752948826468E-2</v>
      </c>
      <c r="Y45" s="117"/>
      <c r="AA45" s="117"/>
    </row>
    <row r="46" spans="1:27" x14ac:dyDescent="0.2">
      <c r="C46" s="101"/>
      <c r="D46" s="90"/>
      <c r="F46" s="90"/>
      <c r="G46" s="90"/>
      <c r="K46" s="90"/>
      <c r="L46" s="7"/>
      <c r="N46" s="7"/>
      <c r="O46" s="7"/>
      <c r="P46" s="7"/>
      <c r="AA46" s="117"/>
    </row>
    <row r="47" spans="1:27" x14ac:dyDescent="0.2">
      <c r="A47" t="s">
        <v>249</v>
      </c>
      <c r="B47" t="s">
        <v>30</v>
      </c>
      <c r="C47" s="144">
        <v>4076.002874957846</v>
      </c>
      <c r="D47" s="90">
        <v>16.471545696643389</v>
      </c>
      <c r="E47" s="12">
        <v>0.99595889742918453</v>
      </c>
      <c r="F47" s="90">
        <v>-15229.70735279757</v>
      </c>
      <c r="G47" s="90">
        <v>-4.7364319457098212</v>
      </c>
      <c r="H47" s="12">
        <v>-0.99427603461914904</v>
      </c>
      <c r="I47" s="12">
        <v>-0.9917694546309711</v>
      </c>
      <c r="J47" s="12">
        <v>-0.98673906833591218</v>
      </c>
      <c r="K47" s="90">
        <v>-924.6070546919658</v>
      </c>
      <c r="L47" s="7">
        <v>16.471545696643389</v>
      </c>
      <c r="M47" s="14">
        <v>0.99595889742918453</v>
      </c>
      <c r="N47" s="7">
        <v>-15229.70735279757</v>
      </c>
      <c r="O47" s="7">
        <v>-4.7364319457098212</v>
      </c>
      <c r="P47" s="7">
        <v>-924.6070546919658</v>
      </c>
      <c r="Q47" s="99">
        <v>8.9537380678211896E-4</v>
      </c>
      <c r="R47" s="99">
        <v>-0.1152661386973378</v>
      </c>
      <c r="S47" s="99">
        <v>5.625591755381595E-3</v>
      </c>
      <c r="U47" s="117">
        <f>C47*S47</f>
        <v>22.929928168274536</v>
      </c>
      <c r="V47" s="117">
        <f>(1+S47)*Q47*(1-U47)+S47</f>
        <v>-1.4120352723881674E-2</v>
      </c>
      <c r="W47" s="117">
        <f>V47+I47/3</f>
        <v>-0.34471017093420536</v>
      </c>
      <c r="X47" s="117">
        <f>V47+I47/5</f>
        <v>-0.21247424365007589</v>
      </c>
      <c r="Y47" s="117"/>
      <c r="AA47" s="117"/>
    </row>
    <row r="48" spans="1:27" x14ac:dyDescent="0.2">
      <c r="A48" t="s">
        <v>250</v>
      </c>
      <c r="B48" t="s">
        <v>32</v>
      </c>
      <c r="C48" s="144">
        <v>-27.035904257665269</v>
      </c>
      <c r="D48" s="90">
        <v>16.944488708952829</v>
      </c>
      <c r="E48" s="12">
        <v>1.626740224682838</v>
      </c>
      <c r="F48" s="90">
        <v>-3.542812032608567</v>
      </c>
      <c r="G48" s="90">
        <v>-0.86895899619839412</v>
      </c>
      <c r="H48" s="12">
        <v>-2.7031310633945962</v>
      </c>
      <c r="I48" s="12">
        <v>-3.6444306094590049</v>
      </c>
      <c r="J48" s="12">
        <v>0.10005327859202071</v>
      </c>
      <c r="K48" s="90">
        <v>-0.20908344261439291</v>
      </c>
      <c r="L48" s="7">
        <v>25.789906013176768</v>
      </c>
      <c r="M48" s="14">
        <v>1.953913202509761</v>
      </c>
      <c r="N48" s="7">
        <v>-3.542812032608567</v>
      </c>
      <c r="O48" s="7">
        <v>-0.86895899619839412</v>
      </c>
      <c r="P48" s="7">
        <v>-0.1373720412473953</v>
      </c>
      <c r="S48" s="99">
        <v>2.5566478779272162E-3</v>
      </c>
      <c r="U48" s="117">
        <f>C48*S48</f>
        <v>-6.9121287248203295E-2</v>
      </c>
      <c r="V48" s="117">
        <f>(1+S48)*R47*(1-U48)+S48</f>
        <v>-0.12099189932402885</v>
      </c>
      <c r="W48" s="117">
        <f>V48+I48/3</f>
        <v>-1.3358021024770306</v>
      </c>
      <c r="X48" s="117">
        <f>V48+I48/5</f>
        <v>-0.84987802121582989</v>
      </c>
      <c r="Y48" s="117"/>
      <c r="AA48" s="117"/>
    </row>
    <row r="49" spans="1:27" x14ac:dyDescent="0.2">
      <c r="B49" t="s">
        <v>34</v>
      </c>
      <c r="C49" s="146">
        <v>3.6495462106058678</v>
      </c>
      <c r="D49" s="90">
        <v>2.0944661062723831</v>
      </c>
      <c r="E49" s="12">
        <v>0.42610231919089031</v>
      </c>
      <c r="F49" s="90">
        <v>6.6548568472340071</v>
      </c>
      <c r="G49" s="90">
        <v>0.8234751564165621</v>
      </c>
      <c r="H49" s="12">
        <v>-0.2389225550433699</v>
      </c>
      <c r="I49" s="12">
        <v>-9.7262378344918132E-2</v>
      </c>
      <c r="J49" s="12">
        <v>0.10559494532584821</v>
      </c>
      <c r="K49" s="90">
        <v>3.1773523702792019</v>
      </c>
      <c r="L49" s="7">
        <v>2.0944661062723831</v>
      </c>
      <c r="M49" s="14">
        <v>0.42610231919089031</v>
      </c>
      <c r="N49" s="7">
        <v>6.0088749941004522</v>
      </c>
      <c r="O49" s="7">
        <v>0.64647182069874587</v>
      </c>
      <c r="P49" s="7">
        <v>2.8689292111748341</v>
      </c>
      <c r="W49" s="117">
        <f>V47+I49/3</f>
        <v>-4.6541145505521048E-2</v>
      </c>
      <c r="X49" s="117">
        <f>V47+I49/5</f>
        <v>-3.3572828392865302E-2</v>
      </c>
      <c r="Y49" s="117"/>
      <c r="AA49" s="117"/>
    </row>
    <row r="50" spans="1:27" x14ac:dyDescent="0.2">
      <c r="B50" t="s">
        <v>35</v>
      </c>
      <c r="C50" s="146">
        <v>3.1163242899719901</v>
      </c>
      <c r="D50" s="90">
        <v>1.816071993629371</v>
      </c>
      <c r="E50" s="12">
        <v>0.41723908533097681</v>
      </c>
      <c r="F50" s="90">
        <v>7.7446246227723456</v>
      </c>
      <c r="G50" s="90">
        <v>1.485179301683637</v>
      </c>
      <c r="H50" s="12">
        <v>-0.24274831162304331</v>
      </c>
      <c r="I50" s="12">
        <v>-5.6262977722639773E-3</v>
      </c>
      <c r="J50" s="12">
        <v>0.41803364304676771</v>
      </c>
      <c r="K50" s="90">
        <v>4.264492074069663</v>
      </c>
      <c r="L50" s="7">
        <v>1.816071993629371</v>
      </c>
      <c r="M50" s="14">
        <v>0.41723908533097681</v>
      </c>
      <c r="N50" s="7">
        <v>4.9178402606250629</v>
      </c>
      <c r="O50" s="7">
        <v>0.57809001985132458</v>
      </c>
      <c r="P50" s="7">
        <v>2.7079544631911259</v>
      </c>
      <c r="W50" s="117">
        <f>V48+I50/3</f>
        <v>-0.12286733191478351</v>
      </c>
      <c r="X50" s="117">
        <f>V48+I50/5</f>
        <v>-0.12211715887848164</v>
      </c>
      <c r="Y50" s="117"/>
      <c r="AA50" s="117"/>
    </row>
    <row r="51" spans="1:27" x14ac:dyDescent="0.2">
      <c r="C51" s="101"/>
      <c r="D51" s="90"/>
      <c r="F51" s="90"/>
      <c r="G51" s="90"/>
      <c r="K51" s="90"/>
      <c r="L51" s="7"/>
      <c r="N51" s="7"/>
      <c r="O51" s="7"/>
      <c r="P51" s="7"/>
      <c r="AA51" s="117"/>
    </row>
    <row r="52" spans="1:27" x14ac:dyDescent="0.2">
      <c r="A52" s="33" t="s">
        <v>251</v>
      </c>
      <c r="B52" t="s">
        <v>30</v>
      </c>
      <c r="C52" s="146">
        <v>58.01643893118861</v>
      </c>
      <c r="D52" s="90">
        <v>18.343072456690312</v>
      </c>
      <c r="E52" s="12">
        <v>0.68382974214521464</v>
      </c>
      <c r="F52" s="90">
        <v>-77.090752792987985</v>
      </c>
      <c r="G52" s="90">
        <v>-2.3287742959271038</v>
      </c>
      <c r="H52" s="12">
        <v>-0.45008189467403942</v>
      </c>
      <c r="I52" s="12">
        <v>-0.22839558339126359</v>
      </c>
      <c r="J52" s="12">
        <v>7.5413172871575807</v>
      </c>
      <c r="K52" s="90">
        <v>-4.2027175640834642</v>
      </c>
      <c r="L52" s="7">
        <v>18.343072456690312</v>
      </c>
      <c r="M52" s="14">
        <v>0.68382974214521464</v>
      </c>
      <c r="N52" s="7">
        <v>-77.090752792987985</v>
      </c>
      <c r="O52" s="7">
        <v>-2.3287742959271038</v>
      </c>
      <c r="P52" s="7">
        <v>-4.2027175640834642</v>
      </c>
      <c r="Q52" s="99">
        <v>3.2482655042830419E-2</v>
      </c>
      <c r="R52" s="99">
        <v>-3.8276859838293577E-2</v>
      </c>
      <c r="S52" s="99">
        <v>1.6460760076469481E-2</v>
      </c>
      <c r="U52" s="117">
        <f>C52*S52</f>
        <v>0.95499468173743918</v>
      </c>
      <c r="V52" s="117">
        <f>(1+S52)*Q52*(1-U52)+S52</f>
        <v>1.7946716161911354E-2</v>
      </c>
      <c r="W52" s="117">
        <f>V52+I52/3</f>
        <v>-5.8185144968509843E-2</v>
      </c>
      <c r="X52" s="117">
        <f>V52+I52/5</f>
        <v>-2.7732400516341363E-2</v>
      </c>
      <c r="Y52" s="117"/>
      <c r="AA52" s="36"/>
    </row>
    <row r="53" spans="1:27" x14ac:dyDescent="0.2">
      <c r="A53" t="s">
        <v>252</v>
      </c>
      <c r="B53" t="s">
        <v>32</v>
      </c>
      <c r="C53" s="145">
        <v>-52.734938645371358</v>
      </c>
      <c r="D53" s="90">
        <v>27.325690383682261</v>
      </c>
      <c r="E53" s="12">
        <v>1.518170516276512</v>
      </c>
      <c r="F53" s="90">
        <v>-6.2798475307409856</v>
      </c>
      <c r="G53" s="90">
        <v>-0.88091675666921099</v>
      </c>
      <c r="H53" s="12">
        <v>-1.800018291120947</v>
      </c>
      <c r="I53" s="12">
        <v>-2.249241588937974</v>
      </c>
      <c r="J53" s="12">
        <v>-0.60367701874980706</v>
      </c>
      <c r="K53" s="90">
        <v>-0.22981478025129951</v>
      </c>
      <c r="L53" s="7">
        <v>27.650916234706159</v>
      </c>
      <c r="M53" s="14">
        <v>1.524337696126876</v>
      </c>
      <c r="N53" s="7">
        <v>-6.2798475307409856</v>
      </c>
      <c r="O53" s="7">
        <v>-0.88091675666921099</v>
      </c>
      <c r="P53" s="7">
        <v>-0.22711173392723999</v>
      </c>
      <c r="S53" s="99">
        <v>9.4759260121571147E-3</v>
      </c>
      <c r="U53" s="117">
        <f>C53*S53</f>
        <v>-0.4997123768591839</v>
      </c>
      <c r="V53" s="117">
        <f>(1+S53)*R52*(1-U53)+S53</f>
        <v>-4.8472313148930912E-2</v>
      </c>
      <c r="W53" s="117">
        <f>V53+I53/3</f>
        <v>-0.79821950946158893</v>
      </c>
      <c r="X53" s="117">
        <f>V53+I53/5</f>
        <v>-0.49832063093652573</v>
      </c>
      <c r="Y53" s="117"/>
      <c r="AA53" s="117"/>
    </row>
    <row r="54" spans="1:27" x14ac:dyDescent="0.2">
      <c r="B54" t="s">
        <v>34</v>
      </c>
      <c r="C54" s="145">
        <v>1.8845279726152371</v>
      </c>
      <c r="D54" s="90">
        <v>1.4841474590281849</v>
      </c>
      <c r="E54" s="12">
        <v>0.21245665726650231</v>
      </c>
      <c r="F54" s="90">
        <v>8.0800645905995587</v>
      </c>
      <c r="G54" s="90">
        <v>3.2875800773530162</v>
      </c>
      <c r="H54" s="12">
        <v>1.798281951991054E-3</v>
      </c>
      <c r="I54" s="12">
        <v>0.53799142480332507</v>
      </c>
      <c r="J54" s="12">
        <v>1.252591398200062</v>
      </c>
      <c r="K54" s="90">
        <v>5.4442464874011636</v>
      </c>
      <c r="L54" s="7">
        <v>1.4841474590281849</v>
      </c>
      <c r="M54" s="14">
        <v>0.21245665726650231</v>
      </c>
      <c r="N54" s="7">
        <v>3.0255781428018071</v>
      </c>
      <c r="O54" s="7">
        <v>0.6054832757950992</v>
      </c>
      <c r="P54" s="7">
        <v>2.0385967205596578</v>
      </c>
      <c r="W54" s="117">
        <f>V52+I54/3</f>
        <v>0.19727719109635303</v>
      </c>
      <c r="X54" s="117">
        <f>V52+I54/5</f>
        <v>0.12554500112257636</v>
      </c>
      <c r="Y54" s="117"/>
      <c r="AA54" s="117"/>
    </row>
    <row r="55" spans="1:27" x14ac:dyDescent="0.2">
      <c r="B55" t="s">
        <v>35</v>
      </c>
      <c r="C55" s="143">
        <v>2.0185278551098911</v>
      </c>
      <c r="D55" s="90">
        <v>1.3474972382702179</v>
      </c>
      <c r="E55" s="12">
        <v>0.33243564865402447</v>
      </c>
      <c r="F55" s="90">
        <v>7.7932827321034397</v>
      </c>
      <c r="G55" s="90">
        <v>2.8608745043447339</v>
      </c>
      <c r="H55" s="12">
        <v>-9.8118590599757471E-2</v>
      </c>
      <c r="I55" s="12">
        <v>0.20975162303429151</v>
      </c>
      <c r="J55" s="12">
        <v>0.94136522259581645</v>
      </c>
      <c r="K55" s="90">
        <v>5.7835240850717282</v>
      </c>
      <c r="L55" s="7">
        <v>1.3474972382702179</v>
      </c>
      <c r="M55" s="14">
        <v>0.33243564865402447</v>
      </c>
      <c r="N55" s="7">
        <v>2.4975241231455012</v>
      </c>
      <c r="O55" s="7">
        <v>0.23729980580799709</v>
      </c>
      <c r="P55" s="7">
        <v>1.8534539828456891</v>
      </c>
      <c r="W55" s="117">
        <f>V53+I55/3</f>
        <v>2.1444894529166258E-2</v>
      </c>
      <c r="X55" s="117">
        <f>V53+I55/5</f>
        <v>-6.5219885420726084E-3</v>
      </c>
      <c r="Y55" s="117"/>
      <c r="AA55" s="117"/>
    </row>
    <row r="56" spans="1:27" x14ac:dyDescent="0.2">
      <c r="C56" s="101"/>
      <c r="D56" s="90"/>
      <c r="F56" s="90"/>
      <c r="G56" s="90"/>
      <c r="K56" s="90"/>
      <c r="L56" s="7"/>
      <c r="N56" s="7"/>
      <c r="O56" s="7"/>
      <c r="P56" s="7"/>
      <c r="AA56" s="117"/>
    </row>
    <row r="57" spans="1:27" x14ac:dyDescent="0.2">
      <c r="A57" t="s">
        <v>253</v>
      </c>
      <c r="B57" t="s">
        <v>30</v>
      </c>
      <c r="C57" s="145">
        <v>-20.266367284247551</v>
      </c>
      <c r="D57" s="90">
        <v>13.75345674613388</v>
      </c>
      <c r="E57" s="12">
        <v>1.678634535397177</v>
      </c>
      <c r="F57" s="90">
        <v>-15.97525381646582</v>
      </c>
      <c r="G57" s="90">
        <v>-0.21173570021683599</v>
      </c>
      <c r="H57" s="12">
        <v>-2.113748416400548</v>
      </c>
      <c r="I57" s="12">
        <v>-2.876691626671978</v>
      </c>
      <c r="J57" s="12">
        <v>-3.9549406219333521</v>
      </c>
      <c r="K57" s="90">
        <v>-1.1615446292043261</v>
      </c>
      <c r="L57" s="7">
        <v>13.75345674613388</v>
      </c>
      <c r="M57" s="14">
        <v>1.678634535397177</v>
      </c>
      <c r="N57" s="7">
        <v>-15.97525381646582</v>
      </c>
      <c r="O57" s="7">
        <v>-0.21173570021683599</v>
      </c>
      <c r="P57" s="7">
        <v>-1.1615446292043261</v>
      </c>
      <c r="Q57" s="99">
        <v>-6.4605543110800551E-2</v>
      </c>
      <c r="R57" s="99">
        <v>-2.756526453130824E-2</v>
      </c>
      <c r="S57" s="99">
        <v>1.6022851917663151E-2</v>
      </c>
      <c r="U57" s="117">
        <f>C57*S57</f>
        <v>-0.32472500190447162</v>
      </c>
      <c r="V57" s="117">
        <f>(1+S57)*Q57*(1-U57)+S57</f>
        <v>-7.0933035326094157E-2</v>
      </c>
      <c r="W57" s="117">
        <f>V57+I57/3</f>
        <v>-1.0298302442167535</v>
      </c>
      <c r="X57" s="117">
        <f>V57+I57/5</f>
        <v>-0.64627136066048974</v>
      </c>
      <c r="Y57" s="117"/>
      <c r="AA57" s="117"/>
    </row>
    <row r="58" spans="1:27" x14ac:dyDescent="0.2">
      <c r="A58" t="s">
        <v>254</v>
      </c>
      <c r="B58" t="s">
        <v>32</v>
      </c>
      <c r="C58" s="145">
        <v>-55.898793076792941</v>
      </c>
      <c r="D58" s="90">
        <v>20.687367345157931</v>
      </c>
      <c r="E58" s="12">
        <v>1.370086118259082</v>
      </c>
      <c r="F58" s="90">
        <v>-9.5024321379967471</v>
      </c>
      <c r="G58" s="90">
        <v>-0.83000648824488132</v>
      </c>
      <c r="H58" s="12">
        <v>-1.483688055478992</v>
      </c>
      <c r="I58" s="12">
        <v>-1.9890562491346719</v>
      </c>
      <c r="J58" s="12">
        <v>-0.37956794349790268</v>
      </c>
      <c r="K58" s="90">
        <v>-0.45933501249596542</v>
      </c>
      <c r="L58" s="7">
        <v>21.361980358685731</v>
      </c>
      <c r="M58" s="14">
        <v>1.382154590159737</v>
      </c>
      <c r="N58" s="7">
        <v>-9.5024321379967471</v>
      </c>
      <c r="O58" s="7">
        <v>-0.83000648824488132</v>
      </c>
      <c r="P58" s="7">
        <v>-0.44482917681052359</v>
      </c>
      <c r="S58" s="99">
        <v>1.4406328927941329E-2</v>
      </c>
      <c r="U58" s="117">
        <f>C58*S58</f>
        <v>-0.80529639973920863</v>
      </c>
      <c r="V58" s="117">
        <f>(1+S58)*R57*(1-U58)+S58</f>
        <v>-3.6074052846275607E-2</v>
      </c>
      <c r="W58" s="117">
        <f>V58+I58/3</f>
        <v>-0.6990928025578329</v>
      </c>
      <c r="X58" s="117">
        <f>V58+I58/5</f>
        <v>-0.43388530267321002</v>
      </c>
      <c r="Y58" s="117"/>
      <c r="AA58" s="117"/>
    </row>
    <row r="59" spans="1:27" x14ac:dyDescent="0.2">
      <c r="B59" t="s">
        <v>34</v>
      </c>
      <c r="C59" s="145">
        <v>1.3093196652817729</v>
      </c>
      <c r="D59" s="90">
        <v>1.030262012339233</v>
      </c>
      <c r="E59" s="12">
        <v>0.21313179687290909</v>
      </c>
      <c r="F59" s="90">
        <v>5.5720921194947586</v>
      </c>
      <c r="G59" s="90">
        <v>3.2557155958515391</v>
      </c>
      <c r="H59" s="12">
        <v>2.8240021334495991E-2</v>
      </c>
      <c r="I59" s="12">
        <v>0.41518420896449437</v>
      </c>
      <c r="J59" s="12">
        <v>0.85769554048228858</v>
      </c>
      <c r="K59" s="90">
        <v>5.4084223748512281</v>
      </c>
      <c r="L59" s="7">
        <v>1.030262012339233</v>
      </c>
      <c r="M59" s="14">
        <v>0.21313179687290909</v>
      </c>
      <c r="N59" s="7">
        <v>2.1556317282318669</v>
      </c>
      <c r="O59" s="7">
        <v>0.64637543098992789</v>
      </c>
      <c r="P59" s="7">
        <v>2.0923140933222002</v>
      </c>
      <c r="W59" s="117">
        <f>V57+I59/3</f>
        <v>6.7461700995403967E-2</v>
      </c>
      <c r="X59" s="117">
        <f>V57+I59/5</f>
        <v>1.2103806466804715E-2</v>
      </c>
      <c r="Y59" s="117"/>
      <c r="AA59" s="117"/>
    </row>
    <row r="60" spans="1:27" x14ac:dyDescent="0.2">
      <c r="B60" t="s">
        <v>35</v>
      </c>
      <c r="C60" s="143">
        <v>1.5408650181426591</v>
      </c>
      <c r="D60" s="90">
        <v>1.2855672236083191</v>
      </c>
      <c r="E60" s="12">
        <v>0.16568472353410491</v>
      </c>
      <c r="F60" s="90">
        <v>5.6143054327417303</v>
      </c>
      <c r="G60" s="90">
        <v>2.643606264427464</v>
      </c>
      <c r="H60" s="12">
        <v>-1.8977969829747979E-2</v>
      </c>
      <c r="I60" s="12">
        <v>0.27441946878431889</v>
      </c>
      <c r="J60" s="12">
        <v>0.82293075062998011</v>
      </c>
      <c r="K60" s="90">
        <v>4.3671815286201419</v>
      </c>
      <c r="L60" s="7">
        <v>1.2855672236083191</v>
      </c>
      <c r="M60" s="14">
        <v>0.16568472353410491</v>
      </c>
      <c r="N60" s="7">
        <v>2.0843939311471229</v>
      </c>
      <c r="O60" s="7">
        <v>0.35274271698349491</v>
      </c>
      <c r="P60" s="7">
        <v>1.6213807359654551</v>
      </c>
      <c r="W60" s="117">
        <f>V58+I60/3</f>
        <v>5.5399103415164026E-2</v>
      </c>
      <c r="X60" s="117">
        <f>V58+I60/5</f>
        <v>1.8809840910588169E-2</v>
      </c>
      <c r="Y60" s="117"/>
      <c r="AA60" s="117"/>
    </row>
    <row r="61" spans="1:27" x14ac:dyDescent="0.2">
      <c r="C61" s="101"/>
      <c r="D61" s="90"/>
      <c r="F61" s="90"/>
      <c r="G61" s="90"/>
      <c r="K61" s="90"/>
      <c r="L61" s="7"/>
      <c r="N61" s="7"/>
      <c r="O61" s="7"/>
      <c r="P61" s="7"/>
      <c r="AA61" s="117"/>
    </row>
    <row r="62" spans="1:27" x14ac:dyDescent="0.2">
      <c r="A62" t="s">
        <v>255</v>
      </c>
      <c r="B62" t="s">
        <v>30</v>
      </c>
      <c r="C62" s="145">
        <v>-44.457105352597033</v>
      </c>
      <c r="D62" s="90">
        <v>19.15168270984174</v>
      </c>
      <c r="E62" s="12">
        <v>1.4307901415970841</v>
      </c>
      <c r="F62" s="90">
        <v>-26.696134997623599</v>
      </c>
      <c r="G62" s="90">
        <v>-0.39950802496267102</v>
      </c>
      <c r="H62" s="12">
        <v>-1.722750580111835</v>
      </c>
      <c r="I62" s="12">
        <v>-2.0714829855907739</v>
      </c>
      <c r="J62" s="12">
        <v>-2.663029131435223</v>
      </c>
      <c r="K62" s="90">
        <v>-1.3939315621548429</v>
      </c>
      <c r="L62" s="7">
        <v>19.15168270984174</v>
      </c>
      <c r="M62" s="14">
        <v>1.4307901415970841</v>
      </c>
      <c r="N62" s="7">
        <v>-26.696134997623599</v>
      </c>
      <c r="O62" s="7">
        <v>-0.39950802496267102</v>
      </c>
      <c r="P62" s="7">
        <v>-1.3939315621548429</v>
      </c>
      <c r="Q62" s="99">
        <v>-5.1567442064265591E-2</v>
      </c>
      <c r="R62" s="99">
        <v>-2.3570000405975299E-2</v>
      </c>
      <c r="S62" s="99">
        <v>5.3140415876966329E-3</v>
      </c>
      <c r="U62" s="117">
        <f>C62*S62</f>
        <v>-0.23624690671231122</v>
      </c>
      <c r="V62" s="117">
        <f>(1+S62)*Q62*(1-U62)+S62</f>
        <v>-5.8774819784724583E-2</v>
      </c>
      <c r="W62" s="117">
        <f>V62+I62/3</f>
        <v>-0.74926914831498248</v>
      </c>
      <c r="X62" s="117">
        <f>V62+I62/5</f>
        <v>-0.4730714169028794</v>
      </c>
      <c r="Y62" s="117"/>
      <c r="AA62" s="117"/>
    </row>
    <row r="63" spans="1:27" x14ac:dyDescent="0.2">
      <c r="A63" t="s">
        <v>256</v>
      </c>
      <c r="B63" t="s">
        <v>32</v>
      </c>
      <c r="C63" s="144">
        <v>-86.861176252702847</v>
      </c>
      <c r="D63" s="90">
        <v>20.7122548340141</v>
      </c>
      <c r="E63" s="12">
        <v>1.2384523872179269</v>
      </c>
      <c r="F63" s="90">
        <v>-27.567850086876149</v>
      </c>
      <c r="G63" s="90">
        <v>-0.68262172726427561</v>
      </c>
      <c r="H63" s="12">
        <v>-1.4614737487734331</v>
      </c>
      <c r="I63" s="12">
        <v>-1.957257782935891</v>
      </c>
      <c r="J63" s="12">
        <v>8.0825766676649007</v>
      </c>
      <c r="K63" s="90">
        <v>-1.330992222131395</v>
      </c>
      <c r="L63" s="7">
        <v>20.7122548340141</v>
      </c>
      <c r="M63" s="14">
        <v>1.2384523872179269</v>
      </c>
      <c r="N63" s="7">
        <v>-27.567850086876149</v>
      </c>
      <c r="O63" s="7">
        <v>-0.68262172726427561</v>
      </c>
      <c r="P63" s="7">
        <v>-1.330992222131395</v>
      </c>
      <c r="S63" s="99">
        <v>5.6842013737789876E-3</v>
      </c>
      <c r="U63" s="117">
        <f>C63*S63</f>
        <v>-0.4937364173836723</v>
      </c>
      <c r="V63" s="117">
        <f>(1+S63)*R62*(1-U63)+S63</f>
        <v>-2.9723292359723243E-2</v>
      </c>
      <c r="W63" s="117">
        <f>V63+I63/3</f>
        <v>-0.68214255333835361</v>
      </c>
      <c r="X63" s="117">
        <f>V63+I63/5</f>
        <v>-0.42117484894690149</v>
      </c>
      <c r="Y63" s="117"/>
      <c r="AA63" s="117"/>
    </row>
    <row r="64" spans="1:27" x14ac:dyDescent="0.2">
      <c r="B64" t="s">
        <v>34</v>
      </c>
      <c r="C64" s="143">
        <v>2.2925392046149988</v>
      </c>
      <c r="D64" s="90">
        <v>1.6852067663975949</v>
      </c>
      <c r="E64" s="12">
        <v>0.26491692573667319</v>
      </c>
      <c r="F64" s="90">
        <v>4.6066941510097967</v>
      </c>
      <c r="G64" s="90">
        <v>1.0094287337535099</v>
      </c>
      <c r="H64" s="12">
        <v>-5.1022686094215342E-3</v>
      </c>
      <c r="I64" s="12">
        <v>0.17428001001305929</v>
      </c>
      <c r="J64" s="12">
        <v>0.38753216508637101</v>
      </c>
      <c r="K64" s="90">
        <v>2.7336076752512439</v>
      </c>
      <c r="L64" s="7">
        <v>1.8940636074926369</v>
      </c>
      <c r="M64" s="14">
        <v>0.17381408192287831</v>
      </c>
      <c r="N64" s="7">
        <v>3.975397453536877</v>
      </c>
      <c r="O64" s="7">
        <v>0.73405865667823633</v>
      </c>
      <c r="P64" s="7">
        <v>2.0988722014460279</v>
      </c>
      <c r="W64" s="117">
        <f>V62+I64/3</f>
        <v>-6.8148311370481995E-4</v>
      </c>
      <c r="X64" s="117">
        <f>V62+I64/5</f>
        <v>-2.3918817782112724E-2</v>
      </c>
      <c r="Y64" s="117"/>
      <c r="AA64" s="117"/>
    </row>
    <row r="65" spans="1:27" x14ac:dyDescent="0.2">
      <c r="B65" t="s">
        <v>35</v>
      </c>
      <c r="C65" s="143">
        <v>2.047317959539698</v>
      </c>
      <c r="D65" s="90">
        <v>1.4863251444856</v>
      </c>
      <c r="E65" s="12">
        <v>0.27401352703427978</v>
      </c>
      <c r="F65" s="90">
        <v>5.1173407497660204</v>
      </c>
      <c r="G65" s="90">
        <v>1.49953395168602</v>
      </c>
      <c r="H65" s="12">
        <v>-8.3868054365008216E-2</v>
      </c>
      <c r="I65" s="12">
        <v>7.2566643052909718E-2</v>
      </c>
      <c r="J65" s="12">
        <v>0.42546920940474159</v>
      </c>
      <c r="K65" s="90">
        <v>3.442948380945996</v>
      </c>
      <c r="L65" s="7">
        <v>1.5547165292202381</v>
      </c>
      <c r="M65" s="14">
        <v>0.24060817130242551</v>
      </c>
      <c r="N65" s="7">
        <v>3.027287899201879</v>
      </c>
      <c r="O65" s="7">
        <v>0.47866035419457259</v>
      </c>
      <c r="P65" s="7">
        <v>1.947163899209462</v>
      </c>
      <c r="W65" s="117">
        <f>V63+I65/3</f>
        <v>-5.534411342086671E-3</v>
      </c>
      <c r="X65" s="117">
        <f>V63+I65/5</f>
        <v>-1.5209963749141299E-2</v>
      </c>
      <c r="Y65" s="117"/>
      <c r="AA65" s="117"/>
    </row>
    <row r="66" spans="1:27" x14ac:dyDescent="0.2">
      <c r="C66" s="101"/>
      <c r="D66" s="90"/>
      <c r="F66" s="90"/>
      <c r="G66" s="90"/>
      <c r="K66" s="90"/>
      <c r="L66" s="7"/>
      <c r="N66" s="7"/>
      <c r="O66" s="7"/>
      <c r="P66" s="7"/>
      <c r="AA66" s="117"/>
    </row>
    <row r="67" spans="1:27" x14ac:dyDescent="0.2">
      <c r="A67" t="s">
        <v>257</v>
      </c>
      <c r="B67" t="s">
        <v>30</v>
      </c>
      <c r="C67" s="145">
        <v>-216.88996246916889</v>
      </c>
      <c r="D67" s="90">
        <v>15.498391961934511</v>
      </c>
      <c r="E67" s="12">
        <v>1.071457396116879</v>
      </c>
      <c r="F67" s="90">
        <v>-20.688256209525509</v>
      </c>
      <c r="G67" s="90">
        <v>-0.90461404495624653</v>
      </c>
      <c r="H67" s="12">
        <v>-1.12779522008844</v>
      </c>
      <c r="I67" s="12">
        <v>-1.202373146387169</v>
      </c>
      <c r="J67" s="12">
        <v>-1.449107448562736</v>
      </c>
      <c r="K67" s="90">
        <v>-1.3348646917911089</v>
      </c>
      <c r="L67" s="7">
        <v>15.498391961934511</v>
      </c>
      <c r="M67" s="14">
        <v>1.071457396116879</v>
      </c>
      <c r="N67" s="7">
        <v>-20.688256209525509</v>
      </c>
      <c r="O67" s="7">
        <v>-0.90461404495624653</v>
      </c>
      <c r="P67" s="7">
        <v>-1.3348646917911089</v>
      </c>
      <c r="Q67" s="99">
        <v>-1.52630658256077E-2</v>
      </c>
      <c r="R67" s="99">
        <v>-0.11065974721662961</v>
      </c>
      <c r="S67" s="99">
        <v>7.7372898267443176E-3</v>
      </c>
      <c r="U67" s="117">
        <f>C67*S67</f>
        <v>-1.6781405001356573</v>
      </c>
      <c r="V67" s="117">
        <f>(1+S67)*Q67*(1-U67)+S67</f>
        <v>-3.3455619287206861E-2</v>
      </c>
      <c r="W67" s="117">
        <f>V67+I67/3</f>
        <v>-0.43424666808292983</v>
      </c>
      <c r="X67" s="117">
        <f>V67+I67/5</f>
        <v>-0.27393024856464065</v>
      </c>
      <c r="Y67" s="117"/>
      <c r="AA67" s="117"/>
    </row>
    <row r="68" spans="1:27" x14ac:dyDescent="0.2">
      <c r="A68" t="s">
        <v>258</v>
      </c>
      <c r="B68" t="s">
        <v>32</v>
      </c>
      <c r="C68" s="144">
        <v>-25.241254096729438</v>
      </c>
      <c r="D68" s="90">
        <v>41.394523306870447</v>
      </c>
      <c r="E68" s="12">
        <v>2.6399550968521019</v>
      </c>
      <c r="F68" s="90">
        <v>-5.6965297773491752</v>
      </c>
      <c r="G68" s="90">
        <v>-0.77431668983169555</v>
      </c>
      <c r="H68" s="12">
        <v>-3.4202770588321592</v>
      </c>
      <c r="I68" s="12">
        <v>-5.9736239004011864</v>
      </c>
      <c r="J68" s="12">
        <v>0.15362910748698691</v>
      </c>
      <c r="K68" s="90">
        <v>-0.13761554240204751</v>
      </c>
      <c r="L68" s="7">
        <v>42.179223431167941</v>
      </c>
      <c r="M68" s="14">
        <v>2.6710430975231612</v>
      </c>
      <c r="N68" s="7">
        <v>-5.6965297773491752</v>
      </c>
      <c r="O68" s="7">
        <v>-0.77431668983169555</v>
      </c>
      <c r="P68" s="7">
        <v>-0.13505534986070361</v>
      </c>
      <c r="S68" s="99">
        <v>5.0506857855527384E-3</v>
      </c>
      <c r="U68" s="117">
        <f>C68*S68</f>
        <v>-0.12748564327587619</v>
      </c>
      <c r="V68" s="117">
        <f>(1+S68)*R67*(1-U68)+S68</f>
        <v>-0.12034675079852047</v>
      </c>
      <c r="W68" s="117">
        <f>V68+I68/3</f>
        <v>-2.1115547175989158</v>
      </c>
      <c r="X68" s="117">
        <f>V68+I68/5</f>
        <v>-1.3150715308787577</v>
      </c>
      <c r="Y68" s="117"/>
      <c r="AA68" s="117"/>
    </row>
    <row r="69" spans="1:27" x14ac:dyDescent="0.2">
      <c r="B69" t="s">
        <v>34</v>
      </c>
      <c r="C69" s="143">
        <v>3.3104057740805088</v>
      </c>
      <c r="D69" s="90">
        <v>2.3723669047089269</v>
      </c>
      <c r="E69" s="12">
        <v>0.28336069152493232</v>
      </c>
      <c r="F69" s="90">
        <v>6.9335666169007579</v>
      </c>
      <c r="G69" s="90">
        <v>1.094476354285181</v>
      </c>
      <c r="H69" s="12">
        <v>-7.2785136089660529E-2</v>
      </c>
      <c r="I69" s="12">
        <v>0.1103456496195583</v>
      </c>
      <c r="J69" s="12">
        <v>0.30200418567765991</v>
      </c>
      <c r="K69" s="90">
        <v>2.9226367148935828</v>
      </c>
      <c r="L69" s="7">
        <v>2.3723669047089269</v>
      </c>
      <c r="M69" s="14">
        <v>0.28336069152493232</v>
      </c>
      <c r="N69" s="7">
        <v>5.2448840161548782</v>
      </c>
      <c r="O69" s="7">
        <v>0.58436287696836375</v>
      </c>
      <c r="P69" s="7">
        <v>2.2108232945520658</v>
      </c>
      <c r="W69" s="117">
        <f>V67+I69/3</f>
        <v>3.3262639193125734E-3</v>
      </c>
      <c r="X69" s="117">
        <f>V67+I69/5</f>
        <v>-1.1386489363295203E-2</v>
      </c>
      <c r="Y69" s="117"/>
      <c r="AA69" s="117"/>
    </row>
    <row r="70" spans="1:27" x14ac:dyDescent="0.2">
      <c r="B70" t="s">
        <v>35</v>
      </c>
      <c r="C70" s="143">
        <v>2.7931907977747961</v>
      </c>
      <c r="D70" s="90">
        <v>1.7929800201469399</v>
      </c>
      <c r="E70" s="12">
        <v>0.35808895633791887</v>
      </c>
      <c r="F70" s="90">
        <v>7.5081624935324056</v>
      </c>
      <c r="G70" s="90">
        <v>1.688023496108396</v>
      </c>
      <c r="H70" s="12">
        <v>-9.1514846773970371E-2</v>
      </c>
      <c r="I70" s="12">
        <v>1.916831109146289E-2</v>
      </c>
      <c r="J70" s="12">
        <v>0.37430204645542497</v>
      </c>
      <c r="K70" s="90">
        <v>4.1875327160182687</v>
      </c>
      <c r="L70" s="7">
        <v>1.7929800201469399</v>
      </c>
      <c r="M70" s="14">
        <v>0.35808895633791887</v>
      </c>
      <c r="N70" s="7">
        <v>3.130280414996284</v>
      </c>
      <c r="O70" s="7">
        <v>0.12068263202428969</v>
      </c>
      <c r="P70" s="7">
        <v>1.7458534840448181</v>
      </c>
      <c r="W70" s="117">
        <f>V68+I70/3</f>
        <v>-0.11395731376803285</v>
      </c>
      <c r="X70" s="117">
        <f>V68+I70/5</f>
        <v>-0.11651308858022789</v>
      </c>
      <c r="Y70" s="117"/>
      <c r="AA70" s="117"/>
    </row>
    <row r="71" spans="1:27" x14ac:dyDescent="0.2">
      <c r="C71" s="101"/>
      <c r="D71" s="90"/>
      <c r="F71" s="90"/>
      <c r="G71" s="90"/>
      <c r="K71" s="90"/>
      <c r="L71" s="7"/>
      <c r="N71" s="7"/>
      <c r="O71" s="7"/>
      <c r="P71" s="7"/>
      <c r="AA71" s="117"/>
    </row>
    <row r="72" spans="1:27" x14ac:dyDescent="0.2">
      <c r="A72" t="s">
        <v>259</v>
      </c>
      <c r="B72" t="s">
        <v>30</v>
      </c>
      <c r="C72" s="146">
        <v>37.961921275614557</v>
      </c>
      <c r="D72" s="90">
        <v>16.584086997022698</v>
      </c>
      <c r="E72" s="12">
        <v>0.56313889182221777</v>
      </c>
      <c r="F72" s="90">
        <v>66.549779897840622</v>
      </c>
      <c r="G72" s="90">
        <v>0.75306669582579655</v>
      </c>
      <c r="H72" s="12">
        <v>-0.33351997160502578</v>
      </c>
      <c r="I72" s="12">
        <v>-0.140407535772306</v>
      </c>
      <c r="J72" s="12">
        <v>2.6376319076144569E-2</v>
      </c>
      <c r="K72" s="90">
        <v>4.012869681025439</v>
      </c>
      <c r="L72" s="7">
        <v>22.71744678051407</v>
      </c>
      <c r="M72" s="14">
        <v>0.40157278617225878</v>
      </c>
      <c r="N72" s="7">
        <v>66.549779897840622</v>
      </c>
      <c r="O72" s="7">
        <v>0.75306669582579655</v>
      </c>
      <c r="P72" s="7">
        <v>2.929456841731167</v>
      </c>
      <c r="Q72" s="99">
        <v>0.17557371453541731</v>
      </c>
      <c r="R72" s="99">
        <v>5.2468906243022577E-2</v>
      </c>
      <c r="S72" s="99">
        <v>1.6453096938026861E-2</v>
      </c>
      <c r="U72" s="117">
        <f>C72*S72</f>
        <v>0.62459117070143066</v>
      </c>
      <c r="V72" s="117">
        <f>(1+S72)*Q72*(1-U72)+S72</f>
        <v>8.3449474819761366E-2</v>
      </c>
      <c r="W72" s="117">
        <f>V72+I72/3</f>
        <v>3.6646962895659364E-2</v>
      </c>
      <c r="X72" s="117">
        <f>V72+I72/5</f>
        <v>5.5367967665300166E-2</v>
      </c>
      <c r="Y72" s="117"/>
      <c r="AA72" s="117"/>
    </row>
    <row r="73" spans="1:27" x14ac:dyDescent="0.2">
      <c r="A73" t="s">
        <v>260</v>
      </c>
      <c r="B73" t="s">
        <v>32</v>
      </c>
      <c r="C73" s="144">
        <v>62.512811555024612</v>
      </c>
      <c r="D73" s="90">
        <v>34.356275503094551</v>
      </c>
      <c r="E73" s="12">
        <v>0.45041224912986511</v>
      </c>
      <c r="F73" s="90">
        <v>-31.37878348679191</v>
      </c>
      <c r="G73" s="90">
        <v>-1.50195764206145</v>
      </c>
      <c r="H73" s="12">
        <v>-0.14213256889573761</v>
      </c>
      <c r="I73" s="12">
        <v>5.6860864039619763E-2</v>
      </c>
      <c r="J73" s="12">
        <v>-63.301757442360639</v>
      </c>
      <c r="K73" s="90">
        <v>-0.91333484282851174</v>
      </c>
      <c r="L73" s="7">
        <v>46.152858672764658</v>
      </c>
      <c r="M73" s="14">
        <v>0.26170560042495772</v>
      </c>
      <c r="N73" s="7">
        <v>-31.37878348679191</v>
      </c>
      <c r="O73" s="7">
        <v>-1.50195764206145</v>
      </c>
      <c r="P73" s="7">
        <v>-0.67988818870950884</v>
      </c>
      <c r="S73" s="99">
        <v>9.3782516079413125E-3</v>
      </c>
      <c r="U73" s="117">
        <f>C73*S73</f>
        <v>0.58626087548284178</v>
      </c>
      <c r="V73" s="117">
        <f>(1+S73)*R72*(1-U73)+S73</f>
        <v>3.1290278147386316E-2</v>
      </c>
      <c r="W73" s="117">
        <f>V73+I73/3</f>
        <v>5.0243899493926242E-2</v>
      </c>
      <c r="X73" s="117">
        <f>V73+I73/5</f>
        <v>4.2662450955310266E-2</v>
      </c>
      <c r="Y73" s="117"/>
      <c r="AA73" s="117"/>
    </row>
    <row r="74" spans="1:27" x14ac:dyDescent="0.2">
      <c r="B74" t="s">
        <v>34</v>
      </c>
      <c r="C74" s="146">
        <v>6.6651155292607358</v>
      </c>
      <c r="D74" s="90">
        <v>2.950640593141201</v>
      </c>
      <c r="E74" s="12">
        <v>0.55730090796063469</v>
      </c>
      <c r="F74" s="90">
        <v>11.62900780745901</v>
      </c>
      <c r="G74" s="90">
        <v>0.74475712482493939</v>
      </c>
      <c r="H74" s="12">
        <v>-0.41830271582335321</v>
      </c>
      <c r="I74" s="12">
        <v>-0.22639704780227571</v>
      </c>
      <c r="J74" s="12">
        <v>8.4591771331805621E-3</v>
      </c>
      <c r="K74" s="90">
        <v>3.9411807166520991</v>
      </c>
      <c r="L74" s="7">
        <v>3.8430235473202341</v>
      </c>
      <c r="M74" s="14">
        <v>0.42341231289257419</v>
      </c>
      <c r="N74" s="7">
        <v>11.62900780745901</v>
      </c>
      <c r="O74" s="7">
        <v>0.74475712482493939</v>
      </c>
      <c r="P74" s="7">
        <v>3.0260048277788978</v>
      </c>
      <c r="W74" s="117">
        <f>V72+I74/3</f>
        <v>7.9837922190027916E-3</v>
      </c>
      <c r="X74" s="117">
        <f>V72+I74/5</f>
        <v>3.8170065259306225E-2</v>
      </c>
      <c r="Y74" s="117"/>
      <c r="AA74" s="117"/>
    </row>
    <row r="75" spans="1:27" x14ac:dyDescent="0.2">
      <c r="B75" t="s">
        <v>35</v>
      </c>
      <c r="C75" s="146">
        <v>3.2799788484683252</v>
      </c>
      <c r="D75" s="90">
        <v>2.280923785794843</v>
      </c>
      <c r="E75" s="12">
        <v>0.30459192233511451</v>
      </c>
      <c r="F75" s="90">
        <v>6.5587362017230628</v>
      </c>
      <c r="G75" s="90">
        <v>0.99962759052115313</v>
      </c>
      <c r="H75" s="12">
        <v>-0.1217635200038565</v>
      </c>
      <c r="I75" s="12">
        <v>-1.03713652982419E-2</v>
      </c>
      <c r="J75" s="12">
        <v>0.14850631611995219</v>
      </c>
      <c r="K75" s="90">
        <v>2.875473631591559</v>
      </c>
      <c r="L75" s="7">
        <v>2.280923785794843</v>
      </c>
      <c r="M75" s="14">
        <v>0.30459192233511451</v>
      </c>
      <c r="N75" s="7">
        <v>4.0777902975095062</v>
      </c>
      <c r="O75" s="7">
        <v>0.24323676642419231</v>
      </c>
      <c r="P75" s="7">
        <v>1.787780162978353</v>
      </c>
      <c r="W75" s="117">
        <f>V73+I75/3</f>
        <v>2.7833156381305683E-2</v>
      </c>
      <c r="X75" s="117">
        <f>V73+I75/5</f>
        <v>2.9216005087737935E-2</v>
      </c>
      <c r="Y75" s="117"/>
      <c r="AA75" s="117"/>
    </row>
    <row r="76" spans="1:27" x14ac:dyDescent="0.2">
      <c r="C76" s="101"/>
      <c r="D76" s="90"/>
      <c r="F76" s="90"/>
      <c r="G76" s="90"/>
      <c r="K76" s="90"/>
      <c r="L76" s="7"/>
      <c r="N76" s="7"/>
      <c r="O76" s="7"/>
      <c r="P76" s="7"/>
      <c r="AA76" s="117"/>
    </row>
    <row r="77" spans="1:27" x14ac:dyDescent="0.2">
      <c r="A77" t="s">
        <v>261</v>
      </c>
      <c r="B77" t="s">
        <v>30</v>
      </c>
      <c r="C77" s="146">
        <v>59.348514350920823</v>
      </c>
      <c r="D77" s="90">
        <v>22.511268585714198</v>
      </c>
      <c r="E77" s="12">
        <v>0.6206936461356436</v>
      </c>
      <c r="F77" s="90">
        <v>-206.427270925095</v>
      </c>
      <c r="G77" s="90">
        <v>-4.4782213705386908</v>
      </c>
      <c r="H77" s="12">
        <v>-0.28941954054179919</v>
      </c>
      <c r="I77" s="12">
        <v>-0.14423523219358689</v>
      </c>
      <c r="J77" s="12">
        <v>0.13254604354512839</v>
      </c>
      <c r="K77" s="90">
        <v>-9.1699528233648753</v>
      </c>
      <c r="L77" s="7">
        <v>27.958968644540111</v>
      </c>
      <c r="M77" s="14">
        <v>0.52890196241102161</v>
      </c>
      <c r="N77" s="7">
        <v>-206.427270925095</v>
      </c>
      <c r="O77" s="7">
        <v>-4.4782213705386908</v>
      </c>
      <c r="P77" s="7">
        <v>-7.3832219474736069</v>
      </c>
      <c r="Q77" s="99">
        <v>7.9565351272368232E-2</v>
      </c>
      <c r="R77" s="99">
        <v>2.7183304544208461E-2</v>
      </c>
      <c r="S77" s="99">
        <v>6.1524745251823618E-3</v>
      </c>
      <c r="U77" s="117">
        <f>C77*S77</f>
        <v>0.36514022265146018</v>
      </c>
      <c r="V77" s="117">
        <f>(1+S77)*Q77*(1-U77)+S77</f>
        <v>5.6976094687253599E-2</v>
      </c>
      <c r="W77" s="117">
        <f>V77+I77/3</f>
        <v>8.8976839560579724E-3</v>
      </c>
      <c r="X77" s="117">
        <f>V77+I77/5</f>
        <v>2.8129048248536223E-2</v>
      </c>
      <c r="Y77" s="117"/>
      <c r="AA77" s="117"/>
    </row>
    <row r="78" spans="1:27" x14ac:dyDescent="0.2">
      <c r="A78" t="s">
        <v>262</v>
      </c>
      <c r="B78" t="s">
        <v>32</v>
      </c>
      <c r="C78" s="146">
        <v>96.120741534052627</v>
      </c>
      <c r="D78" s="90">
        <v>24.22639705637404</v>
      </c>
      <c r="E78" s="12">
        <v>0.7479586958056148</v>
      </c>
      <c r="F78" s="90">
        <v>-6.1257256025297098</v>
      </c>
      <c r="G78" s="90">
        <v>-1.0637294875670471</v>
      </c>
      <c r="H78" s="12">
        <v>-0.47510815663975808</v>
      </c>
      <c r="I78" s="12">
        <v>-0.1280408878371416</v>
      </c>
      <c r="J78" s="12">
        <v>2.2123512964137739</v>
      </c>
      <c r="K78" s="90">
        <v>-0.25285334786990182</v>
      </c>
      <c r="L78" s="7">
        <v>24.22639705637404</v>
      </c>
      <c r="M78" s="14">
        <v>0.7479586958056148</v>
      </c>
      <c r="N78" s="7">
        <v>-6.1257256025297098</v>
      </c>
      <c r="O78" s="7">
        <v>-1.0637294875670471</v>
      </c>
      <c r="P78" s="7">
        <v>-0.25285334786990182</v>
      </c>
      <c r="S78" s="99">
        <v>7.0853680504347136E-3</v>
      </c>
      <c r="U78" s="117">
        <f>C78*S78</f>
        <v>0.68105083104946951</v>
      </c>
      <c r="V78" s="117">
        <f>(1+S78)*R77*(1-U78)+S78</f>
        <v>1.5816891239779855E-2</v>
      </c>
      <c r="W78" s="117">
        <f>V78+I78/3</f>
        <v>-2.6863404705934013E-2</v>
      </c>
      <c r="X78" s="117">
        <f>V78+I78/5</f>
        <v>-9.7912863276484637E-3</v>
      </c>
      <c r="Y78" s="117"/>
      <c r="AA78" s="117"/>
    </row>
    <row r="79" spans="1:27" x14ac:dyDescent="0.2">
      <c r="B79" t="s">
        <v>34</v>
      </c>
      <c r="C79" s="146">
        <v>4.7220853918242014</v>
      </c>
      <c r="D79" s="90">
        <v>2.2669298712664538</v>
      </c>
      <c r="E79" s="12">
        <v>0.5199303521297165</v>
      </c>
      <c r="F79" s="90">
        <v>8.3042410438830512</v>
      </c>
      <c r="G79" s="90">
        <v>0.75859611904964264</v>
      </c>
      <c r="H79" s="12">
        <v>-0.27579167369588808</v>
      </c>
      <c r="I79" s="12">
        <v>-8.9810308256100813E-2</v>
      </c>
      <c r="J79" s="12">
        <v>5.2596968434286628E-2</v>
      </c>
      <c r="K79" s="90">
        <v>3.6632103838500139</v>
      </c>
      <c r="L79" s="7">
        <v>2.2669298712664538</v>
      </c>
      <c r="M79" s="14">
        <v>0.5199303521297165</v>
      </c>
      <c r="N79" s="7">
        <v>8.3042410438830512</v>
      </c>
      <c r="O79" s="7">
        <v>0.75859611904964264</v>
      </c>
      <c r="P79" s="7">
        <v>3.6632103838500139</v>
      </c>
      <c r="W79" s="117">
        <f>V77+I79/3</f>
        <v>2.7039325268553328E-2</v>
      </c>
      <c r="X79" s="117">
        <f>V77+I79/5</f>
        <v>3.9014033036033437E-2</v>
      </c>
      <c r="Y79" s="117"/>
      <c r="AA79" s="117"/>
    </row>
    <row r="80" spans="1:27" x14ac:dyDescent="0.2">
      <c r="B80" t="s">
        <v>35</v>
      </c>
      <c r="C80" s="143">
        <v>2.6128793901353</v>
      </c>
      <c r="D80" s="90">
        <v>1.912708557911005</v>
      </c>
      <c r="E80" s="12">
        <v>0.26796905929440479</v>
      </c>
      <c r="F80" s="90">
        <v>7.5943334674503076</v>
      </c>
      <c r="G80" s="90">
        <v>1.9064998163030631</v>
      </c>
      <c r="H80" s="12">
        <v>-0.10944234213123499</v>
      </c>
      <c r="I80" s="12">
        <v>0.1350873667599628</v>
      </c>
      <c r="J80" s="12">
        <v>0.51121810822986991</v>
      </c>
      <c r="K80" s="90">
        <v>3.9704603380582859</v>
      </c>
      <c r="L80" s="7">
        <v>1.912708557911005</v>
      </c>
      <c r="M80" s="14">
        <v>0.26796905929440479</v>
      </c>
      <c r="N80" s="7">
        <v>5.0564460069946309</v>
      </c>
      <c r="O80" s="7">
        <v>0.93520069318346843</v>
      </c>
      <c r="P80" s="7">
        <v>2.643605052155519</v>
      </c>
      <c r="W80" s="117">
        <f>V78+I80/3</f>
        <v>6.0846013493100787E-2</v>
      </c>
      <c r="X80" s="117">
        <f>V78+I80/5</f>
        <v>4.2834364591772416E-2</v>
      </c>
      <c r="Y80" s="117"/>
      <c r="AA80" s="117"/>
    </row>
    <row r="81" spans="1:27" x14ac:dyDescent="0.2">
      <c r="C81" s="101"/>
      <c r="D81" s="90"/>
      <c r="F81" s="90"/>
      <c r="G81" s="90"/>
      <c r="K81" s="90"/>
      <c r="L81" s="7"/>
      <c r="N81" s="7"/>
      <c r="O81" s="7"/>
      <c r="P81" s="7"/>
      <c r="AA81" s="117"/>
    </row>
    <row r="82" spans="1:27" x14ac:dyDescent="0.2">
      <c r="A82" s="128" t="s">
        <v>263</v>
      </c>
      <c r="B82" t="s">
        <v>30</v>
      </c>
      <c r="C82" s="145">
        <v>36.804950092369893</v>
      </c>
      <c r="D82" s="90">
        <v>26.043706378019401</v>
      </c>
      <c r="E82" s="12">
        <v>0.2923857711352098</v>
      </c>
      <c r="F82" s="90">
        <v>189.20429070867269</v>
      </c>
      <c r="G82" s="90">
        <v>4.1407294462789404</v>
      </c>
      <c r="H82" s="12">
        <v>0.19862708548063221</v>
      </c>
      <c r="I82" s="12">
        <v>0.74444870542581754</v>
      </c>
      <c r="J82" s="12">
        <v>1.1022648400945949</v>
      </c>
      <c r="K82" s="90">
        <v>7.2648757424311539</v>
      </c>
      <c r="L82" s="7">
        <v>26.043706378019401</v>
      </c>
      <c r="M82" s="14">
        <v>0.2923857711352098</v>
      </c>
      <c r="N82" s="7">
        <v>189.20429070867269</v>
      </c>
      <c r="O82" s="7">
        <v>4.1407294462789404</v>
      </c>
      <c r="P82" s="7">
        <v>7.2648757424311539</v>
      </c>
      <c r="Q82" s="99">
        <v>0.14813912126656109</v>
      </c>
      <c r="R82" s="99">
        <v>2.2042533800374839E-2</v>
      </c>
      <c r="S82" s="99">
        <v>6.7863471081947022E-3</v>
      </c>
      <c r="U82" s="117">
        <f>C82*S82</f>
        <v>0.24977116662660476</v>
      </c>
      <c r="V82" s="117">
        <f>(1+S82)*Q82*(1-U82)+S82</f>
        <v>0.11867880990744738</v>
      </c>
      <c r="W82" s="117">
        <f>V82+I82/3</f>
        <v>0.36682837838271987</v>
      </c>
      <c r="X82" s="117">
        <f>V82+I82/5</f>
        <v>0.2675685509926109</v>
      </c>
      <c r="Y82" s="117"/>
      <c r="AA82" s="117"/>
    </row>
    <row r="83" spans="1:27" x14ac:dyDescent="0.2">
      <c r="A83" t="s">
        <v>264</v>
      </c>
      <c r="B83" t="s">
        <v>32</v>
      </c>
      <c r="C83" s="144">
        <v>144.60868150409249</v>
      </c>
      <c r="D83" s="90">
        <v>27.99780518480102</v>
      </c>
      <c r="E83" s="12">
        <v>0.80638918152359573</v>
      </c>
      <c r="F83" s="90">
        <v>-27.775042196683401</v>
      </c>
      <c r="G83" s="90">
        <v>-1.1920703647097239</v>
      </c>
      <c r="H83" s="12">
        <v>-0.62911956690241766</v>
      </c>
      <c r="I83" s="12">
        <v>-0.51470206222156922</v>
      </c>
      <c r="J83" s="12">
        <v>-0.34050429100958313</v>
      </c>
      <c r="K83" s="90">
        <v>-0.99204355531988109</v>
      </c>
      <c r="L83" s="7">
        <v>27.99780518480102</v>
      </c>
      <c r="M83" s="14">
        <v>0.80638918152359573</v>
      </c>
      <c r="N83" s="7">
        <v>-27.775042196683401</v>
      </c>
      <c r="O83" s="7">
        <v>-1.1920703647097239</v>
      </c>
      <c r="P83" s="7">
        <v>-0.99204355531988109</v>
      </c>
      <c r="S83" s="99">
        <v>7.2460511605319843E-3</v>
      </c>
      <c r="U83" s="117">
        <f>C83*S83</f>
        <v>1.0478419044357294</v>
      </c>
      <c r="V83" s="117">
        <f>(1+S83)*R82*(1-U83)+S83</f>
        <v>6.1838529924405188E-3</v>
      </c>
      <c r="W83" s="117">
        <f>V83+I83/3</f>
        <v>-0.16538350108141589</v>
      </c>
      <c r="X83" s="117">
        <f>V83+I83/5</f>
        <v>-9.6756559451873322E-2</v>
      </c>
      <c r="Y83" s="117"/>
      <c r="AA83" s="117"/>
    </row>
    <row r="84" spans="1:27" x14ac:dyDescent="0.2">
      <c r="B84" t="s">
        <v>34</v>
      </c>
      <c r="C84" s="145">
        <v>5.4522529649433107</v>
      </c>
      <c r="D84" s="90">
        <v>4.0897735087759131</v>
      </c>
      <c r="E84" s="12">
        <v>0.2498929277360783</v>
      </c>
      <c r="F84" s="90">
        <v>17.246526048314841</v>
      </c>
      <c r="G84" s="90">
        <v>2.163192566303489</v>
      </c>
      <c r="H84" s="12">
        <v>3.1835958423494848E-2</v>
      </c>
      <c r="I84" s="12">
        <v>0.26848294215827861</v>
      </c>
      <c r="J84" s="12">
        <v>0.67189842964310209</v>
      </c>
      <c r="K84" s="90">
        <v>4.2169880584601858</v>
      </c>
      <c r="L84" s="7">
        <v>4.1557464630006864</v>
      </c>
      <c r="M84" s="14">
        <v>0.23779280056865551</v>
      </c>
      <c r="N84" s="7">
        <v>12.34692549636444</v>
      </c>
      <c r="O84" s="7">
        <v>1.2645547768513741</v>
      </c>
      <c r="P84" s="7">
        <v>2.9710487890181012</v>
      </c>
      <c r="W84" s="117">
        <f>V82+I84/3</f>
        <v>0.20817312396020693</v>
      </c>
      <c r="X84" s="117">
        <f>V82+I84/5</f>
        <v>0.17237539833910309</v>
      </c>
      <c r="Y84" s="117"/>
      <c r="AA84" s="117"/>
    </row>
    <row r="85" spans="1:27" x14ac:dyDescent="0.2">
      <c r="B85" t="s">
        <v>35</v>
      </c>
      <c r="C85" s="143">
        <v>3.187541749881599</v>
      </c>
      <c r="D85" s="90">
        <v>2.4501170563220329</v>
      </c>
      <c r="E85" s="12">
        <v>0.23134589330067831</v>
      </c>
      <c r="F85" s="90">
        <v>15.96427946892511</v>
      </c>
      <c r="G85" s="90">
        <v>4.0083358028230052</v>
      </c>
      <c r="H85" s="12">
        <v>-4.5144148255868988E-3</v>
      </c>
      <c r="I85" s="12">
        <v>0.45609122710320399</v>
      </c>
      <c r="J85" s="12">
        <v>1.142360079713205</v>
      </c>
      <c r="K85" s="90">
        <v>6.5157211275814362</v>
      </c>
      <c r="L85" s="7">
        <v>2.4501170563220329</v>
      </c>
      <c r="M85" s="14">
        <v>0.23134589330067831</v>
      </c>
      <c r="N85" s="7">
        <v>6.3588338207139774</v>
      </c>
      <c r="O85" s="7">
        <v>0.994902128246689</v>
      </c>
      <c r="P85" s="7">
        <v>2.5953183764450309</v>
      </c>
      <c r="W85" s="117">
        <f>V83+I85/3</f>
        <v>0.15821426202684183</v>
      </c>
      <c r="X85" s="117">
        <f>V83+I85/5</f>
        <v>9.7402098413081326E-2</v>
      </c>
      <c r="Y85" s="117"/>
      <c r="AA85" s="117"/>
    </row>
    <row r="86" spans="1:27" x14ac:dyDescent="0.2">
      <c r="C86" s="101"/>
      <c r="D86" s="90"/>
      <c r="F86" s="90"/>
      <c r="G86" s="90"/>
      <c r="K86" s="90"/>
      <c r="L86" s="7"/>
      <c r="N86" s="7"/>
      <c r="O86" s="7"/>
      <c r="P86" s="7"/>
      <c r="AA86" s="117"/>
    </row>
    <row r="87" spans="1:27" x14ac:dyDescent="0.2">
      <c r="A87" s="128" t="s">
        <v>265</v>
      </c>
      <c r="B87" t="s">
        <v>30</v>
      </c>
      <c r="C87" s="143">
        <v>35.645871970378693</v>
      </c>
      <c r="D87" s="90">
        <v>21.158447418205881</v>
      </c>
      <c r="E87" s="12">
        <v>0.40642643176779891</v>
      </c>
      <c r="F87" s="90">
        <v>70.11730559981963</v>
      </c>
      <c r="G87" s="90">
        <v>0.96705261293892031</v>
      </c>
      <c r="H87" s="12">
        <v>-7.7543734525684194E-2</v>
      </c>
      <c r="I87" s="12">
        <v>1.683365778689971E-2</v>
      </c>
      <c r="J87" s="12">
        <v>0.37236315479769577</v>
      </c>
      <c r="K87" s="90">
        <v>3.3139154406710811</v>
      </c>
      <c r="L87" s="7">
        <v>21.158447418205881</v>
      </c>
      <c r="M87" s="14">
        <v>0.40642643176779891</v>
      </c>
      <c r="N87" s="7">
        <v>65.568621463427917</v>
      </c>
      <c r="O87" s="7">
        <v>0.83944501393919291</v>
      </c>
      <c r="P87" s="7">
        <v>3.0989334976917591</v>
      </c>
      <c r="Q87" s="99">
        <v>8.2428898930479208E-2</v>
      </c>
      <c r="R87" s="99">
        <v>3.4360637884793798E-4</v>
      </c>
      <c r="S87" s="99">
        <v>1.090752131643946E-2</v>
      </c>
      <c r="U87" s="117">
        <f>C87*S87</f>
        <v>0.38880810835997742</v>
      </c>
      <c r="V87" s="117">
        <f>(1+S87)*Q87*(1-U87)+S87</f>
        <v>6.1836915536370843E-2</v>
      </c>
      <c r="W87" s="117">
        <f>V87+I87/3</f>
        <v>6.7448134798670747E-2</v>
      </c>
      <c r="X87" s="117">
        <f>V87+I87/5</f>
        <v>6.5203647093750788E-2</v>
      </c>
      <c r="Y87" s="117"/>
      <c r="AA87" s="117"/>
    </row>
    <row r="88" spans="1:27" x14ac:dyDescent="0.2">
      <c r="A88" t="s">
        <v>266</v>
      </c>
      <c r="B88" t="s">
        <v>32</v>
      </c>
      <c r="C88" s="144">
        <v>7497.2872197034994</v>
      </c>
      <c r="D88" s="90">
        <v>22.32023758032598</v>
      </c>
      <c r="E88" s="12">
        <v>0.9970228914904492</v>
      </c>
      <c r="F88" s="90">
        <v>-228.4673874670834</v>
      </c>
      <c r="G88" s="90">
        <v>-1.0304733406593589</v>
      </c>
      <c r="H88" s="12">
        <v>-0.9948045754148036</v>
      </c>
      <c r="I88" s="12">
        <v>-0.9935004851249194</v>
      </c>
      <c r="J88" s="12">
        <v>-0.98359356664647934</v>
      </c>
      <c r="K88" s="90">
        <v>-10.235885108519829</v>
      </c>
      <c r="L88" s="7">
        <v>22.32023758032598</v>
      </c>
      <c r="M88" s="14">
        <v>0.9970228914904492</v>
      </c>
      <c r="N88" s="7">
        <v>-228.4673874670834</v>
      </c>
      <c r="O88" s="7">
        <v>-1.0304733406593589</v>
      </c>
      <c r="P88" s="7">
        <v>-10.235885108519829</v>
      </c>
      <c r="S88" s="99">
        <v>1.019778028604048E-2</v>
      </c>
      <c r="U88" s="117">
        <f>C88*S88</f>
        <v>76.455687807875577</v>
      </c>
      <c r="V88" s="117">
        <f>(1+S88)*R87*(1-U88)+S88</f>
        <v>-1.5993673782098466E-2</v>
      </c>
      <c r="W88" s="117">
        <f>V88+I88/3</f>
        <v>-0.34716050215707162</v>
      </c>
      <c r="X88" s="117">
        <f>V88+I88/5</f>
        <v>-0.21469377080708232</v>
      </c>
      <c r="Y88" s="117"/>
      <c r="AA88" s="117"/>
    </row>
    <row r="89" spans="1:27" x14ac:dyDescent="0.2">
      <c r="B89" t="s">
        <v>34</v>
      </c>
      <c r="C89" s="145">
        <v>2.938249977935147</v>
      </c>
      <c r="D89" s="90">
        <v>2.36914126829523</v>
      </c>
      <c r="E89" s="12">
        <v>0.19368968396618769</v>
      </c>
      <c r="F89" s="90">
        <v>7.4450569963436664</v>
      </c>
      <c r="G89" s="90">
        <v>1.533840569132132</v>
      </c>
      <c r="H89" s="12">
        <v>1.312247565773683E-2</v>
      </c>
      <c r="I89" s="12">
        <v>0.2968159833134516</v>
      </c>
      <c r="J89" s="12">
        <v>0.41864207759933092</v>
      </c>
      <c r="K89" s="90">
        <v>3.1425128994949829</v>
      </c>
      <c r="L89" s="7">
        <v>2.36914126829523</v>
      </c>
      <c r="M89" s="14">
        <v>0.19368968396618769</v>
      </c>
      <c r="N89" s="7">
        <v>4.210248392237637</v>
      </c>
      <c r="O89" s="7">
        <v>0.43291020976928118</v>
      </c>
      <c r="P89" s="7">
        <v>1.7771200259692479</v>
      </c>
      <c r="W89" s="117">
        <f>V87+I89/3</f>
        <v>0.16077557664085471</v>
      </c>
      <c r="X89" s="117">
        <f>V87+I89/5</f>
        <v>0.12120011219906116</v>
      </c>
      <c r="Y89" s="117"/>
      <c r="AA89" s="117"/>
    </row>
    <row r="90" spans="1:27" x14ac:dyDescent="0.2">
      <c r="B90" t="s">
        <v>35</v>
      </c>
      <c r="C90" s="143">
        <v>2.5761157127452452</v>
      </c>
      <c r="D90" s="90">
        <v>1.9379374288854581</v>
      </c>
      <c r="E90" s="12">
        <v>0.24772888915758781</v>
      </c>
      <c r="F90" s="90">
        <v>7.5908830488552654</v>
      </c>
      <c r="G90" s="90">
        <v>1.9466390082167619</v>
      </c>
      <c r="H90" s="12">
        <v>-0.1027381383732977</v>
      </c>
      <c r="I90" s="12">
        <v>0.25015634763243472</v>
      </c>
      <c r="J90" s="12">
        <v>0.57242723642156768</v>
      </c>
      <c r="K90" s="90">
        <v>3.9169907839702121</v>
      </c>
      <c r="L90" s="7">
        <v>1.9379374288854581</v>
      </c>
      <c r="M90" s="14">
        <v>0.24772888915758781</v>
      </c>
      <c r="N90" s="7">
        <v>3.3570115808059842</v>
      </c>
      <c r="O90" s="7">
        <v>0.30312918949924628</v>
      </c>
      <c r="P90" s="7">
        <v>1.7322600465674789</v>
      </c>
      <c r="W90" s="117">
        <f>V88+I90/3</f>
        <v>6.7391775428713108E-2</v>
      </c>
      <c r="X90" s="117">
        <f>V88+I90/5</f>
        <v>3.4037595744388471E-2</v>
      </c>
      <c r="Y90" s="117"/>
      <c r="AA90" s="117"/>
    </row>
    <row r="91" spans="1:27" x14ac:dyDescent="0.2">
      <c r="C91" s="101"/>
      <c r="D91" s="90"/>
      <c r="F91" s="90"/>
      <c r="G91" s="90"/>
      <c r="K91" s="90"/>
      <c r="L91" s="7"/>
      <c r="N91" s="7"/>
      <c r="O91" s="7"/>
      <c r="P91" s="7"/>
      <c r="AA91" s="117"/>
    </row>
    <row r="92" spans="1:27" x14ac:dyDescent="0.2">
      <c r="A92" t="s">
        <v>267</v>
      </c>
      <c r="B92" t="s">
        <v>30</v>
      </c>
      <c r="C92" s="145">
        <v>37.270250853261302</v>
      </c>
      <c r="D92" s="90">
        <v>27.137552107835909</v>
      </c>
      <c r="E92" s="12">
        <v>0.27187095641828057</v>
      </c>
      <c r="F92" s="90">
        <v>139.55241656646561</v>
      </c>
      <c r="G92" s="90">
        <v>2.7443380007262319</v>
      </c>
      <c r="H92" s="12">
        <v>0.2183530112932266</v>
      </c>
      <c r="I92" s="12">
        <v>0.51156815857698912</v>
      </c>
      <c r="J92" s="12">
        <v>0.95897705445671488</v>
      </c>
      <c r="K92" s="90">
        <v>5.1424098979867123</v>
      </c>
      <c r="L92" s="7">
        <v>27.137552107835909</v>
      </c>
      <c r="M92" s="14">
        <v>0.27187095641828057</v>
      </c>
      <c r="N92" s="7">
        <v>139.55241656646561</v>
      </c>
      <c r="O92" s="7">
        <v>2.7443380007262319</v>
      </c>
      <c r="P92" s="7">
        <v>5.1424098979867123</v>
      </c>
      <c r="Q92" s="99">
        <v>0.1182866856932686</v>
      </c>
      <c r="R92" s="99">
        <v>0.13375485505937551</v>
      </c>
      <c r="S92" s="99">
        <v>7.2213212691944976E-3</v>
      </c>
      <c r="U92" s="117">
        <f>C92*S92</f>
        <v>0.26914045519487023</v>
      </c>
      <c r="V92" s="117">
        <f>(1+S92)*Q92*(1-U92)+S92</f>
        <v>9.4296564639019365E-2</v>
      </c>
      <c r="W92" s="117">
        <f>V92+I92/3</f>
        <v>0.26481928416468237</v>
      </c>
      <c r="X92" s="117">
        <f>V92+I92/5</f>
        <v>0.19661019635441718</v>
      </c>
      <c r="Y92" s="117"/>
      <c r="AA92" s="117"/>
    </row>
    <row r="93" spans="1:27" x14ac:dyDescent="0.2">
      <c r="A93" t="s">
        <v>268</v>
      </c>
      <c r="B93" t="s">
        <v>32</v>
      </c>
      <c r="C93" s="145">
        <v>23.389424606480588</v>
      </c>
      <c r="D93" s="90">
        <v>20.867890119349401</v>
      </c>
      <c r="E93" s="12">
        <v>0.10780660617160009</v>
      </c>
      <c r="F93" s="90">
        <v>176.71562638939801</v>
      </c>
      <c r="G93" s="90">
        <v>6.5553644162941387</v>
      </c>
      <c r="H93" s="12">
        <v>0.65619639326039714</v>
      </c>
      <c r="I93" s="12">
        <v>1.3334307911320149</v>
      </c>
      <c r="J93" s="12">
        <v>2.1776341248922351</v>
      </c>
      <c r="K93" s="90">
        <v>8.4683034738400007</v>
      </c>
      <c r="L93" s="7">
        <v>20.867890119349401</v>
      </c>
      <c r="M93" s="14">
        <v>0.10780660617160009</v>
      </c>
      <c r="N93" s="7">
        <v>176.71562638939801</v>
      </c>
      <c r="O93" s="7">
        <v>6.5553644162941387</v>
      </c>
      <c r="P93" s="7">
        <v>8.4683034738400007</v>
      </c>
      <c r="S93" s="99">
        <v>1.052964423735755E-2</v>
      </c>
      <c r="U93" s="117">
        <f>C93*S93</f>
        <v>0.2462823200227372</v>
      </c>
      <c r="V93" s="117">
        <f>(1+S93)*R92*(1-U93)+S93</f>
        <v>0.11240457250466609</v>
      </c>
      <c r="W93" s="117">
        <f>V93+I93/3</f>
        <v>0.55688150288200444</v>
      </c>
      <c r="X93" s="117">
        <f>V93+I93/5</f>
        <v>0.37909073073106903</v>
      </c>
      <c r="Y93" s="117"/>
      <c r="AA93" s="117"/>
    </row>
    <row r="94" spans="1:27" x14ac:dyDescent="0.2">
      <c r="B94" t="s">
        <v>34</v>
      </c>
      <c r="C94" s="145">
        <v>4.4085744483889941</v>
      </c>
      <c r="D94" s="90">
        <v>3.811715675907847</v>
      </c>
      <c r="E94" s="12">
        <v>0.1353858893546086</v>
      </c>
      <c r="F94" s="90">
        <v>13.205915714898889</v>
      </c>
      <c r="G94" s="90">
        <v>1.9955070214873361</v>
      </c>
      <c r="H94" s="12">
        <v>0.34489724035899583</v>
      </c>
      <c r="I94" s="12">
        <v>0.5531374537680398</v>
      </c>
      <c r="J94" s="12">
        <v>0.85810109277443503</v>
      </c>
      <c r="K94" s="90">
        <v>3.464559489147522</v>
      </c>
      <c r="L94" s="7">
        <v>3.811715675907847</v>
      </c>
      <c r="M94" s="14">
        <v>0.1353858893546086</v>
      </c>
      <c r="N94" s="7">
        <v>13.205915714898889</v>
      </c>
      <c r="O94" s="7">
        <v>1.9955070214873361</v>
      </c>
      <c r="P94" s="7">
        <v>3.464559489147522</v>
      </c>
      <c r="W94" s="117">
        <f>V92+I94/3</f>
        <v>0.27867571589503259</v>
      </c>
      <c r="X94" s="117">
        <f>V92+I94/5</f>
        <v>0.20492405539262731</v>
      </c>
      <c r="Y94" s="117"/>
      <c r="AA94" s="117"/>
    </row>
    <row r="95" spans="1:27" x14ac:dyDescent="0.2">
      <c r="B95" t="s">
        <v>35</v>
      </c>
      <c r="C95" s="145">
        <v>3.128449098162001</v>
      </c>
      <c r="D95" s="90">
        <v>2.2220940860144021</v>
      </c>
      <c r="E95" s="12">
        <v>0.2897138434120895</v>
      </c>
      <c r="F95" s="90">
        <v>11.3848035106735</v>
      </c>
      <c r="G95" s="90">
        <v>2.6391205844973471</v>
      </c>
      <c r="H95" s="12">
        <v>0.13939180684217439</v>
      </c>
      <c r="I95" s="12">
        <v>0.69009449204799234</v>
      </c>
      <c r="J95" s="12">
        <v>0.98618279174813805</v>
      </c>
      <c r="K95" s="90">
        <v>5.1234570049612689</v>
      </c>
      <c r="L95" s="7">
        <v>2.2220940860144021</v>
      </c>
      <c r="M95" s="14">
        <v>0.2897138434120895</v>
      </c>
      <c r="N95" s="7">
        <v>7.2537596735761047</v>
      </c>
      <c r="O95" s="7">
        <v>1.318643981721733</v>
      </c>
      <c r="P95" s="7">
        <v>3.2643800814872841</v>
      </c>
      <c r="W95" s="117">
        <f>V93+I95/3</f>
        <v>0.34243606985399688</v>
      </c>
      <c r="X95" s="117">
        <f>V93+I95/5</f>
        <v>0.25042347091426453</v>
      </c>
      <c r="Y95" s="117"/>
      <c r="AA95" s="117"/>
    </row>
    <row r="96" spans="1:27" x14ac:dyDescent="0.2">
      <c r="C96" s="101"/>
      <c r="D96" s="90"/>
      <c r="F96" s="90"/>
      <c r="G96" s="90"/>
      <c r="K96" s="90"/>
      <c r="L96" s="7"/>
      <c r="N96" s="7"/>
      <c r="O96" s="7"/>
      <c r="P96" s="7"/>
      <c r="AA96" s="117"/>
    </row>
    <row r="97" spans="1:27" x14ac:dyDescent="0.2">
      <c r="A97" s="128" t="s">
        <v>269</v>
      </c>
      <c r="B97" t="s">
        <v>30</v>
      </c>
      <c r="C97" s="145">
        <v>4.5187708624650931</v>
      </c>
      <c r="D97" s="90">
        <v>4.1182543728500622</v>
      </c>
      <c r="E97" s="12">
        <v>8.8633945337192821E-2</v>
      </c>
      <c r="F97" s="90">
        <v>9.0846383936529342</v>
      </c>
      <c r="G97" s="90">
        <v>1.010422451183342</v>
      </c>
      <c r="H97" s="12">
        <v>0.164219653335236</v>
      </c>
      <c r="I97" s="12">
        <v>0.37625518901120092</v>
      </c>
      <c r="J97" s="12">
        <v>0.50485730752083757</v>
      </c>
      <c r="K97" s="90">
        <v>2.2059439682852462</v>
      </c>
      <c r="L97" s="7">
        <v>4.1182543728500622</v>
      </c>
      <c r="M97" s="14">
        <v>8.8633945337192821E-2</v>
      </c>
      <c r="N97" s="7">
        <v>8.2799132705856096</v>
      </c>
      <c r="O97" s="7">
        <v>0.83233749233939403</v>
      </c>
      <c r="P97" s="7">
        <v>2.0105395444175649</v>
      </c>
      <c r="Q97" s="99">
        <v>0.11770031697044191</v>
      </c>
      <c r="R97" s="99">
        <v>0.109941770506394</v>
      </c>
      <c r="S97" s="99">
        <v>5.9365350535240398E-2</v>
      </c>
      <c r="U97" s="117">
        <f>C97*S97</f>
        <v>0.2682584162386708</v>
      </c>
      <c r="V97" s="117">
        <f>(1+S97)*Q97*(1-U97)+S97</f>
        <v>0.15060447990824397</v>
      </c>
      <c r="W97" s="117">
        <f>V97+I97/3</f>
        <v>0.27602287624531097</v>
      </c>
      <c r="X97" s="117">
        <f>V97+I97/5</f>
        <v>0.22585551771048415</v>
      </c>
      <c r="Y97" s="117"/>
      <c r="AA97" s="36"/>
    </row>
    <row r="98" spans="1:27" x14ac:dyDescent="0.2">
      <c r="A98" t="s">
        <v>270</v>
      </c>
      <c r="B98" t="s">
        <v>32</v>
      </c>
      <c r="C98" s="145">
        <v>5.0178223069249599</v>
      </c>
      <c r="D98" s="90">
        <v>4.5719195833120541</v>
      </c>
      <c r="E98" s="12">
        <v>8.8863793163326599E-2</v>
      </c>
      <c r="F98" s="90">
        <v>9.8264084516269357</v>
      </c>
      <c r="G98" s="90">
        <v>0.95830140060276281</v>
      </c>
      <c r="H98" s="12">
        <v>8.9616666695345959E-2</v>
      </c>
      <c r="I98" s="12">
        <v>0.33159995501763267</v>
      </c>
      <c r="J98" s="12">
        <v>0.5124368953552112</v>
      </c>
      <c r="K98" s="90">
        <v>2.1492959953832682</v>
      </c>
      <c r="L98" s="7">
        <v>4.6246482598265271</v>
      </c>
      <c r="M98" s="14">
        <v>7.8355514214966115E-2</v>
      </c>
      <c r="N98" s="7">
        <v>9.0815147876721074</v>
      </c>
      <c r="O98" s="7">
        <v>0.80985181064282741</v>
      </c>
      <c r="P98" s="7">
        <v>1.963720109605213</v>
      </c>
      <c r="S98" s="99">
        <v>4.6534675591272653E-2</v>
      </c>
      <c r="U98" s="117">
        <f>C98*S98</f>
        <v>0.23350273322740436</v>
      </c>
      <c r="V98" s="117">
        <f>(1+S98)*R97*(1-U98)+S98</f>
        <v>0.13472622239972348</v>
      </c>
      <c r="W98" s="117">
        <f>V98+I98/3</f>
        <v>0.24525954073893436</v>
      </c>
      <c r="X98" s="117">
        <f>V98+I98/5</f>
        <v>0.20104621340325002</v>
      </c>
      <c r="Y98" s="117"/>
      <c r="AA98" s="117"/>
    </row>
    <row r="99" spans="1:27" x14ac:dyDescent="0.2">
      <c r="B99" t="s">
        <v>34</v>
      </c>
      <c r="C99" s="145">
        <v>0.53186076282893857</v>
      </c>
      <c r="D99" s="90">
        <v>0.48477580945494397</v>
      </c>
      <c r="E99" s="12">
        <v>8.8528721546504485E-2</v>
      </c>
      <c r="F99" s="90">
        <v>1.431324950837465</v>
      </c>
      <c r="G99" s="90">
        <v>1.6911647763304161</v>
      </c>
      <c r="H99" s="12">
        <v>0.35493917008044867</v>
      </c>
      <c r="I99" s="12">
        <v>0.6746860430061048</v>
      </c>
      <c r="J99" s="12">
        <v>0.96368050263918414</v>
      </c>
      <c r="K99" s="90">
        <v>2.9525502777186219</v>
      </c>
      <c r="L99" s="7">
        <v>0.48477580945494397</v>
      </c>
      <c r="M99" s="14">
        <v>8.8528721546504485E-2</v>
      </c>
      <c r="N99" s="7">
        <v>1.131644796751708</v>
      </c>
      <c r="O99" s="7">
        <v>1.1277087460495301</v>
      </c>
      <c r="P99" s="7">
        <v>2.3343672986159691</v>
      </c>
      <c r="W99" s="117">
        <f>V97+I99/3</f>
        <v>0.37549982757694556</v>
      </c>
      <c r="X99" s="117">
        <f>V97+I99/5</f>
        <v>0.28554168850946493</v>
      </c>
      <c r="Y99" s="117"/>
      <c r="AA99" s="117"/>
    </row>
    <row r="100" spans="1:27" x14ac:dyDescent="0.2">
      <c r="B100" t="s">
        <v>35</v>
      </c>
      <c r="C100" s="145">
        <v>0.55166826850980866</v>
      </c>
      <c r="D100" s="90">
        <v>0.51158927617000116</v>
      </c>
      <c r="E100" s="12">
        <v>7.2650530450248052E-2</v>
      </c>
      <c r="F100" s="90">
        <v>1.521258747308089</v>
      </c>
      <c r="G100" s="90">
        <v>1.7575607192659131</v>
      </c>
      <c r="H100" s="12">
        <v>0.36133099676817237</v>
      </c>
      <c r="I100" s="12">
        <v>0.66730078119957925</v>
      </c>
      <c r="J100" s="12">
        <v>1.022248435179135</v>
      </c>
      <c r="K100" s="90">
        <v>2.9735938929309662</v>
      </c>
      <c r="L100" s="7">
        <v>0.51158927617000116</v>
      </c>
      <c r="M100" s="14">
        <v>7.2650530450248052E-2</v>
      </c>
      <c r="N100" s="7">
        <v>1.1703731602763019</v>
      </c>
      <c r="O100" s="7">
        <v>1.121516184785772</v>
      </c>
      <c r="P100" s="7">
        <v>2.2877202763870819</v>
      </c>
      <c r="W100" s="117">
        <f>V98+I100/3</f>
        <v>0.35715981613291659</v>
      </c>
      <c r="X100" s="117">
        <f>V98+I100/5</f>
        <v>0.26818637863963934</v>
      </c>
      <c r="Y100" s="117"/>
      <c r="AA100" s="117"/>
    </row>
    <row r="101" spans="1:27" x14ac:dyDescent="0.2">
      <c r="C101" s="101"/>
      <c r="D101" s="90"/>
      <c r="F101" s="90"/>
      <c r="G101" s="90"/>
      <c r="K101" s="90"/>
      <c r="L101" s="7"/>
      <c r="N101" s="7"/>
      <c r="O101" s="7"/>
      <c r="P101" s="7"/>
      <c r="AA101" s="117"/>
    </row>
    <row r="102" spans="1:27" x14ac:dyDescent="0.2">
      <c r="A102" t="s">
        <v>271</v>
      </c>
      <c r="B102" t="s">
        <v>30</v>
      </c>
      <c r="C102" s="143">
        <v>16.68937928449375</v>
      </c>
      <c r="D102" s="90">
        <v>11.164502646288261</v>
      </c>
      <c r="E102" s="12">
        <v>0.33104146918985172</v>
      </c>
      <c r="F102" s="90">
        <v>37.098126656873177</v>
      </c>
      <c r="G102" s="90">
        <v>1.2228583834355891</v>
      </c>
      <c r="H102" s="12">
        <v>-0.1091739241605916</v>
      </c>
      <c r="I102" s="12">
        <v>7.1937807300971546E-2</v>
      </c>
      <c r="J102" s="12">
        <v>0.34823569403738502</v>
      </c>
      <c r="K102" s="90">
        <v>3.322864245028128</v>
      </c>
      <c r="L102" s="7">
        <v>11.985220725470221</v>
      </c>
      <c r="M102" s="14">
        <v>0.28186539947559391</v>
      </c>
      <c r="N102" s="7">
        <v>27.719194340956172</v>
      </c>
      <c r="O102" s="7">
        <v>0.66088827322118116</v>
      </c>
      <c r="P102" s="7">
        <v>2.3127812975566759</v>
      </c>
      <c r="Q102" s="99">
        <v>7.8397987946375022E-2</v>
      </c>
      <c r="R102" s="99">
        <v>1.306197437687041E-2</v>
      </c>
      <c r="S102" s="99">
        <v>2.6554488178208279E-2</v>
      </c>
      <c r="U102" s="117">
        <f>C102*S102</f>
        <v>0.44317792491172342</v>
      </c>
      <c r="V102" s="117">
        <f>(1+S102)*Q102*(1-U102)+S102</f>
        <v>7.1367420975264981E-2</v>
      </c>
      <c r="W102" s="117">
        <f>V102+I102/3</f>
        <v>9.5346690075588825E-2</v>
      </c>
      <c r="X102" s="117">
        <f>V102+I102/5</f>
        <v>8.5754982435459287E-2</v>
      </c>
      <c r="Y102" s="117"/>
      <c r="AA102" s="117"/>
    </row>
    <row r="103" spans="1:27" x14ac:dyDescent="0.2">
      <c r="A103" t="s">
        <v>272</v>
      </c>
      <c r="B103" t="s">
        <v>32</v>
      </c>
      <c r="C103" s="144">
        <v>94.89961670257388</v>
      </c>
      <c r="D103" s="90">
        <v>9.9178240164965352</v>
      </c>
      <c r="E103" s="12">
        <v>0.89549142176643226</v>
      </c>
      <c r="F103" s="90">
        <v>-23.75589044256375</v>
      </c>
      <c r="G103" s="90">
        <v>-1.250326516249453</v>
      </c>
      <c r="H103" s="12">
        <v>-0.73579792356039997</v>
      </c>
      <c r="I103" s="12">
        <v>-0.66664885147787833</v>
      </c>
      <c r="J103" s="12">
        <v>-0.53852193732443587</v>
      </c>
      <c r="K103" s="90">
        <v>-2.3952724310342721</v>
      </c>
      <c r="L103" s="7">
        <v>9.9178240164965352</v>
      </c>
      <c r="M103" s="14">
        <v>0.89549142176643226</v>
      </c>
      <c r="N103" s="7">
        <v>-23.75589044256375</v>
      </c>
      <c r="O103" s="7">
        <v>-1.250326516249453</v>
      </c>
      <c r="P103" s="7">
        <v>-2.3952724310342721</v>
      </c>
      <c r="S103" s="99">
        <v>1.7535983017965419E-2</v>
      </c>
      <c r="U103" s="117">
        <f>C103*S103</f>
        <v>1.6641580669077629</v>
      </c>
      <c r="V103" s="117">
        <f>(1+S103)*R102*(1-U103)+S103</f>
        <v>8.7086389314713058E-3</v>
      </c>
      <c r="W103" s="117">
        <f>V103+I103/3</f>
        <v>-0.21350764489448815</v>
      </c>
      <c r="X103" s="117">
        <f>V103+I103/5</f>
        <v>-0.12462113136410435</v>
      </c>
      <c r="Y103" s="117"/>
      <c r="AA103" s="117"/>
    </row>
    <row r="104" spans="1:27" x14ac:dyDescent="0.2">
      <c r="B104" t="s">
        <v>34</v>
      </c>
      <c r="C104" s="145">
        <v>1.3084137559782221</v>
      </c>
      <c r="D104" s="90">
        <v>1.097115811429983</v>
      </c>
      <c r="E104" s="12">
        <v>0.16149168684814369</v>
      </c>
      <c r="F104" s="90">
        <v>4.1903813753093333</v>
      </c>
      <c r="G104" s="90">
        <v>2.2026424028050968</v>
      </c>
      <c r="H104" s="12">
        <v>0.2345973788548692</v>
      </c>
      <c r="I104" s="12">
        <v>0.45718145961728501</v>
      </c>
      <c r="J104" s="12">
        <v>0.64068911524787975</v>
      </c>
      <c r="K104" s="90">
        <v>3.8194521778403518</v>
      </c>
      <c r="L104" s="7">
        <v>1.097115811429983</v>
      </c>
      <c r="M104" s="14">
        <v>0.16149168684814369</v>
      </c>
      <c r="N104" s="7">
        <v>2.3117424654227841</v>
      </c>
      <c r="O104" s="7">
        <v>0.76682831012765829</v>
      </c>
      <c r="P104" s="7">
        <v>2.107108877056155</v>
      </c>
      <c r="W104" s="117">
        <f>V102+I104/3</f>
        <v>0.22376124084769333</v>
      </c>
      <c r="X104" s="117">
        <f>V102+I104/5</f>
        <v>0.16280371289872198</v>
      </c>
      <c r="Y104" s="117"/>
      <c r="AA104" s="117"/>
    </row>
    <row r="105" spans="1:27" x14ac:dyDescent="0.2">
      <c r="B105" t="s">
        <v>35</v>
      </c>
      <c r="C105" s="145">
        <v>1.2395763617438429</v>
      </c>
      <c r="D105" s="90">
        <v>1.0872496821908391</v>
      </c>
      <c r="E105" s="12">
        <v>0.1228860796754068</v>
      </c>
      <c r="F105" s="90">
        <v>5.1695906120059334</v>
      </c>
      <c r="G105" s="90">
        <v>3.1704494951269671</v>
      </c>
      <c r="H105" s="12">
        <v>0.2057429197220495</v>
      </c>
      <c r="I105" s="12">
        <v>0.54080424587071674</v>
      </c>
      <c r="J105" s="12">
        <v>0.90378796563388963</v>
      </c>
      <c r="K105" s="90">
        <v>4.7547409731949184</v>
      </c>
      <c r="L105" s="7">
        <v>1.0872496821908391</v>
      </c>
      <c r="M105" s="14">
        <v>0.1228860796754068</v>
      </c>
      <c r="N105" s="7">
        <v>2.1355852891425191</v>
      </c>
      <c r="O105" s="7">
        <v>0.72283479667050488</v>
      </c>
      <c r="P105" s="7">
        <v>1.964208703965086</v>
      </c>
      <c r="W105" s="117">
        <f>V103+I105/3</f>
        <v>0.18897672088837689</v>
      </c>
      <c r="X105" s="117">
        <f>V103+I105/5</f>
        <v>0.11686948810561465</v>
      </c>
      <c r="Y105" s="117"/>
      <c r="AA105" s="117"/>
    </row>
    <row r="106" spans="1:27" x14ac:dyDescent="0.2">
      <c r="C106" s="101"/>
      <c r="D106" s="90"/>
      <c r="F106" s="90"/>
      <c r="G106" s="90"/>
      <c r="K106" s="90"/>
      <c r="L106" s="7"/>
      <c r="N106" s="7"/>
      <c r="O106" s="7"/>
      <c r="P106" s="7"/>
      <c r="AA106" s="117"/>
    </row>
    <row r="107" spans="1:27" x14ac:dyDescent="0.2">
      <c r="A107" s="33" t="s">
        <v>273</v>
      </c>
      <c r="B107" t="s">
        <v>30</v>
      </c>
      <c r="C107" s="144">
        <v>48.859086099638759</v>
      </c>
      <c r="D107" s="90">
        <v>8.558683289979335</v>
      </c>
      <c r="E107" s="12">
        <v>0.82482923907898043</v>
      </c>
      <c r="F107" s="90">
        <v>93.149055329892391</v>
      </c>
      <c r="G107" s="90">
        <v>0.90648378358802528</v>
      </c>
      <c r="H107" s="12">
        <v>-0.73313535859557422</v>
      </c>
      <c r="I107" s="12">
        <v>-0.53354937752733322</v>
      </c>
      <c r="J107" s="12">
        <v>-0.16377285373065431</v>
      </c>
      <c r="K107" s="90">
        <v>10.88357311211095</v>
      </c>
      <c r="L107" s="7">
        <v>8.558683289979335</v>
      </c>
      <c r="M107" s="14">
        <v>0.82482923907898043</v>
      </c>
      <c r="N107" s="7">
        <v>93.149055329892391</v>
      </c>
      <c r="O107" s="7">
        <v>0.90648378358802528</v>
      </c>
      <c r="P107" s="7">
        <v>10.88357311211095</v>
      </c>
      <c r="Q107" s="99">
        <v>5.5541487685940527E-2</v>
      </c>
      <c r="R107" s="99">
        <v>-0.23386475536816201</v>
      </c>
      <c r="S107" s="99">
        <v>7.4106978913522949E-3</v>
      </c>
      <c r="U107" s="117">
        <f>C107*S107</f>
        <v>0.36207992633199315</v>
      </c>
      <c r="V107" s="117">
        <f>(1+S107)*Q107*(1-U107)+S107</f>
        <v>4.310429646628694E-2</v>
      </c>
      <c r="W107" s="117">
        <f>V107+I107/3</f>
        <v>-0.13474549604282413</v>
      </c>
      <c r="X107" s="117">
        <f>V107+I107/5</f>
        <v>-6.360557903917971E-2</v>
      </c>
      <c r="Y107" s="117"/>
      <c r="AA107" s="36"/>
    </row>
    <row r="108" spans="1:27" x14ac:dyDescent="0.2">
      <c r="A108" t="s">
        <v>274</v>
      </c>
      <c r="B108" t="s">
        <v>32</v>
      </c>
      <c r="C108" s="144">
        <v>-17.28461101222041</v>
      </c>
      <c r="D108" s="90">
        <v>12.61471063147631</v>
      </c>
      <c r="E108" s="12">
        <v>1.729823229609134</v>
      </c>
      <c r="F108" s="90">
        <v>-8.942353606993434</v>
      </c>
      <c r="G108" s="90">
        <v>-0.48264073743568248</v>
      </c>
      <c r="H108" s="12">
        <v>-2.1844224384357411</v>
      </c>
      <c r="I108" s="12">
        <v>-3.55122835496929</v>
      </c>
      <c r="J108" s="12">
        <v>3.3972495280541009</v>
      </c>
      <c r="K108" s="90">
        <v>-0.70888297545885937</v>
      </c>
      <c r="L108" s="7">
        <v>12.61471063147631</v>
      </c>
      <c r="M108" s="14">
        <v>1.729823229609134</v>
      </c>
      <c r="N108" s="7">
        <v>-8.942353606993434</v>
      </c>
      <c r="O108" s="7">
        <v>-0.48264073743568248</v>
      </c>
      <c r="P108" s="7">
        <v>-0.70888297545885937</v>
      </c>
      <c r="S108" s="99">
        <v>7.3831308794795082E-3</v>
      </c>
      <c r="U108" s="117">
        <f>C108*S108</f>
        <v>-0.12761454530411606</v>
      </c>
      <c r="V108" s="117">
        <f>(1+S108)*R107*(1-U108)+S108</f>
        <v>-0.25827316918211307</v>
      </c>
      <c r="W108" s="117">
        <f>V108+I108/3</f>
        <v>-1.4420159541718762</v>
      </c>
      <c r="X108" s="117">
        <f>V108+I108/5</f>
        <v>-0.96851884017597112</v>
      </c>
      <c r="Y108" s="117"/>
      <c r="AA108" s="117"/>
    </row>
    <row r="109" spans="1:27" x14ac:dyDescent="0.2">
      <c r="B109" t="s">
        <v>34</v>
      </c>
      <c r="C109" s="146">
        <v>2.713706328949395</v>
      </c>
      <c r="D109" s="90">
        <v>1.2371222115996789</v>
      </c>
      <c r="E109" s="12">
        <v>0.54412082162234987</v>
      </c>
      <c r="F109" s="90">
        <v>7.2394876439518434</v>
      </c>
      <c r="G109" s="90">
        <v>1.6677491100352759</v>
      </c>
      <c r="H109" s="12">
        <v>-0.34020619072103891</v>
      </c>
      <c r="I109" s="12">
        <v>-0.13336538392561259</v>
      </c>
      <c r="J109" s="12">
        <v>0.33003440944972318</v>
      </c>
      <c r="K109" s="90">
        <v>5.8518775073892808</v>
      </c>
      <c r="L109" s="7">
        <v>1.2371222115996789</v>
      </c>
      <c r="M109" s="14">
        <v>0.54412082162234987</v>
      </c>
      <c r="N109" s="7">
        <v>7.2394876439518434</v>
      </c>
      <c r="O109" s="7">
        <v>1.6677491100352759</v>
      </c>
      <c r="P109" s="7">
        <v>5.8518775073892808</v>
      </c>
      <c r="W109" s="117">
        <f>V107+I109/3</f>
        <v>-1.3508315089172593E-3</v>
      </c>
      <c r="X109" s="117">
        <f>V107+I109/5</f>
        <v>1.643121968116442E-2</v>
      </c>
      <c r="Y109" s="117"/>
      <c r="AA109" s="117"/>
    </row>
    <row r="110" spans="1:27" x14ac:dyDescent="0.2">
      <c r="B110" t="s">
        <v>35</v>
      </c>
      <c r="C110" s="144">
        <v>4.0422613260067664</v>
      </c>
      <c r="D110" s="90">
        <v>1.0803167508376881</v>
      </c>
      <c r="E110" s="12">
        <v>0.73274445571164937</v>
      </c>
      <c r="F110" s="90">
        <v>6.3395991056234626</v>
      </c>
      <c r="G110" s="90">
        <v>0.56832985161950678</v>
      </c>
      <c r="H110" s="12">
        <v>-0.51956929511338545</v>
      </c>
      <c r="I110" s="12">
        <v>-0.35965434990762729</v>
      </c>
      <c r="J110" s="12">
        <v>-6.8249268275748509E-2</v>
      </c>
      <c r="K110" s="90">
        <v>5.8682780774320831</v>
      </c>
      <c r="L110" s="7">
        <v>1.0803167508376881</v>
      </c>
      <c r="M110" s="14">
        <v>0.73274445571164937</v>
      </c>
      <c r="N110" s="7">
        <v>6.3395991056234626</v>
      </c>
      <c r="O110" s="7">
        <v>0.56832985161950678</v>
      </c>
      <c r="P110" s="7">
        <v>5.8682780774320831</v>
      </c>
      <c r="W110" s="117">
        <f>V108+I110/3</f>
        <v>-0.3781579524846555</v>
      </c>
      <c r="X110" s="117">
        <f>V108+I110/5</f>
        <v>-0.3302040391636385</v>
      </c>
      <c r="Y110" s="117"/>
      <c r="AA110" s="117"/>
    </row>
    <row r="111" spans="1:27" x14ac:dyDescent="0.2">
      <c r="C111" s="101"/>
      <c r="D111" s="90"/>
      <c r="F111" s="90"/>
      <c r="G111" s="90"/>
      <c r="K111" s="90"/>
      <c r="L111" s="7"/>
      <c r="N111" s="7"/>
      <c r="O111" s="7"/>
      <c r="P111" s="7"/>
      <c r="AA111" s="117"/>
    </row>
    <row r="112" spans="1:27" x14ac:dyDescent="0.2">
      <c r="A112" t="s">
        <v>275</v>
      </c>
      <c r="B112" t="s">
        <v>30</v>
      </c>
      <c r="C112" s="146">
        <v>125.24844179151511</v>
      </c>
      <c r="D112" s="90">
        <v>36.827745060841004</v>
      </c>
      <c r="E112" s="12">
        <v>0.70596244924033946</v>
      </c>
      <c r="F112" s="90">
        <v>-129.35204102689039</v>
      </c>
      <c r="G112" s="90">
        <v>-2.0327636749541851</v>
      </c>
      <c r="H112" s="12">
        <v>-0.47514081334738628</v>
      </c>
      <c r="I112" s="12">
        <v>-0.29049456011536201</v>
      </c>
      <c r="J112" s="12">
        <v>0.46137917341042639</v>
      </c>
      <c r="K112" s="90">
        <v>-3.5123530048661791</v>
      </c>
      <c r="L112" s="7">
        <v>51.41295042725902</v>
      </c>
      <c r="M112" s="14">
        <v>0.58951225506789506</v>
      </c>
      <c r="N112" s="7">
        <v>-129.35204102689039</v>
      </c>
      <c r="O112" s="7">
        <v>-2.0327636749541851</v>
      </c>
      <c r="P112" s="7">
        <v>-2.5159427722379522</v>
      </c>
      <c r="Q112" s="99">
        <v>2.9797214052042581E-2</v>
      </c>
      <c r="R112" s="99">
        <v>-1.9899439149470441E-2</v>
      </c>
      <c r="S112" s="99">
        <v>6.1217485382337213E-3</v>
      </c>
      <c r="U112" s="117">
        <f>C112*S112</f>
        <v>0.76673946545325888</v>
      </c>
      <c r="V112" s="117">
        <f>(1+S112)*Q112*(1-U112)+S112</f>
        <v>1.3114811915412481E-2</v>
      </c>
      <c r="W112" s="117">
        <f>V112+I112/3</f>
        <v>-8.3716708123041522E-2</v>
      </c>
      <c r="X112" s="117">
        <f>V112+I112/5</f>
        <v>-4.4984100107659922E-2</v>
      </c>
      <c r="Y112" s="117"/>
      <c r="AA112" s="117"/>
    </row>
    <row r="113" spans="1:27" x14ac:dyDescent="0.2">
      <c r="A113" t="s">
        <v>276</v>
      </c>
      <c r="B113" t="s">
        <v>32</v>
      </c>
      <c r="C113" s="145">
        <v>-157.04863483696519</v>
      </c>
      <c r="D113" s="90">
        <v>36.386183940370707</v>
      </c>
      <c r="E113" s="12">
        <v>1.231687362186521</v>
      </c>
      <c r="F113" s="90">
        <v>-7.0376648376250008</v>
      </c>
      <c r="G113" s="90">
        <v>-0.95518799100080742</v>
      </c>
      <c r="H113" s="12">
        <v>-1.478053936435469</v>
      </c>
      <c r="I113" s="12">
        <v>-1.8606514139960191</v>
      </c>
      <c r="J113" s="12">
        <v>-0.84954938390685797</v>
      </c>
      <c r="K113" s="90">
        <v>-0.19341585391747179</v>
      </c>
      <c r="L113" s="7">
        <v>51.973649686169082</v>
      </c>
      <c r="M113" s="14">
        <v>1.3309398374594199</v>
      </c>
      <c r="N113" s="7">
        <v>-7.0376648376250008</v>
      </c>
      <c r="O113" s="7">
        <v>-0.95518799100080742</v>
      </c>
      <c r="P113" s="7">
        <v>-0.13540832479766801</v>
      </c>
      <c r="S113" s="99">
        <v>4.6719385540195469E-3</v>
      </c>
      <c r="U113" s="117">
        <f>C113*S113</f>
        <v>-0.733721571950955</v>
      </c>
      <c r="V113" s="117">
        <f>(1+S113)*R112*(1-U113)+S113</f>
        <v>-2.998933065535607E-2</v>
      </c>
      <c r="W113" s="117">
        <f>V113+I113/3</f>
        <v>-0.65020646865402909</v>
      </c>
      <c r="X113" s="117">
        <f>V113+I113/5</f>
        <v>-0.40211961345455988</v>
      </c>
      <c r="Y113" s="117"/>
      <c r="AA113" s="117"/>
    </row>
    <row r="114" spans="1:27" x14ac:dyDescent="0.2">
      <c r="B114" t="s">
        <v>34</v>
      </c>
      <c r="C114" s="143">
        <v>3.7320546297465702</v>
      </c>
      <c r="D114" s="90">
        <v>2.4668094402186811</v>
      </c>
      <c r="E114" s="12">
        <v>0.33902107955311661</v>
      </c>
      <c r="F114" s="90">
        <v>21.795014276980901</v>
      </c>
      <c r="G114" s="90">
        <v>4.8399504935598747</v>
      </c>
      <c r="H114" s="12">
        <v>-9.7131261349567843E-3</v>
      </c>
      <c r="I114" s="12">
        <v>0.24554027401411099</v>
      </c>
      <c r="J114" s="12">
        <v>0.86792437741330053</v>
      </c>
      <c r="K114" s="90">
        <v>8.8353052009760358</v>
      </c>
      <c r="L114" s="7">
        <v>2.4668094402186811</v>
      </c>
      <c r="M114" s="14">
        <v>0.33902107955311661</v>
      </c>
      <c r="N114" s="7">
        <v>6.5199705336732654</v>
      </c>
      <c r="O114" s="7">
        <v>0.74701904996391</v>
      </c>
      <c r="P114" s="7">
        <v>2.6430783129706499</v>
      </c>
      <c r="W114" s="117">
        <f>V112+I114/3</f>
        <v>9.4961569920116146E-2</v>
      </c>
      <c r="X114" s="117">
        <f>V112+I114/5</f>
        <v>6.2222866718234675E-2</v>
      </c>
      <c r="Y114" s="117"/>
      <c r="AA114" s="117"/>
    </row>
    <row r="115" spans="1:27" x14ac:dyDescent="0.2">
      <c r="B115" t="s">
        <v>35</v>
      </c>
      <c r="C115" s="143">
        <v>3.1251797524455931</v>
      </c>
      <c r="D115" s="90">
        <v>2.1550529130159859</v>
      </c>
      <c r="E115" s="12">
        <v>0.31042273285894662</v>
      </c>
      <c r="F115" s="90">
        <v>18.436984807662689</v>
      </c>
      <c r="G115" s="90">
        <v>4.8994957948370557</v>
      </c>
      <c r="H115" s="12">
        <v>-1.8733357027959419E-2</v>
      </c>
      <c r="I115" s="12">
        <v>0.30614859958191781</v>
      </c>
      <c r="J115" s="12">
        <v>1.118627420902107</v>
      </c>
      <c r="K115" s="90">
        <v>8.5552353245286294</v>
      </c>
      <c r="L115" s="7">
        <v>2.1550529130159859</v>
      </c>
      <c r="M115" s="14">
        <v>0.31042273285894662</v>
      </c>
      <c r="N115" s="7">
        <v>5.7301040262777141</v>
      </c>
      <c r="O115" s="7">
        <v>0.83352782245362089</v>
      </c>
      <c r="P115" s="7">
        <v>2.6589157007093909</v>
      </c>
      <c r="W115" s="117">
        <f>V113+I115/3</f>
        <v>7.206020253861653E-2</v>
      </c>
      <c r="X115" s="117">
        <f>V113+I115/5</f>
        <v>3.1240389261027492E-2</v>
      </c>
      <c r="Y115" s="117"/>
      <c r="AA115" s="117"/>
    </row>
    <row r="116" spans="1:27" x14ac:dyDescent="0.2">
      <c r="C116" s="101"/>
      <c r="D116" s="90"/>
      <c r="F116" s="90"/>
      <c r="G116" s="90"/>
      <c r="K116" s="90"/>
      <c r="L116" s="7"/>
      <c r="N116" s="7"/>
      <c r="O116" s="7"/>
      <c r="P116" s="7"/>
      <c r="AA116" s="117"/>
    </row>
    <row r="117" spans="1:27" x14ac:dyDescent="0.2">
      <c r="A117" t="s">
        <v>277</v>
      </c>
      <c r="B117" t="s">
        <v>30</v>
      </c>
      <c r="C117" s="145">
        <v>38.981887206857337</v>
      </c>
      <c r="D117" s="90">
        <v>25.51652791712845</v>
      </c>
      <c r="E117" s="12">
        <v>0.34542604923858539</v>
      </c>
      <c r="F117" s="90">
        <v>112.36988584144881</v>
      </c>
      <c r="G117" s="90">
        <v>1.8826179000815979</v>
      </c>
      <c r="H117" s="12">
        <v>3.6881484111913172E-2</v>
      </c>
      <c r="I117" s="12">
        <v>0.3158831382782108</v>
      </c>
      <c r="J117" s="12">
        <v>0.60813843721015415</v>
      </c>
      <c r="K117" s="90">
        <v>4.4038078458949901</v>
      </c>
      <c r="L117" s="7">
        <v>25.51652791712845</v>
      </c>
      <c r="M117" s="14">
        <v>0.34542604923858539</v>
      </c>
      <c r="N117" s="7">
        <v>89.114711792987734</v>
      </c>
      <c r="O117" s="7">
        <v>1.286054323642686</v>
      </c>
      <c r="P117" s="7">
        <v>3.492430948380238</v>
      </c>
      <c r="Q117" s="99">
        <v>7.5862798739469064E-2</v>
      </c>
      <c r="R117" s="99">
        <v>2.4653947957263139E-2</v>
      </c>
      <c r="S117" s="99">
        <v>1.107047063433346E-2</v>
      </c>
      <c r="U117" s="117">
        <f>C117*S117</f>
        <v>0.43154783759441334</v>
      </c>
      <c r="V117" s="117">
        <f>(1+S117)*Q117*(1-U117)+S117</f>
        <v>5.4672249717659306E-2</v>
      </c>
      <c r="W117" s="117">
        <f>V117+I117/3</f>
        <v>0.15996662914372958</v>
      </c>
      <c r="X117" s="117">
        <f>V117+I117/5</f>
        <v>0.11784887737330146</v>
      </c>
      <c r="Y117" s="117"/>
      <c r="AA117" s="117"/>
    </row>
    <row r="118" spans="1:27" x14ac:dyDescent="0.2">
      <c r="A118" t="s">
        <v>278</v>
      </c>
      <c r="B118" t="s">
        <v>32</v>
      </c>
      <c r="C118" s="143">
        <v>111.66339686769101</v>
      </c>
      <c r="D118" s="90">
        <v>50.790713995243088</v>
      </c>
      <c r="E118" s="12">
        <v>0.54514446613670065</v>
      </c>
      <c r="F118" s="90">
        <v>-19.663090313015651</v>
      </c>
      <c r="G118" s="90">
        <v>-1.176092532240572</v>
      </c>
      <c r="H118" s="12">
        <v>-0.26866819532004971</v>
      </c>
      <c r="I118" s="12">
        <v>0.25847970839657569</v>
      </c>
      <c r="J118" s="12">
        <v>91.276261905421705</v>
      </c>
      <c r="K118" s="90">
        <v>-0.38713947425226658</v>
      </c>
      <c r="L118" s="7">
        <v>54.137771326118397</v>
      </c>
      <c r="M118" s="14">
        <v>0.51516994069000288</v>
      </c>
      <c r="N118" s="7">
        <v>-19.663090313015651</v>
      </c>
      <c r="O118" s="7">
        <v>-1.176092532240572</v>
      </c>
      <c r="P118" s="7">
        <v>-0.36320465049379169</v>
      </c>
      <c r="S118" s="99">
        <v>6.6557246261456388E-3</v>
      </c>
      <c r="U118" s="117">
        <f>C118*S118</f>
        <v>0.74320082037136481</v>
      </c>
      <c r="V118" s="117">
        <f>(1+S118)*R117*(1-U118)+S118</f>
        <v>1.3028976384943096E-2</v>
      </c>
      <c r="W118" s="117">
        <f>V118+I118/3</f>
        <v>9.9188879183801648E-2</v>
      </c>
      <c r="X118" s="117">
        <f>V118+I118/5</f>
        <v>6.472491806425823E-2</v>
      </c>
      <c r="Y118" s="117"/>
      <c r="AA118" s="117"/>
    </row>
    <row r="119" spans="1:27" x14ac:dyDescent="0.2">
      <c r="B119" t="s">
        <v>34</v>
      </c>
      <c r="C119" s="145">
        <v>2.9572750636585021</v>
      </c>
      <c r="D119" s="90">
        <v>2.367916594132442</v>
      </c>
      <c r="E119" s="12">
        <v>0.19929105573187811</v>
      </c>
      <c r="F119" s="90">
        <v>8.1500731980842076</v>
      </c>
      <c r="G119" s="90">
        <v>1.755940189074463</v>
      </c>
      <c r="H119" s="12">
        <v>9.1897531598276405E-2</v>
      </c>
      <c r="I119" s="12">
        <v>0.30708684980886441</v>
      </c>
      <c r="J119" s="12">
        <v>0.4523876664297104</v>
      </c>
      <c r="K119" s="90">
        <v>3.441875114300736</v>
      </c>
      <c r="L119" s="7">
        <v>2.367916594132442</v>
      </c>
      <c r="M119" s="14">
        <v>0.19929105573187811</v>
      </c>
      <c r="N119" s="7">
        <v>4.864747647437687</v>
      </c>
      <c r="O119" s="7">
        <v>0.64501020118818908</v>
      </c>
      <c r="P119" s="7">
        <v>2.0544421452564019</v>
      </c>
      <c r="W119" s="117">
        <f>V117+I119/3</f>
        <v>0.15703453298728079</v>
      </c>
      <c r="X119" s="117">
        <f>V117+I119/5</f>
        <v>0.11608961967943218</v>
      </c>
      <c r="Y119" s="117"/>
      <c r="AA119" s="117"/>
    </row>
    <row r="120" spans="1:27" x14ac:dyDescent="0.2">
      <c r="B120" t="s">
        <v>35</v>
      </c>
      <c r="C120" s="145">
        <v>2.7529435751072748</v>
      </c>
      <c r="D120" s="90">
        <v>2.054654604830997</v>
      </c>
      <c r="E120" s="12">
        <v>0.25365175537572271</v>
      </c>
      <c r="F120" s="90">
        <v>8.7822543929415318</v>
      </c>
      <c r="G120" s="90">
        <v>2.190132363173956</v>
      </c>
      <c r="H120" s="12">
        <v>4.7499994487843367E-2</v>
      </c>
      <c r="I120" s="12">
        <v>0.22990147428905619</v>
      </c>
      <c r="J120" s="12">
        <v>0.60501539562103246</v>
      </c>
      <c r="K120" s="90">
        <v>4.2743215196813598</v>
      </c>
      <c r="L120" s="7">
        <v>2.054654604830997</v>
      </c>
      <c r="M120" s="14">
        <v>0.25365175537572271</v>
      </c>
      <c r="N120" s="7">
        <v>3.863985811055128</v>
      </c>
      <c r="O120" s="7">
        <v>0.40358336654413951</v>
      </c>
      <c r="P120" s="7">
        <v>1.88060114920043</v>
      </c>
      <c r="W120" s="117">
        <f>V118+I120/3</f>
        <v>8.9662801147961824E-2</v>
      </c>
      <c r="X120" s="117">
        <f>V118+I120/5</f>
        <v>5.9009271242754333E-2</v>
      </c>
      <c r="Y120" s="117"/>
      <c r="AA120" s="117"/>
    </row>
    <row r="121" spans="1:27" x14ac:dyDescent="0.2">
      <c r="C121" s="101"/>
      <c r="D121" s="90"/>
      <c r="F121" s="90"/>
      <c r="G121" s="90"/>
      <c r="K121" s="90"/>
      <c r="L121" s="7"/>
      <c r="N121" s="7"/>
      <c r="O121" s="7"/>
      <c r="P121" s="7"/>
      <c r="AA121" s="117"/>
    </row>
    <row r="122" spans="1:27" x14ac:dyDescent="0.2">
      <c r="A122" t="s">
        <v>279</v>
      </c>
      <c r="B122" t="s">
        <v>30</v>
      </c>
      <c r="C122" s="145">
        <v>44.700597980783797</v>
      </c>
      <c r="D122" s="90">
        <v>29.238044209060611</v>
      </c>
      <c r="E122" s="12">
        <v>0.34591380138517019</v>
      </c>
      <c r="F122" s="90">
        <v>168.89337190974061</v>
      </c>
      <c r="G122" s="90">
        <v>2.778324665418249</v>
      </c>
      <c r="H122" s="12">
        <v>0.13174029308258151</v>
      </c>
      <c r="I122" s="12">
        <v>0.92679091971672833</v>
      </c>
      <c r="J122" s="12">
        <v>1.3739711027039201</v>
      </c>
      <c r="K122" s="90">
        <v>5.776493485751077</v>
      </c>
      <c r="L122" s="7">
        <v>29.238044209060611</v>
      </c>
      <c r="M122" s="14">
        <v>0.34591380138517019</v>
      </c>
      <c r="N122" s="7">
        <v>146.04235302971051</v>
      </c>
      <c r="O122" s="7">
        <v>2.267123028029562</v>
      </c>
      <c r="P122" s="7">
        <v>4.994942616047255</v>
      </c>
      <c r="Q122" s="99">
        <v>0.1012140009522406</v>
      </c>
      <c r="R122" s="99">
        <v>6.0392752792429692E-2</v>
      </c>
      <c r="S122" s="99">
        <v>3.0172577346271119E-3</v>
      </c>
      <c r="U122" s="117">
        <f>C122*S122</f>
        <v>0.13487322499997698</v>
      </c>
      <c r="V122" s="117">
        <f>(1+S122)*Q122*(1-U122)+S122</f>
        <v>9.0844399927994424E-2</v>
      </c>
      <c r="W122" s="117">
        <f>V122+I122/3</f>
        <v>0.39977470650023722</v>
      </c>
      <c r="X122" s="117">
        <f>V122+I122/5</f>
        <v>0.27620258387134011</v>
      </c>
      <c r="Y122" s="117"/>
      <c r="AA122" s="117"/>
    </row>
    <row r="123" spans="1:27" x14ac:dyDescent="0.2">
      <c r="A123" t="s">
        <v>280</v>
      </c>
      <c r="B123" t="s">
        <v>32</v>
      </c>
      <c r="C123" s="145">
        <v>67.856307863979183</v>
      </c>
      <c r="D123" s="90">
        <v>36.420869274349833</v>
      </c>
      <c r="E123" s="12">
        <v>0.46326479555361322</v>
      </c>
      <c r="F123" s="90">
        <v>-267.92396449367368</v>
      </c>
      <c r="G123" s="90">
        <v>-4.9484017466841639</v>
      </c>
      <c r="H123" s="12">
        <v>3.1427128882618227E-2</v>
      </c>
      <c r="I123" s="12">
        <v>0.44493766135691182</v>
      </c>
      <c r="J123" s="12">
        <v>0.8539596753267602</v>
      </c>
      <c r="K123" s="90">
        <v>-7.3563308573297794</v>
      </c>
      <c r="L123" s="7">
        <v>36.420869274349833</v>
      </c>
      <c r="M123" s="14">
        <v>0.46326479555361322</v>
      </c>
      <c r="N123" s="7">
        <v>-267.92396449367368</v>
      </c>
      <c r="O123" s="7">
        <v>-4.9484017466841639</v>
      </c>
      <c r="P123" s="7">
        <v>-7.3563308573297794</v>
      </c>
      <c r="S123" s="99">
        <v>3.9999301471298774E-3</v>
      </c>
      <c r="U123" s="117">
        <f>C123*S123</f>
        <v>0.27142049149805653</v>
      </c>
      <c r="V123" s="117">
        <f>(1+S123)*R122*(1-U123)+S123</f>
        <v>4.8176852908713326E-2</v>
      </c>
      <c r="W123" s="117">
        <f>V123+I123/3</f>
        <v>0.19648940669435058</v>
      </c>
      <c r="X123" s="117">
        <f>V123+I123/5</f>
        <v>0.13716438518009569</v>
      </c>
      <c r="Y123" s="117"/>
      <c r="AA123" s="117"/>
    </row>
    <row r="124" spans="1:27" x14ac:dyDescent="0.2">
      <c r="B124" t="s">
        <v>34</v>
      </c>
      <c r="C124" s="146">
        <v>4.5243263665927751</v>
      </c>
      <c r="D124" s="90">
        <v>2.1158007480031511</v>
      </c>
      <c r="E124" s="12">
        <v>0.53235010550387429</v>
      </c>
      <c r="F124" s="90">
        <v>9.79871011384129</v>
      </c>
      <c r="G124" s="90">
        <v>1.1657832171865621</v>
      </c>
      <c r="H124" s="12">
        <v>-0.2476919446321135</v>
      </c>
      <c r="I124" s="12">
        <v>-2.178354948538741E-2</v>
      </c>
      <c r="J124" s="12">
        <v>0.42406808455705458</v>
      </c>
      <c r="K124" s="90">
        <v>4.631206470216588</v>
      </c>
      <c r="L124" s="7">
        <v>2.6455813305765892</v>
      </c>
      <c r="M124" s="14">
        <v>0.4152540917226204</v>
      </c>
      <c r="N124" s="7">
        <v>9.79871011384129</v>
      </c>
      <c r="O124" s="7">
        <v>1.1657832171865621</v>
      </c>
      <c r="P124" s="7">
        <v>3.7038022609971009</v>
      </c>
      <c r="W124" s="117">
        <f>V122+I124/3</f>
        <v>8.358321676619862E-2</v>
      </c>
      <c r="X124" s="117">
        <f>V122+I124/5</f>
        <v>8.6487690030916942E-2</v>
      </c>
      <c r="Y124" s="117"/>
      <c r="AA124" s="117"/>
    </row>
    <row r="125" spans="1:27" x14ac:dyDescent="0.2">
      <c r="B125" t="s">
        <v>35</v>
      </c>
      <c r="C125" s="146">
        <v>4.0980292262362976</v>
      </c>
      <c r="D125" s="90">
        <v>1.8842831462801779</v>
      </c>
      <c r="E125" s="12">
        <v>0.54019772865047699</v>
      </c>
      <c r="F125" s="90">
        <v>7.8339335054218973</v>
      </c>
      <c r="G125" s="90">
        <v>0.9116343668970659</v>
      </c>
      <c r="H125" s="12">
        <v>-0.25559000000153032</v>
      </c>
      <c r="I125" s="12">
        <v>-5.5742883322462911E-2</v>
      </c>
      <c r="J125" s="12">
        <v>0.1689459005792924</v>
      </c>
      <c r="K125" s="90">
        <v>4.1575139707039837</v>
      </c>
      <c r="L125" s="7">
        <v>2.378571931465407</v>
      </c>
      <c r="M125" s="14">
        <v>0.41958151097669721</v>
      </c>
      <c r="N125" s="7">
        <v>6.5431633646776151</v>
      </c>
      <c r="O125" s="7">
        <v>0.59666098103623622</v>
      </c>
      <c r="P125" s="7">
        <v>2.7508789110474621</v>
      </c>
      <c r="W125" s="117">
        <f>V123+I125/3</f>
        <v>2.9595891801225689E-2</v>
      </c>
      <c r="X125" s="117">
        <f>V123+I125/5</f>
        <v>3.702827624422074E-2</v>
      </c>
      <c r="Y125" s="117"/>
      <c r="AA125" s="117"/>
    </row>
    <row r="126" spans="1:27" x14ac:dyDescent="0.2">
      <c r="C126" s="101"/>
      <c r="D126" s="90"/>
      <c r="F126" s="90"/>
      <c r="G126" s="90"/>
      <c r="K126" s="90"/>
      <c r="L126" s="7"/>
      <c r="N126" s="7"/>
      <c r="O126" s="7"/>
      <c r="P126" s="7"/>
      <c r="AA126" s="117"/>
    </row>
    <row r="127" spans="1:27" x14ac:dyDescent="0.2">
      <c r="A127" t="s">
        <v>281</v>
      </c>
      <c r="B127" t="s">
        <v>30</v>
      </c>
      <c r="C127" s="145">
        <v>14.65737865125471</v>
      </c>
      <c r="D127" s="90">
        <v>11.50906623205432</v>
      </c>
      <c r="E127" s="12">
        <v>0.2147936881558887</v>
      </c>
      <c r="F127" s="90">
        <v>-301.38816640248342</v>
      </c>
      <c r="G127" s="90">
        <v>-21.56221467517889</v>
      </c>
      <c r="H127" s="12">
        <v>0.73710008418692508</v>
      </c>
      <c r="I127" s="12">
        <v>2.0820545565105282</v>
      </c>
      <c r="J127" s="12">
        <v>4.8228700462294301</v>
      </c>
      <c r="K127" s="90">
        <v>-26.187021633699189</v>
      </c>
      <c r="L127" s="7">
        <v>11.50906623205432</v>
      </c>
      <c r="M127" s="14">
        <v>0.2147936881558887</v>
      </c>
      <c r="N127" s="7">
        <v>-301.38816640248342</v>
      </c>
      <c r="O127" s="7">
        <v>-21.56221467517889</v>
      </c>
      <c r="P127" s="7">
        <v>-26.187021633699189</v>
      </c>
      <c r="Q127" s="99">
        <v>8.637944168516283E-2</v>
      </c>
      <c r="R127" s="99">
        <v>-6.643429238179821E-2</v>
      </c>
      <c r="S127" s="99">
        <v>4.9621090082999322E-2</v>
      </c>
      <c r="U127" s="117">
        <f>C127*S127</f>
        <v>0.72731510643454111</v>
      </c>
      <c r="V127" s="117">
        <f>(1+S127)*Q127*(1-U127)+S127</f>
        <v>7.4344252404319272E-2</v>
      </c>
      <c r="W127" s="117">
        <f>V127+I127/3</f>
        <v>0.76836243790782865</v>
      </c>
      <c r="X127" s="117">
        <f>V127+I127/5</f>
        <v>0.49075516370642491</v>
      </c>
      <c r="Y127" s="117"/>
      <c r="AA127" s="117"/>
    </row>
    <row r="128" spans="1:27" x14ac:dyDescent="0.2">
      <c r="A128" t="s">
        <v>282</v>
      </c>
      <c r="B128" t="s">
        <v>32</v>
      </c>
      <c r="C128" s="144">
        <v>-32.199721570486822</v>
      </c>
      <c r="D128" s="90">
        <v>34.694478705650752</v>
      </c>
      <c r="E128" s="12">
        <v>2.0774775996029282</v>
      </c>
      <c r="F128" s="90">
        <v>-9.1042038945442183</v>
      </c>
      <c r="G128" s="90">
        <v>-0.71725830378332134</v>
      </c>
      <c r="H128" s="12">
        <v>-2.88680428702208</v>
      </c>
      <c r="I128" s="12">
        <v>-4.1634981132614719</v>
      </c>
      <c r="J128" s="12">
        <v>0.18274236511763539</v>
      </c>
      <c r="K128" s="90">
        <v>-0.2624107418296906</v>
      </c>
      <c r="L128" s="7">
        <v>53.347730019415799</v>
      </c>
      <c r="M128" s="14">
        <v>2.656776127788401</v>
      </c>
      <c r="N128" s="7">
        <v>-9.1042038945442183</v>
      </c>
      <c r="O128" s="7">
        <v>-0.71725830378332134</v>
      </c>
      <c r="P128" s="7">
        <v>-0.1706577560325577</v>
      </c>
      <c r="S128" s="99">
        <v>1.3058321305978929E-2</v>
      </c>
      <c r="U128" s="117">
        <f>C128*S128</f>
        <v>-0.42047431023047738</v>
      </c>
      <c r="V128" s="117">
        <f>(1+S128)*R127*(1-U128)+S128</f>
        <v>-8.2542174691108847E-2</v>
      </c>
      <c r="W128" s="117">
        <f>V128+I128/3</f>
        <v>-1.4703748791115994</v>
      </c>
      <c r="X128" s="117">
        <f>V128+I128/5</f>
        <v>-0.91524179734340316</v>
      </c>
      <c r="Y128" s="117"/>
      <c r="AA128" s="117"/>
    </row>
    <row r="129" spans="1:27" x14ac:dyDescent="0.2">
      <c r="B129" t="s">
        <v>34</v>
      </c>
      <c r="C129" s="143">
        <v>1.2660961844634071</v>
      </c>
      <c r="D129" s="90">
        <v>0.82860968099764853</v>
      </c>
      <c r="E129" s="12">
        <v>0.34553970609363499</v>
      </c>
      <c r="F129" s="90">
        <v>4.6336471025738586</v>
      </c>
      <c r="G129" s="90">
        <v>2.6597907484711971</v>
      </c>
      <c r="H129" s="12">
        <v>-9.6714429055285822E-2</v>
      </c>
      <c r="I129" s="12">
        <v>0.1221495896961062</v>
      </c>
      <c r="J129" s="12">
        <v>0.89780356772773162</v>
      </c>
      <c r="K129" s="90">
        <v>5.5920745422560518</v>
      </c>
      <c r="L129" s="7">
        <v>0.82860968099764853</v>
      </c>
      <c r="M129" s="14">
        <v>0.34553970609363499</v>
      </c>
      <c r="N129" s="7">
        <v>1.840889846607318</v>
      </c>
      <c r="O129" s="7">
        <v>0.45398893796328621</v>
      </c>
      <c r="P129" s="7">
        <v>2.2216610411682391</v>
      </c>
      <c r="W129" s="117">
        <f>V127+I129/3</f>
        <v>0.11506078230302133</v>
      </c>
      <c r="X129" s="117">
        <f>V127+I129/5</f>
        <v>9.877417034354051E-2</v>
      </c>
      <c r="Y129" s="117"/>
      <c r="AA129" s="117"/>
    </row>
    <row r="130" spans="1:27" x14ac:dyDescent="0.2">
      <c r="B130" t="s">
        <v>35</v>
      </c>
      <c r="C130" s="145">
        <v>2.139165717426216</v>
      </c>
      <c r="D130" s="90">
        <v>1.612125074930602</v>
      </c>
      <c r="E130" s="12">
        <v>0.2463767244408416</v>
      </c>
      <c r="F130" s="90">
        <v>9.3489640047401021</v>
      </c>
      <c r="G130" s="90">
        <v>3.3703785679533591</v>
      </c>
      <c r="H130" s="12">
        <v>0.29765580914666789</v>
      </c>
      <c r="I130" s="12">
        <v>0.58070458349754395</v>
      </c>
      <c r="J130" s="12">
        <v>0.9643595595694352</v>
      </c>
      <c r="K130" s="90">
        <v>5.7991555060593258</v>
      </c>
      <c r="L130" s="7">
        <v>1.612125074930602</v>
      </c>
      <c r="M130" s="14">
        <v>0.2463767244408416</v>
      </c>
      <c r="N130" s="7">
        <v>4.1234019398136477</v>
      </c>
      <c r="O130" s="7">
        <v>0.92757480461813402</v>
      </c>
      <c r="P130" s="7">
        <v>2.5577431949510192</v>
      </c>
      <c r="W130" s="117">
        <f>V128+I130/3</f>
        <v>0.11102601980807246</v>
      </c>
      <c r="X130" s="117">
        <f>V128+I130/5</f>
        <v>3.3598742008399948E-2</v>
      </c>
      <c r="Y130" s="117"/>
      <c r="AA130" s="117"/>
    </row>
    <row r="131" spans="1:27" x14ac:dyDescent="0.2">
      <c r="C131" s="101"/>
      <c r="D131" s="90"/>
      <c r="F131" s="90"/>
      <c r="G131" s="90"/>
      <c r="K131" s="90"/>
      <c r="L131" s="7"/>
      <c r="N131" s="7"/>
      <c r="O131" s="7"/>
      <c r="P131" s="7"/>
      <c r="AA131" s="117"/>
    </row>
    <row r="132" spans="1:27" x14ac:dyDescent="0.2">
      <c r="A132" t="s">
        <v>283</v>
      </c>
      <c r="B132" t="s">
        <v>30</v>
      </c>
      <c r="C132" s="145">
        <v>49.511341873137077</v>
      </c>
      <c r="D132" s="90">
        <v>41.226109933748077</v>
      </c>
      <c r="E132" s="12">
        <v>0.1673400805944274</v>
      </c>
      <c r="F132" s="90">
        <v>-127.28092552236519</v>
      </c>
      <c r="G132" s="90">
        <v>-3.570742797650226</v>
      </c>
      <c r="H132" s="12">
        <v>0.19659603561290331</v>
      </c>
      <c r="I132" s="12">
        <v>0.6090011295061315</v>
      </c>
      <c r="J132" s="12">
        <v>1.7015930659358871</v>
      </c>
      <c r="K132" s="90">
        <v>-3.0873862638728342</v>
      </c>
      <c r="L132" s="7">
        <v>43.295789655453127</v>
      </c>
      <c r="M132" s="14">
        <v>0.12553794711543201</v>
      </c>
      <c r="N132" s="7">
        <v>-127.28092552236519</v>
      </c>
      <c r="O132" s="7">
        <v>-3.570742797650226</v>
      </c>
      <c r="P132" s="7">
        <v>-2.9397991475675531</v>
      </c>
      <c r="Q132" s="99">
        <v>5.7486611050980727E-2</v>
      </c>
      <c r="R132" s="99">
        <v>-0.19171557250511839</v>
      </c>
      <c r="S132" s="99">
        <v>5.9317734264252523E-3</v>
      </c>
      <c r="U132" s="117">
        <f>C132*S132</f>
        <v>0.29369006202973041</v>
      </c>
      <c r="V132" s="117">
        <f>(1+S132)*Q132*(1-U132)+S132</f>
        <v>4.6775988071629589E-2</v>
      </c>
      <c r="W132" s="117">
        <f>V132+I132/3</f>
        <v>0.24977636457367342</v>
      </c>
      <c r="X132" s="117">
        <f>V132+I132/5</f>
        <v>0.16857621397285588</v>
      </c>
      <c r="Y132" s="117"/>
      <c r="AA132" s="117"/>
    </row>
    <row r="133" spans="1:27" x14ac:dyDescent="0.2">
      <c r="A133" t="s">
        <v>284</v>
      </c>
      <c r="B133" t="s">
        <v>32</v>
      </c>
      <c r="C133" s="144">
        <v>-17.270708688525119</v>
      </c>
      <c r="D133" s="90">
        <v>42.948781765624858</v>
      </c>
      <c r="E133" s="12">
        <v>3.4867990387771748</v>
      </c>
      <c r="F133" s="90">
        <v>-12.450877279340631</v>
      </c>
      <c r="G133" s="90">
        <v>-0.27907548532660059</v>
      </c>
      <c r="H133" s="12">
        <v>-6.2833963043447527</v>
      </c>
      <c r="I133" s="12">
        <v>-11.35866170721606</v>
      </c>
      <c r="J133" s="12">
        <v>0.34954082606889519</v>
      </c>
      <c r="K133" s="90">
        <v>-0.28990059246118138</v>
      </c>
      <c r="L133" s="7">
        <v>93.919688973520493</v>
      </c>
      <c r="M133" s="14">
        <v>6.4380912021243208</v>
      </c>
      <c r="N133" s="7">
        <v>-12.450877279340631</v>
      </c>
      <c r="O133" s="7">
        <v>-0.27907548532660059</v>
      </c>
      <c r="P133" s="7">
        <v>-0.13256940493969269</v>
      </c>
      <c r="S133" s="99">
        <v>3.282726704032657E-3</v>
      </c>
      <c r="U133" s="117">
        <f>C133*S133</f>
        <v>-5.6695016609390234E-2</v>
      </c>
      <c r="V133" s="117">
        <f>(1+S133)*R132*(1-U133)+S133</f>
        <v>-0.19996719419701697</v>
      </c>
      <c r="W133" s="117">
        <f>V133+I133/3</f>
        <v>-3.986187763269037</v>
      </c>
      <c r="X133" s="117">
        <f>V133+I133/5</f>
        <v>-2.4716995356402292</v>
      </c>
      <c r="Y133" s="117"/>
      <c r="AA133" s="117"/>
    </row>
    <row r="134" spans="1:27" x14ac:dyDescent="0.2">
      <c r="B134" t="s">
        <v>34</v>
      </c>
      <c r="C134" s="145">
        <v>2.846239252873167</v>
      </c>
      <c r="D134" s="90">
        <v>2.2854374239580348</v>
      </c>
      <c r="E134" s="12">
        <v>0.19703256792239979</v>
      </c>
      <c r="F134" s="90">
        <v>8.8126676902212289</v>
      </c>
      <c r="G134" s="90">
        <v>2.0962497904296642</v>
      </c>
      <c r="H134" s="12">
        <v>5.1141475991651308E-2</v>
      </c>
      <c r="I134" s="12">
        <v>0.28463214179957669</v>
      </c>
      <c r="J134" s="12">
        <v>0.54910797302507053</v>
      </c>
      <c r="K134" s="90">
        <v>3.8560091813666939</v>
      </c>
      <c r="L134" s="7">
        <v>2.3278242846763688</v>
      </c>
      <c r="M134" s="14">
        <v>0.18214033401214549</v>
      </c>
      <c r="N134" s="7">
        <v>5.0810696461487863</v>
      </c>
      <c r="O134" s="7">
        <v>0.78518711700699262</v>
      </c>
      <c r="P134" s="7">
        <v>2.1827548065360931</v>
      </c>
      <c r="W134" s="117">
        <f>V132+I134/3</f>
        <v>0.14165336867148848</v>
      </c>
      <c r="X134" s="117">
        <f>V132+I134/5</f>
        <v>0.10370241643154493</v>
      </c>
      <c r="Y134" s="117"/>
      <c r="AA134" s="117"/>
    </row>
    <row r="135" spans="1:27" x14ac:dyDescent="0.2">
      <c r="B135" t="s">
        <v>35</v>
      </c>
      <c r="C135" s="143">
        <v>3.3110638037897151</v>
      </c>
      <c r="D135" s="90">
        <v>2.1069204206256988</v>
      </c>
      <c r="E135" s="12">
        <v>0.36367266066748699</v>
      </c>
      <c r="F135" s="90">
        <v>9.4224728778382332</v>
      </c>
      <c r="G135" s="90">
        <v>1.8457539438091271</v>
      </c>
      <c r="H135" s="12">
        <v>-0.13879184844154591</v>
      </c>
      <c r="I135" s="12">
        <v>1.5877193014159911E-2</v>
      </c>
      <c r="J135" s="12">
        <v>0.39527833951041941</v>
      </c>
      <c r="K135" s="90">
        <v>4.4721541381425354</v>
      </c>
      <c r="L135" s="7">
        <v>2.1069204206256988</v>
      </c>
      <c r="M135" s="14">
        <v>0.36367266066748699</v>
      </c>
      <c r="N135" s="7">
        <v>3.8422683985830179</v>
      </c>
      <c r="O135" s="7">
        <v>0.16043321007142991</v>
      </c>
      <c r="P135" s="7">
        <v>1.8236419187782931</v>
      </c>
      <c r="W135" s="117">
        <f>V133+I135/3</f>
        <v>-0.19467479652563033</v>
      </c>
      <c r="X135" s="117">
        <f>V133+I135/5</f>
        <v>-0.19679175559418499</v>
      </c>
      <c r="Y135" s="117"/>
      <c r="AA135" s="117"/>
    </row>
    <row r="136" spans="1:27" x14ac:dyDescent="0.2">
      <c r="C136" s="101"/>
      <c r="D136" s="90"/>
      <c r="F136" s="90"/>
      <c r="G136" s="90"/>
      <c r="K136" s="90"/>
      <c r="L136" s="7"/>
      <c r="N136" s="7"/>
      <c r="O136" s="7"/>
      <c r="P136" s="7"/>
      <c r="AA136" s="117"/>
    </row>
    <row r="137" spans="1:27" x14ac:dyDescent="0.2">
      <c r="A137" t="s">
        <v>228</v>
      </c>
      <c r="B137" t="s">
        <v>30</v>
      </c>
      <c r="C137" s="144">
        <v>39.670679813344456</v>
      </c>
      <c r="D137" s="90">
        <v>10.44099953460197</v>
      </c>
      <c r="E137" s="12">
        <v>0.73680815192156546</v>
      </c>
      <c r="F137" s="90">
        <v>57.044551737137382</v>
      </c>
      <c r="G137" s="90">
        <v>0.4379524627644189</v>
      </c>
      <c r="H137" s="12">
        <v>-0.58822776192450887</v>
      </c>
      <c r="I137" s="12">
        <v>-0.49211396939531149</v>
      </c>
      <c r="J137" s="12">
        <v>-0.38349130630085682</v>
      </c>
      <c r="K137" s="90">
        <v>5.4635144411307568</v>
      </c>
      <c r="L137" s="7">
        <v>15.779029596544911</v>
      </c>
      <c r="M137" s="14">
        <v>0.60224957901434439</v>
      </c>
      <c r="N137" s="7">
        <v>57.044551737137382</v>
      </c>
      <c r="O137" s="7">
        <v>0.4379524627644189</v>
      </c>
      <c r="P137" s="7">
        <v>3.6152129247307001</v>
      </c>
      <c r="Q137" s="99">
        <v>4.4259834793733091E-2</v>
      </c>
      <c r="R137" s="99">
        <v>1.1439060718931309E-2</v>
      </c>
      <c r="S137" s="99">
        <v>1.814735271264032E-2</v>
      </c>
      <c r="U137" s="117">
        <f>C137*S137</f>
        <v>0.71991781892298212</v>
      </c>
      <c r="V137" s="117">
        <f>(1+S137)*Q137*(1-U137)+S137</f>
        <v>3.0768705456764141E-2</v>
      </c>
      <c r="W137" s="117">
        <f>V137+I137/3</f>
        <v>-0.13326928434167304</v>
      </c>
      <c r="X137" s="117">
        <f>V137+I137/5</f>
        <v>-6.765408842229817E-2</v>
      </c>
      <c r="Y137" s="117"/>
      <c r="AA137" s="117"/>
    </row>
    <row r="138" spans="1:27" x14ac:dyDescent="0.2">
      <c r="A138" t="s">
        <v>285</v>
      </c>
      <c r="B138" t="s">
        <v>32</v>
      </c>
      <c r="C138" s="144">
        <v>147.23960662060171</v>
      </c>
      <c r="D138" s="90">
        <v>15.70196708506923</v>
      </c>
      <c r="E138" s="12">
        <v>0.89335772184226814</v>
      </c>
      <c r="F138" s="90">
        <v>-42.592719465097289</v>
      </c>
      <c r="G138" s="90">
        <v>-1.2892748795155891</v>
      </c>
      <c r="H138" s="12">
        <v>-0.83867170035488692</v>
      </c>
      <c r="I138" s="12">
        <v>-0.76547610986138337</v>
      </c>
      <c r="J138" s="12">
        <v>-0.59370445860681176</v>
      </c>
      <c r="K138" s="90">
        <v>-2.712572204128366</v>
      </c>
      <c r="L138" s="7">
        <v>22.125191755175539</v>
      </c>
      <c r="M138" s="14">
        <v>0.84973342252817596</v>
      </c>
      <c r="N138" s="7">
        <v>-42.592719465097289</v>
      </c>
      <c r="O138" s="7">
        <v>-1.2892748795155891</v>
      </c>
      <c r="P138" s="7">
        <v>-1.9250779806296581</v>
      </c>
      <c r="S138" s="99">
        <v>1.383436914446233E-2</v>
      </c>
      <c r="U138" s="117">
        <f>C138*S138</f>
        <v>2.0369670706748235</v>
      </c>
      <c r="V138" s="117">
        <f>(1+S138)*R137*(1-U138)+S138</f>
        <v>1.8083375509867477E-3</v>
      </c>
      <c r="W138" s="117">
        <f>V138+I138/3</f>
        <v>-0.25335036573614106</v>
      </c>
      <c r="X138" s="117">
        <f>V138+I138/5</f>
        <v>-0.15128688442128993</v>
      </c>
      <c r="Y138" s="117"/>
      <c r="AA138" s="117"/>
    </row>
    <row r="139" spans="1:27" x14ac:dyDescent="0.2">
      <c r="B139" t="s">
        <v>34</v>
      </c>
      <c r="C139" s="146">
        <v>1.7558177346937081</v>
      </c>
      <c r="D139" s="90">
        <v>1.339841523160388</v>
      </c>
      <c r="E139" s="12">
        <v>0.23691309371919811</v>
      </c>
      <c r="F139" s="90">
        <v>3.8243930784200231</v>
      </c>
      <c r="G139" s="90">
        <v>1.17812646657608</v>
      </c>
      <c r="H139" s="12">
        <v>-0.13631239985750229</v>
      </c>
      <c r="I139" s="12">
        <v>-2.0402516197194132E-2</v>
      </c>
      <c r="J139" s="12">
        <v>0.1160113362550326</v>
      </c>
      <c r="K139" s="90">
        <v>2.8543622602463699</v>
      </c>
      <c r="L139" s="7">
        <v>1.339841523160388</v>
      </c>
      <c r="M139" s="14">
        <v>0.23691309371919811</v>
      </c>
      <c r="N139" s="7">
        <v>2.188396794012204</v>
      </c>
      <c r="O139" s="7">
        <v>0.24636899990872729</v>
      </c>
      <c r="P139" s="7">
        <v>1.633325103143739</v>
      </c>
      <c r="W139" s="117">
        <f>V137+I139/3</f>
        <v>2.3967866724366096E-2</v>
      </c>
      <c r="X139" s="117">
        <f>V137+I139/5</f>
        <v>2.6688202217325315E-2</v>
      </c>
      <c r="Y139" s="117"/>
      <c r="AA139" s="117"/>
    </row>
    <row r="140" spans="1:27" x14ac:dyDescent="0.2">
      <c r="B140" t="s">
        <v>35</v>
      </c>
      <c r="C140" s="143">
        <v>1.6842828003646231</v>
      </c>
      <c r="D140" s="90">
        <v>1.1876510268514191</v>
      </c>
      <c r="E140" s="12">
        <v>0.29486246217422052</v>
      </c>
      <c r="F140" s="90">
        <v>4.6522789104622619</v>
      </c>
      <c r="G140" s="90">
        <v>1.7621720707799839</v>
      </c>
      <c r="H140" s="12">
        <v>-0.1545432290154263</v>
      </c>
      <c r="I140" s="12">
        <v>2.931543363647671E-2</v>
      </c>
      <c r="J140" s="12">
        <v>0.31017307387380311</v>
      </c>
      <c r="K140" s="90">
        <v>3.917210363380828</v>
      </c>
      <c r="L140" s="7">
        <v>1.1876510268514191</v>
      </c>
      <c r="M140" s="14">
        <v>0.29486246217422052</v>
      </c>
      <c r="N140" s="7">
        <v>1.9090576844465661</v>
      </c>
      <c r="O140" s="7">
        <v>0.13345436053451509</v>
      </c>
      <c r="P140" s="7">
        <v>1.607423090861688</v>
      </c>
      <c r="W140" s="117">
        <f>V138+I140/3</f>
        <v>1.1580148763145651E-2</v>
      </c>
      <c r="X140" s="117">
        <f>V138+I140/5</f>
        <v>7.6714242782820897E-3</v>
      </c>
      <c r="Y140" s="117"/>
      <c r="AA140" s="117"/>
    </row>
    <row r="141" spans="1:27" x14ac:dyDescent="0.2">
      <c r="AA141" s="117"/>
    </row>
    <row r="142" spans="1:27" x14ac:dyDescent="0.2">
      <c r="A142" t="s">
        <v>286</v>
      </c>
      <c r="B142" t="s">
        <v>30</v>
      </c>
      <c r="C142" s="145">
        <v>-103.406690517214</v>
      </c>
      <c r="D142" s="90">
        <v>8.3217825550640399</v>
      </c>
      <c r="E142" s="12">
        <v>1.080476248813695</v>
      </c>
      <c r="F142" s="90">
        <v>-89.236719789579297</v>
      </c>
      <c r="G142" s="90">
        <v>-0.13703146920919801</v>
      </c>
      <c r="H142" s="12">
        <v>-1.098070160806651</v>
      </c>
      <c r="I142" s="12">
        <v>-1.130251308195918</v>
      </c>
      <c r="J142" s="12">
        <v>-1.2236531503357271</v>
      </c>
      <c r="K142" s="90">
        <v>-10.723269828202399</v>
      </c>
      <c r="L142" s="7">
        <v>8.3217825550640399</v>
      </c>
      <c r="M142" s="14">
        <v>1.080476248813695</v>
      </c>
      <c r="N142" s="7">
        <v>-89.236719789579297</v>
      </c>
      <c r="O142" s="7">
        <v>-0.13703146920919801</v>
      </c>
      <c r="P142" s="7">
        <v>-10.723269828202399</v>
      </c>
      <c r="Q142" s="99">
        <v>-9.3162320219099658E-3</v>
      </c>
      <c r="R142" s="99">
        <v>-0.16851104860023691</v>
      </c>
      <c r="S142" s="99">
        <v>2.5472982116197321E-2</v>
      </c>
      <c r="U142" s="117"/>
      <c r="V142" s="117"/>
      <c r="W142" s="117"/>
      <c r="X142" s="117"/>
      <c r="Y142" s="117"/>
      <c r="AA142" s="117"/>
    </row>
    <row r="143" spans="1:27" x14ac:dyDescent="0.2">
      <c r="A143" t="s">
        <v>287</v>
      </c>
      <c r="B143" t="s">
        <v>32</v>
      </c>
      <c r="C143" s="145">
        <v>-6.0104943212797162</v>
      </c>
      <c r="D143" s="90">
        <v>12.61471063147631</v>
      </c>
      <c r="E143" s="12">
        <v>3.098780891750426</v>
      </c>
      <c r="F143" s="90">
        <v>-5.550935404742118</v>
      </c>
      <c r="G143" s="90">
        <v>-7.6459421134558503E-2</v>
      </c>
      <c r="H143" s="12">
        <v>-4.2817912023111919</v>
      </c>
      <c r="I143" s="12">
        <v>-6.578086374896718</v>
      </c>
      <c r="J143" s="12">
        <v>-11.07993675122704</v>
      </c>
      <c r="K143" s="90">
        <v>-0.44003668153048131</v>
      </c>
      <c r="L143" s="7">
        <v>12.61471063147631</v>
      </c>
      <c r="M143" s="14">
        <v>3.098780891750426</v>
      </c>
      <c r="N143" s="7">
        <v>-5.550935404742118</v>
      </c>
      <c r="O143" s="7">
        <v>-7.6459421134558503E-2</v>
      </c>
      <c r="P143" s="7">
        <v>-0.44003668153048131</v>
      </c>
      <c r="S143" s="99">
        <v>1.310375449116963E-2</v>
      </c>
      <c r="U143" s="117"/>
      <c r="V143" s="117"/>
      <c r="W143" s="117"/>
      <c r="X143" s="117"/>
      <c r="Y143" s="117"/>
      <c r="AA143" s="117"/>
    </row>
    <row r="144" spans="1:27" x14ac:dyDescent="0.2">
      <c r="B144" t="s">
        <v>34</v>
      </c>
      <c r="C144" s="145">
        <v>0.96336072147620233</v>
      </c>
      <c r="D144" s="90">
        <v>0.83112185524876747</v>
      </c>
      <c r="E144" s="12">
        <v>0.13726827685563001</v>
      </c>
      <c r="F144" s="90">
        <v>4.3324629708361488</v>
      </c>
      <c r="G144" s="90">
        <v>3.4972385465304359</v>
      </c>
      <c r="H144" s="12">
        <v>0.22377784367103401</v>
      </c>
      <c r="I144" s="12">
        <v>0.73829413830997392</v>
      </c>
      <c r="J144" s="12">
        <v>1.40416600783701</v>
      </c>
      <c r="K144" s="90">
        <v>5.2127891277018286</v>
      </c>
      <c r="L144" s="7">
        <v>0.83112185524876747</v>
      </c>
      <c r="M144" s="14">
        <v>0.13726827685563001</v>
      </c>
      <c r="N144" s="7">
        <v>2.1338279109623191</v>
      </c>
      <c r="O144" s="7">
        <v>1.2149833010552431</v>
      </c>
      <c r="P144" s="7">
        <v>2.5674068098277019</v>
      </c>
      <c r="W144" s="117"/>
      <c r="X144" s="117"/>
      <c r="Y144" s="117"/>
      <c r="AA144" s="117"/>
    </row>
    <row r="145" spans="1:27" x14ac:dyDescent="0.2">
      <c r="B145" t="s">
        <v>35</v>
      </c>
      <c r="C145" s="145">
        <v>1.0128347006846139</v>
      </c>
      <c r="D145" s="90">
        <v>0.85788837710283217</v>
      </c>
      <c r="E145" s="12">
        <v>0.15298283468866919</v>
      </c>
      <c r="F145" s="90">
        <v>4.9629558070546791</v>
      </c>
      <c r="G145" s="90">
        <v>3.900064940211887</v>
      </c>
      <c r="H145" s="12">
        <v>5.5722872329010409E-2</v>
      </c>
      <c r="I145" s="12">
        <v>0.76453599889754109</v>
      </c>
      <c r="J145" s="12">
        <v>1.4721256348971921</v>
      </c>
      <c r="K145" s="90">
        <v>5.7850833972305784</v>
      </c>
      <c r="L145" s="7">
        <v>0.85788837710283217</v>
      </c>
      <c r="M145" s="14">
        <v>0.15298283468866919</v>
      </c>
      <c r="N145" s="7">
        <v>1.946793077951479</v>
      </c>
      <c r="O145" s="7">
        <v>0.92212320197517483</v>
      </c>
      <c r="P145" s="7">
        <v>2.2692848276205559</v>
      </c>
      <c r="W145" s="117"/>
      <c r="X145" s="117"/>
      <c r="Y145" s="117"/>
      <c r="AA145" s="117"/>
    </row>
    <row r="147" spans="1:27" x14ac:dyDescent="0.2">
      <c r="A147" t="s">
        <v>288</v>
      </c>
      <c r="B147" t="s">
        <v>30</v>
      </c>
      <c r="C147" s="146">
        <v>67.136974344729666</v>
      </c>
      <c r="D147" s="90">
        <v>11.77060253377568</v>
      </c>
      <c r="E147" s="12">
        <v>0.82467779269680941</v>
      </c>
      <c r="F147" s="90">
        <v>-99.330997610974833</v>
      </c>
      <c r="G147" s="90">
        <v>-2.4795274672483418</v>
      </c>
      <c r="H147" s="12">
        <v>-0.67730245766830954</v>
      </c>
      <c r="I147" s="12">
        <v>-0.52844747033199813</v>
      </c>
      <c r="J147" s="12">
        <v>4.2225240952030951E-2</v>
      </c>
      <c r="K147" s="90">
        <v>-8.4389050879889158</v>
      </c>
      <c r="L147" s="7">
        <v>15.527034367336251</v>
      </c>
      <c r="M147" s="14">
        <v>0.76872603332391398</v>
      </c>
      <c r="N147" s="7">
        <v>-99.330997610974833</v>
      </c>
      <c r="O147" s="7">
        <v>-2.4795274672483418</v>
      </c>
      <c r="P147" s="7">
        <v>-6.3972936016638453</v>
      </c>
      <c r="Q147" s="99">
        <v>2.4783772096562968E-2</v>
      </c>
      <c r="R147" s="99">
        <v>-6.9328825871571419E-3</v>
      </c>
      <c r="S147" s="99">
        <v>1.8602227122364041E-2</v>
      </c>
      <c r="U147" s="117"/>
      <c r="V147" s="117"/>
      <c r="W147" s="117"/>
      <c r="X147" s="117"/>
      <c r="Y147" s="117"/>
      <c r="AA147" s="117"/>
    </row>
    <row r="148" spans="1:27" x14ac:dyDescent="0.2">
      <c r="A148" t="s">
        <v>289</v>
      </c>
      <c r="B148" t="s">
        <v>32</v>
      </c>
      <c r="C148" s="145">
        <v>-251.4035985767035</v>
      </c>
      <c r="D148" s="90">
        <v>6.7530604781043886</v>
      </c>
      <c r="E148" s="12">
        <v>1.026861431245758</v>
      </c>
      <c r="F148" s="90">
        <v>-11.517185900325771</v>
      </c>
      <c r="G148" s="90">
        <v>-0.95418846044555783</v>
      </c>
      <c r="H148" s="12">
        <v>-1.1099282902424661</v>
      </c>
      <c r="I148" s="12">
        <v>-1.155519028559159</v>
      </c>
      <c r="J148" s="12">
        <v>-2.0791429641473029</v>
      </c>
      <c r="K148" s="90">
        <v>-1.7054764928684141</v>
      </c>
      <c r="L148" s="7">
        <v>20.915817609035621</v>
      </c>
      <c r="M148" s="14">
        <v>1.083196174308755</v>
      </c>
      <c r="N148" s="7">
        <v>-11.517185900325771</v>
      </c>
      <c r="O148" s="7">
        <v>-0.95418846044555783</v>
      </c>
      <c r="P148" s="7">
        <v>-0.55064478547328444</v>
      </c>
      <c r="S148" s="99">
        <v>1.550051705537704E-2</v>
      </c>
      <c r="U148" s="117"/>
      <c r="V148" s="117"/>
      <c r="W148" s="117"/>
      <c r="X148" s="117"/>
      <c r="Y148" s="117"/>
      <c r="AA148" s="117"/>
    </row>
    <row r="149" spans="1:27" x14ac:dyDescent="0.2">
      <c r="B149" t="s">
        <v>34</v>
      </c>
      <c r="C149" s="143">
        <v>1.663907471412575</v>
      </c>
      <c r="D149" s="90">
        <v>1.290840515360389</v>
      </c>
      <c r="E149" s="12">
        <v>0.22421135938254491</v>
      </c>
      <c r="F149" s="90">
        <v>9.2575793121732683</v>
      </c>
      <c r="G149" s="90">
        <v>4.5637584849078419</v>
      </c>
      <c r="H149" s="12">
        <v>-6.6762844860958181E-2</v>
      </c>
      <c r="I149" s="12">
        <v>0.45328729218022668</v>
      </c>
      <c r="J149" s="12">
        <v>1.164600844408525</v>
      </c>
      <c r="K149" s="90">
        <v>7.1717452326700881</v>
      </c>
      <c r="L149" s="7">
        <v>1.290840515360389</v>
      </c>
      <c r="M149" s="14">
        <v>0.22421135938254491</v>
      </c>
      <c r="N149" s="7">
        <v>2.4628453156757568</v>
      </c>
      <c r="O149" s="7">
        <v>0.48015761572662652</v>
      </c>
      <c r="P149" s="7">
        <v>1.9079392739607011</v>
      </c>
      <c r="W149" s="117"/>
      <c r="X149" s="117"/>
      <c r="Y149" s="117"/>
      <c r="AA149" s="117"/>
    </row>
    <row r="150" spans="1:27" x14ac:dyDescent="0.2">
      <c r="B150" t="s">
        <v>35</v>
      </c>
      <c r="C150" s="143">
        <v>1.742951630921072</v>
      </c>
      <c r="D150" s="90">
        <v>1.1286879308427931</v>
      </c>
      <c r="E150" s="12">
        <v>0.35242727863518958</v>
      </c>
      <c r="F150" s="90">
        <v>9.5501462630630094</v>
      </c>
      <c r="G150" s="90">
        <v>4.479295061112043</v>
      </c>
      <c r="H150" s="12">
        <v>-0.1305110873994656</v>
      </c>
      <c r="I150" s="12">
        <v>0.4056906215288294</v>
      </c>
      <c r="J150" s="12">
        <v>1.312509374140058</v>
      </c>
      <c r="K150" s="90">
        <v>8.461281459731655</v>
      </c>
      <c r="L150" s="7">
        <v>1.1286879308427931</v>
      </c>
      <c r="M150" s="14">
        <v>0.35242727863518958</v>
      </c>
      <c r="N150" s="7">
        <v>2.57164950970196</v>
      </c>
      <c r="O150" s="7">
        <v>0.47545661283954233</v>
      </c>
      <c r="P150" s="7">
        <v>2.278441577541904</v>
      </c>
      <c r="W150" s="117"/>
      <c r="X150" s="117"/>
      <c r="Y150" s="117"/>
      <c r="AA150" s="117"/>
    </row>
    <row r="152" spans="1:27" x14ac:dyDescent="0.2">
      <c r="U152" s="117"/>
      <c r="V152" s="117"/>
      <c r="W152" s="117"/>
      <c r="X152" s="117"/>
      <c r="Y152" s="117"/>
    </row>
    <row r="153" spans="1:27" x14ac:dyDescent="0.2">
      <c r="U153" s="117"/>
      <c r="V153" s="117"/>
      <c r="W153" s="117"/>
      <c r="X153" s="117"/>
      <c r="Y153" s="117"/>
    </row>
    <row r="154" spans="1:27" x14ac:dyDescent="0.2">
      <c r="W154" s="117"/>
      <c r="X154" s="117"/>
      <c r="Y154" s="117"/>
    </row>
    <row r="155" spans="1:27" x14ac:dyDescent="0.2">
      <c r="W155" s="117"/>
      <c r="X155" s="117"/>
      <c r="Y155" s="117"/>
    </row>
    <row r="157" spans="1:27" x14ac:dyDescent="0.2">
      <c r="U157" s="117"/>
      <c r="V157" s="117"/>
      <c r="W157" s="117"/>
      <c r="X157" s="117"/>
      <c r="Y157" s="117"/>
    </row>
    <row r="158" spans="1:27" x14ac:dyDescent="0.2">
      <c r="U158" s="117"/>
      <c r="V158" s="117"/>
      <c r="W158" s="117"/>
      <c r="X158" s="117"/>
      <c r="Y158" s="117"/>
    </row>
    <row r="159" spans="1:27" x14ac:dyDescent="0.2">
      <c r="W159" s="117"/>
      <c r="X159" s="117"/>
      <c r="Y159" s="117"/>
    </row>
    <row r="160" spans="1:27" x14ac:dyDescent="0.2">
      <c r="W160" s="117"/>
      <c r="X160" s="117"/>
      <c r="Y160" s="117"/>
    </row>
    <row r="162" spans="21:25" x14ac:dyDescent="0.2">
      <c r="U162" s="117"/>
      <c r="V162" s="117"/>
      <c r="W162" s="117"/>
      <c r="X162" s="117"/>
      <c r="Y162" s="117"/>
    </row>
    <row r="163" spans="21:25" x14ac:dyDescent="0.2">
      <c r="U163" s="117"/>
      <c r="V163" s="117"/>
      <c r="W163" s="117"/>
      <c r="X163" s="117"/>
      <c r="Y163" s="117"/>
    </row>
    <row r="164" spans="21:25" x14ac:dyDescent="0.2">
      <c r="W164" s="117"/>
      <c r="X164" s="117"/>
      <c r="Y164" s="117"/>
    </row>
    <row r="165" spans="21:25" x14ac:dyDescent="0.2">
      <c r="W165" s="117"/>
      <c r="X165" s="117"/>
      <c r="Y165" s="117"/>
    </row>
    <row r="167" spans="21:25" x14ac:dyDescent="0.2">
      <c r="U167" s="117"/>
      <c r="V167" s="117"/>
      <c r="W167" s="117"/>
      <c r="X167" s="117"/>
      <c r="Y167" s="117"/>
    </row>
    <row r="168" spans="21:25" x14ac:dyDescent="0.2">
      <c r="U168" s="117"/>
      <c r="V168" s="117"/>
      <c r="W168" s="117"/>
      <c r="X168" s="117"/>
      <c r="Y168" s="117"/>
    </row>
    <row r="169" spans="21:25" x14ac:dyDescent="0.2">
      <c r="W169" s="117"/>
      <c r="X169" s="117"/>
      <c r="Y169" s="117"/>
    </row>
    <row r="170" spans="21:25" x14ac:dyDescent="0.2">
      <c r="W170" s="117"/>
      <c r="X170" s="117"/>
      <c r="Y170" s="117"/>
    </row>
    <row r="172" spans="21:25" x14ac:dyDescent="0.2">
      <c r="U172" s="117"/>
      <c r="V172" s="117"/>
      <c r="W172" s="117"/>
      <c r="X172" s="117"/>
      <c r="Y172" s="117"/>
    </row>
    <row r="173" spans="21:25" x14ac:dyDescent="0.2">
      <c r="U173" s="117"/>
      <c r="V173" s="117"/>
      <c r="W173" s="117"/>
      <c r="X173" s="117"/>
      <c r="Y173" s="117"/>
    </row>
    <row r="174" spans="21:25" x14ac:dyDescent="0.2">
      <c r="W174" s="117"/>
      <c r="X174" s="117"/>
      <c r="Y174" s="117"/>
    </row>
    <row r="175" spans="21:25" x14ac:dyDescent="0.2">
      <c r="W175" s="117"/>
      <c r="X175" s="117"/>
      <c r="Y175" s="117"/>
    </row>
    <row r="177" spans="21:25" x14ac:dyDescent="0.2">
      <c r="U177" s="117"/>
      <c r="V177" s="117"/>
      <c r="W177" s="117"/>
      <c r="X177" s="117"/>
      <c r="Y177" s="117"/>
    </row>
    <row r="178" spans="21:25" x14ac:dyDescent="0.2">
      <c r="U178" s="117"/>
      <c r="V178" s="117"/>
      <c r="W178" s="117"/>
      <c r="X178" s="117"/>
      <c r="Y178" s="117"/>
    </row>
    <row r="179" spans="21:25" x14ac:dyDescent="0.2">
      <c r="W179" s="117"/>
      <c r="X179" s="117"/>
      <c r="Y179" s="117"/>
    </row>
    <row r="180" spans="21:25" x14ac:dyDescent="0.2">
      <c r="W180" s="117"/>
      <c r="X180" s="117"/>
      <c r="Y180" s="117"/>
    </row>
    <row r="182" spans="21:25" x14ac:dyDescent="0.2">
      <c r="U182" s="117"/>
      <c r="V182" s="117"/>
      <c r="W182" s="117"/>
      <c r="X182" s="117"/>
      <c r="Y182" s="117"/>
    </row>
    <row r="183" spans="21:25" x14ac:dyDescent="0.2">
      <c r="U183" s="117"/>
      <c r="V183" s="117"/>
      <c r="W183" s="117"/>
      <c r="X183" s="117"/>
      <c r="Y183" s="117"/>
    </row>
    <row r="184" spans="21:25" x14ac:dyDescent="0.2">
      <c r="W184" s="117"/>
      <c r="X184" s="117"/>
      <c r="Y184" s="117"/>
    </row>
    <row r="185" spans="21:25" x14ac:dyDescent="0.2">
      <c r="W185" s="117"/>
      <c r="X185" s="117"/>
      <c r="Y185" s="117"/>
    </row>
    <row r="187" spans="21:25" x14ac:dyDescent="0.2">
      <c r="U187" s="117"/>
      <c r="V187" s="117"/>
      <c r="W187" s="117"/>
      <c r="X187" s="117"/>
      <c r="Y187" s="117"/>
    </row>
    <row r="188" spans="21:25" x14ac:dyDescent="0.2">
      <c r="U188" s="117"/>
      <c r="V188" s="117"/>
      <c r="W188" s="117"/>
      <c r="X188" s="117"/>
      <c r="Y188" s="117"/>
    </row>
    <row r="189" spans="21:25" x14ac:dyDescent="0.2">
      <c r="W189" s="117"/>
      <c r="X189" s="117"/>
      <c r="Y189" s="117"/>
    </row>
    <row r="190" spans="21:25" x14ac:dyDescent="0.2">
      <c r="W190" s="117"/>
      <c r="X190" s="117"/>
      <c r="Y190" s="117"/>
    </row>
    <row r="192" spans="21:25" x14ac:dyDescent="0.2">
      <c r="U192" s="117"/>
      <c r="V192" s="117"/>
      <c r="W192" s="117"/>
      <c r="X192" s="117"/>
      <c r="Y192" s="117"/>
    </row>
    <row r="193" spans="21:25" x14ac:dyDescent="0.2">
      <c r="U193" s="117"/>
      <c r="V193" s="117"/>
      <c r="W193" s="117"/>
      <c r="X193" s="117"/>
      <c r="Y193" s="117"/>
    </row>
    <row r="194" spans="21:25" x14ac:dyDescent="0.2">
      <c r="W194" s="117"/>
      <c r="X194" s="117"/>
      <c r="Y194" s="117"/>
    </row>
    <row r="195" spans="21:25" x14ac:dyDescent="0.2">
      <c r="W195" s="117"/>
      <c r="X195" s="117"/>
      <c r="Y195" s="117"/>
    </row>
    <row r="197" spans="21:25" x14ac:dyDescent="0.2">
      <c r="U197" s="117"/>
      <c r="V197" s="117"/>
      <c r="W197" s="117"/>
      <c r="X197" s="117"/>
      <c r="Y197" s="117"/>
    </row>
    <row r="198" spans="21:25" x14ac:dyDescent="0.2">
      <c r="U198" s="117"/>
      <c r="V198" s="117"/>
      <c r="W198" s="117"/>
      <c r="X198" s="117"/>
      <c r="Y198" s="117"/>
    </row>
    <row r="199" spans="21:25" x14ac:dyDescent="0.2">
      <c r="W199" s="117"/>
      <c r="X199" s="117"/>
      <c r="Y199" s="117"/>
    </row>
    <row r="200" spans="21:25" x14ac:dyDescent="0.2">
      <c r="W200" s="117"/>
      <c r="X200" s="117"/>
      <c r="Y200" s="117"/>
    </row>
    <row r="202" spans="21:25" x14ac:dyDescent="0.2">
      <c r="U202" s="117"/>
      <c r="V202" s="117"/>
      <c r="W202" s="117"/>
      <c r="X202" s="117"/>
      <c r="Y202" s="117"/>
    </row>
    <row r="203" spans="21:25" x14ac:dyDescent="0.2">
      <c r="U203" s="117"/>
      <c r="V203" s="117"/>
      <c r="W203" s="117"/>
      <c r="X203" s="117"/>
      <c r="Y203" s="117"/>
    </row>
    <row r="204" spans="21:25" x14ac:dyDescent="0.2">
      <c r="W204" s="117"/>
      <c r="X204" s="117"/>
      <c r="Y204" s="117"/>
    </row>
    <row r="205" spans="21:25" x14ac:dyDescent="0.2">
      <c r="W205" s="117"/>
      <c r="X205" s="117"/>
      <c r="Y205" s="117"/>
    </row>
    <row r="207" spans="21:25" x14ac:dyDescent="0.2">
      <c r="U207" s="117"/>
      <c r="V207" s="117"/>
      <c r="W207" s="117"/>
      <c r="X207" s="117"/>
      <c r="Y207" s="117"/>
    </row>
    <row r="208" spans="21:25" x14ac:dyDescent="0.2">
      <c r="U208" s="117"/>
      <c r="V208" s="117"/>
      <c r="W208" s="117"/>
      <c r="X208" s="117"/>
      <c r="Y208" s="117"/>
    </row>
    <row r="209" spans="21:25" x14ac:dyDescent="0.2">
      <c r="W209" s="117"/>
      <c r="X209" s="117"/>
      <c r="Y209" s="117"/>
    </row>
    <row r="210" spans="21:25" x14ac:dyDescent="0.2">
      <c r="W210" s="117"/>
      <c r="X210" s="117"/>
      <c r="Y210" s="117"/>
    </row>
    <row r="212" spans="21:25" x14ac:dyDescent="0.2">
      <c r="U212" s="117"/>
      <c r="V212" s="117"/>
      <c r="W212" s="117"/>
      <c r="X212" s="117"/>
      <c r="Y212" s="117"/>
    </row>
    <row r="213" spans="21:25" x14ac:dyDescent="0.2">
      <c r="U213" s="117"/>
      <c r="V213" s="117"/>
      <c r="W213" s="117"/>
      <c r="X213" s="117"/>
      <c r="Y213" s="117"/>
    </row>
    <row r="214" spans="21:25" x14ac:dyDescent="0.2">
      <c r="W214" s="117"/>
      <c r="X214" s="117"/>
      <c r="Y214" s="117"/>
    </row>
    <row r="215" spans="21:25" x14ac:dyDescent="0.2">
      <c r="W215" s="117"/>
      <c r="X215" s="117"/>
      <c r="Y215" s="117"/>
    </row>
    <row r="217" spans="21:25" x14ac:dyDescent="0.2">
      <c r="U217" s="117"/>
      <c r="V217" s="117"/>
      <c r="W217" s="117"/>
      <c r="X217" s="117"/>
      <c r="Y217" s="117"/>
    </row>
    <row r="218" spans="21:25" x14ac:dyDescent="0.2">
      <c r="U218" s="117"/>
      <c r="V218" s="117"/>
      <c r="W218" s="117"/>
      <c r="X218" s="117"/>
      <c r="Y218" s="117"/>
    </row>
    <row r="219" spans="21:25" x14ac:dyDescent="0.2">
      <c r="W219" s="117"/>
      <c r="X219" s="117"/>
      <c r="Y219" s="117"/>
    </row>
    <row r="220" spans="21:25" x14ac:dyDescent="0.2">
      <c r="W220" s="117"/>
      <c r="X220" s="117"/>
      <c r="Y220" s="117"/>
    </row>
    <row r="222" spans="21:25" x14ac:dyDescent="0.2">
      <c r="U222" s="117"/>
      <c r="V222" s="117"/>
      <c r="W222" s="117"/>
      <c r="X222" s="117"/>
      <c r="Y222" s="117"/>
    </row>
    <row r="223" spans="21:25" x14ac:dyDescent="0.2">
      <c r="U223" s="117"/>
      <c r="V223" s="117"/>
      <c r="W223" s="117"/>
      <c r="X223" s="117"/>
      <c r="Y223" s="117"/>
    </row>
    <row r="224" spans="21:25" x14ac:dyDescent="0.2">
      <c r="W224" s="117"/>
      <c r="X224" s="117"/>
      <c r="Y224" s="117"/>
    </row>
    <row r="225" spans="21:25" x14ac:dyDescent="0.2">
      <c r="W225" s="117"/>
      <c r="X225" s="117"/>
      <c r="Y225" s="117"/>
    </row>
    <row r="227" spans="21:25" x14ac:dyDescent="0.2">
      <c r="U227" s="117"/>
      <c r="V227" s="117"/>
      <c r="W227" s="117"/>
      <c r="X227" s="117"/>
      <c r="Y227" s="117"/>
    </row>
    <row r="228" spans="21:25" x14ac:dyDescent="0.2">
      <c r="U228" s="117"/>
      <c r="V228" s="117"/>
      <c r="W228" s="117"/>
      <c r="X228" s="117"/>
      <c r="Y228" s="117"/>
    </row>
    <row r="229" spans="21:25" x14ac:dyDescent="0.2">
      <c r="W229" s="117"/>
      <c r="X229" s="117"/>
      <c r="Y229" s="117"/>
    </row>
    <row r="230" spans="21:25" x14ac:dyDescent="0.2">
      <c r="W230" s="117"/>
      <c r="X230" s="117"/>
      <c r="Y230" s="117"/>
    </row>
    <row r="232" spans="21:25" x14ac:dyDescent="0.2">
      <c r="U232" s="117"/>
      <c r="V232" s="117"/>
      <c r="W232" s="117"/>
      <c r="X232" s="117"/>
      <c r="Y232" s="117"/>
    </row>
    <row r="233" spans="21:25" x14ac:dyDescent="0.2">
      <c r="U233" s="117"/>
      <c r="V233" s="117"/>
      <c r="W233" s="117"/>
      <c r="X233" s="117"/>
      <c r="Y233" s="117"/>
    </row>
    <row r="234" spans="21:25" x14ac:dyDescent="0.2">
      <c r="W234" s="117"/>
      <c r="X234" s="117"/>
      <c r="Y234" s="117"/>
    </row>
    <row r="235" spans="21:25" x14ac:dyDescent="0.2">
      <c r="W235" s="117"/>
      <c r="X235" s="117"/>
      <c r="Y235" s="117"/>
    </row>
    <row r="237" spans="21:25" x14ac:dyDescent="0.2">
      <c r="U237" s="117"/>
      <c r="V237" s="117"/>
      <c r="W237" s="117"/>
      <c r="X237" s="117"/>
      <c r="Y237" s="117"/>
    </row>
    <row r="238" spans="21:25" x14ac:dyDescent="0.2">
      <c r="U238" s="117"/>
      <c r="V238" s="117"/>
      <c r="W238" s="117"/>
      <c r="X238" s="117"/>
      <c r="Y238" s="117"/>
    </row>
    <row r="239" spans="21:25" x14ac:dyDescent="0.2">
      <c r="W239" s="117"/>
      <c r="X239" s="117"/>
      <c r="Y239" s="117"/>
    </row>
    <row r="240" spans="21:25" x14ac:dyDescent="0.2">
      <c r="W240" s="117"/>
      <c r="X240" s="117"/>
      <c r="Y240" s="117"/>
    </row>
    <row r="242" spans="21:25" x14ac:dyDescent="0.2">
      <c r="U242" s="117"/>
      <c r="V242" s="117"/>
      <c r="W242" s="117"/>
      <c r="X242" s="117"/>
      <c r="Y242" s="117"/>
    </row>
    <row r="243" spans="21:25" x14ac:dyDescent="0.2">
      <c r="U243" s="117"/>
      <c r="V243" s="117"/>
      <c r="W243" s="117"/>
      <c r="X243" s="117"/>
      <c r="Y243" s="117"/>
    </row>
    <row r="244" spans="21:25" x14ac:dyDescent="0.2">
      <c r="W244" s="117"/>
      <c r="X244" s="117"/>
      <c r="Y244" s="117"/>
    </row>
    <row r="245" spans="21:25" x14ac:dyDescent="0.2">
      <c r="W245" s="117"/>
      <c r="X245" s="117"/>
      <c r="Y245" s="117"/>
    </row>
    <row r="247" spans="21:25" x14ac:dyDescent="0.2">
      <c r="U247" s="117"/>
      <c r="V247" s="117"/>
      <c r="W247" s="117"/>
      <c r="X247" s="117"/>
      <c r="Y247" s="117"/>
    </row>
    <row r="248" spans="21:25" x14ac:dyDescent="0.2">
      <c r="U248" s="117"/>
      <c r="V248" s="117"/>
      <c r="W248" s="117"/>
      <c r="X248" s="117"/>
      <c r="Y248" s="117"/>
    </row>
    <row r="249" spans="21:25" x14ac:dyDescent="0.2">
      <c r="W249" s="117"/>
      <c r="X249" s="117"/>
      <c r="Y249" s="117"/>
    </row>
    <row r="250" spans="21:25" x14ac:dyDescent="0.2">
      <c r="W250" s="117"/>
      <c r="X250" s="117"/>
      <c r="Y250" s="117"/>
    </row>
    <row r="252" spans="21:25" x14ac:dyDescent="0.2">
      <c r="U252" s="117"/>
      <c r="V252" s="117"/>
      <c r="W252" s="117"/>
      <c r="X252" s="117"/>
      <c r="Y252" s="117"/>
    </row>
    <row r="253" spans="21:25" x14ac:dyDescent="0.2">
      <c r="U253" s="117"/>
      <c r="V253" s="117"/>
      <c r="W253" s="117"/>
      <c r="X253" s="117"/>
      <c r="Y253" s="117"/>
    </row>
    <row r="254" spans="21:25" x14ac:dyDescent="0.2">
      <c r="W254" s="117"/>
      <c r="X254" s="117"/>
      <c r="Y254" s="117"/>
    </row>
    <row r="255" spans="21:25" x14ac:dyDescent="0.2">
      <c r="W255" s="117"/>
      <c r="X255" s="117"/>
      <c r="Y255" s="117"/>
    </row>
    <row r="257" spans="21:25" x14ac:dyDescent="0.2">
      <c r="U257" s="117"/>
      <c r="V257" s="117"/>
      <c r="W257" s="117"/>
      <c r="X257" s="117"/>
      <c r="Y257" s="117"/>
    </row>
    <row r="258" spans="21:25" x14ac:dyDescent="0.2">
      <c r="U258" s="117"/>
      <c r="V258" s="117"/>
      <c r="W258" s="117"/>
      <c r="X258" s="117"/>
      <c r="Y258" s="117"/>
    </row>
    <row r="259" spans="21:25" x14ac:dyDescent="0.2">
      <c r="W259" s="117"/>
      <c r="X259" s="117"/>
      <c r="Y259" s="117"/>
    </row>
    <row r="260" spans="21:25" x14ac:dyDescent="0.2">
      <c r="W260" s="117"/>
      <c r="X260" s="117"/>
      <c r="Y260" s="117"/>
    </row>
    <row r="262" spans="21:25" x14ac:dyDescent="0.2">
      <c r="U262" s="117"/>
      <c r="V262" s="117"/>
      <c r="W262" s="117"/>
      <c r="X262" s="117"/>
      <c r="Y262" s="117"/>
    </row>
    <row r="263" spans="21:25" x14ac:dyDescent="0.2">
      <c r="U263" s="117"/>
      <c r="V263" s="117"/>
      <c r="W263" s="117"/>
      <c r="X263" s="117"/>
      <c r="Y263" s="117"/>
    </row>
    <row r="264" spans="21:25" x14ac:dyDescent="0.2">
      <c r="W264" s="117"/>
      <c r="X264" s="117"/>
      <c r="Y264" s="117"/>
    </row>
    <row r="265" spans="21:25" x14ac:dyDescent="0.2">
      <c r="W265" s="117"/>
      <c r="X265" s="117"/>
      <c r="Y265" s="117"/>
    </row>
    <row r="267" spans="21:25" x14ac:dyDescent="0.2">
      <c r="U267" s="117"/>
      <c r="V267" s="117"/>
      <c r="W267" s="117"/>
      <c r="X267" s="117"/>
      <c r="Y267" s="117"/>
    </row>
    <row r="268" spans="21:25" x14ac:dyDescent="0.2">
      <c r="U268" s="117"/>
      <c r="V268" s="117"/>
      <c r="W268" s="117"/>
      <c r="X268" s="117"/>
      <c r="Y268" s="117"/>
    </row>
    <row r="269" spans="21:25" x14ac:dyDescent="0.2">
      <c r="W269" s="117"/>
      <c r="X269" s="117"/>
      <c r="Y269" s="117"/>
    </row>
    <row r="270" spans="21:25" x14ac:dyDescent="0.2">
      <c r="W270" s="117"/>
      <c r="X270" s="117"/>
      <c r="Y270" s="117"/>
    </row>
    <row r="272" spans="21:25" x14ac:dyDescent="0.2">
      <c r="U272" s="117"/>
      <c r="V272" s="117"/>
      <c r="W272" s="117"/>
      <c r="X272" s="117"/>
      <c r="Y272" s="117"/>
    </row>
    <row r="273" spans="21:25" x14ac:dyDescent="0.2">
      <c r="U273" s="117"/>
      <c r="V273" s="117"/>
      <c r="W273" s="117"/>
      <c r="X273" s="117"/>
      <c r="Y273" s="117"/>
    </row>
    <row r="274" spans="21:25" x14ac:dyDescent="0.2">
      <c r="W274" s="117"/>
      <c r="X274" s="117"/>
      <c r="Y274" s="117"/>
    </row>
    <row r="275" spans="21:25" x14ac:dyDescent="0.2">
      <c r="W275" s="117"/>
      <c r="X275" s="117"/>
      <c r="Y275" s="117"/>
    </row>
    <row r="277" spans="21:25" x14ac:dyDescent="0.2">
      <c r="U277" s="117"/>
      <c r="V277" s="117"/>
      <c r="W277" s="117"/>
      <c r="X277" s="117"/>
      <c r="Y277" s="117"/>
    </row>
    <row r="278" spans="21:25" x14ac:dyDescent="0.2">
      <c r="U278" s="117"/>
      <c r="V278" s="117"/>
      <c r="W278" s="117"/>
      <c r="X278" s="117"/>
      <c r="Y278" s="117"/>
    </row>
    <row r="279" spans="21:25" x14ac:dyDescent="0.2">
      <c r="W279" s="117"/>
      <c r="X279" s="117"/>
      <c r="Y279" s="117"/>
    </row>
    <row r="280" spans="21:25" x14ac:dyDescent="0.2">
      <c r="W280" s="117"/>
      <c r="X280" s="117"/>
      <c r="Y280" s="117"/>
    </row>
  </sheetData>
  <conditionalFormatting sqref="E1:E141 E146 E151:E1048576 M1:M141 M146 M151:M1048576 Q1:S141 Q146:S146 Q151:S1048576">
    <cfRule type="dataBar" priority="30">
      <dataBar>
        <cfvo type="min"/>
        <cfvo type="max"/>
        <color rgb="FF638EC6"/>
      </dataBar>
    </cfRule>
  </conditionalFormatting>
  <conditionalFormatting sqref="E1:E141 E146 E151:E1048576">
    <cfRule type="dataBar" priority="25">
      <dataBar>
        <cfvo type="min"/>
        <cfvo type="max"/>
        <color rgb="FF638EC6"/>
      </dataBar>
    </cfRule>
  </conditionalFormatting>
  <conditionalFormatting sqref="E142:E145 M142:M145 Q142:S145">
    <cfRule type="dataBar" priority="10">
      <dataBar>
        <cfvo type="min"/>
        <cfvo type="max"/>
        <color rgb="FF638EC6"/>
      </dataBar>
    </cfRule>
  </conditionalFormatting>
  <conditionalFormatting sqref="E142:E145">
    <cfRule type="dataBar" priority="5">
      <dataBar>
        <cfvo type="min"/>
        <cfvo type="max"/>
        <color rgb="FF638EC6"/>
      </dataBar>
    </cfRule>
  </conditionalFormatting>
  <conditionalFormatting sqref="E147:E150 M147:M150 Q147:S150">
    <cfRule type="dataBar" priority="20">
      <dataBar>
        <cfvo type="min"/>
        <cfvo type="max"/>
        <color rgb="FF638EC6"/>
      </dataBar>
    </cfRule>
  </conditionalFormatting>
  <conditionalFormatting sqref="E147:E150">
    <cfRule type="dataBar" priority="15">
      <dataBar>
        <cfvo type="min"/>
        <cfvo type="max"/>
        <color rgb="FF638EC6"/>
      </dataBar>
    </cfRule>
  </conditionalFormatting>
  <conditionalFormatting sqref="H1:H141 H146 H151:H1048576">
    <cfRule type="dataBar" priority="21">
      <dataBar>
        <cfvo type="min"/>
        <cfvo type="max"/>
        <color rgb="FF638EC6"/>
      </dataBar>
    </cfRule>
    <cfRule type="dataBar" priority="22">
      <dataBar>
        <cfvo type="min"/>
        <cfvo type="max"/>
        <color rgb="FF638EC6"/>
      </dataBar>
    </cfRule>
  </conditionalFormatting>
  <conditionalFormatting sqref="H142:H145">
    <cfRule type="dataBar" priority="1">
      <dataBar>
        <cfvo type="min"/>
        <cfvo type="max"/>
        <color rgb="FF638EC6"/>
      </dataBar>
    </cfRule>
    <cfRule type="dataBar" priority="2">
      <dataBar>
        <cfvo type="min"/>
        <cfvo type="max"/>
        <color rgb="FF638EC6"/>
      </dataBar>
    </cfRule>
  </conditionalFormatting>
  <conditionalFormatting sqref="H147:H150">
    <cfRule type="dataBar" priority="11">
      <dataBar>
        <cfvo type="min"/>
        <cfvo type="max"/>
        <color rgb="FF638EC6"/>
      </dataBar>
    </cfRule>
    <cfRule type="dataBar" priority="12">
      <dataBar>
        <cfvo type="min"/>
        <cfvo type="max"/>
        <color rgb="FF638EC6"/>
      </dataBar>
    </cfRule>
  </conditionalFormatting>
  <conditionalFormatting sqref="I1:J141 I146:J146 I151:J1048576">
    <cfRule type="dataBar" priority="23">
      <dataBar>
        <cfvo type="min"/>
        <cfvo type="max"/>
        <color rgb="FF638EC6"/>
      </dataBar>
    </cfRule>
    <cfRule type="dataBar" priority="24">
      <dataBar>
        <cfvo type="min"/>
        <cfvo type="max"/>
        <color rgb="FF638EC6"/>
      </dataBar>
    </cfRule>
  </conditionalFormatting>
  <conditionalFormatting sqref="I142:J145">
    <cfRule type="dataBar" priority="3">
      <dataBar>
        <cfvo type="min"/>
        <cfvo type="max"/>
        <color rgb="FF638EC6"/>
      </dataBar>
    </cfRule>
    <cfRule type="dataBar" priority="4">
      <dataBar>
        <cfvo type="min"/>
        <cfvo type="max"/>
        <color rgb="FF638EC6"/>
      </dataBar>
    </cfRule>
  </conditionalFormatting>
  <conditionalFormatting sqref="I147:J150">
    <cfRule type="dataBar" priority="13">
      <dataBar>
        <cfvo type="min"/>
        <cfvo type="max"/>
        <color rgb="FF638EC6"/>
      </dataBar>
    </cfRule>
    <cfRule type="dataBar" priority="14">
      <dataBar>
        <cfvo type="min"/>
        <cfvo type="max"/>
        <color rgb="FF638EC6"/>
      </dataBar>
    </cfRule>
  </conditionalFormatting>
  <conditionalFormatting sqref="M1:M141 M146 M151:M1048576">
    <cfRule type="dataBar" priority="26">
      <dataBar>
        <cfvo type="min"/>
        <cfvo type="max"/>
        <color rgb="FF638EC6"/>
      </dataBar>
    </cfRule>
  </conditionalFormatting>
  <conditionalFormatting sqref="M142:M145">
    <cfRule type="dataBar" priority="6">
      <dataBar>
        <cfvo type="min"/>
        <cfvo type="max"/>
        <color rgb="FF638EC6"/>
      </dataBar>
    </cfRule>
  </conditionalFormatting>
  <conditionalFormatting sqref="M147:M150">
    <cfRule type="dataBar" priority="16">
      <dataBar>
        <cfvo type="min"/>
        <cfvo type="max"/>
        <color rgb="FF638EC6"/>
      </dataBar>
    </cfRule>
  </conditionalFormatting>
  <conditionalFormatting sqref="Q1:Q141 Q146 Q151:Q1048576">
    <cfRule type="dataBar" priority="29">
      <dataBar>
        <cfvo type="min"/>
        <cfvo type="max"/>
        <color rgb="FF638EC6"/>
      </dataBar>
    </cfRule>
  </conditionalFormatting>
  <conditionalFormatting sqref="Q142:Q145">
    <cfRule type="dataBar" priority="9">
      <dataBar>
        <cfvo type="min"/>
        <cfvo type="max"/>
        <color rgb="FF638EC6"/>
      </dataBar>
    </cfRule>
  </conditionalFormatting>
  <conditionalFormatting sqref="Q147:Q150">
    <cfRule type="dataBar" priority="19">
      <dataBar>
        <cfvo type="min"/>
        <cfvo type="max"/>
        <color rgb="FF638EC6"/>
      </dataBar>
    </cfRule>
  </conditionalFormatting>
  <conditionalFormatting sqref="R1:R141 R146 R151:R1048576">
    <cfRule type="dataBar" priority="28">
      <dataBar>
        <cfvo type="min"/>
        <cfvo type="max"/>
        <color rgb="FF638EC6"/>
      </dataBar>
    </cfRule>
  </conditionalFormatting>
  <conditionalFormatting sqref="R142:R145">
    <cfRule type="dataBar" priority="8">
      <dataBar>
        <cfvo type="min"/>
        <cfvo type="max"/>
        <color rgb="FF638EC6"/>
      </dataBar>
    </cfRule>
  </conditionalFormatting>
  <conditionalFormatting sqref="R147:R150">
    <cfRule type="dataBar" priority="18">
      <dataBar>
        <cfvo type="min"/>
        <cfvo type="max"/>
        <color rgb="FF638EC6"/>
      </dataBar>
    </cfRule>
  </conditionalFormatting>
  <conditionalFormatting sqref="S1:S141 S146 S151:S1048576">
    <cfRule type="dataBar" priority="27">
      <dataBar>
        <cfvo type="min"/>
        <cfvo type="max"/>
        <color rgb="FF638EC6"/>
      </dataBar>
    </cfRule>
  </conditionalFormatting>
  <conditionalFormatting sqref="S142:S145">
    <cfRule type="dataBar" priority="7">
      <dataBar>
        <cfvo type="min"/>
        <cfvo type="max"/>
        <color rgb="FF638EC6"/>
      </dataBar>
    </cfRule>
  </conditionalFormatting>
  <conditionalFormatting sqref="S147:S150">
    <cfRule type="dataBar" priority="17">
      <dataBar>
        <cfvo type="min"/>
        <cfvo type="max"/>
        <color rgb="FF638EC6"/>
      </dataBar>
    </cfRule>
  </conditionalFormatting>
  <hyperlinks>
    <hyperlink ref="A72" r:id="rId1" display="https://www.lixinger.com/analytics/industry/sz/C0503/503/detail" xr:uid="{00000000-0004-0000-0300-000000000000}"/>
    <hyperlink ref="A142" r:id="rId2" display="https://www.lixinger.com/analytics/industry/sz/C1101/1101/detail" xr:uid="{00000000-0004-0000-0300-000001000000}"/>
    <hyperlink ref="A147" r:id="rId3" display="https://www.lixinger.com/analytics/industry/sz/C1102/1102/detail" xr:uid="{00000000-0004-0000-0300-000002000000}"/>
  </hyperlink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430"/>
  <sheetViews>
    <sheetView topLeftCell="A198" zoomScale="125" workbookViewId="0">
      <pane xSplit="1" topLeftCell="M1" activePane="topRight" state="frozen"/>
      <selection pane="topRight" activeCell="S207" sqref="S207:S208"/>
    </sheetView>
  </sheetViews>
  <sheetFormatPr baseColWidth="10" defaultRowHeight="16" x14ac:dyDescent="0.2"/>
  <cols>
    <col min="1" max="1" width="20.33203125" customWidth="1"/>
    <col min="4" max="4" width="10.83203125" style="2" customWidth="1"/>
    <col min="5" max="5" width="19.83203125" style="12" customWidth="1"/>
    <col min="6" max="6" width="14.83203125" style="2" customWidth="1"/>
    <col min="7" max="7" width="14.5" style="2" customWidth="1"/>
    <col min="8" max="10" width="19.83203125" style="12" customWidth="1"/>
    <col min="11" max="11" width="20.5" style="2" customWidth="1"/>
    <col min="12" max="12" width="10.83203125" style="78" customWidth="1"/>
    <col min="13" max="13" width="18.1640625" style="14" customWidth="1"/>
    <col min="14" max="14" width="10.83203125" style="78" customWidth="1"/>
    <col min="15" max="15" width="18.1640625" style="78" customWidth="1"/>
    <col min="16" max="16" width="22.33203125" style="78" customWidth="1"/>
    <col min="17" max="17" width="14.33203125" style="99" customWidth="1"/>
    <col min="18" max="19" width="10.83203125" style="99" customWidth="1"/>
    <col min="21" max="21" width="15.1640625" customWidth="1"/>
    <col min="22" max="22" width="19.1640625" style="99" customWidth="1"/>
    <col min="23" max="24" width="20.33203125" bestFit="1" customWidth="1"/>
    <col min="25" max="25" width="14.83203125" style="99" customWidth="1"/>
    <col min="26" max="26" width="14.83203125" style="117" customWidth="1"/>
    <col min="27" max="27" width="24" customWidth="1"/>
  </cols>
  <sheetData>
    <row r="1" spans="1:27" s="127" customFormat="1" x14ac:dyDescent="0.2">
      <c r="A1" t="s">
        <v>0</v>
      </c>
      <c r="C1" s="127" t="s">
        <v>1</v>
      </c>
      <c r="D1" s="4" t="s">
        <v>2</v>
      </c>
      <c r="E1" s="13" t="s">
        <v>3</v>
      </c>
      <c r="F1" s="4" t="s">
        <v>4</v>
      </c>
      <c r="G1" s="4" t="s">
        <v>5</v>
      </c>
      <c r="H1" s="13" t="s">
        <v>6</v>
      </c>
      <c r="I1" s="13" t="s">
        <v>7</v>
      </c>
      <c r="J1" s="13" t="s">
        <v>8</v>
      </c>
      <c r="K1" s="4" t="s">
        <v>9</v>
      </c>
      <c r="L1" s="8" t="s">
        <v>10</v>
      </c>
      <c r="M1" s="15" t="s">
        <v>11</v>
      </c>
      <c r="N1" s="8" t="s">
        <v>12</v>
      </c>
      <c r="O1" s="8" t="s">
        <v>13</v>
      </c>
      <c r="P1" s="8" t="s">
        <v>14</v>
      </c>
      <c r="Q1" s="69" t="s">
        <v>15</v>
      </c>
      <c r="R1" s="69" t="s">
        <v>16</v>
      </c>
      <c r="S1" s="99" t="s">
        <v>17</v>
      </c>
      <c r="T1" t="s">
        <v>18</v>
      </c>
      <c r="U1" s="68" t="s">
        <v>19</v>
      </c>
      <c r="V1" s="69" t="s">
        <v>20</v>
      </c>
      <c r="W1" s="127" t="s">
        <v>193</v>
      </c>
      <c r="X1" s="127" t="s">
        <v>194</v>
      </c>
      <c r="Y1" s="69"/>
      <c r="Z1" s="69"/>
      <c r="AA1" s="69"/>
    </row>
    <row r="2" spans="1:27" x14ac:dyDescent="0.2">
      <c r="A2" t="s">
        <v>290</v>
      </c>
      <c r="B2" t="s">
        <v>30</v>
      </c>
      <c r="C2" s="146">
        <v>49.406625736517228</v>
      </c>
      <c r="D2" s="90">
        <v>15.561246103898419</v>
      </c>
      <c r="E2" s="12">
        <v>0.68503726227154882</v>
      </c>
      <c r="F2" s="90">
        <v>-15.279085208237669</v>
      </c>
      <c r="G2" s="90">
        <v>-1.3092517446894709</v>
      </c>
      <c r="H2" s="12">
        <v>-0.48390717144387507</v>
      </c>
      <c r="I2" s="12">
        <v>-1.6840825267382509E-2</v>
      </c>
      <c r="J2" s="12">
        <v>1.8945618446803121</v>
      </c>
      <c r="K2" s="90">
        <v>-0.98186771844768483</v>
      </c>
      <c r="L2" s="7">
        <v>32.093530576242479</v>
      </c>
      <c r="M2" s="14">
        <v>0.35042051348749292</v>
      </c>
      <c r="N2" s="7">
        <v>-975.21492039186603</v>
      </c>
      <c r="O2" s="7">
        <v>-20.738545303470691</v>
      </c>
      <c r="P2" s="7">
        <v>-30.38665123100472</v>
      </c>
      <c r="Q2" s="99">
        <v>3.5162096368497459E-2</v>
      </c>
      <c r="R2" s="99">
        <v>-1.771582177986555E-2</v>
      </c>
      <c r="S2" s="99">
        <v>8.0913662106700326E-3</v>
      </c>
      <c r="U2" s="117">
        <f>C2*S2</f>
        <v>0.39976710206767591</v>
      </c>
      <c r="V2" s="117">
        <f>(1+S2)*Q2*(1-U2)+S2</f>
        <v>2.9367585112030969E-2</v>
      </c>
      <c r="W2" s="117">
        <f>V2+I2/3</f>
        <v>2.3753976689570133E-2</v>
      </c>
      <c r="X2" s="117">
        <f>V2+I2/5</f>
        <v>2.5999420058554469E-2</v>
      </c>
      <c r="Y2" s="117"/>
      <c r="AA2" s="117"/>
    </row>
    <row r="3" spans="1:27" x14ac:dyDescent="0.2">
      <c r="A3" t="s">
        <v>291</v>
      </c>
      <c r="B3" t="s">
        <v>32</v>
      </c>
      <c r="C3" s="146">
        <v>-125.528633489355</v>
      </c>
      <c r="D3" s="90">
        <v>39.497844628934857</v>
      </c>
      <c r="E3" s="12">
        <v>1.314652072049237</v>
      </c>
      <c r="F3" s="90">
        <v>-16.93700270381914</v>
      </c>
      <c r="G3" s="90">
        <v>-0.86507458710402174</v>
      </c>
      <c r="H3" s="12">
        <v>-1.446807059615947</v>
      </c>
      <c r="I3" s="12">
        <v>0.93436480171734848</v>
      </c>
      <c r="J3" s="12">
        <v>-0.63569493033434576</v>
      </c>
      <c r="K3" s="90">
        <v>-0.42880827708283692</v>
      </c>
      <c r="L3" s="7">
        <v>67.271267253115468</v>
      </c>
      <c r="M3" s="14">
        <v>1.5359037646085749</v>
      </c>
      <c r="N3" s="7">
        <v>-16.93700270381914</v>
      </c>
      <c r="O3" s="7">
        <v>-0.86507458710402174</v>
      </c>
      <c r="P3" s="7">
        <v>-0.25177172060832193</v>
      </c>
      <c r="S3" s="99">
        <v>4.7385811585566387E-3</v>
      </c>
      <c r="U3" s="117">
        <f>C3*S3</f>
        <v>-0.59482761751201951</v>
      </c>
      <c r="V3" s="117">
        <f>(1+S3)*R2*(1-U3)+S3</f>
        <v>-2.3648983047327637E-2</v>
      </c>
      <c r="W3" s="117">
        <f>V3+I3/3</f>
        <v>0.28780595085845517</v>
      </c>
      <c r="X3" s="117">
        <f>V3+I3/5</f>
        <v>0.16322397729614208</v>
      </c>
      <c r="Y3" s="117"/>
      <c r="AA3" s="117"/>
    </row>
    <row r="4" spans="1:27" x14ac:dyDescent="0.2">
      <c r="B4" t="s">
        <v>34</v>
      </c>
      <c r="C4" s="143">
        <v>1.737240535389706</v>
      </c>
      <c r="D4" s="90">
        <v>1.2737698760402609</v>
      </c>
      <c r="E4" s="12">
        <v>0.26678554288135842</v>
      </c>
      <c r="F4" s="90">
        <v>4.0451693279083996</v>
      </c>
      <c r="G4" s="90">
        <v>1.328502729186531</v>
      </c>
      <c r="H4" s="12">
        <v>-9.3319513597606374E-2</v>
      </c>
      <c r="I4" s="12">
        <v>6.7781691661096488E-2</v>
      </c>
      <c r="J4" s="12">
        <v>0.51070738219443057</v>
      </c>
      <c r="K4" s="90">
        <v>3.1757457952165771</v>
      </c>
      <c r="L4" s="7">
        <v>1.2737698760402609</v>
      </c>
      <c r="M4" s="14">
        <v>0.26678554288135842</v>
      </c>
      <c r="N4" s="7">
        <v>2.0933094942649788</v>
      </c>
      <c r="O4" s="7">
        <v>0.20496238236543249</v>
      </c>
      <c r="P4" s="7">
        <v>1.6433969225056579</v>
      </c>
      <c r="W4" s="117">
        <f>V2+I4/3</f>
        <v>5.1961482332396461E-2</v>
      </c>
      <c r="X4" s="117">
        <f>V2+I4/5</f>
        <v>4.2923923444250264E-2</v>
      </c>
      <c r="Y4" s="117"/>
      <c r="AA4" s="117"/>
    </row>
    <row r="5" spans="1:27" x14ac:dyDescent="0.2">
      <c r="B5" t="s">
        <v>35</v>
      </c>
      <c r="C5" s="143">
        <v>2.2238428991674759</v>
      </c>
      <c r="D5" s="90">
        <v>1.412243488249056</v>
      </c>
      <c r="E5" s="12">
        <v>0.36495357258475991</v>
      </c>
      <c r="F5" s="90">
        <v>5.7485144291684556</v>
      </c>
      <c r="G5" s="90">
        <v>1.5849462798475951</v>
      </c>
      <c r="H5" s="12">
        <v>-0.18034666827021939</v>
      </c>
      <c r="I5" s="12">
        <v>5.0318856613174263E-2</v>
      </c>
      <c r="J5" s="12">
        <v>0.51734016601798083</v>
      </c>
      <c r="K5" s="90">
        <v>4.0704839335429668</v>
      </c>
      <c r="L5" s="7">
        <v>1.412243488249056</v>
      </c>
      <c r="M5" s="14">
        <v>0.36495357258475991</v>
      </c>
      <c r="N5" s="7">
        <v>2.5908650050088502</v>
      </c>
      <c r="O5" s="7">
        <v>0.16503958349700579</v>
      </c>
      <c r="P5" s="7">
        <v>1.834573872400068</v>
      </c>
      <c r="W5" s="117">
        <f>V3+I5/3</f>
        <v>-6.8760308429362156E-3</v>
      </c>
      <c r="X5" s="117">
        <f>V3+I5/5</f>
        <v>-1.3585211724692785E-2</v>
      </c>
      <c r="Y5" s="117"/>
      <c r="AA5" s="117"/>
    </row>
    <row r="6" spans="1:27" x14ac:dyDescent="0.2">
      <c r="C6" s="101"/>
      <c r="D6" s="90"/>
      <c r="F6" s="90"/>
      <c r="G6" s="90"/>
      <c r="K6" s="90"/>
      <c r="L6" s="7"/>
      <c r="N6" s="7"/>
      <c r="O6" s="7"/>
      <c r="P6" s="7"/>
      <c r="AA6" s="117"/>
    </row>
    <row r="7" spans="1:27" x14ac:dyDescent="0.2">
      <c r="A7" t="s">
        <v>292</v>
      </c>
      <c r="B7" t="s">
        <v>30</v>
      </c>
      <c r="C7" s="145">
        <v>7.221488694319941</v>
      </c>
      <c r="D7" s="90">
        <v>6.6898221867110603</v>
      </c>
      <c r="E7" s="12">
        <v>7.3622840125341815E-2</v>
      </c>
      <c r="F7" s="90">
        <v>-176.9298111080121</v>
      </c>
      <c r="G7" s="90">
        <v>-25.50046224501828</v>
      </c>
      <c r="H7" s="12">
        <v>0.51318955364984764</v>
      </c>
      <c r="I7" s="12">
        <v>1.5680084340081679</v>
      </c>
      <c r="J7" s="12">
        <v>3.5243453836386678</v>
      </c>
      <c r="K7" s="90">
        <v>-26.447610440150829</v>
      </c>
      <c r="L7" s="7">
        <v>6.6898221867110603</v>
      </c>
      <c r="M7" s="14">
        <v>7.3622840125341815E-2</v>
      </c>
      <c r="N7" s="7">
        <v>-176.9298111080121</v>
      </c>
      <c r="O7" s="7">
        <v>-25.50046224501828</v>
      </c>
      <c r="P7" s="7">
        <v>-26.447610440150829</v>
      </c>
      <c r="Q7" s="99">
        <v>0.1218060357465675</v>
      </c>
      <c r="R7" s="99">
        <v>6.0187272529712219E-2</v>
      </c>
      <c r="S7" s="99">
        <v>7.7512778117060338E-2</v>
      </c>
      <c r="U7" s="117">
        <f>C7*S7</f>
        <v>0.55975765083768136</v>
      </c>
      <c r="V7" s="117">
        <f>(1+S7)*Q7*(1-U7)+S7</f>
        <v>0.13529351223950747</v>
      </c>
      <c r="W7" s="117">
        <f>V7+I7/3</f>
        <v>0.65796299024223015</v>
      </c>
      <c r="X7" s="117">
        <f>V7+I7/5</f>
        <v>0.44889519904114106</v>
      </c>
      <c r="Y7" s="117"/>
      <c r="AA7" s="117"/>
    </row>
    <row r="8" spans="1:27" x14ac:dyDescent="0.2">
      <c r="A8" t="s">
        <v>293</v>
      </c>
      <c r="B8" t="s">
        <v>32</v>
      </c>
      <c r="C8" s="145">
        <v>25.218738377253331</v>
      </c>
      <c r="D8" s="90">
        <v>22.82989958547083</v>
      </c>
      <c r="E8" s="12">
        <v>9.4724754111299103E-2</v>
      </c>
      <c r="F8" s="90">
        <v>-1.3500506361506039</v>
      </c>
      <c r="G8" s="90">
        <v>-1.0535336310625401</v>
      </c>
      <c r="H8" s="12">
        <v>0.91230366747710412</v>
      </c>
      <c r="I8" s="12">
        <v>1.99002851316467</v>
      </c>
      <c r="J8" s="12">
        <v>6.3492915392671119</v>
      </c>
      <c r="K8" s="90">
        <v>-5.9135198168361151E-2</v>
      </c>
      <c r="L8" s="7">
        <v>22.82989958547083</v>
      </c>
      <c r="M8" s="14">
        <v>9.4724754111299103E-2</v>
      </c>
      <c r="N8" s="7">
        <v>-1.3500506361506039</v>
      </c>
      <c r="O8" s="7">
        <v>-1.0535336310625401</v>
      </c>
      <c r="P8" s="7">
        <v>-5.9135198168361151E-2</v>
      </c>
      <c r="S8" s="99">
        <v>2.1412925404101599E-2</v>
      </c>
      <c r="U8" s="117">
        <f>C8*S8</f>
        <v>0.54000696365767975</v>
      </c>
      <c r="V8" s="117">
        <f>(1+S8)*R7*(1-U8)+S8</f>
        <v>4.9691484034944389E-2</v>
      </c>
      <c r="W8" s="117">
        <f>V8+I8/3</f>
        <v>0.71303432175650105</v>
      </c>
      <c r="X8" s="117">
        <f>V8+I8/5</f>
        <v>0.44769718666787839</v>
      </c>
      <c r="Y8" s="117"/>
      <c r="AA8" s="117"/>
    </row>
    <row r="9" spans="1:27" x14ac:dyDescent="0.2">
      <c r="B9" t="s">
        <v>34</v>
      </c>
      <c r="C9" s="143">
        <v>0.87962091004376763</v>
      </c>
      <c r="D9" s="90">
        <v>0.68169399487210236</v>
      </c>
      <c r="E9" s="12">
        <v>0.2250138814478807</v>
      </c>
      <c r="F9" s="90">
        <v>2.1918882174277008</v>
      </c>
      <c r="G9" s="90">
        <v>1.491855516848319</v>
      </c>
      <c r="H9" s="12">
        <v>-6.548220721656095E-2</v>
      </c>
      <c r="I9" s="12">
        <v>0.32667795691325469</v>
      </c>
      <c r="J9" s="12">
        <v>0.45276440443955762</v>
      </c>
      <c r="K9" s="90">
        <v>3.215355033073068</v>
      </c>
      <c r="L9" s="7">
        <v>0.68169399487210236</v>
      </c>
      <c r="M9" s="14">
        <v>0.2250138814478807</v>
      </c>
      <c r="N9" s="7">
        <v>1.389334535835602</v>
      </c>
      <c r="O9" s="7">
        <v>0.57946965558887453</v>
      </c>
      <c r="P9" s="7">
        <v>2.0380618668883321</v>
      </c>
      <c r="W9" s="117">
        <f>V7+I9/3</f>
        <v>0.24418616454392572</v>
      </c>
      <c r="X9" s="117">
        <f>V7+I9/5</f>
        <v>0.20062910362215841</v>
      </c>
      <c r="Y9" s="117"/>
      <c r="AA9" s="117"/>
    </row>
    <row r="10" spans="1:27" x14ac:dyDescent="0.2">
      <c r="B10" t="s">
        <v>35</v>
      </c>
      <c r="C10" s="143">
        <v>1.5178470795672589</v>
      </c>
      <c r="D10" s="90">
        <v>1.114495222385572</v>
      </c>
      <c r="E10" s="12">
        <v>0.26573945597779369</v>
      </c>
      <c r="F10" s="90">
        <v>-5.039297178864091</v>
      </c>
      <c r="G10" s="90">
        <v>-4.3200295647047691</v>
      </c>
      <c r="H10" s="12">
        <v>-2.9012445969874401E-2</v>
      </c>
      <c r="I10" s="12">
        <v>0.25281354695535252</v>
      </c>
      <c r="J10" s="12">
        <v>0.7657869018790644</v>
      </c>
      <c r="K10" s="90">
        <v>-4.5215960352683222</v>
      </c>
      <c r="L10" s="7">
        <v>1.114495222385572</v>
      </c>
      <c r="M10" s="14">
        <v>0.26573945597779369</v>
      </c>
      <c r="N10" s="7">
        <v>-5.039297178864091</v>
      </c>
      <c r="O10" s="7">
        <v>-4.3200295647047691</v>
      </c>
      <c r="P10" s="7">
        <v>-4.5215960352683222</v>
      </c>
      <c r="W10" s="117">
        <f>V8+I10/3</f>
        <v>0.13396266635339521</v>
      </c>
      <c r="X10" s="117">
        <f>V8+I10/5</f>
        <v>0.1002541934260149</v>
      </c>
      <c r="Y10" s="117"/>
      <c r="AA10" s="117"/>
    </row>
    <row r="11" spans="1:27" x14ac:dyDescent="0.2">
      <c r="C11" s="101"/>
      <c r="D11" s="90"/>
      <c r="F11" s="90"/>
      <c r="G11" s="90"/>
      <c r="K11" s="90"/>
      <c r="L11" s="7"/>
      <c r="N11" s="7"/>
      <c r="O11" s="7"/>
      <c r="P11" s="7"/>
      <c r="AA11" s="117"/>
    </row>
    <row r="12" spans="1:27" x14ac:dyDescent="0.2">
      <c r="A12" s="128" t="s">
        <v>294</v>
      </c>
      <c r="B12" t="s">
        <v>30</v>
      </c>
      <c r="C12" s="145">
        <v>6.3707582976879538</v>
      </c>
      <c r="D12" s="90">
        <v>6.1836155777967754</v>
      </c>
      <c r="E12" s="12">
        <v>2.937526604314844E-2</v>
      </c>
      <c r="F12" s="90">
        <v>-141.5123154727122</v>
      </c>
      <c r="G12" s="90">
        <v>-23.212789884693819</v>
      </c>
      <c r="H12" s="12">
        <v>0.48606865122452653</v>
      </c>
      <c r="I12" s="12">
        <v>0.80223043317918608</v>
      </c>
      <c r="J12" s="12">
        <v>3.820773868458748</v>
      </c>
      <c r="K12" s="90">
        <v>-22.885044144858231</v>
      </c>
      <c r="L12" s="7">
        <v>6.1836155777967754</v>
      </c>
      <c r="M12" s="14">
        <v>2.937526604314844E-2</v>
      </c>
      <c r="N12" s="7">
        <v>14.61206433108136</v>
      </c>
      <c r="O12" s="7">
        <v>1.293614613567164</v>
      </c>
      <c r="P12" s="7">
        <v>2.3630292257410419</v>
      </c>
      <c r="Q12" s="99">
        <v>0.21305500670505781</v>
      </c>
      <c r="R12" s="99">
        <v>0.1662321564096986</v>
      </c>
      <c r="S12" s="99">
        <v>6.4294873701281854E-2</v>
      </c>
      <c r="U12" s="117">
        <f>C12*S12</f>
        <v>0.40960710013124035</v>
      </c>
      <c r="V12" s="117">
        <f>(1+S12)*Q12*(1-U12)+S12</f>
        <v>0.19816844242033371</v>
      </c>
      <c r="W12" s="117">
        <f>V12+I12/3</f>
        <v>0.46557858681339576</v>
      </c>
      <c r="X12" s="117">
        <f>V12+I12/5</f>
        <v>0.35861452905617092</v>
      </c>
      <c r="Y12" s="117"/>
      <c r="AA12" s="117"/>
    </row>
    <row r="13" spans="1:27" x14ac:dyDescent="0.2">
      <c r="A13" t="s">
        <v>295</v>
      </c>
      <c r="B13" t="s">
        <v>32</v>
      </c>
      <c r="C13" s="144">
        <v>7.5813283321617426</v>
      </c>
      <c r="D13" s="90">
        <v>7.0336022077498894</v>
      </c>
      <c r="E13" s="12">
        <v>7.2246722528593543E-2</v>
      </c>
      <c r="F13" s="90">
        <v>-11.953626037851549</v>
      </c>
      <c r="G13" s="90">
        <v>-2.5767192125344991</v>
      </c>
      <c r="H13" s="12">
        <v>0.6242578851268259</v>
      </c>
      <c r="I13" s="12">
        <v>2.155399624551948</v>
      </c>
      <c r="J13" s="12">
        <v>-15.680220257557711</v>
      </c>
      <c r="K13" s="90">
        <v>-1.699502713514363</v>
      </c>
      <c r="L13" s="7">
        <v>7.0336022077498894</v>
      </c>
      <c r="M13" s="14">
        <v>7.2246722528593543E-2</v>
      </c>
      <c r="N13" s="7">
        <v>28.54498353141696</v>
      </c>
      <c r="O13" s="7">
        <v>2.7651691472485842</v>
      </c>
      <c r="P13" s="7">
        <v>4.058373318292726</v>
      </c>
      <c r="S13" s="99">
        <v>3.6898807675533073E-2</v>
      </c>
      <c r="U13" s="117">
        <f>C13*S13</f>
        <v>0.27974197605350604</v>
      </c>
      <c r="V13" s="117">
        <f>(1+S13)*R12*(1-U13)+S13</f>
        <v>0.16104674805224095</v>
      </c>
      <c r="W13" s="117">
        <f>V13+I13/3</f>
        <v>0.87951328956955699</v>
      </c>
      <c r="X13" s="117">
        <f>V13+I13/5</f>
        <v>0.59212667296263055</v>
      </c>
      <c r="Y13" s="117"/>
      <c r="AA13" s="117"/>
    </row>
    <row r="14" spans="1:27" x14ac:dyDescent="0.2">
      <c r="B14" t="s">
        <v>34</v>
      </c>
      <c r="C14" s="146">
        <v>1.35732195183021</v>
      </c>
      <c r="D14" s="90">
        <v>0.86310444709160727</v>
      </c>
      <c r="E14" s="12">
        <v>0.36411221676051192</v>
      </c>
      <c r="F14" s="90">
        <v>2.3663107939715058</v>
      </c>
      <c r="G14" s="90">
        <v>0.74336736452304386</v>
      </c>
      <c r="H14" s="12">
        <v>-0.18917614059832649</v>
      </c>
      <c r="I14" s="12">
        <v>-4.7296375298211617E-2</v>
      </c>
      <c r="J14" s="12">
        <v>0.14134265817572911</v>
      </c>
      <c r="K14" s="90">
        <v>2.7416273916155061</v>
      </c>
      <c r="L14" s="7">
        <v>0.86310444709160727</v>
      </c>
      <c r="M14" s="14">
        <v>0.36411221676051192</v>
      </c>
      <c r="N14" s="7">
        <v>1.954223836471547</v>
      </c>
      <c r="O14" s="7">
        <v>0.4397644080216021</v>
      </c>
      <c r="P14" s="7">
        <v>2.2641800109554202</v>
      </c>
      <c r="W14" s="117">
        <f>V12+I14/3</f>
        <v>0.1824029839875965</v>
      </c>
      <c r="X14" s="117">
        <f>V12+I14/5</f>
        <v>0.18870916736069138</v>
      </c>
      <c r="Y14" s="117"/>
      <c r="AA14" s="117"/>
    </row>
    <row r="15" spans="1:27" x14ac:dyDescent="0.2">
      <c r="B15" t="s">
        <v>35</v>
      </c>
      <c r="C15" s="143">
        <v>1.2602605571051899</v>
      </c>
      <c r="D15" s="90">
        <v>0.78760682983104657</v>
      </c>
      <c r="E15" s="12">
        <v>0.37504444982379359</v>
      </c>
      <c r="F15" s="90">
        <v>3.2318656375187622</v>
      </c>
      <c r="G15" s="90">
        <v>1.5644424236701771</v>
      </c>
      <c r="H15" s="12">
        <v>-0.13400629872501879</v>
      </c>
      <c r="I15" s="12">
        <v>0.15822981636546701</v>
      </c>
      <c r="J15" s="12">
        <v>0.44993813174053238</v>
      </c>
      <c r="K15" s="90">
        <v>4.1033997105028224</v>
      </c>
      <c r="L15" s="7">
        <v>0.78760682983104657</v>
      </c>
      <c r="M15" s="14">
        <v>0.37504444982379359</v>
      </c>
      <c r="N15" s="7">
        <v>1.9647107324281949</v>
      </c>
      <c r="O15" s="7">
        <v>0.5589718501871721</v>
      </c>
      <c r="P15" s="7">
        <v>2.4945323707383991</v>
      </c>
      <c r="W15" s="117">
        <f>V13+I15/3</f>
        <v>0.21379002017406329</v>
      </c>
      <c r="X15" s="117">
        <f>V13+I15/5</f>
        <v>0.19269271132533436</v>
      </c>
      <c r="Y15" s="117"/>
      <c r="AA15" s="117"/>
    </row>
    <row r="16" spans="1:27" x14ac:dyDescent="0.2">
      <c r="C16" s="101"/>
      <c r="D16" s="90"/>
      <c r="F16" s="90"/>
      <c r="G16" s="90"/>
      <c r="K16" s="90"/>
      <c r="L16" s="7"/>
      <c r="N16" s="7"/>
      <c r="O16" s="7"/>
      <c r="P16" s="7"/>
      <c r="AA16" s="117"/>
    </row>
    <row r="17" spans="1:27" x14ac:dyDescent="0.2">
      <c r="A17" t="s">
        <v>296</v>
      </c>
      <c r="B17" t="s">
        <v>30</v>
      </c>
      <c r="C17" s="143">
        <v>20.747698564527049</v>
      </c>
      <c r="D17" s="90">
        <v>11.924218618280999</v>
      </c>
      <c r="E17" s="12">
        <v>0.42527511756565672</v>
      </c>
      <c r="F17" s="90">
        <v>-66.923786602141305</v>
      </c>
      <c r="G17" s="90">
        <v>-4.2256004873987738</v>
      </c>
      <c r="H17" s="12">
        <v>-0.11953723230911011</v>
      </c>
      <c r="I17" s="12">
        <v>0.34938016322804999</v>
      </c>
      <c r="J17" s="12">
        <v>3.239987424624148</v>
      </c>
      <c r="K17" s="90">
        <v>-5.6124253290308301</v>
      </c>
      <c r="L17" s="7">
        <v>11.924218618280999</v>
      </c>
      <c r="M17" s="14">
        <v>0.42527511756565672</v>
      </c>
      <c r="N17" s="7">
        <v>44.792028799747641</v>
      </c>
      <c r="O17" s="7">
        <v>1.1588914385101909</v>
      </c>
      <c r="P17" s="7">
        <v>3.756391109022192</v>
      </c>
      <c r="Q17" s="99">
        <v>0.1042550924222555</v>
      </c>
      <c r="R17" s="99">
        <v>3.3715071647785977E-2</v>
      </c>
      <c r="S17" s="99">
        <v>1.3840824636472409E-2</v>
      </c>
      <c r="U17" s="117">
        <f>C17*S17</f>
        <v>0.28716525744200921</v>
      </c>
      <c r="V17" s="117">
        <f>(1+S17)*Q17*(1-U17)+S17</f>
        <v>8.9186080351097916E-2</v>
      </c>
      <c r="W17" s="117">
        <f>V17+I17/3</f>
        <v>0.20564613476044791</v>
      </c>
      <c r="X17" s="117">
        <f>V17+I17/5</f>
        <v>0.15906211299670792</v>
      </c>
      <c r="Y17" s="117"/>
      <c r="AA17" s="117"/>
    </row>
    <row r="18" spans="1:27" x14ac:dyDescent="0.2">
      <c r="A18" t="s">
        <v>297</v>
      </c>
      <c r="B18" t="s">
        <v>32</v>
      </c>
      <c r="C18" s="146">
        <v>52.848064351534212</v>
      </c>
      <c r="D18" s="90">
        <v>12.481042005148209</v>
      </c>
      <c r="E18" s="12">
        <v>0.7638316150592207</v>
      </c>
      <c r="F18" s="90">
        <v>-71.713881238002799</v>
      </c>
      <c r="G18" s="90">
        <v>-2.3569821736701111</v>
      </c>
      <c r="H18" s="12">
        <v>-0.58837369308879683</v>
      </c>
      <c r="I18" s="12">
        <v>-0.35869880541168098</v>
      </c>
      <c r="J18" s="12">
        <v>1.027013151364504</v>
      </c>
      <c r="K18" s="90">
        <v>-5.7458248444658766</v>
      </c>
      <c r="L18" s="7">
        <v>12.481042005148209</v>
      </c>
      <c r="M18" s="14">
        <v>0.7638316150592207</v>
      </c>
      <c r="N18" s="7">
        <v>-254.27462112325199</v>
      </c>
      <c r="O18" s="7">
        <v>-5.8114273293316989</v>
      </c>
      <c r="P18" s="7">
        <v>-20.37286798797474</v>
      </c>
      <c r="S18" s="99">
        <v>9.1691915165045441E-3</v>
      </c>
      <c r="U18" s="117">
        <f>C18*S18</f>
        <v>0.48457402331577371</v>
      </c>
      <c r="V18" s="117">
        <f>(1+S18)*R17*(1-U18)+S18</f>
        <v>2.6706154009653288E-2</v>
      </c>
      <c r="W18" s="117">
        <f>V18+I18/3</f>
        <v>-9.2860114460907042E-2</v>
      </c>
      <c r="X18" s="117">
        <f>V18+I18/5</f>
        <v>-4.5033607072682905E-2</v>
      </c>
      <c r="Y18" s="117"/>
      <c r="AA18" s="117"/>
    </row>
    <row r="19" spans="1:27" x14ac:dyDescent="0.2">
      <c r="B19" t="s">
        <v>34</v>
      </c>
      <c r="C19" s="143">
        <v>2.163053231393866</v>
      </c>
      <c r="D19" s="90">
        <v>1.2663411524214789</v>
      </c>
      <c r="E19" s="12">
        <v>0.41455848887941982</v>
      </c>
      <c r="F19" s="90">
        <v>8.2066253663765973</v>
      </c>
      <c r="G19" s="90">
        <v>2.7940006502236039</v>
      </c>
      <c r="H19" s="12">
        <v>-0.19398441198688421</v>
      </c>
      <c r="I19" s="12">
        <v>0.33268424403038538</v>
      </c>
      <c r="J19" s="12">
        <v>0.95591278958607595</v>
      </c>
      <c r="K19" s="90">
        <v>6.4805801743740279</v>
      </c>
      <c r="L19" s="7">
        <v>1.2663411524214789</v>
      </c>
      <c r="M19" s="14">
        <v>0.41455848887941982</v>
      </c>
      <c r="N19" s="7">
        <v>3.6504106595283519</v>
      </c>
      <c r="O19" s="7">
        <v>0.68761942912335838</v>
      </c>
      <c r="P19" s="7">
        <v>2.882643948313683</v>
      </c>
      <c r="W19" s="117">
        <f>V17+I19/3</f>
        <v>0.20008082836122637</v>
      </c>
      <c r="X19" s="117">
        <f>V17+I19/5</f>
        <v>0.15572292915717501</v>
      </c>
      <c r="Y19" s="117"/>
      <c r="AA19" s="117"/>
    </row>
    <row r="20" spans="1:27" x14ac:dyDescent="0.2">
      <c r="B20" t="s">
        <v>35</v>
      </c>
      <c r="C20" s="143">
        <v>1.7817762760587801</v>
      </c>
      <c r="D20" s="90">
        <v>1.307250810693408</v>
      </c>
      <c r="E20" s="12">
        <v>0.266321575689067</v>
      </c>
      <c r="F20" s="90">
        <v>8.606298059216174</v>
      </c>
      <c r="G20" s="90">
        <v>3.830178836061827</v>
      </c>
      <c r="H20" s="12">
        <v>-9.378466212045522E-3</v>
      </c>
      <c r="I20" s="12">
        <v>0.34024748567904323</v>
      </c>
      <c r="J20" s="12">
        <v>1.5282247356048191</v>
      </c>
      <c r="K20" s="90">
        <v>6.5835094450246459</v>
      </c>
      <c r="L20" s="7">
        <v>1.307250810693408</v>
      </c>
      <c r="M20" s="14">
        <v>0.266321575689067</v>
      </c>
      <c r="N20" s="7">
        <v>3.685883582114946</v>
      </c>
      <c r="O20" s="7">
        <v>1.06865678460372</v>
      </c>
      <c r="P20" s="7">
        <v>2.8195687866200951</v>
      </c>
      <c r="W20" s="117">
        <f>V18+I20/3</f>
        <v>0.14012198256933436</v>
      </c>
      <c r="X20" s="117">
        <f>V18+I20/5</f>
        <v>9.475565114546193E-2</v>
      </c>
      <c r="Y20" s="117"/>
      <c r="AA20" s="117"/>
    </row>
    <row r="21" spans="1:27" x14ac:dyDescent="0.2">
      <c r="C21" s="101"/>
      <c r="D21" s="90"/>
      <c r="F21" s="90"/>
      <c r="G21" s="90"/>
      <c r="K21" s="90"/>
      <c r="L21" s="7"/>
      <c r="N21" s="7"/>
      <c r="O21" s="7"/>
      <c r="P21" s="7"/>
      <c r="AA21" s="117"/>
    </row>
    <row r="22" spans="1:27" x14ac:dyDescent="0.2">
      <c r="A22" s="128" t="s">
        <v>298</v>
      </c>
      <c r="B22" t="s">
        <v>30</v>
      </c>
      <c r="C22" s="145">
        <v>16.29554369696481</v>
      </c>
      <c r="D22" s="90">
        <v>12.46285296832662</v>
      </c>
      <c r="E22" s="12">
        <v>0.2351987021673948</v>
      </c>
      <c r="F22" s="90">
        <v>129.3741749156888</v>
      </c>
      <c r="G22" s="90">
        <v>6.9392364760303096</v>
      </c>
      <c r="H22" s="12">
        <v>0.1155546977638366</v>
      </c>
      <c r="I22" s="12">
        <v>1.299927561365843</v>
      </c>
      <c r="J22" s="12">
        <v>3.763227236908457</v>
      </c>
      <c r="K22" s="90">
        <v>10.38078321588832</v>
      </c>
      <c r="L22" s="7">
        <v>12.46285296832662</v>
      </c>
      <c r="M22" s="14">
        <v>0.2351987021673948</v>
      </c>
      <c r="N22" s="7">
        <v>60.868475482539289</v>
      </c>
      <c r="O22" s="7">
        <v>2.7352834992475019</v>
      </c>
      <c r="P22" s="7">
        <v>4.8839921033516038</v>
      </c>
      <c r="Q22" s="99">
        <v>0.15824328351822151</v>
      </c>
      <c r="R22" s="99">
        <v>0.102892863446129</v>
      </c>
      <c r="S22" s="99">
        <v>2.0738938002511139E-2</v>
      </c>
      <c r="U22" s="117">
        <f>C22*S22</f>
        <v>0.33795227044856435</v>
      </c>
      <c r="V22" s="117">
        <f>(1+S22)*Q22*(1-U22)+S22</f>
        <v>0.12767625125302656</v>
      </c>
      <c r="W22" s="117">
        <f>V22+I22/3</f>
        <v>0.56098543837497417</v>
      </c>
      <c r="X22" s="117">
        <f>V22+I22/5</f>
        <v>0.38766176352619514</v>
      </c>
      <c r="Y22" s="117"/>
      <c r="AA22" s="117"/>
    </row>
    <row r="23" spans="1:27" x14ac:dyDescent="0.2">
      <c r="A23" t="s">
        <v>299</v>
      </c>
      <c r="B23" t="s">
        <v>32</v>
      </c>
      <c r="C23" s="145">
        <v>23.071037237364241</v>
      </c>
      <c r="D23" s="90">
        <v>17.80278717482296</v>
      </c>
      <c r="E23" s="12">
        <v>0.22834907717149311</v>
      </c>
      <c r="F23" s="90">
        <v>-49.794291036950419</v>
      </c>
      <c r="G23" s="90">
        <v>-3.1583030933826879</v>
      </c>
      <c r="H23" s="12">
        <v>0.19885893766909701</v>
      </c>
      <c r="I23" s="12">
        <v>3.2962682732666311</v>
      </c>
      <c r="J23" s="12">
        <v>11.06017097871918</v>
      </c>
      <c r="K23" s="90">
        <v>-2.7969941194022949</v>
      </c>
      <c r="L23" s="7">
        <v>17.80278717482296</v>
      </c>
      <c r="M23" s="14">
        <v>0.22834907717149311</v>
      </c>
      <c r="N23" s="7">
        <v>413.63962777144121</v>
      </c>
      <c r="O23" s="7">
        <v>16.92895670514282</v>
      </c>
      <c r="P23" s="7">
        <v>23.2345432043595</v>
      </c>
      <c r="S23" s="99">
        <v>1.3682713647192819E-2</v>
      </c>
      <c r="U23" s="117">
        <f>C23*S23</f>
        <v>0.31567439606257741</v>
      </c>
      <c r="V23" s="117">
        <f>(1+S23)*R22*(1-U23)+S23</f>
        <v>8.5058364821908206E-2</v>
      </c>
      <c r="W23" s="117">
        <f>V23+I23/3</f>
        <v>1.183814455910785</v>
      </c>
      <c r="X23" s="117">
        <f>V23+I23/5</f>
        <v>0.7443120194752344</v>
      </c>
      <c r="Y23" s="117"/>
      <c r="AA23" s="117"/>
    </row>
    <row r="24" spans="1:27" x14ac:dyDescent="0.2">
      <c r="B24" t="s">
        <v>34</v>
      </c>
      <c r="C24" s="143">
        <v>2.5786603413223701</v>
      </c>
      <c r="D24" s="90">
        <v>1.756413448322554</v>
      </c>
      <c r="E24" s="12">
        <v>0.31886591646969581</v>
      </c>
      <c r="F24" s="90">
        <v>6.1068745266858793</v>
      </c>
      <c r="G24" s="90">
        <v>1.368235330890534</v>
      </c>
      <c r="H24" s="12">
        <v>-0.1016704599008865</v>
      </c>
      <c r="I24" s="12">
        <v>0.1232668213969816</v>
      </c>
      <c r="J24" s="12">
        <v>0.36413349866590311</v>
      </c>
      <c r="K24" s="90">
        <v>3.476900346281333</v>
      </c>
      <c r="L24" s="7">
        <v>1.756413448322554</v>
      </c>
      <c r="M24" s="14">
        <v>0.31886591646969581</v>
      </c>
      <c r="N24" s="7">
        <v>4.8063139719719343</v>
      </c>
      <c r="O24" s="7">
        <v>0.86388020746741501</v>
      </c>
      <c r="P24" s="7">
        <v>2.7364365585803041</v>
      </c>
      <c r="W24" s="117">
        <f>V22+I24/3</f>
        <v>0.16876519171868709</v>
      </c>
      <c r="X24" s="117">
        <f>V22+I24/5</f>
        <v>0.15232961553242289</v>
      </c>
      <c r="Y24" s="117"/>
      <c r="AA24" s="117"/>
    </row>
    <row r="25" spans="1:27" x14ac:dyDescent="0.2">
      <c r="B25" t="s">
        <v>35</v>
      </c>
      <c r="C25" s="143">
        <v>2.373845084024675</v>
      </c>
      <c r="D25" s="90">
        <v>1.7756504536469211</v>
      </c>
      <c r="E25" s="12">
        <v>0.25199396304478311</v>
      </c>
      <c r="F25" s="90">
        <v>6.1198821540485104</v>
      </c>
      <c r="G25" s="90">
        <v>1.578046139250465</v>
      </c>
      <c r="H25" s="12">
        <v>-9.091799519473831E-2</v>
      </c>
      <c r="I25" s="12">
        <v>6.8244564317443412E-2</v>
      </c>
      <c r="J25" s="12">
        <v>0.42706205966765892</v>
      </c>
      <c r="K25" s="90">
        <v>3.446557931195966</v>
      </c>
      <c r="L25" s="7">
        <v>1.7756504536469211</v>
      </c>
      <c r="M25" s="14">
        <v>0.25199396304478311</v>
      </c>
      <c r="N25" s="7">
        <v>3.685306381195669</v>
      </c>
      <c r="O25" s="7">
        <v>0.55246288226505125</v>
      </c>
      <c r="P25" s="7">
        <v>2.0754683860365648</v>
      </c>
      <c r="W25" s="117">
        <f>V23+I25/3</f>
        <v>0.10780655292772268</v>
      </c>
      <c r="X25" s="117">
        <f>V23+I25/5</f>
        <v>9.8707277685396888E-2</v>
      </c>
      <c r="Y25" s="117"/>
      <c r="AA25" s="117"/>
    </row>
    <row r="26" spans="1:27" x14ac:dyDescent="0.2">
      <c r="C26" s="101"/>
      <c r="D26" s="90"/>
      <c r="F26" s="90"/>
      <c r="G26" s="90"/>
      <c r="K26" s="90"/>
      <c r="L26" s="7"/>
      <c r="N26" s="7"/>
      <c r="O26" s="7"/>
      <c r="P26" s="7"/>
      <c r="AA26" s="117"/>
    </row>
    <row r="27" spans="1:27" x14ac:dyDescent="0.2">
      <c r="A27" t="s">
        <v>300</v>
      </c>
      <c r="B27" t="s">
        <v>30</v>
      </c>
      <c r="C27" s="143">
        <v>28.765389056875289</v>
      </c>
      <c r="D27" s="90">
        <v>17.74093064039387</v>
      </c>
      <c r="E27" s="12">
        <v>0.38325427807298978</v>
      </c>
      <c r="F27" s="90">
        <v>82.84096357591693</v>
      </c>
      <c r="G27" s="90">
        <v>1.879883300452593</v>
      </c>
      <c r="H27" s="12">
        <v>-5.9707753345841552E-2</v>
      </c>
      <c r="I27" s="12">
        <v>0.1540949893179917</v>
      </c>
      <c r="J27" s="12">
        <v>0.61454388972372387</v>
      </c>
      <c r="K27" s="90">
        <v>4.6694824107647692</v>
      </c>
      <c r="L27" s="7">
        <v>17.74093064039387</v>
      </c>
      <c r="M27" s="14">
        <v>0.38325427807298978</v>
      </c>
      <c r="N27" s="7">
        <v>40.718050830418932</v>
      </c>
      <c r="O27" s="7">
        <v>0.41552234005633237</v>
      </c>
      <c r="P27" s="7">
        <v>2.2951473998612588</v>
      </c>
      <c r="Q27" s="99">
        <v>9.1971890033598208E-2</v>
      </c>
      <c r="R27" s="99">
        <v>5.3483797058953272E-2</v>
      </c>
      <c r="S27" s="99">
        <v>8.7749664955658023E-3</v>
      </c>
      <c r="U27" s="117">
        <f>C27*S27</f>
        <v>0.25241532520599586</v>
      </c>
      <c r="V27" s="117">
        <f>(1+S27)*Q27*(1-U27)+S27</f>
        <v>7.8135080397887274E-2</v>
      </c>
      <c r="W27" s="117">
        <f>V27+I27/3</f>
        <v>0.12950007683721784</v>
      </c>
      <c r="X27" s="117">
        <f>V27+I27/5</f>
        <v>0.10895407826148562</v>
      </c>
      <c r="Y27" s="117"/>
      <c r="AA27" s="117"/>
    </row>
    <row r="28" spans="1:27" x14ac:dyDescent="0.2">
      <c r="A28" t="s">
        <v>301</v>
      </c>
      <c r="B28" t="s">
        <v>32</v>
      </c>
      <c r="C28" s="143">
        <v>45.353199993442203</v>
      </c>
      <c r="D28" s="90">
        <v>18.919743030853489</v>
      </c>
      <c r="E28" s="12">
        <v>0.58283554338857746</v>
      </c>
      <c r="F28" s="90">
        <v>-72.175256510494435</v>
      </c>
      <c r="G28" s="90">
        <v>-2.5914038374564652</v>
      </c>
      <c r="H28" s="12">
        <v>-0.11620470365402411</v>
      </c>
      <c r="I28" s="12">
        <v>6.9230037499840247E-2</v>
      </c>
      <c r="J28" s="12">
        <v>0.58155365889919719</v>
      </c>
      <c r="K28" s="90">
        <v>-3.8148116701582149</v>
      </c>
      <c r="L28" s="7">
        <v>25.882458845413861</v>
      </c>
      <c r="M28" s="14">
        <v>0.42931350270419039</v>
      </c>
      <c r="N28" s="7">
        <v>-72.175256510494435</v>
      </c>
      <c r="O28" s="7">
        <v>-2.5914038374564652</v>
      </c>
      <c r="P28" s="7">
        <v>-2.7885780459101639</v>
      </c>
      <c r="S28" s="99">
        <v>9.5130713218924759E-3</v>
      </c>
      <c r="U28" s="117">
        <f>C28*S28</f>
        <v>0.43144822621366907</v>
      </c>
      <c r="V28" s="117">
        <f>(1+S28)*R27*(1-U28)+S28</f>
        <v>4.0210655408390097E-2</v>
      </c>
      <c r="W28" s="117">
        <f>V28+I28/3</f>
        <v>6.3287334575003518E-2</v>
      </c>
      <c r="X28" s="117">
        <f>V28+I28/5</f>
        <v>5.4056662908358144E-2</v>
      </c>
      <c r="Y28" s="117"/>
      <c r="AA28" s="117"/>
    </row>
    <row r="29" spans="1:27" x14ac:dyDescent="0.2">
      <c r="B29" t="s">
        <v>34</v>
      </c>
      <c r="C29" s="143">
        <v>2.6456071991126038</v>
      </c>
      <c r="D29" s="90">
        <v>1.796709475610893</v>
      </c>
      <c r="E29" s="12">
        <v>0.32087065826947031</v>
      </c>
      <c r="F29" s="90">
        <v>7.3567195847844911</v>
      </c>
      <c r="G29" s="90">
        <v>1.780730105078373</v>
      </c>
      <c r="H29" s="12">
        <v>-0.11752302450423111</v>
      </c>
      <c r="I29" s="12">
        <v>0.1147699703091745</v>
      </c>
      <c r="J29" s="12">
        <v>0.39368641198942922</v>
      </c>
      <c r="K29" s="90">
        <v>4.0945515591958221</v>
      </c>
      <c r="L29" s="7">
        <v>1.796709475610893</v>
      </c>
      <c r="M29" s="14">
        <v>0.32087065826947031</v>
      </c>
      <c r="N29" s="7">
        <v>4.1056232955527578</v>
      </c>
      <c r="O29" s="7">
        <v>0.55186427408039873</v>
      </c>
      <c r="P29" s="7">
        <v>2.285079113392452</v>
      </c>
      <c r="W29" s="117">
        <f>V27+I29/3</f>
        <v>0.11639173716761211</v>
      </c>
      <c r="X29" s="117">
        <f>V27+I29/5</f>
        <v>0.10108907445972218</v>
      </c>
      <c r="Y29" s="117"/>
      <c r="AA29" s="117"/>
    </row>
    <row r="30" spans="1:27" x14ac:dyDescent="0.2">
      <c r="B30" t="s">
        <v>35</v>
      </c>
      <c r="C30" s="143">
        <v>2.425661344423383</v>
      </c>
      <c r="D30" s="90">
        <v>1.855560672809637</v>
      </c>
      <c r="E30" s="12">
        <v>0.23502896351315161</v>
      </c>
      <c r="F30" s="90">
        <v>6.5600578415802824</v>
      </c>
      <c r="G30" s="90">
        <v>1.7044409379989971</v>
      </c>
      <c r="H30" s="12">
        <v>-6.609771794610142E-2</v>
      </c>
      <c r="I30" s="12">
        <v>8.0606135909606635E-2</v>
      </c>
      <c r="J30" s="12">
        <v>0.5189335999418343</v>
      </c>
      <c r="K30" s="90">
        <v>3.535350763630503</v>
      </c>
      <c r="L30" s="7">
        <v>1.855560672809637</v>
      </c>
      <c r="M30" s="14">
        <v>0.23502896351315161</v>
      </c>
      <c r="N30" s="7">
        <v>3.5540133126311382</v>
      </c>
      <c r="O30" s="7">
        <v>0.46517291904817881</v>
      </c>
      <c r="P30" s="7">
        <v>1.9153312336856929</v>
      </c>
      <c r="W30" s="117">
        <f>V28+I30/3</f>
        <v>6.7079367378258981E-2</v>
      </c>
      <c r="X30" s="117">
        <f>V28+I30/5</f>
        <v>5.6331882590311425E-2</v>
      </c>
      <c r="Y30" s="117"/>
      <c r="AA30" s="117"/>
    </row>
    <row r="31" spans="1:27" x14ac:dyDescent="0.2">
      <c r="C31" s="101"/>
      <c r="D31" s="90"/>
      <c r="F31" s="90"/>
      <c r="G31" s="90"/>
      <c r="K31" s="90"/>
      <c r="L31" s="7"/>
      <c r="N31" s="7"/>
      <c r="O31" s="7"/>
      <c r="P31" s="7"/>
      <c r="AA31" s="117"/>
    </row>
    <row r="32" spans="1:27" x14ac:dyDescent="0.2">
      <c r="A32" t="s">
        <v>302</v>
      </c>
      <c r="B32" t="s">
        <v>30</v>
      </c>
      <c r="C32" s="145">
        <v>11.75646273469134</v>
      </c>
      <c r="D32" s="90">
        <v>10.45471655643038</v>
      </c>
      <c r="E32" s="12">
        <v>0.1107260072725551</v>
      </c>
      <c r="F32" s="90">
        <v>-377.47652698007778</v>
      </c>
      <c r="G32" s="90">
        <v>-33.108001828322763</v>
      </c>
      <c r="H32" s="12">
        <v>1.1550873549492591</v>
      </c>
      <c r="I32" s="12">
        <v>2.4800246051169079</v>
      </c>
      <c r="J32" s="12">
        <v>8.9633071722398778</v>
      </c>
      <c r="K32" s="90">
        <v>-36.105859488644242</v>
      </c>
      <c r="L32" s="7">
        <v>10.45471655643038</v>
      </c>
      <c r="M32" s="14">
        <v>0.1107260072725551</v>
      </c>
      <c r="N32" s="7">
        <v>213.30436097589819</v>
      </c>
      <c r="O32" s="7">
        <v>17.143583303034941</v>
      </c>
      <c r="P32" s="7">
        <v>20.402691916568621</v>
      </c>
      <c r="Q32" s="99">
        <v>0.21608637488649859</v>
      </c>
      <c r="R32" s="99">
        <v>0.1055897791008117</v>
      </c>
      <c r="S32" s="99">
        <v>1.524610919925393E-2</v>
      </c>
      <c r="U32" s="117">
        <f>C32*S32</f>
        <v>0.17924031465006365</v>
      </c>
      <c r="V32" s="117">
        <f>(1+S32)*Q32*(1-U32)+S32</f>
        <v>0.19530506772876555</v>
      </c>
      <c r="W32" s="117">
        <f>V32+I32/3</f>
        <v>1.0219799361010682</v>
      </c>
      <c r="X32" s="117">
        <f>V32+I32/5</f>
        <v>0.69130998875214711</v>
      </c>
      <c r="Y32" s="117"/>
      <c r="AA32" s="117"/>
    </row>
    <row r="33" spans="1:27" x14ac:dyDescent="0.2">
      <c r="A33" t="s">
        <v>303</v>
      </c>
      <c r="B33" t="s">
        <v>32</v>
      </c>
      <c r="C33" s="144">
        <v>19.646261347830372</v>
      </c>
      <c r="D33" s="90">
        <v>16.973576751458079</v>
      </c>
      <c r="E33" s="12">
        <v>0.13604036661496671</v>
      </c>
      <c r="F33" s="90">
        <v>-30.530999179596879</v>
      </c>
      <c r="G33" s="90">
        <v>-2.5540360905851718</v>
      </c>
      <c r="H33" s="12">
        <v>0.86073083832159547</v>
      </c>
      <c r="I33" s="12">
        <v>5.4150343744459679</v>
      </c>
      <c r="J33" s="12">
        <v>-7.5423638907519743</v>
      </c>
      <c r="K33" s="90">
        <v>-1.7987369207243951</v>
      </c>
      <c r="L33" s="7">
        <v>16.973576751458079</v>
      </c>
      <c r="M33" s="14">
        <v>0.13604036661496671</v>
      </c>
      <c r="N33" s="7">
        <v>-30.530999179596879</v>
      </c>
      <c r="O33" s="7">
        <v>-2.5540360905851718</v>
      </c>
      <c r="P33" s="7">
        <v>-1.7987369207243951</v>
      </c>
      <c r="S33" s="99">
        <v>1.443903998995285E-2</v>
      </c>
      <c r="U33" s="117">
        <f>C33*S33</f>
        <v>0.28367315325438769</v>
      </c>
      <c r="V33" s="117">
        <f>(1+S33)*R32*(1-U33)+S33</f>
        <v>9.1167956188032445E-2</v>
      </c>
      <c r="W33" s="117">
        <f>V33+I33/3</f>
        <v>1.8961794143366886</v>
      </c>
      <c r="X33" s="117">
        <f>V33+I33/5</f>
        <v>1.1741748310772262</v>
      </c>
      <c r="Y33" s="117"/>
      <c r="AA33" s="117"/>
    </row>
    <row r="34" spans="1:27" x14ac:dyDescent="0.2">
      <c r="B34" t="s">
        <v>34</v>
      </c>
      <c r="C34" s="146">
        <v>2.540411413827663</v>
      </c>
      <c r="D34" s="90">
        <v>1.416910701590625</v>
      </c>
      <c r="E34" s="12">
        <v>0.44225148183547491</v>
      </c>
      <c r="F34" s="90">
        <v>5.2214668955871186</v>
      </c>
      <c r="G34" s="90">
        <v>1.0553627129709211</v>
      </c>
      <c r="H34" s="12">
        <v>-0.30497278236578612</v>
      </c>
      <c r="I34" s="12">
        <v>-5.8072895779063723E-2</v>
      </c>
      <c r="J34" s="12">
        <v>0.10931177535604369</v>
      </c>
      <c r="K34" s="90">
        <v>3.685106541806408</v>
      </c>
      <c r="L34" s="7">
        <v>1.416910701590625</v>
      </c>
      <c r="M34" s="14">
        <v>0.44225148183547491</v>
      </c>
      <c r="N34" s="7">
        <v>4.3644754479325734</v>
      </c>
      <c r="O34" s="7">
        <v>0.71801914610223516</v>
      </c>
      <c r="P34" s="7">
        <v>3.0802755904327701</v>
      </c>
      <c r="W34" s="117">
        <f>V32+I34/3</f>
        <v>0.17594743580241098</v>
      </c>
      <c r="X34" s="117">
        <f>V32+I34/5</f>
        <v>0.18369048857295281</v>
      </c>
      <c r="Y34" s="117"/>
      <c r="AA34" s="117"/>
    </row>
    <row r="35" spans="1:27" x14ac:dyDescent="0.2">
      <c r="B35" t="s">
        <v>35</v>
      </c>
      <c r="C35" s="143">
        <v>2.0744443958742251</v>
      </c>
      <c r="D35" s="90">
        <v>1.465090951505426</v>
      </c>
      <c r="E35" s="12">
        <v>0.29374296345600581</v>
      </c>
      <c r="F35" s="90">
        <v>5.2166986016767876</v>
      </c>
      <c r="G35" s="90">
        <v>1.5147449659542871</v>
      </c>
      <c r="H35" s="12">
        <v>-0.1512735091961562</v>
      </c>
      <c r="I35" s="12">
        <v>1.0119167966132551E-2</v>
      </c>
      <c r="J35" s="12">
        <v>0.29491132172285611</v>
      </c>
      <c r="K35" s="90">
        <v>3.5606653609569219</v>
      </c>
      <c r="L35" s="7">
        <v>1.465090951505426</v>
      </c>
      <c r="M35" s="14">
        <v>0.29374296345600581</v>
      </c>
      <c r="N35" s="7">
        <v>2.641210834021154</v>
      </c>
      <c r="O35" s="7">
        <v>0.27321360807459899</v>
      </c>
      <c r="P35" s="7">
        <v>1.802762368648327</v>
      </c>
      <c r="W35" s="117">
        <f>V33+I35/3</f>
        <v>9.4541012176743294E-2</v>
      </c>
      <c r="X35" s="117">
        <f>V33+I35/5</f>
        <v>9.3191789781258957E-2</v>
      </c>
      <c r="Y35" s="117"/>
      <c r="AA35" s="117"/>
    </row>
    <row r="36" spans="1:27" x14ac:dyDescent="0.2">
      <c r="C36" s="101"/>
      <c r="D36" s="90"/>
      <c r="F36" s="90"/>
      <c r="G36" s="90"/>
      <c r="K36" s="90"/>
      <c r="L36" s="7"/>
      <c r="N36" s="7"/>
      <c r="O36" s="7"/>
      <c r="P36" s="7"/>
      <c r="AA36" s="117"/>
    </row>
    <row r="37" spans="1:27" x14ac:dyDescent="0.2">
      <c r="A37" t="s">
        <v>304</v>
      </c>
      <c r="B37" t="s">
        <v>30</v>
      </c>
      <c r="C37" s="143">
        <v>19.999286184207921</v>
      </c>
      <c r="D37" s="90">
        <v>9.3709177405585731</v>
      </c>
      <c r="E37" s="12">
        <v>0.53143738960252729</v>
      </c>
      <c r="F37" s="90">
        <v>-45.163815295928167</v>
      </c>
      <c r="G37" s="90">
        <v>-3.25827136428454</v>
      </c>
      <c r="H37" s="12">
        <v>-0.1044417433735777</v>
      </c>
      <c r="I37" s="12">
        <v>0.49091479742623639</v>
      </c>
      <c r="J37" s="12">
        <v>5.8589835463462387</v>
      </c>
      <c r="K37" s="90">
        <v>-4.819572270969064</v>
      </c>
      <c r="L37" s="7">
        <v>9.3709177405585731</v>
      </c>
      <c r="M37" s="14">
        <v>0.53143738960252729</v>
      </c>
      <c r="N37" s="7">
        <v>33.854155125863187</v>
      </c>
      <c r="O37" s="7">
        <v>0.69276817252585343</v>
      </c>
      <c r="P37" s="7">
        <v>3.6126829904116988</v>
      </c>
      <c r="Q37" s="99">
        <v>0.1125568626747708</v>
      </c>
      <c r="R37" s="99">
        <v>3.259604147548769E-2</v>
      </c>
      <c r="S37" s="99">
        <v>2.3463477225560251E-2</v>
      </c>
      <c r="U37" s="117">
        <f>C37*S37</f>
        <v>0.46925279591062435</v>
      </c>
      <c r="V37" s="117">
        <f>(1+S37)*Q37*(1-U37)+S37</f>
        <v>8.460440769236699E-2</v>
      </c>
      <c r="W37" s="117">
        <f>V37+I37/3</f>
        <v>0.24824267350111245</v>
      </c>
      <c r="X37" s="117">
        <f>V37+I37/5</f>
        <v>0.18278736717761426</v>
      </c>
      <c r="Y37" s="117"/>
      <c r="AA37" s="117"/>
    </row>
    <row r="38" spans="1:27" x14ac:dyDescent="0.2">
      <c r="A38" t="s">
        <v>305</v>
      </c>
      <c r="B38" t="s">
        <v>32</v>
      </c>
      <c r="C38" s="146">
        <v>66.163173321597853</v>
      </c>
      <c r="D38" s="90">
        <v>23.164983435118248</v>
      </c>
      <c r="E38" s="12">
        <v>0.64988100974962715</v>
      </c>
      <c r="F38" s="90">
        <v>-42.687032890091309</v>
      </c>
      <c r="G38" s="90">
        <v>-1.645178136825503</v>
      </c>
      <c r="H38" s="12">
        <v>-0.45170619947069401</v>
      </c>
      <c r="I38" s="12">
        <v>-0.17290657111727831</v>
      </c>
      <c r="J38" s="12">
        <v>4.6066225346221401</v>
      </c>
      <c r="K38" s="90">
        <v>-1.842739625074695</v>
      </c>
      <c r="L38" s="7">
        <v>23.164983435118248</v>
      </c>
      <c r="M38" s="14">
        <v>0.64988100974962715</v>
      </c>
      <c r="N38" s="7">
        <v>-191.52192677491911</v>
      </c>
      <c r="O38" s="7">
        <v>-3.894690764664396</v>
      </c>
      <c r="P38" s="7">
        <v>-8.2677342425624492</v>
      </c>
      <c r="S38" s="99">
        <v>1.4917879589908461E-2</v>
      </c>
      <c r="U38" s="117">
        <f>C38*S38</f>
        <v>0.98701425289784062</v>
      </c>
      <c r="V38" s="117">
        <f>(1+S38)*R37*(1-U38)+S38</f>
        <v>1.5347478040055974E-2</v>
      </c>
      <c r="W38" s="117">
        <f>V38+I38/3</f>
        <v>-4.2288045665703461E-2</v>
      </c>
      <c r="X38" s="117">
        <f>V38+I38/5</f>
        <v>-1.9233836183399685E-2</v>
      </c>
      <c r="Y38" s="117"/>
      <c r="AA38" s="117"/>
    </row>
    <row r="39" spans="1:27" x14ac:dyDescent="0.2">
      <c r="B39" t="s">
        <v>34</v>
      </c>
      <c r="C39" s="143">
        <v>2.2510569086293311</v>
      </c>
      <c r="D39" s="90">
        <v>1.8189669862154989</v>
      </c>
      <c r="E39" s="12">
        <v>0.19194979956190061</v>
      </c>
      <c r="F39" s="90">
        <v>6.2824871124979182</v>
      </c>
      <c r="G39" s="90">
        <v>1.790905502395018</v>
      </c>
      <c r="H39" s="12">
        <v>-5.8676835975891788E-2</v>
      </c>
      <c r="I39" s="12">
        <v>0.1692065622650081</v>
      </c>
      <c r="J39" s="12">
        <v>0.37566283106913301</v>
      </c>
      <c r="K39" s="90">
        <v>3.4538763815439641</v>
      </c>
      <c r="L39" s="7">
        <v>1.8308078986452281</v>
      </c>
      <c r="M39" s="14">
        <v>0.1866896427065422</v>
      </c>
      <c r="N39" s="7">
        <v>4.3838093520017951</v>
      </c>
      <c r="O39" s="7">
        <v>0.94744492473586428</v>
      </c>
      <c r="P39" s="7">
        <v>2.3944671394774688</v>
      </c>
      <c r="W39" s="117">
        <f>V37+I39/3</f>
        <v>0.14100659511403635</v>
      </c>
      <c r="X39" s="117">
        <f>V37+I39/5</f>
        <v>0.11844572014536861</v>
      </c>
      <c r="Y39" s="117"/>
      <c r="AA39" s="117"/>
    </row>
    <row r="40" spans="1:27" x14ac:dyDescent="0.2">
      <c r="B40" t="s">
        <v>35</v>
      </c>
      <c r="C40" s="143">
        <v>2.1566575417406839</v>
      </c>
      <c r="D40" s="90">
        <v>1.60303633030322</v>
      </c>
      <c r="E40" s="12">
        <v>0.2567033479922014</v>
      </c>
      <c r="F40" s="90">
        <v>6.8236649931812607</v>
      </c>
      <c r="G40" s="90">
        <v>2.1640002462670709</v>
      </c>
      <c r="H40" s="12">
        <v>-9.6049714320349699E-2</v>
      </c>
      <c r="I40" s="12">
        <v>5.5512186043433553E-2</v>
      </c>
      <c r="J40" s="12">
        <v>0.37925018101255498</v>
      </c>
      <c r="K40" s="90">
        <v>4.2567126297696207</v>
      </c>
      <c r="L40" s="7">
        <v>1.60303633030322</v>
      </c>
      <c r="M40" s="14">
        <v>0.2567033479922014</v>
      </c>
      <c r="N40" s="7">
        <v>2.873031889752613</v>
      </c>
      <c r="O40" s="7">
        <v>0.33216880016737699</v>
      </c>
      <c r="P40" s="7">
        <v>1.79224377853568</v>
      </c>
      <c r="W40" s="117">
        <f>V38+I40/3</f>
        <v>3.3851540054533821E-2</v>
      </c>
      <c r="X40" s="117">
        <f>V38+I40/5</f>
        <v>2.6449915248742684E-2</v>
      </c>
      <c r="Y40" s="117"/>
      <c r="AA40" s="117"/>
    </row>
    <row r="41" spans="1:27" x14ac:dyDescent="0.2">
      <c r="C41" s="101"/>
      <c r="D41" s="90"/>
      <c r="F41" s="90"/>
      <c r="G41" s="90"/>
      <c r="K41" s="90"/>
      <c r="L41" s="7"/>
      <c r="N41" s="7"/>
      <c r="O41" s="7"/>
      <c r="P41" s="7"/>
      <c r="AA41" s="117"/>
    </row>
    <row r="42" spans="1:27" x14ac:dyDescent="0.2">
      <c r="A42" s="128" t="s">
        <v>306</v>
      </c>
      <c r="B42" t="s">
        <v>30</v>
      </c>
      <c r="C42" s="143">
        <v>12.957129739137111</v>
      </c>
      <c r="D42" s="90">
        <v>7.8718156656640188</v>
      </c>
      <c r="E42" s="12">
        <v>0.39247226630083509</v>
      </c>
      <c r="F42" s="90">
        <v>45.094342725731529</v>
      </c>
      <c r="G42" s="90">
        <v>2.4802725320812158</v>
      </c>
      <c r="H42" s="12">
        <v>-0.19855482944653821</v>
      </c>
      <c r="I42" s="12">
        <v>3.8035350618186747E-2</v>
      </c>
      <c r="J42" s="12">
        <v>0.83707536712469177</v>
      </c>
      <c r="K42" s="90">
        <v>5.7285821519459628</v>
      </c>
      <c r="L42" s="7">
        <v>7.8718156656640188</v>
      </c>
      <c r="M42" s="14">
        <v>0.39247226630083509</v>
      </c>
      <c r="N42" s="7">
        <v>22.165509543519619</v>
      </c>
      <c r="O42" s="7">
        <v>0.71068052800062165</v>
      </c>
      <c r="P42" s="7">
        <v>2.8158064778121141</v>
      </c>
      <c r="Q42" s="99">
        <v>9.4481905028360208E-2</v>
      </c>
      <c r="R42" s="99">
        <v>3.5337979185839509E-2</v>
      </c>
      <c r="S42" s="99">
        <v>4.1031405484260097E-2</v>
      </c>
      <c r="U42" s="117">
        <f>C42*S42</f>
        <v>0.53164924423870008</v>
      </c>
      <c r="V42" s="117">
        <f>(1+S42)*Q42*(1-U42)+S42</f>
        <v>8.7097744360489004E-2</v>
      </c>
      <c r="W42" s="117">
        <f>V42+I42/3</f>
        <v>9.9776194566551249E-2</v>
      </c>
      <c r="X42" s="117">
        <f>V42+I42/5</f>
        <v>9.4704814484126348E-2</v>
      </c>
      <c r="Y42" s="117"/>
      <c r="AA42" s="117"/>
    </row>
    <row r="43" spans="1:27" x14ac:dyDescent="0.2">
      <c r="A43" t="s">
        <v>307</v>
      </c>
      <c r="B43" t="s">
        <v>32</v>
      </c>
      <c r="C43" s="146">
        <v>39.184125552919753</v>
      </c>
      <c r="D43" s="90">
        <v>11.30278264601727</v>
      </c>
      <c r="E43" s="12">
        <v>0.71154689592977138</v>
      </c>
      <c r="F43" s="90">
        <v>348.95586220226681</v>
      </c>
      <c r="G43" s="90">
        <v>7.9055416518351986</v>
      </c>
      <c r="H43" s="12">
        <v>-0.60235470009638148</v>
      </c>
      <c r="I43" s="12">
        <v>-0.38491273645737661</v>
      </c>
      <c r="J43" s="12">
        <v>0.20371979400501461</v>
      </c>
      <c r="K43" s="90">
        <v>30.873447108639891</v>
      </c>
      <c r="L43" s="7">
        <v>11.30278264601727</v>
      </c>
      <c r="M43" s="14">
        <v>0.71154689592977138</v>
      </c>
      <c r="N43" s="7">
        <v>39.428083091497058</v>
      </c>
      <c r="O43" s="7">
        <v>6.2259278504972482E-3</v>
      </c>
      <c r="P43" s="7">
        <v>3.4883518799142998</v>
      </c>
      <c r="S43" s="99">
        <v>2.613220616523396E-2</v>
      </c>
      <c r="U43" s="117">
        <f>C43*S43</f>
        <v>1.023967647353311</v>
      </c>
      <c r="V43" s="117">
        <f>(1+S43)*R42*(1-U43)+S43</f>
        <v>2.526310479370231E-2</v>
      </c>
      <c r="W43" s="117">
        <f>V43+I43/3</f>
        <v>-0.10304114069208989</v>
      </c>
      <c r="X43" s="117">
        <f>V43+I43/5</f>
        <v>-5.1719442497773022E-2</v>
      </c>
      <c r="Y43" s="117"/>
      <c r="AA43" s="117"/>
    </row>
    <row r="44" spans="1:27" x14ac:dyDescent="0.2">
      <c r="B44" t="s">
        <v>34</v>
      </c>
      <c r="C44" s="145">
        <v>1.224214301453294</v>
      </c>
      <c r="D44" s="90">
        <v>0.98231494056829116</v>
      </c>
      <c r="E44" s="12">
        <v>0.19759560119322089</v>
      </c>
      <c r="F44" s="90">
        <v>3.1330646982157631</v>
      </c>
      <c r="G44" s="90">
        <v>1.559245300840244</v>
      </c>
      <c r="H44" s="12">
        <v>0.23905051121171739</v>
      </c>
      <c r="I44" s="12">
        <v>0.48605897210642351</v>
      </c>
      <c r="J44" s="12">
        <v>0.72796970221887292</v>
      </c>
      <c r="K44" s="90">
        <v>3.1894706766886962</v>
      </c>
      <c r="L44" s="7">
        <v>0.98231494056829116</v>
      </c>
      <c r="M44" s="14">
        <v>0.19759560119322089</v>
      </c>
      <c r="N44" s="7">
        <v>2.620307446955759</v>
      </c>
      <c r="O44" s="7">
        <v>1.140399310680434</v>
      </c>
      <c r="P44" s="7">
        <v>2.6674820251027151</v>
      </c>
      <c r="W44" s="117">
        <f>V42+I44/3</f>
        <v>0.24911740172929683</v>
      </c>
      <c r="X44" s="117">
        <f>V42+I44/5</f>
        <v>0.1843095387817737</v>
      </c>
      <c r="Y44" s="117"/>
      <c r="AA44" s="117"/>
    </row>
    <row r="45" spans="1:27" x14ac:dyDescent="0.2">
      <c r="B45" t="s">
        <v>35</v>
      </c>
      <c r="C45" s="145">
        <v>1.3846878132044</v>
      </c>
      <c r="D45" s="90">
        <v>1.183127753592345</v>
      </c>
      <c r="E45" s="12">
        <v>0.14556353980296211</v>
      </c>
      <c r="F45" s="90">
        <v>4.1449570397699436</v>
      </c>
      <c r="G45" s="90">
        <v>1.993423499682442</v>
      </c>
      <c r="H45" s="12">
        <v>0.21114328770203161</v>
      </c>
      <c r="I45" s="12">
        <v>0.43660751104590201</v>
      </c>
      <c r="J45" s="12">
        <v>0.7704925610599116</v>
      </c>
      <c r="K45" s="90">
        <v>3.50338923855396</v>
      </c>
      <c r="L45" s="7">
        <v>1.183127753592345</v>
      </c>
      <c r="M45" s="14">
        <v>0.14556353980296211</v>
      </c>
      <c r="N45" s="7">
        <v>2.5299451804366142</v>
      </c>
      <c r="O45" s="7">
        <v>0.82708705623825485</v>
      </c>
      <c r="P45" s="7">
        <v>2.138353337376214</v>
      </c>
      <c r="W45" s="117">
        <f>V43+I45/3</f>
        <v>0.17079894180900299</v>
      </c>
      <c r="X45" s="117">
        <f>V43+I45/5</f>
        <v>0.11258460700288271</v>
      </c>
      <c r="Y45" s="117"/>
      <c r="AA45" s="117"/>
    </row>
    <row r="46" spans="1:27" x14ac:dyDescent="0.2">
      <c r="C46" s="101"/>
      <c r="D46" s="90"/>
      <c r="F46" s="90"/>
      <c r="G46" s="90"/>
      <c r="K46" s="90"/>
      <c r="L46" s="7"/>
      <c r="N46" s="7"/>
      <c r="O46" s="7"/>
      <c r="P46" s="7"/>
      <c r="AA46" s="117"/>
    </row>
    <row r="47" spans="1:27" x14ac:dyDescent="0.2">
      <c r="A47" t="s">
        <v>308</v>
      </c>
      <c r="B47" t="s">
        <v>30</v>
      </c>
      <c r="C47" s="143">
        <v>36.526178066136353</v>
      </c>
      <c r="D47" s="90">
        <v>23.846593050297141</v>
      </c>
      <c r="E47" s="12">
        <v>0.34713692171354049</v>
      </c>
      <c r="F47" s="90">
        <v>155.78887680217011</v>
      </c>
      <c r="G47" s="90">
        <v>3.265129423617493</v>
      </c>
      <c r="H47" s="12">
        <v>-8.3836136548411266E-2</v>
      </c>
      <c r="I47" s="12">
        <v>0.1087988700507319</v>
      </c>
      <c r="J47" s="12">
        <v>0.43570166622616863</v>
      </c>
      <c r="K47" s="90">
        <v>6.5329616047701569</v>
      </c>
      <c r="L47" s="7">
        <v>23.846593050297141</v>
      </c>
      <c r="M47" s="14">
        <v>0.34713692171354049</v>
      </c>
      <c r="N47" s="7">
        <v>56.11163402190823</v>
      </c>
      <c r="O47" s="7">
        <v>0.5362032655130069</v>
      </c>
      <c r="P47" s="7">
        <v>2.353025184920873</v>
      </c>
      <c r="Q47" s="99">
        <v>6.2809234806072381E-2</v>
      </c>
      <c r="R47" s="99">
        <v>3.4294116542804627E-2</v>
      </c>
      <c r="S47" s="99">
        <v>1.154229491033385E-2</v>
      </c>
      <c r="U47" s="117">
        <f>C47*S47</f>
        <v>0.42159591918671352</v>
      </c>
      <c r="V47" s="117">
        <f>(1+S47)*Q47*(1-U47)+S47</f>
        <v>4.8290734025535499E-2</v>
      </c>
      <c r="W47" s="117">
        <f>V47+I47/3</f>
        <v>8.4557024042446138E-2</v>
      </c>
      <c r="X47" s="117">
        <f>V47+I47/5</f>
        <v>7.0050508035681885E-2</v>
      </c>
      <c r="Y47" s="117"/>
      <c r="AA47" s="117"/>
    </row>
    <row r="48" spans="1:27" x14ac:dyDescent="0.2">
      <c r="A48" t="s">
        <v>309</v>
      </c>
      <c r="B48" t="s">
        <v>32</v>
      </c>
      <c r="C48" s="146">
        <v>66.197993952455079</v>
      </c>
      <c r="D48" s="90">
        <v>25.87744213933475</v>
      </c>
      <c r="E48" s="12">
        <v>0.60909023681411667</v>
      </c>
      <c r="F48" s="90">
        <v>-726.55719986161614</v>
      </c>
      <c r="G48" s="90">
        <v>-11.97551687719489</v>
      </c>
      <c r="H48" s="12">
        <v>-0.46764978230805421</v>
      </c>
      <c r="I48" s="12">
        <v>-0.239609417111462</v>
      </c>
      <c r="J48" s="12">
        <v>4.1712007131352813E-2</v>
      </c>
      <c r="K48" s="90">
        <v>-28.07685535338209</v>
      </c>
      <c r="L48" s="7">
        <v>25.87744213933475</v>
      </c>
      <c r="M48" s="14">
        <v>0.60909023681411667</v>
      </c>
      <c r="N48" s="7">
        <v>145.71485811419771</v>
      </c>
      <c r="O48" s="7">
        <v>1.201197489743473</v>
      </c>
      <c r="P48" s="7">
        <v>5.6309606385982507</v>
      </c>
      <c r="S48" s="99">
        <v>9.8564278591761374E-3</v>
      </c>
      <c r="U48" s="117">
        <f>C48*S48</f>
        <v>0.65247575181455175</v>
      </c>
      <c r="V48" s="117">
        <f>(1+S48)*R47*(1-U48)+S48</f>
        <v>2.1891934200489307E-2</v>
      </c>
      <c r="W48" s="117">
        <f>V48+I48/3</f>
        <v>-5.7977871503331363E-2</v>
      </c>
      <c r="X48" s="117">
        <f>V48+I48/5</f>
        <v>-2.6029949221803093E-2</v>
      </c>
      <c r="Y48" s="117"/>
      <c r="AA48" s="117"/>
    </row>
    <row r="49" spans="1:27" x14ac:dyDescent="0.2">
      <c r="B49" t="s">
        <v>34</v>
      </c>
      <c r="C49" s="145">
        <v>2.2941812947243689</v>
      </c>
      <c r="D49" s="90">
        <v>1.754801400254403</v>
      </c>
      <c r="E49" s="12">
        <v>0.2351077901778329</v>
      </c>
      <c r="F49" s="90">
        <v>7.2985549375601888</v>
      </c>
      <c r="G49" s="90">
        <v>2.1813331205967592</v>
      </c>
      <c r="H49" s="12">
        <v>3.9348082940439122E-2</v>
      </c>
      <c r="I49" s="12">
        <v>0.40159054208796552</v>
      </c>
      <c r="J49" s="12">
        <v>0.8907851031075753</v>
      </c>
      <c r="K49" s="90">
        <v>4.1591914255949867</v>
      </c>
      <c r="L49" s="7">
        <v>2.0413561042825541</v>
      </c>
      <c r="M49" s="14">
        <v>0.1102027947935956</v>
      </c>
      <c r="N49" s="7">
        <v>5.6986840848335421</v>
      </c>
      <c r="O49" s="7">
        <v>1.4839728655874169</v>
      </c>
      <c r="P49" s="7">
        <v>2.791616843762974</v>
      </c>
      <c r="W49" s="117">
        <f>V47+I49/3</f>
        <v>0.18215424805485733</v>
      </c>
      <c r="X49" s="117">
        <f>V47+I49/5</f>
        <v>0.12860884244312859</v>
      </c>
      <c r="Y49" s="117"/>
      <c r="AA49" s="117"/>
    </row>
    <row r="50" spans="1:27" x14ac:dyDescent="0.2">
      <c r="B50" t="s">
        <v>35</v>
      </c>
      <c r="C50" s="143">
        <v>2.270201719505371</v>
      </c>
      <c r="D50" s="90">
        <v>1.6262539792463151</v>
      </c>
      <c r="E50" s="12">
        <v>0.28365221236787669</v>
      </c>
      <c r="F50" s="90">
        <v>6.2914365611111078</v>
      </c>
      <c r="G50" s="90">
        <v>1.771311688761243</v>
      </c>
      <c r="H50" s="12">
        <v>-8.4403262216436792E-2</v>
      </c>
      <c r="I50" s="12">
        <v>3.9579485262723368E-2</v>
      </c>
      <c r="J50" s="12">
        <v>0.54718563626787686</v>
      </c>
      <c r="K50" s="90">
        <v>3.8686678965279859</v>
      </c>
      <c r="L50" s="7">
        <v>1.758013339839525</v>
      </c>
      <c r="M50" s="14">
        <v>0.22561359867943431</v>
      </c>
      <c r="N50" s="7">
        <v>2.92953098851474</v>
      </c>
      <c r="O50" s="7">
        <v>0.29042761413863422</v>
      </c>
      <c r="P50" s="7">
        <v>1.6663872350264159</v>
      </c>
      <c r="W50" s="117">
        <f>V48+I50/3</f>
        <v>3.508509595473043E-2</v>
      </c>
      <c r="X50" s="117">
        <f>V48+I50/5</f>
        <v>2.9807831253033983E-2</v>
      </c>
      <c r="Y50" s="117"/>
      <c r="AA50" s="117"/>
    </row>
    <row r="51" spans="1:27" x14ac:dyDescent="0.2">
      <c r="C51" s="101"/>
      <c r="D51" s="90"/>
      <c r="F51" s="90"/>
      <c r="G51" s="90"/>
      <c r="K51" s="90"/>
      <c r="L51" s="7"/>
      <c r="N51" s="7"/>
      <c r="O51" s="7"/>
      <c r="P51" s="7"/>
      <c r="AA51" s="117"/>
    </row>
    <row r="52" spans="1:27" x14ac:dyDescent="0.2">
      <c r="A52" s="128" t="s">
        <v>310</v>
      </c>
      <c r="B52" t="s">
        <v>30</v>
      </c>
      <c r="C52" s="144">
        <v>27.919264128312609</v>
      </c>
      <c r="D52" s="90">
        <v>6.1965621143083398</v>
      </c>
      <c r="E52" s="12">
        <v>0.7780542464933925</v>
      </c>
      <c r="F52" s="90">
        <v>-11.953277665588059</v>
      </c>
      <c r="G52" s="90">
        <v>-1.428137275060426</v>
      </c>
      <c r="H52" s="12">
        <v>-0.65920543977566148</v>
      </c>
      <c r="I52" s="12">
        <v>-8.8713514983535524E-2</v>
      </c>
      <c r="J52" s="12">
        <v>-10.521663412801439</v>
      </c>
      <c r="K52" s="90">
        <v>-1.929017646411874</v>
      </c>
      <c r="L52" s="7">
        <v>6.1965621143083398</v>
      </c>
      <c r="M52" s="14">
        <v>0.7780542464933925</v>
      </c>
      <c r="N52" s="7">
        <v>28.505720889595139</v>
      </c>
      <c r="O52" s="7">
        <v>2.1005451955583791E-2</v>
      </c>
      <c r="P52" s="7">
        <v>4.6002477444344878</v>
      </c>
      <c r="Q52" s="99">
        <v>3.6760427890729558E-2</v>
      </c>
      <c r="R52" s="99">
        <v>-6.442715907278569E-3</v>
      </c>
      <c r="S52" s="99">
        <v>4.3032002759222088E-2</v>
      </c>
      <c r="U52" s="117">
        <f>C52*S52</f>
        <v>1.2014218510049983</v>
      </c>
      <c r="V52" s="117">
        <f>(1+S52)*Q52*(1-U52)+S52</f>
        <v>3.5309025172527653E-2</v>
      </c>
      <c r="W52" s="117">
        <f>V52+I52/3</f>
        <v>5.7378535113491447E-3</v>
      </c>
      <c r="X52" s="117">
        <f>V52+I52/5</f>
        <v>1.7566322175820548E-2</v>
      </c>
      <c r="Y52" s="117"/>
      <c r="AA52" s="117"/>
    </row>
    <row r="53" spans="1:27" x14ac:dyDescent="0.2">
      <c r="A53" t="s">
        <v>311</v>
      </c>
      <c r="B53" t="s">
        <v>32</v>
      </c>
      <c r="C53" s="145">
        <v>-179.70479784651849</v>
      </c>
      <c r="D53" s="90">
        <v>8.3352616087162552</v>
      </c>
      <c r="E53" s="12">
        <v>1.0463830777397229</v>
      </c>
      <c r="F53" s="90">
        <v>-11.544924025965919</v>
      </c>
      <c r="G53" s="90">
        <v>-0.93575617254345012</v>
      </c>
      <c r="H53" s="12">
        <v>-1.072078790916509</v>
      </c>
      <c r="I53" s="12">
        <v>-1.329349657858139</v>
      </c>
      <c r="J53" s="12">
        <v>-0.78201557036655844</v>
      </c>
      <c r="K53" s="90">
        <v>-1.3850703874601</v>
      </c>
      <c r="L53" s="7">
        <v>8.3352616087162552</v>
      </c>
      <c r="M53" s="14">
        <v>1.0463830777397229</v>
      </c>
      <c r="N53" s="7">
        <v>-173.4368167632243</v>
      </c>
      <c r="O53" s="7">
        <v>-3.4879319630895522E-2</v>
      </c>
      <c r="P53" s="7">
        <v>-20.80760327688575</v>
      </c>
      <c r="S53" s="99">
        <v>3.4718793761603799E-2</v>
      </c>
      <c r="U53" s="117">
        <f>C53*S53</f>
        <v>-6.2391338144039779</v>
      </c>
      <c r="V53" s="117">
        <f>(1+S53)*R52*(1-U53)+S53</f>
        <v>-1.3540162340010556E-2</v>
      </c>
      <c r="W53" s="117">
        <f>V53+I53/3</f>
        <v>-0.4566567149593902</v>
      </c>
      <c r="X53" s="117">
        <f>V53+I53/5</f>
        <v>-0.27941009391163835</v>
      </c>
      <c r="Y53" s="117"/>
      <c r="AA53" s="117"/>
    </row>
    <row r="54" spans="1:27" x14ac:dyDescent="0.2">
      <c r="B54" t="s">
        <v>34</v>
      </c>
      <c r="C54" s="143">
        <v>1.026324095751068</v>
      </c>
      <c r="D54" s="90">
        <v>0.73879202608737549</v>
      </c>
      <c r="E54" s="12">
        <v>0.28015718509782772</v>
      </c>
      <c r="F54" s="90">
        <v>2.7606978556269501</v>
      </c>
      <c r="G54" s="90">
        <v>1.689888961056361</v>
      </c>
      <c r="H54" s="12">
        <v>-8.0686041490403149E-2</v>
      </c>
      <c r="I54" s="12">
        <v>0.16851513841018639</v>
      </c>
      <c r="J54" s="12">
        <v>0.59420176691919124</v>
      </c>
      <c r="K54" s="90">
        <v>3.7367726750484</v>
      </c>
      <c r="L54" s="7">
        <v>0.85260728771977168</v>
      </c>
      <c r="M54" s="14">
        <v>0.16926116102162619</v>
      </c>
      <c r="N54" s="7">
        <v>1.8386116122585929</v>
      </c>
      <c r="O54" s="7">
        <v>0.79145322600371149</v>
      </c>
      <c r="P54" s="7">
        <v>2.1564577722245479</v>
      </c>
      <c r="W54" s="117">
        <f>V52+I54/3</f>
        <v>9.1480737975923127E-2</v>
      </c>
      <c r="X54" s="117">
        <f>V52+I54/5</f>
        <v>6.9012052854564937E-2</v>
      </c>
      <c r="Y54" s="117"/>
      <c r="AA54" s="117"/>
    </row>
    <row r="55" spans="1:27" x14ac:dyDescent="0.2">
      <c r="B55" t="s">
        <v>35</v>
      </c>
      <c r="C55" s="143">
        <v>1.1577869597000441</v>
      </c>
      <c r="D55" s="90">
        <v>0.9616765271437776</v>
      </c>
      <c r="E55" s="12">
        <v>0.1693838671382811</v>
      </c>
      <c r="F55" s="90">
        <v>3.3506263466236761</v>
      </c>
      <c r="G55" s="90">
        <v>1.893992127439184</v>
      </c>
      <c r="H55" s="12">
        <v>-9.4656584413732592E-3</v>
      </c>
      <c r="I55" s="12">
        <v>0.18194566075593491</v>
      </c>
      <c r="J55" s="12">
        <v>0.86049426859088518</v>
      </c>
      <c r="K55" s="90">
        <v>3.484151117398266</v>
      </c>
      <c r="L55" s="7">
        <v>1.0152869196848049</v>
      </c>
      <c r="M55" s="14">
        <v>0.1230796726646132</v>
      </c>
      <c r="N55" s="7">
        <v>2.1274848401955251</v>
      </c>
      <c r="O55" s="7">
        <v>0.8375443101783655</v>
      </c>
      <c r="P55" s="7">
        <v>2.0954518362710721</v>
      </c>
      <c r="W55" s="117">
        <f>V53+I55/3</f>
        <v>4.7108391245301078E-2</v>
      </c>
      <c r="X55" s="117">
        <f>V53+I55/5</f>
        <v>2.2848969811176428E-2</v>
      </c>
      <c r="Y55" s="117"/>
      <c r="AA55" s="117"/>
    </row>
    <row r="56" spans="1:27" x14ac:dyDescent="0.2">
      <c r="C56" s="101"/>
      <c r="D56" s="90"/>
      <c r="F56" s="90"/>
      <c r="G56" s="90"/>
      <c r="K56" s="90"/>
      <c r="L56" s="7"/>
      <c r="N56" s="7"/>
      <c r="O56" s="7"/>
      <c r="P56" s="7"/>
      <c r="AA56" s="117"/>
    </row>
    <row r="57" spans="1:27" x14ac:dyDescent="0.2">
      <c r="A57" t="s">
        <v>312</v>
      </c>
      <c r="B57" t="s">
        <v>30</v>
      </c>
      <c r="C57" s="145">
        <v>16.41197339319212</v>
      </c>
      <c r="D57" s="90">
        <v>14.330651837098729</v>
      </c>
      <c r="E57" s="12">
        <v>0.12681726360565199</v>
      </c>
      <c r="F57" s="90">
        <v>-185.40320995679579</v>
      </c>
      <c r="G57" s="90">
        <v>-12.29682613510105</v>
      </c>
      <c r="H57" s="12">
        <v>1.0921080472065401</v>
      </c>
      <c r="I57" s="12">
        <v>3.3467894356598</v>
      </c>
      <c r="J57" s="12">
        <v>12.61989970816183</v>
      </c>
      <c r="K57" s="90">
        <v>-12.93752803880351</v>
      </c>
      <c r="L57" s="7">
        <v>14.330651837098729</v>
      </c>
      <c r="M57" s="14">
        <v>0.12681726360565199</v>
      </c>
      <c r="N57" s="7">
        <v>213.7688618460875</v>
      </c>
      <c r="O57" s="7">
        <v>12.02517721206892</v>
      </c>
      <c r="P57" s="7">
        <v>14.91689731046913</v>
      </c>
      <c r="Q57" s="99">
        <v>0.15856186875922559</v>
      </c>
      <c r="R57" s="99">
        <v>8.5464864115236169E-2</v>
      </c>
      <c r="S57" s="99">
        <v>1.1049654339945571E-2</v>
      </c>
      <c r="U57" s="117">
        <f>C57*S57</f>
        <v>0.18134663303115656</v>
      </c>
      <c r="V57" s="117">
        <f>(1+S57)*Q57*(1-U57)+S57</f>
        <v>0.14229118684883635</v>
      </c>
      <c r="W57" s="117">
        <f>V57+I57/3</f>
        <v>1.257887665402103</v>
      </c>
      <c r="X57" s="117">
        <f>V57+I57/5</f>
        <v>0.81164907398079633</v>
      </c>
      <c r="Y57" s="117"/>
      <c r="AA57" s="117"/>
    </row>
    <row r="58" spans="1:27" x14ac:dyDescent="0.2">
      <c r="A58" t="s">
        <v>313</v>
      </c>
      <c r="B58" t="s">
        <v>32</v>
      </c>
      <c r="C58" s="144">
        <v>29.984370868085399</v>
      </c>
      <c r="D58" s="90">
        <v>21.662124246769881</v>
      </c>
      <c r="E58" s="12">
        <v>0.27755281769721918</v>
      </c>
      <c r="F58" s="90">
        <v>-5.9166391649133141</v>
      </c>
      <c r="G58" s="90">
        <v>-1.1973241056463459</v>
      </c>
      <c r="H58" s="12">
        <v>0.7037006660526024</v>
      </c>
      <c r="I58" s="12">
        <v>3.0178201423421211</v>
      </c>
      <c r="J58" s="12">
        <v>-6.1699383245513273</v>
      </c>
      <c r="K58" s="90">
        <v>-0.27313291612181412</v>
      </c>
      <c r="L58" s="7">
        <v>21.662124246769881</v>
      </c>
      <c r="M58" s="14">
        <v>0.27755281769721918</v>
      </c>
      <c r="N58" s="7">
        <v>-5.9166391649133141</v>
      </c>
      <c r="O58" s="7">
        <v>-1.1973241056463459</v>
      </c>
      <c r="P58" s="7">
        <v>-0.27313291612181412</v>
      </c>
      <c r="S58" s="99">
        <v>9.160639907086961E-3</v>
      </c>
      <c r="U58" s="117">
        <f>C58*S58</f>
        <v>0.27467602436307881</v>
      </c>
      <c r="V58" s="117">
        <f>(1+S58)*R57*(1-U58)+S58</f>
        <v>7.1718220381636028E-2</v>
      </c>
      <c r="W58" s="117">
        <f>V58+I58/3</f>
        <v>1.0776582678290096</v>
      </c>
      <c r="X58" s="117">
        <f>V58+I58/5</f>
        <v>0.67528224885006027</v>
      </c>
      <c r="Y58" s="117"/>
      <c r="AA58" s="117"/>
    </row>
    <row r="59" spans="1:27" x14ac:dyDescent="0.2">
      <c r="B59" t="s">
        <v>34</v>
      </c>
      <c r="C59" s="143">
        <v>2.602313171251232</v>
      </c>
      <c r="D59" s="90">
        <v>1.76860728299762</v>
      </c>
      <c r="E59" s="12">
        <v>0.32037108272128262</v>
      </c>
      <c r="F59" s="90">
        <v>5.0178190921195354</v>
      </c>
      <c r="G59" s="90">
        <v>0.92821492338175848</v>
      </c>
      <c r="H59" s="12">
        <v>-0.17407292523172671</v>
      </c>
      <c r="I59" s="12">
        <v>2.4948499360772921E-2</v>
      </c>
      <c r="J59" s="12">
        <v>0.2033518325629311</v>
      </c>
      <c r="K59" s="90">
        <v>2.8371584468513622</v>
      </c>
      <c r="L59" s="7">
        <v>1.76860728299762</v>
      </c>
      <c r="M59" s="14">
        <v>0.32037108272128262</v>
      </c>
      <c r="N59" s="7">
        <v>4.628676298831186</v>
      </c>
      <c r="O59" s="7">
        <v>0.77867765877142592</v>
      </c>
      <c r="P59" s="7">
        <v>2.6171306334247491</v>
      </c>
      <c r="W59" s="117">
        <f>V57+I59/3</f>
        <v>0.15060735330242733</v>
      </c>
      <c r="X59" s="117">
        <f>V57+I59/5</f>
        <v>0.14728088672099093</v>
      </c>
      <c r="Y59" s="117"/>
      <c r="AA59" s="117"/>
    </row>
    <row r="60" spans="1:27" x14ac:dyDescent="0.2">
      <c r="B60" t="s">
        <v>35</v>
      </c>
      <c r="C60" s="143">
        <v>2.562610181821765</v>
      </c>
      <c r="D60" s="90">
        <v>1.6674895000319601</v>
      </c>
      <c r="E60" s="12">
        <v>0.34930036887368537</v>
      </c>
      <c r="F60" s="90">
        <v>5.6348622468583276</v>
      </c>
      <c r="G60" s="90">
        <v>1.1988760861211021</v>
      </c>
      <c r="H60" s="12">
        <v>-0.14180318310188561</v>
      </c>
      <c r="I60" s="12">
        <v>5.2617215723768762E-2</v>
      </c>
      <c r="J60" s="12">
        <v>0.26695833702545091</v>
      </c>
      <c r="K60" s="90">
        <v>3.3792490128125698</v>
      </c>
      <c r="L60" s="7">
        <v>1.6674895000319601</v>
      </c>
      <c r="M60" s="14">
        <v>0.34930036887368537</v>
      </c>
      <c r="N60" s="7">
        <v>3.7296938958964692</v>
      </c>
      <c r="O60" s="7">
        <v>0.45542772067073511</v>
      </c>
      <c r="P60" s="7">
        <v>2.2367120727446759</v>
      </c>
      <c r="W60" s="117">
        <f>V58+I60/3</f>
        <v>8.9257292289558948E-2</v>
      </c>
      <c r="X60" s="117">
        <f>V58+I60/5</f>
        <v>8.2241663526389785E-2</v>
      </c>
      <c r="Y60" s="117"/>
      <c r="AA60" s="117"/>
    </row>
    <row r="61" spans="1:27" x14ac:dyDescent="0.2">
      <c r="C61" s="101"/>
      <c r="D61" s="90"/>
      <c r="F61" s="90"/>
      <c r="G61" s="90"/>
      <c r="K61" s="90"/>
      <c r="L61" s="7"/>
      <c r="N61" s="7"/>
      <c r="O61" s="7"/>
      <c r="P61" s="7"/>
      <c r="AA61" s="117"/>
    </row>
    <row r="62" spans="1:27" x14ac:dyDescent="0.2">
      <c r="A62" t="s">
        <v>314</v>
      </c>
      <c r="B62" t="s">
        <v>30</v>
      </c>
      <c r="C62" s="145">
        <v>20.04343096575332</v>
      </c>
      <c r="D62" s="90">
        <v>15.02044479104074</v>
      </c>
      <c r="E62" s="12">
        <v>0.25060510764324601</v>
      </c>
      <c r="F62" s="90">
        <v>117.83842681268339</v>
      </c>
      <c r="G62" s="90">
        <v>4.8791544728058254</v>
      </c>
      <c r="H62" s="12">
        <v>0.23148043511544619</v>
      </c>
      <c r="I62" s="12">
        <v>1.032105747529378</v>
      </c>
      <c r="J62" s="12">
        <v>2.7539065633550459</v>
      </c>
      <c r="K62" s="90">
        <v>7.84520221950888</v>
      </c>
      <c r="L62" s="7">
        <v>15.02044479104074</v>
      </c>
      <c r="M62" s="14">
        <v>0.25060510764324601</v>
      </c>
      <c r="N62" s="7">
        <v>89.107528340279785</v>
      </c>
      <c r="O62" s="7">
        <v>3.4457223163305239</v>
      </c>
      <c r="P62" s="7">
        <v>5.9324160888650814</v>
      </c>
      <c r="Q62" s="99">
        <v>0.1666349753810534</v>
      </c>
      <c r="R62" s="99">
        <v>8.8367539957704577E-2</v>
      </c>
      <c r="S62" s="99">
        <v>1.0863530492366521E-2</v>
      </c>
      <c r="U62" s="117">
        <f>C62*S62</f>
        <v>0.21774242346810452</v>
      </c>
      <c r="V62" s="117">
        <f>(1+S62)*Q62*(1-U62)+S62</f>
        <v>0.14263107969027472</v>
      </c>
      <c r="W62" s="117">
        <f>V62+I62/3</f>
        <v>0.48666632886673405</v>
      </c>
      <c r="X62" s="117">
        <f>V62+I62/5</f>
        <v>0.34905222919615031</v>
      </c>
      <c r="Y62" s="117"/>
      <c r="AA62" s="117"/>
    </row>
    <row r="63" spans="1:27" x14ac:dyDescent="0.2">
      <c r="A63" t="s">
        <v>315</v>
      </c>
      <c r="B63" t="s">
        <v>32</v>
      </c>
      <c r="C63" s="145">
        <v>34.105021404232353</v>
      </c>
      <c r="D63" s="90">
        <v>26.939490126203911</v>
      </c>
      <c r="E63" s="12">
        <v>0.21010194343813579</v>
      </c>
      <c r="F63" s="90">
        <v>-51.638932002202417</v>
      </c>
      <c r="G63" s="90">
        <v>-2.5141152204582449</v>
      </c>
      <c r="H63" s="12">
        <v>0.12352310556997299</v>
      </c>
      <c r="I63" s="12">
        <v>0.75722277160897988</v>
      </c>
      <c r="J63" s="12">
        <v>2.329647703725509</v>
      </c>
      <c r="K63" s="90">
        <v>-1.916848899525885</v>
      </c>
      <c r="L63" s="7">
        <v>26.939490126203911</v>
      </c>
      <c r="M63" s="14">
        <v>0.21010194343813579</v>
      </c>
      <c r="N63" s="7">
        <v>-51.638932002202417</v>
      </c>
      <c r="O63" s="7">
        <v>-2.5141152204582449</v>
      </c>
      <c r="P63" s="7">
        <v>-1.916848899525885</v>
      </c>
      <c r="S63" s="99">
        <v>8.0646797393211997E-3</v>
      </c>
      <c r="U63" s="117">
        <f>C63*S63</f>
        <v>0.27504607512782853</v>
      </c>
      <c r="V63" s="117">
        <f>(1+S63)*R62*(1-U63)+S63</f>
        <v>7.2643717361350613E-2</v>
      </c>
      <c r="W63" s="117">
        <f>V63+I63/3</f>
        <v>0.32505130789767722</v>
      </c>
      <c r="X63" s="117">
        <f>V63+I63/5</f>
        <v>0.2240882716831466</v>
      </c>
      <c r="Y63" s="117"/>
      <c r="AA63" s="117"/>
    </row>
    <row r="64" spans="1:27" x14ac:dyDescent="0.2">
      <c r="B64" t="s">
        <v>34</v>
      </c>
      <c r="C64" s="146">
        <v>3.3399366255301479</v>
      </c>
      <c r="D64" s="90">
        <v>1.954206039050123</v>
      </c>
      <c r="E64" s="12">
        <v>0.41489726957321182</v>
      </c>
      <c r="F64" s="90">
        <v>6.1629403907635476</v>
      </c>
      <c r="G64" s="90">
        <v>0.8452267458174616</v>
      </c>
      <c r="H64" s="12">
        <v>-0.29106394387967638</v>
      </c>
      <c r="I64" s="12">
        <v>-3.4269772857633662E-2</v>
      </c>
      <c r="J64" s="12">
        <v>0.13630841906150851</v>
      </c>
      <c r="K64" s="90">
        <v>3.15367994347165</v>
      </c>
      <c r="L64" s="7">
        <v>1.954206039050123</v>
      </c>
      <c r="M64" s="14">
        <v>0.41489726957321182</v>
      </c>
      <c r="N64" s="7">
        <v>5.3146781661632616</v>
      </c>
      <c r="O64" s="7">
        <v>0.59125120085764027</v>
      </c>
      <c r="P64" s="7">
        <v>2.719609938748607</v>
      </c>
      <c r="W64" s="117">
        <f>V62+I64/3</f>
        <v>0.13120782207106349</v>
      </c>
      <c r="X64" s="117">
        <f>V62+I64/5</f>
        <v>0.13577712511874798</v>
      </c>
      <c r="Y64" s="117"/>
      <c r="AA64" s="117"/>
    </row>
    <row r="65" spans="1:27" x14ac:dyDescent="0.2">
      <c r="B65" t="s">
        <v>35</v>
      </c>
      <c r="C65" s="143">
        <v>3.0137768416968722</v>
      </c>
      <c r="D65" s="90">
        <v>1.8634550629281039</v>
      </c>
      <c r="E65" s="12">
        <v>0.38168777556904049</v>
      </c>
      <c r="F65" s="90">
        <v>6.2727573292825074</v>
      </c>
      <c r="G65" s="90">
        <v>1.081360916474063</v>
      </c>
      <c r="H65" s="12">
        <v>-0.2384562329398332</v>
      </c>
      <c r="I65" s="12">
        <v>5.2442837423269939E-3</v>
      </c>
      <c r="J65" s="12">
        <v>0.18055465638473561</v>
      </c>
      <c r="K65" s="90">
        <v>3.3661972612454258</v>
      </c>
      <c r="L65" s="7">
        <v>1.8634550629281039</v>
      </c>
      <c r="M65" s="14">
        <v>0.38168777556904049</v>
      </c>
      <c r="N65" s="7">
        <v>4.1404088283088143</v>
      </c>
      <c r="O65" s="7">
        <v>0.37382727580374042</v>
      </c>
      <c r="P65" s="7">
        <v>2.2218989395981801</v>
      </c>
      <c r="W65" s="117">
        <f>V63+I65/3</f>
        <v>7.4391811942126282E-2</v>
      </c>
      <c r="X65" s="117">
        <f>V63+I65/5</f>
        <v>7.3692574109816014E-2</v>
      </c>
      <c r="Y65" s="117"/>
      <c r="AA65" s="117"/>
    </row>
    <row r="66" spans="1:27" x14ac:dyDescent="0.2">
      <c r="C66" s="101"/>
      <c r="D66" s="90"/>
      <c r="F66" s="90"/>
      <c r="G66" s="90"/>
      <c r="K66" s="90"/>
      <c r="L66" s="7"/>
      <c r="N66" s="7"/>
      <c r="O66" s="7"/>
      <c r="P66" s="7"/>
      <c r="AA66" s="117"/>
    </row>
    <row r="67" spans="1:27" x14ac:dyDescent="0.2">
      <c r="A67" t="s">
        <v>316</v>
      </c>
      <c r="B67" t="s">
        <v>30</v>
      </c>
      <c r="C67" s="146">
        <v>32.671840786395236</v>
      </c>
      <c r="D67" s="90">
        <v>10.28871480971457</v>
      </c>
      <c r="E67" s="12">
        <v>0.68508922172518516</v>
      </c>
      <c r="F67" s="90">
        <v>-116.88331522127829</v>
      </c>
      <c r="G67" s="90">
        <v>-4.5774940256794254</v>
      </c>
      <c r="H67" s="12">
        <v>-0.46394161683590268</v>
      </c>
      <c r="I67" s="12">
        <v>-2.9173862575224249E-2</v>
      </c>
      <c r="J67" s="12">
        <v>2.153709383081166</v>
      </c>
      <c r="K67" s="90">
        <v>-11.36034163478975</v>
      </c>
      <c r="L67" s="7">
        <v>10.28871480971457</v>
      </c>
      <c r="M67" s="14">
        <v>0.68508922172518516</v>
      </c>
      <c r="N67" s="7">
        <v>36.525164412124653</v>
      </c>
      <c r="O67" s="7">
        <v>0.11794020578522039</v>
      </c>
      <c r="P67" s="7">
        <v>3.5500220472276802</v>
      </c>
      <c r="Q67" s="99">
        <v>4.6555926143076763E-2</v>
      </c>
      <c r="R67" s="99">
        <v>3.1989206150506412E-2</v>
      </c>
      <c r="S67" s="99">
        <v>1.4419803113255121E-2</v>
      </c>
      <c r="U67" s="117">
        <f>C67*S67</f>
        <v>0.47112151148743764</v>
      </c>
      <c r="V67" s="117">
        <f>(1+S67)*Q67*(1-U67)+S67</f>
        <v>3.9397281524873255E-2</v>
      </c>
      <c r="W67" s="117">
        <f>V67+I67/3</f>
        <v>2.9672660666465171E-2</v>
      </c>
      <c r="X67" s="117">
        <f>V67+I67/5</f>
        <v>3.3562509009828406E-2</v>
      </c>
      <c r="Y67" s="117"/>
      <c r="AA67" s="117"/>
    </row>
    <row r="68" spans="1:27" x14ac:dyDescent="0.2">
      <c r="A68" t="s">
        <v>317</v>
      </c>
      <c r="B68" t="s">
        <v>32</v>
      </c>
      <c r="C68" s="144">
        <v>48.252804089528738</v>
      </c>
      <c r="D68" s="90">
        <v>16.11565631949637</v>
      </c>
      <c r="E68" s="12">
        <v>0.66601616997024216</v>
      </c>
      <c r="F68" s="90">
        <v>-20.903370215498558</v>
      </c>
      <c r="G68" s="90">
        <v>-1.4332052946957079</v>
      </c>
      <c r="H68" s="12">
        <v>-0.49059688454392231</v>
      </c>
      <c r="I68" s="12">
        <v>2.7110221219595051E-2</v>
      </c>
      <c r="J68" s="12">
        <v>-129.1527215381729</v>
      </c>
      <c r="K68" s="90">
        <v>-1.297084636274485</v>
      </c>
      <c r="L68" s="7">
        <v>16.11565631949637</v>
      </c>
      <c r="M68" s="14">
        <v>0.66601616997024216</v>
      </c>
      <c r="N68" s="7">
        <v>-20.903370215498558</v>
      </c>
      <c r="O68" s="7">
        <v>-1.4332052946957079</v>
      </c>
      <c r="P68" s="7">
        <v>-1.297084636274485</v>
      </c>
      <c r="S68" s="99">
        <v>1.1571471234544779E-2</v>
      </c>
      <c r="U68" s="117">
        <f>C68*S68</f>
        <v>0.5583559345081065</v>
      </c>
      <c r="V68" s="117">
        <f>(1+S68)*R67*(1-U68)+S68</f>
        <v>2.5862794220243325E-2</v>
      </c>
      <c r="W68" s="117">
        <f>V68+I68/3</f>
        <v>3.489953462677501E-2</v>
      </c>
      <c r="X68" s="117">
        <f>V68+I68/5</f>
        <v>3.1284838464162336E-2</v>
      </c>
      <c r="Y68" s="117"/>
      <c r="AA68" s="117"/>
    </row>
    <row r="69" spans="1:27" x14ac:dyDescent="0.2">
      <c r="B69" t="s">
        <v>34</v>
      </c>
      <c r="C69" s="145">
        <v>1.52106780660978</v>
      </c>
      <c r="D69" s="90">
        <v>1.2433814139057009</v>
      </c>
      <c r="E69" s="12">
        <v>0.1825601669415369</v>
      </c>
      <c r="F69" s="90">
        <v>5.5865296095044821</v>
      </c>
      <c r="G69" s="90">
        <v>2.6727682916095472</v>
      </c>
      <c r="H69" s="12">
        <v>1.424727510118684E-3</v>
      </c>
      <c r="I69" s="12">
        <v>0.2223655078826561</v>
      </c>
      <c r="J69" s="12">
        <v>0.81741493013187894</v>
      </c>
      <c r="K69" s="90">
        <v>4.4930136055002734</v>
      </c>
      <c r="L69" s="7">
        <v>1.2433814139057009</v>
      </c>
      <c r="M69" s="14">
        <v>0.1825601669415369</v>
      </c>
      <c r="N69" s="7">
        <v>2.5357444471888102</v>
      </c>
      <c r="O69" s="7">
        <v>0.66708179357275621</v>
      </c>
      <c r="P69" s="7">
        <v>2.0393938809359771</v>
      </c>
      <c r="W69" s="117">
        <f>V67+I69/3</f>
        <v>0.11351911748575863</v>
      </c>
      <c r="X69" s="117">
        <f>V67+I69/5</f>
        <v>8.3870383101404475E-2</v>
      </c>
      <c r="Y69" s="117"/>
      <c r="AA69" s="117"/>
    </row>
    <row r="70" spans="1:27" x14ac:dyDescent="0.2">
      <c r="B70" t="s">
        <v>35</v>
      </c>
      <c r="C70" s="145">
        <v>1.5435688973599331</v>
      </c>
      <c r="D70" s="90">
        <v>1.273412662290311</v>
      </c>
      <c r="E70" s="12">
        <v>0.175020522590011</v>
      </c>
      <c r="F70" s="90">
        <v>5.9513278268037588</v>
      </c>
      <c r="G70" s="90">
        <v>2.855563452323187</v>
      </c>
      <c r="H70" s="12">
        <v>2.787475370541781E-2</v>
      </c>
      <c r="I70" s="12">
        <v>0.20462458768536559</v>
      </c>
      <c r="J70" s="12">
        <v>0.87370927177998192</v>
      </c>
      <c r="K70" s="90">
        <v>4.6735265032624467</v>
      </c>
      <c r="L70" s="7">
        <v>1.273412662290311</v>
      </c>
      <c r="M70" s="14">
        <v>0.175020522590011</v>
      </c>
      <c r="N70" s="7">
        <v>2.5022138279070298</v>
      </c>
      <c r="O70" s="7">
        <v>0.62105742878515491</v>
      </c>
      <c r="P70" s="7">
        <v>1.964966975753677</v>
      </c>
      <c r="W70" s="117">
        <f>V68+I70/3</f>
        <v>9.4070990115365183E-2</v>
      </c>
      <c r="X70" s="117">
        <f>V68+I70/5</f>
        <v>6.6787711757316445E-2</v>
      </c>
      <c r="Y70" s="117"/>
      <c r="AA70" s="117"/>
    </row>
    <row r="71" spans="1:27" x14ac:dyDescent="0.2">
      <c r="C71" s="101"/>
      <c r="D71" s="90"/>
      <c r="F71" s="90"/>
      <c r="G71" s="90"/>
      <c r="K71" s="90"/>
      <c r="L71" s="7"/>
      <c r="N71" s="7"/>
      <c r="O71" s="7"/>
      <c r="P71" s="7"/>
      <c r="AA71" s="117"/>
    </row>
    <row r="72" spans="1:27" x14ac:dyDescent="0.2">
      <c r="A72" t="s">
        <v>318</v>
      </c>
      <c r="B72" t="s">
        <v>30</v>
      </c>
      <c r="C72" s="143">
        <v>35.473904936429477</v>
      </c>
      <c r="D72" s="90">
        <v>24.55492490933365</v>
      </c>
      <c r="E72" s="12">
        <v>0.30780315972157651</v>
      </c>
      <c r="F72" s="90">
        <v>-49.435384887655928</v>
      </c>
      <c r="G72" s="90">
        <v>-2.3935704280722949</v>
      </c>
      <c r="H72" s="12">
        <v>-3.4698342796955162E-2</v>
      </c>
      <c r="I72" s="12">
        <v>0.34940298465342229</v>
      </c>
      <c r="J72" s="12">
        <v>4.6094505451414571</v>
      </c>
      <c r="K72" s="90">
        <v>-2.0132574247402761</v>
      </c>
      <c r="L72" s="7">
        <v>24.55492490933365</v>
      </c>
      <c r="M72" s="14">
        <v>0.30780315972157651</v>
      </c>
      <c r="N72" s="7">
        <v>55.899944681055203</v>
      </c>
      <c r="O72" s="7">
        <v>0.57580465926234869</v>
      </c>
      <c r="P72" s="7">
        <v>2.2765268021571869</v>
      </c>
      <c r="Q72" s="99">
        <v>0.1149369436418627</v>
      </c>
      <c r="R72" s="99">
        <v>8.1912186106458548E-2</v>
      </c>
      <c r="S72" s="99">
        <v>7.0931508731945066E-3</v>
      </c>
      <c r="U72" s="117">
        <f>C72*S72</f>
        <v>0.25162175977545365</v>
      </c>
      <c r="V72" s="117">
        <f>(1+S72)*Q72*(1-U72)+S72</f>
        <v>9.3719585140179681E-2</v>
      </c>
      <c r="W72" s="117">
        <f>V72+I72/3</f>
        <v>0.21018724669132044</v>
      </c>
      <c r="X72" s="117">
        <f>V72+I72/5</f>
        <v>0.16360018207086413</v>
      </c>
      <c r="Y72" s="117"/>
      <c r="AA72" s="117"/>
    </row>
    <row r="73" spans="1:27" x14ac:dyDescent="0.2">
      <c r="A73" t="s">
        <v>319</v>
      </c>
      <c r="B73" t="s">
        <v>32</v>
      </c>
      <c r="C73" s="143">
        <v>41.012477749143947</v>
      </c>
      <c r="D73" s="90">
        <v>24.47441591318584</v>
      </c>
      <c r="E73" s="12">
        <v>0.40324464025593559</v>
      </c>
      <c r="F73" s="90">
        <v>-83.687888784914065</v>
      </c>
      <c r="G73" s="90">
        <v>-3.040547008566457</v>
      </c>
      <c r="H73" s="12">
        <v>-5.0653448776319172E-2</v>
      </c>
      <c r="I73" s="12">
        <v>0.22966381384019849</v>
      </c>
      <c r="J73" s="12">
        <v>4.5109788838824914</v>
      </c>
      <c r="K73" s="90">
        <v>-3.419402901452957</v>
      </c>
      <c r="L73" s="7">
        <v>24.47441591318584</v>
      </c>
      <c r="M73" s="14">
        <v>0.40324464025593559</v>
      </c>
      <c r="N73" s="7">
        <v>56.893855768181098</v>
      </c>
      <c r="O73" s="7">
        <v>0.38723283475280001</v>
      </c>
      <c r="P73" s="7">
        <v>2.324625681364227</v>
      </c>
      <c r="S73" s="99">
        <v>5.9758945756508133E-3</v>
      </c>
      <c r="U73" s="117">
        <f>C73*S73</f>
        <v>0.245086243315109</v>
      </c>
      <c r="V73" s="117">
        <f>(1+S73)*R72*(1-U73)+S73</f>
        <v>6.8182059925986471E-2</v>
      </c>
      <c r="W73" s="117">
        <f>V73+I73/3</f>
        <v>0.14473666453938597</v>
      </c>
      <c r="X73" s="117">
        <f>V73+I73/5</f>
        <v>0.11411482269402617</v>
      </c>
      <c r="Y73" s="117"/>
      <c r="AA73" s="117"/>
    </row>
    <row r="74" spans="1:27" x14ac:dyDescent="0.2">
      <c r="B74" t="s">
        <v>34</v>
      </c>
      <c r="C74" s="144">
        <v>4.0772622124351896</v>
      </c>
      <c r="D74" s="90">
        <v>1.529083186839634</v>
      </c>
      <c r="E74" s="12">
        <v>0.62497305614142185</v>
      </c>
      <c r="F74" s="90">
        <v>6.7732172069559073</v>
      </c>
      <c r="G74" s="90">
        <v>0.66121697699460169</v>
      </c>
      <c r="H74" s="12">
        <v>-0.40833066118001188</v>
      </c>
      <c r="I74" s="12">
        <v>-0.15770978931963101</v>
      </c>
      <c r="J74" s="12">
        <v>-7.2385191636994417E-3</v>
      </c>
      <c r="K74" s="90">
        <v>4.4295936710644526</v>
      </c>
      <c r="L74" s="7">
        <v>1.529083186839634</v>
      </c>
      <c r="M74" s="14">
        <v>0.62497305614142185</v>
      </c>
      <c r="N74" s="7">
        <v>5.8879851008131858</v>
      </c>
      <c r="O74" s="7">
        <v>0.44410263408016681</v>
      </c>
      <c r="P74" s="7">
        <v>3.8506636862463268</v>
      </c>
      <c r="W74" s="117">
        <f>V72+I74/3</f>
        <v>4.1149655366969344E-2</v>
      </c>
      <c r="X74" s="117">
        <f>V72+I74/5</f>
        <v>6.2177627276253478E-2</v>
      </c>
      <c r="Y74" s="117"/>
      <c r="AA74" s="117"/>
    </row>
    <row r="75" spans="1:27" x14ac:dyDescent="0.2">
      <c r="B75" t="s">
        <v>35</v>
      </c>
      <c r="C75" s="143">
        <v>3.3594217100748698</v>
      </c>
      <c r="D75" s="90">
        <v>1.917237816974493</v>
      </c>
      <c r="E75" s="12">
        <v>0.42929528280872942</v>
      </c>
      <c r="F75" s="90">
        <v>7.2961641593188693</v>
      </c>
      <c r="G75" s="90">
        <v>1.1718512258933591</v>
      </c>
      <c r="H75" s="12">
        <v>-0.17826463488131081</v>
      </c>
      <c r="I75" s="12">
        <v>2.2676077993037951E-3</v>
      </c>
      <c r="J75" s="12">
        <v>0.20624522715130819</v>
      </c>
      <c r="K75" s="90">
        <v>3.80556031949788</v>
      </c>
      <c r="L75" s="7">
        <v>1.917237816974493</v>
      </c>
      <c r="M75" s="14">
        <v>0.42929528280872942</v>
      </c>
      <c r="N75" s="7">
        <v>4.119542501844899</v>
      </c>
      <c r="O75" s="7">
        <v>0.22626536867652991</v>
      </c>
      <c r="P75" s="7">
        <v>2.1486862325435259</v>
      </c>
      <c r="W75" s="117">
        <f>V73+I75/3</f>
        <v>6.8937929192421074E-2</v>
      </c>
      <c r="X75" s="117">
        <f>V73+I75/5</f>
        <v>6.8635581485847225E-2</v>
      </c>
      <c r="Y75" s="117"/>
      <c r="AA75" s="117"/>
    </row>
    <row r="76" spans="1:27" x14ac:dyDescent="0.2">
      <c r="C76" s="101"/>
      <c r="D76" s="90"/>
      <c r="F76" s="90"/>
      <c r="G76" s="90"/>
      <c r="K76" s="90"/>
      <c r="L76" s="7"/>
      <c r="N76" s="7"/>
      <c r="O76" s="7"/>
      <c r="P76" s="7"/>
      <c r="AA76" s="117"/>
    </row>
    <row r="77" spans="1:27" x14ac:dyDescent="0.2">
      <c r="A77" t="s">
        <v>320</v>
      </c>
      <c r="B77" t="s">
        <v>30</v>
      </c>
      <c r="C77" s="143">
        <v>71.437224411085523</v>
      </c>
      <c r="D77" s="90">
        <v>44.671413602440637</v>
      </c>
      <c r="E77" s="12">
        <v>0.37467596241731088</v>
      </c>
      <c r="F77" s="90">
        <v>215.43314274099549</v>
      </c>
      <c r="G77" s="90">
        <v>2.015698671343745</v>
      </c>
      <c r="H77" s="12">
        <v>-8.809410534240758E-2</v>
      </c>
      <c r="I77" s="12">
        <v>0.13682322860703899</v>
      </c>
      <c r="J77" s="12">
        <v>0.66744953269592222</v>
      </c>
      <c r="K77" s="90">
        <v>4.8226175392225619</v>
      </c>
      <c r="L77" s="7">
        <v>44.671413602440637</v>
      </c>
      <c r="M77" s="14">
        <v>0.37467596241731088</v>
      </c>
      <c r="N77" s="7">
        <v>201.7176555655831</v>
      </c>
      <c r="O77" s="7">
        <v>1.82370510932506</v>
      </c>
      <c r="P77" s="7">
        <v>4.5155870230746897</v>
      </c>
      <c r="Q77" s="99">
        <v>5.4428210760561743E-2</v>
      </c>
      <c r="R77" s="99">
        <v>3.0088818679946679E-2</v>
      </c>
      <c r="S77" s="99">
        <v>3.986776414525094E-3</v>
      </c>
      <c r="U77" s="117">
        <f>C77*S77</f>
        <v>0.28480424140125205</v>
      </c>
      <c r="V77" s="117">
        <f>(1+S77)*Q77*(1-U77)+S77</f>
        <v>4.3068794448329825E-2</v>
      </c>
      <c r="W77" s="117">
        <f>V77+I77/3</f>
        <v>8.8676537317342818E-2</v>
      </c>
      <c r="X77" s="117">
        <f>V77+I77/5</f>
        <v>7.0433440169737627E-2</v>
      </c>
      <c r="Y77" s="117"/>
      <c r="AA77" s="117"/>
    </row>
    <row r="78" spans="1:27" x14ac:dyDescent="0.2">
      <c r="A78" t="s">
        <v>321</v>
      </c>
      <c r="B78" t="s">
        <v>32</v>
      </c>
      <c r="C78" s="144">
        <v>117.1623806408673</v>
      </c>
      <c r="D78" s="90">
        <v>47.998437592692987</v>
      </c>
      <c r="E78" s="12">
        <v>0.59032551805326927</v>
      </c>
      <c r="F78" s="90">
        <v>-25.781010039762862</v>
      </c>
      <c r="G78" s="90">
        <v>-1.220045119420953</v>
      </c>
      <c r="H78" s="12">
        <v>-0.36637193802387807</v>
      </c>
      <c r="I78" s="12">
        <v>-1.045750606615015E-2</v>
      </c>
      <c r="J78" s="12">
        <v>-2.4143495996265218</v>
      </c>
      <c r="K78" s="90">
        <v>-0.53712185922667643</v>
      </c>
      <c r="L78" s="7">
        <v>47.998437592692987</v>
      </c>
      <c r="M78" s="14">
        <v>0.59032551805326927</v>
      </c>
      <c r="N78" s="7">
        <v>-25.781010039762862</v>
      </c>
      <c r="O78" s="7">
        <v>-1.220045119420953</v>
      </c>
      <c r="P78" s="7">
        <v>-0.53712185922667643</v>
      </c>
      <c r="S78" s="99">
        <v>3.7078549140314929E-3</v>
      </c>
      <c r="U78" s="117">
        <f>C78*S78</f>
        <v>0.43442110879886808</v>
      </c>
      <c r="V78" s="117">
        <f>(1+S78)*R77*(1-U78)+S78</f>
        <v>2.0788554414992472E-2</v>
      </c>
      <c r="W78" s="117">
        <f>V78+I78/3</f>
        <v>1.730271905960909E-2</v>
      </c>
      <c r="X78" s="117">
        <f>V78+I78/5</f>
        <v>1.8697053201762442E-2</v>
      </c>
      <c r="Y78" s="117"/>
      <c r="AA78" s="117"/>
    </row>
    <row r="79" spans="1:27" x14ac:dyDescent="0.2">
      <c r="B79" t="s">
        <v>34</v>
      </c>
      <c r="C79" s="146">
        <v>3.8882003063961088</v>
      </c>
      <c r="D79" s="90">
        <v>2.3078287795148178</v>
      </c>
      <c r="E79" s="12">
        <v>0.40645321803034989</v>
      </c>
      <c r="F79" s="90">
        <v>11.113638774382601</v>
      </c>
      <c r="G79" s="90">
        <v>1.858298929738935</v>
      </c>
      <c r="H79" s="12">
        <v>-0.21509111366442801</v>
      </c>
      <c r="I79" s="12">
        <v>-2.0253943027745521E-2</v>
      </c>
      <c r="J79" s="12">
        <v>0.2459995473720076</v>
      </c>
      <c r="K79" s="90">
        <v>4.8156253501263002</v>
      </c>
      <c r="L79" s="7">
        <v>2.3078287795148178</v>
      </c>
      <c r="M79" s="14">
        <v>0.40645321803034989</v>
      </c>
      <c r="N79" s="7">
        <v>5.58217490923409</v>
      </c>
      <c r="O79" s="7">
        <v>0.43567061091255632</v>
      </c>
      <c r="P79" s="7">
        <v>2.4187994182166528</v>
      </c>
      <c r="W79" s="117">
        <f>V77+I79/3</f>
        <v>3.6317480105747986E-2</v>
      </c>
      <c r="X79" s="117">
        <f>V77+I79/5</f>
        <v>3.9018005842780722E-2</v>
      </c>
      <c r="Y79" s="117"/>
      <c r="AA79" s="117"/>
    </row>
    <row r="80" spans="1:27" x14ac:dyDescent="0.2">
      <c r="B80" t="s">
        <v>35</v>
      </c>
      <c r="C80" s="143">
        <v>3.525277627213951</v>
      </c>
      <c r="D80" s="90">
        <v>2.2792697535399591</v>
      </c>
      <c r="E80" s="12">
        <v>0.35344957346202549</v>
      </c>
      <c r="F80" s="90">
        <v>10.616329315758531</v>
      </c>
      <c r="G80" s="90">
        <v>2.011487445358644</v>
      </c>
      <c r="H80" s="12">
        <v>-0.1008289263495644</v>
      </c>
      <c r="I80" s="12">
        <v>5.8061739472052842E-2</v>
      </c>
      <c r="J80" s="12">
        <v>0.37076517780834672</v>
      </c>
      <c r="K80" s="90">
        <v>4.6577765967675342</v>
      </c>
      <c r="L80" s="7">
        <v>2.2792697535399591</v>
      </c>
      <c r="M80" s="14">
        <v>0.35344957346202549</v>
      </c>
      <c r="N80" s="7">
        <v>7.5689956539801724</v>
      </c>
      <c r="O80" s="7">
        <v>1.147063707989999</v>
      </c>
      <c r="P80" s="7">
        <v>3.3207985330497549</v>
      </c>
      <c r="W80" s="117">
        <f>V78+I80/3</f>
        <v>4.0142467572343424E-2</v>
      </c>
      <c r="X80" s="117">
        <f>V78+I80/5</f>
        <v>3.240090230940304E-2</v>
      </c>
      <c r="Y80" s="117"/>
      <c r="AA80" s="117"/>
    </row>
    <row r="81" spans="1:27" x14ac:dyDescent="0.2">
      <c r="C81" s="101"/>
      <c r="D81" s="90"/>
      <c r="F81" s="90"/>
      <c r="G81" s="90"/>
      <c r="K81" s="90"/>
      <c r="L81" s="7"/>
      <c r="N81" s="7"/>
      <c r="O81" s="7"/>
      <c r="P81" s="7"/>
      <c r="AA81" s="117"/>
    </row>
    <row r="82" spans="1:27" x14ac:dyDescent="0.2">
      <c r="A82" t="s">
        <v>322</v>
      </c>
      <c r="B82" t="s">
        <v>30</v>
      </c>
      <c r="C82" s="146">
        <v>87.770366479256865</v>
      </c>
      <c r="D82" s="90">
        <v>17.269713566838231</v>
      </c>
      <c r="E82" s="12">
        <v>0.80323981476231332</v>
      </c>
      <c r="F82" s="90">
        <v>949.96112365150293</v>
      </c>
      <c r="G82" s="90">
        <v>9.8232557497183421</v>
      </c>
      <c r="H82" s="12">
        <v>-0.63719167580761815</v>
      </c>
      <c r="I82" s="12">
        <v>-0.48600952194787111</v>
      </c>
      <c r="J82" s="12">
        <v>0.12598806915773911</v>
      </c>
      <c r="K82" s="90">
        <v>55.007346819905813</v>
      </c>
      <c r="L82" s="7">
        <v>17.269713566838231</v>
      </c>
      <c r="M82" s="14">
        <v>0.80323981476231332</v>
      </c>
      <c r="N82" s="7">
        <v>111.3249201352631</v>
      </c>
      <c r="O82" s="7">
        <v>0.26836567512308362</v>
      </c>
      <c r="P82" s="7">
        <v>6.446251682426988</v>
      </c>
      <c r="Q82" s="99">
        <v>2.775898042409175E-2</v>
      </c>
      <c r="R82" s="99">
        <v>-2.350757172424477E-2</v>
      </c>
      <c r="S82" s="99">
        <v>1.098077618286584E-2</v>
      </c>
      <c r="U82" s="117">
        <f>C82*S82</f>
        <v>0.9637867497968301</v>
      </c>
      <c r="V82" s="117">
        <f>(1+S82)*Q82*(1-U82)+S82</f>
        <v>1.1997057433680926E-2</v>
      </c>
      <c r="W82" s="117">
        <f>V82+I82/3</f>
        <v>-0.15000611654894278</v>
      </c>
      <c r="X82" s="117">
        <f>V82+I82/5</f>
        <v>-8.5204846955893296E-2</v>
      </c>
      <c r="Y82" s="117"/>
      <c r="AA82" s="117"/>
    </row>
    <row r="83" spans="1:27" x14ac:dyDescent="0.2">
      <c r="A83" t="s">
        <v>323</v>
      </c>
      <c r="B83" t="s">
        <v>32</v>
      </c>
      <c r="C83" s="144">
        <v>-88.453536572419964</v>
      </c>
      <c r="D83" s="90">
        <v>23.796850023833908</v>
      </c>
      <c r="E83" s="12">
        <v>1.2690322054489089</v>
      </c>
      <c r="F83" s="90">
        <v>-62.3813854903105</v>
      </c>
      <c r="G83" s="90">
        <v>-0.29475532683493427</v>
      </c>
      <c r="H83" s="12">
        <v>-1.455533254747464</v>
      </c>
      <c r="I83" s="12">
        <v>-1.767223720313615</v>
      </c>
      <c r="J83" s="12">
        <v>1.3092883883188751</v>
      </c>
      <c r="K83" s="90">
        <v>-2.6214135664103431</v>
      </c>
      <c r="L83" s="7">
        <v>23.796850023833908</v>
      </c>
      <c r="M83" s="14">
        <v>1.2690322054489089</v>
      </c>
      <c r="N83" s="7">
        <v>-62.3813854903105</v>
      </c>
      <c r="O83" s="7">
        <v>-0.29475532683493427</v>
      </c>
      <c r="P83" s="7">
        <v>-2.6214135664103431</v>
      </c>
      <c r="S83" s="99">
        <v>7.3439744047575136E-3</v>
      </c>
      <c r="U83" s="117">
        <f>C83*S83</f>
        <v>-0.6496005085981349</v>
      </c>
      <c r="V83" s="117">
        <f>(1+S83)*R82*(1-U83)+S83</f>
        <v>-3.1718913258016054E-2</v>
      </c>
      <c r="W83" s="117">
        <f>V83+I83/3</f>
        <v>-0.62079348669588763</v>
      </c>
      <c r="X83" s="117">
        <f>V83+I83/5</f>
        <v>-0.38516365732073904</v>
      </c>
      <c r="Y83" s="117"/>
      <c r="AA83" s="117"/>
    </row>
    <row r="84" spans="1:27" x14ac:dyDescent="0.2">
      <c r="B84" t="s">
        <v>34</v>
      </c>
      <c r="C84" s="143">
        <v>2.4364158849130502</v>
      </c>
      <c r="D84" s="90">
        <v>1.625969232192495</v>
      </c>
      <c r="E84" s="12">
        <v>0.33263888063571623</v>
      </c>
      <c r="F84" s="90">
        <v>6.6300398811434178</v>
      </c>
      <c r="G84" s="90">
        <v>1.721226668319817</v>
      </c>
      <c r="H84" s="12">
        <v>-9.6651312667626721E-2</v>
      </c>
      <c r="I84" s="12">
        <v>5.5742661116558352E-2</v>
      </c>
      <c r="J84" s="12">
        <v>0.57453592229904737</v>
      </c>
      <c r="K84" s="90">
        <v>4.0775924598544329</v>
      </c>
      <c r="L84" s="7">
        <v>1.625969232192495</v>
      </c>
      <c r="M84" s="14">
        <v>0.33263888063571623</v>
      </c>
      <c r="N84" s="7">
        <v>2.9617057941876852</v>
      </c>
      <c r="O84" s="7">
        <v>0.2155994436448119</v>
      </c>
      <c r="P84" s="7">
        <v>1.8215017452661459</v>
      </c>
      <c r="W84" s="117">
        <f>V82+I84/3</f>
        <v>3.0577944472533709E-2</v>
      </c>
      <c r="X84" s="117">
        <f>V82+I84/5</f>
        <v>2.3145589656992597E-2</v>
      </c>
      <c r="Y84" s="117"/>
      <c r="AA84" s="117"/>
    </row>
    <row r="85" spans="1:27" x14ac:dyDescent="0.2">
      <c r="B85" t="s">
        <v>35</v>
      </c>
      <c r="C85" s="143">
        <v>2.0793278552392702</v>
      </c>
      <c r="D85" s="90">
        <v>1.53990962610194</v>
      </c>
      <c r="E85" s="12">
        <v>0.2594195175994789</v>
      </c>
      <c r="F85" s="90">
        <v>6.3224437059432166</v>
      </c>
      <c r="G85" s="90">
        <v>2.0406189625231979</v>
      </c>
      <c r="H85" s="12">
        <v>-0.10096870094902841</v>
      </c>
      <c r="I85" s="12">
        <v>6.4856659209943324E-2</v>
      </c>
      <c r="J85" s="12">
        <v>0.82242738905100987</v>
      </c>
      <c r="K85" s="90">
        <v>4.1057238676711023</v>
      </c>
      <c r="L85" s="7">
        <v>1.53990962610194</v>
      </c>
      <c r="M85" s="14">
        <v>0.2594195175994789</v>
      </c>
      <c r="N85" s="7">
        <v>2.6553017354237749</v>
      </c>
      <c r="O85" s="7">
        <v>0.27700003091538772</v>
      </c>
      <c r="P85" s="7">
        <v>1.724323096898414</v>
      </c>
      <c r="W85" s="117">
        <f>V83+I85/3</f>
        <v>-1.0100026854701613E-2</v>
      </c>
      <c r="X85" s="117">
        <f>V83+I85/5</f>
        <v>-1.8747581416027389E-2</v>
      </c>
      <c r="Y85" s="117"/>
      <c r="AA85" s="117"/>
    </row>
    <row r="86" spans="1:27" x14ac:dyDescent="0.2">
      <c r="C86" s="101"/>
      <c r="D86" s="90"/>
      <c r="F86" s="90"/>
      <c r="G86" s="90"/>
      <c r="K86" s="90"/>
      <c r="L86" s="7"/>
      <c r="N86" s="7"/>
      <c r="O86" s="7"/>
      <c r="P86" s="7"/>
      <c r="AA86" s="117"/>
    </row>
    <row r="87" spans="1:27" x14ac:dyDescent="0.2">
      <c r="A87" t="s">
        <v>324</v>
      </c>
      <c r="B87" t="s">
        <v>30</v>
      </c>
      <c r="C87" s="143">
        <v>41.430508866608932</v>
      </c>
      <c r="D87" s="90">
        <v>23.632178255399211</v>
      </c>
      <c r="E87" s="12">
        <v>0.42959478650174998</v>
      </c>
      <c r="F87" s="90">
        <v>108.8776638831493</v>
      </c>
      <c r="G87" s="90">
        <v>1.6279586435613309</v>
      </c>
      <c r="H87" s="12">
        <v>-0.1674264024234938</v>
      </c>
      <c r="I87" s="12">
        <v>0.19338299280766649</v>
      </c>
      <c r="J87" s="12">
        <v>0.71618767265115513</v>
      </c>
      <c r="K87" s="90">
        <v>4.6071785134014966</v>
      </c>
      <c r="L87" s="7">
        <v>23.632178255399211</v>
      </c>
      <c r="M87" s="14">
        <v>0.42959478650174998</v>
      </c>
      <c r="N87" s="7">
        <v>108.8776638831493</v>
      </c>
      <c r="O87" s="7">
        <v>1.6279586435613309</v>
      </c>
      <c r="P87" s="7">
        <v>4.6071785134014966</v>
      </c>
      <c r="Q87" s="99">
        <v>0.104237874870826</v>
      </c>
      <c r="R87" s="99">
        <v>4.2774233724025848E-2</v>
      </c>
      <c r="S87" s="99">
        <v>4.380502890701749E-3</v>
      </c>
      <c r="U87" s="117">
        <f>C87*S87</f>
        <v>0.18148646385342487</v>
      </c>
      <c r="V87" s="117">
        <f>(1+S87)*Q87*(1-U87)+S87</f>
        <v>9.0074359446953398E-2</v>
      </c>
      <c r="W87" s="117">
        <f>V87+I87/3</f>
        <v>0.15453535704950888</v>
      </c>
      <c r="X87" s="117">
        <f>V87+I87/5</f>
        <v>0.12875095800848668</v>
      </c>
      <c r="Y87" s="117"/>
      <c r="AA87" s="117"/>
    </row>
    <row r="88" spans="1:27" x14ac:dyDescent="0.2">
      <c r="A88" t="s">
        <v>325</v>
      </c>
      <c r="B88" t="s">
        <v>32</v>
      </c>
      <c r="C88" s="143">
        <v>69.281697228645058</v>
      </c>
      <c r="D88" s="90">
        <v>25.98869500904194</v>
      </c>
      <c r="E88" s="12">
        <v>0.62488368431169572</v>
      </c>
      <c r="F88" s="90">
        <v>-31.324126215956241</v>
      </c>
      <c r="G88" s="90">
        <v>-1.4521270042299861</v>
      </c>
      <c r="H88" s="12">
        <v>-0.39033115875081542</v>
      </c>
      <c r="I88" s="12">
        <v>2.850463564314953E-3</v>
      </c>
      <c r="J88" s="12">
        <v>0.79501087061886211</v>
      </c>
      <c r="K88" s="90">
        <v>-1.205298157720424</v>
      </c>
      <c r="L88" s="7">
        <v>25.98869500904194</v>
      </c>
      <c r="M88" s="14">
        <v>0.62488368431169572</v>
      </c>
      <c r="N88" s="7">
        <v>-31.324126215956241</v>
      </c>
      <c r="O88" s="7">
        <v>-1.4521270042299861</v>
      </c>
      <c r="P88" s="7">
        <v>-1.205298157720424</v>
      </c>
      <c r="S88" s="99">
        <v>6.6717515433932402E-3</v>
      </c>
      <c r="U88" s="117">
        <f>C88*S88</f>
        <v>0.46223027041411585</v>
      </c>
      <c r="V88" s="117">
        <f>(1+S88)*R87*(1-U88)+S88</f>
        <v>2.9827907866259492E-2</v>
      </c>
      <c r="W88" s="117">
        <f>V88+I88/3</f>
        <v>3.077806238769781E-2</v>
      </c>
      <c r="X88" s="117">
        <f>V88+I88/5</f>
        <v>3.0398000579122484E-2</v>
      </c>
      <c r="Y88" s="117"/>
      <c r="AA88" s="117"/>
    </row>
    <row r="89" spans="1:27" x14ac:dyDescent="0.2">
      <c r="B89" t="s">
        <v>34</v>
      </c>
      <c r="C89" s="146">
        <v>4.3186281990722284</v>
      </c>
      <c r="D89" s="90">
        <v>2.0103593088882321</v>
      </c>
      <c r="E89" s="12">
        <v>0.53449122818210704</v>
      </c>
      <c r="F89" s="90">
        <v>8.7695534575805798</v>
      </c>
      <c r="G89" s="90">
        <v>1.030634047048677</v>
      </c>
      <c r="H89" s="12">
        <v>-0.38055282663635398</v>
      </c>
      <c r="I89" s="12">
        <v>-0.13132640919479979</v>
      </c>
      <c r="J89" s="12">
        <v>0.13620715280201751</v>
      </c>
      <c r="K89" s="90">
        <v>4.362182132720501</v>
      </c>
      <c r="L89" s="7">
        <v>2.0103593088882321</v>
      </c>
      <c r="M89" s="14">
        <v>0.53449122818210704</v>
      </c>
      <c r="N89" s="7">
        <v>7.4377064172187204</v>
      </c>
      <c r="O89" s="7">
        <v>0.72223819101087772</v>
      </c>
      <c r="P89" s="7">
        <v>3.6996900923805098</v>
      </c>
      <c r="W89" s="117">
        <f>V87+I89/3</f>
        <v>4.6298889715353467E-2</v>
      </c>
      <c r="X89" s="117">
        <f>V87+I89/5</f>
        <v>6.3809077607993439E-2</v>
      </c>
      <c r="Y89" s="117"/>
      <c r="AA89" s="117"/>
    </row>
    <row r="90" spans="1:27" x14ac:dyDescent="0.2">
      <c r="B90" t="s">
        <v>35</v>
      </c>
      <c r="C90" s="146">
        <v>2.9634715100552582</v>
      </c>
      <c r="D90" s="90">
        <v>1.6671431756872841</v>
      </c>
      <c r="E90" s="12">
        <v>0.437435733722914</v>
      </c>
      <c r="F90" s="90">
        <v>8.4432765071429348</v>
      </c>
      <c r="G90" s="90">
        <v>1.849116814011651</v>
      </c>
      <c r="H90" s="12">
        <v>-0.2406903805484418</v>
      </c>
      <c r="I90" s="12">
        <v>-4.9752497260617701E-2</v>
      </c>
      <c r="J90" s="12">
        <v>0.33547341300604749</v>
      </c>
      <c r="K90" s="90">
        <v>5.0645179311981838</v>
      </c>
      <c r="L90" s="7">
        <v>1.6671431756872841</v>
      </c>
      <c r="M90" s="14">
        <v>0.437435733722914</v>
      </c>
      <c r="N90" s="7">
        <v>3.6934826360398119</v>
      </c>
      <c r="O90" s="7">
        <v>0.24633647514665721</v>
      </c>
      <c r="P90" s="7">
        <v>2.2154561707138098</v>
      </c>
      <c r="W90" s="117">
        <f>V88+I90/3</f>
        <v>1.324374211272026E-2</v>
      </c>
      <c r="X90" s="117">
        <f>V88+I90/5</f>
        <v>1.9877408414135954E-2</v>
      </c>
      <c r="Y90" s="117"/>
      <c r="AA90" s="117"/>
    </row>
    <row r="91" spans="1:27" x14ac:dyDescent="0.2">
      <c r="C91" s="101"/>
      <c r="D91" s="90"/>
      <c r="F91" s="90"/>
      <c r="G91" s="90"/>
      <c r="K91" s="90"/>
      <c r="L91" s="7"/>
      <c r="N91" s="7"/>
      <c r="O91" s="7"/>
      <c r="P91" s="7"/>
      <c r="AA91" s="117"/>
    </row>
    <row r="92" spans="1:27" x14ac:dyDescent="0.2">
      <c r="A92" t="s">
        <v>326</v>
      </c>
      <c r="B92" t="s">
        <v>30</v>
      </c>
      <c r="C92" s="145">
        <v>28.522900516153701</v>
      </c>
      <c r="D92" s="90">
        <v>21.283925423743749</v>
      </c>
      <c r="E92" s="12">
        <v>0.25379519478778872</v>
      </c>
      <c r="F92" s="90">
        <v>96.027013220095242</v>
      </c>
      <c r="G92" s="90">
        <v>2.3666636801440011</v>
      </c>
      <c r="H92" s="12">
        <v>4.2552837804051613E-2</v>
      </c>
      <c r="I92" s="12">
        <v>0.38298067566844107</v>
      </c>
      <c r="J92" s="12">
        <v>0.92659453548583315</v>
      </c>
      <c r="K92" s="90">
        <v>4.5117153583412852</v>
      </c>
      <c r="L92" s="7">
        <v>21.283925423743749</v>
      </c>
      <c r="M92" s="14">
        <v>0.25379519478778872</v>
      </c>
      <c r="N92" s="7">
        <v>44.7400961746294</v>
      </c>
      <c r="O92" s="7">
        <v>0.56856754975852564</v>
      </c>
      <c r="P92" s="7">
        <v>2.1020603710967061</v>
      </c>
      <c r="Q92" s="99">
        <v>7.8326187965330904E-2</v>
      </c>
      <c r="R92" s="99">
        <v>2.8104235466359519E-2</v>
      </c>
      <c r="S92" s="99">
        <v>1.089040339423494E-2</v>
      </c>
      <c r="U92" s="117">
        <f>C92*S92</f>
        <v>0.31062589259454576</v>
      </c>
      <c r="V92" s="117">
        <f>(1+S92)*Q92*(1-U92)+S92</f>
        <v>6.5474488031015535E-2</v>
      </c>
      <c r="W92" s="117">
        <f>V92+I92/3</f>
        <v>0.19313471325382925</v>
      </c>
      <c r="X92" s="117">
        <f>V92+I92/5</f>
        <v>0.14207062316470376</v>
      </c>
      <c r="Y92" s="117"/>
      <c r="AA92" s="117"/>
    </row>
    <row r="93" spans="1:27" x14ac:dyDescent="0.2">
      <c r="A93" t="s">
        <v>327</v>
      </c>
      <c r="B93" t="s">
        <v>32</v>
      </c>
      <c r="C93" s="143">
        <v>84.529839027415704</v>
      </c>
      <c r="D93" s="90">
        <v>40.92091840247835</v>
      </c>
      <c r="E93" s="12">
        <v>0.51589972401099216</v>
      </c>
      <c r="F93" s="90">
        <v>-77.048326309163386</v>
      </c>
      <c r="G93" s="90">
        <v>-1.911492642073696</v>
      </c>
      <c r="H93" s="12">
        <v>-0.19957015633485711</v>
      </c>
      <c r="I93" s="12">
        <v>4.8115297323377597E-2</v>
      </c>
      <c r="J93" s="12">
        <v>1.664290252921161</v>
      </c>
      <c r="K93" s="90">
        <v>-1.8828591663401431</v>
      </c>
      <c r="L93" s="7">
        <v>40.92091840247835</v>
      </c>
      <c r="M93" s="14">
        <v>0.51589972401099216</v>
      </c>
      <c r="N93" s="7">
        <v>-199.7837114338715</v>
      </c>
      <c r="O93" s="7">
        <v>-3.3634696780751629</v>
      </c>
      <c r="P93" s="7">
        <v>-4.8821903132499518</v>
      </c>
      <c r="S93" s="99">
        <v>1.118950783364777E-2</v>
      </c>
      <c r="U93" s="117">
        <f>C93*S93</f>
        <v>0.94584729597425299</v>
      </c>
      <c r="V93" s="117">
        <f>(1+S93)*R92*(1-U93)+S93</f>
        <v>1.2728457718350896E-2</v>
      </c>
      <c r="W93" s="117">
        <f>V93+I93/3</f>
        <v>2.8766890159476761E-2</v>
      </c>
      <c r="X93" s="117">
        <f>V93+I93/5</f>
        <v>2.2351517183026415E-2</v>
      </c>
      <c r="Y93" s="117"/>
      <c r="AA93" s="117"/>
    </row>
    <row r="94" spans="1:27" x14ac:dyDescent="0.2">
      <c r="B94" t="s">
        <v>34</v>
      </c>
      <c r="C94" s="146">
        <v>2.2340900671446891</v>
      </c>
      <c r="D94" s="90">
        <v>1.4871374872222569</v>
      </c>
      <c r="E94" s="12">
        <v>0.3343430915822857</v>
      </c>
      <c r="F94" s="90">
        <v>6.3854993646433984</v>
      </c>
      <c r="G94" s="90">
        <v>1.8582103553257721</v>
      </c>
      <c r="H94" s="12">
        <v>-0.17950987368342269</v>
      </c>
      <c r="I94" s="12">
        <v>-2.9856363397001151E-2</v>
      </c>
      <c r="J94" s="12">
        <v>0.24760137678707639</v>
      </c>
      <c r="K94" s="90">
        <v>4.2938191118902687</v>
      </c>
      <c r="L94" s="7">
        <v>1.4871374872222569</v>
      </c>
      <c r="M94" s="14">
        <v>0.3343430915822857</v>
      </c>
      <c r="N94" s="7">
        <v>2.9122010449546751</v>
      </c>
      <c r="O94" s="7">
        <v>0.3035289345682719</v>
      </c>
      <c r="P94" s="7">
        <v>1.958259454809532</v>
      </c>
      <c r="W94" s="117">
        <f>V92+I94/3</f>
        <v>5.552236689868182E-2</v>
      </c>
      <c r="X94" s="117">
        <f>V92+I94/5</f>
        <v>5.9503215351615305E-2</v>
      </c>
      <c r="Y94" s="117"/>
      <c r="AA94" s="117"/>
    </row>
    <row r="95" spans="1:27" x14ac:dyDescent="0.2">
      <c r="B95" t="s">
        <v>35</v>
      </c>
      <c r="C95" s="143">
        <v>2.3756464999599571</v>
      </c>
      <c r="D95" s="90">
        <v>1.5957622258300439</v>
      </c>
      <c r="E95" s="12">
        <v>0.32828296387659478</v>
      </c>
      <c r="F95" s="90">
        <v>6.8244014970764271</v>
      </c>
      <c r="G95" s="90">
        <v>1.87265024370901</v>
      </c>
      <c r="H95" s="12">
        <v>-0.11187609619169291</v>
      </c>
      <c r="I95" s="12">
        <v>1.7967841339036509E-2</v>
      </c>
      <c r="J95" s="12">
        <v>0.39673555148220291</v>
      </c>
      <c r="K95" s="90">
        <v>4.2765779178202319</v>
      </c>
      <c r="L95" s="7">
        <v>1.5957622258300439</v>
      </c>
      <c r="M95" s="14">
        <v>0.32828296387659478</v>
      </c>
      <c r="N95" s="7">
        <v>2.9574460310202779</v>
      </c>
      <c r="O95" s="7">
        <v>0.24490155882625109</v>
      </c>
      <c r="P95" s="7">
        <v>1.8533124692069629</v>
      </c>
      <c r="W95" s="117">
        <f>V93+I95/3</f>
        <v>1.87177381646964E-2</v>
      </c>
      <c r="X95" s="117">
        <f>V93+I95/5</f>
        <v>1.6322025986158197E-2</v>
      </c>
      <c r="Y95" s="117"/>
      <c r="AA95" s="117"/>
    </row>
    <row r="96" spans="1:27" x14ac:dyDescent="0.2">
      <c r="C96" s="101"/>
      <c r="D96" s="90"/>
      <c r="F96" s="90"/>
      <c r="G96" s="90"/>
      <c r="K96" s="90"/>
      <c r="L96" s="7"/>
      <c r="N96" s="7"/>
      <c r="O96" s="7"/>
      <c r="P96" s="7"/>
      <c r="AA96" s="117"/>
    </row>
    <row r="97" spans="1:27" x14ac:dyDescent="0.2">
      <c r="A97" t="s">
        <v>328</v>
      </c>
      <c r="B97" t="s">
        <v>30</v>
      </c>
      <c r="C97" s="146">
        <v>58.098292016999089</v>
      </c>
      <c r="D97" s="90">
        <v>20.472657377462159</v>
      </c>
      <c r="E97" s="12">
        <v>0.6476203229610944</v>
      </c>
      <c r="F97" s="90">
        <v>200.42306606863349</v>
      </c>
      <c r="G97" s="90">
        <v>2.449723892227182</v>
      </c>
      <c r="H97" s="12">
        <v>-0.41544331368853737</v>
      </c>
      <c r="I97" s="12">
        <v>-8.1998921880575226E-2</v>
      </c>
      <c r="J97" s="12">
        <v>0.50144163154075172</v>
      </c>
      <c r="K97" s="90">
        <v>9.7897924228084943</v>
      </c>
      <c r="L97" s="7">
        <v>20.472657377462159</v>
      </c>
      <c r="M97" s="14">
        <v>0.6476203229610944</v>
      </c>
      <c r="N97" s="7">
        <v>106.8890757305513</v>
      </c>
      <c r="O97" s="7">
        <v>0.83979721295896925</v>
      </c>
      <c r="P97" s="7">
        <v>5.2210650410348176</v>
      </c>
      <c r="Q97" s="99">
        <v>4.7898000515357517E-2</v>
      </c>
      <c r="R97" s="99">
        <v>2.426326046471056E-2</v>
      </c>
      <c r="S97" s="99">
        <v>9.8759701574411482E-3</v>
      </c>
      <c r="U97" s="117">
        <f>C97*S97</f>
        <v>0.57377699815818428</v>
      </c>
      <c r="V97" s="117">
        <f>(1+S97)*Q97*(1-U97)+S97</f>
        <v>3.0492819917228065E-2</v>
      </c>
      <c r="W97" s="117">
        <f>V97+I97/3</f>
        <v>3.1598459570363231E-3</v>
      </c>
      <c r="X97" s="117">
        <f>V97+I97/5</f>
        <v>1.4093035541113019E-2</v>
      </c>
      <c r="Y97" s="117"/>
      <c r="AA97" s="117"/>
    </row>
    <row r="98" spans="1:27" x14ac:dyDescent="0.2">
      <c r="A98" t="s">
        <v>329</v>
      </c>
      <c r="B98" t="s">
        <v>32</v>
      </c>
      <c r="C98" s="144">
        <v>111.0462447477681</v>
      </c>
      <c r="D98" s="90">
        <v>33.904853668330723</v>
      </c>
      <c r="E98" s="12">
        <v>0.69467807087630318</v>
      </c>
      <c r="F98" s="90">
        <v>-23.70054835980336</v>
      </c>
      <c r="G98" s="90">
        <v>-1.2134295348180131</v>
      </c>
      <c r="H98" s="12">
        <v>-0.50386719406930325</v>
      </c>
      <c r="I98" s="12">
        <v>-0.17830496436428869</v>
      </c>
      <c r="J98" s="12">
        <v>-2.4381111442369949</v>
      </c>
      <c r="K98" s="90">
        <v>-0.6990311355315233</v>
      </c>
      <c r="L98" s="7">
        <v>33.904853668330723</v>
      </c>
      <c r="M98" s="14">
        <v>0.69467807087630318</v>
      </c>
      <c r="N98" s="7">
        <v>-23.70054835980336</v>
      </c>
      <c r="O98" s="7">
        <v>-1.2134295348180131</v>
      </c>
      <c r="P98" s="7">
        <v>-0.6990311355315233</v>
      </c>
      <c r="S98" s="99">
        <v>8.4614829597900159E-3</v>
      </c>
      <c r="U98" s="117">
        <f>C98*S98</f>
        <v>0.93961590768191128</v>
      </c>
      <c r="V98" s="117">
        <f>(1+S98)*R97*(1-U98)+S98</f>
        <v>9.938994964895741E-3</v>
      </c>
      <c r="W98" s="117">
        <f>V98+I98/3</f>
        <v>-4.9495993156533823E-2</v>
      </c>
      <c r="X98" s="117">
        <f>V98+I98/5</f>
        <v>-2.5721997907962001E-2</v>
      </c>
      <c r="Y98" s="117"/>
      <c r="AA98" s="117"/>
    </row>
    <row r="99" spans="1:27" x14ac:dyDescent="0.2">
      <c r="B99" t="s">
        <v>34</v>
      </c>
      <c r="C99" s="146">
        <v>2.7827920209716139</v>
      </c>
      <c r="D99" s="90">
        <v>1.6404497151213819</v>
      </c>
      <c r="E99" s="12">
        <v>0.41050222123728181</v>
      </c>
      <c r="F99" s="90">
        <v>5.952464455050789</v>
      </c>
      <c r="G99" s="90">
        <v>1.139025989075706</v>
      </c>
      <c r="H99" s="12">
        <v>-0.23878860202853061</v>
      </c>
      <c r="I99" s="12">
        <v>-4.0533070870913512E-2</v>
      </c>
      <c r="J99" s="12">
        <v>0.1213431715173225</v>
      </c>
      <c r="K99" s="90">
        <v>3.6285564867865192</v>
      </c>
      <c r="L99" s="7">
        <v>1.6404497151213819</v>
      </c>
      <c r="M99" s="14">
        <v>0.41050222123728181</v>
      </c>
      <c r="N99" s="7">
        <v>3.3807388073126599</v>
      </c>
      <c r="O99" s="7">
        <v>0.21487296996498939</v>
      </c>
      <c r="P99" s="7">
        <v>2.060860979857897</v>
      </c>
      <c r="W99" s="117">
        <f>V97+I99/3</f>
        <v>1.6981796293590229E-2</v>
      </c>
      <c r="X99" s="117">
        <f>V97+I99/5</f>
        <v>2.2386205743045361E-2</v>
      </c>
      <c r="Y99" s="117"/>
      <c r="AA99" s="117"/>
    </row>
    <row r="100" spans="1:27" x14ac:dyDescent="0.2">
      <c r="B100" t="s">
        <v>35</v>
      </c>
      <c r="C100" s="146">
        <v>2.6943439599430929</v>
      </c>
      <c r="D100" s="90">
        <v>1.583271303577195</v>
      </c>
      <c r="E100" s="12">
        <v>0.41237224084387691</v>
      </c>
      <c r="F100" s="90">
        <v>6.4345647521008296</v>
      </c>
      <c r="G100" s="90">
        <v>1.3881749501042671</v>
      </c>
      <c r="H100" s="12">
        <v>-0.20520265622272379</v>
      </c>
      <c r="I100" s="12">
        <v>-5.1139050267426267E-2</v>
      </c>
      <c r="J100" s="12">
        <v>0.26983659230780521</v>
      </c>
      <c r="K100" s="90">
        <v>4.0640948506821104</v>
      </c>
      <c r="L100" s="7">
        <v>1.583271303577195</v>
      </c>
      <c r="M100" s="14">
        <v>0.41237224084387691</v>
      </c>
      <c r="N100" s="7">
        <v>3.1012257483346719</v>
      </c>
      <c r="O100" s="7">
        <v>0.15101330581421871</v>
      </c>
      <c r="P100" s="7">
        <v>1.9587456308516791</v>
      </c>
      <c r="W100" s="117">
        <f>V98+I100/3</f>
        <v>-7.1073551242463468E-3</v>
      </c>
      <c r="X100" s="117">
        <f>V98+I100/5</f>
        <v>-2.8881508858951202E-4</v>
      </c>
      <c r="Y100" s="117"/>
      <c r="AA100" s="117"/>
    </row>
    <row r="101" spans="1:27" x14ac:dyDescent="0.2">
      <c r="C101" s="101"/>
      <c r="D101" s="90"/>
      <c r="F101" s="90"/>
      <c r="G101" s="90"/>
      <c r="K101" s="90"/>
      <c r="L101" s="7"/>
      <c r="N101" s="7"/>
      <c r="O101" s="7"/>
      <c r="P101" s="7"/>
      <c r="AA101" s="117"/>
    </row>
    <row r="102" spans="1:27" x14ac:dyDescent="0.2">
      <c r="A102" t="s">
        <v>330</v>
      </c>
      <c r="B102" t="s">
        <v>30</v>
      </c>
      <c r="C102" s="146">
        <v>37.973434707847623</v>
      </c>
      <c r="D102" s="90">
        <v>17.36831252915217</v>
      </c>
      <c r="E102" s="12">
        <v>0.54261939530155745</v>
      </c>
      <c r="F102" s="90">
        <v>160.91791819267581</v>
      </c>
      <c r="G102" s="90">
        <v>3.2376445383651409</v>
      </c>
      <c r="H102" s="12">
        <v>-0.16450474191311959</v>
      </c>
      <c r="I102" s="12">
        <v>-1.9291871971586221E-3</v>
      </c>
      <c r="J102" s="12">
        <v>1.1493409295581669</v>
      </c>
      <c r="K102" s="90">
        <v>9.2650289383369895</v>
      </c>
      <c r="L102" s="7">
        <v>23.925908013870089</v>
      </c>
      <c r="M102" s="14">
        <v>0.36993036848137562</v>
      </c>
      <c r="N102" s="7">
        <v>54.200402476120708</v>
      </c>
      <c r="O102" s="7">
        <v>0.4273242042263723</v>
      </c>
      <c r="P102" s="7">
        <v>2.2653435950978409</v>
      </c>
      <c r="Q102" s="99">
        <v>6.4053367341581041E-2</v>
      </c>
      <c r="R102" s="99">
        <v>3.6420253444745879E-2</v>
      </c>
      <c r="S102" s="99">
        <v>1.130642280423582E-2</v>
      </c>
      <c r="U102" s="117">
        <f>C102*S102</f>
        <v>0.42934370813596834</v>
      </c>
      <c r="V102" s="117">
        <f>(1+S102)*Q102*(1-U102)+S102</f>
        <v>4.8272157427163974E-2</v>
      </c>
      <c r="W102" s="117">
        <f>V102+I102/3</f>
        <v>4.76290950281111E-2</v>
      </c>
      <c r="X102" s="117">
        <f>V102+I102/5</f>
        <v>4.7886319987732247E-2</v>
      </c>
      <c r="Y102" s="117"/>
      <c r="AA102" s="117"/>
    </row>
    <row r="103" spans="1:27" x14ac:dyDescent="0.2">
      <c r="A103" t="s">
        <v>331</v>
      </c>
      <c r="B103" t="s">
        <v>32</v>
      </c>
      <c r="C103" s="144">
        <v>70.85781538071268</v>
      </c>
      <c r="D103" s="90">
        <v>33.441419155904413</v>
      </c>
      <c r="E103" s="12">
        <v>0.52804896712907867</v>
      </c>
      <c r="F103" s="90">
        <v>-3.432253047086042</v>
      </c>
      <c r="G103" s="90">
        <v>-1.048438595356699</v>
      </c>
      <c r="H103" s="12">
        <v>-0.16807088428113559</v>
      </c>
      <c r="I103" s="12">
        <v>0.60011380383608626</v>
      </c>
      <c r="J103" s="12">
        <v>-3.993814234709324</v>
      </c>
      <c r="K103" s="90">
        <v>-0.1026347904401074</v>
      </c>
      <c r="L103" s="7">
        <v>37.40142616677543</v>
      </c>
      <c r="M103" s="14">
        <v>0.47216230184601482</v>
      </c>
      <c r="N103" s="7">
        <v>-3.432253047086042</v>
      </c>
      <c r="O103" s="7">
        <v>-1.048438595356699</v>
      </c>
      <c r="P103" s="7">
        <v>-9.1767972477343487E-2</v>
      </c>
      <c r="S103" s="99">
        <v>7.3285969005590966E-3</v>
      </c>
      <c r="U103" s="117">
        <f>C103*S103</f>
        <v>0.5192883661794796</v>
      </c>
      <c r="V103" s="117">
        <f>(1+S103)*R102*(1-U103)+S103</f>
        <v>2.4964542870991549E-2</v>
      </c>
      <c r="W103" s="117">
        <f>V103+I103/3</f>
        <v>0.22500247748302032</v>
      </c>
      <c r="X103" s="117">
        <f>V103+I103/5</f>
        <v>0.1449873036382088</v>
      </c>
      <c r="Y103" s="117"/>
      <c r="AA103" s="117"/>
    </row>
    <row r="104" spans="1:27" x14ac:dyDescent="0.2">
      <c r="B104" t="s">
        <v>34</v>
      </c>
      <c r="C104" s="143">
        <v>2.4323263625633058</v>
      </c>
      <c r="D104" s="90">
        <v>1.5589169396137621</v>
      </c>
      <c r="E104" s="12">
        <v>0.35908397671976139</v>
      </c>
      <c r="F104" s="90">
        <v>6.3188397125532632</v>
      </c>
      <c r="G104" s="90">
        <v>1.5978584986819599</v>
      </c>
      <c r="H104" s="12">
        <v>-0.18990951385308469</v>
      </c>
      <c r="I104" s="12">
        <v>2.597057392820323E-2</v>
      </c>
      <c r="J104" s="12">
        <v>0.22283245694905141</v>
      </c>
      <c r="K104" s="90">
        <v>4.0533523961313964</v>
      </c>
      <c r="L104" s="7">
        <v>1.658568316461793</v>
      </c>
      <c r="M104" s="14">
        <v>0.31811440192018009</v>
      </c>
      <c r="N104" s="7">
        <v>3.1093562270020318</v>
      </c>
      <c r="O104" s="7">
        <v>0.27834663754794731</v>
      </c>
      <c r="P104" s="7">
        <v>1.874723034403063</v>
      </c>
      <c r="W104" s="117">
        <f>V102+I104/3</f>
        <v>5.6929015403231718E-2</v>
      </c>
      <c r="X104" s="117">
        <f>V102+I104/5</f>
        <v>5.3466272212804616E-2</v>
      </c>
      <c r="Y104" s="117"/>
      <c r="AA104" s="117"/>
    </row>
    <row r="105" spans="1:27" x14ac:dyDescent="0.2">
      <c r="B105" t="s">
        <v>35</v>
      </c>
      <c r="C105" s="143">
        <v>2.5806595947065691</v>
      </c>
      <c r="D105" s="90">
        <v>1.7251663624593989</v>
      </c>
      <c r="E105" s="12">
        <v>0.33150177342333381</v>
      </c>
      <c r="F105" s="90">
        <v>42.004388671004961</v>
      </c>
      <c r="G105" s="90">
        <v>15.2766095757705</v>
      </c>
      <c r="H105" s="12">
        <v>-0.16293140178765059</v>
      </c>
      <c r="I105" s="12">
        <v>3.4328378648649238E-3</v>
      </c>
      <c r="J105" s="12">
        <v>0.43096863710024791</v>
      </c>
      <c r="K105" s="90">
        <v>24.348022071983511</v>
      </c>
      <c r="L105" s="7">
        <v>1.72931467678428</v>
      </c>
      <c r="M105" s="14">
        <v>0.32989431061289981</v>
      </c>
      <c r="N105" s="7">
        <v>42.004388671004961</v>
      </c>
      <c r="O105" s="7">
        <v>15.2766095757705</v>
      </c>
      <c r="P105" s="7">
        <v>24.289615554014471</v>
      </c>
      <c r="W105" s="117">
        <f>V103+I105/3</f>
        <v>2.6108822159279857E-2</v>
      </c>
      <c r="X105" s="117">
        <f>V103+I105/5</f>
        <v>2.5651110443964533E-2</v>
      </c>
      <c r="Y105" s="117"/>
      <c r="AA105" s="117"/>
    </row>
    <row r="106" spans="1:27" x14ac:dyDescent="0.2">
      <c r="C106" s="101"/>
      <c r="D106" s="90"/>
      <c r="F106" s="90"/>
      <c r="G106" s="90"/>
      <c r="K106" s="90"/>
      <c r="L106" s="7"/>
      <c r="N106" s="7"/>
      <c r="O106" s="7"/>
      <c r="P106" s="7"/>
      <c r="AA106" s="117"/>
    </row>
    <row r="107" spans="1:27" x14ac:dyDescent="0.2">
      <c r="A107" t="s">
        <v>332</v>
      </c>
      <c r="B107" t="s">
        <v>30</v>
      </c>
      <c r="C107" s="144">
        <v>42.289582921434338</v>
      </c>
      <c r="D107" s="90">
        <v>19.42901504317933</v>
      </c>
      <c r="E107" s="12">
        <v>0.54057208179909011</v>
      </c>
      <c r="F107" s="90">
        <v>-42.007021864598919</v>
      </c>
      <c r="G107" s="90">
        <v>-1.9933184241291679</v>
      </c>
      <c r="H107" s="12">
        <v>-0.11249755712664281</v>
      </c>
      <c r="I107" s="12">
        <v>1.0561561782819631</v>
      </c>
      <c r="J107" s="12">
        <v>-4.6557651095505372</v>
      </c>
      <c r="K107" s="90">
        <v>-2.1620767584585159</v>
      </c>
      <c r="L107" s="7">
        <v>33.551305344132572</v>
      </c>
      <c r="M107" s="14">
        <v>0.20662955209408809</v>
      </c>
      <c r="N107" s="7">
        <v>-42.007021864598919</v>
      </c>
      <c r="O107" s="7">
        <v>-1.9933184241291679</v>
      </c>
      <c r="P107" s="7">
        <v>-1.252023473713969</v>
      </c>
      <c r="Q107" s="99">
        <v>6.0170627339723469E-2</v>
      </c>
      <c r="R107" s="99">
        <v>3.5474907412079697E-2</v>
      </c>
      <c r="S107" s="99">
        <v>4.3622053039251013E-3</v>
      </c>
      <c r="U107" s="117">
        <f>C107*S107</f>
        <v>0.18447584292066124</v>
      </c>
      <c r="V107" s="117">
        <f>(1+S107)*Q107*(1-U107)+S107</f>
        <v>5.364686147829504E-2</v>
      </c>
      <c r="W107" s="117">
        <f>V107+I107/3</f>
        <v>0.4056989209056161</v>
      </c>
      <c r="X107" s="117">
        <f>V107+I107/5</f>
        <v>0.26487809713468768</v>
      </c>
      <c r="Y107" s="117"/>
      <c r="AA107" s="117"/>
    </row>
    <row r="108" spans="1:27" x14ac:dyDescent="0.2">
      <c r="A108" t="s">
        <v>333</v>
      </c>
      <c r="B108" t="s">
        <v>32</v>
      </c>
      <c r="C108" s="144">
        <v>41.290913034333471</v>
      </c>
      <c r="D108" s="90">
        <v>26.36648821625538</v>
      </c>
      <c r="E108" s="12">
        <v>0.3614457448705094</v>
      </c>
      <c r="F108" s="90">
        <v>-7.8553138548670836</v>
      </c>
      <c r="G108" s="90">
        <v>-1.1902431619357841</v>
      </c>
      <c r="H108" s="12">
        <v>-8.0446291328984398E-2</v>
      </c>
      <c r="I108" s="12">
        <v>2.956142093869059</v>
      </c>
      <c r="J108" s="12">
        <v>-1.3808565817268781</v>
      </c>
      <c r="K108" s="90">
        <v>-0.29792795272690697</v>
      </c>
      <c r="L108" s="7">
        <v>26.36648821625538</v>
      </c>
      <c r="M108" s="14">
        <v>0.3614457448705094</v>
      </c>
      <c r="N108" s="7">
        <v>-7.8553138548670836</v>
      </c>
      <c r="O108" s="7">
        <v>-1.1902431619357841</v>
      </c>
      <c r="P108" s="7">
        <v>-0.29792795272690697</v>
      </c>
      <c r="S108" s="99">
        <v>7.0236568978449716E-3</v>
      </c>
      <c r="U108" s="117">
        <f>C108*S108</f>
        <v>0.29001320615191312</v>
      </c>
      <c r="V108" s="117">
        <f>(1+S108)*R107*(1-U108)+S108</f>
        <v>3.2387275523396236E-2</v>
      </c>
      <c r="W108" s="117">
        <f>V108+I108/3</f>
        <v>1.0177679734797491</v>
      </c>
      <c r="X108" s="117">
        <f>V108+I108/5</f>
        <v>0.62361569429720809</v>
      </c>
      <c r="Y108" s="117"/>
      <c r="AA108" s="117"/>
    </row>
    <row r="109" spans="1:27" x14ac:dyDescent="0.2">
      <c r="B109" t="s">
        <v>34</v>
      </c>
      <c r="C109" s="143">
        <v>2.5445907343179601</v>
      </c>
      <c r="D109" s="90">
        <v>1.1401087961701151</v>
      </c>
      <c r="E109" s="12">
        <v>0.5519480674067202</v>
      </c>
      <c r="F109" s="90">
        <v>6.8495567438659393</v>
      </c>
      <c r="G109" s="90">
        <v>1.691810769994752</v>
      </c>
      <c r="H109" s="12">
        <v>-0.32435181709690181</v>
      </c>
      <c r="I109" s="12">
        <v>0.1094224047956915</v>
      </c>
      <c r="J109" s="12">
        <v>0.32249258464114372</v>
      </c>
      <c r="K109" s="90">
        <v>6.0078097519071516</v>
      </c>
      <c r="L109" s="7">
        <v>1.1401087961701151</v>
      </c>
      <c r="M109" s="14">
        <v>0.5519480674067202</v>
      </c>
      <c r="N109" s="7">
        <v>4.2073970297975247</v>
      </c>
      <c r="O109" s="7">
        <v>0.65346708728201675</v>
      </c>
      <c r="P109" s="7">
        <v>3.6903469598086871</v>
      </c>
      <c r="W109" s="117">
        <f>V107+I109/3</f>
        <v>9.0120996410192208E-2</v>
      </c>
      <c r="X109" s="117">
        <f>V107+I109/5</f>
        <v>7.5531342437433341E-2</v>
      </c>
      <c r="Y109" s="117"/>
      <c r="AA109" s="117"/>
    </row>
    <row r="110" spans="1:27" x14ac:dyDescent="0.2">
      <c r="B110" t="s">
        <v>35</v>
      </c>
      <c r="C110" s="143">
        <v>1.464791316853215</v>
      </c>
      <c r="D110" s="90">
        <v>1.0816589024681691</v>
      </c>
      <c r="E110" s="12">
        <v>0.26156109063243399</v>
      </c>
      <c r="F110" s="90">
        <v>6.0095339771957788</v>
      </c>
      <c r="G110" s="90">
        <v>3.1026553803622718</v>
      </c>
      <c r="H110" s="12">
        <v>-3.373026889062869E-2</v>
      </c>
      <c r="I110" s="12">
        <v>0.35559881887221262</v>
      </c>
      <c r="J110" s="12">
        <v>1.1830712961617691</v>
      </c>
      <c r="K110" s="90">
        <v>5.555849411938464</v>
      </c>
      <c r="L110" s="7">
        <v>1.0816589024681691</v>
      </c>
      <c r="M110" s="14">
        <v>0.26156109063243399</v>
      </c>
      <c r="N110" s="7">
        <v>2.1496108387695521</v>
      </c>
      <c r="O110" s="7">
        <v>0.46752019488176821</v>
      </c>
      <c r="P110" s="7">
        <v>1.9873278293780889</v>
      </c>
      <c r="W110" s="117">
        <f>V108+I110/3</f>
        <v>0.15092021514746712</v>
      </c>
      <c r="X110" s="117">
        <f>V108+I110/5</f>
        <v>0.10350703929783876</v>
      </c>
      <c r="Y110" s="117"/>
      <c r="AA110" s="117"/>
    </row>
    <row r="111" spans="1:27" x14ac:dyDescent="0.2">
      <c r="C111" s="101"/>
      <c r="D111" s="90"/>
      <c r="F111" s="90"/>
      <c r="G111" s="90"/>
      <c r="K111" s="90"/>
      <c r="L111" s="7"/>
      <c r="N111" s="7"/>
      <c r="O111" s="7"/>
      <c r="P111" s="7"/>
      <c r="AA111" s="117"/>
    </row>
    <row r="112" spans="1:27" x14ac:dyDescent="0.2">
      <c r="A112" t="s">
        <v>334</v>
      </c>
      <c r="B112" t="s">
        <v>30</v>
      </c>
      <c r="C112" s="143">
        <v>10.13036314321889</v>
      </c>
      <c r="D112" s="90">
        <v>7.1578553704442003</v>
      </c>
      <c r="E112" s="12">
        <v>0.29342558906828953</v>
      </c>
      <c r="F112" s="90">
        <v>31.219505203101701</v>
      </c>
      <c r="G112" s="90">
        <v>2.0817755258852242</v>
      </c>
      <c r="H112" s="12">
        <v>-0.13142588697737881</v>
      </c>
      <c r="I112" s="12">
        <v>3.560839675415628E-2</v>
      </c>
      <c r="J112" s="12">
        <v>0.63589370634041087</v>
      </c>
      <c r="K112" s="90">
        <v>4.361572508437578</v>
      </c>
      <c r="L112" s="7">
        <v>7.1578553704442003</v>
      </c>
      <c r="M112" s="14">
        <v>0.29342558906828953</v>
      </c>
      <c r="N112" s="7">
        <v>15.07604366799427</v>
      </c>
      <c r="O112" s="7">
        <v>0.48820367590533392</v>
      </c>
      <c r="P112" s="7">
        <v>2.106223566662913</v>
      </c>
      <c r="Q112" s="99">
        <v>8.8376852737180753E-2</v>
      </c>
      <c r="R112" s="99">
        <v>-0.1034609272296457</v>
      </c>
      <c r="S112" s="99">
        <v>2.2173198053588718E-2</v>
      </c>
      <c r="U112" s="117">
        <f>C112*S112</f>
        <v>0.22462254832936798</v>
      </c>
      <c r="V112" s="117">
        <f>(1+S112)*Q112*(1-U112)+S112</f>
        <v>9.2218044599747459E-2</v>
      </c>
      <c r="W112" s="117">
        <f>V112+I112/3</f>
        <v>0.10408751018446621</v>
      </c>
      <c r="X112" s="117">
        <f>V112+I112/5</f>
        <v>9.9339723950578718E-2</v>
      </c>
      <c r="Y112" s="117"/>
      <c r="AA112" s="117"/>
    </row>
    <row r="113" spans="1:27" x14ac:dyDescent="0.2">
      <c r="A113" t="s">
        <v>335</v>
      </c>
      <c r="B113" t="s">
        <v>32</v>
      </c>
      <c r="C113" s="145">
        <v>-15.17680683489062</v>
      </c>
      <c r="D113" s="90">
        <v>16.52285154374313</v>
      </c>
      <c r="E113" s="12">
        <v>2.0886909033959662</v>
      </c>
      <c r="F113" s="90">
        <v>-14.27235351614487</v>
      </c>
      <c r="G113" s="90">
        <v>-5.9594440950942351E-2</v>
      </c>
      <c r="H113" s="12">
        <v>-2.6152736548728019</v>
      </c>
      <c r="I113" s="12">
        <v>-3.1755432320217021</v>
      </c>
      <c r="J113" s="12">
        <v>-3.7708138605824839</v>
      </c>
      <c r="K113" s="90">
        <v>-0.86379481643103673</v>
      </c>
      <c r="L113" s="7">
        <v>22.434042604170099</v>
      </c>
      <c r="M113" s="14">
        <v>2.4781793593495238</v>
      </c>
      <c r="N113" s="7">
        <v>-14.27235351614487</v>
      </c>
      <c r="O113" s="7">
        <v>-5.9594440950942351E-2</v>
      </c>
      <c r="P113" s="7">
        <v>-0.6361917808559342</v>
      </c>
      <c r="S113" s="99">
        <v>9.8770285621406686E-3</v>
      </c>
      <c r="U113" s="117">
        <f>C113*S113</f>
        <v>-0.14990175459030636</v>
      </c>
      <c r="V113" s="117">
        <f>(1+S113)*R112*(1-U113)+S113</f>
        <v>-0.11026794230841747</v>
      </c>
      <c r="W113" s="117">
        <f>V113+I113/3</f>
        <v>-1.168782352982318</v>
      </c>
      <c r="X113" s="117">
        <f>V113+I113/5</f>
        <v>-0.74537658871275791</v>
      </c>
      <c r="Y113" s="117"/>
      <c r="AA113" s="117"/>
    </row>
    <row r="114" spans="1:27" x14ac:dyDescent="0.2">
      <c r="B114" t="s">
        <v>34</v>
      </c>
      <c r="C114" s="145">
        <v>0.89528961168241972</v>
      </c>
      <c r="D114" s="90">
        <v>0.78151398454135812</v>
      </c>
      <c r="E114" s="12">
        <v>0.1270824833176111</v>
      </c>
      <c r="F114" s="90">
        <v>3.6774605322067928</v>
      </c>
      <c r="G114" s="90">
        <v>3.1075652886177729</v>
      </c>
      <c r="H114" s="12">
        <v>5.3882879050834553E-2</v>
      </c>
      <c r="I114" s="12">
        <v>0.36152176603301461</v>
      </c>
      <c r="J114" s="12">
        <v>1.158791211149053</v>
      </c>
      <c r="K114" s="90">
        <v>4.7055594716772209</v>
      </c>
      <c r="L114" s="7">
        <v>0.78151398454135812</v>
      </c>
      <c r="M114" s="14">
        <v>0.1270824833176111</v>
      </c>
      <c r="N114" s="7">
        <v>1.674700625073485</v>
      </c>
      <c r="O114" s="7">
        <v>0.87056858833244255</v>
      </c>
      <c r="P114" s="7">
        <v>2.1428927161889559</v>
      </c>
      <c r="W114" s="117">
        <f>V112+I114/3</f>
        <v>0.21272529994408568</v>
      </c>
      <c r="X114" s="117">
        <f>V112+I114/5</f>
        <v>0.16452239780635036</v>
      </c>
      <c r="Y114" s="117"/>
      <c r="AA114" s="117"/>
    </row>
    <row r="115" spans="1:27" x14ac:dyDescent="0.2">
      <c r="B115" t="s">
        <v>35</v>
      </c>
      <c r="C115" s="143">
        <v>1.5702065075230081</v>
      </c>
      <c r="D115" s="90">
        <v>1.211514605595621</v>
      </c>
      <c r="E115" s="12">
        <v>0.22843613257801479</v>
      </c>
      <c r="F115" s="90">
        <v>5.5461105189323341</v>
      </c>
      <c r="G115" s="90">
        <v>2.5320898826749181</v>
      </c>
      <c r="H115" s="12">
        <v>-3.1574711147955507E-2</v>
      </c>
      <c r="I115" s="12">
        <v>0.18908490154848279</v>
      </c>
      <c r="J115" s="12">
        <v>0.86074703621513282</v>
      </c>
      <c r="K115" s="90">
        <v>4.5778321559777497</v>
      </c>
      <c r="L115" s="7">
        <v>1.211514605595621</v>
      </c>
      <c r="M115" s="14">
        <v>0.22843613257801479</v>
      </c>
      <c r="N115" s="7">
        <v>2.5225595566226851</v>
      </c>
      <c r="O115" s="7">
        <v>0.60651452183955601</v>
      </c>
      <c r="P115" s="7">
        <v>2.0821536488060008</v>
      </c>
      <c r="W115" s="117">
        <f>V113+I115/3</f>
        <v>-4.7239641792256537E-2</v>
      </c>
      <c r="X115" s="117">
        <f>V113+I115/5</f>
        <v>-7.2450961998720906E-2</v>
      </c>
      <c r="Y115" s="117"/>
      <c r="AA115" s="117"/>
    </row>
    <row r="116" spans="1:27" x14ac:dyDescent="0.2">
      <c r="C116" s="101"/>
      <c r="D116" s="90"/>
      <c r="F116" s="90"/>
      <c r="G116" s="90"/>
      <c r="K116" s="90"/>
      <c r="L116" s="7"/>
      <c r="N116" s="7"/>
      <c r="O116" s="7"/>
      <c r="P116" s="7"/>
      <c r="AA116" s="117"/>
    </row>
    <row r="117" spans="1:27" x14ac:dyDescent="0.2">
      <c r="A117" t="s">
        <v>336</v>
      </c>
      <c r="B117" t="s">
        <v>30</v>
      </c>
      <c r="C117" s="145">
        <v>14.2193541721574</v>
      </c>
      <c r="D117" s="90">
        <v>11.641203503656209</v>
      </c>
      <c r="E117" s="12">
        <v>0.1813127823730141</v>
      </c>
      <c r="F117" s="90">
        <v>276.51349983539382</v>
      </c>
      <c r="G117" s="90">
        <v>18.44627698892463</v>
      </c>
      <c r="H117" s="12">
        <v>0.13771597213820999</v>
      </c>
      <c r="I117" s="12">
        <v>0.7434286391903584</v>
      </c>
      <c r="J117" s="12">
        <v>2.0699799891570958</v>
      </c>
      <c r="K117" s="90">
        <v>23.752999399808431</v>
      </c>
      <c r="L117" s="7">
        <v>11.641203503656209</v>
      </c>
      <c r="M117" s="14">
        <v>0.1813127823730141</v>
      </c>
      <c r="N117" s="7">
        <v>51.382023186128798</v>
      </c>
      <c r="O117" s="7">
        <v>2.6135272083410661</v>
      </c>
      <c r="P117" s="7">
        <v>4.4138068001294704</v>
      </c>
      <c r="Q117" s="99">
        <v>9.658293737382892E-2</v>
      </c>
      <c r="R117" s="99">
        <v>5.4230583519564272E-2</v>
      </c>
      <c r="S117" s="99">
        <v>1.917295684117528E-2</v>
      </c>
      <c r="U117" s="117">
        <f>C117*S117</f>
        <v>0.27262706385215951</v>
      </c>
      <c r="V117" s="117">
        <f>(1+S117)*Q117*(1-U117)+S117</f>
        <v>9.0771706592572693E-2</v>
      </c>
      <c r="W117" s="117">
        <f>V117+I117/3</f>
        <v>0.33858125298935882</v>
      </c>
      <c r="X117" s="117">
        <f>V117+I117/5</f>
        <v>0.23945743443064438</v>
      </c>
      <c r="Y117" s="117"/>
      <c r="AA117" s="117"/>
    </row>
    <row r="118" spans="1:27" x14ac:dyDescent="0.2">
      <c r="A118" t="s">
        <v>337</v>
      </c>
      <c r="B118" t="s">
        <v>32</v>
      </c>
      <c r="C118" s="145">
        <v>32.121085411616789</v>
      </c>
      <c r="D118" s="90">
        <v>18.638068172868469</v>
      </c>
      <c r="E118" s="12">
        <v>0.41975596608799842</v>
      </c>
      <c r="F118" s="90">
        <v>-13.184493493605171</v>
      </c>
      <c r="G118" s="90">
        <v>-1.410462265662944</v>
      </c>
      <c r="H118" s="12">
        <v>0.1057799429012538</v>
      </c>
      <c r="I118" s="12">
        <v>0.70359800952665896</v>
      </c>
      <c r="J118" s="12">
        <v>34.152415460359293</v>
      </c>
      <c r="K118" s="90">
        <v>-0.70739592597895418</v>
      </c>
      <c r="L118" s="7">
        <v>18.638068172868469</v>
      </c>
      <c r="M118" s="14">
        <v>0.41975596608799842</v>
      </c>
      <c r="N118" s="7">
        <v>-13.184493493605171</v>
      </c>
      <c r="O118" s="7">
        <v>-1.410462265662944</v>
      </c>
      <c r="P118" s="7">
        <v>-0.70739592597895418</v>
      </c>
      <c r="S118" s="99">
        <v>1.405990139147017E-2</v>
      </c>
      <c r="U118" s="117">
        <f>C118*S118</f>
        <v>0.45161929347432306</v>
      </c>
      <c r="V118" s="117">
        <f>(1+S118)*R117*(1-U118)+S118</f>
        <v>4.421703458493189E-2</v>
      </c>
      <c r="W118" s="117">
        <f>V118+I118/3</f>
        <v>0.27874970442715152</v>
      </c>
      <c r="X118" s="117">
        <f>V118+I118/5</f>
        <v>0.18493663649026368</v>
      </c>
      <c r="Y118" s="117"/>
      <c r="AA118" s="117"/>
    </row>
    <row r="119" spans="1:27" x14ac:dyDescent="0.2">
      <c r="B119" t="s">
        <v>34</v>
      </c>
      <c r="C119" s="143">
        <v>1.3733469935057709</v>
      </c>
      <c r="D119" s="90">
        <v>1.051577470975424</v>
      </c>
      <c r="E119" s="12">
        <v>0.23429586554011281</v>
      </c>
      <c r="F119" s="90">
        <v>5.4391438316186234</v>
      </c>
      <c r="G119" s="90">
        <v>2.9605022309285509</v>
      </c>
      <c r="H119" s="12">
        <v>-1.714317786786124E-2</v>
      </c>
      <c r="I119" s="12">
        <v>0.34733027433439378</v>
      </c>
      <c r="J119" s="12">
        <v>0.86979866307906573</v>
      </c>
      <c r="K119" s="90">
        <v>5.1723662609216712</v>
      </c>
      <c r="L119" s="7">
        <v>1.051577470975424</v>
      </c>
      <c r="M119" s="14">
        <v>0.23429586554011281</v>
      </c>
      <c r="N119" s="7">
        <v>1.88435319293994</v>
      </c>
      <c r="O119" s="7">
        <v>0.37208819173202051</v>
      </c>
      <c r="P119" s="7">
        <v>1.7919299765827501</v>
      </c>
      <c r="W119" s="117">
        <f>V117+I119/3</f>
        <v>0.20654846470403729</v>
      </c>
      <c r="X119" s="117">
        <f>V117+I119/5</f>
        <v>0.16023776145945146</v>
      </c>
      <c r="Y119" s="117"/>
      <c r="AA119" s="117"/>
    </row>
    <row r="120" spans="1:27" x14ac:dyDescent="0.2">
      <c r="B120" t="s">
        <v>35</v>
      </c>
      <c r="C120" s="143">
        <v>1.7419452051537421</v>
      </c>
      <c r="D120" s="90">
        <v>1.016830914310306</v>
      </c>
      <c r="E120" s="12">
        <v>0.41626699203746659</v>
      </c>
      <c r="F120" s="90">
        <v>5.9103307823263496</v>
      </c>
      <c r="G120" s="90">
        <v>2.3929487361829569</v>
      </c>
      <c r="H120" s="12">
        <v>-8.4134526826385225E-2</v>
      </c>
      <c r="I120" s="12">
        <v>0.21683233956233461</v>
      </c>
      <c r="J120" s="12">
        <v>0.76026640769324261</v>
      </c>
      <c r="K120" s="90">
        <v>5.8125010748077006</v>
      </c>
      <c r="L120" s="7">
        <v>1.016830914310306</v>
      </c>
      <c r="M120" s="14">
        <v>0.41626699203746659</v>
      </c>
      <c r="N120" s="7">
        <v>2.1710408806459212</v>
      </c>
      <c r="O120" s="7">
        <v>0.2463313278871524</v>
      </c>
      <c r="P120" s="7">
        <v>2.1351051095043569</v>
      </c>
      <c r="W120" s="117">
        <f>V118+I120/3</f>
        <v>0.11649448110571009</v>
      </c>
      <c r="X120" s="117">
        <f>V118+I120/5</f>
        <v>8.758350249739881E-2</v>
      </c>
      <c r="Y120" s="117"/>
      <c r="AA120" s="117"/>
    </row>
    <row r="121" spans="1:27" x14ac:dyDescent="0.2">
      <c r="C121" s="101"/>
      <c r="D121" s="90"/>
      <c r="F121" s="90"/>
      <c r="G121" s="90"/>
      <c r="K121" s="90"/>
      <c r="L121" s="7"/>
      <c r="N121" s="7"/>
      <c r="O121" s="7"/>
      <c r="P121" s="7"/>
      <c r="AA121" s="117"/>
    </row>
    <row r="122" spans="1:27" x14ac:dyDescent="0.2">
      <c r="A122" t="s">
        <v>338</v>
      </c>
      <c r="B122" t="s">
        <v>30</v>
      </c>
      <c r="C122" s="146">
        <v>45.230219503678143</v>
      </c>
      <c r="D122" s="90">
        <v>20.79209635578604</v>
      </c>
      <c r="E122" s="12">
        <v>0.54030520780260161</v>
      </c>
      <c r="F122" s="90">
        <v>86.962921694692611</v>
      </c>
      <c r="G122" s="90">
        <v>0.9226729971456531</v>
      </c>
      <c r="H122" s="12">
        <v>-0.2281077890069082</v>
      </c>
      <c r="I122" s="12">
        <v>-0.105707221535881</v>
      </c>
      <c r="J122" s="12">
        <v>2.995214570733773E-2</v>
      </c>
      <c r="K122" s="90">
        <v>4.1824989749286399</v>
      </c>
      <c r="L122" s="7">
        <v>20.79209635578604</v>
      </c>
      <c r="M122" s="14">
        <v>0.54030520780260161</v>
      </c>
      <c r="N122" s="7">
        <v>47.752998395466072</v>
      </c>
      <c r="O122" s="7">
        <v>5.5776401694950462E-2</v>
      </c>
      <c r="P122" s="7">
        <v>2.296689933440855</v>
      </c>
      <c r="Q122" s="99">
        <v>5.1511005128300563E-2</v>
      </c>
      <c r="R122" s="99">
        <v>1.8001893801405409E-2</v>
      </c>
      <c r="S122" s="99">
        <v>1.0470568103143689E-2</v>
      </c>
      <c r="U122" s="117">
        <f>C122*S122</f>
        <v>0.47358609363339993</v>
      </c>
      <c r="V122" s="117">
        <f>(1+S122)*Q122*(1-U122)+S122</f>
        <v>3.7870598604086265E-2</v>
      </c>
      <c r="W122" s="117">
        <f>V122+I122/3</f>
        <v>2.6348580921259357E-3</v>
      </c>
      <c r="X122" s="117">
        <f>V122+I122/5</f>
        <v>1.6729154296910066E-2</v>
      </c>
      <c r="Y122" s="117"/>
      <c r="AA122" s="117"/>
    </row>
    <row r="123" spans="1:27" x14ac:dyDescent="0.2">
      <c r="A123" t="s">
        <v>339</v>
      </c>
      <c r="B123" t="s">
        <v>32</v>
      </c>
      <c r="C123" s="144">
        <v>117.70584549845741</v>
      </c>
      <c r="D123" s="90">
        <v>24.42016344692685</v>
      </c>
      <c r="E123" s="12">
        <v>0.79253227956935335</v>
      </c>
      <c r="F123" s="90">
        <v>-68.53684403076079</v>
      </c>
      <c r="G123" s="90">
        <v>-1.582272220555597</v>
      </c>
      <c r="H123" s="12">
        <v>-0.63213920655524336</v>
      </c>
      <c r="I123" s="12">
        <v>-0.50408543166097364</v>
      </c>
      <c r="J123" s="12">
        <v>-0.1095135210752719</v>
      </c>
      <c r="K123" s="90">
        <v>-2.8065677848436268</v>
      </c>
      <c r="L123" s="7">
        <v>24.42016344692685</v>
      </c>
      <c r="M123" s="14">
        <v>0.79253227956935335</v>
      </c>
      <c r="N123" s="7">
        <v>-68.53684403076079</v>
      </c>
      <c r="O123" s="7">
        <v>-1.582272220555597</v>
      </c>
      <c r="P123" s="7">
        <v>-2.8065677848436268</v>
      </c>
      <c r="S123" s="99">
        <v>1.049800502150422E-2</v>
      </c>
      <c r="U123" s="117">
        <f>C123*S123</f>
        <v>1.2356765571032058</v>
      </c>
      <c r="V123" s="117">
        <f>(1+S123)*R122*(1-U123)+S123</f>
        <v>6.2108415772950459E-3</v>
      </c>
      <c r="W123" s="117">
        <f>V123+I123/3</f>
        <v>-0.16181763564302951</v>
      </c>
      <c r="X123" s="117">
        <f>V123+I123/5</f>
        <v>-9.460624475489969E-2</v>
      </c>
      <c r="Y123" s="117"/>
      <c r="AA123" s="117"/>
    </row>
    <row r="124" spans="1:27" x14ac:dyDescent="0.2">
      <c r="B124" t="s">
        <v>34</v>
      </c>
      <c r="C124" s="145">
        <v>2.3298540688081251</v>
      </c>
      <c r="D124" s="90">
        <v>1.946609736787781</v>
      </c>
      <c r="E124" s="12">
        <v>0.1644928483509692</v>
      </c>
      <c r="F124" s="90">
        <v>9.3318164954911627</v>
      </c>
      <c r="G124" s="90">
        <v>3.0053223162878209</v>
      </c>
      <c r="H124" s="12">
        <v>9.1208149027701912E-2</v>
      </c>
      <c r="I124" s="12">
        <v>0.48435987622482313</v>
      </c>
      <c r="J124" s="12">
        <v>0.88914043981431101</v>
      </c>
      <c r="K124" s="90">
        <v>4.7938815465344167</v>
      </c>
      <c r="L124" s="7">
        <v>1.946609736787781</v>
      </c>
      <c r="M124" s="14">
        <v>0.1644928483509692</v>
      </c>
      <c r="N124" s="7">
        <v>3.6851489927105541</v>
      </c>
      <c r="O124" s="7">
        <v>0.58170807435838778</v>
      </c>
      <c r="P124" s="7">
        <v>1.8931113530705139</v>
      </c>
      <c r="W124" s="117">
        <f>V122+I124/3</f>
        <v>0.19932389067902731</v>
      </c>
      <c r="X124" s="117">
        <f>V122+I124/5</f>
        <v>0.13474257384905089</v>
      </c>
      <c r="Y124" s="117"/>
      <c r="AA124" s="117"/>
    </row>
    <row r="125" spans="1:27" x14ac:dyDescent="0.2">
      <c r="B125" t="s">
        <v>35</v>
      </c>
      <c r="C125" s="145">
        <v>2.1189281304678631</v>
      </c>
      <c r="D125" s="90">
        <v>1.7876898737893621</v>
      </c>
      <c r="E125" s="12">
        <v>0.15632349767585699</v>
      </c>
      <c r="F125" s="90">
        <v>9.8680606943804001</v>
      </c>
      <c r="G125" s="90">
        <v>3.65710023501435</v>
      </c>
      <c r="H125" s="12">
        <v>0.1237500499006592</v>
      </c>
      <c r="I125" s="12">
        <v>0.52852547056523802</v>
      </c>
      <c r="J125" s="12">
        <v>1.2667510153059429</v>
      </c>
      <c r="K125" s="90">
        <v>5.5200070432032469</v>
      </c>
      <c r="L125" s="7">
        <v>1.7876898737893621</v>
      </c>
      <c r="M125" s="14">
        <v>0.15632349767585699</v>
      </c>
      <c r="N125" s="7">
        <v>3.6804565259277742</v>
      </c>
      <c r="O125" s="7">
        <v>0.73694259517670546</v>
      </c>
      <c r="P125" s="7">
        <v>2.0587779680858849</v>
      </c>
      <c r="W125" s="117">
        <f>V123+I125/3</f>
        <v>0.18238599843237438</v>
      </c>
      <c r="X125" s="117">
        <f>V123+I125/5</f>
        <v>0.11191593569034264</v>
      </c>
      <c r="Y125" s="117"/>
      <c r="AA125" s="117"/>
    </row>
    <row r="126" spans="1:27" x14ac:dyDescent="0.2">
      <c r="C126" s="101"/>
      <c r="D126" s="90"/>
      <c r="F126" s="90"/>
      <c r="G126" s="90"/>
      <c r="K126" s="90"/>
      <c r="L126" s="7"/>
      <c r="N126" s="7"/>
      <c r="O126" s="7"/>
      <c r="P126" s="7"/>
      <c r="AA126" s="117"/>
    </row>
    <row r="127" spans="1:27" x14ac:dyDescent="0.2">
      <c r="A127" t="s">
        <v>340</v>
      </c>
      <c r="B127" t="s">
        <v>30</v>
      </c>
      <c r="C127" s="145">
        <v>21.312079456457219</v>
      </c>
      <c r="D127" s="90">
        <v>19.77527222770232</v>
      </c>
      <c r="E127" s="12">
        <v>7.2109679953791583E-2</v>
      </c>
      <c r="F127" s="90">
        <v>-721.31770433206657</v>
      </c>
      <c r="G127" s="90">
        <v>-34.845486819143723</v>
      </c>
      <c r="H127" s="12">
        <v>0.33153811105177139</v>
      </c>
      <c r="I127" s="12">
        <v>0.83251901671936346</v>
      </c>
      <c r="J127" s="12">
        <v>1.832464137647108</v>
      </c>
      <c r="K127" s="90">
        <v>-36.47574081542119</v>
      </c>
      <c r="L127" s="7">
        <v>19.77527222770232</v>
      </c>
      <c r="M127" s="14">
        <v>7.2109679953791583E-2</v>
      </c>
      <c r="N127" s="7">
        <v>-721.31770433206657</v>
      </c>
      <c r="O127" s="7">
        <v>-34.845486819143723</v>
      </c>
      <c r="P127" s="7">
        <v>-36.47574081542119</v>
      </c>
      <c r="Q127" s="99">
        <v>9.7857800630138575E-2</v>
      </c>
      <c r="R127" s="99">
        <v>7.3880623751357191E-2</v>
      </c>
      <c r="S127" s="99">
        <v>1.260988155872853E-2</v>
      </c>
      <c r="U127" s="117">
        <f>C127*S127</f>
        <v>0.26874279771613707</v>
      </c>
      <c r="V127" s="117">
        <f>(1+S127)*Q127*(1-U127)+S127</f>
        <v>8.5071456376857257E-2</v>
      </c>
      <c r="W127" s="117">
        <f>V127+I127/3</f>
        <v>0.36257779528331174</v>
      </c>
      <c r="X127" s="117">
        <f>V127+I127/5</f>
        <v>0.25157525972072992</v>
      </c>
      <c r="Y127" s="117"/>
      <c r="AA127" s="117"/>
    </row>
    <row r="128" spans="1:27" x14ac:dyDescent="0.2">
      <c r="A128" t="s">
        <v>341</v>
      </c>
      <c r="B128" t="s">
        <v>32</v>
      </c>
      <c r="C128" s="144">
        <v>25.38238192528576</v>
      </c>
      <c r="D128" s="90">
        <v>14.19513287648611</v>
      </c>
      <c r="E128" s="12">
        <v>0.44074859017289408</v>
      </c>
      <c r="F128" s="90">
        <v>-2.4276404039424619</v>
      </c>
      <c r="G128" s="90">
        <v>-1.0956427340463291</v>
      </c>
      <c r="H128" s="12">
        <v>0.16675667906025729</v>
      </c>
      <c r="I128" s="12">
        <v>1.3925630170702219</v>
      </c>
      <c r="J128" s="12">
        <v>-1.3296097064219901</v>
      </c>
      <c r="K128" s="90">
        <v>-0.17101920954637831</v>
      </c>
      <c r="L128" s="7">
        <v>14.19513287648611</v>
      </c>
      <c r="M128" s="14">
        <v>0.44074859017289408</v>
      </c>
      <c r="N128" s="7">
        <v>-2.4276404039424619</v>
      </c>
      <c r="O128" s="7">
        <v>-1.0956427340463291</v>
      </c>
      <c r="P128" s="7">
        <v>-0.17101920954637831</v>
      </c>
      <c r="S128" s="99">
        <v>1.5138701260812321E-2</v>
      </c>
      <c r="U128" s="117">
        <f>C128*S128</f>
        <v>0.38425629725474336</v>
      </c>
      <c r="V128" s="117">
        <f>(1+S128)*R127*(1-U128)+S128</f>
        <v>6.1318912755453966E-2</v>
      </c>
      <c r="W128" s="117">
        <f>V128+I128/3</f>
        <v>0.52550658511219461</v>
      </c>
      <c r="X128" s="117">
        <f>V128+I128/5</f>
        <v>0.33983151616949836</v>
      </c>
      <c r="Y128" s="117"/>
      <c r="AA128" s="117"/>
    </row>
    <row r="129" spans="1:27" x14ac:dyDescent="0.2">
      <c r="B129" t="s">
        <v>34</v>
      </c>
      <c r="C129" s="145">
        <v>2.085553222463663</v>
      </c>
      <c r="D129" s="90">
        <v>1.9412008230954649</v>
      </c>
      <c r="E129" s="12">
        <v>6.9215399450546888E-2</v>
      </c>
      <c r="F129" s="90">
        <v>11.56351523581467</v>
      </c>
      <c r="G129" s="90">
        <v>4.5445793045524354</v>
      </c>
      <c r="H129" s="12">
        <v>0.34350951078777547</v>
      </c>
      <c r="I129" s="12">
        <v>0.64896566706670833</v>
      </c>
      <c r="J129" s="12">
        <v>1.090689688280206</v>
      </c>
      <c r="K129" s="90">
        <v>5.956887663675789</v>
      </c>
      <c r="L129" s="7">
        <v>1.9412008230954649</v>
      </c>
      <c r="M129" s="14">
        <v>6.9215399450546888E-2</v>
      </c>
      <c r="N129" s="7">
        <v>4.6597462412460668</v>
      </c>
      <c r="O129" s="7">
        <v>1.2342974473418189</v>
      </c>
      <c r="P129" s="7">
        <v>2.400445222259679</v>
      </c>
      <c r="W129" s="117">
        <f>V127+I129/3</f>
        <v>0.30139334539909335</v>
      </c>
      <c r="X129" s="117">
        <f>V127+I129/5</f>
        <v>0.21486458979019893</v>
      </c>
      <c r="Y129" s="117"/>
      <c r="AA129" s="117"/>
    </row>
    <row r="130" spans="1:27" x14ac:dyDescent="0.2">
      <c r="B130" t="s">
        <v>35</v>
      </c>
      <c r="C130" s="145">
        <v>1.8752662089352869</v>
      </c>
      <c r="D130" s="90">
        <v>1.695443659386288</v>
      </c>
      <c r="E130" s="12">
        <v>9.5891745231785341E-2</v>
      </c>
      <c r="F130" s="90">
        <v>11.240065926405061</v>
      </c>
      <c r="G130" s="90">
        <v>4.9938508318703159</v>
      </c>
      <c r="H130" s="12">
        <v>0.26226227201122659</v>
      </c>
      <c r="I130" s="12">
        <v>0.68586962159281706</v>
      </c>
      <c r="J130" s="12">
        <v>1.283113283133609</v>
      </c>
      <c r="K130" s="90">
        <v>6.6295720675694456</v>
      </c>
      <c r="L130" s="7">
        <v>1.695443659386288</v>
      </c>
      <c r="M130" s="14">
        <v>9.5891745231785341E-2</v>
      </c>
      <c r="N130" s="7">
        <v>7.6891297660882056</v>
      </c>
      <c r="O130" s="7">
        <v>3.1002870576193211</v>
      </c>
      <c r="P130" s="7">
        <v>4.5351726809202813</v>
      </c>
      <c r="W130" s="117">
        <f>V128+I130/3</f>
        <v>0.28994211995305963</v>
      </c>
      <c r="X130" s="117">
        <f>V128+I130/5</f>
        <v>0.19849283707401738</v>
      </c>
      <c r="Y130" s="117"/>
      <c r="AA130" s="117"/>
    </row>
    <row r="131" spans="1:27" x14ac:dyDescent="0.2">
      <c r="C131" s="101"/>
      <c r="D131" s="90"/>
      <c r="F131" s="90"/>
      <c r="G131" s="90"/>
      <c r="K131" s="90"/>
      <c r="L131" s="7"/>
      <c r="N131" s="7"/>
      <c r="O131" s="7"/>
      <c r="P131" s="7"/>
      <c r="AA131" s="117"/>
    </row>
    <row r="132" spans="1:27" x14ac:dyDescent="0.2">
      <c r="A132" t="s">
        <v>342</v>
      </c>
      <c r="B132" t="s">
        <v>30</v>
      </c>
      <c r="C132" s="144">
        <v>-6.2399434184405784</v>
      </c>
      <c r="D132" s="90">
        <v>9.9623378548700465</v>
      </c>
      <c r="E132" s="12">
        <v>2.596542979128444</v>
      </c>
      <c r="F132" s="90">
        <v>-4.2606343475840989</v>
      </c>
      <c r="G132" s="90">
        <v>-0.31719984271125462</v>
      </c>
      <c r="H132" s="12">
        <v>-3.431804569823997</v>
      </c>
      <c r="I132" s="12">
        <v>-4.6485364782148011</v>
      </c>
      <c r="J132" s="12">
        <v>0.90161432468110969</v>
      </c>
      <c r="K132" s="90">
        <v>-0.42767414733895082</v>
      </c>
      <c r="L132" s="7">
        <v>12.30315324856455</v>
      </c>
      <c r="M132" s="14">
        <v>2.9716770527446901</v>
      </c>
      <c r="N132" s="7">
        <v>-4.2606343475840989</v>
      </c>
      <c r="O132" s="7">
        <v>-0.31719984271125462</v>
      </c>
      <c r="P132" s="7">
        <v>-0.34630425725057129</v>
      </c>
      <c r="Q132" s="99">
        <v>-0.55352008499106609</v>
      </c>
      <c r="R132" s="99">
        <v>-0.26030245485296921</v>
      </c>
      <c r="S132" s="99">
        <v>1.7625507071971859E-3</v>
      </c>
      <c r="U132" s="117">
        <f>C132*S132</f>
        <v>-1.0998216685042868E-2</v>
      </c>
      <c r="V132" s="117">
        <f>(1+S132)*Q132*(1-U132)+S132</f>
        <v>-0.55883160527494757</v>
      </c>
      <c r="W132" s="117">
        <f>V132+I132/3</f>
        <v>-2.1083437646798813</v>
      </c>
      <c r="X132" s="117">
        <f>V132+I132/5</f>
        <v>-1.4885389009179077</v>
      </c>
      <c r="Y132" s="117"/>
      <c r="AA132" s="117"/>
    </row>
    <row r="133" spans="1:27" x14ac:dyDescent="0.2">
      <c r="A133" t="s">
        <v>343</v>
      </c>
      <c r="B133" t="s">
        <v>32</v>
      </c>
      <c r="C133" s="144">
        <v>-11.11581237007978</v>
      </c>
      <c r="D133" s="90">
        <v>11.48288653548537</v>
      </c>
      <c r="E133" s="12">
        <v>2.033022702541619</v>
      </c>
      <c r="F133" s="90">
        <v>-3.2113299360350291</v>
      </c>
      <c r="G133" s="90">
        <v>-0.71110254211568868</v>
      </c>
      <c r="H133" s="12">
        <v>-2.554421055336471</v>
      </c>
      <c r="I133" s="12">
        <v>-3.1366397238033521</v>
      </c>
      <c r="J133" s="12">
        <v>0.23960821913081021</v>
      </c>
      <c r="K133" s="90">
        <v>-0.27966225444369858</v>
      </c>
      <c r="L133" s="7">
        <v>14.47572523434949</v>
      </c>
      <c r="M133" s="14">
        <v>2.3022642657511492</v>
      </c>
      <c r="N133" s="7">
        <v>-3.2113299360350291</v>
      </c>
      <c r="O133" s="7">
        <v>-0.71110254211568868</v>
      </c>
      <c r="P133" s="7">
        <v>-0.22184242129816439</v>
      </c>
      <c r="S133" s="99">
        <v>6.1317821869858449E-3</v>
      </c>
      <c r="U133" s="117">
        <f>C133*S133</f>
        <v>-6.8159740284732095E-2</v>
      </c>
      <c r="V133" s="117">
        <f>(1+S133)*R132*(1-U133)+S133</f>
        <v>-0.27361772932547368</v>
      </c>
      <c r="W133" s="117">
        <f>V133+I133/3</f>
        <v>-1.3191643039265912</v>
      </c>
      <c r="X133" s="117">
        <f>V133+I133/5</f>
        <v>-0.90094567408614412</v>
      </c>
      <c r="Y133" s="117"/>
      <c r="AA133" s="117"/>
    </row>
    <row r="134" spans="1:27" x14ac:dyDescent="0.2">
      <c r="B134" t="s">
        <v>34</v>
      </c>
      <c r="C134" s="144">
        <v>3.453934011314673</v>
      </c>
      <c r="D134" s="90">
        <v>0.87916986911432971</v>
      </c>
      <c r="E134" s="12">
        <v>0.7454584059121353</v>
      </c>
      <c r="F134" s="90">
        <v>4.2794523821735364</v>
      </c>
      <c r="G134" s="90">
        <v>0.23900814785533389</v>
      </c>
      <c r="H134" s="12">
        <v>-0.63891221417402644</v>
      </c>
      <c r="I134" s="12">
        <v>-0.4977831849193407</v>
      </c>
      <c r="J134" s="12">
        <v>-0.29945497557569761</v>
      </c>
      <c r="K134" s="90">
        <v>4.8676058319476194</v>
      </c>
      <c r="L134" s="7">
        <v>0.99471190244871288</v>
      </c>
      <c r="M134" s="14">
        <v>0.71200610689429611</v>
      </c>
      <c r="N134" s="7">
        <v>4.2794523821735364</v>
      </c>
      <c r="O134" s="7">
        <v>0.23900814785533389</v>
      </c>
      <c r="P134" s="7">
        <v>4.302202850532578</v>
      </c>
      <c r="W134" s="117">
        <f>V132+I134/3</f>
        <v>-0.72475933358139444</v>
      </c>
      <c r="X134" s="117">
        <f>V132+I134/5</f>
        <v>-0.65838824225881576</v>
      </c>
      <c r="Y134" s="117"/>
      <c r="AA134" s="117"/>
    </row>
    <row r="135" spans="1:27" x14ac:dyDescent="0.2">
      <c r="B135" t="s">
        <v>35</v>
      </c>
      <c r="C135" s="144">
        <v>2.8934732476167691</v>
      </c>
      <c r="D135" s="90">
        <v>1.0029622906743469</v>
      </c>
      <c r="E135" s="12">
        <v>0.65337080911308076</v>
      </c>
      <c r="F135" s="90">
        <v>4.3955391826334944</v>
      </c>
      <c r="G135" s="90">
        <v>0.51912210913092527</v>
      </c>
      <c r="H135" s="12">
        <v>-0.53933906180279101</v>
      </c>
      <c r="I135" s="12">
        <v>-0.34407626206739789</v>
      </c>
      <c r="J135" s="12">
        <v>-5.8220692564223131E-2</v>
      </c>
      <c r="K135" s="90">
        <v>4.3825567755674344</v>
      </c>
      <c r="L135" s="7">
        <v>1.091926222720893</v>
      </c>
      <c r="M135" s="14">
        <v>0.62262439315094176</v>
      </c>
      <c r="N135" s="7">
        <v>3.5552800976192911</v>
      </c>
      <c r="O135" s="7">
        <v>0.2287240258908991</v>
      </c>
      <c r="P135" s="7">
        <v>3.2559709837905899</v>
      </c>
      <c r="W135" s="117">
        <f>V133+I135/3</f>
        <v>-0.38830981668127296</v>
      </c>
      <c r="X135" s="117">
        <f>V133+I135/5</f>
        <v>-0.34243298173895326</v>
      </c>
      <c r="Y135" s="117"/>
      <c r="AA135" s="117"/>
    </row>
    <row r="136" spans="1:27" x14ac:dyDescent="0.2">
      <c r="C136" s="101"/>
      <c r="D136" s="90"/>
      <c r="F136" s="90"/>
      <c r="G136" s="90"/>
      <c r="K136" s="90"/>
      <c r="L136" s="7"/>
      <c r="N136" s="7"/>
      <c r="O136" s="7"/>
      <c r="P136" s="7"/>
      <c r="AA136" s="117"/>
    </row>
    <row r="137" spans="1:27" x14ac:dyDescent="0.2">
      <c r="A137" t="s">
        <v>344</v>
      </c>
      <c r="B137" t="s">
        <v>30</v>
      </c>
      <c r="C137" s="144">
        <v>3.421633870539627</v>
      </c>
      <c r="D137" s="90">
        <v>3.0842018333918029</v>
      </c>
      <c r="E137" s="12">
        <v>9.8617224961771499E-2</v>
      </c>
      <c r="F137" s="90">
        <v>-8.4139684997818414</v>
      </c>
      <c r="G137" s="90">
        <v>-3.4590499212164021</v>
      </c>
      <c r="H137" s="12">
        <v>3.7848293772493369</v>
      </c>
      <c r="I137" s="12">
        <v>9.7292934032967242</v>
      </c>
      <c r="J137" s="12">
        <v>-9.7765735276539658</v>
      </c>
      <c r="K137" s="90">
        <v>-2.728086212998813</v>
      </c>
      <c r="L137" s="7">
        <v>3.0842018333918029</v>
      </c>
      <c r="M137" s="14">
        <v>9.8617224961771499E-2</v>
      </c>
      <c r="N137" s="7">
        <v>50.178805638032223</v>
      </c>
      <c r="O137" s="7">
        <v>13.66515925916951</v>
      </c>
      <c r="P137" s="7">
        <v>16.26962447618055</v>
      </c>
      <c r="Q137" s="99">
        <v>0.40101567966477009</v>
      </c>
      <c r="R137" s="99">
        <v>0.18996492181990349</v>
      </c>
      <c r="S137" s="99">
        <v>4.6754868628603619E-2</v>
      </c>
      <c r="U137" s="117">
        <f>C137*S137</f>
        <v>0.15997804211226077</v>
      </c>
      <c r="V137" s="117">
        <f>(1+S137)*Q137*(1-U137)+S137</f>
        <v>0.39936678245570306</v>
      </c>
      <c r="W137" s="117">
        <f>V137+I137/3</f>
        <v>3.6424645835546112</v>
      </c>
      <c r="X137" s="117">
        <f>V137+I137/5</f>
        <v>2.3452254631150478</v>
      </c>
      <c r="Y137" s="117"/>
      <c r="AA137" s="117"/>
    </row>
    <row r="138" spans="1:27" x14ac:dyDescent="0.2">
      <c r="A138" t="s">
        <v>345</v>
      </c>
      <c r="B138" t="s">
        <v>32</v>
      </c>
      <c r="C138" s="144">
        <v>9.6463784881935855</v>
      </c>
      <c r="D138" s="90">
        <v>9.116422413874119</v>
      </c>
      <c r="E138" s="12">
        <v>5.4938345511540088E-2</v>
      </c>
      <c r="F138" s="90">
        <v>-7.8769174059165632</v>
      </c>
      <c r="G138" s="90">
        <v>-1.8165673175230781</v>
      </c>
      <c r="H138" s="12">
        <v>1.31140034428691</v>
      </c>
      <c r="I138" s="12">
        <v>3.8180425487950438</v>
      </c>
      <c r="J138" s="12">
        <v>-11.391026674411989</v>
      </c>
      <c r="K138" s="90">
        <v>-0.86403602732677509</v>
      </c>
      <c r="L138" s="7">
        <v>9.116422413874119</v>
      </c>
      <c r="M138" s="14">
        <v>5.4938345511540088E-2</v>
      </c>
      <c r="N138" s="7">
        <v>-32.316114659198263</v>
      </c>
      <c r="O138" s="7">
        <v>-4.3500774097502664</v>
      </c>
      <c r="P138" s="7">
        <v>-3.5448241856385412</v>
      </c>
      <c r="S138" s="99">
        <v>2.685841671726015E-2</v>
      </c>
      <c r="U138" s="117">
        <f>C138*S138</f>
        <v>0.25908645324831731</v>
      </c>
      <c r="V138" s="117">
        <f>(1+S138)*R137*(1-U138)+S138</f>
        <v>0.17138625796384055</v>
      </c>
      <c r="W138" s="117">
        <f>V138+I138/3</f>
        <v>1.4440671075621885</v>
      </c>
      <c r="X138" s="117">
        <f>V138+I138/5</f>
        <v>0.93499476772284928</v>
      </c>
      <c r="Y138" s="117"/>
      <c r="AA138" s="117"/>
    </row>
    <row r="139" spans="1:27" x14ac:dyDescent="0.2">
      <c r="B139" t="s">
        <v>34</v>
      </c>
      <c r="C139" s="143">
        <v>1.3721288321584459</v>
      </c>
      <c r="D139" s="90">
        <v>0.94446890313400544</v>
      </c>
      <c r="E139" s="12">
        <v>0.31167622092140179</v>
      </c>
      <c r="F139" s="90">
        <v>4.5879896540456331</v>
      </c>
      <c r="G139" s="90">
        <v>2.3437018059218482</v>
      </c>
      <c r="H139" s="12">
        <v>-1.092084938837767E-2</v>
      </c>
      <c r="I139" s="12">
        <v>0.28780341399436549</v>
      </c>
      <c r="J139" s="12">
        <v>0.63422383586657083</v>
      </c>
      <c r="K139" s="90">
        <v>4.8577455952455733</v>
      </c>
      <c r="L139" s="7">
        <v>1.236817125326658</v>
      </c>
      <c r="M139" s="14">
        <v>9.8614433033182736E-2</v>
      </c>
      <c r="N139" s="7">
        <v>3.083934215914701</v>
      </c>
      <c r="O139" s="7">
        <v>1.247554415909675</v>
      </c>
      <c r="P139" s="7">
        <v>2.493443980329912</v>
      </c>
      <c r="W139" s="117">
        <f>V137+I139/3</f>
        <v>0.49530125378715822</v>
      </c>
      <c r="X139" s="117">
        <f>V137+I139/5</f>
        <v>0.45692746525457617</v>
      </c>
      <c r="Y139" s="117"/>
      <c r="AA139" s="117"/>
    </row>
    <row r="140" spans="1:27" x14ac:dyDescent="0.2">
      <c r="B140" t="s">
        <v>35</v>
      </c>
      <c r="C140" s="146">
        <v>1.832473535354894</v>
      </c>
      <c r="D140" s="90">
        <v>1.256878461149233</v>
      </c>
      <c r="E140" s="12">
        <v>0.31410826028338013</v>
      </c>
      <c r="F140" s="90">
        <v>4.5397062873504463</v>
      </c>
      <c r="G140" s="90">
        <v>1.477365265998914</v>
      </c>
      <c r="H140" s="12">
        <v>-0.15661501234742989</v>
      </c>
      <c r="I140" s="12">
        <v>-4.5911867623990021E-2</v>
      </c>
      <c r="J140" s="12">
        <v>0.2355030638130704</v>
      </c>
      <c r="K140" s="90">
        <v>3.611889635851937</v>
      </c>
      <c r="L140" s="7">
        <v>1.3166045928467101</v>
      </c>
      <c r="M140" s="14">
        <v>0.28151508469576658</v>
      </c>
      <c r="N140" s="7">
        <v>2.220477347175509</v>
      </c>
      <c r="O140" s="7">
        <v>0.21173774372980031</v>
      </c>
      <c r="P140" s="7">
        <v>1.686518001866059</v>
      </c>
      <c r="W140" s="117">
        <f>V138+I140/3</f>
        <v>0.1560823020891772</v>
      </c>
      <c r="X140" s="117">
        <f>V138+I140/5</f>
        <v>0.16220388443904254</v>
      </c>
      <c r="Y140" s="117"/>
      <c r="AA140" s="117"/>
    </row>
    <row r="141" spans="1:27" x14ac:dyDescent="0.2">
      <c r="C141" s="101"/>
      <c r="D141" s="90"/>
      <c r="F141" s="90"/>
      <c r="G141" s="90"/>
      <c r="K141" s="90"/>
      <c r="L141" s="7"/>
      <c r="N141" s="7"/>
      <c r="O141" s="7"/>
      <c r="P141" s="7"/>
      <c r="AA141" s="117"/>
    </row>
    <row r="142" spans="1:27" x14ac:dyDescent="0.2">
      <c r="A142" t="s">
        <v>346</v>
      </c>
      <c r="B142" t="s">
        <v>30</v>
      </c>
      <c r="C142" s="144">
        <v>31.413205336481731</v>
      </c>
      <c r="D142" s="90">
        <v>8.9366978545522731</v>
      </c>
      <c r="E142" s="12">
        <v>0.71551143034188747</v>
      </c>
      <c r="F142" s="90">
        <v>33.365177180725709</v>
      </c>
      <c r="G142" s="90">
        <v>6.2138575905753113E-2</v>
      </c>
      <c r="H142" s="12">
        <v>-0.64194161160276675</v>
      </c>
      <c r="I142" s="12">
        <v>-0.496498344171451</v>
      </c>
      <c r="J142" s="12">
        <v>-0.22849442566579209</v>
      </c>
      <c r="K142" s="90">
        <v>3.733501761361417</v>
      </c>
      <c r="L142" s="7">
        <v>8.9366978545522731</v>
      </c>
      <c r="M142" s="14">
        <v>0.71551143034188747</v>
      </c>
      <c r="N142" s="7">
        <v>33.365177180725709</v>
      </c>
      <c r="O142" s="7">
        <v>6.2138575905753113E-2</v>
      </c>
      <c r="P142" s="7">
        <v>3.733501761361417</v>
      </c>
      <c r="Q142" s="99">
        <v>3.6294444727686968E-2</v>
      </c>
      <c r="R142" s="99">
        <v>2.467942595678704E-2</v>
      </c>
      <c r="S142" s="99">
        <v>2.3068250503689769E-2</v>
      </c>
      <c r="U142" s="117">
        <f>C142*S142</f>
        <v>0.72464768982580485</v>
      </c>
      <c r="V142" s="117">
        <f>(1+S142)*Q142*(1-U142)+S142</f>
        <v>3.3292548246699256E-2</v>
      </c>
      <c r="W142" s="117">
        <f>V142+I142/3</f>
        <v>-0.13220689981045108</v>
      </c>
      <c r="X142" s="117">
        <f>V142+I142/5</f>
        <v>-6.6007120587590951E-2</v>
      </c>
      <c r="Y142" s="117"/>
      <c r="AA142" s="117"/>
    </row>
    <row r="143" spans="1:27" x14ac:dyDescent="0.2">
      <c r="A143" t="s">
        <v>347</v>
      </c>
      <c r="B143" t="s">
        <v>32</v>
      </c>
      <c r="C143" s="144">
        <v>54.74730328393148</v>
      </c>
      <c r="D143" s="90">
        <v>14.93201807982282</v>
      </c>
      <c r="E143" s="12">
        <v>0.72725564212026828</v>
      </c>
      <c r="F143" s="90">
        <v>-51.512229913373133</v>
      </c>
      <c r="G143" s="90">
        <v>-1.9409089913747799</v>
      </c>
      <c r="H143" s="12">
        <v>-0.63101020817788778</v>
      </c>
      <c r="I143" s="12">
        <v>-0.34295324107578368</v>
      </c>
      <c r="J143" s="12">
        <v>-1.563924885400958E-2</v>
      </c>
      <c r="K143" s="90">
        <v>-3.4497835214236749</v>
      </c>
      <c r="L143" s="7">
        <v>15.477788332941911</v>
      </c>
      <c r="M143" s="14">
        <v>0.71728674465168241</v>
      </c>
      <c r="N143" s="7">
        <v>-51.512229913373133</v>
      </c>
      <c r="O143" s="7">
        <v>-1.9409089913747799</v>
      </c>
      <c r="P143" s="7">
        <v>-3.3281389307888309</v>
      </c>
      <c r="S143" s="99">
        <v>1.5181014700558401E-2</v>
      </c>
      <c r="U143" s="117">
        <f>C143*S143</f>
        <v>0.83111961596929296</v>
      </c>
      <c r="V143" s="117">
        <f>(1+S143)*R142*(1-U143)+S143</f>
        <v>1.9412158143705536E-2</v>
      </c>
      <c r="W143" s="117">
        <f>V143+I143/3</f>
        <v>-9.4905588881555689E-2</v>
      </c>
      <c r="X143" s="117">
        <f>V143+I143/5</f>
        <v>-4.9178490071451197E-2</v>
      </c>
      <c r="Y143" s="117"/>
      <c r="AA143" s="117"/>
    </row>
    <row r="144" spans="1:27" x14ac:dyDescent="0.2">
      <c r="B144" t="s">
        <v>34</v>
      </c>
      <c r="C144" s="145">
        <v>1.140124844804417</v>
      </c>
      <c r="D144" s="90">
        <v>0.91604553281404688</v>
      </c>
      <c r="E144" s="12">
        <v>0.1965392763884645</v>
      </c>
      <c r="F144" s="90">
        <v>3.0687079726356381</v>
      </c>
      <c r="G144" s="90">
        <v>1.691554338649693</v>
      </c>
      <c r="H144" s="12">
        <v>1.7057152652371069E-2</v>
      </c>
      <c r="I144" s="12">
        <v>0.18358660198111501</v>
      </c>
      <c r="J144" s="12">
        <v>0.39414192218936628</v>
      </c>
      <c r="K144" s="90">
        <v>3.34995135362837</v>
      </c>
      <c r="L144" s="7">
        <v>0.91604553281404688</v>
      </c>
      <c r="M144" s="14">
        <v>0.1965392763884645</v>
      </c>
      <c r="N144" s="7">
        <v>1.527090052279602</v>
      </c>
      <c r="O144" s="7">
        <v>0.33940599508781572</v>
      </c>
      <c r="P144" s="7">
        <v>1.667046011990754</v>
      </c>
      <c r="W144" s="117">
        <f>V142+I144/3</f>
        <v>9.4488082240404253E-2</v>
      </c>
      <c r="X144" s="117">
        <f>V142+I144/5</f>
        <v>7.000986864292226E-2</v>
      </c>
      <c r="Y144" s="117"/>
      <c r="AA144" s="117"/>
    </row>
    <row r="145" spans="1:27" x14ac:dyDescent="0.2">
      <c r="B145" t="s">
        <v>35</v>
      </c>
      <c r="C145" s="143">
        <v>1.3511320177295509</v>
      </c>
      <c r="D145" s="90">
        <v>1.0975593724530179</v>
      </c>
      <c r="E145" s="12">
        <v>0.18767421832149109</v>
      </c>
      <c r="F145" s="90">
        <v>4.7786348430411669</v>
      </c>
      <c r="G145" s="90">
        <v>2.536763824952657</v>
      </c>
      <c r="H145" s="12">
        <v>-8.5083135447852065E-3</v>
      </c>
      <c r="I145" s="12">
        <v>0.22972869419757491</v>
      </c>
      <c r="J145" s="12">
        <v>0.63308687302643918</v>
      </c>
      <c r="K145" s="90">
        <v>4.3538736609401241</v>
      </c>
      <c r="L145" s="7">
        <v>1.0975593724530179</v>
      </c>
      <c r="M145" s="14">
        <v>0.18767421832149109</v>
      </c>
      <c r="N145" s="7">
        <v>1.959569513990141</v>
      </c>
      <c r="O145" s="7">
        <v>0.45031683675368139</v>
      </c>
      <c r="P145" s="7">
        <v>1.7853881650252339</v>
      </c>
      <c r="W145" s="117">
        <f>V143+I145/3</f>
        <v>9.5988389542897165E-2</v>
      </c>
      <c r="X145" s="117">
        <f>V143+I145/5</f>
        <v>6.5357896983220518E-2</v>
      </c>
      <c r="Y145" s="117"/>
      <c r="AA145" s="117"/>
    </row>
    <row r="146" spans="1:27" x14ac:dyDescent="0.2">
      <c r="C146" s="101"/>
      <c r="D146" s="90"/>
      <c r="F146" s="90"/>
      <c r="G146" s="90"/>
      <c r="K146" s="90"/>
      <c r="L146" s="7"/>
      <c r="N146" s="7"/>
      <c r="O146" s="7"/>
      <c r="P146" s="7"/>
      <c r="AA146" s="117"/>
    </row>
    <row r="147" spans="1:27" x14ac:dyDescent="0.2">
      <c r="A147" t="s">
        <v>348</v>
      </c>
      <c r="B147" t="s">
        <v>30</v>
      </c>
      <c r="C147" s="143">
        <v>14.671185169023209</v>
      </c>
      <c r="D147" s="90">
        <v>10.742701200873171</v>
      </c>
      <c r="E147" s="12">
        <v>0.26776868554863981</v>
      </c>
      <c r="F147" s="90">
        <v>37.055028280976089</v>
      </c>
      <c r="G147" s="90">
        <v>1.5257010837280001</v>
      </c>
      <c r="H147" s="12">
        <v>-5.8117990698598243E-2</v>
      </c>
      <c r="I147" s="12">
        <v>0.10097702966225409</v>
      </c>
      <c r="J147" s="12">
        <v>0.43687286910488438</v>
      </c>
      <c r="K147" s="90">
        <v>3.4493213194800809</v>
      </c>
      <c r="L147" s="7">
        <v>11.8802778015162</v>
      </c>
      <c r="M147" s="14">
        <v>0.1902305325271024</v>
      </c>
      <c r="N147" s="7">
        <v>22.158281925480111</v>
      </c>
      <c r="O147" s="7">
        <v>0.51032664847453346</v>
      </c>
      <c r="P147" s="7">
        <v>1.8651316320778459</v>
      </c>
      <c r="Q147" s="99">
        <v>7.8123231821342121E-2</v>
      </c>
      <c r="R147" s="99">
        <v>6.5943467707792969E-2</v>
      </c>
      <c r="S147" s="99">
        <v>2.7242478221176491E-2</v>
      </c>
      <c r="U147" s="117">
        <f>C147*S147</f>
        <v>0.39967944244596232</v>
      </c>
      <c r="V147" s="117">
        <f>(1+S147)*Q147*(1-U147)+S147</f>
        <v>7.541910480413147E-2</v>
      </c>
      <c r="W147" s="117">
        <f>V147+I147/3</f>
        <v>0.1090781146915495</v>
      </c>
      <c r="X147" s="117">
        <f>V147+I147/5</f>
        <v>9.5614510736582281E-2</v>
      </c>
      <c r="Y147" s="117"/>
      <c r="AA147" s="117"/>
    </row>
    <row r="148" spans="1:27" x14ac:dyDescent="0.2">
      <c r="A148" t="s">
        <v>349</v>
      </c>
      <c r="B148" t="s">
        <v>32</v>
      </c>
      <c r="C148" s="143">
        <v>14.735213154019471</v>
      </c>
      <c r="D148" s="90">
        <v>11.600703446698709</v>
      </c>
      <c r="E148" s="12">
        <v>0.2127223864736377</v>
      </c>
      <c r="F148" s="90">
        <v>39.788993801474689</v>
      </c>
      <c r="G148" s="90">
        <v>1.7002659130601749</v>
      </c>
      <c r="H148" s="12">
        <v>-5.9934773071159131E-2</v>
      </c>
      <c r="I148" s="12">
        <v>6.3236003216501135E-2</v>
      </c>
      <c r="J148" s="12">
        <v>0.49458492787075642</v>
      </c>
      <c r="K148" s="90">
        <v>3.42987767804699</v>
      </c>
      <c r="L148" s="7">
        <v>12.093550187584009</v>
      </c>
      <c r="M148" s="14">
        <v>0.17927551768837929</v>
      </c>
      <c r="N148" s="7">
        <v>22.146651028910679</v>
      </c>
      <c r="O148" s="7">
        <v>0.50297459544177103</v>
      </c>
      <c r="P148" s="7">
        <v>1.8312778865917969</v>
      </c>
      <c r="S148" s="99">
        <v>2.7316984930385452E-2</v>
      </c>
      <c r="U148" s="117">
        <f>C148*S148</f>
        <v>0.40252159567436735</v>
      </c>
      <c r="V148" s="117">
        <f>(1+S148)*R147*(1-U148)+S148</f>
        <v>6.7793066476586172E-2</v>
      </c>
      <c r="W148" s="117">
        <f>V148+I148/3</f>
        <v>8.8871734215419884E-2</v>
      </c>
      <c r="X148" s="117">
        <f>V148+I148/5</f>
        <v>8.0440267119886402E-2</v>
      </c>
      <c r="Y148" s="117"/>
      <c r="AA148" s="117"/>
    </row>
    <row r="149" spans="1:27" x14ac:dyDescent="0.2">
      <c r="B149" t="s">
        <v>34</v>
      </c>
      <c r="C149" s="145">
        <v>1.1461604000534369</v>
      </c>
      <c r="D149" s="90">
        <v>1.0031082400267981</v>
      </c>
      <c r="E149" s="12">
        <v>0.12480989573533451</v>
      </c>
      <c r="F149" s="90">
        <v>3.6071104388893378</v>
      </c>
      <c r="G149" s="90">
        <v>2.1471253401541062</v>
      </c>
      <c r="H149" s="12">
        <v>4.0615067991663478E-2</v>
      </c>
      <c r="I149" s="12">
        <v>0.26093240055720562</v>
      </c>
      <c r="J149" s="12">
        <v>0.68474687302409687</v>
      </c>
      <c r="K149" s="90">
        <v>3.595933414716018</v>
      </c>
      <c r="L149" s="7">
        <v>1.070603846239099</v>
      </c>
      <c r="M149" s="14">
        <v>6.5921448525716686E-2</v>
      </c>
      <c r="N149" s="7">
        <v>1.970298715182867</v>
      </c>
      <c r="O149" s="7">
        <v>0.71904274051957073</v>
      </c>
      <c r="P149" s="7">
        <v>1.840362074267047</v>
      </c>
      <c r="W149" s="117">
        <f>V147+I149/3</f>
        <v>0.16239657165653335</v>
      </c>
      <c r="X149" s="117">
        <f>V147+I149/5</f>
        <v>0.12760558491557261</v>
      </c>
      <c r="Y149" s="117"/>
      <c r="AA149" s="117"/>
    </row>
    <row r="150" spans="1:27" x14ac:dyDescent="0.2">
      <c r="B150" t="s">
        <v>35</v>
      </c>
      <c r="C150" s="145">
        <v>0.97169105278952894</v>
      </c>
      <c r="D150" s="90">
        <v>0.89107886792134783</v>
      </c>
      <c r="E150" s="12">
        <v>8.2960715380428596E-2</v>
      </c>
      <c r="F150" s="90">
        <v>3.3579021236661162</v>
      </c>
      <c r="G150" s="90">
        <v>2.45573020768922</v>
      </c>
      <c r="H150" s="12">
        <v>3.270258308931373E-2</v>
      </c>
      <c r="I150" s="12">
        <v>0.22027653820658849</v>
      </c>
      <c r="J150" s="12">
        <v>0.79317925436359205</v>
      </c>
      <c r="K150" s="90">
        <v>3.7683556916788028</v>
      </c>
      <c r="L150" s="7">
        <v>0.89107886792134783</v>
      </c>
      <c r="M150" s="14">
        <v>8.2960715380428596E-2</v>
      </c>
      <c r="N150" s="7">
        <v>1.6158382752306739</v>
      </c>
      <c r="O150" s="7">
        <v>0.66291360879770167</v>
      </c>
      <c r="P150" s="7">
        <v>1.813350460212348</v>
      </c>
      <c r="W150" s="117">
        <f>V148+I150/3</f>
        <v>0.14121857921211567</v>
      </c>
      <c r="X150" s="117">
        <f>V148+I150/5</f>
        <v>0.11184837411790387</v>
      </c>
      <c r="Y150" s="117"/>
      <c r="AA150" s="117"/>
    </row>
    <row r="151" spans="1:27" x14ac:dyDescent="0.2">
      <c r="C151" s="101"/>
      <c r="D151" s="90"/>
      <c r="F151" s="90"/>
      <c r="G151" s="90"/>
      <c r="K151" s="90"/>
      <c r="L151" s="7"/>
      <c r="N151" s="7"/>
      <c r="O151" s="7"/>
      <c r="P151" s="7"/>
      <c r="AA151" s="117"/>
    </row>
    <row r="152" spans="1:27" x14ac:dyDescent="0.2">
      <c r="A152" s="128" t="s">
        <v>350</v>
      </c>
      <c r="B152" t="s">
        <v>30</v>
      </c>
      <c r="C152" s="146">
        <v>43.2561690352426</v>
      </c>
      <c r="D152" s="90">
        <v>16.4441470163136</v>
      </c>
      <c r="E152" s="12">
        <v>0.61984273265355827</v>
      </c>
      <c r="F152" s="90">
        <v>163.20742096356381</v>
      </c>
      <c r="G152" s="90">
        <v>2.7730438132556752</v>
      </c>
      <c r="H152" s="12">
        <v>-0.48684964992576929</v>
      </c>
      <c r="I152" s="12">
        <v>-0.1917965603784795</v>
      </c>
      <c r="J152" s="12">
        <v>3.0829852583517111E-2</v>
      </c>
      <c r="K152" s="90">
        <v>9.9249551102682361</v>
      </c>
      <c r="L152" s="7">
        <v>16.4441470163136</v>
      </c>
      <c r="M152" s="14">
        <v>0.61984273265355827</v>
      </c>
      <c r="N152" s="7">
        <v>163.20742096356381</v>
      </c>
      <c r="O152" s="7">
        <v>2.7730438132556752</v>
      </c>
      <c r="P152" s="7">
        <v>9.9249551102682361</v>
      </c>
      <c r="Q152" s="99">
        <v>5.4813587539327857E-2</v>
      </c>
      <c r="R152" s="99">
        <v>3.2818589883214247E-2</v>
      </c>
      <c r="S152" s="99">
        <v>1.20015862756691E-2</v>
      </c>
      <c r="U152" s="117">
        <f>C152*S152</f>
        <v>0.51914264463139026</v>
      </c>
      <c r="V152" s="117">
        <f>(1+S152)*Q152*(1-U152)+S152</f>
        <v>3.8675435029292701E-2</v>
      </c>
      <c r="W152" s="117">
        <f>V152+I152/3</f>
        <v>-2.52567517635338E-2</v>
      </c>
      <c r="X152" s="117">
        <f>V152+I152/5</f>
        <v>3.1612295359680076E-4</v>
      </c>
      <c r="Y152" s="117"/>
      <c r="AA152" s="117"/>
    </row>
    <row r="153" spans="1:27" x14ac:dyDescent="0.2">
      <c r="A153" t="s">
        <v>351</v>
      </c>
      <c r="B153" t="s">
        <v>32</v>
      </c>
      <c r="C153" s="146">
        <v>69.176132601799765</v>
      </c>
      <c r="D153" s="90">
        <v>21.508955744456131</v>
      </c>
      <c r="E153" s="12">
        <v>0.68906969881839664</v>
      </c>
      <c r="F153" s="90">
        <v>-30.985962684230639</v>
      </c>
      <c r="G153" s="90">
        <v>-1.447928519834953</v>
      </c>
      <c r="H153" s="12">
        <v>-0.5599554990099298</v>
      </c>
      <c r="I153" s="12">
        <v>-0.3396979837763926</v>
      </c>
      <c r="J153" s="12">
        <v>0.1598914177470081</v>
      </c>
      <c r="K153" s="90">
        <v>-1.44060748705651</v>
      </c>
      <c r="L153" s="7">
        <v>21.508955744456131</v>
      </c>
      <c r="M153" s="14">
        <v>0.68906969881839664</v>
      </c>
      <c r="N153" s="7">
        <v>-30.985962684230639</v>
      </c>
      <c r="O153" s="7">
        <v>-1.447928519834953</v>
      </c>
      <c r="P153" s="7">
        <v>-1.44060748705651</v>
      </c>
      <c r="S153" s="99">
        <v>1.016780022783588E-2</v>
      </c>
      <c r="U153" s="117">
        <f>C153*S153</f>
        <v>0.70336909682938464</v>
      </c>
      <c r="V153" s="117">
        <f>(1+S153)*R152*(1-U153)+S153</f>
        <v>2.000179180181149E-2</v>
      </c>
      <c r="W153" s="117">
        <f>V153+I153/3</f>
        <v>-9.3230869456986054E-2</v>
      </c>
      <c r="X153" s="117">
        <f>V153+I153/5</f>
        <v>-4.7937804953467035E-2</v>
      </c>
      <c r="Y153" s="117"/>
      <c r="AA153" s="117"/>
    </row>
    <row r="154" spans="1:27" x14ac:dyDescent="0.2">
      <c r="B154" t="s">
        <v>34</v>
      </c>
      <c r="C154" s="143">
        <v>2.3710258080292328</v>
      </c>
      <c r="D154" s="90">
        <v>1.623700519728603</v>
      </c>
      <c r="E154" s="12">
        <v>0.3151907017502259</v>
      </c>
      <c r="F154" s="90">
        <v>6.5223817376145483</v>
      </c>
      <c r="G154" s="90">
        <v>1.750869145130002</v>
      </c>
      <c r="H154" s="12">
        <v>-0.13901553716077711</v>
      </c>
      <c r="I154" s="12">
        <v>3.2711793448565903E-2</v>
      </c>
      <c r="J154" s="12">
        <v>0.36772142849583372</v>
      </c>
      <c r="K154" s="90">
        <v>4.0169856807736606</v>
      </c>
      <c r="L154" s="7">
        <v>1.623700519728603</v>
      </c>
      <c r="M154" s="14">
        <v>0.3151907017502259</v>
      </c>
      <c r="N154" s="7">
        <v>3.0218140809207852</v>
      </c>
      <c r="O154" s="7">
        <v>0.27447540667323178</v>
      </c>
      <c r="P154" s="7">
        <v>1.861066153643822</v>
      </c>
      <c r="W154" s="117">
        <f>V152+I154/3</f>
        <v>4.9579366178814671E-2</v>
      </c>
      <c r="X154" s="117">
        <f>V152+I154/5</f>
        <v>4.5217793719005882E-2</v>
      </c>
      <c r="Y154" s="117"/>
      <c r="AA154" s="117"/>
    </row>
    <row r="155" spans="1:27" x14ac:dyDescent="0.2">
      <c r="B155" t="s">
        <v>35</v>
      </c>
      <c r="C155" s="146">
        <v>2.2702631255653141</v>
      </c>
      <c r="D155" s="90">
        <v>1.5507658754728499</v>
      </c>
      <c r="E155" s="12">
        <v>0.31692240515658432</v>
      </c>
      <c r="F155" s="90">
        <v>6.4649064675850427</v>
      </c>
      <c r="G155" s="90">
        <v>1.8476463343759899</v>
      </c>
      <c r="H155" s="12">
        <v>-0.1340375640188618</v>
      </c>
      <c r="I155" s="12">
        <v>-2.6577647995730258E-3</v>
      </c>
      <c r="J155" s="12">
        <v>0.45524189479139943</v>
      </c>
      <c r="K155" s="90">
        <v>4.1688475158210476</v>
      </c>
      <c r="L155" s="7">
        <v>1.5507658754728499</v>
      </c>
      <c r="M155" s="14">
        <v>0.31692240515658432</v>
      </c>
      <c r="N155" s="7">
        <v>2.6403927877293789</v>
      </c>
      <c r="O155" s="7">
        <v>0.16303381665149511</v>
      </c>
      <c r="P155" s="7">
        <v>1.702637922003724</v>
      </c>
      <c r="W155" s="117">
        <f>V153+I155/3</f>
        <v>1.9115870201953815E-2</v>
      </c>
      <c r="X155" s="117">
        <f>V153+I155/5</f>
        <v>1.9470238841896886E-2</v>
      </c>
      <c r="Y155" s="117"/>
      <c r="AA155" s="117"/>
    </row>
    <row r="156" spans="1:27" x14ac:dyDescent="0.2">
      <c r="C156" s="101"/>
      <c r="D156" s="90"/>
      <c r="F156" s="90"/>
      <c r="G156" s="90"/>
      <c r="K156" s="90"/>
      <c r="L156" s="7"/>
      <c r="N156" s="7"/>
      <c r="O156" s="7"/>
      <c r="P156" s="7"/>
      <c r="AA156" s="117"/>
    </row>
    <row r="157" spans="1:27" x14ac:dyDescent="0.2">
      <c r="A157" s="128" t="s">
        <v>352</v>
      </c>
      <c r="B157" t="s">
        <v>30</v>
      </c>
      <c r="C157" s="144">
        <v>43.836681644304193</v>
      </c>
      <c r="D157" s="90">
        <v>11.69412161614922</v>
      </c>
      <c r="E157" s="12">
        <v>0.73323433304015473</v>
      </c>
      <c r="F157" s="90">
        <v>61.686941567061197</v>
      </c>
      <c r="G157" s="90">
        <v>0.40719915954396457</v>
      </c>
      <c r="H157" s="12">
        <v>-0.67140017218059411</v>
      </c>
      <c r="I157" s="12">
        <v>-0.61407959508307097</v>
      </c>
      <c r="J157" s="12">
        <v>-6.0385870169378568E-2</v>
      </c>
      <c r="K157" s="90">
        <v>5.2750384844530309</v>
      </c>
      <c r="L157" s="7">
        <v>11.83718426181124</v>
      </c>
      <c r="M157" s="14">
        <v>0.72997079573998103</v>
      </c>
      <c r="N157" s="7">
        <v>61.686941567061197</v>
      </c>
      <c r="O157" s="7">
        <v>0.40719915954396457</v>
      </c>
      <c r="P157" s="7">
        <v>5.2112850659994976</v>
      </c>
      <c r="Q157" s="99">
        <v>5.6217117646071922E-2</v>
      </c>
      <c r="R157" s="99">
        <v>-7.667374205906281E-3</v>
      </c>
      <c r="S157" s="99">
        <v>9.8198022002101062E-3</v>
      </c>
      <c r="U157" s="117">
        <f>C157*S157</f>
        <v>0.43046754286064831</v>
      </c>
      <c r="V157" s="117">
        <f>(1+S157)*Q157*(1-U157)+S157</f>
        <v>4.215168059971626E-2</v>
      </c>
      <c r="W157" s="117">
        <f>V157+I157/3</f>
        <v>-0.16254151776130737</v>
      </c>
      <c r="X157" s="117">
        <f>V157+I157/5</f>
        <v>-8.0664238416897932E-2</v>
      </c>
      <c r="Y157" s="117"/>
      <c r="AA157" s="117"/>
    </row>
    <row r="158" spans="1:27" x14ac:dyDescent="0.2">
      <c r="A158" t="s">
        <v>353</v>
      </c>
      <c r="B158" t="s">
        <v>32</v>
      </c>
      <c r="C158" s="145">
        <v>-290.04946388751051</v>
      </c>
      <c r="D158" s="90">
        <v>24.829952399434649</v>
      </c>
      <c r="E158" s="12">
        <v>1.08560592412977</v>
      </c>
      <c r="F158" s="90">
        <v>-23.260279331678831</v>
      </c>
      <c r="G158" s="90">
        <v>-0.91980581856651933</v>
      </c>
      <c r="H158" s="12">
        <v>-1.1049747290631631</v>
      </c>
      <c r="I158" s="12">
        <v>-1.209747645876494</v>
      </c>
      <c r="J158" s="12">
        <v>-0.46714754500699801</v>
      </c>
      <c r="K158" s="90">
        <v>-0.93678308188011028</v>
      </c>
      <c r="L158" s="7">
        <v>35.745001987027557</v>
      </c>
      <c r="M158" s="14">
        <v>1.1232376075030099</v>
      </c>
      <c r="N158" s="7">
        <v>-23.260279331678831</v>
      </c>
      <c r="O158" s="7">
        <v>-0.91980581856651933</v>
      </c>
      <c r="P158" s="7">
        <v>-0.65072815886596835</v>
      </c>
      <c r="S158" s="99">
        <v>1.1104449907439969E-2</v>
      </c>
      <c r="U158" s="117">
        <f>C158*S158</f>
        <v>-3.2208397424186788</v>
      </c>
      <c r="V158" s="117">
        <f>(1+S158)*R157*(1-U158)+S158</f>
        <v>-2.1617678483349657E-2</v>
      </c>
      <c r="W158" s="117">
        <f>V158+I158/3</f>
        <v>-0.42486689377551434</v>
      </c>
      <c r="X158" s="117">
        <f>V158+I158/5</f>
        <v>-0.26356720765864844</v>
      </c>
      <c r="Y158" s="117"/>
      <c r="AA158" s="117"/>
    </row>
    <row r="159" spans="1:27" x14ac:dyDescent="0.2">
      <c r="B159" t="s">
        <v>34</v>
      </c>
      <c r="C159" s="146">
        <v>2.4643718892112498</v>
      </c>
      <c r="D159" s="90">
        <v>1.201480206567386</v>
      </c>
      <c r="E159" s="12">
        <v>0.51245986377813568</v>
      </c>
      <c r="F159" s="90">
        <v>3.6593867044200099</v>
      </c>
      <c r="G159" s="90">
        <v>0.48491659089295869</v>
      </c>
      <c r="H159" s="12">
        <v>-0.33095451192783698</v>
      </c>
      <c r="I159" s="12">
        <v>-0.1162853801461023</v>
      </c>
      <c r="J159" s="12">
        <v>3.909575428648604E-2</v>
      </c>
      <c r="K159" s="90">
        <v>3.0457319932675642</v>
      </c>
      <c r="L159" s="7">
        <v>1.201480206567386</v>
      </c>
      <c r="M159" s="14">
        <v>0.51245986377813568</v>
      </c>
      <c r="N159" s="7">
        <v>3.6593867044200099</v>
      </c>
      <c r="O159" s="7">
        <v>0.48491659089295869</v>
      </c>
      <c r="P159" s="7">
        <v>3.0457319932675642</v>
      </c>
      <c r="W159" s="117">
        <f>V157+I159/3</f>
        <v>3.3898872176821582E-3</v>
      </c>
      <c r="X159" s="117">
        <f>V157+I159/5</f>
        <v>1.8894604570495799E-2</v>
      </c>
      <c r="Y159" s="117"/>
      <c r="AA159" s="117"/>
    </row>
    <row r="160" spans="1:27" x14ac:dyDescent="0.2">
      <c r="B160" t="s">
        <v>35</v>
      </c>
      <c r="C160" s="146">
        <v>2.223917777848043</v>
      </c>
      <c r="D160" s="90">
        <v>1.265327491300932</v>
      </c>
      <c r="E160" s="12">
        <v>0.43103674789392782</v>
      </c>
      <c r="F160" s="90">
        <v>4.5358033180769786</v>
      </c>
      <c r="G160" s="90">
        <v>1.0395553123668151</v>
      </c>
      <c r="H160" s="12">
        <v>-0.21552962749770949</v>
      </c>
      <c r="I160" s="12">
        <v>-3.7616739471032952E-2</v>
      </c>
      <c r="J160" s="12">
        <v>0.18445506097289571</v>
      </c>
      <c r="K160" s="90">
        <v>3.5846872444172879</v>
      </c>
      <c r="L160" s="7">
        <v>1.265327491300932</v>
      </c>
      <c r="M160" s="14">
        <v>0.43103674789392782</v>
      </c>
      <c r="N160" s="7">
        <v>2.5318642291523532</v>
      </c>
      <c r="O160" s="7">
        <v>0.13847025028159601</v>
      </c>
      <c r="P160" s="7">
        <v>2.000955678714643</v>
      </c>
      <c r="W160" s="117">
        <f>V158+I160/3</f>
        <v>-3.415659164036064E-2</v>
      </c>
      <c r="X160" s="117">
        <f>V158+I160/5</f>
        <v>-2.9141026377556247E-2</v>
      </c>
      <c r="Y160" s="117"/>
      <c r="AA160" s="117"/>
    </row>
    <row r="161" spans="1:27" x14ac:dyDescent="0.2">
      <c r="C161" s="101"/>
      <c r="D161" s="90"/>
      <c r="F161" s="90"/>
      <c r="G161" s="90"/>
      <c r="K161" s="90"/>
      <c r="L161" s="7"/>
      <c r="N161" s="7"/>
      <c r="O161" s="7"/>
      <c r="P161" s="7"/>
      <c r="AA161" s="117"/>
    </row>
    <row r="162" spans="1:27" x14ac:dyDescent="0.2">
      <c r="A162" t="s">
        <v>354</v>
      </c>
      <c r="B162" t="s">
        <v>30</v>
      </c>
      <c r="C162" s="143">
        <v>16.02350646020075</v>
      </c>
      <c r="D162" s="90">
        <v>11.699692294622331</v>
      </c>
      <c r="E162" s="12">
        <v>0.26984194603833622</v>
      </c>
      <c r="F162" s="90">
        <v>36.171675699133573</v>
      </c>
      <c r="G162" s="90">
        <v>1.257413244034751</v>
      </c>
      <c r="H162" s="12">
        <v>-5.7313004594327532E-2</v>
      </c>
      <c r="I162" s="12">
        <v>0.19806581365202519</v>
      </c>
      <c r="J162" s="12">
        <v>0.34314289817865551</v>
      </c>
      <c r="K162" s="90">
        <v>3.0916775234985958</v>
      </c>
      <c r="L162" s="7">
        <v>11.699692294622331</v>
      </c>
      <c r="M162" s="14">
        <v>0.26984194603833622</v>
      </c>
      <c r="N162" s="7">
        <v>36.171675699133573</v>
      </c>
      <c r="O162" s="7">
        <v>1.257413244034751</v>
      </c>
      <c r="P162" s="7">
        <v>3.0916775234985958</v>
      </c>
      <c r="Q162" s="99">
        <v>0.1673567784982295</v>
      </c>
      <c r="R162" s="99">
        <v>7.0759182796197348E-2</v>
      </c>
      <c r="S162" s="99">
        <v>2.9425696188369491E-2</v>
      </c>
      <c r="U162" s="117">
        <f>C162*S162</f>
        <v>0.47150283297024315</v>
      </c>
      <c r="V162" s="117">
        <f>(1+S162)*Q162*(1-U162)+S162</f>
        <v>0.1204759112232666</v>
      </c>
      <c r="W162" s="117">
        <f>V162+I162/3</f>
        <v>0.18649784910727502</v>
      </c>
      <c r="X162" s="117">
        <f>V162+I162/5</f>
        <v>0.16008907395367164</v>
      </c>
      <c r="Y162" s="117"/>
      <c r="AA162" s="117"/>
    </row>
    <row r="163" spans="1:27" x14ac:dyDescent="0.2">
      <c r="A163" t="s">
        <v>355</v>
      </c>
      <c r="B163" t="s">
        <v>32</v>
      </c>
      <c r="C163" s="144">
        <v>35.265250889255981</v>
      </c>
      <c r="D163" s="90">
        <v>23.233378194269999</v>
      </c>
      <c r="E163" s="12">
        <v>0.34118210962882012</v>
      </c>
      <c r="F163" s="90">
        <v>-13.76005417868328</v>
      </c>
      <c r="G163" s="90">
        <v>-1.390187332620834</v>
      </c>
      <c r="H163" s="12">
        <v>-5.0583034285890838E-2</v>
      </c>
      <c r="I163" s="12">
        <v>0.30788615833904909</v>
      </c>
      <c r="J163" s="12">
        <v>-2.256690995513603</v>
      </c>
      <c r="K163" s="90">
        <v>-0.59225369912313908</v>
      </c>
      <c r="L163" s="7">
        <v>28.34490778552232</v>
      </c>
      <c r="M163" s="14">
        <v>0.19623688841646761</v>
      </c>
      <c r="N163" s="7">
        <v>-13.76005417868328</v>
      </c>
      <c r="O163" s="7">
        <v>-1.390187332620834</v>
      </c>
      <c r="P163" s="7">
        <v>-0.48545065952592309</v>
      </c>
      <c r="S163" s="99">
        <v>1.5838075105821681E-2</v>
      </c>
      <c r="U163" s="117">
        <f>C163*S163</f>
        <v>0.55853369220968108</v>
      </c>
      <c r="V163" s="117">
        <f>(1+S163)*R162*(1-U163)+S163</f>
        <v>4.7570616823182463E-2</v>
      </c>
      <c r="W163" s="117">
        <f>V163+I163/3</f>
        <v>0.15019933626953216</v>
      </c>
      <c r="X163" s="117">
        <f>V163+I163/5</f>
        <v>0.10914784849099228</v>
      </c>
      <c r="Y163" s="117"/>
      <c r="AA163" s="117"/>
    </row>
    <row r="164" spans="1:27" x14ac:dyDescent="0.2">
      <c r="B164" t="s">
        <v>34</v>
      </c>
      <c r="C164" s="143">
        <v>2.6816424214247658</v>
      </c>
      <c r="D164" s="90">
        <v>2.0872009366055368</v>
      </c>
      <c r="E164" s="12">
        <v>0.2216706746842857</v>
      </c>
      <c r="F164" s="90">
        <v>4.8515436166557553</v>
      </c>
      <c r="G164" s="90">
        <v>0.80916873103391351</v>
      </c>
      <c r="H164" s="12">
        <v>-5.3654404666833362E-2</v>
      </c>
      <c r="I164" s="12">
        <v>0.1462285178963301</v>
      </c>
      <c r="J164" s="12">
        <v>0.3737205284338494</v>
      </c>
      <c r="K164" s="90">
        <v>2.3244257567965319</v>
      </c>
      <c r="L164" s="7">
        <v>2.1716278812903642</v>
      </c>
      <c r="M164" s="14">
        <v>0.19018737772779939</v>
      </c>
      <c r="N164" s="7">
        <v>4.6161687143650774</v>
      </c>
      <c r="O164" s="7">
        <v>0.72139606589028005</v>
      </c>
      <c r="P164" s="7">
        <v>2.1256720611001669</v>
      </c>
      <c r="W164" s="117">
        <f>V162+I164/3</f>
        <v>0.1692187505220433</v>
      </c>
      <c r="X164" s="117">
        <f>V162+I164/5</f>
        <v>0.14972161480253263</v>
      </c>
      <c r="Y164" s="117"/>
      <c r="AA164" s="117"/>
    </row>
    <row r="165" spans="1:27" x14ac:dyDescent="0.2">
      <c r="B165" t="s">
        <v>35</v>
      </c>
      <c r="C165" s="143">
        <v>2.4953403340266251</v>
      </c>
      <c r="D165" s="90">
        <v>1.5202474592215161</v>
      </c>
      <c r="E165" s="12">
        <v>0.39076548457486088</v>
      </c>
      <c r="F165" s="90">
        <v>8.606460776942912</v>
      </c>
      <c r="G165" s="90">
        <v>2.4490128098298438</v>
      </c>
      <c r="H165" s="12">
        <v>-0.1126220792266892</v>
      </c>
      <c r="I165" s="12">
        <v>0.10151756897263441</v>
      </c>
      <c r="J165" s="12">
        <v>0.36548209982925323</v>
      </c>
      <c r="K165" s="90">
        <v>5.6612235887900031</v>
      </c>
      <c r="L165" s="7">
        <v>1.5202474592215161</v>
      </c>
      <c r="M165" s="14">
        <v>0.39076548457486088</v>
      </c>
      <c r="N165" s="7">
        <v>8.606460776942912</v>
      </c>
      <c r="O165" s="7">
        <v>2.4490128098298438</v>
      </c>
      <c r="P165" s="7">
        <v>5.6612235887900031</v>
      </c>
      <c r="W165" s="117">
        <f>V163+I165/3</f>
        <v>8.1409806480727265E-2</v>
      </c>
      <c r="X165" s="117">
        <f>V163+I165/5</f>
        <v>6.7874130617709347E-2</v>
      </c>
      <c r="Y165" s="117"/>
      <c r="AA165" s="117"/>
    </row>
    <row r="166" spans="1:27" x14ac:dyDescent="0.2">
      <c r="C166" s="101"/>
      <c r="D166" s="90"/>
      <c r="F166" s="90"/>
      <c r="G166" s="90"/>
      <c r="K166" s="90"/>
      <c r="L166" s="7"/>
      <c r="N166" s="7"/>
      <c r="O166" s="7"/>
      <c r="P166" s="7"/>
      <c r="AA166" s="117"/>
    </row>
    <row r="167" spans="1:27" x14ac:dyDescent="0.2">
      <c r="A167" t="s">
        <v>356</v>
      </c>
      <c r="B167" t="s">
        <v>30</v>
      </c>
      <c r="C167" s="146">
        <v>37.011922114980223</v>
      </c>
      <c r="D167" s="90">
        <v>18.76676227151976</v>
      </c>
      <c r="E167" s="12">
        <v>0.49295358902951719</v>
      </c>
      <c r="F167" s="90">
        <v>62.057081956094223</v>
      </c>
      <c r="G167" s="90">
        <v>0.67667817313862799</v>
      </c>
      <c r="H167" s="12">
        <v>-0.3124512999589365</v>
      </c>
      <c r="I167" s="12">
        <v>-0.13802917609189119</v>
      </c>
      <c r="J167" s="12">
        <v>3.1118966670046429E-2</v>
      </c>
      <c r="K167" s="90">
        <v>3.306754839127013</v>
      </c>
      <c r="L167" s="7">
        <v>18.76676227151976</v>
      </c>
      <c r="M167" s="14">
        <v>0.49295358902951719</v>
      </c>
      <c r="N167" s="7">
        <v>40.479076509799803</v>
      </c>
      <c r="O167" s="7">
        <v>9.3676691095604614E-2</v>
      </c>
      <c r="P167" s="7">
        <v>2.156955788331715</v>
      </c>
      <c r="Q167" s="99">
        <v>7.7995671253049667E-2</v>
      </c>
      <c r="R167" s="99">
        <v>1.412320022386368E-2</v>
      </c>
      <c r="S167" s="99">
        <v>1.481071317207079E-2</v>
      </c>
      <c r="U167" s="117">
        <f>C167*S167</f>
        <v>0.54817296239199576</v>
      </c>
      <c r="V167" s="117">
        <f>(1+S167)*Q167*(1-U167)+S167</f>
        <v>5.0573203984403098E-2</v>
      </c>
      <c r="W167" s="117">
        <f>V167+I167/3</f>
        <v>4.5634786204393693E-3</v>
      </c>
      <c r="X167" s="117">
        <f>V167+I167/5</f>
        <v>2.296736876602486E-2</v>
      </c>
      <c r="Y167" s="117"/>
      <c r="AA167" s="117"/>
    </row>
    <row r="168" spans="1:27" x14ac:dyDescent="0.2">
      <c r="A168" t="s">
        <v>357</v>
      </c>
      <c r="B168" t="s">
        <v>32</v>
      </c>
      <c r="C168" s="144">
        <v>156.68977801650689</v>
      </c>
      <c r="D168" s="90">
        <v>19.382729897588462</v>
      </c>
      <c r="E168" s="12">
        <v>0.87629869578635478</v>
      </c>
      <c r="F168" s="90">
        <v>-81.058748094968763</v>
      </c>
      <c r="G168" s="90">
        <v>-1.517319949782745</v>
      </c>
      <c r="H168" s="12">
        <v>-0.81742673366200469</v>
      </c>
      <c r="I168" s="12">
        <v>-0.72915129082527796</v>
      </c>
      <c r="J168" s="12">
        <v>-0.44590444077866381</v>
      </c>
      <c r="K168" s="90">
        <v>-4.1820088565054938</v>
      </c>
      <c r="L168" s="7">
        <v>19.382729897588462</v>
      </c>
      <c r="M168" s="14">
        <v>0.87629869578635478</v>
      </c>
      <c r="N168" s="7">
        <v>-81.058748094968763</v>
      </c>
      <c r="O168" s="7">
        <v>-1.517319949782745</v>
      </c>
      <c r="P168" s="7">
        <v>-4.1820088565054938</v>
      </c>
      <c r="S168" s="99">
        <v>1.232738912924892E-2</v>
      </c>
      <c r="U168" s="117">
        <f>C168*S168</f>
        <v>1.9315758661851135</v>
      </c>
      <c r="V168" s="117">
        <f>(1+S168)*R167*(1-U168)+S168</f>
        <v>-9.916327463148026E-4</v>
      </c>
      <c r="W168" s="117">
        <f>V168+I168/3</f>
        <v>-0.24404206302140746</v>
      </c>
      <c r="X168" s="117">
        <f>V168+I168/5</f>
        <v>-0.14682189091137041</v>
      </c>
      <c r="Y168" s="117"/>
      <c r="AA168" s="117"/>
    </row>
    <row r="169" spans="1:27" x14ac:dyDescent="0.2">
      <c r="B169" t="s">
        <v>34</v>
      </c>
      <c r="C169" s="143">
        <v>2.8867697097234761</v>
      </c>
      <c r="D169" s="90">
        <v>2.0693395883521788</v>
      </c>
      <c r="E169" s="12">
        <v>0.28316429904954171</v>
      </c>
      <c r="F169" s="90">
        <v>5.9838023330181613</v>
      </c>
      <c r="G169" s="90">
        <v>1.0728367465069979</v>
      </c>
      <c r="H169" s="12">
        <v>-9.970106866348849E-2</v>
      </c>
      <c r="I169" s="12">
        <v>0.15344072845323839</v>
      </c>
      <c r="J169" s="12">
        <v>0.56596806049943105</v>
      </c>
      <c r="K169" s="90">
        <v>2.8916483146118521</v>
      </c>
      <c r="L169" s="7">
        <v>2.0693395883521788</v>
      </c>
      <c r="M169" s="14">
        <v>0.28316429904954171</v>
      </c>
      <c r="N169" s="7">
        <v>4.7428866576053608</v>
      </c>
      <c r="O169" s="7">
        <v>0.64297368149248135</v>
      </c>
      <c r="P169" s="7">
        <v>2.2919808253328471</v>
      </c>
      <c r="W169" s="117">
        <f>V167+I169/3</f>
        <v>0.1017201134688159</v>
      </c>
      <c r="X169" s="117">
        <f>V167+I169/5</f>
        <v>8.1261349675050776E-2</v>
      </c>
      <c r="Y169" s="117"/>
      <c r="AA169" s="117"/>
    </row>
    <row r="170" spans="1:27" x14ac:dyDescent="0.2">
      <c r="B170" t="s">
        <v>35</v>
      </c>
      <c r="C170" s="143">
        <v>2.2129611079598801</v>
      </c>
      <c r="D170" s="90">
        <v>1.5328434586673061</v>
      </c>
      <c r="E170" s="12">
        <v>0.30733375604579521</v>
      </c>
      <c r="F170" s="90">
        <v>6.0747728625518862</v>
      </c>
      <c r="G170" s="90">
        <v>1.745087946056221</v>
      </c>
      <c r="H170" s="12">
        <v>-6.2220324764998503E-2</v>
      </c>
      <c r="I170" s="12">
        <v>6.8760473495943053E-2</v>
      </c>
      <c r="J170" s="12">
        <v>0.83168787849478254</v>
      </c>
      <c r="K170" s="90">
        <v>3.963074525453143</v>
      </c>
      <c r="L170" s="7">
        <v>1.5328434586673061</v>
      </c>
      <c r="M170" s="14">
        <v>0.30733375604579521</v>
      </c>
      <c r="N170" s="7">
        <v>3.5896176873196359</v>
      </c>
      <c r="O170" s="7">
        <v>0.62208801338984676</v>
      </c>
      <c r="P170" s="7">
        <v>2.3418031808939861</v>
      </c>
      <c r="W170" s="117">
        <f>V168+I170/3</f>
        <v>2.1928525085666215E-2</v>
      </c>
      <c r="X170" s="117">
        <f>V168+I170/5</f>
        <v>1.2760461952873808E-2</v>
      </c>
      <c r="Y170" s="117"/>
      <c r="AA170" s="117"/>
    </row>
    <row r="171" spans="1:27" x14ac:dyDescent="0.2">
      <c r="C171" s="101"/>
      <c r="D171" s="90"/>
      <c r="F171" s="90"/>
      <c r="G171" s="90"/>
      <c r="K171" s="90"/>
      <c r="L171" s="7"/>
      <c r="N171" s="7"/>
      <c r="O171" s="7"/>
      <c r="P171" s="7"/>
      <c r="AA171" s="117"/>
    </row>
    <row r="172" spans="1:27" x14ac:dyDescent="0.2">
      <c r="A172" t="s">
        <v>358</v>
      </c>
      <c r="B172" t="s">
        <v>30</v>
      </c>
      <c r="C172" s="143">
        <v>76.093916547748947</v>
      </c>
      <c r="D172" s="90">
        <v>32.790643953569827</v>
      </c>
      <c r="E172" s="12">
        <v>0.56907666944710766</v>
      </c>
      <c r="F172" s="90">
        <v>-92.999098697470558</v>
      </c>
      <c r="G172" s="90">
        <v>-2.222162071774997</v>
      </c>
      <c r="H172" s="12">
        <v>-0.2533305386779392</v>
      </c>
      <c r="I172" s="12">
        <v>3.057288631181598E-2</v>
      </c>
      <c r="J172" s="12">
        <v>0.44566431209293161</v>
      </c>
      <c r="K172" s="90">
        <v>-2.8361473726820789</v>
      </c>
      <c r="L172" s="7">
        <v>48.153404382753081</v>
      </c>
      <c r="M172" s="14">
        <v>0.36718457181085151</v>
      </c>
      <c r="N172" s="7">
        <v>-92.999098697470558</v>
      </c>
      <c r="O172" s="7">
        <v>-2.222162071774997</v>
      </c>
      <c r="P172" s="7">
        <v>-1.9313089051452339</v>
      </c>
      <c r="Q172" s="99">
        <v>4.1524138987397652E-2</v>
      </c>
      <c r="R172" s="99">
        <v>4.0299645455890723E-2</v>
      </c>
      <c r="S172" s="99">
        <v>7.7953513644302853E-3</v>
      </c>
      <c r="U172" s="117">
        <f>C172*S172</f>
        <v>0.59317881618533896</v>
      </c>
      <c r="V172" s="117">
        <f>(1+S172)*Q172*(1-U172)+S172</f>
        <v>2.4819936830396939E-2</v>
      </c>
      <c r="W172" s="117">
        <f>V172+I172/3</f>
        <v>3.5010898934335601E-2</v>
      </c>
      <c r="X172" s="117">
        <f>V172+I172/5</f>
        <v>3.0934514092760136E-2</v>
      </c>
      <c r="Y172" s="117"/>
      <c r="AA172" s="117"/>
    </row>
    <row r="173" spans="1:27" x14ac:dyDescent="0.2">
      <c r="A173" t="s">
        <v>359</v>
      </c>
      <c r="B173" t="s">
        <v>32</v>
      </c>
      <c r="C173" s="143">
        <v>70.095947331437401</v>
      </c>
      <c r="D173" s="90">
        <v>26.718431812418139</v>
      </c>
      <c r="E173" s="12">
        <v>0.61883057680803799</v>
      </c>
      <c r="F173" s="90">
        <v>-101.935436876875</v>
      </c>
      <c r="G173" s="90">
        <v>-2.4542272521817798</v>
      </c>
      <c r="H173" s="12">
        <v>-0.16708969810402299</v>
      </c>
      <c r="I173" s="12">
        <v>0.36063001424901092</v>
      </c>
      <c r="J173" s="12">
        <v>2.7160074667330871</v>
      </c>
      <c r="K173" s="90">
        <v>-3.8151728960940599</v>
      </c>
      <c r="L173" s="7">
        <v>50.060794028124057</v>
      </c>
      <c r="M173" s="14">
        <v>0.28582470265478188</v>
      </c>
      <c r="N173" s="7">
        <v>-101.935436876875</v>
      </c>
      <c r="O173" s="7">
        <v>-2.4542272521817798</v>
      </c>
      <c r="P173" s="7">
        <v>-2.0362329215075539</v>
      </c>
      <c r="S173" s="99">
        <v>9.0387750264273176E-3</v>
      </c>
      <c r="U173" s="117">
        <f>C173*S173</f>
        <v>0.63358149819316101</v>
      </c>
      <c r="V173" s="117">
        <f>(1+S173)*R172*(1-U173)+S173</f>
        <v>2.3938782131935676E-2</v>
      </c>
      <c r="W173" s="117">
        <f>V173+I173/3</f>
        <v>0.14414878688160598</v>
      </c>
      <c r="X173" s="117">
        <f>V173+I173/5</f>
        <v>9.6064784981737858E-2</v>
      </c>
      <c r="Y173" s="117"/>
      <c r="AA173" s="117"/>
    </row>
    <row r="174" spans="1:27" x14ac:dyDescent="0.2">
      <c r="B174" t="s">
        <v>34</v>
      </c>
      <c r="C174" s="143">
        <v>3.159734366824166</v>
      </c>
      <c r="D174" s="90">
        <v>1.868371958477</v>
      </c>
      <c r="E174" s="12">
        <v>0.4086933452083531</v>
      </c>
      <c r="F174" s="90">
        <v>12.807630049640601</v>
      </c>
      <c r="G174" s="90">
        <v>3.053388216463742</v>
      </c>
      <c r="H174" s="12">
        <v>-6.885152307466047E-2</v>
      </c>
      <c r="I174" s="12">
        <v>0.2386652675217027</v>
      </c>
      <c r="J174" s="12">
        <v>0.86094785474112312</v>
      </c>
      <c r="K174" s="90">
        <v>6.854968033282149</v>
      </c>
      <c r="L174" s="7">
        <v>1.868371958477</v>
      </c>
      <c r="M174" s="14">
        <v>0.4086933452083531</v>
      </c>
      <c r="N174" s="7">
        <v>4.5370946978177216</v>
      </c>
      <c r="O174" s="7">
        <v>0.43591016556810591</v>
      </c>
      <c r="P174" s="7">
        <v>2.4283680116437449</v>
      </c>
      <c r="W174" s="117">
        <f>V172+I174/3</f>
        <v>0.10437502600429785</v>
      </c>
      <c r="X174" s="117">
        <f>V172+I174/5</f>
        <v>7.2552990334737472E-2</v>
      </c>
      <c r="Y174" s="117"/>
      <c r="AA174" s="117"/>
    </row>
    <row r="175" spans="1:27" x14ac:dyDescent="0.2">
      <c r="B175" t="s">
        <v>35</v>
      </c>
      <c r="C175" s="143">
        <v>2.8248418253517169</v>
      </c>
      <c r="D175" s="90">
        <v>1.9349282397905849</v>
      </c>
      <c r="E175" s="12">
        <v>0.3150312975312628</v>
      </c>
      <c r="F175" s="90">
        <v>11.378617512397479</v>
      </c>
      <c r="G175" s="90">
        <v>3.0280547428459101</v>
      </c>
      <c r="H175" s="12">
        <v>-4.1220326217334402E-2</v>
      </c>
      <c r="I175" s="12">
        <v>0.15467522269948791</v>
      </c>
      <c r="J175" s="12">
        <v>0.9896383140801881</v>
      </c>
      <c r="K175" s="90">
        <v>5.8806405728147197</v>
      </c>
      <c r="L175" s="7">
        <v>1.9349282397905849</v>
      </c>
      <c r="M175" s="14">
        <v>0.3150312975312628</v>
      </c>
      <c r="N175" s="7">
        <v>3.502647005381565</v>
      </c>
      <c r="O175" s="7">
        <v>0.23994447191585849</v>
      </c>
      <c r="P175" s="7">
        <v>1.8102206238721561</v>
      </c>
      <c r="W175" s="117">
        <f>V173+I175/3</f>
        <v>7.5497189698431638E-2</v>
      </c>
      <c r="X175" s="117">
        <f>V173+I175/5</f>
        <v>5.4873826671833256E-2</v>
      </c>
      <c r="Y175" s="117"/>
      <c r="AA175" s="117"/>
    </row>
    <row r="176" spans="1:27" x14ac:dyDescent="0.2">
      <c r="C176" s="101"/>
      <c r="D176" s="90"/>
      <c r="F176" s="90"/>
      <c r="G176" s="90"/>
      <c r="K176" s="90"/>
      <c r="L176" s="7"/>
      <c r="N176" s="7"/>
      <c r="O176" s="7"/>
      <c r="P176" s="7"/>
      <c r="AA176" s="117"/>
    </row>
    <row r="177" spans="1:27" x14ac:dyDescent="0.2">
      <c r="A177" t="s">
        <v>360</v>
      </c>
      <c r="B177" t="s">
        <v>30</v>
      </c>
      <c r="C177" s="146">
        <v>40.027901136334798</v>
      </c>
      <c r="D177" s="90">
        <v>15.244173291757861</v>
      </c>
      <c r="E177" s="12">
        <v>0.61916131350888737</v>
      </c>
      <c r="F177" s="90">
        <v>-15.76316717593058</v>
      </c>
      <c r="G177" s="90">
        <v>-1.393804489579439</v>
      </c>
      <c r="H177" s="12">
        <v>-0.37749103728530792</v>
      </c>
      <c r="I177" s="12">
        <v>-2.4195402505609032E-3</v>
      </c>
      <c r="J177" s="12">
        <v>11.957231284019331</v>
      </c>
      <c r="K177" s="90">
        <v>-1.0340453938852381</v>
      </c>
      <c r="L177" s="7">
        <v>19.82559355950098</v>
      </c>
      <c r="M177" s="14">
        <v>0.50470564289706021</v>
      </c>
      <c r="N177" s="7">
        <v>-15.76316717593058</v>
      </c>
      <c r="O177" s="7">
        <v>-1.393804489579439</v>
      </c>
      <c r="P177" s="7">
        <v>-0.79509181546680274</v>
      </c>
      <c r="Q177" s="99">
        <v>4.9199719833798998E-2</v>
      </c>
      <c r="R177" s="99">
        <v>-5.5231997619091262E-2</v>
      </c>
      <c r="S177" s="99">
        <v>2.9317379411879639E-2</v>
      </c>
      <c r="U177" s="117">
        <f>C177*S177</f>
        <v>1.1735131646751353</v>
      </c>
      <c r="V177" s="117">
        <f>(1+S177)*Q177*(1-U177)+S177</f>
        <v>2.053030374451751E-2</v>
      </c>
      <c r="W177" s="117">
        <f>V177+I177/3</f>
        <v>1.9723790327663877E-2</v>
      </c>
      <c r="X177" s="117">
        <f>V177+I177/5</f>
        <v>2.004639569440533E-2</v>
      </c>
      <c r="Y177" s="117"/>
      <c r="AA177" s="117"/>
    </row>
    <row r="178" spans="1:27" x14ac:dyDescent="0.2">
      <c r="A178" t="s">
        <v>361</v>
      </c>
      <c r="B178" t="s">
        <v>32</v>
      </c>
      <c r="C178" s="145">
        <v>-35.508898772658263</v>
      </c>
      <c r="D178" s="90">
        <v>19.497745134278219</v>
      </c>
      <c r="E178" s="12">
        <v>1.5490946159471279</v>
      </c>
      <c r="F178" s="90">
        <v>-2.0666290371236462</v>
      </c>
      <c r="G178" s="90">
        <v>-0.94179968659813962</v>
      </c>
      <c r="H178" s="12">
        <v>-1.886665572174369</v>
      </c>
      <c r="I178" s="12">
        <v>-2.76344387943255</v>
      </c>
      <c r="J178" s="12">
        <v>-0.53690662192397176</v>
      </c>
      <c r="K178" s="90">
        <v>-0.10599323269901539</v>
      </c>
      <c r="L178" s="7">
        <v>25.51560798071495</v>
      </c>
      <c r="M178" s="14">
        <v>1.7185693970425771</v>
      </c>
      <c r="N178" s="7">
        <v>-2.0666290371236462</v>
      </c>
      <c r="O178" s="7">
        <v>-0.94179968659813962</v>
      </c>
      <c r="P178" s="7">
        <v>-8.0994700917400561E-2</v>
      </c>
      <c r="S178" s="99">
        <v>1.8652719165468529E-2</v>
      </c>
      <c r="U178" s="117">
        <f>C178*S178</f>
        <v>-0.66233751668144469</v>
      </c>
      <c r="V178" s="117">
        <f>(1+S178)*R177*(1-U178)+S178</f>
        <v>-7.4874087491957272E-2</v>
      </c>
      <c r="W178" s="117">
        <f>V178+I178/3</f>
        <v>-0.99602204730280719</v>
      </c>
      <c r="X178" s="117">
        <f>V178+I178/5</f>
        <v>-0.62756286337846723</v>
      </c>
      <c r="Y178" s="117"/>
      <c r="AA178" s="117"/>
    </row>
    <row r="179" spans="1:27" x14ac:dyDescent="0.2">
      <c r="B179" t="s">
        <v>34</v>
      </c>
      <c r="C179" s="143">
        <v>1.969361521442677</v>
      </c>
      <c r="D179" s="90">
        <v>1.557575412521701</v>
      </c>
      <c r="E179" s="12">
        <v>0.20909624994567669</v>
      </c>
      <c r="F179" s="90">
        <v>6.8295333743684186</v>
      </c>
      <c r="G179" s="90">
        <v>2.4678921569287948</v>
      </c>
      <c r="H179" s="12">
        <v>-3.2411301994732189E-2</v>
      </c>
      <c r="I179" s="12">
        <v>0.1380711652948523</v>
      </c>
      <c r="J179" s="12">
        <v>0.80685724390859193</v>
      </c>
      <c r="K179" s="90">
        <v>4.3847208420627686</v>
      </c>
      <c r="L179" s="7">
        <v>1.557575412521701</v>
      </c>
      <c r="M179" s="14">
        <v>0.20909624994567669</v>
      </c>
      <c r="N179" s="7">
        <v>3.2659713312960301</v>
      </c>
      <c r="O179" s="7">
        <v>0.65839095348197296</v>
      </c>
      <c r="P179" s="7">
        <v>2.0968303075665862</v>
      </c>
      <c r="W179" s="117">
        <f>V177+I179/3</f>
        <v>6.6554025509468276E-2</v>
      </c>
      <c r="X179" s="117">
        <f>V177+I179/5</f>
        <v>4.8144536803487972E-2</v>
      </c>
      <c r="Y179" s="117"/>
      <c r="AA179" s="117"/>
    </row>
    <row r="180" spans="1:27" x14ac:dyDescent="0.2">
      <c r="B180" t="s">
        <v>35</v>
      </c>
      <c r="C180" s="143">
        <v>1.9612274124680129</v>
      </c>
      <c r="D180" s="90">
        <v>1.325329023521066</v>
      </c>
      <c r="E180" s="12">
        <v>0.32423490764221552</v>
      </c>
      <c r="F180" s="90">
        <v>6.4308063461435694</v>
      </c>
      <c r="G180" s="90">
        <v>2.278970253659176</v>
      </c>
      <c r="H180" s="12">
        <v>-6.2076024071199498E-2</v>
      </c>
      <c r="I180" s="12">
        <v>8.7948158906553831E-2</v>
      </c>
      <c r="J180" s="12">
        <v>0.81023403583481413</v>
      </c>
      <c r="K180" s="90">
        <v>4.8522338468515054</v>
      </c>
      <c r="L180" s="7">
        <v>1.325329023521066</v>
      </c>
      <c r="M180" s="14">
        <v>0.32423490764221552</v>
      </c>
      <c r="N180" s="7">
        <v>2.653114265544545</v>
      </c>
      <c r="O180" s="7">
        <v>0.35278257313661571</v>
      </c>
      <c r="P180" s="7">
        <v>2.0018532896049379</v>
      </c>
      <c r="W180" s="117">
        <f>V178+I180/3</f>
        <v>-4.5558034523106E-2</v>
      </c>
      <c r="X180" s="117">
        <f>V178+I180/5</f>
        <v>-5.7284455710646505E-2</v>
      </c>
      <c r="Y180" s="117"/>
      <c r="AA180" s="117"/>
    </row>
    <row r="181" spans="1:27" x14ac:dyDescent="0.2">
      <c r="C181" s="101"/>
      <c r="D181" s="90"/>
      <c r="F181" s="90"/>
      <c r="G181" s="90"/>
      <c r="K181" s="90"/>
      <c r="L181" s="7"/>
      <c r="N181" s="7"/>
      <c r="O181" s="7"/>
      <c r="P181" s="7"/>
      <c r="AA181" s="117"/>
    </row>
    <row r="182" spans="1:27" x14ac:dyDescent="0.2">
      <c r="A182" s="128" t="s">
        <v>362</v>
      </c>
      <c r="B182" t="s">
        <v>30</v>
      </c>
      <c r="C182" s="143">
        <v>23.984672302171699</v>
      </c>
      <c r="D182" s="90">
        <v>16.826546217735711</v>
      </c>
      <c r="E182" s="12">
        <v>0.29844585718137401</v>
      </c>
      <c r="F182" s="90">
        <v>109.7630079890877</v>
      </c>
      <c r="G182" s="90">
        <v>3.5763813908413971</v>
      </c>
      <c r="H182" s="12">
        <v>-2.5310334361002721E-2</v>
      </c>
      <c r="I182" s="12">
        <v>0.58519151139579129</v>
      </c>
      <c r="J182" s="12">
        <v>1.591702631375161</v>
      </c>
      <c r="K182" s="90">
        <v>6.5232048555153872</v>
      </c>
      <c r="L182" s="7">
        <v>16.826546217735711</v>
      </c>
      <c r="M182" s="14">
        <v>0.29844585718137401</v>
      </c>
      <c r="N182" s="7">
        <v>109.7630079890877</v>
      </c>
      <c r="O182" s="7">
        <v>3.5763813908413971</v>
      </c>
      <c r="P182" s="7">
        <v>6.5232048555153872</v>
      </c>
      <c r="Q182" s="99">
        <v>7.2154399255267898E-2</v>
      </c>
      <c r="R182" s="99">
        <v>4.4735265073242332E-2</v>
      </c>
      <c r="S182" s="99">
        <v>2.097471869803481E-2</v>
      </c>
      <c r="U182" s="117">
        <f>C182*S182</f>
        <v>0.50307175460259834</v>
      </c>
      <c r="V182" s="117">
        <f>(1+S182)*Q182*(1-U182)+S182</f>
        <v>5.7582337981856066E-2</v>
      </c>
      <c r="W182" s="117">
        <f>V182+I182/3</f>
        <v>0.25264617511378651</v>
      </c>
      <c r="X182" s="117">
        <f>V182+I182/5</f>
        <v>0.17462064026101431</v>
      </c>
      <c r="Y182" s="117"/>
      <c r="AA182" s="117"/>
    </row>
    <row r="183" spans="1:27" x14ac:dyDescent="0.2">
      <c r="A183" t="s">
        <v>363</v>
      </c>
      <c r="B183" t="s">
        <v>32</v>
      </c>
      <c r="C183" s="143">
        <v>36.329442546231562</v>
      </c>
      <c r="D183" s="90">
        <v>20.967674269227551</v>
      </c>
      <c r="E183" s="12">
        <v>0.42284624261589399</v>
      </c>
      <c r="F183" s="90">
        <v>-322.19255124936649</v>
      </c>
      <c r="G183" s="90">
        <v>-9.8686346023436968</v>
      </c>
      <c r="H183" s="12">
        <v>-0.15402485388416531</v>
      </c>
      <c r="I183" s="12">
        <v>0.78216424761034387</v>
      </c>
      <c r="J183" s="12">
        <v>1.778355986299101</v>
      </c>
      <c r="K183" s="90">
        <v>-15.366155879396739</v>
      </c>
      <c r="L183" s="7">
        <v>20.967674269227551</v>
      </c>
      <c r="M183" s="14">
        <v>0.42284624261589399</v>
      </c>
      <c r="N183" s="7">
        <v>-322.19255124936649</v>
      </c>
      <c r="O183" s="7">
        <v>-9.8686346023436968</v>
      </c>
      <c r="P183" s="7">
        <v>-15.366155879396739</v>
      </c>
      <c r="S183" s="99">
        <v>1.6784165628884622E-2</v>
      </c>
      <c r="U183" s="117">
        <f>C183*S183</f>
        <v>0.60975938090099835</v>
      </c>
      <c r="V183" s="117">
        <f>(1+S183)*R182*(1-U183)+S183</f>
        <v>3.4534693032447245E-2</v>
      </c>
      <c r="W183" s="117">
        <f>V183+I183/3</f>
        <v>0.29525610890256182</v>
      </c>
      <c r="X183" s="117">
        <f>V183+I183/5</f>
        <v>0.19096754255451601</v>
      </c>
      <c r="Y183" s="117"/>
      <c r="AA183" s="117"/>
    </row>
    <row r="184" spans="1:27" x14ac:dyDescent="0.2">
      <c r="B184" t="s">
        <v>34</v>
      </c>
      <c r="C184" s="145">
        <v>1.730599621297662</v>
      </c>
      <c r="D184" s="90">
        <v>1.4686956431904821</v>
      </c>
      <c r="E184" s="12">
        <v>0.1513371289835348</v>
      </c>
      <c r="F184" s="90">
        <v>6.0099380429709699</v>
      </c>
      <c r="G184" s="90">
        <v>2.4727489645840288</v>
      </c>
      <c r="H184" s="12">
        <v>7.898320292348382E-3</v>
      </c>
      <c r="I184" s="12">
        <v>0.1811820434020712</v>
      </c>
      <c r="J184" s="12">
        <v>0.77964937949058832</v>
      </c>
      <c r="K184" s="90">
        <v>4.0920241513860844</v>
      </c>
      <c r="L184" s="7">
        <v>1.4686956431904821</v>
      </c>
      <c r="M184" s="14">
        <v>0.1513371289835348</v>
      </c>
      <c r="N184" s="7">
        <v>2.348201710265744</v>
      </c>
      <c r="O184" s="7">
        <v>0.35687173472566802</v>
      </c>
      <c r="P184" s="7">
        <v>1.59883480362527</v>
      </c>
      <c r="W184" s="117">
        <f>V182+I184/3</f>
        <v>0.11797635244921313</v>
      </c>
      <c r="X184" s="117">
        <f>V182+I184/5</f>
        <v>9.3818746662270303E-2</v>
      </c>
      <c r="Y184" s="117"/>
      <c r="AA184" s="117"/>
    </row>
    <row r="185" spans="1:27" x14ac:dyDescent="0.2">
      <c r="B185" t="s">
        <v>35</v>
      </c>
      <c r="C185" s="145">
        <v>1.6252072422687971</v>
      </c>
      <c r="D185" s="90">
        <v>1.335373824321052</v>
      </c>
      <c r="E185" s="12">
        <v>0.1783362825427334</v>
      </c>
      <c r="F185" s="90">
        <v>6.0063952481218674</v>
      </c>
      <c r="G185" s="90">
        <v>2.6957718941351212</v>
      </c>
      <c r="H185" s="12">
        <v>3.6921269350083108E-3</v>
      </c>
      <c r="I185" s="12">
        <v>0.28527448410884809</v>
      </c>
      <c r="J185" s="12">
        <v>1.0111006861368881</v>
      </c>
      <c r="K185" s="90">
        <v>4.4979129729277982</v>
      </c>
      <c r="L185" s="7">
        <v>1.335373824321052</v>
      </c>
      <c r="M185" s="14">
        <v>0.1783362825427334</v>
      </c>
      <c r="N185" s="7">
        <v>2.4629976745889262</v>
      </c>
      <c r="O185" s="7">
        <v>0.51549759964801134</v>
      </c>
      <c r="P185" s="7">
        <v>1.844425605572428</v>
      </c>
      <c r="W185" s="117">
        <f>V183+I185/3</f>
        <v>0.12962618773539661</v>
      </c>
      <c r="X185" s="117">
        <f>V183+I185/5</f>
        <v>9.1589589854216863E-2</v>
      </c>
      <c r="Y185" s="117"/>
      <c r="AA185" s="117"/>
    </row>
    <row r="186" spans="1:27" x14ac:dyDescent="0.2">
      <c r="C186" s="101"/>
      <c r="D186" s="90"/>
      <c r="F186" s="90"/>
      <c r="G186" s="90"/>
      <c r="K186" s="90"/>
      <c r="L186" s="7"/>
      <c r="N186" s="7"/>
      <c r="O186" s="7"/>
      <c r="P186" s="7"/>
      <c r="AA186" s="117"/>
    </row>
    <row r="187" spans="1:27" x14ac:dyDescent="0.2">
      <c r="A187" t="s">
        <v>364</v>
      </c>
      <c r="B187" t="s">
        <v>30</v>
      </c>
      <c r="C187" s="144">
        <v>37.427586957322617</v>
      </c>
      <c r="D187" s="90">
        <v>15.30354211391464</v>
      </c>
      <c r="E187" s="12">
        <v>0.59111598267436438</v>
      </c>
      <c r="F187" s="90">
        <v>40.267099495709452</v>
      </c>
      <c r="G187" s="90">
        <v>7.5866834311937525E-2</v>
      </c>
      <c r="H187" s="12">
        <v>-0.50192577515677117</v>
      </c>
      <c r="I187" s="12">
        <v>-0.44749380029433078</v>
      </c>
      <c r="J187" s="12">
        <v>-0.1921554291914068</v>
      </c>
      <c r="K187" s="90">
        <v>2.631227411012047</v>
      </c>
      <c r="L187" s="7">
        <v>15.30354211391464</v>
      </c>
      <c r="M187" s="14">
        <v>0.59111598267436438</v>
      </c>
      <c r="N187" s="7">
        <v>40.267099495709452</v>
      </c>
      <c r="O187" s="7">
        <v>7.5866834311937525E-2</v>
      </c>
      <c r="P187" s="7">
        <v>2.631227411012047</v>
      </c>
      <c r="Q187" s="99">
        <v>7.2510744737811078E-2</v>
      </c>
      <c r="R187" s="99">
        <v>-0.18340037149916699</v>
      </c>
      <c r="S187" s="99">
        <v>2.539659620930769E-2</v>
      </c>
      <c r="U187" s="117">
        <f>C187*S187</f>
        <v>0.95053331304387356</v>
      </c>
      <c r="V187" s="117">
        <f>(1+S187)*Q187*(1-U187)+S187</f>
        <v>2.9074556715563301E-2</v>
      </c>
      <c r="W187" s="117">
        <f>V187+I187/3</f>
        <v>-0.12009004338254695</v>
      </c>
      <c r="X187" s="117">
        <f>V187+I187/5</f>
        <v>-6.0424203343302854E-2</v>
      </c>
      <c r="Y187" s="117"/>
      <c r="AA187" s="117"/>
    </row>
    <row r="188" spans="1:27" x14ac:dyDescent="0.2">
      <c r="A188" t="s">
        <v>365</v>
      </c>
      <c r="B188" t="s">
        <v>32</v>
      </c>
      <c r="C188" s="144">
        <v>-13.85987544777605</v>
      </c>
      <c r="D188" s="90">
        <v>20.503003261137088</v>
      </c>
      <c r="E188" s="12">
        <v>2.4793064583006039</v>
      </c>
      <c r="F188" s="90">
        <v>-13.040138139051789</v>
      </c>
      <c r="G188" s="90">
        <v>-5.9144637469003891E-2</v>
      </c>
      <c r="H188" s="12">
        <v>-2.6263786720146558</v>
      </c>
      <c r="I188" s="12">
        <v>-2.821354057106662</v>
      </c>
      <c r="J188" s="12">
        <v>0.44872277387183251</v>
      </c>
      <c r="K188" s="90">
        <v>-0.63601112349082189</v>
      </c>
      <c r="L188" s="7">
        <v>20.503003261137088</v>
      </c>
      <c r="M188" s="14">
        <v>2.4793064583006039</v>
      </c>
      <c r="N188" s="7">
        <v>-13.040138139051789</v>
      </c>
      <c r="O188" s="7">
        <v>-5.9144637469003891E-2</v>
      </c>
      <c r="P188" s="7">
        <v>-0.63601112349082189</v>
      </c>
      <c r="S188" s="99">
        <v>1.529950855238732E-2</v>
      </c>
      <c r="U188" s="117">
        <f>C188*S188</f>
        <v>-0.21204928294827272</v>
      </c>
      <c r="V188" s="117">
        <f>(1+S188)*R187*(1-U188)+S188</f>
        <v>-0.21039171238974369</v>
      </c>
      <c r="W188" s="117">
        <f>V188+I188/3</f>
        <v>-1.150843064758631</v>
      </c>
      <c r="X188" s="117">
        <f>V188+I188/5</f>
        <v>-0.77466252381107603</v>
      </c>
      <c r="Y188" s="117"/>
      <c r="AA188" s="117"/>
    </row>
    <row r="189" spans="1:27" x14ac:dyDescent="0.2">
      <c r="B189" t="s">
        <v>34</v>
      </c>
      <c r="C189" s="143">
        <v>2.7139022040146479</v>
      </c>
      <c r="D189" s="90">
        <v>2.10629991289353</v>
      </c>
      <c r="E189" s="12">
        <v>0.22388510913263501</v>
      </c>
      <c r="F189" s="90">
        <v>3.9885813819631601</v>
      </c>
      <c r="G189" s="90">
        <v>0.46968500783222478</v>
      </c>
      <c r="H189" s="12">
        <v>-3.4832114866685471E-2</v>
      </c>
      <c r="I189" s="12">
        <v>9.6999544809155402E-2</v>
      </c>
      <c r="J189" s="12">
        <v>0.23387505366274541</v>
      </c>
      <c r="K189" s="90">
        <v>1.8936436153025551</v>
      </c>
      <c r="L189" s="7">
        <v>2.10629991289353</v>
      </c>
      <c r="M189" s="14">
        <v>0.22388510913263501</v>
      </c>
      <c r="N189" s="7">
        <v>3.9885813819631601</v>
      </c>
      <c r="O189" s="7">
        <v>0.46968500783222478</v>
      </c>
      <c r="P189" s="7">
        <v>1.8936436153025551</v>
      </c>
      <c r="W189" s="117">
        <f>V187+I189/3</f>
        <v>6.1407738318615096E-2</v>
      </c>
      <c r="X189" s="117">
        <f>V187+I189/5</f>
        <v>4.8474465677394385E-2</v>
      </c>
      <c r="Y189" s="117"/>
      <c r="AA189" s="117"/>
    </row>
    <row r="190" spans="1:27" x14ac:dyDescent="0.2">
      <c r="B190" t="s">
        <v>35</v>
      </c>
      <c r="C190" s="144">
        <v>2.5419063060543099</v>
      </c>
      <c r="D190" s="90">
        <v>1.511480626639532</v>
      </c>
      <c r="E190" s="12">
        <v>0.40537516153152919</v>
      </c>
      <c r="F190" s="90">
        <v>2.6285427657341862</v>
      </c>
      <c r="G190" s="90">
        <v>3.4083262421405802E-2</v>
      </c>
      <c r="H190" s="12">
        <v>-0.27721034476192652</v>
      </c>
      <c r="I190" s="12">
        <v>-0.17872340710824491</v>
      </c>
      <c r="J190" s="12">
        <v>-9.6348869766261114E-2</v>
      </c>
      <c r="K190" s="90">
        <v>1.7390515759227521</v>
      </c>
      <c r="L190" s="7">
        <v>1.511480626639532</v>
      </c>
      <c r="M190" s="14">
        <v>0.40537516153152919</v>
      </c>
      <c r="N190" s="7">
        <v>2.6285427657341862</v>
      </c>
      <c r="O190" s="7">
        <v>3.4083262421405802E-2</v>
      </c>
      <c r="P190" s="7">
        <v>1.7390515759227521</v>
      </c>
      <c r="W190" s="117">
        <f>V188+I190/3</f>
        <v>-0.26996618142582535</v>
      </c>
      <c r="X190" s="117">
        <f>V188+I190/5</f>
        <v>-0.24613639381139268</v>
      </c>
      <c r="Y190" s="117"/>
      <c r="AA190" s="117"/>
    </row>
    <row r="191" spans="1:27" x14ac:dyDescent="0.2">
      <c r="C191" s="101"/>
      <c r="D191" s="90"/>
      <c r="F191" s="90"/>
      <c r="G191" s="90"/>
      <c r="K191" s="90"/>
      <c r="L191" s="7"/>
      <c r="N191" s="7"/>
      <c r="O191" s="7"/>
      <c r="P191" s="7"/>
      <c r="AA191" s="117"/>
    </row>
    <row r="192" spans="1:27" x14ac:dyDescent="0.2">
      <c r="A192" s="33" t="s">
        <v>251</v>
      </c>
      <c r="B192" t="s">
        <v>30</v>
      </c>
      <c r="C192" s="144">
        <v>284.1771630797428</v>
      </c>
      <c r="D192" s="90">
        <v>15.44757659528975</v>
      </c>
      <c r="E192" s="12">
        <v>0.94564103452973447</v>
      </c>
      <c r="F192" s="90">
        <v>322.9066165798028</v>
      </c>
      <c r="G192" s="90">
        <v>0.13628629788661861</v>
      </c>
      <c r="H192" s="12">
        <v>-0.92057075891978135</v>
      </c>
      <c r="I192" s="12">
        <v>-0.88917134552015809</v>
      </c>
      <c r="J192" s="12">
        <v>-0.83061522464035487</v>
      </c>
      <c r="K192" s="90">
        <v>20.90338342638567</v>
      </c>
      <c r="L192" s="7">
        <v>15.44757659528975</v>
      </c>
      <c r="M192" s="14">
        <v>0.94564103452973447</v>
      </c>
      <c r="N192" s="7">
        <v>322.9066165798028</v>
      </c>
      <c r="O192" s="7">
        <v>0.13628629788661861</v>
      </c>
      <c r="P192" s="7">
        <v>20.90338342638567</v>
      </c>
      <c r="Q192" s="99">
        <v>1.290196181897392E-2</v>
      </c>
      <c r="R192" s="99">
        <v>-7.4417496737019959E-2</v>
      </c>
      <c r="S192" s="99">
        <v>5.7760253157484931E-3</v>
      </c>
      <c r="U192" s="117">
        <f>C192*S192</f>
        <v>1.6414144881061823</v>
      </c>
      <c r="V192" s="117">
        <f>(1+S192)*Q192*(1-U192)+S192</f>
        <v>-2.5472794476760841E-3</v>
      </c>
      <c r="W192" s="117">
        <f>V192+I192/3</f>
        <v>-0.29893772795439544</v>
      </c>
      <c r="X192" s="117">
        <f>V192+I192/5</f>
        <v>-0.18038154855170768</v>
      </c>
      <c r="Y192" s="117"/>
      <c r="AA192" s="36"/>
    </row>
    <row r="193" spans="1:27" x14ac:dyDescent="0.2">
      <c r="A193" t="s">
        <v>366</v>
      </c>
      <c r="B193" t="s">
        <v>32</v>
      </c>
      <c r="C193" s="144">
        <v>-39.132257280260767</v>
      </c>
      <c r="D193" s="90">
        <v>16.438293349530291</v>
      </c>
      <c r="E193" s="12">
        <v>1.420070154190215</v>
      </c>
      <c r="F193" s="90">
        <v>-17.432952232717351</v>
      </c>
      <c r="G193" s="90">
        <v>-0.55451196929774504</v>
      </c>
      <c r="H193" s="12">
        <v>-2.044498647988219</v>
      </c>
      <c r="I193" s="12">
        <v>-2.7593699821620659</v>
      </c>
      <c r="J193" s="12">
        <v>1.480365975578573</v>
      </c>
      <c r="K193" s="90">
        <v>-1.060508646611753</v>
      </c>
      <c r="L193" s="7">
        <v>25.03799257311822</v>
      </c>
      <c r="M193" s="14">
        <v>1.639830010157578</v>
      </c>
      <c r="N193" s="7">
        <v>-17.432952232717351</v>
      </c>
      <c r="O193" s="7">
        <v>-0.55451196929774504</v>
      </c>
      <c r="P193" s="7">
        <v>-0.69625998097922825</v>
      </c>
      <c r="S193" s="99">
        <v>2.458402717545812E-3</v>
      </c>
      <c r="U193" s="117">
        <f>C193*S193</f>
        <v>-9.6202847641494948E-2</v>
      </c>
      <c r="V193" s="117">
        <f>(1+S193)*R192*(1-U193)+S193</f>
        <v>-7.9318817431660707E-2</v>
      </c>
      <c r="W193" s="117">
        <f>V193+I193/3</f>
        <v>-0.99910881148568265</v>
      </c>
      <c r="X193" s="117">
        <f>V193+I193/5</f>
        <v>-0.63119281386407389</v>
      </c>
      <c r="Y193" s="117"/>
      <c r="AA193" s="117"/>
    </row>
    <row r="194" spans="1:27" x14ac:dyDescent="0.2">
      <c r="B194" t="s">
        <v>34</v>
      </c>
      <c r="C194" s="146">
        <v>3.666442907879166</v>
      </c>
      <c r="D194" s="90">
        <v>2.0648826468925598</v>
      </c>
      <c r="E194" s="12">
        <v>0.43681581882670578</v>
      </c>
      <c r="F194" s="90">
        <v>6.3629745872870851</v>
      </c>
      <c r="G194" s="90">
        <v>0.73546261244463573</v>
      </c>
      <c r="H194" s="12">
        <v>-0.25622926019726061</v>
      </c>
      <c r="I194" s="12">
        <v>-0.13660779181307589</v>
      </c>
      <c r="J194" s="12">
        <v>8.5482556307414193E-2</v>
      </c>
      <c r="K194" s="90">
        <v>3.081518747257971</v>
      </c>
      <c r="L194" s="7">
        <v>2.0648826468925598</v>
      </c>
      <c r="M194" s="14">
        <v>0.43681581882670578</v>
      </c>
      <c r="N194" s="7">
        <v>6.0932493311473568</v>
      </c>
      <c r="O194" s="7">
        <v>0.66189668958242764</v>
      </c>
      <c r="P194" s="7">
        <v>2.9508937664409558</v>
      </c>
      <c r="W194" s="117">
        <f>V192+I194/3</f>
        <v>-4.8083210052034711E-2</v>
      </c>
      <c r="X194" s="117">
        <f>V192+I194/5</f>
        <v>-2.986883781029126E-2</v>
      </c>
      <c r="Y194" s="117"/>
      <c r="AA194" s="117"/>
    </row>
    <row r="195" spans="1:27" x14ac:dyDescent="0.2">
      <c r="B195" t="s">
        <v>35</v>
      </c>
      <c r="C195" s="143">
        <v>2.912124628466032</v>
      </c>
      <c r="D195" s="90">
        <v>1.689407159047664</v>
      </c>
      <c r="E195" s="12">
        <v>0.41987127112153738</v>
      </c>
      <c r="F195" s="90">
        <v>7.5059865188312243</v>
      </c>
      <c r="G195" s="90">
        <v>1.5774949483480789</v>
      </c>
      <c r="H195" s="12">
        <v>-0.25197895671038112</v>
      </c>
      <c r="I195" s="12">
        <v>2.1706683055977779E-2</v>
      </c>
      <c r="J195" s="12">
        <v>0.42362001781311132</v>
      </c>
      <c r="K195" s="90">
        <v>4.4429707064000041</v>
      </c>
      <c r="L195" s="7">
        <v>1.689407159047664</v>
      </c>
      <c r="M195" s="14">
        <v>0.41987127112153738</v>
      </c>
      <c r="N195" s="7">
        <v>3.2046078463419172</v>
      </c>
      <c r="O195" s="7">
        <v>0.1004363669799226</v>
      </c>
      <c r="P195" s="7">
        <v>1.896883074739891</v>
      </c>
      <c r="W195" s="117">
        <f>V193+I195/3</f>
        <v>-7.2083256413001451E-2</v>
      </c>
      <c r="X195" s="117">
        <f>V193+I195/5</f>
        <v>-7.4977480820465153E-2</v>
      </c>
      <c r="Y195" s="117"/>
      <c r="AA195" s="117"/>
    </row>
    <row r="196" spans="1:27" x14ac:dyDescent="0.2">
      <c r="C196" s="101"/>
      <c r="D196" s="90"/>
      <c r="F196" s="90"/>
      <c r="G196" s="90"/>
      <c r="K196" s="90"/>
      <c r="L196" s="7"/>
      <c r="N196" s="7"/>
      <c r="O196" s="7"/>
      <c r="P196" s="7"/>
      <c r="AA196" s="117"/>
    </row>
    <row r="197" spans="1:27" x14ac:dyDescent="0.2">
      <c r="A197" t="s">
        <v>367</v>
      </c>
      <c r="B197" t="s">
        <v>30</v>
      </c>
      <c r="C197" s="145">
        <v>-19.83608663396819</v>
      </c>
      <c r="D197" s="90">
        <v>25.87707487370605</v>
      </c>
      <c r="E197" s="12">
        <v>2.3045453647794121</v>
      </c>
      <c r="F197" s="90">
        <v>-8.8512804083947483</v>
      </c>
      <c r="G197" s="90">
        <v>-0.55377889945099223</v>
      </c>
      <c r="H197" s="12">
        <v>-4.2936002738438708</v>
      </c>
      <c r="I197" s="12">
        <v>-7.1172418627804186</v>
      </c>
      <c r="J197" s="12">
        <v>-5.835534604106829E-2</v>
      </c>
      <c r="K197" s="90">
        <v>-0.3420510413790479</v>
      </c>
      <c r="L197" s="7">
        <v>25.87707487370605</v>
      </c>
      <c r="M197" s="14">
        <v>2.3045453647794121</v>
      </c>
      <c r="N197" s="7">
        <v>-8.8512804083947483</v>
      </c>
      <c r="O197" s="7">
        <v>-0.55377889945099223</v>
      </c>
      <c r="P197" s="7">
        <v>-0.3420510413790479</v>
      </c>
      <c r="Q197" s="99">
        <v>-0.1717376196288882</v>
      </c>
      <c r="R197" s="99">
        <v>-0.24531414315329361</v>
      </c>
      <c r="S197" s="99">
        <v>3.297648349818689E-3</v>
      </c>
      <c r="U197" s="117">
        <f>C197*S197</f>
        <v>-6.5412438355365754E-2</v>
      </c>
      <c r="V197" s="117">
        <f>(1+S197)*Q197*(1-U197)+S197</f>
        <v>-0.18027712305870897</v>
      </c>
      <c r="W197" s="117">
        <f>V197+I197/3</f>
        <v>-2.5526910773188485</v>
      </c>
      <c r="X197" s="117">
        <f>V197+I197/5</f>
        <v>-1.6037254956147928</v>
      </c>
      <c r="Y197" s="117"/>
      <c r="AA197" s="117"/>
    </row>
    <row r="198" spans="1:27" x14ac:dyDescent="0.2">
      <c r="A198" t="s">
        <v>368</v>
      </c>
      <c r="B198" t="s">
        <v>32</v>
      </c>
      <c r="C198" s="145">
        <v>-15.353479506179189</v>
      </c>
      <c r="D198" s="90">
        <v>28.999369616548162</v>
      </c>
      <c r="E198" s="12">
        <v>2.888781601908351</v>
      </c>
      <c r="F198" s="90">
        <v>-0.99926287570021533</v>
      </c>
      <c r="G198" s="90">
        <v>-0.93491619438459861</v>
      </c>
      <c r="H198" s="12">
        <v>-5.9859867269782141</v>
      </c>
      <c r="I198" s="12">
        <v>-10.42712893549546</v>
      </c>
      <c r="J198" s="12">
        <v>-0.37387523719852689</v>
      </c>
      <c r="K198" s="90">
        <v>-3.4458089569298689E-2</v>
      </c>
      <c r="L198" s="7">
        <v>28.999369616548162</v>
      </c>
      <c r="M198" s="14">
        <v>2.888781601908351</v>
      </c>
      <c r="N198" s="7">
        <v>-0.99926287570021533</v>
      </c>
      <c r="O198" s="7">
        <v>-0.93491619438459861</v>
      </c>
      <c r="P198" s="7">
        <v>-3.4458089569298689E-2</v>
      </c>
      <c r="S198" s="99">
        <v>2.7984821188660552E-3</v>
      </c>
      <c r="U198" s="117">
        <f>C198*S198</f>
        <v>-4.2966437860418892E-2</v>
      </c>
      <c r="V198" s="117">
        <f>(1+S198)*R197*(1-U198)+S198</f>
        <v>-0.2537719399364271</v>
      </c>
      <c r="W198" s="117">
        <f>V198+I198/3</f>
        <v>-3.7294815851015803</v>
      </c>
      <c r="X198" s="117">
        <f>V198+I198/5</f>
        <v>-2.3391977270355193</v>
      </c>
      <c r="Y198" s="117"/>
      <c r="AA198" s="117"/>
    </row>
    <row r="199" spans="1:27" x14ac:dyDescent="0.2">
      <c r="B199" t="s">
        <v>34</v>
      </c>
      <c r="C199" s="143">
        <v>3.4066023012701021</v>
      </c>
      <c r="D199" s="90">
        <v>1.948655386889008</v>
      </c>
      <c r="E199" s="12">
        <v>0.42797684773403682</v>
      </c>
      <c r="F199" s="90">
        <v>13.40298982971871</v>
      </c>
      <c r="G199" s="90">
        <v>2.934415773957999</v>
      </c>
      <c r="H199" s="12">
        <v>-0.1119823699205453</v>
      </c>
      <c r="I199" s="12">
        <v>0.30358206769257512</v>
      </c>
      <c r="J199" s="12">
        <v>0.73509641305117057</v>
      </c>
      <c r="K199" s="90">
        <v>6.8780708584478507</v>
      </c>
      <c r="L199" s="7">
        <v>2.3477038609154031</v>
      </c>
      <c r="M199" s="14">
        <v>0.31083711766410321</v>
      </c>
      <c r="N199" s="7">
        <v>5.9147168004158486</v>
      </c>
      <c r="O199" s="7">
        <v>0.73625104351354231</v>
      </c>
      <c r="P199" s="7">
        <v>2.5193623858971801</v>
      </c>
      <c r="W199" s="117">
        <f>V197+I199/3</f>
        <v>-7.9083100494517264E-2</v>
      </c>
      <c r="X199" s="117">
        <f>V197+I199/5</f>
        <v>-0.11956070952019394</v>
      </c>
      <c r="Y199" s="117"/>
      <c r="AA199" s="117"/>
    </row>
    <row r="200" spans="1:27" x14ac:dyDescent="0.2">
      <c r="B200" t="s">
        <v>35</v>
      </c>
      <c r="C200" s="143">
        <v>3.766425669480002</v>
      </c>
      <c r="D200" s="90">
        <v>2.1260173601705969</v>
      </c>
      <c r="E200" s="12">
        <v>0.43553449696403579</v>
      </c>
      <c r="F200" s="90">
        <v>-2.0765883063495489</v>
      </c>
      <c r="G200" s="90">
        <v>-1.5513419057162079</v>
      </c>
      <c r="H200" s="12">
        <v>-0.15574523050102329</v>
      </c>
      <c r="I200" s="12">
        <v>0.1772701862824537</v>
      </c>
      <c r="J200" s="12">
        <v>0.84563575390068513</v>
      </c>
      <c r="K200" s="90">
        <v>-0.97675039971588862</v>
      </c>
      <c r="L200" s="7">
        <v>2.1879416123739288</v>
      </c>
      <c r="M200" s="14">
        <v>0.41909337807906349</v>
      </c>
      <c r="N200" s="7">
        <v>-2.0765883063495489</v>
      </c>
      <c r="O200" s="7">
        <v>-1.5513419057162079</v>
      </c>
      <c r="P200" s="7">
        <v>-0.94910590602846989</v>
      </c>
      <c r="W200" s="117">
        <f>V198+I200/3</f>
        <v>-0.19468187784227586</v>
      </c>
      <c r="X200" s="117">
        <f>V198+I200/5</f>
        <v>-0.21831790267993637</v>
      </c>
      <c r="Y200" s="117"/>
      <c r="AA200" s="117"/>
    </row>
    <row r="201" spans="1:27" x14ac:dyDescent="0.2">
      <c r="C201" s="101"/>
      <c r="D201" s="90"/>
      <c r="F201" s="90"/>
      <c r="G201" s="90"/>
      <c r="K201" s="90"/>
      <c r="L201" s="7"/>
      <c r="N201" s="7"/>
      <c r="O201" s="7"/>
      <c r="P201" s="7"/>
      <c r="AA201" s="117"/>
    </row>
    <row r="202" spans="1:27" x14ac:dyDescent="0.2">
      <c r="A202" s="128" t="s">
        <v>369</v>
      </c>
      <c r="B202" t="s">
        <v>30</v>
      </c>
      <c r="C202" s="146">
        <v>58.01643893118861</v>
      </c>
      <c r="D202" s="90">
        <v>18.343072456690312</v>
      </c>
      <c r="E202" s="12">
        <v>0.68382974214521464</v>
      </c>
      <c r="F202" s="90">
        <v>-77.090752792987985</v>
      </c>
      <c r="G202" s="90">
        <v>-2.3287742959271038</v>
      </c>
      <c r="H202" s="12">
        <v>-0.45008189467403942</v>
      </c>
      <c r="I202" s="12">
        <v>-0.22839558339126359</v>
      </c>
      <c r="J202" s="12">
        <v>7.5413172871575807</v>
      </c>
      <c r="K202" s="90">
        <v>-4.2027175640834642</v>
      </c>
      <c r="L202" s="7">
        <v>18.343072456690312</v>
      </c>
      <c r="M202" s="14">
        <v>0.68382974214521464</v>
      </c>
      <c r="N202" s="7">
        <v>-77.090752792987985</v>
      </c>
      <c r="O202" s="7">
        <v>-2.3287742959271038</v>
      </c>
      <c r="P202" s="7">
        <v>-4.2027175640834642</v>
      </c>
      <c r="Q202" s="99">
        <v>3.2482655042830419E-2</v>
      </c>
      <c r="R202" s="99">
        <v>-3.8276859838293577E-2</v>
      </c>
      <c r="S202" s="99">
        <v>1.6460760076469481E-2</v>
      </c>
      <c r="U202" s="117">
        <f>C202*S202</f>
        <v>0.95499468173743918</v>
      </c>
      <c r="V202" s="117">
        <f>(1+S202)*Q202*(1-U202)+S202</f>
        <v>1.7946716161911354E-2</v>
      </c>
      <c r="W202" s="117">
        <f>V202+I202/3</f>
        <v>-5.8185144968509843E-2</v>
      </c>
      <c r="X202" s="117">
        <f>V202+I202/5</f>
        <v>-2.7732400516341363E-2</v>
      </c>
      <c r="Y202" s="117"/>
      <c r="AA202" s="117"/>
    </row>
    <row r="203" spans="1:27" x14ac:dyDescent="0.2">
      <c r="A203" t="s">
        <v>370</v>
      </c>
      <c r="B203" t="s">
        <v>32</v>
      </c>
      <c r="C203" s="145">
        <v>-52.734938645371358</v>
      </c>
      <c r="D203" s="90">
        <v>27.325690383682261</v>
      </c>
      <c r="E203" s="12">
        <v>1.518170516276512</v>
      </c>
      <c r="F203" s="90">
        <v>-6.2798475307409856</v>
      </c>
      <c r="G203" s="90">
        <v>-0.88091675666921099</v>
      </c>
      <c r="H203" s="12">
        <v>-1.800018291120947</v>
      </c>
      <c r="I203" s="12">
        <v>-2.249241588937974</v>
      </c>
      <c r="J203" s="12">
        <v>-0.60367701874980706</v>
      </c>
      <c r="K203" s="90">
        <v>-0.22981478025129951</v>
      </c>
      <c r="L203" s="7">
        <v>27.650916234706159</v>
      </c>
      <c r="M203" s="14">
        <v>1.524337696126876</v>
      </c>
      <c r="N203" s="7">
        <v>-6.2798475307409856</v>
      </c>
      <c r="O203" s="7">
        <v>-0.88091675666921099</v>
      </c>
      <c r="P203" s="7">
        <v>-0.22711173392723999</v>
      </c>
      <c r="S203" s="99">
        <v>9.4759260121571147E-3</v>
      </c>
      <c r="U203" s="117">
        <f>C203*S203</f>
        <v>-0.4997123768591839</v>
      </c>
      <c r="V203" s="117">
        <f>(1+S203)*R202*(1-U203)+S203</f>
        <v>-4.8472313148930912E-2</v>
      </c>
      <c r="W203" s="117">
        <f>V203+I203/3</f>
        <v>-0.79821950946158893</v>
      </c>
      <c r="X203" s="117">
        <f>V203+I203/5</f>
        <v>-0.49832063093652573</v>
      </c>
      <c r="Y203" s="117"/>
      <c r="AA203" s="117"/>
    </row>
    <row r="204" spans="1:27" x14ac:dyDescent="0.2">
      <c r="B204" t="s">
        <v>34</v>
      </c>
      <c r="C204" s="145">
        <v>1.8845279726152371</v>
      </c>
      <c r="D204" s="90">
        <v>1.4841474590281849</v>
      </c>
      <c r="E204" s="12">
        <v>0.21245665726650231</v>
      </c>
      <c r="F204" s="90">
        <v>8.0800645905995587</v>
      </c>
      <c r="G204" s="90">
        <v>3.2875800773530162</v>
      </c>
      <c r="H204" s="12">
        <v>1.798281951991054E-3</v>
      </c>
      <c r="I204" s="12">
        <v>0.53799142480332507</v>
      </c>
      <c r="J204" s="12">
        <v>1.252591398200062</v>
      </c>
      <c r="K204" s="90">
        <v>5.4442464874011636</v>
      </c>
      <c r="L204" s="7">
        <v>1.4841474590281849</v>
      </c>
      <c r="M204" s="14">
        <v>0.21245665726650231</v>
      </c>
      <c r="N204" s="7">
        <v>3.0255781428018071</v>
      </c>
      <c r="O204" s="7">
        <v>0.6054832757950992</v>
      </c>
      <c r="P204" s="7">
        <v>2.0385967205596578</v>
      </c>
      <c r="W204" s="117">
        <f>V202+I204/3</f>
        <v>0.19727719109635303</v>
      </c>
      <c r="X204" s="117">
        <f>V202+I204/5</f>
        <v>0.12554500112257636</v>
      </c>
      <c r="Y204" s="117"/>
      <c r="AA204" s="117"/>
    </row>
    <row r="205" spans="1:27" x14ac:dyDescent="0.2">
      <c r="B205" t="s">
        <v>35</v>
      </c>
      <c r="C205" s="143">
        <v>2.0185278551098911</v>
      </c>
      <c r="D205" s="90">
        <v>1.3474972382702179</v>
      </c>
      <c r="E205" s="12">
        <v>0.33243564865402447</v>
      </c>
      <c r="F205" s="90">
        <v>7.7932827321034397</v>
      </c>
      <c r="G205" s="90">
        <v>2.8608745043447339</v>
      </c>
      <c r="H205" s="12">
        <v>-9.8118590599757471E-2</v>
      </c>
      <c r="I205" s="12">
        <v>0.20975162303429151</v>
      </c>
      <c r="J205" s="12">
        <v>0.94136522259581645</v>
      </c>
      <c r="K205" s="90">
        <v>5.7835240850717282</v>
      </c>
      <c r="L205" s="7">
        <v>1.3474972382702179</v>
      </c>
      <c r="M205" s="14">
        <v>0.33243564865402447</v>
      </c>
      <c r="N205" s="7">
        <v>2.4975241231455012</v>
      </c>
      <c r="O205" s="7">
        <v>0.23729980580799709</v>
      </c>
      <c r="P205" s="7">
        <v>1.8534539828456891</v>
      </c>
      <c r="W205" s="117">
        <f>V203+I205/3</f>
        <v>2.1444894529166258E-2</v>
      </c>
      <c r="X205" s="117">
        <f>V203+I205/5</f>
        <v>-6.5219885420726084E-3</v>
      </c>
      <c r="Y205" s="117"/>
      <c r="AA205" s="117"/>
    </row>
    <row r="206" spans="1:27" x14ac:dyDescent="0.2">
      <c r="C206" s="101"/>
      <c r="D206" s="90"/>
      <c r="F206" s="90"/>
      <c r="G206" s="90"/>
      <c r="K206" s="90"/>
      <c r="L206" s="7"/>
      <c r="N206" s="7"/>
      <c r="O206" s="7"/>
      <c r="P206" s="7"/>
      <c r="AA206" s="117"/>
    </row>
    <row r="207" spans="1:27" x14ac:dyDescent="0.2">
      <c r="A207" t="s">
        <v>371</v>
      </c>
      <c r="B207" t="s">
        <v>30</v>
      </c>
      <c r="C207" s="145">
        <v>-35.21442897736241</v>
      </c>
      <c r="D207" s="90">
        <v>11.58629004990858</v>
      </c>
      <c r="E207">
        <v>1.329021096930376</v>
      </c>
      <c r="F207" s="90">
        <v>-31.052136779153422</v>
      </c>
      <c r="G207" s="90">
        <v>-0.1181984862195186</v>
      </c>
      <c r="H207">
        <v>-1.512189007163234</v>
      </c>
      <c r="I207">
        <v>-1.8506889877380439</v>
      </c>
      <c r="J207">
        <v>-2.2025478281780368</v>
      </c>
      <c r="K207" s="90">
        <v>-2.680075903968798</v>
      </c>
      <c r="L207" s="7">
        <v>11.58629004990858</v>
      </c>
      <c r="M207">
        <v>1.329021096930376</v>
      </c>
      <c r="N207" s="7">
        <v>-31.052136779153422</v>
      </c>
      <c r="O207" s="7">
        <v>-0.1181984862195186</v>
      </c>
      <c r="P207" s="7">
        <v>-2.680075903968798</v>
      </c>
      <c r="Q207" s="99">
        <v>-3.1896764469606251E-2</v>
      </c>
      <c r="R207" s="99">
        <v>-6.4507127060884784E-3</v>
      </c>
      <c r="S207" s="99">
        <v>3.914144993094692E-3</v>
      </c>
      <c r="U207" s="117">
        <f>C207*S207</f>
        <v>-0.13783438086643171</v>
      </c>
      <c r="V207" s="117">
        <f>(1+S207)*Q207*(1-U207)+S207</f>
        <v>-3.2521147243866629E-2</v>
      </c>
      <c r="W207" s="117">
        <f>V207+I207/3</f>
        <v>-0.64941747648988135</v>
      </c>
      <c r="X207" s="117">
        <f>V207+I207/5</f>
        <v>-0.4026589447914754</v>
      </c>
      <c r="Y207" s="117"/>
      <c r="AA207" s="117"/>
    </row>
    <row r="208" spans="1:27" x14ac:dyDescent="0.2">
      <c r="A208" t="s">
        <v>372</v>
      </c>
      <c r="B208" t="s">
        <v>32</v>
      </c>
      <c r="C208" s="145">
        <v>-215.78016589546749</v>
      </c>
      <c r="D208" s="90">
        <v>18.181266827850401</v>
      </c>
      <c r="E208">
        <v>1.0842582855212839</v>
      </c>
      <c r="F208" s="90">
        <v>-159.80401040650241</v>
      </c>
      <c r="G208" s="90">
        <v>-0.25941288559432368</v>
      </c>
      <c r="H208">
        <v>-1.151970802499646</v>
      </c>
      <c r="I208">
        <v>-1.1995604527664481</v>
      </c>
      <c r="J208">
        <v>-1.2695649571015279</v>
      </c>
      <c r="K208" s="90">
        <v>-8.7894871088802056</v>
      </c>
      <c r="L208" s="7">
        <v>18.181266827850401</v>
      </c>
      <c r="M208">
        <v>1.0842582855212839</v>
      </c>
      <c r="N208" s="7">
        <v>-159.80401040650241</v>
      </c>
      <c r="O208" s="7">
        <v>-0.25941288559432368</v>
      </c>
      <c r="P208" s="7">
        <v>-8.7894871088802056</v>
      </c>
      <c r="S208" s="99">
        <v>5.132622639212805E-3</v>
      </c>
      <c r="U208" s="117">
        <f>C208*S208</f>
        <v>-1.1075181645681713</v>
      </c>
      <c r="V208" s="117">
        <f>(1+S208)*R207*(1-U208)+S208</f>
        <v>-8.5321495383030438E-3</v>
      </c>
      <c r="W208" s="117">
        <f>V208+I208/3</f>
        <v>-0.40838563379378573</v>
      </c>
      <c r="X208" s="117">
        <f>V208+I208/5</f>
        <v>-0.24844424009159266</v>
      </c>
      <c r="Y208" s="117"/>
      <c r="AA208" s="117"/>
    </row>
    <row r="209" spans="1:27" x14ac:dyDescent="0.2">
      <c r="B209" t="s">
        <v>34</v>
      </c>
      <c r="C209" s="143">
        <v>1.123226347022606</v>
      </c>
      <c r="D209" s="90">
        <v>0.78394908647871031</v>
      </c>
      <c r="E209">
        <v>0.3020560027310929</v>
      </c>
      <c r="F209" s="90">
        <v>4.0792845311493737</v>
      </c>
      <c r="G209" s="90">
        <v>2.6317564504808351</v>
      </c>
      <c r="H209">
        <v>-7.8400301707874376E-2</v>
      </c>
      <c r="I209">
        <v>0.1168296724928386</v>
      </c>
      <c r="J209">
        <v>0.62373663639942145</v>
      </c>
      <c r="K209" s="90">
        <v>5.2035069643009972</v>
      </c>
      <c r="L209" s="7">
        <v>0.78394908647871031</v>
      </c>
      <c r="M209">
        <v>0.3020560027310929</v>
      </c>
      <c r="N209" s="7">
        <v>1.3803458765242951</v>
      </c>
      <c r="O209" s="7">
        <v>0.22891159042275769</v>
      </c>
      <c r="P209" s="7">
        <v>1.760759595657468</v>
      </c>
      <c r="W209" s="117">
        <f>V207+I209/3</f>
        <v>6.4220769204129044E-3</v>
      </c>
      <c r="X209" s="117">
        <f>V207+I209/5</f>
        <v>-9.1552127452989088E-3</v>
      </c>
      <c r="Y209" s="117"/>
      <c r="AA209" s="117"/>
    </row>
    <row r="210" spans="1:27" x14ac:dyDescent="0.2">
      <c r="B210" t="s">
        <v>35</v>
      </c>
      <c r="C210" s="145">
        <v>1.3919358578637719</v>
      </c>
      <c r="D210" s="90">
        <v>1.1218095781031541</v>
      </c>
      <c r="E210">
        <v>0.1940651778129959</v>
      </c>
      <c r="F210" s="90">
        <v>5.3842565169307122</v>
      </c>
      <c r="G210" s="90">
        <v>2.86817861362809</v>
      </c>
      <c r="H210">
        <v>7.4529798441858031E-2</v>
      </c>
      <c r="I210">
        <v>0.21159878509133501</v>
      </c>
      <c r="J210">
        <v>0.77141058666335427</v>
      </c>
      <c r="K210" s="90">
        <v>4.7996171739189872</v>
      </c>
      <c r="L210" s="7">
        <v>1.1218095781031541</v>
      </c>
      <c r="M210">
        <v>0.1940651778129959</v>
      </c>
      <c r="N210" s="7">
        <v>2.1519681715558492</v>
      </c>
      <c r="O210" s="7">
        <v>0.54602538572324155</v>
      </c>
      <c r="P210" s="7">
        <v>1.9183007647292249</v>
      </c>
      <c r="W210" s="117">
        <f>V208+I210/3</f>
        <v>6.2000778825475292E-2</v>
      </c>
      <c r="X210" s="117">
        <f>V208+I210/5</f>
        <v>3.3787607479963955E-2</v>
      </c>
      <c r="Y210" s="117"/>
      <c r="AA210" s="117"/>
    </row>
    <row r="211" spans="1:27" x14ac:dyDescent="0.2">
      <c r="C211" s="101"/>
      <c r="D211" s="90"/>
      <c r="F211" s="90"/>
      <c r="G211" s="90"/>
      <c r="K211" s="90"/>
      <c r="L211" s="7"/>
      <c r="N211" s="7"/>
      <c r="O211" s="7"/>
      <c r="P211" s="7"/>
      <c r="AA211" s="117"/>
    </row>
    <row r="212" spans="1:27" x14ac:dyDescent="0.2">
      <c r="A212" t="s">
        <v>373</v>
      </c>
      <c r="B212" t="s">
        <v>30</v>
      </c>
      <c r="C212" s="144">
        <v>-20.067588939051049</v>
      </c>
      <c r="D212" s="90">
        <v>21.441634821985001</v>
      </c>
      <c r="E212" s="12">
        <v>2.0684709003710999</v>
      </c>
      <c r="F212" s="90">
        <v>-11.43638506678</v>
      </c>
      <c r="G212" s="90">
        <v>-0.43010667093518801</v>
      </c>
      <c r="H212" s="12">
        <v>-3.2331015747891989</v>
      </c>
      <c r="I212" s="12">
        <v>-6.5736801052709266</v>
      </c>
      <c r="J212" s="12">
        <v>0.61329231168407494</v>
      </c>
      <c r="K212" s="90">
        <v>-0.53337281236847678</v>
      </c>
      <c r="L212" s="7">
        <v>30.046088828259879</v>
      </c>
      <c r="M212" s="14">
        <v>2.4972445827705241</v>
      </c>
      <c r="N212" s="7">
        <v>-11.43638506678</v>
      </c>
      <c r="O212" s="7">
        <v>-0.43010667093518801</v>
      </c>
      <c r="P212" s="7">
        <v>-0.38062807882081151</v>
      </c>
      <c r="Q212" s="99">
        <v>-0.1333643650661491</v>
      </c>
      <c r="R212" s="99">
        <v>-0.2329611531128431</v>
      </c>
      <c r="S212" s="99">
        <v>6.8591172709951522E-3</v>
      </c>
      <c r="U212" s="117">
        <f>C212*S212</f>
        <v>-0.13764594587907633</v>
      </c>
      <c r="V212" s="117">
        <f>(1+S212)*Q212*(1-U212)+S212</f>
        <v>-0.14590298704694205</v>
      </c>
      <c r="W212" s="117">
        <f>V212+I212/3</f>
        <v>-2.3371296888039175</v>
      </c>
      <c r="X212" s="117">
        <f>V212+I212/5</f>
        <v>-1.4606390081011273</v>
      </c>
      <c r="Y212" s="117"/>
      <c r="AA212" s="117"/>
    </row>
    <row r="213" spans="1:27" x14ac:dyDescent="0.2">
      <c r="A213" t="s">
        <v>374</v>
      </c>
      <c r="B213" t="s">
        <v>32</v>
      </c>
      <c r="C213" s="144">
        <v>-11.181418392388929</v>
      </c>
      <c r="D213" s="90">
        <v>21.441634908667421</v>
      </c>
      <c r="E213" s="12">
        <v>2.9176131467598521</v>
      </c>
      <c r="F213" s="90">
        <v>-4.0345741798961576</v>
      </c>
      <c r="G213" s="90">
        <v>-0.63917152204567818</v>
      </c>
      <c r="H213" s="12">
        <v>-5.0078067678952634</v>
      </c>
      <c r="I213" s="12">
        <v>-11.003231958066889</v>
      </c>
      <c r="J213" s="12">
        <v>0.17285916466711429</v>
      </c>
      <c r="K213" s="90">
        <v>-0.1881654172865917</v>
      </c>
      <c r="L213" s="7">
        <v>30.046088828259879</v>
      </c>
      <c r="M213" s="14">
        <v>3.6871446692945429</v>
      </c>
      <c r="N213" s="7">
        <v>-4.0345741798961576</v>
      </c>
      <c r="O213" s="7">
        <v>-0.63917152204567818</v>
      </c>
      <c r="P213" s="7">
        <v>-0.13427951314919351</v>
      </c>
      <c r="S213" s="99">
        <v>5.1319205249103234E-3</v>
      </c>
      <c r="U213" s="117">
        <f>C213*S213</f>
        <v>-5.7382150545510539E-2</v>
      </c>
      <c r="V213" s="117">
        <f>(1+S213)*R212*(1-U213)+S213</f>
        <v>-0.24246118521884266</v>
      </c>
      <c r="W213" s="117">
        <f>V213+I213/3</f>
        <v>-3.910205171241139</v>
      </c>
      <c r="X213" s="117">
        <f>V213+I213/5</f>
        <v>-2.4431075768322206</v>
      </c>
      <c r="Y213" s="117"/>
      <c r="AA213" s="117"/>
    </row>
    <row r="214" spans="1:27" x14ac:dyDescent="0.2">
      <c r="B214" t="s">
        <v>34</v>
      </c>
      <c r="C214" s="145">
        <v>2.6763012572650209</v>
      </c>
      <c r="D214" s="90">
        <v>1.62586327824059</v>
      </c>
      <c r="E214" s="12">
        <v>0.39249616468734172</v>
      </c>
      <c r="F214" s="90">
        <v>23.415297531743501</v>
      </c>
      <c r="G214" s="90">
        <v>7.7491262309057749</v>
      </c>
      <c r="H214" s="12">
        <v>0.13862425728611341</v>
      </c>
      <c r="I214" s="12">
        <v>1.18724954395408</v>
      </c>
      <c r="J214" s="12">
        <v>1.9587418403590371</v>
      </c>
      <c r="K214" s="90">
        <v>14.401762955789319</v>
      </c>
      <c r="L214" s="7">
        <v>1.62586327824059</v>
      </c>
      <c r="M214" s="14">
        <v>0.39249616468734172</v>
      </c>
      <c r="N214" s="7">
        <v>10.410117731101449</v>
      </c>
      <c r="O214" s="7">
        <v>2.8897406272341</v>
      </c>
      <c r="P214" s="7">
        <v>6.402824807241263</v>
      </c>
      <c r="W214" s="117">
        <f>V212+I214/3</f>
        <v>0.24984686093775127</v>
      </c>
      <c r="X214" s="117">
        <f>V212+I214/5</f>
        <v>9.1546921743873966E-2</v>
      </c>
      <c r="Y214" s="117"/>
      <c r="AA214" s="117"/>
    </row>
    <row r="215" spans="1:27" x14ac:dyDescent="0.2">
      <c r="B215" t="s">
        <v>35</v>
      </c>
      <c r="C215" s="145">
        <v>2.604836122128078</v>
      </c>
      <c r="D215" s="90">
        <v>1.62586327824059</v>
      </c>
      <c r="E215" s="12">
        <v>0.37582895736553851</v>
      </c>
      <c r="F215" s="90">
        <v>23.415297538362289</v>
      </c>
      <c r="G215" s="90">
        <v>7.9891634024303428</v>
      </c>
      <c r="H215" s="12">
        <v>1.1294530405075999E-2</v>
      </c>
      <c r="I215" s="12">
        <v>1.199758150140452</v>
      </c>
      <c r="J215" s="12">
        <v>2.0503013848933782</v>
      </c>
      <c r="K215" s="90">
        <v>14.40176295986025</v>
      </c>
      <c r="L215" s="7">
        <v>1.62586327824059</v>
      </c>
      <c r="M215" s="14">
        <v>0.37582895736553851</v>
      </c>
      <c r="N215" s="7">
        <v>10.410117731101449</v>
      </c>
      <c r="O215" s="7">
        <v>2.9964578357415741</v>
      </c>
      <c r="P215" s="7">
        <v>6.4028248072412621</v>
      </c>
      <c r="W215" s="117">
        <f>V213+I215/3</f>
        <v>0.15745819816130799</v>
      </c>
      <c r="X215" s="117">
        <f>V213+I215/5</f>
        <v>-2.5095551907522717E-3</v>
      </c>
      <c r="Y215" s="117"/>
      <c r="AA215" s="117"/>
    </row>
    <row r="216" spans="1:27" x14ac:dyDescent="0.2">
      <c r="C216" s="101"/>
      <c r="D216" s="90"/>
      <c r="F216" s="90"/>
      <c r="G216" s="90"/>
      <c r="K216" s="90"/>
      <c r="L216" s="7"/>
      <c r="N216" s="7"/>
      <c r="O216" s="7"/>
      <c r="P216" s="7"/>
      <c r="AA216" s="117"/>
    </row>
    <row r="217" spans="1:27" x14ac:dyDescent="0.2">
      <c r="A217" t="s">
        <v>255</v>
      </c>
      <c r="B217" t="s">
        <v>30</v>
      </c>
      <c r="C217" s="144">
        <v>48.02421751526002</v>
      </c>
      <c r="D217" s="90">
        <v>14.03654476150235</v>
      </c>
      <c r="E217" s="12">
        <v>0.70771944890008576</v>
      </c>
      <c r="F217" s="90">
        <v>84.884256160418744</v>
      </c>
      <c r="G217" s="90">
        <v>0.7675302285445087</v>
      </c>
      <c r="H217" s="12">
        <v>-0.62190305532896106</v>
      </c>
      <c r="I217" s="12">
        <v>-0.33564812295691021</v>
      </c>
      <c r="J217" s="12">
        <v>-5.4082614330921097E-2</v>
      </c>
      <c r="K217" s="90">
        <v>6.0473754476406816</v>
      </c>
      <c r="L217" s="7">
        <v>14.03654476150235</v>
      </c>
      <c r="M217" s="14">
        <v>0.70771944890008576</v>
      </c>
      <c r="N217" s="7">
        <v>84.884256160418744</v>
      </c>
      <c r="O217" s="7">
        <v>0.7675302285445087</v>
      </c>
      <c r="P217" s="7">
        <v>6.0473754476406816</v>
      </c>
      <c r="Q217" s="99">
        <v>2.945906152983549E-2</v>
      </c>
      <c r="R217" s="99">
        <v>2.3194336883938561E-2</v>
      </c>
      <c r="S217" s="99">
        <v>1.936207722260079E-2</v>
      </c>
      <c r="U217" s="117">
        <f>C217*S217</f>
        <v>0.9298486080854419</v>
      </c>
      <c r="V217" s="117">
        <f>(1+S217)*Q217*(1-U217)+S217</f>
        <v>2.146868494933845E-2</v>
      </c>
      <c r="W217" s="117">
        <f>V217+I217/3</f>
        <v>-9.0414022702964947E-2</v>
      </c>
      <c r="X217" s="117">
        <f>V217+I217/5</f>
        <v>-4.566093964204359E-2</v>
      </c>
      <c r="Y217" s="117"/>
      <c r="AA217" s="117"/>
    </row>
    <row r="218" spans="1:27" x14ac:dyDescent="0.2">
      <c r="A218" t="s">
        <v>375</v>
      </c>
      <c r="B218" t="s">
        <v>32</v>
      </c>
      <c r="C218" s="144">
        <v>61.962194996826078</v>
      </c>
      <c r="D218" s="90">
        <v>17.448831134419081</v>
      </c>
      <c r="E218" s="12">
        <v>0.7183955291559172</v>
      </c>
      <c r="F218" s="90">
        <v>-7.4973774052042694</v>
      </c>
      <c r="G218" s="90">
        <v>-1.1209992222772021</v>
      </c>
      <c r="H218" s="12">
        <v>-0.61972074303905522</v>
      </c>
      <c r="I218" s="12">
        <v>-0.38522939685728852</v>
      </c>
      <c r="J218" s="12">
        <v>-1.493098115651277</v>
      </c>
      <c r="K218" s="90">
        <v>-0.42967791638576569</v>
      </c>
      <c r="L218" s="7">
        <v>19.271316711277851</v>
      </c>
      <c r="M218" s="14">
        <v>0.68898266576474576</v>
      </c>
      <c r="N218" s="7">
        <v>-7.4973774052042694</v>
      </c>
      <c r="O218" s="7">
        <v>-1.1209992222772021</v>
      </c>
      <c r="P218" s="7">
        <v>-0.38904333925541762</v>
      </c>
      <c r="S218" s="99">
        <v>1.8251209640966579E-2</v>
      </c>
      <c r="U218" s="117">
        <f>C218*S218</f>
        <v>1.1308850107015234</v>
      </c>
      <c r="V218" s="117">
        <f>(1+S218)*R217*(1-U218)+S218</f>
        <v>1.5160011751159686E-2</v>
      </c>
      <c r="W218" s="117">
        <f>V218+I218/3</f>
        <v>-0.11324978720126982</v>
      </c>
      <c r="X218" s="117">
        <f>V218+I218/5</f>
        <v>-6.1885867620298025E-2</v>
      </c>
      <c r="Y218" s="117"/>
      <c r="AA218" s="117"/>
    </row>
    <row r="219" spans="1:27" x14ac:dyDescent="0.2">
      <c r="B219" t="s">
        <v>34</v>
      </c>
      <c r="C219" s="143">
        <v>1.4147483787042481</v>
      </c>
      <c r="D219" s="90">
        <v>1.0429074931150919</v>
      </c>
      <c r="E219" s="12">
        <v>0.26283181602209771</v>
      </c>
      <c r="F219" s="90">
        <v>5.3630004868747054</v>
      </c>
      <c r="G219" s="90">
        <v>2.7907804437893149</v>
      </c>
      <c r="H219" s="12">
        <v>-8.2293677712565905E-2</v>
      </c>
      <c r="I219" s="12">
        <v>0.32528222490319642</v>
      </c>
      <c r="J219" s="12">
        <v>0.77098903767701854</v>
      </c>
      <c r="K219" s="90">
        <v>5.1423549281977001</v>
      </c>
      <c r="L219" s="7">
        <v>1.0429074931150919</v>
      </c>
      <c r="M219" s="14">
        <v>0.26283181602209771</v>
      </c>
      <c r="N219" s="7">
        <v>2.1110086579495499</v>
      </c>
      <c r="O219" s="7">
        <v>0.49214424962479808</v>
      </c>
      <c r="P219" s="7">
        <v>2.0241571490143522</v>
      </c>
      <c r="W219" s="117">
        <f>V217+I219/3</f>
        <v>0.12989609325040391</v>
      </c>
      <c r="X219" s="117">
        <f>V217+I219/5</f>
        <v>8.652512992997774E-2</v>
      </c>
      <c r="Y219" s="117"/>
      <c r="AA219" s="117"/>
    </row>
    <row r="220" spans="1:27" x14ac:dyDescent="0.2">
      <c r="B220" t="s">
        <v>35</v>
      </c>
      <c r="C220" s="143">
        <v>1.437172024824676</v>
      </c>
      <c r="D220" s="90">
        <v>1.2284623822820879</v>
      </c>
      <c r="E220" s="12">
        <v>0.14522245001815201</v>
      </c>
      <c r="F220" s="90">
        <v>4.9034754553003532</v>
      </c>
      <c r="G220" s="90">
        <v>2.411891805992076</v>
      </c>
      <c r="H220" s="12">
        <v>-2.0634230833952109E-2</v>
      </c>
      <c r="I220" s="12">
        <v>0.36809464882660792</v>
      </c>
      <c r="J220" s="12">
        <v>0.83713482273361062</v>
      </c>
      <c r="K220" s="90">
        <v>3.9915552368736531</v>
      </c>
      <c r="L220" s="7">
        <v>1.2284623822820879</v>
      </c>
      <c r="M220" s="14">
        <v>0.14522245001815201</v>
      </c>
      <c r="N220" s="7">
        <v>2.293763345120984</v>
      </c>
      <c r="O220" s="7">
        <v>0.59602560131992943</v>
      </c>
      <c r="P220" s="7">
        <v>1.8671824047716541</v>
      </c>
      <c r="W220" s="117">
        <f>V218+I220/3</f>
        <v>0.13785822802669565</v>
      </c>
      <c r="X220" s="117">
        <f>V218+I220/5</f>
        <v>8.8778941516481275E-2</v>
      </c>
      <c r="Y220" s="117"/>
      <c r="AA220" s="117"/>
    </row>
    <row r="221" spans="1:27" x14ac:dyDescent="0.2">
      <c r="C221" s="101"/>
      <c r="D221" s="90"/>
      <c r="F221" s="90"/>
      <c r="G221" s="90"/>
      <c r="K221" s="90"/>
      <c r="L221" s="7"/>
      <c r="N221" s="7"/>
      <c r="O221" s="7"/>
      <c r="P221" s="7"/>
      <c r="AA221" s="117"/>
    </row>
    <row r="222" spans="1:27" x14ac:dyDescent="0.2">
      <c r="A222" t="s">
        <v>257</v>
      </c>
      <c r="B222" t="s">
        <v>30</v>
      </c>
      <c r="C222" s="145">
        <v>-8.6418261912996748</v>
      </c>
      <c r="D222" s="90">
        <v>12.631076910699489</v>
      </c>
      <c r="E222" s="12">
        <v>2.4616212628085559</v>
      </c>
      <c r="F222" s="90">
        <v>-6.6430475536517584</v>
      </c>
      <c r="G222" s="90">
        <v>-0.23129123328819379</v>
      </c>
      <c r="H222" s="12">
        <v>-4.1053209317155721</v>
      </c>
      <c r="I222" s="12">
        <v>-6.5145752291963932</v>
      </c>
      <c r="J222" s="12">
        <v>-14.1585194257102</v>
      </c>
      <c r="K222" s="90">
        <v>-0.52592883414593017</v>
      </c>
      <c r="L222" s="7">
        <v>12.631076910699489</v>
      </c>
      <c r="M222" s="14">
        <v>2.4616212628085559</v>
      </c>
      <c r="N222" s="7">
        <v>-6.6430475536517584</v>
      </c>
      <c r="O222" s="7">
        <v>-0.23129123328819379</v>
      </c>
      <c r="P222" s="7">
        <v>-0.52592883414593017</v>
      </c>
      <c r="Q222" s="99">
        <v>-0.1340648236854563</v>
      </c>
      <c r="R222" s="99">
        <v>-7.7022302622532998E-2</v>
      </c>
      <c r="S222" s="99">
        <v>1.594404586062128E-2</v>
      </c>
      <c r="U222" s="117">
        <f>C222*S222</f>
        <v>-0.13778567311360013</v>
      </c>
      <c r="V222" s="117">
        <f>(1+S222)*Q222*(1-U222)+S222</f>
        <v>-0.1390250472891631</v>
      </c>
      <c r="W222" s="117">
        <f>V222+I222/3</f>
        <v>-2.3105501236879609</v>
      </c>
      <c r="X222" s="117">
        <f>V222+I222/5</f>
        <v>-1.4419400931284416</v>
      </c>
      <c r="Y222" s="117"/>
      <c r="AA222" s="117"/>
    </row>
    <row r="223" spans="1:27" x14ac:dyDescent="0.2">
      <c r="A223" t="s">
        <v>376</v>
      </c>
      <c r="B223" t="s">
        <v>32</v>
      </c>
      <c r="C223" s="144">
        <v>-19.911439933321031</v>
      </c>
      <c r="D223" s="90">
        <v>23.43696010873882</v>
      </c>
      <c r="E223" s="12">
        <v>2.1770600311792601</v>
      </c>
      <c r="F223" s="90">
        <v>-9.9221289953383813</v>
      </c>
      <c r="G223" s="90">
        <v>-0.5016870186904927</v>
      </c>
      <c r="H223" s="12">
        <v>-2.8580228118766589</v>
      </c>
      <c r="I223" s="12">
        <v>-5.644892393987897</v>
      </c>
      <c r="J223" s="12">
        <v>0.34308479064209002</v>
      </c>
      <c r="K223" s="90">
        <v>-0.42335392257798687</v>
      </c>
      <c r="L223" s="7">
        <v>23.43696010873882</v>
      </c>
      <c r="M223" s="14">
        <v>2.1770600311792601</v>
      </c>
      <c r="N223" s="7">
        <v>-9.9221289953383813</v>
      </c>
      <c r="O223" s="7">
        <v>-0.5016870186904927</v>
      </c>
      <c r="P223" s="7">
        <v>-0.42335392257798687</v>
      </c>
      <c r="S223" s="99">
        <v>1.4341131921291069E-2</v>
      </c>
      <c r="U223" s="117">
        <f>C223*S223</f>
        <v>-0.28555258682661994</v>
      </c>
      <c r="V223" s="117">
        <f>(1+S223)*R222*(1-U223)+S223</f>
        <v>-8.6095093137262477E-2</v>
      </c>
      <c r="W223" s="117">
        <f>V223+I223/3</f>
        <v>-1.967725891133228</v>
      </c>
      <c r="X223" s="117">
        <f>V223+I223/5</f>
        <v>-1.2150735719348418</v>
      </c>
      <c r="Y223" s="117"/>
      <c r="AA223" s="117"/>
    </row>
    <row r="224" spans="1:27" x14ac:dyDescent="0.2">
      <c r="B224" t="s">
        <v>34</v>
      </c>
      <c r="C224" s="145">
        <v>1.1585649046569491</v>
      </c>
      <c r="D224" s="90">
        <v>0.86909747762368283</v>
      </c>
      <c r="E224" s="12">
        <v>0.2498499875749107</v>
      </c>
      <c r="F224" s="90">
        <v>5.9089855802795874</v>
      </c>
      <c r="G224" s="90">
        <v>4.1002628825781979</v>
      </c>
      <c r="H224" s="12">
        <v>0.21726175667774819</v>
      </c>
      <c r="I224" s="12">
        <v>0.59677216565318392</v>
      </c>
      <c r="J224" s="12">
        <v>1.147352486328088</v>
      </c>
      <c r="K224" s="90">
        <v>6.7989905993469746</v>
      </c>
      <c r="L224" s="7">
        <v>0.86909747762368283</v>
      </c>
      <c r="M224" s="14">
        <v>0.2498499875749107</v>
      </c>
      <c r="N224" s="7">
        <v>2.150525806661995</v>
      </c>
      <c r="O224" s="7">
        <v>0.85619795491627237</v>
      </c>
      <c r="P224" s="7">
        <v>2.4744356784258992</v>
      </c>
      <c r="W224" s="117">
        <f>V222+I224/3</f>
        <v>5.9899007928564868E-2</v>
      </c>
      <c r="X224" s="117">
        <f>V222+I224/5</f>
        <v>-1.9670614158526306E-2</v>
      </c>
      <c r="Y224" s="117"/>
      <c r="AA224" s="117"/>
    </row>
    <row r="225" spans="1:27" x14ac:dyDescent="0.2">
      <c r="B225" t="s">
        <v>35</v>
      </c>
      <c r="C225" s="145">
        <v>1.533624952194641</v>
      </c>
      <c r="D225" s="90">
        <v>1.257449355495621</v>
      </c>
      <c r="E225" s="12">
        <v>0.1800802708014165</v>
      </c>
      <c r="F225" s="90">
        <v>7.852134676006294</v>
      </c>
      <c r="G225" s="90">
        <v>4.1199836470903577</v>
      </c>
      <c r="H225" s="12">
        <v>8.6509551342504043E-3</v>
      </c>
      <c r="I225" s="12">
        <v>0.2940973755761096</v>
      </c>
      <c r="J225" s="12">
        <v>0.97726649872056881</v>
      </c>
      <c r="K225" s="90">
        <v>6.2444937775735667</v>
      </c>
      <c r="L225" s="7">
        <v>1.257449355495621</v>
      </c>
      <c r="M225" s="14">
        <v>0.1800802708014165</v>
      </c>
      <c r="N225" s="7">
        <v>2.0842913975288639</v>
      </c>
      <c r="O225" s="7">
        <v>0.35906200179268782</v>
      </c>
      <c r="P225" s="7">
        <v>1.6575549451908911</v>
      </c>
      <c r="W225" s="117">
        <f>V223+I225/3</f>
        <v>1.1937365388107385E-2</v>
      </c>
      <c r="X225" s="117">
        <f>V223+I225/5</f>
        <v>-2.7275618022040558E-2</v>
      </c>
      <c r="Y225" s="117"/>
      <c r="AA225" s="117"/>
    </row>
    <row r="226" spans="1:27" x14ac:dyDescent="0.2">
      <c r="C226" s="101"/>
      <c r="D226" s="90"/>
      <c r="F226" s="90"/>
      <c r="G226" s="90"/>
      <c r="K226" s="90"/>
      <c r="L226" s="7"/>
      <c r="N226" s="7"/>
      <c r="O226" s="7"/>
      <c r="P226" s="7"/>
      <c r="AA226" s="117"/>
    </row>
    <row r="227" spans="1:27" x14ac:dyDescent="0.2">
      <c r="A227" t="s">
        <v>377</v>
      </c>
      <c r="B227" t="s">
        <v>30</v>
      </c>
      <c r="C227" s="145">
        <v>-44.457105352597033</v>
      </c>
      <c r="D227" s="90">
        <v>19.15168270984174</v>
      </c>
      <c r="E227" s="12">
        <v>1.4307901415970841</v>
      </c>
      <c r="F227" s="90">
        <v>-26.696134997623599</v>
      </c>
      <c r="G227" s="90">
        <v>-0.39950802496267102</v>
      </c>
      <c r="H227" s="12">
        <v>-1.722750580111835</v>
      </c>
      <c r="I227" s="12">
        <v>-2.0714829855907739</v>
      </c>
      <c r="J227" s="12">
        <v>-2.663029131435223</v>
      </c>
      <c r="K227" s="90">
        <v>-1.3939315621548429</v>
      </c>
      <c r="L227" s="7">
        <v>19.15168270984174</v>
      </c>
      <c r="M227" s="14">
        <v>1.4307901415970841</v>
      </c>
      <c r="N227" s="7">
        <v>-26.696134997623599</v>
      </c>
      <c r="O227" s="7">
        <v>-0.39950802496267102</v>
      </c>
      <c r="P227" s="7">
        <v>-1.3939315621548429</v>
      </c>
      <c r="Q227" s="99">
        <v>-5.1567442064265591E-2</v>
      </c>
      <c r="R227" s="99">
        <v>-2.3570000405975299E-2</v>
      </c>
      <c r="S227" s="99">
        <v>5.3140415876966329E-3</v>
      </c>
      <c r="U227" s="117">
        <f>C227*S227</f>
        <v>-0.23624690671231122</v>
      </c>
      <c r="V227" s="117">
        <f>(1+S227)*Q227*(1-U227)+S227</f>
        <v>-5.8774819784724583E-2</v>
      </c>
      <c r="W227" s="117">
        <f>V227+I227/3</f>
        <v>-0.74926914831498248</v>
      </c>
      <c r="X227" s="117">
        <f>V227+I227/5</f>
        <v>-0.4730714169028794</v>
      </c>
      <c r="Y227" s="117"/>
      <c r="AA227" s="117"/>
    </row>
    <row r="228" spans="1:27" x14ac:dyDescent="0.2">
      <c r="A228" t="s">
        <v>378</v>
      </c>
      <c r="B228" t="s">
        <v>32</v>
      </c>
      <c r="C228" s="144">
        <v>-86.861176252702847</v>
      </c>
      <c r="D228" s="90">
        <v>20.7122548340141</v>
      </c>
      <c r="E228" s="12">
        <v>1.2384523872179269</v>
      </c>
      <c r="F228" s="90">
        <v>-27.567850086876149</v>
      </c>
      <c r="G228" s="90">
        <v>-0.68262172726427561</v>
      </c>
      <c r="H228" s="12">
        <v>-1.4614737487734331</v>
      </c>
      <c r="I228" s="12">
        <v>-1.957257782935891</v>
      </c>
      <c r="J228" s="12">
        <v>8.0825766676649007</v>
      </c>
      <c r="K228" s="90">
        <v>-1.330992222131395</v>
      </c>
      <c r="L228" s="7">
        <v>20.7122548340141</v>
      </c>
      <c r="M228" s="14">
        <v>1.2384523872179269</v>
      </c>
      <c r="N228" s="7">
        <v>-27.567850086876149</v>
      </c>
      <c r="O228" s="7">
        <v>-0.68262172726427561</v>
      </c>
      <c r="P228" s="7">
        <v>-1.330992222131395</v>
      </c>
      <c r="S228" s="99">
        <v>5.6842013737789876E-3</v>
      </c>
      <c r="U228" s="117">
        <f>C228*S228</f>
        <v>-0.4937364173836723</v>
      </c>
      <c r="V228" s="117">
        <f>(1+S228)*R227*(1-U228)+S228</f>
        <v>-2.9723292359723243E-2</v>
      </c>
      <c r="W228" s="117">
        <f>V228+I228/3</f>
        <v>-0.68214255333835361</v>
      </c>
      <c r="X228" s="117">
        <f>V228+I228/5</f>
        <v>-0.42117484894690149</v>
      </c>
      <c r="Y228" s="117"/>
      <c r="AA228" s="117"/>
    </row>
    <row r="229" spans="1:27" x14ac:dyDescent="0.2">
      <c r="B229" t="s">
        <v>34</v>
      </c>
      <c r="C229" s="143">
        <v>2.2925392046149988</v>
      </c>
      <c r="D229" s="90">
        <v>1.6852067663975949</v>
      </c>
      <c r="E229" s="12">
        <v>0.26491692573667319</v>
      </c>
      <c r="F229" s="90">
        <v>4.6066941510097967</v>
      </c>
      <c r="G229" s="90">
        <v>1.0094287337535099</v>
      </c>
      <c r="H229" s="12">
        <v>-5.1022686094215342E-3</v>
      </c>
      <c r="I229" s="12">
        <v>0.17428001001305929</v>
      </c>
      <c r="J229" s="12">
        <v>0.38753216508637101</v>
      </c>
      <c r="K229" s="90">
        <v>2.7336076752512439</v>
      </c>
      <c r="L229" s="7">
        <v>1.8940636074926369</v>
      </c>
      <c r="M229" s="14">
        <v>0.17381408192287831</v>
      </c>
      <c r="N229" s="7">
        <v>3.975397453536877</v>
      </c>
      <c r="O229" s="7">
        <v>0.73405865667823633</v>
      </c>
      <c r="P229" s="7">
        <v>2.0988722014460279</v>
      </c>
      <c r="W229" s="117">
        <f>V227+I229/3</f>
        <v>-6.8148311370481995E-4</v>
      </c>
      <c r="X229" s="117">
        <f>V227+I229/5</f>
        <v>-2.3918817782112724E-2</v>
      </c>
      <c r="Y229" s="117"/>
      <c r="AA229" s="117"/>
    </row>
    <row r="230" spans="1:27" x14ac:dyDescent="0.2">
      <c r="B230" t="s">
        <v>35</v>
      </c>
      <c r="C230" s="143">
        <v>2.047317959539698</v>
      </c>
      <c r="D230" s="90">
        <v>1.4863251444856</v>
      </c>
      <c r="E230" s="12">
        <v>0.27401352703427978</v>
      </c>
      <c r="F230" s="90">
        <v>5.1173407497660204</v>
      </c>
      <c r="G230" s="90">
        <v>1.49953395168602</v>
      </c>
      <c r="H230" s="12">
        <v>-8.3868054365008216E-2</v>
      </c>
      <c r="I230" s="12">
        <v>7.2566643052909718E-2</v>
      </c>
      <c r="J230" s="12">
        <v>0.42546920940474159</v>
      </c>
      <c r="K230" s="90">
        <v>3.442948380945996</v>
      </c>
      <c r="L230" s="7">
        <v>1.5547165292202381</v>
      </c>
      <c r="M230" s="14">
        <v>0.24060817130242551</v>
      </c>
      <c r="N230" s="7">
        <v>3.027287899201879</v>
      </c>
      <c r="O230" s="7">
        <v>0.47866035419457259</v>
      </c>
      <c r="P230" s="7">
        <v>1.947163899209462</v>
      </c>
      <c r="W230" s="117">
        <f>V228+I230/3</f>
        <v>-5.534411342086671E-3</v>
      </c>
      <c r="X230" s="117">
        <f>V228+I230/5</f>
        <v>-1.5209963749141299E-2</v>
      </c>
      <c r="Y230" s="117"/>
      <c r="AA230" s="117"/>
    </row>
    <row r="231" spans="1:27" x14ac:dyDescent="0.2">
      <c r="C231" s="101"/>
      <c r="D231" s="90"/>
      <c r="F231" s="90"/>
      <c r="G231" s="90"/>
      <c r="K231" s="90"/>
      <c r="L231" s="7"/>
      <c r="N231" s="7"/>
      <c r="O231" s="7"/>
      <c r="P231" s="7"/>
      <c r="AA231" s="117"/>
    </row>
    <row r="232" spans="1:27" x14ac:dyDescent="0.2">
      <c r="A232" s="128" t="s">
        <v>379</v>
      </c>
      <c r="B232" t="s">
        <v>30</v>
      </c>
      <c r="C232" s="145">
        <v>-216.88996246916889</v>
      </c>
      <c r="D232" s="90">
        <v>15.498391961934511</v>
      </c>
      <c r="E232" s="12">
        <v>1.071457396116879</v>
      </c>
      <c r="F232" s="90">
        <v>-20.688256209525509</v>
      </c>
      <c r="G232" s="90">
        <v>-0.90461404495624653</v>
      </c>
      <c r="H232" s="12">
        <v>-1.12779522008844</v>
      </c>
      <c r="I232" s="12">
        <v>-1.202373146387169</v>
      </c>
      <c r="J232" s="12">
        <v>-1.449107448562736</v>
      </c>
      <c r="K232" s="90">
        <v>-1.3348646917911089</v>
      </c>
      <c r="L232" s="7">
        <v>15.498391961934511</v>
      </c>
      <c r="M232" s="14">
        <v>1.071457396116879</v>
      </c>
      <c r="N232" s="7">
        <v>-20.688256209525509</v>
      </c>
      <c r="O232" s="7">
        <v>-0.90461404495624653</v>
      </c>
      <c r="P232" s="7">
        <v>-1.3348646917911089</v>
      </c>
      <c r="Q232" s="99">
        <v>-1.52630658256077E-2</v>
      </c>
      <c r="R232" s="99">
        <v>-0.11065974721662961</v>
      </c>
      <c r="S232" s="99">
        <v>7.7372898267443176E-3</v>
      </c>
      <c r="U232" s="117">
        <f>C232*S232</f>
        <v>-1.6781405001356573</v>
      </c>
      <c r="V232" s="117">
        <f>(1+S232)*Q232*(1-U232)+S232</f>
        <v>-3.3455619287206861E-2</v>
      </c>
      <c r="W232" s="117">
        <f>V232+I232/3</f>
        <v>-0.43424666808292983</v>
      </c>
      <c r="X232" s="117">
        <f>V232+I232/5</f>
        <v>-0.27393024856464065</v>
      </c>
      <c r="Y232" s="117"/>
      <c r="AA232" s="117"/>
    </row>
    <row r="233" spans="1:27" x14ac:dyDescent="0.2">
      <c r="A233" t="s">
        <v>380</v>
      </c>
      <c r="B233" t="s">
        <v>32</v>
      </c>
      <c r="C233" s="144">
        <v>-25.241254096729438</v>
      </c>
      <c r="D233" s="90">
        <v>41.394523306870447</v>
      </c>
      <c r="E233" s="12">
        <v>2.6399550968521019</v>
      </c>
      <c r="F233" s="90">
        <v>-5.6965297773491752</v>
      </c>
      <c r="G233" s="90">
        <v>-0.77431668983169555</v>
      </c>
      <c r="H233" s="12">
        <v>-3.4202770588321592</v>
      </c>
      <c r="I233" s="12">
        <v>-5.9736239004011864</v>
      </c>
      <c r="J233" s="12">
        <v>0.15362910748698691</v>
      </c>
      <c r="K233" s="90">
        <v>-0.13761554240204751</v>
      </c>
      <c r="L233" s="7">
        <v>42.179223431167941</v>
      </c>
      <c r="M233" s="14">
        <v>2.6710430975231612</v>
      </c>
      <c r="N233" s="7">
        <v>-5.6965297773491752</v>
      </c>
      <c r="O233" s="7">
        <v>-0.77431668983169555</v>
      </c>
      <c r="P233" s="7">
        <v>-0.13505534986070361</v>
      </c>
      <c r="S233" s="99">
        <v>5.0506857855527384E-3</v>
      </c>
      <c r="U233" s="117">
        <f>C233*S233</f>
        <v>-0.12748564327587619</v>
      </c>
      <c r="V233" s="117">
        <f>(1+S233)*R232*(1-U233)+S233</f>
        <v>-0.12034675079852047</v>
      </c>
      <c r="W233" s="117">
        <f>V233+I233/3</f>
        <v>-2.1115547175989158</v>
      </c>
      <c r="X233" s="117">
        <f>V233+I233/5</f>
        <v>-1.3150715308787577</v>
      </c>
      <c r="Y233" s="117"/>
      <c r="AA233" s="117"/>
    </row>
    <row r="234" spans="1:27" x14ac:dyDescent="0.2">
      <c r="B234" t="s">
        <v>34</v>
      </c>
      <c r="C234" s="143">
        <v>3.3104057740805088</v>
      </c>
      <c r="D234" s="90">
        <v>2.3723669047089269</v>
      </c>
      <c r="E234" s="12">
        <v>0.28336069152493232</v>
      </c>
      <c r="F234" s="90">
        <v>6.9335666169007579</v>
      </c>
      <c r="G234" s="90">
        <v>1.094476354285181</v>
      </c>
      <c r="H234" s="12">
        <v>-7.2785136089660529E-2</v>
      </c>
      <c r="I234" s="12">
        <v>0.1103456496195583</v>
      </c>
      <c r="J234" s="12">
        <v>0.30200418567765991</v>
      </c>
      <c r="K234" s="90">
        <v>2.9226367148935828</v>
      </c>
      <c r="L234" s="7">
        <v>2.3723669047089269</v>
      </c>
      <c r="M234" s="14">
        <v>0.28336069152493232</v>
      </c>
      <c r="N234" s="7">
        <v>5.2448840161548782</v>
      </c>
      <c r="O234" s="7">
        <v>0.58436287696836375</v>
      </c>
      <c r="P234" s="7">
        <v>2.2108232945520658</v>
      </c>
      <c r="W234" s="117">
        <f>V232+I234/3</f>
        <v>3.3262639193125734E-3</v>
      </c>
      <c r="X234" s="117">
        <f>V232+I234/5</f>
        <v>-1.1386489363295203E-2</v>
      </c>
      <c r="Y234" s="117"/>
      <c r="AA234" s="117"/>
    </row>
    <row r="235" spans="1:27" x14ac:dyDescent="0.2">
      <c r="B235" t="s">
        <v>35</v>
      </c>
      <c r="C235" s="143">
        <v>2.7931907977747961</v>
      </c>
      <c r="D235" s="90">
        <v>1.7929800201469399</v>
      </c>
      <c r="E235" s="12">
        <v>0.35808895633791887</v>
      </c>
      <c r="F235" s="90">
        <v>7.5081624935324056</v>
      </c>
      <c r="G235" s="90">
        <v>1.688023496108396</v>
      </c>
      <c r="H235" s="12">
        <v>-9.1514846773970371E-2</v>
      </c>
      <c r="I235" s="12">
        <v>1.916831109146289E-2</v>
      </c>
      <c r="J235" s="12">
        <v>0.37430204645542497</v>
      </c>
      <c r="K235" s="90">
        <v>4.1875327160182687</v>
      </c>
      <c r="L235" s="7">
        <v>1.7929800201469399</v>
      </c>
      <c r="M235" s="14">
        <v>0.35808895633791887</v>
      </c>
      <c r="N235" s="7">
        <v>3.130280414996284</v>
      </c>
      <c r="O235" s="7">
        <v>0.12068263202428969</v>
      </c>
      <c r="P235" s="7">
        <v>1.7458534840448181</v>
      </c>
      <c r="W235" s="117">
        <f>V233+I235/3</f>
        <v>-0.11395731376803285</v>
      </c>
      <c r="X235" s="117">
        <f>V233+I235/5</f>
        <v>-0.11651308858022789</v>
      </c>
      <c r="Y235" s="117"/>
      <c r="AA235" s="117"/>
    </row>
    <row r="236" spans="1:27" x14ac:dyDescent="0.2">
      <c r="C236" s="101"/>
      <c r="D236" s="90"/>
      <c r="F236" s="90"/>
      <c r="G236" s="90"/>
      <c r="K236" s="90"/>
      <c r="L236" s="7"/>
      <c r="N236" s="7"/>
      <c r="O236" s="7"/>
      <c r="P236" s="7"/>
      <c r="AA236" s="117"/>
    </row>
    <row r="237" spans="1:27" x14ac:dyDescent="0.2">
      <c r="A237" t="s">
        <v>381</v>
      </c>
      <c r="B237" t="s">
        <v>30</v>
      </c>
      <c r="C237" s="143">
        <v>37.294874090072902</v>
      </c>
      <c r="D237" s="90">
        <v>29.835725631474581</v>
      </c>
      <c r="E237" s="12">
        <v>0.20000465588336119</v>
      </c>
      <c r="F237" s="90">
        <v>65.440655316152061</v>
      </c>
      <c r="G237" s="90">
        <v>0.75468229650280438</v>
      </c>
      <c r="H237" s="12">
        <v>-3.2252434574774447E-2</v>
      </c>
      <c r="I237" s="12">
        <v>7.2020359980601301E-2</v>
      </c>
      <c r="J237" s="12">
        <v>0.22923030425922161</v>
      </c>
      <c r="K237" s="90">
        <v>2.1933656356967162</v>
      </c>
      <c r="L237" s="7">
        <v>30.160441488302631</v>
      </c>
      <c r="M237" s="14">
        <v>0.19129794042311321</v>
      </c>
      <c r="N237" s="7">
        <v>62.122252374637696</v>
      </c>
      <c r="O237" s="7">
        <v>0.66570484256369467</v>
      </c>
      <c r="P237" s="7">
        <v>2.0597262277719341</v>
      </c>
      <c r="Q237" s="99">
        <v>0.1052087603727503</v>
      </c>
      <c r="R237" s="99">
        <v>5.1813639050854447E-2</v>
      </c>
      <c r="S237" s="99">
        <v>1.4357169711740369E-2</v>
      </c>
      <c r="U237" s="117">
        <f>C237*S237</f>
        <v>0.53544883668916532</v>
      </c>
      <c r="V237" s="117">
        <f>(1+S237)*Q237*(1-U237)+S237</f>
        <v>6.3933726278503425E-2</v>
      </c>
      <c r="W237" s="117">
        <f>V237+I237/3</f>
        <v>8.7940512938703863E-2</v>
      </c>
      <c r="X237" s="117">
        <f>V237+I237/5</f>
        <v>7.8337798274623685E-2</v>
      </c>
      <c r="Y237" s="117"/>
      <c r="AA237" s="117"/>
    </row>
    <row r="238" spans="1:27" x14ac:dyDescent="0.2">
      <c r="A238" t="s">
        <v>382</v>
      </c>
      <c r="B238" t="s">
        <v>32</v>
      </c>
      <c r="C238" s="144">
        <v>57.802910230392911</v>
      </c>
      <c r="D238" s="90">
        <v>44.405259259677742</v>
      </c>
      <c r="E238" s="12">
        <v>0.2317815991844413</v>
      </c>
      <c r="F238" s="90">
        <v>-16.069906593059422</v>
      </c>
      <c r="G238" s="90">
        <v>-1.278012067714366</v>
      </c>
      <c r="H238" s="12">
        <v>-4.2682521082585301E-2</v>
      </c>
      <c r="I238" s="12">
        <v>0.30936370793040441</v>
      </c>
      <c r="J238" s="12">
        <v>-3.1394538212829728</v>
      </c>
      <c r="K238" s="90">
        <v>-0.36189196642415999</v>
      </c>
      <c r="L238" s="7">
        <v>44.405259259677742</v>
      </c>
      <c r="M238" s="14">
        <v>0.2317815991844413</v>
      </c>
      <c r="N238" s="7">
        <v>-16.069906593059422</v>
      </c>
      <c r="O238" s="7">
        <v>-1.278012067714366</v>
      </c>
      <c r="P238" s="7">
        <v>-0.36189196642415999</v>
      </c>
      <c r="S238" s="99">
        <v>9.3529926619299493E-3</v>
      </c>
      <c r="U238" s="117">
        <f>C238*S238</f>
        <v>0.54063019522306044</v>
      </c>
      <c r="V238" s="117">
        <f>(1+S238)*R237*(1-U238)+S238</f>
        <v>3.3377230306449193E-2</v>
      </c>
      <c r="W238" s="117">
        <f>V238+I238/3</f>
        <v>0.13649846628325066</v>
      </c>
      <c r="X238" s="117">
        <f>V238+I238/5</f>
        <v>9.5249971892530066E-2</v>
      </c>
      <c r="Y238" s="117"/>
      <c r="AA238" s="117"/>
    </row>
    <row r="239" spans="1:27" x14ac:dyDescent="0.2">
      <c r="B239" t="s">
        <v>34</v>
      </c>
      <c r="C239" s="145">
        <v>3.9237474712743752</v>
      </c>
      <c r="D239" s="90">
        <v>3.2154222755838981</v>
      </c>
      <c r="E239" s="12">
        <v>0.18052262559609211</v>
      </c>
      <c r="F239" s="90">
        <v>9.1908553686130059</v>
      </c>
      <c r="G239" s="90">
        <v>1.342366687942828</v>
      </c>
      <c r="H239" s="12">
        <v>4.4557377972076928E-2</v>
      </c>
      <c r="I239" s="12">
        <v>0.193474263502559</v>
      </c>
      <c r="J239" s="12">
        <v>0.37860013654829983</v>
      </c>
      <c r="K239" s="90">
        <v>2.8583665163991601</v>
      </c>
      <c r="L239" s="7">
        <v>3.2154222755838981</v>
      </c>
      <c r="M239" s="14">
        <v>0.18052262559609211</v>
      </c>
      <c r="N239" s="7">
        <v>9.1908553686130059</v>
      </c>
      <c r="O239" s="7">
        <v>1.342366687942828</v>
      </c>
      <c r="P239" s="7">
        <v>2.8583665163991601</v>
      </c>
      <c r="W239" s="117">
        <f>V237+I239/3</f>
        <v>0.1284251474460231</v>
      </c>
      <c r="X239" s="117">
        <f>V237+I239/5</f>
        <v>0.10262857897901523</v>
      </c>
      <c r="Y239" s="117"/>
      <c r="AA239" s="117"/>
    </row>
    <row r="240" spans="1:27" x14ac:dyDescent="0.2">
      <c r="B240" t="s">
        <v>35</v>
      </c>
      <c r="C240" s="143">
        <v>2.9949791267665198</v>
      </c>
      <c r="D240" s="90">
        <v>2.2419295853961039</v>
      </c>
      <c r="E240" s="12">
        <v>0.25143732543586478</v>
      </c>
      <c r="F240" s="90">
        <v>6.9702637768498867</v>
      </c>
      <c r="G240" s="90">
        <v>1.32731631234279</v>
      </c>
      <c r="H240" s="12">
        <v>-4.6454688534227413E-2</v>
      </c>
      <c r="I240" s="12">
        <v>7.6567841528572211E-2</v>
      </c>
      <c r="J240" s="12">
        <v>0.3213108452102662</v>
      </c>
      <c r="K240" s="90">
        <v>3.1090466989927248</v>
      </c>
      <c r="L240" s="7">
        <v>2.2419295853961039</v>
      </c>
      <c r="M240" s="14">
        <v>0.25143732543586478</v>
      </c>
      <c r="N240" s="7">
        <v>5.5324495718813536</v>
      </c>
      <c r="O240" s="7">
        <v>0.84724144567056547</v>
      </c>
      <c r="P240" s="7">
        <v>2.467717812334361</v>
      </c>
      <c r="W240" s="117">
        <f>V238+I240/3</f>
        <v>5.8899844149306602E-2</v>
      </c>
      <c r="X240" s="117">
        <f>V238+I240/5</f>
        <v>4.8690798612163633E-2</v>
      </c>
      <c r="Y240" s="117"/>
      <c r="AA240" s="117"/>
    </row>
    <row r="241" spans="1:27" x14ac:dyDescent="0.2">
      <c r="C241" s="101"/>
      <c r="D241" s="90"/>
      <c r="F241" s="90"/>
      <c r="G241" s="90"/>
      <c r="K241" s="90"/>
      <c r="L241" s="7"/>
      <c r="N241" s="7"/>
      <c r="O241" s="7"/>
      <c r="P241" s="7"/>
      <c r="AA241" s="117"/>
    </row>
    <row r="242" spans="1:27" x14ac:dyDescent="0.2">
      <c r="A242" t="s">
        <v>383</v>
      </c>
      <c r="B242" t="s">
        <v>30</v>
      </c>
      <c r="C242" s="146">
        <v>38.210621316898511</v>
      </c>
      <c r="D242" s="90">
        <v>11.04830995765735</v>
      </c>
      <c r="E242" s="12">
        <v>0.71085762081624981</v>
      </c>
      <c r="F242" s="90">
        <v>70.173981343851622</v>
      </c>
      <c r="G242" s="90">
        <v>0.83650458760840474</v>
      </c>
      <c r="H242" s="12">
        <v>-0.45260012804377497</v>
      </c>
      <c r="I242" s="12">
        <v>-0.22096672502427739</v>
      </c>
      <c r="J242" s="12">
        <v>2.741337734501581E-3</v>
      </c>
      <c r="K242" s="90">
        <v>6.3515579860443268</v>
      </c>
      <c r="L242" s="7">
        <v>19.407943011998359</v>
      </c>
      <c r="M242" s="14">
        <v>0.49207988922663071</v>
      </c>
      <c r="N242" s="7">
        <v>70.173981343851622</v>
      </c>
      <c r="O242" s="7">
        <v>0.83650458760840474</v>
      </c>
      <c r="P242" s="7">
        <v>3.615735129707911</v>
      </c>
      <c r="Q242" s="99">
        <v>0.23389815890482929</v>
      </c>
      <c r="R242" s="99">
        <v>5.4517525548381088E-2</v>
      </c>
      <c r="S242" s="99">
        <v>1.7215808879924899E-2</v>
      </c>
      <c r="U242" s="117">
        <f>C242*S242</f>
        <v>0.65782675377490907</v>
      </c>
      <c r="V242" s="117">
        <f>(1+S242)*Q242*(1-U242)+S242</f>
        <v>9.8627345949373141E-2</v>
      </c>
      <c r="W242" s="117">
        <f>V242+I242/3</f>
        <v>2.4971770941280683E-2</v>
      </c>
      <c r="X242" s="117">
        <f>V242+I242/5</f>
        <v>5.4434000944517662E-2</v>
      </c>
      <c r="Y242" s="117"/>
      <c r="AA242" s="117"/>
    </row>
    <row r="243" spans="1:27" x14ac:dyDescent="0.2">
      <c r="A243" t="s">
        <v>384</v>
      </c>
      <c r="B243" t="s">
        <v>32</v>
      </c>
      <c r="C243" s="144">
        <v>76.507479708745748</v>
      </c>
      <c r="D243" s="90">
        <v>21.571425012994631</v>
      </c>
      <c r="E243" s="12">
        <v>0.71804815561675395</v>
      </c>
      <c r="F243" s="90">
        <v>2784.9994232117938</v>
      </c>
      <c r="G243" s="90">
        <v>35.401662083418927</v>
      </c>
      <c r="H243" s="12">
        <v>-0.39181325286073249</v>
      </c>
      <c r="I243" s="12">
        <v>-0.27174782798549352</v>
      </c>
      <c r="J243" s="12">
        <v>-6.8745756713754269E-2</v>
      </c>
      <c r="K243" s="90">
        <v>129.10595482375919</v>
      </c>
      <c r="L243" s="7">
        <v>39.4640189183432</v>
      </c>
      <c r="M243" s="14">
        <v>0.48418090533660629</v>
      </c>
      <c r="N243" s="7">
        <v>2784.9994232117938</v>
      </c>
      <c r="O243" s="7">
        <v>35.401662083418927</v>
      </c>
      <c r="P243" s="7">
        <v>70.570598219465765</v>
      </c>
      <c r="S243" s="99">
        <v>9.434955364293349E-3</v>
      </c>
      <c r="U243" s="117">
        <f>C243*S243</f>
        <v>0.7218446560865952</v>
      </c>
      <c r="V243" s="117">
        <f>(1+S243)*R242*(1-U243)+S243</f>
        <v>2.4742371313618679E-2</v>
      </c>
      <c r="W243" s="117">
        <f>V243+I243/3</f>
        <v>-6.5840238014879149E-2</v>
      </c>
      <c r="X243" s="117">
        <f>V243+I243/5</f>
        <v>-2.9607194283480028E-2</v>
      </c>
      <c r="Y243" s="117"/>
      <c r="AA243" s="117"/>
    </row>
    <row r="244" spans="1:27" x14ac:dyDescent="0.2">
      <c r="B244" t="s">
        <v>34</v>
      </c>
      <c r="C244" s="144">
        <v>8.937393976632185</v>
      </c>
      <c r="D244" s="90">
        <v>2.6203262194162131</v>
      </c>
      <c r="E244" s="12">
        <v>0.70681316877522149</v>
      </c>
      <c r="F244" s="90">
        <v>14.710530266800401</v>
      </c>
      <c r="G244" s="90">
        <v>0.64595298196126594</v>
      </c>
      <c r="H244" s="12">
        <v>-0.59592325760948861</v>
      </c>
      <c r="I244" s="12">
        <v>-0.39408793364037981</v>
      </c>
      <c r="J244" s="12">
        <v>-4.3524886872860713E-2</v>
      </c>
      <c r="K244" s="90">
        <v>5.6140072017742071</v>
      </c>
      <c r="L244" s="7">
        <v>3.9132184638236112</v>
      </c>
      <c r="M244" s="14">
        <v>0.56215218059591443</v>
      </c>
      <c r="N244" s="7">
        <v>14.710530266800401</v>
      </c>
      <c r="O244" s="7">
        <v>0.64595298196126594</v>
      </c>
      <c r="P244" s="7">
        <v>3.7591896294046219</v>
      </c>
      <c r="W244" s="117">
        <f>V242+I244/3</f>
        <v>-3.2735298597420137E-2</v>
      </c>
      <c r="X244" s="117">
        <f>V242+I244/5</f>
        <v>1.9809759221297185E-2</v>
      </c>
      <c r="Y244" s="117"/>
      <c r="AA244" s="117"/>
    </row>
    <row r="245" spans="1:27" x14ac:dyDescent="0.2">
      <c r="B245" t="s">
        <v>35</v>
      </c>
      <c r="C245" s="144">
        <v>4.170998479663794</v>
      </c>
      <c r="D245" s="90">
        <v>2.2488592107244321</v>
      </c>
      <c r="E245" s="12">
        <v>0.46083432499699623</v>
      </c>
      <c r="F245" s="90">
        <v>6.0433548872041918</v>
      </c>
      <c r="G245" s="90">
        <v>0.44889884680354042</v>
      </c>
      <c r="H245" s="12">
        <v>-0.3189940131344372</v>
      </c>
      <c r="I245" s="12">
        <v>-0.1769414198436022</v>
      </c>
      <c r="J245" s="12">
        <v>-6.9557930547833213E-2</v>
      </c>
      <c r="K245" s="90">
        <v>2.6872980124253432</v>
      </c>
      <c r="L245" s="7">
        <v>2.2488592107244321</v>
      </c>
      <c r="M245" s="14">
        <v>0.46083432499699623</v>
      </c>
      <c r="N245" s="7">
        <v>4.6446549232897834</v>
      </c>
      <c r="O245" s="7">
        <v>0.113559486040419</v>
      </c>
      <c r="P245" s="7">
        <v>2.0653382395572848</v>
      </c>
      <c r="W245" s="117">
        <f>V243+I245/3</f>
        <v>-3.4238101967582056E-2</v>
      </c>
      <c r="X245" s="117">
        <f>V243+I245/5</f>
        <v>-1.0645912655101765E-2</v>
      </c>
      <c r="Y245" s="117"/>
      <c r="AA245" s="117"/>
    </row>
    <row r="246" spans="1:27" x14ac:dyDescent="0.2">
      <c r="C246" s="101"/>
      <c r="D246" s="90"/>
      <c r="F246" s="90"/>
      <c r="G246" s="90"/>
      <c r="K246" s="90"/>
      <c r="L246" s="7"/>
      <c r="N246" s="7"/>
      <c r="O246" s="7"/>
      <c r="P246" s="7"/>
      <c r="AA246" s="117"/>
    </row>
    <row r="247" spans="1:27" x14ac:dyDescent="0.2">
      <c r="A247" s="128" t="s">
        <v>385</v>
      </c>
      <c r="B247" t="s">
        <v>30</v>
      </c>
      <c r="C247" s="144">
        <v>15.138738556425089</v>
      </c>
      <c r="D247" s="90">
        <v>11.40232032346622</v>
      </c>
      <c r="E247" s="12">
        <v>0.24681172866764939</v>
      </c>
      <c r="F247" s="90">
        <v>-9.3098727855372587</v>
      </c>
      <c r="G247" s="90">
        <v>-1.614970180694878</v>
      </c>
      <c r="H247" s="12">
        <v>0.92564022344181485</v>
      </c>
      <c r="I247" s="12">
        <v>5.8514596596737496</v>
      </c>
      <c r="J247" s="12">
        <v>-30.292767635743761</v>
      </c>
      <c r="K247" s="90">
        <v>-0.8164893215968807</v>
      </c>
      <c r="L247" s="7">
        <v>11.40232032346622</v>
      </c>
      <c r="M247" s="14">
        <v>0.24681172866764939</v>
      </c>
      <c r="N247" s="7">
        <v>-9.3098727855372587</v>
      </c>
      <c r="O247" s="7">
        <v>-1.614970180694878</v>
      </c>
      <c r="P247" s="7">
        <v>-0.8164893215968807</v>
      </c>
      <c r="Q247" s="99">
        <v>0.17888551475791811</v>
      </c>
      <c r="R247" s="99">
        <v>0.1342460913915047</v>
      </c>
      <c r="S247" s="99">
        <v>6.3553549408550481E-3</v>
      </c>
      <c r="U247" s="117">
        <f>C247*S247</f>
        <v>9.6212056882889002E-2</v>
      </c>
      <c r="V247" s="117">
        <f>(1+S247)*Q247*(1-U247)+S247</f>
        <v>0.16905742566374907</v>
      </c>
      <c r="W247" s="117">
        <f>V247+I247/3</f>
        <v>2.1195439788883323</v>
      </c>
      <c r="X247" s="117">
        <f>V247+I247/5</f>
        <v>1.3393493575984992</v>
      </c>
      <c r="Y247" s="117"/>
      <c r="AA247" s="117"/>
    </row>
    <row r="248" spans="1:27" x14ac:dyDescent="0.2">
      <c r="A248" t="s">
        <v>386</v>
      </c>
      <c r="B248" t="s">
        <v>32</v>
      </c>
      <c r="C248" s="144">
        <v>15.803638773101619</v>
      </c>
      <c r="D248" s="90">
        <v>12.45013930530455</v>
      </c>
      <c r="E248" s="12">
        <v>0.21219793213097499</v>
      </c>
      <c r="F248" s="90">
        <v>-1.741204212978857</v>
      </c>
      <c r="G248" s="90">
        <v>-1.1101774241981821</v>
      </c>
      <c r="H248" s="12">
        <v>1.1298508020890341</v>
      </c>
      <c r="I248" s="12">
        <v>16.810489944908909</v>
      </c>
      <c r="J248" s="12">
        <v>-3.1656276286140801</v>
      </c>
      <c r="K248" s="90">
        <v>-0.13985419522470671</v>
      </c>
      <c r="L248" s="7">
        <v>12.45013930530455</v>
      </c>
      <c r="M248" s="14">
        <v>0.21219793213097499</v>
      </c>
      <c r="N248" s="7">
        <v>-1.741204212978857</v>
      </c>
      <c r="O248" s="7">
        <v>-1.1101774241981821</v>
      </c>
      <c r="P248" s="7">
        <v>-0.13985419522470671</v>
      </c>
      <c r="S248" s="99">
        <v>5.7022165142383858E-3</v>
      </c>
      <c r="U248" s="117">
        <f>C248*S248</f>
        <v>9.0115769997038117E-2</v>
      </c>
      <c r="V248" s="117">
        <f>(1+S248)*R247*(1-U248)+S248</f>
        <v>0.12854713464310702</v>
      </c>
      <c r="W248" s="117">
        <f>V248+I248/3</f>
        <v>5.732043782946076</v>
      </c>
      <c r="X248" s="117">
        <f>V248+I248/5</f>
        <v>3.4906451236248888</v>
      </c>
      <c r="Y248" s="117"/>
      <c r="AA248" s="117"/>
    </row>
    <row r="249" spans="1:27" x14ac:dyDescent="0.2">
      <c r="B249" t="s">
        <v>34</v>
      </c>
      <c r="C249" s="145">
        <v>2.7081010394516452</v>
      </c>
      <c r="D249" s="90">
        <v>2.073526332961054</v>
      </c>
      <c r="E249" s="12">
        <v>0.23432460504467881</v>
      </c>
      <c r="F249" s="90">
        <v>8.8919283466575649</v>
      </c>
      <c r="G249" s="90">
        <v>2.283455165490452</v>
      </c>
      <c r="H249" s="12">
        <v>2.050379336194141E-2</v>
      </c>
      <c r="I249" s="12">
        <v>0.22803843060742809</v>
      </c>
      <c r="J249" s="12">
        <v>0.75123286064849659</v>
      </c>
      <c r="K249" s="90">
        <v>4.2883122366522537</v>
      </c>
      <c r="L249" s="7">
        <v>2.073526332961054</v>
      </c>
      <c r="M249" s="14">
        <v>0.23432460504467881</v>
      </c>
      <c r="N249" s="7">
        <v>8.8919283466575649</v>
      </c>
      <c r="O249" s="7">
        <v>2.283455165490452</v>
      </c>
      <c r="P249" s="7">
        <v>4.2883122366522537</v>
      </c>
      <c r="W249" s="117">
        <f>V247+I249/3</f>
        <v>0.24507023586622512</v>
      </c>
      <c r="X249" s="117">
        <f>V247+I249/5</f>
        <v>0.21466511178523467</v>
      </c>
      <c r="Y249" s="117"/>
      <c r="AA249" s="117"/>
    </row>
    <row r="250" spans="1:27" x14ac:dyDescent="0.2">
      <c r="B250" t="s">
        <v>35</v>
      </c>
      <c r="C250" s="145">
        <v>2.1215767350521268</v>
      </c>
      <c r="D250" s="90">
        <v>1.7387471761454141</v>
      </c>
      <c r="E250" s="12">
        <v>0.18044577534326481</v>
      </c>
      <c r="F250" s="90">
        <v>-44.834337010132977</v>
      </c>
      <c r="G250" s="90">
        <v>-22.132554985823511</v>
      </c>
      <c r="H250" s="12">
        <v>2.6806932100944088E-2</v>
      </c>
      <c r="I250" s="12">
        <v>0.37811248501151579</v>
      </c>
      <c r="J250" s="12">
        <v>0.96537635440538239</v>
      </c>
      <c r="K250" s="90">
        <v>-25.785426211029218</v>
      </c>
      <c r="L250" s="7">
        <v>1.7387471761454141</v>
      </c>
      <c r="M250" s="14">
        <v>0.18044577534326481</v>
      </c>
      <c r="N250" s="7">
        <v>-44.834337010132977</v>
      </c>
      <c r="O250" s="7">
        <v>-22.132554985823511</v>
      </c>
      <c r="P250" s="7">
        <v>-25.785426211029218</v>
      </c>
      <c r="W250" s="117">
        <f>V248+I250/3</f>
        <v>0.25458462964694561</v>
      </c>
      <c r="X250" s="117">
        <f>V248+I250/5</f>
        <v>0.20416963164541019</v>
      </c>
      <c r="Y250" s="117"/>
      <c r="AA250" s="117"/>
    </row>
    <row r="251" spans="1:27" x14ac:dyDescent="0.2">
      <c r="C251" s="101"/>
      <c r="D251" s="90"/>
      <c r="F251" s="90"/>
      <c r="G251" s="90"/>
      <c r="K251" s="90"/>
      <c r="L251" s="7"/>
      <c r="N251" s="7"/>
      <c r="O251" s="7"/>
      <c r="P251" s="7"/>
      <c r="AA251" s="117"/>
    </row>
    <row r="252" spans="1:27" x14ac:dyDescent="0.2">
      <c r="A252" t="s">
        <v>387</v>
      </c>
      <c r="B252" t="s">
        <v>30</v>
      </c>
      <c r="C252" s="144">
        <v>99.785971740646104</v>
      </c>
      <c r="D252" s="90">
        <v>15.36706198858756</v>
      </c>
      <c r="E252" s="12">
        <v>0.84599977611554333</v>
      </c>
      <c r="F252" s="90">
        <v>106.1143815794032</v>
      </c>
      <c r="G252" s="90">
        <v>6.3419834755984006E-2</v>
      </c>
      <c r="H252" s="12">
        <v>-0.6852905588138567</v>
      </c>
      <c r="I252" s="12">
        <v>-0.48393258170378678</v>
      </c>
      <c r="J252" s="12">
        <v>-0.27432357811771563</v>
      </c>
      <c r="K252" s="90">
        <v>6.9053135634000586</v>
      </c>
      <c r="L252" s="7">
        <v>23.826996418647191</v>
      </c>
      <c r="M252" s="14">
        <v>0.76121897694621865</v>
      </c>
      <c r="N252" s="7">
        <v>99.785971740646104</v>
      </c>
      <c r="O252" s="7">
        <v>0</v>
      </c>
      <c r="P252" s="7">
        <v>4.187937496920628</v>
      </c>
      <c r="Q252" s="99">
        <v>5.2767732231362038E-2</v>
      </c>
      <c r="R252" s="99">
        <v>-1.196132533519788E-2</v>
      </c>
      <c r="S252" s="99">
        <v>6.124321449237689E-3</v>
      </c>
      <c r="U252" s="117">
        <f>C252*S252</f>
        <v>0.61112136706426479</v>
      </c>
      <c r="V252" s="117">
        <f>(1+S252)*Q252*(1-U252)+S252</f>
        <v>2.6770237590347933E-2</v>
      </c>
      <c r="W252" s="117">
        <f>V252+I252/3</f>
        <v>-0.13454062297758099</v>
      </c>
      <c r="X252" s="117">
        <f>V252+I252/5</f>
        <v>-7.0016278750409416E-2</v>
      </c>
      <c r="Y252" s="117"/>
      <c r="AA252" s="117"/>
    </row>
    <row r="253" spans="1:27" x14ac:dyDescent="0.2">
      <c r="A253" t="s">
        <v>388</v>
      </c>
      <c r="B253" t="s">
        <v>32</v>
      </c>
      <c r="C253" s="145">
        <v>-233.46167085952689</v>
      </c>
      <c r="D253" s="90">
        <v>20.625532483558821</v>
      </c>
      <c r="E253" s="12">
        <v>1.088346547026853</v>
      </c>
      <c r="F253" s="90">
        <v>-102.5435350355374</v>
      </c>
      <c r="G253" s="90">
        <v>-0.56076929177279178</v>
      </c>
      <c r="H253" s="12">
        <v>-1.1635378135017089</v>
      </c>
      <c r="I253" s="12">
        <v>-1.2474328741407399</v>
      </c>
      <c r="J253" s="12">
        <v>-1.567251213282133</v>
      </c>
      <c r="K253" s="90">
        <v>-4.9716794035391638</v>
      </c>
      <c r="L253" s="7">
        <v>20.625532483558821</v>
      </c>
      <c r="M253" s="14">
        <v>1.088346547026853</v>
      </c>
      <c r="N253" s="7">
        <v>-141.5895254790014</v>
      </c>
      <c r="O253" s="7">
        <v>-0.39352132211803059</v>
      </c>
      <c r="P253" s="7">
        <v>-6.8647694594971682</v>
      </c>
      <c r="S253" s="99">
        <v>7.4695768104892516E-3</v>
      </c>
      <c r="U253" s="117">
        <f>C253*S253</f>
        <v>-1.7438598827903964</v>
      </c>
      <c r="V253" s="117">
        <f>(1+S253)*R252*(1-U253)+S253</f>
        <v>-2.5595776932069852E-2</v>
      </c>
      <c r="W253" s="117">
        <f>V253+I253/3</f>
        <v>-0.4414067349789832</v>
      </c>
      <c r="X253" s="117">
        <f>V253+I253/5</f>
        <v>-0.27508235176021784</v>
      </c>
      <c r="Y253" s="117"/>
      <c r="AA253" s="117"/>
    </row>
    <row r="254" spans="1:27" x14ac:dyDescent="0.2">
      <c r="B254" t="s">
        <v>34</v>
      </c>
      <c r="C254" s="146">
        <v>5.2654794372566727</v>
      </c>
      <c r="D254" s="90">
        <v>2.3022388813275341</v>
      </c>
      <c r="E254" s="12">
        <v>0.56276747278933337</v>
      </c>
      <c r="F254" s="90">
        <v>9.5524144206378221</v>
      </c>
      <c r="G254" s="90">
        <v>0.81415852715107229</v>
      </c>
      <c r="H254" s="12">
        <v>-0.36020741318647242</v>
      </c>
      <c r="I254" s="12">
        <v>-0.10403750754888549</v>
      </c>
      <c r="J254" s="12">
        <v>7.4675772134515928E-2</v>
      </c>
      <c r="K254" s="90">
        <v>4.1491847340922501</v>
      </c>
      <c r="L254" s="7">
        <v>2.3022388813275341</v>
      </c>
      <c r="M254" s="14">
        <v>0.56276747278933337</v>
      </c>
      <c r="N254" s="7">
        <v>8.4495251210747764</v>
      </c>
      <c r="O254" s="7">
        <v>0.60470195008054173</v>
      </c>
      <c r="P254" s="7">
        <v>3.67013396811479</v>
      </c>
      <c r="W254" s="117">
        <f>V252+I254/3</f>
        <v>-7.9089315926138964E-3</v>
      </c>
      <c r="X254" s="117">
        <f>V252+I254/5</f>
        <v>5.9627360805708345E-3</v>
      </c>
      <c r="Y254" s="117"/>
      <c r="AA254" s="117"/>
    </row>
    <row r="255" spans="1:27" x14ac:dyDescent="0.2">
      <c r="B255" t="s">
        <v>35</v>
      </c>
      <c r="C255" s="143">
        <v>2.792510998449687</v>
      </c>
      <c r="D255" s="90">
        <v>1.9080651571891589</v>
      </c>
      <c r="E255" s="12">
        <v>0.31672062948061602</v>
      </c>
      <c r="F255" s="90">
        <v>10.0555257717961</v>
      </c>
      <c r="G255" s="90">
        <v>2.6008903017315248</v>
      </c>
      <c r="H255" s="12">
        <v>-0.1421748235483391</v>
      </c>
      <c r="I255" s="12">
        <v>9.2370302108883084E-2</v>
      </c>
      <c r="J255" s="12">
        <v>0.37310321104247679</v>
      </c>
      <c r="K255" s="90">
        <v>5.270011736186861</v>
      </c>
      <c r="L255" s="7">
        <v>1.9080651571891589</v>
      </c>
      <c r="M255" s="14">
        <v>0.31672062948061602</v>
      </c>
      <c r="N255" s="7">
        <v>3.809053926426492</v>
      </c>
      <c r="O255" s="7">
        <v>0.36402468192288451</v>
      </c>
      <c r="P255" s="7">
        <v>1.996291327932296</v>
      </c>
      <c r="W255" s="117">
        <f>V253+I255/3</f>
        <v>5.1943237708911745E-3</v>
      </c>
      <c r="X255" s="117">
        <f>V253+I255/5</f>
        <v>-7.1217165102932349E-3</v>
      </c>
      <c r="Y255" s="117"/>
      <c r="AA255" s="117"/>
    </row>
    <row r="256" spans="1:27" x14ac:dyDescent="0.2">
      <c r="C256" s="101"/>
      <c r="D256" s="90"/>
      <c r="F256" s="90"/>
      <c r="G256" s="90"/>
      <c r="K256" s="90"/>
      <c r="L256" s="7"/>
      <c r="N256" s="7"/>
      <c r="O256" s="7"/>
      <c r="P256" s="7"/>
      <c r="AA256" s="117"/>
    </row>
    <row r="257" spans="1:27" x14ac:dyDescent="0.2">
      <c r="A257" t="s">
        <v>389</v>
      </c>
      <c r="B257" t="s">
        <v>30</v>
      </c>
      <c r="C257" s="145">
        <v>30.12294965486188</v>
      </c>
      <c r="D257" s="90">
        <v>21.320071119182519</v>
      </c>
      <c r="E257" s="12">
        <v>0.2922316252737408</v>
      </c>
      <c r="F257" s="90">
        <v>145.48868392004911</v>
      </c>
      <c r="G257" s="90">
        <v>3.8298286053327142</v>
      </c>
      <c r="H257" s="12">
        <v>0.20678353763627319</v>
      </c>
      <c r="I257" s="12">
        <v>0.81178488571813756</v>
      </c>
      <c r="J257" s="12">
        <v>1.34790375451536</v>
      </c>
      <c r="K257" s="90">
        <v>6.8240243246255909</v>
      </c>
      <c r="L257" s="7">
        <v>21.320071119182519</v>
      </c>
      <c r="M257" s="14">
        <v>0.2922316252737408</v>
      </c>
      <c r="N257" s="7">
        <v>89.784453935708882</v>
      </c>
      <c r="O257" s="7">
        <v>1.980599674481665</v>
      </c>
      <c r="P257" s="7">
        <v>4.2112642792699786</v>
      </c>
      <c r="Q257" s="99">
        <v>0.1676307131791081</v>
      </c>
      <c r="R257" s="99">
        <v>5.6481759300204867E-2</v>
      </c>
      <c r="S257" s="99">
        <v>8.5961049673377154E-3</v>
      </c>
      <c r="U257" s="117">
        <f>C257*S257</f>
        <v>0.25894003715902214</v>
      </c>
      <c r="V257" s="117">
        <f>(1+S257)*Q257*(1-U257)+S257</f>
        <v>0.13388836111540331</v>
      </c>
      <c r="W257" s="117">
        <f>V257+I257/3</f>
        <v>0.40448332302144918</v>
      </c>
      <c r="X257" s="117">
        <f>V257+I257/5</f>
        <v>0.29624533825903082</v>
      </c>
      <c r="Y257" s="117"/>
      <c r="AA257" s="117"/>
    </row>
    <row r="258" spans="1:27" x14ac:dyDescent="0.2">
      <c r="A258" t="s">
        <v>390</v>
      </c>
      <c r="B258" t="s">
        <v>32</v>
      </c>
      <c r="C258" s="143">
        <v>52.126554509119387</v>
      </c>
      <c r="D258" s="90">
        <v>21.318180920855141</v>
      </c>
      <c r="E258" s="12">
        <v>0.59103030841745752</v>
      </c>
      <c r="F258" s="90">
        <v>163.00164475674731</v>
      </c>
      <c r="G258" s="90">
        <v>2.127036618701331</v>
      </c>
      <c r="H258" s="12">
        <v>-0.29740452073024432</v>
      </c>
      <c r="I258" s="12">
        <v>8.4278936123010073E-2</v>
      </c>
      <c r="J258" s="12">
        <v>0.5223700454421365</v>
      </c>
      <c r="K258" s="90">
        <v>7.6461329117104047</v>
      </c>
      <c r="L258" s="7">
        <v>21.318180920855141</v>
      </c>
      <c r="M258" s="14">
        <v>0.59103030841745752</v>
      </c>
      <c r="N258" s="7">
        <v>111.77069269072049</v>
      </c>
      <c r="O258" s="7">
        <v>1.1442179277582309</v>
      </c>
      <c r="P258" s="7">
        <v>5.242975144346274</v>
      </c>
      <c r="S258" s="99">
        <v>8.7060525251419132E-3</v>
      </c>
      <c r="U258" s="117">
        <f>C258*S258</f>
        <v>0.45381652151106644</v>
      </c>
      <c r="V258" s="117">
        <f>(1+S258)*R257*(1-U258)+S258</f>
        <v>3.9824032820456504E-2</v>
      </c>
      <c r="W258" s="117">
        <f>V258+I258/3</f>
        <v>6.7917011528126528E-2</v>
      </c>
      <c r="X258" s="117">
        <f>V258+I258/5</f>
        <v>5.6679820045058518E-2</v>
      </c>
      <c r="Y258" s="117"/>
      <c r="AA258" s="117"/>
    </row>
    <row r="259" spans="1:27" x14ac:dyDescent="0.2">
      <c r="B259" t="s">
        <v>34</v>
      </c>
      <c r="C259" s="143">
        <v>5.0495315337028659</v>
      </c>
      <c r="D259" s="90">
        <v>3.3089639493674259</v>
      </c>
      <c r="E259" s="12">
        <v>0.34469882457770618</v>
      </c>
      <c r="F259" s="90">
        <v>15.42435027673006</v>
      </c>
      <c r="G259" s="90">
        <v>2.054610150225014</v>
      </c>
      <c r="H259" s="12">
        <v>-1.9420506961203229E-2</v>
      </c>
      <c r="I259" s="12">
        <v>0.20311124236282499</v>
      </c>
      <c r="J259" s="12">
        <v>0.63363940527767104</v>
      </c>
      <c r="K259" s="90">
        <v>4.6613835970255062</v>
      </c>
      <c r="L259" s="7">
        <v>3.3089639493674259</v>
      </c>
      <c r="M259" s="14">
        <v>0.34469882457770618</v>
      </c>
      <c r="N259" s="7">
        <v>12.024635290150441</v>
      </c>
      <c r="O259" s="7">
        <v>1.381336805185305</v>
      </c>
      <c r="P259" s="7">
        <v>3.633957780787906</v>
      </c>
      <c r="W259" s="117">
        <f>V257+I259/3</f>
        <v>0.2015921085696783</v>
      </c>
      <c r="X259" s="117">
        <f>V257+I259/5</f>
        <v>0.17451060958796832</v>
      </c>
      <c r="Y259" s="117"/>
      <c r="AA259" s="117"/>
    </row>
    <row r="260" spans="1:27" x14ac:dyDescent="0.2">
      <c r="B260" t="s">
        <v>35</v>
      </c>
      <c r="C260" s="145">
        <v>2.9441995049330911</v>
      </c>
      <c r="D260" s="90">
        <v>2.3554407691676582</v>
      </c>
      <c r="E260" s="12">
        <v>0.19997243215989621</v>
      </c>
      <c r="F260" s="90">
        <v>14.6616987006083</v>
      </c>
      <c r="G260" s="90">
        <v>3.9798591012742852</v>
      </c>
      <c r="H260" s="12">
        <v>7.3058360477666229E-2</v>
      </c>
      <c r="I260" s="12">
        <v>0.53478033658340141</v>
      </c>
      <c r="J260" s="12">
        <v>1.1104723086463131</v>
      </c>
      <c r="K260" s="90">
        <v>6.2246093777978118</v>
      </c>
      <c r="L260" s="7">
        <v>2.3554407691676582</v>
      </c>
      <c r="M260" s="14">
        <v>0.19997243215989621</v>
      </c>
      <c r="N260" s="7">
        <v>7.0977717776276021</v>
      </c>
      <c r="O260" s="7">
        <v>1.410764544228434</v>
      </c>
      <c r="P260" s="7">
        <v>3.0133518407833879</v>
      </c>
      <c r="W260" s="117">
        <f>V258+I260/3</f>
        <v>0.21808414501492362</v>
      </c>
      <c r="X260" s="117">
        <f>V258+I260/5</f>
        <v>0.14678010013713677</v>
      </c>
      <c r="Y260" s="117"/>
      <c r="AA260" s="117"/>
    </row>
    <row r="261" spans="1:27" x14ac:dyDescent="0.2">
      <c r="C261" s="101"/>
      <c r="D261" s="90"/>
      <c r="F261" s="90"/>
      <c r="G261" s="90"/>
      <c r="K261" s="90"/>
      <c r="L261" s="7"/>
      <c r="N261" s="7"/>
      <c r="O261" s="7"/>
      <c r="P261" s="7"/>
      <c r="AA261" s="117"/>
    </row>
    <row r="262" spans="1:27" x14ac:dyDescent="0.2">
      <c r="A262" t="s">
        <v>391</v>
      </c>
      <c r="B262" t="s">
        <v>30</v>
      </c>
      <c r="C262" s="143">
        <v>68.519690241384836</v>
      </c>
      <c r="D262" s="90">
        <v>44.824779827702351</v>
      </c>
      <c r="E262" s="12">
        <v>0.34581169777926291</v>
      </c>
      <c r="F262" s="90">
        <v>-96.465791567786908</v>
      </c>
      <c r="G262" s="90">
        <v>-2.4078550447025089</v>
      </c>
      <c r="H262" s="12">
        <v>-9.313782398179371E-2</v>
      </c>
      <c r="I262" s="12">
        <v>0.2047252730801101</v>
      </c>
      <c r="J262" s="12">
        <v>0.70862584281786511</v>
      </c>
      <c r="K262" s="90">
        <v>-2.1520639239854038</v>
      </c>
      <c r="L262" s="7">
        <v>44.824779827702351</v>
      </c>
      <c r="M262" s="14">
        <v>0.34581169777926291</v>
      </c>
      <c r="N262" s="7">
        <v>-96.465791567786908</v>
      </c>
      <c r="O262" s="7">
        <v>-2.4078550447025089</v>
      </c>
      <c r="P262" s="7">
        <v>-2.1520639239854038</v>
      </c>
      <c r="Q262" s="99">
        <v>9.5457554758858643E-2</v>
      </c>
      <c r="R262" s="99">
        <v>-0.16352234095828619</v>
      </c>
      <c r="S262" s="99">
        <v>3.0101275787804312E-3</v>
      </c>
      <c r="U262" s="117">
        <f>C262*S262</f>
        <v>0.20625300928508489</v>
      </c>
      <c r="V262" s="117">
        <f>(1+S262)*Q262*(1-U262)+S262</f>
        <v>7.9007349208124897E-2</v>
      </c>
      <c r="W262" s="117">
        <f>V262+I262/3</f>
        <v>0.14724910690149492</v>
      </c>
      <c r="X262" s="117">
        <f>V262+I262/5</f>
        <v>0.11995240382414692</v>
      </c>
      <c r="Y262" s="117"/>
      <c r="AA262" s="117"/>
    </row>
    <row r="263" spans="1:27" x14ac:dyDescent="0.2">
      <c r="A263" t="s">
        <v>392</v>
      </c>
      <c r="B263" t="s">
        <v>32</v>
      </c>
      <c r="C263" s="144">
        <v>-27.51131405234349</v>
      </c>
      <c r="D263" s="90">
        <v>41.535773987116798</v>
      </c>
      <c r="E263" s="12">
        <v>2.5097706313878771</v>
      </c>
      <c r="F263" s="90">
        <v>-5.0682982449918468</v>
      </c>
      <c r="G263" s="90">
        <v>-0.81577403989686503</v>
      </c>
      <c r="H263" s="12">
        <v>-3.5700065080310059</v>
      </c>
      <c r="I263" s="12">
        <v>-6.9897099688337354</v>
      </c>
      <c r="J263" s="12">
        <v>0.81774942578543763</v>
      </c>
      <c r="K263" s="90">
        <v>-0.1220224822718818</v>
      </c>
      <c r="L263" s="7">
        <v>69.693159885933099</v>
      </c>
      <c r="M263" s="14">
        <v>3.5332544913461321</v>
      </c>
      <c r="N263" s="7">
        <v>-5.0682982449918468</v>
      </c>
      <c r="O263" s="7">
        <v>-0.81577403989686503</v>
      </c>
      <c r="P263" s="7">
        <v>-7.2723036999429183E-2</v>
      </c>
      <c r="S263" s="99">
        <v>2.097625295854865E-3</v>
      </c>
      <c r="U263" s="117">
        <f>C263*S263</f>
        <v>-5.7708428278403119E-2</v>
      </c>
      <c r="V263" s="117">
        <f>(1+S263)*R262*(1-U263)+S263</f>
        <v>-0.17122413603349523</v>
      </c>
      <c r="W263" s="117">
        <f>V263+I263/3</f>
        <v>-2.5011274589780736</v>
      </c>
      <c r="X263" s="117">
        <f>V263+I263/5</f>
        <v>-1.5691661298002422</v>
      </c>
      <c r="Y263" s="117"/>
      <c r="AA263" s="117"/>
    </row>
    <row r="264" spans="1:27" x14ac:dyDescent="0.2">
      <c r="B264" t="s">
        <v>34</v>
      </c>
      <c r="C264" s="145">
        <v>6.540722083277025</v>
      </c>
      <c r="D264" s="90">
        <v>4.8757936426943251</v>
      </c>
      <c r="E264" s="12">
        <v>0.25454810942655731</v>
      </c>
      <c r="F264" s="90">
        <v>28.369559405590291</v>
      </c>
      <c r="G264" s="90">
        <v>3.3373742293873159</v>
      </c>
      <c r="H264" s="12">
        <v>5.6955422230775772E-2</v>
      </c>
      <c r="I264" s="12">
        <v>0.38275846617143983</v>
      </c>
      <c r="J264" s="12">
        <v>0.86807480581078078</v>
      </c>
      <c r="K264" s="90">
        <v>5.8184495662768638</v>
      </c>
      <c r="L264" s="7">
        <v>4.8757936426943251</v>
      </c>
      <c r="M264" s="14">
        <v>0.25454810942655731</v>
      </c>
      <c r="N264" s="7">
        <v>15.65260558462624</v>
      </c>
      <c r="O264" s="7">
        <v>1.3931005453734231</v>
      </c>
      <c r="P264" s="7">
        <v>3.210268262291907</v>
      </c>
      <c r="W264" s="117">
        <f>V262+I264/3</f>
        <v>0.20659350459860482</v>
      </c>
      <c r="X264" s="117">
        <f>V262+I264/5</f>
        <v>0.15555904244241286</v>
      </c>
      <c r="Y264" s="117"/>
      <c r="AA264" s="117"/>
    </row>
    <row r="265" spans="1:27" x14ac:dyDescent="0.2">
      <c r="B265" t="s">
        <v>35</v>
      </c>
      <c r="C265" s="143">
        <v>4.4987144766778027</v>
      </c>
      <c r="D265" s="90">
        <v>2.3695878398449728</v>
      </c>
      <c r="E265" s="12">
        <v>0.47327445381800293</v>
      </c>
      <c r="F265" s="90">
        <v>28.083997296264009</v>
      </c>
      <c r="G265" s="90">
        <v>5.2426716436121543</v>
      </c>
      <c r="H265" s="12">
        <v>-0.27613770546556621</v>
      </c>
      <c r="I265" s="12">
        <v>0.1342391425403191</v>
      </c>
      <c r="J265" s="12">
        <v>1.41486188360911</v>
      </c>
      <c r="K265" s="90">
        <v>11.851849011050531</v>
      </c>
      <c r="L265" s="7">
        <v>2.3695878398449728</v>
      </c>
      <c r="M265" s="14">
        <v>0.47327445381800293</v>
      </c>
      <c r="N265" s="7">
        <v>6.0404591389044828</v>
      </c>
      <c r="O265" s="7">
        <v>0.34270782691797402</v>
      </c>
      <c r="P265" s="7">
        <v>2.5491602536665918</v>
      </c>
      <c r="W265" s="117">
        <f>V263+I265/3</f>
        <v>-0.12647775518672219</v>
      </c>
      <c r="X265" s="117">
        <f>V263+I265/5</f>
        <v>-0.1443763075254314</v>
      </c>
      <c r="Y265" s="117"/>
      <c r="AA265" s="117"/>
    </row>
    <row r="266" spans="1:27" x14ac:dyDescent="0.2">
      <c r="C266" s="101"/>
      <c r="D266" s="90"/>
      <c r="F266" s="90"/>
      <c r="G266" s="90"/>
      <c r="K266" s="90"/>
      <c r="L266" s="7"/>
      <c r="N266" s="7"/>
      <c r="O266" s="7"/>
      <c r="P266" s="7"/>
      <c r="AA266" s="117"/>
    </row>
    <row r="267" spans="1:27" x14ac:dyDescent="0.2">
      <c r="A267" s="128" t="s">
        <v>393</v>
      </c>
      <c r="B267" t="s">
        <v>30</v>
      </c>
      <c r="C267" s="143">
        <v>36.284908744670503</v>
      </c>
      <c r="D267" s="90">
        <v>18.892728483808039</v>
      </c>
      <c r="E267" s="12">
        <v>0.47932269537310079</v>
      </c>
      <c r="F267" s="90">
        <v>108.2491529721118</v>
      </c>
      <c r="G267" s="90">
        <v>1.9833106025934659</v>
      </c>
      <c r="H267" s="12">
        <v>-3.4743985044476948E-2</v>
      </c>
      <c r="I267" s="12">
        <v>0.16985121909122419</v>
      </c>
      <c r="J267" s="12">
        <v>0.36607416384507152</v>
      </c>
      <c r="K267" s="90">
        <v>5.7296728243824857</v>
      </c>
      <c r="L267" s="7">
        <v>18.892728483808039</v>
      </c>
      <c r="M267" s="14">
        <v>0.47932269537310079</v>
      </c>
      <c r="N267" s="7">
        <v>61.15776855453084</v>
      </c>
      <c r="O267" s="7">
        <v>0.68548773223836901</v>
      </c>
      <c r="P267" s="7">
        <v>3.2371062023648909</v>
      </c>
      <c r="Q267" s="99">
        <v>8.5298312648349556E-2</v>
      </c>
      <c r="R267" s="99">
        <v>5.5031566067287957E-2</v>
      </c>
      <c r="S267" s="99">
        <v>8.8556795603713101E-3</v>
      </c>
      <c r="U267" s="117">
        <f>C267*S267</f>
        <v>0.32132752472011678</v>
      </c>
      <c r="V267" s="117">
        <f>(1+S267)*Q267*(1-U267)+S267</f>
        <v>6.7257948440491544E-2</v>
      </c>
      <c r="W267" s="117">
        <f>V267+I267/3</f>
        <v>0.1238750214708996</v>
      </c>
      <c r="X267" s="117">
        <f>V267+I267/5</f>
        <v>0.10122819225873639</v>
      </c>
      <c r="Y267" s="117"/>
      <c r="AA267" s="36"/>
    </row>
    <row r="268" spans="1:27" x14ac:dyDescent="0.2">
      <c r="A268" t="s">
        <v>394</v>
      </c>
      <c r="B268" t="s">
        <v>32</v>
      </c>
      <c r="C268" s="143">
        <v>50.361775669281172</v>
      </c>
      <c r="D268" s="90">
        <v>21.072085162769849</v>
      </c>
      <c r="E268" s="12">
        <v>0.58158573873273811</v>
      </c>
      <c r="F268" s="90">
        <v>174.44814823194969</v>
      </c>
      <c r="G268" s="90">
        <v>2.4638998707576669</v>
      </c>
      <c r="H268" s="12">
        <v>-0.13497216518196911</v>
      </c>
      <c r="I268" s="12">
        <v>3.938866560118881E-2</v>
      </c>
      <c r="J268" s="12">
        <v>0.27300240437166351</v>
      </c>
      <c r="K268" s="90">
        <v>8.2786372057837259</v>
      </c>
      <c r="L268" s="7">
        <v>21.072085162769849</v>
      </c>
      <c r="M268" s="14">
        <v>0.58158573873273811</v>
      </c>
      <c r="N268" s="7">
        <v>90.29359027658252</v>
      </c>
      <c r="O268" s="7">
        <v>0.79289925894448321</v>
      </c>
      <c r="P268" s="7">
        <v>4.2849860172411036</v>
      </c>
      <c r="S268" s="99">
        <v>6.1500502833713071E-3</v>
      </c>
      <c r="U268" s="117">
        <f>C268*S268</f>
        <v>0.30972745272594487</v>
      </c>
      <c r="V268" s="117">
        <f>(1+S268)*R267*(1-U268)+S268</f>
        <v>4.43704501758539E-2</v>
      </c>
      <c r="W268" s="117">
        <f>V268+I268/3</f>
        <v>5.750000537625017E-2</v>
      </c>
      <c r="X268" s="117">
        <f>V268+I268/5</f>
        <v>5.2248183296091662E-2</v>
      </c>
      <c r="Y268" s="117"/>
      <c r="AA268" s="117"/>
    </row>
    <row r="269" spans="1:27" x14ac:dyDescent="0.2">
      <c r="B269" t="s">
        <v>34</v>
      </c>
      <c r="C269" s="143">
        <v>3.095041490519737</v>
      </c>
      <c r="D269" s="90">
        <v>1.92061057864176</v>
      </c>
      <c r="E269" s="12">
        <v>0.37945562780832393</v>
      </c>
      <c r="F269" s="90">
        <v>6.7315673465172177</v>
      </c>
      <c r="G269" s="90">
        <v>1.174952215385912</v>
      </c>
      <c r="H269" s="12">
        <v>-8.0210371046307127E-2</v>
      </c>
      <c r="I269" s="12">
        <v>8.046604133691182E-2</v>
      </c>
      <c r="J269" s="12">
        <v>0.29583948640568258</v>
      </c>
      <c r="K269" s="90">
        <v>3.504910064213917</v>
      </c>
      <c r="L269" s="7">
        <v>1.92061057864176</v>
      </c>
      <c r="M269" s="14">
        <v>0.37945562780832393</v>
      </c>
      <c r="N269" s="7">
        <v>5.0834078896682877</v>
      </c>
      <c r="O269" s="7">
        <v>0.64243610473042589</v>
      </c>
      <c r="P269" s="7">
        <v>2.646766578398851</v>
      </c>
      <c r="W269" s="117">
        <f>V267+I269/3</f>
        <v>9.4079962219462146E-2</v>
      </c>
      <c r="X269" s="117">
        <f>V267+I269/5</f>
        <v>8.3351156707873908E-2</v>
      </c>
      <c r="Y269" s="117"/>
      <c r="AA269" s="117"/>
    </row>
    <row r="270" spans="1:27" x14ac:dyDescent="0.2">
      <c r="B270" t="s">
        <v>35</v>
      </c>
      <c r="C270" s="143">
        <v>2.7714873850099822</v>
      </c>
      <c r="D270" s="90">
        <v>1.8646284114572</v>
      </c>
      <c r="E270" s="12">
        <v>0.32721021154837959</v>
      </c>
      <c r="F270" s="90">
        <v>6.6952586857609342</v>
      </c>
      <c r="G270" s="90">
        <v>1.415763723830487</v>
      </c>
      <c r="H270" s="12">
        <v>-5.8460368789204457E-2</v>
      </c>
      <c r="I270" s="12">
        <v>4.8068327981487302E-2</v>
      </c>
      <c r="J270" s="12">
        <v>0.33566908431752301</v>
      </c>
      <c r="K270" s="90">
        <v>3.590666453767382</v>
      </c>
      <c r="L270" s="7">
        <v>1.8646284114572</v>
      </c>
      <c r="M270" s="14">
        <v>0.32721021154837959</v>
      </c>
      <c r="N270" s="7">
        <v>3.7382710794613518</v>
      </c>
      <c r="O270" s="7">
        <v>0.34883207467599142</v>
      </c>
      <c r="P270" s="7">
        <v>2.004834344736766</v>
      </c>
      <c r="W270" s="117">
        <f>V268+I270/3</f>
        <v>6.0393226169682998E-2</v>
      </c>
      <c r="X270" s="117">
        <f>V268+I270/5</f>
        <v>5.3984115772151356E-2</v>
      </c>
      <c r="Y270" s="117"/>
      <c r="AA270" s="117"/>
    </row>
    <row r="271" spans="1:27" x14ac:dyDescent="0.2">
      <c r="C271" s="101"/>
      <c r="D271" s="90"/>
      <c r="F271" s="90"/>
      <c r="G271" s="90"/>
      <c r="K271" s="90"/>
      <c r="L271" s="7"/>
      <c r="N271" s="7"/>
      <c r="O271" s="7"/>
      <c r="P271" s="7"/>
      <c r="AA271" s="117"/>
    </row>
    <row r="272" spans="1:27" x14ac:dyDescent="0.2">
      <c r="A272" t="s">
        <v>267</v>
      </c>
      <c r="B272" t="s">
        <v>30</v>
      </c>
      <c r="C272" s="146">
        <v>46.532706026350809</v>
      </c>
      <c r="D272" s="90">
        <v>22.844382493118729</v>
      </c>
      <c r="E272" s="12">
        <v>0.50906825663260835</v>
      </c>
      <c r="F272" s="90">
        <v>86.305664773733426</v>
      </c>
      <c r="G272" s="90">
        <v>0.85473126632394325</v>
      </c>
      <c r="H272" s="12">
        <v>-0.25759370515476088</v>
      </c>
      <c r="I272" s="12">
        <v>-0.1193854384439665</v>
      </c>
      <c r="J272" s="12">
        <v>9.9284381062983762E-2</v>
      </c>
      <c r="K272" s="90">
        <v>3.7779819524441391</v>
      </c>
      <c r="L272" s="7">
        <v>22.844382493118729</v>
      </c>
      <c r="M272" s="14">
        <v>0.50906825663260835</v>
      </c>
      <c r="N272" s="7">
        <v>73.034407209535303</v>
      </c>
      <c r="O272" s="7">
        <v>0.56952847677023044</v>
      </c>
      <c r="P272" s="7">
        <v>3.1970401139770348</v>
      </c>
      <c r="Q272" s="99">
        <v>6.9573436235922922E-2</v>
      </c>
      <c r="R272" s="99">
        <v>2.861625554573979E-2</v>
      </c>
      <c r="S272" s="99">
        <v>1.0496690868297839E-2</v>
      </c>
      <c r="U272" s="117">
        <f>C272*S272</f>
        <v>0.48843943042398436</v>
      </c>
      <c r="V272" s="117">
        <f>(1+S272)*Q272*(1-U272)+S272</f>
        <v>4.6461305541128713E-2</v>
      </c>
      <c r="W272" s="117">
        <f>V272+I272/3</f>
        <v>6.6661593931398797E-3</v>
      </c>
      <c r="X272" s="117">
        <f>V272+I272/5</f>
        <v>2.2584217852335414E-2</v>
      </c>
      <c r="Y272" s="117"/>
      <c r="AA272" s="117"/>
    </row>
    <row r="273" spans="1:27" x14ac:dyDescent="0.2">
      <c r="A273" t="s">
        <v>395</v>
      </c>
      <c r="B273" t="s">
        <v>32</v>
      </c>
      <c r="C273" s="144">
        <v>97.199152153880746</v>
      </c>
      <c r="D273" s="90">
        <v>23.411091350837069</v>
      </c>
      <c r="E273" s="12">
        <v>0.75914304978942804</v>
      </c>
      <c r="F273" s="90">
        <v>-124.90788648597859</v>
      </c>
      <c r="G273" s="90">
        <v>-2.285071769846621</v>
      </c>
      <c r="H273" s="12">
        <v>-0.55339199263887129</v>
      </c>
      <c r="I273" s="12">
        <v>-0.41717380571780083</v>
      </c>
      <c r="J273" s="12">
        <v>-0.14679511984811491</v>
      </c>
      <c r="K273" s="90">
        <v>-5.3354149370534367</v>
      </c>
      <c r="L273" s="7">
        <v>23.411091350837069</v>
      </c>
      <c r="M273" s="14">
        <v>0.75914304978942804</v>
      </c>
      <c r="N273" s="7">
        <v>-124.90788648597859</v>
      </c>
      <c r="O273" s="7">
        <v>-2.285071769846621</v>
      </c>
      <c r="P273" s="7">
        <v>-5.3354149370534367</v>
      </c>
      <c r="S273" s="99">
        <v>1.1135955939127549E-2</v>
      </c>
      <c r="U273" s="117">
        <f>C273*S273</f>
        <v>1.0824054757061707</v>
      </c>
      <c r="V273" s="117">
        <f>(1+S273)*R272*(1-U273)+S273</f>
        <v>8.751559687673556E-3</v>
      </c>
      <c r="W273" s="117">
        <f>V273+I273/3</f>
        <v>-0.13030637555159338</v>
      </c>
      <c r="X273" s="117">
        <f>V273+I273/5</f>
        <v>-7.4683201455886611E-2</v>
      </c>
      <c r="Y273" s="117"/>
      <c r="AA273" s="117"/>
    </row>
    <row r="274" spans="1:27" x14ac:dyDescent="0.2">
      <c r="B274" t="s">
        <v>34</v>
      </c>
      <c r="C274" s="145">
        <v>3.2374402556092639</v>
      </c>
      <c r="D274" s="90">
        <v>2.534333163407851</v>
      </c>
      <c r="E274" s="12">
        <v>0.21717994362465631</v>
      </c>
      <c r="F274" s="90">
        <v>7.180686020642626</v>
      </c>
      <c r="G274" s="90">
        <v>1.218013446951246</v>
      </c>
      <c r="H274" s="12">
        <v>4.5168068358256493E-2</v>
      </c>
      <c r="I274" s="12">
        <v>0.1849391456539051</v>
      </c>
      <c r="J274" s="12">
        <v>0.30865279743574869</v>
      </c>
      <c r="K274" s="90">
        <v>2.833363081192902</v>
      </c>
      <c r="L274" s="7">
        <v>2.534333163407851</v>
      </c>
      <c r="M274" s="14">
        <v>0.21717994362465631</v>
      </c>
      <c r="N274" s="7">
        <v>5.1454858738090001</v>
      </c>
      <c r="O274" s="7">
        <v>0.58936859603627023</v>
      </c>
      <c r="P274" s="7">
        <v>2.0303115423427598</v>
      </c>
      <c r="W274" s="117">
        <f>V272+I274/3</f>
        <v>0.10810768742576374</v>
      </c>
      <c r="X274" s="117">
        <f>V272+I274/5</f>
        <v>8.344913467190973E-2</v>
      </c>
      <c r="Y274" s="117"/>
      <c r="AA274" s="117"/>
    </row>
    <row r="275" spans="1:27" x14ac:dyDescent="0.2">
      <c r="B275" t="s">
        <v>35</v>
      </c>
      <c r="C275" s="143">
        <v>2.7814757768646952</v>
      </c>
      <c r="D275" s="90">
        <v>1.959006872632971</v>
      </c>
      <c r="E275" s="12">
        <v>0.29569515257789469</v>
      </c>
      <c r="F275" s="90">
        <v>7.3528195750077749</v>
      </c>
      <c r="G275" s="90">
        <v>1.643495814763464</v>
      </c>
      <c r="H275" s="12">
        <v>-0.1069609159824831</v>
      </c>
      <c r="I275" s="12">
        <v>0.1571569879745407</v>
      </c>
      <c r="J275" s="12">
        <v>0.43735917887381071</v>
      </c>
      <c r="K275" s="90">
        <v>3.7533403673695842</v>
      </c>
      <c r="L275" s="7">
        <v>1.959006872632971</v>
      </c>
      <c r="M275" s="14">
        <v>0.29569515257789469</v>
      </c>
      <c r="N275" s="7">
        <v>3.38736150738958</v>
      </c>
      <c r="O275" s="7">
        <v>0.21782887184005781</v>
      </c>
      <c r="P275" s="7">
        <v>1.729121808968874</v>
      </c>
      <c r="W275" s="117">
        <f>V273+I275/3</f>
        <v>6.1137222345853788E-2</v>
      </c>
      <c r="X275" s="117">
        <f>V273+I275/5</f>
        <v>4.0182957282581692E-2</v>
      </c>
      <c r="Y275" s="117"/>
      <c r="AA275" s="117"/>
    </row>
    <row r="276" spans="1:27" x14ac:dyDescent="0.2">
      <c r="C276" s="101"/>
      <c r="D276" s="90"/>
      <c r="F276" s="90"/>
      <c r="G276" s="90"/>
      <c r="K276" s="90"/>
      <c r="L276" s="7"/>
      <c r="N276" s="7"/>
      <c r="O276" s="7"/>
      <c r="P276" s="7"/>
      <c r="AA276" s="117"/>
    </row>
    <row r="277" spans="1:27" x14ac:dyDescent="0.2">
      <c r="A277" s="128" t="s">
        <v>269</v>
      </c>
      <c r="B277" t="s">
        <v>30</v>
      </c>
      <c r="C277" s="146">
        <v>34.829871630058271</v>
      </c>
      <c r="D277" s="90">
        <v>17.710921002241079</v>
      </c>
      <c r="E277" s="12">
        <v>0.49150197306623128</v>
      </c>
      <c r="F277" s="90">
        <v>-248.85926759544481</v>
      </c>
      <c r="G277" s="90">
        <v>-8.144995256906963</v>
      </c>
      <c r="H277" s="12">
        <v>-0.15383186218284781</v>
      </c>
      <c r="I277" s="12">
        <v>-2.7870308287278989E-2</v>
      </c>
      <c r="J277" s="12">
        <v>0.37441829725213771</v>
      </c>
      <c r="K277" s="90">
        <v>-14.05117597012346</v>
      </c>
      <c r="L277" s="7">
        <v>17.710921002241079</v>
      </c>
      <c r="M277" s="14">
        <v>0.49150197306623128</v>
      </c>
      <c r="N277" s="7">
        <v>-248.85926759544481</v>
      </c>
      <c r="O277" s="7">
        <v>-8.144995256906963</v>
      </c>
      <c r="P277" s="7">
        <v>-14.05117597012346</v>
      </c>
      <c r="Q277" s="99">
        <v>8.9463895763187598E-2</v>
      </c>
      <c r="R277" s="99">
        <v>-0.1103368545961204</v>
      </c>
      <c r="S277" s="99">
        <v>1.1987164923775689E-2</v>
      </c>
      <c r="U277" s="117">
        <f>C277*S277</f>
        <v>0.41751141550344451</v>
      </c>
      <c r="V277" s="117">
        <f>(1+S277)*Q277*(1-U277)+S277</f>
        <v>6.4723534448885886E-2</v>
      </c>
      <c r="W277" s="117">
        <f>V277+I277/3</f>
        <v>5.5433431686459554E-2</v>
      </c>
      <c r="X277" s="117">
        <f>V277+I277/5</f>
        <v>5.914947279143009E-2</v>
      </c>
      <c r="Y277" s="117"/>
      <c r="AA277" s="36"/>
    </row>
    <row r="278" spans="1:27" x14ac:dyDescent="0.2">
      <c r="A278" t="s">
        <v>396</v>
      </c>
      <c r="B278" t="s">
        <v>32</v>
      </c>
      <c r="C278" s="144">
        <v>-24.041109935801732</v>
      </c>
      <c r="D278" s="90">
        <v>20.446268271726861</v>
      </c>
      <c r="E278" s="12">
        <v>1.850471060875543</v>
      </c>
      <c r="F278" s="90">
        <v>-23.719542964523772</v>
      </c>
      <c r="G278" s="90">
        <v>-1.3375712358400181E-2</v>
      </c>
      <c r="H278" s="12">
        <v>-2.4850834185994288</v>
      </c>
      <c r="I278" s="12">
        <v>-2.7278095112113352</v>
      </c>
      <c r="J278" s="12">
        <v>19.09622596564499</v>
      </c>
      <c r="K278" s="90">
        <v>-1.160091545767459</v>
      </c>
      <c r="L278" s="7">
        <v>20.446268271726861</v>
      </c>
      <c r="M278" s="14">
        <v>1.850471060875543</v>
      </c>
      <c r="N278" s="7">
        <v>-23.719542964523772</v>
      </c>
      <c r="O278" s="7">
        <v>-1.3375712358400181E-2</v>
      </c>
      <c r="P278" s="7">
        <v>-1.160091545767459</v>
      </c>
      <c r="S278" s="99">
        <v>1.1174164739731899E-2</v>
      </c>
      <c r="U278" s="117">
        <f>C278*S278</f>
        <v>-0.26863932294865395</v>
      </c>
      <c r="V278" s="117">
        <f>(1+S278)*R277*(1-U278)+S278</f>
        <v>-0.13036764134389769</v>
      </c>
      <c r="W278" s="117">
        <f>V278+I278/3</f>
        <v>-1.0396374784143427</v>
      </c>
      <c r="X278" s="117">
        <f>V278+I278/5</f>
        <v>-0.67592954358616475</v>
      </c>
      <c r="Y278" s="117"/>
      <c r="AA278" s="117"/>
    </row>
    <row r="279" spans="1:27" x14ac:dyDescent="0.2">
      <c r="B279" t="s">
        <v>34</v>
      </c>
      <c r="C279" s="143">
        <v>3.1160160049567378</v>
      </c>
      <c r="D279" s="90">
        <v>2.295731650284373</v>
      </c>
      <c r="E279" s="12">
        <v>0.26324779890973438</v>
      </c>
      <c r="F279" s="90">
        <v>7.9776891342302854</v>
      </c>
      <c r="G279" s="90">
        <v>1.560220846600255</v>
      </c>
      <c r="H279" s="12">
        <v>-6.9611069845124884E-2</v>
      </c>
      <c r="I279" s="12">
        <v>0.25405098861315228</v>
      </c>
      <c r="J279" s="12">
        <v>0.5345343220514096</v>
      </c>
      <c r="K279" s="90">
        <v>3.4750094303234822</v>
      </c>
      <c r="L279" s="7">
        <v>2.295731650284373</v>
      </c>
      <c r="M279" s="14">
        <v>0.26324779890973438</v>
      </c>
      <c r="N279" s="7">
        <v>4.305228885841947</v>
      </c>
      <c r="O279" s="7">
        <v>0.38164530573446748</v>
      </c>
      <c r="P279" s="7">
        <v>1.875318870700178</v>
      </c>
      <c r="W279" s="117">
        <f>V277+I279/3</f>
        <v>0.14940719731993665</v>
      </c>
      <c r="X279" s="117">
        <f>V277+I279/5</f>
        <v>0.11553373217151634</v>
      </c>
      <c r="Y279" s="117"/>
      <c r="AA279" s="117"/>
    </row>
    <row r="280" spans="1:27" x14ac:dyDescent="0.2">
      <c r="B280" t="s">
        <v>35</v>
      </c>
      <c r="C280" s="143">
        <v>2.6526204513159022</v>
      </c>
      <c r="D280" s="90">
        <v>1.7656862540587219</v>
      </c>
      <c r="E280" s="12">
        <v>0.33436151667201119</v>
      </c>
      <c r="F280" s="90">
        <v>8.4051596364973662</v>
      </c>
      <c r="G280" s="90">
        <v>2.168625059920565</v>
      </c>
      <c r="H280" s="12">
        <v>-0.15956542901128251</v>
      </c>
      <c r="I280" s="12">
        <v>0.2457487902247544</v>
      </c>
      <c r="J280" s="12">
        <v>0.66038312264654442</v>
      </c>
      <c r="K280" s="90">
        <v>4.7602792495986854</v>
      </c>
      <c r="L280" s="7">
        <v>1.7656862540587219</v>
      </c>
      <c r="M280" s="14">
        <v>0.33436151667201119</v>
      </c>
      <c r="N280" s="7">
        <v>3.4360509854665442</v>
      </c>
      <c r="O280" s="7">
        <v>0.29534211491206791</v>
      </c>
      <c r="P280" s="7">
        <v>1.946014461837833</v>
      </c>
      <c r="W280" s="117">
        <f>V278+I280/3</f>
        <v>-4.8451377935646231E-2</v>
      </c>
      <c r="X280" s="117">
        <f>V278+I280/5</f>
        <v>-8.1217883298946816E-2</v>
      </c>
      <c r="Y280" s="117"/>
      <c r="AA280" s="117"/>
    </row>
    <row r="281" spans="1:27" x14ac:dyDescent="0.2">
      <c r="A281" s="99">
        <f>2.08/C284-1</f>
        <v>1.3133319128315613E-2</v>
      </c>
      <c r="B281" s="99">
        <f>2.21/C284-1</f>
        <v>7.6454151573835283E-2</v>
      </c>
      <c r="C281" s="99">
        <f>2.54/C284-1</f>
        <v>0.23719164932015468</v>
      </c>
      <c r="D281" s="99">
        <f>2.95/C284-1</f>
        <v>0.43689581318679394</v>
      </c>
      <c r="F281" s="12"/>
      <c r="G281" s="90"/>
      <c r="K281" s="90"/>
      <c r="L281" s="7"/>
      <c r="N281" s="7"/>
      <c r="O281" s="7"/>
      <c r="P281" s="7"/>
      <c r="AA281" s="117"/>
    </row>
    <row r="282" spans="1:27" x14ac:dyDescent="0.2">
      <c r="A282" s="33" t="s">
        <v>397</v>
      </c>
      <c r="B282" t="s">
        <v>30</v>
      </c>
      <c r="C282" s="143">
        <v>22.500281457704769</v>
      </c>
      <c r="D282" s="90">
        <v>14.952548686713531</v>
      </c>
      <c r="E282" s="12">
        <v>0.3354505935927603</v>
      </c>
      <c r="F282" s="90">
        <v>65.012357787069945</v>
      </c>
      <c r="G282" s="90">
        <v>1.8894019796720261</v>
      </c>
      <c r="H282" s="12">
        <v>-0.16041006991679771</v>
      </c>
      <c r="I282" s="12">
        <v>5.171143818306434E-2</v>
      </c>
      <c r="J282" s="12">
        <v>0.55975480393555399</v>
      </c>
      <c r="K282" s="90">
        <v>4.3479114597258146</v>
      </c>
      <c r="L282" s="7">
        <v>14.952548686713531</v>
      </c>
      <c r="M282" s="14">
        <v>0.3354505935927603</v>
      </c>
      <c r="N282" s="7">
        <v>29.5923535124697</v>
      </c>
      <c r="O282" s="7">
        <v>0.31519925953354622</v>
      </c>
      <c r="P282" s="7">
        <v>1.9790842439299161</v>
      </c>
      <c r="Q282" s="99">
        <v>9.1244939145330564E-2</v>
      </c>
      <c r="R282" s="99">
        <v>7.2478258077225882E-2</v>
      </c>
      <c r="S282" s="99">
        <v>1.1648552950057371E-2</v>
      </c>
      <c r="U282" s="117">
        <f>C282*S282</f>
        <v>0.26209571995126807</v>
      </c>
      <c r="V282" s="117">
        <f>(1+S282)*Q282*(1-U282)+S282</f>
        <v>7.9762881510907865E-2</v>
      </c>
      <c r="W282" s="117">
        <f>V282+I282/3</f>
        <v>9.7000027571929312E-2</v>
      </c>
      <c r="X282" s="117">
        <f>V282+I282/5</f>
        <v>9.0105169147520731E-2</v>
      </c>
      <c r="Y282" s="117"/>
      <c r="AA282" s="117"/>
    </row>
    <row r="283" spans="1:27" x14ac:dyDescent="0.2">
      <c r="A283" t="s">
        <v>398</v>
      </c>
      <c r="B283" t="s">
        <v>32</v>
      </c>
      <c r="C283" s="143">
        <v>25.562898463354681</v>
      </c>
      <c r="D283" s="90">
        <v>16.07465943595172</v>
      </c>
      <c r="E283" s="12">
        <v>0.37117226909947992</v>
      </c>
      <c r="F283" s="90">
        <v>-8.2905990639805101</v>
      </c>
      <c r="G283" s="90">
        <v>-1.324321558287507</v>
      </c>
      <c r="H283" s="12">
        <v>-0.16987617710471889</v>
      </c>
      <c r="I283" s="12">
        <v>0.4476309579577511</v>
      </c>
      <c r="J283" s="12">
        <v>1.670789799137262</v>
      </c>
      <c r="K283" s="90">
        <v>-0.51575581411312532</v>
      </c>
      <c r="L283" s="7">
        <v>16.07465943595172</v>
      </c>
      <c r="M283" s="14">
        <v>0.37117226909947992</v>
      </c>
      <c r="N283" s="7">
        <v>-8.2905990639805101</v>
      </c>
      <c r="O283" s="7">
        <v>-1.324321558287507</v>
      </c>
      <c r="P283" s="7">
        <v>-0.51575581411312532</v>
      </c>
      <c r="S283" s="99">
        <v>1.0913464142276961E-2</v>
      </c>
      <c r="U283" s="117">
        <f>C283*S283</f>
        <v>0.27897977575248811</v>
      </c>
      <c r="V283" s="117">
        <f>(1+S283)*R282*(1-U283)+S283</f>
        <v>6.3742073007059488E-2</v>
      </c>
      <c r="W283" s="117">
        <f>V283+I283/3</f>
        <v>0.21295239232630986</v>
      </c>
      <c r="X283" s="117">
        <f>V283+I283/5</f>
        <v>0.1532682645986097</v>
      </c>
      <c r="Y283" s="117"/>
      <c r="AA283" s="117"/>
    </row>
    <row r="284" spans="1:27" x14ac:dyDescent="0.2">
      <c r="B284" t="s">
        <v>34</v>
      </c>
      <c r="C284" s="143">
        <v>2.053036812361082</v>
      </c>
      <c r="D284" s="90">
        <v>1.497659202538538</v>
      </c>
      <c r="E284" s="12">
        <v>0.27051517365820399</v>
      </c>
      <c r="F284" s="90">
        <v>6.4477572684816566</v>
      </c>
      <c r="G284" s="90">
        <v>2.140595058822377</v>
      </c>
      <c r="H284" s="12">
        <v>-2.9219216298848941E-2</v>
      </c>
      <c r="I284" s="59">
        <v>0.17573803612464459</v>
      </c>
      <c r="J284" s="12">
        <v>0.67237135754578059</v>
      </c>
      <c r="K284" s="90">
        <v>4.3052232828087211</v>
      </c>
      <c r="L284" s="7">
        <v>1.497659202538538</v>
      </c>
      <c r="M284" s="14">
        <v>0.27051517365820399</v>
      </c>
      <c r="N284" s="7">
        <v>3.3314499030490081</v>
      </c>
      <c r="O284" s="7">
        <v>0.62269370085853248</v>
      </c>
      <c r="P284" s="7">
        <v>2.224437907771132</v>
      </c>
      <c r="W284" s="117">
        <f>V282+I284/3</f>
        <v>0.1383422268857894</v>
      </c>
      <c r="X284" s="117">
        <f>V282+I284/5</f>
        <v>0.11491048873583679</v>
      </c>
      <c r="Y284" s="117"/>
      <c r="AA284" s="117"/>
    </row>
    <row r="285" spans="1:27" x14ac:dyDescent="0.2">
      <c r="B285" t="s">
        <v>35</v>
      </c>
      <c r="C285" s="143">
        <v>1.852754352028942</v>
      </c>
      <c r="D285" s="90">
        <v>1.1349615360952059</v>
      </c>
      <c r="E285" s="12">
        <v>0.38741931176557992</v>
      </c>
      <c r="F285" s="90">
        <v>8.2112432968726612</v>
      </c>
      <c r="G285" s="90">
        <v>3.4319114878238302</v>
      </c>
      <c r="H285" s="12">
        <v>-0.1249153432036207</v>
      </c>
      <c r="I285" s="12">
        <v>4.6511545559983603E-2</v>
      </c>
      <c r="J285" s="12">
        <v>1.2179386163334249</v>
      </c>
      <c r="K285" s="90">
        <v>7.2348207720969517</v>
      </c>
      <c r="L285" s="7">
        <v>1.1349615360952059</v>
      </c>
      <c r="M285" s="14">
        <v>0.38741931176557992</v>
      </c>
      <c r="N285" s="7">
        <v>3.2259998610013541</v>
      </c>
      <c r="O285" s="7">
        <v>0.74119135516728307</v>
      </c>
      <c r="P285" s="7">
        <v>2.8423869518083311</v>
      </c>
      <c r="W285" s="117">
        <f>V283+I285/3</f>
        <v>7.9245921527054022E-2</v>
      </c>
      <c r="X285" s="117">
        <f>V283+I285/5</f>
        <v>7.3044382119056214E-2</v>
      </c>
      <c r="Y285" s="117"/>
      <c r="AA285" s="117"/>
    </row>
    <row r="286" spans="1:27" x14ac:dyDescent="0.2">
      <c r="C286" s="101"/>
      <c r="D286" s="90"/>
      <c r="F286" s="90"/>
      <c r="G286" s="90"/>
      <c r="K286" s="90"/>
      <c r="L286" s="7"/>
      <c r="N286" s="7"/>
      <c r="O286" s="7"/>
      <c r="P286" s="7"/>
      <c r="AA286" s="117"/>
    </row>
    <row r="287" spans="1:27" x14ac:dyDescent="0.2">
      <c r="A287" s="128" t="s">
        <v>399</v>
      </c>
      <c r="B287" t="s">
        <v>30</v>
      </c>
      <c r="C287" s="145">
        <v>37.270250853261302</v>
      </c>
      <c r="D287" s="90">
        <v>27.137552107835909</v>
      </c>
      <c r="E287" s="12">
        <v>0.27187095641828057</v>
      </c>
      <c r="F287" s="90">
        <v>139.55241656646561</v>
      </c>
      <c r="G287" s="90">
        <v>2.7443380007262319</v>
      </c>
      <c r="H287" s="12">
        <v>0.2183530112932266</v>
      </c>
      <c r="I287" s="12">
        <v>0.51156815857698912</v>
      </c>
      <c r="J287" s="12">
        <v>0.95897705445671488</v>
      </c>
      <c r="K287" s="90">
        <v>5.1424098979867123</v>
      </c>
      <c r="L287" s="7">
        <v>27.137552107835909</v>
      </c>
      <c r="M287" s="14">
        <v>0.27187095641828057</v>
      </c>
      <c r="N287" s="7">
        <v>139.55241656646561</v>
      </c>
      <c r="O287" s="7">
        <v>2.7443380007262319</v>
      </c>
      <c r="P287" s="7">
        <v>5.1424098979867123</v>
      </c>
      <c r="Q287" s="99">
        <v>0.1182866856932686</v>
      </c>
      <c r="R287" s="99">
        <v>0.13375485505937551</v>
      </c>
      <c r="S287" s="99">
        <v>7.2213212691944976E-3</v>
      </c>
      <c r="U287" s="117">
        <f>C287*S287</f>
        <v>0.26914045519487023</v>
      </c>
      <c r="V287" s="117">
        <f>(1+S287)*Q287*(1-U287)+S287</f>
        <v>9.4296564639019365E-2</v>
      </c>
      <c r="W287" s="117">
        <f>V287+I287/3</f>
        <v>0.26481928416468237</v>
      </c>
      <c r="X287" s="117">
        <f>V287+I287/5</f>
        <v>0.19661019635441718</v>
      </c>
      <c r="Y287" s="117"/>
      <c r="AA287" s="117"/>
    </row>
    <row r="288" spans="1:27" x14ac:dyDescent="0.2">
      <c r="A288" t="s">
        <v>400</v>
      </c>
      <c r="B288" t="s">
        <v>32</v>
      </c>
      <c r="C288" s="145">
        <v>23.389424606480588</v>
      </c>
      <c r="D288" s="90">
        <v>20.867890119349401</v>
      </c>
      <c r="E288" s="12">
        <v>0.10780660617160009</v>
      </c>
      <c r="F288" s="90">
        <v>176.71562638939801</v>
      </c>
      <c r="G288" s="90">
        <v>6.5553644162941387</v>
      </c>
      <c r="H288" s="12">
        <v>0.65619639326039714</v>
      </c>
      <c r="I288" s="12">
        <v>1.3334307911320149</v>
      </c>
      <c r="J288" s="12">
        <v>2.1776341248922351</v>
      </c>
      <c r="K288" s="90">
        <v>8.4683034738400007</v>
      </c>
      <c r="L288" s="7">
        <v>20.867890119349401</v>
      </c>
      <c r="M288" s="14">
        <v>0.10780660617160009</v>
      </c>
      <c r="N288" s="7">
        <v>176.71562638939801</v>
      </c>
      <c r="O288" s="7">
        <v>6.5553644162941387</v>
      </c>
      <c r="P288" s="7">
        <v>8.4683034738400007</v>
      </c>
      <c r="S288" s="99">
        <v>1.052964423735755E-2</v>
      </c>
      <c r="U288" s="117">
        <f>C288*S288</f>
        <v>0.2462823200227372</v>
      </c>
      <c r="V288" s="117">
        <f>(1+S288)*R287*(1-U288)+S288</f>
        <v>0.11240457250466609</v>
      </c>
      <c r="W288" s="117">
        <f>V288+I288/3</f>
        <v>0.55688150288200444</v>
      </c>
      <c r="X288" s="117">
        <f>V288+I288/5</f>
        <v>0.37909073073106903</v>
      </c>
      <c r="Y288" s="117"/>
      <c r="AA288" s="117"/>
    </row>
    <row r="289" spans="1:27" x14ac:dyDescent="0.2">
      <c r="B289" t="s">
        <v>34</v>
      </c>
      <c r="C289" s="145">
        <v>4.4085744483889941</v>
      </c>
      <c r="D289" s="90">
        <v>3.811715675907847</v>
      </c>
      <c r="E289" s="12">
        <v>0.1353858893546086</v>
      </c>
      <c r="F289" s="90">
        <v>13.205915714898889</v>
      </c>
      <c r="G289" s="90">
        <v>1.9955070214873361</v>
      </c>
      <c r="H289" s="12">
        <v>0.34489724035899583</v>
      </c>
      <c r="I289" s="12">
        <v>0.5531374537680398</v>
      </c>
      <c r="J289" s="12">
        <v>0.85810109277443503</v>
      </c>
      <c r="K289" s="90">
        <v>3.464559489147522</v>
      </c>
      <c r="L289" s="7">
        <v>3.811715675907847</v>
      </c>
      <c r="M289" s="14">
        <v>0.1353858893546086</v>
      </c>
      <c r="N289" s="7">
        <v>13.205915714898889</v>
      </c>
      <c r="O289" s="7">
        <v>1.9955070214873361</v>
      </c>
      <c r="P289" s="7">
        <v>3.464559489147522</v>
      </c>
      <c r="W289" s="117">
        <f>V287+I289/3</f>
        <v>0.27867571589503259</v>
      </c>
      <c r="X289" s="117">
        <f>V287+I289/5</f>
        <v>0.20492405539262731</v>
      </c>
      <c r="Y289" s="117"/>
      <c r="AA289" s="117"/>
    </row>
    <row r="290" spans="1:27" x14ac:dyDescent="0.2">
      <c r="B290" t="s">
        <v>35</v>
      </c>
      <c r="C290" s="145">
        <v>3.128449098162001</v>
      </c>
      <c r="D290" s="90">
        <v>2.2220940860144021</v>
      </c>
      <c r="E290" s="12">
        <v>0.2897138434120895</v>
      </c>
      <c r="F290" s="90">
        <v>11.3848035106735</v>
      </c>
      <c r="G290" s="90">
        <v>2.6391205844973471</v>
      </c>
      <c r="H290" s="12">
        <v>0.13939180684217439</v>
      </c>
      <c r="I290" s="12">
        <v>0.69009449204799234</v>
      </c>
      <c r="J290" s="12">
        <v>0.98618279174813805</v>
      </c>
      <c r="K290" s="90">
        <v>5.1234570049612689</v>
      </c>
      <c r="L290" s="7">
        <v>2.2220940860144021</v>
      </c>
      <c r="M290" s="14">
        <v>0.2897138434120895</v>
      </c>
      <c r="N290" s="7">
        <v>7.2537596735761047</v>
      </c>
      <c r="O290" s="7">
        <v>1.318643981721733</v>
      </c>
      <c r="P290" s="7">
        <v>3.2643800814872841</v>
      </c>
      <c r="W290" s="117">
        <f>V288+I290/3</f>
        <v>0.34243606985399688</v>
      </c>
      <c r="X290" s="117">
        <f>V288+I290/5</f>
        <v>0.25042347091426453</v>
      </c>
      <c r="Y290" s="117"/>
      <c r="AA290" s="117"/>
    </row>
    <row r="291" spans="1:27" x14ac:dyDescent="0.2">
      <c r="C291" s="101"/>
      <c r="D291" s="90"/>
      <c r="F291" s="90"/>
      <c r="G291" s="90"/>
      <c r="K291" s="90"/>
      <c r="L291" s="7"/>
      <c r="N291" s="7"/>
      <c r="O291" s="7"/>
      <c r="P291" s="7"/>
      <c r="AA291" s="117"/>
    </row>
    <row r="292" spans="1:27" x14ac:dyDescent="0.2">
      <c r="A292" t="s">
        <v>401</v>
      </c>
      <c r="B292" t="s">
        <v>30</v>
      </c>
      <c r="C292" s="145">
        <v>4.5187708624650931</v>
      </c>
      <c r="D292" s="90">
        <v>4.1182543728500622</v>
      </c>
      <c r="E292" s="12">
        <v>8.8633945337192821E-2</v>
      </c>
      <c r="F292" s="90">
        <v>9.0846383936529342</v>
      </c>
      <c r="G292" s="90">
        <v>1.010422451183342</v>
      </c>
      <c r="H292" s="12">
        <v>0.164219653335236</v>
      </c>
      <c r="I292" s="12">
        <v>0.37625518901120092</v>
      </c>
      <c r="J292" s="12">
        <v>0.50485730752083757</v>
      </c>
      <c r="K292" s="90">
        <v>2.2059439682852462</v>
      </c>
      <c r="L292" s="7">
        <v>4.1182543728500622</v>
      </c>
      <c r="M292" s="14">
        <v>8.8633945337192821E-2</v>
      </c>
      <c r="N292" s="7">
        <v>8.2799132705856096</v>
      </c>
      <c r="O292" s="7">
        <v>0.83233749233939403</v>
      </c>
      <c r="P292" s="7">
        <v>2.0105395444175649</v>
      </c>
      <c r="Q292" s="99">
        <v>0.11770031697044191</v>
      </c>
      <c r="R292" s="99">
        <v>0.109941770506394</v>
      </c>
      <c r="S292" s="99">
        <v>5.9365350535240398E-2</v>
      </c>
      <c r="U292" s="117">
        <f>C292*S292</f>
        <v>0.2682584162386708</v>
      </c>
      <c r="V292" s="117">
        <f>(1+S292)*Q292*(1-U292)+S292</f>
        <v>0.15060447990824397</v>
      </c>
      <c r="W292" s="117">
        <f>V292+I292/3</f>
        <v>0.27602287624531097</v>
      </c>
      <c r="X292" s="117">
        <f>V292+I292/5</f>
        <v>0.22585551771048415</v>
      </c>
      <c r="Y292" s="117"/>
      <c r="AA292" s="117"/>
    </row>
    <row r="293" spans="1:27" x14ac:dyDescent="0.2">
      <c r="A293" t="s">
        <v>402</v>
      </c>
      <c r="B293" t="s">
        <v>32</v>
      </c>
      <c r="C293" s="145">
        <v>5.0178223069249599</v>
      </c>
      <c r="D293" s="90">
        <v>4.5719195833120541</v>
      </c>
      <c r="E293" s="12">
        <v>8.8863793163326599E-2</v>
      </c>
      <c r="F293" s="90">
        <v>9.8264084516269357</v>
      </c>
      <c r="G293" s="90">
        <v>0.95830140060276281</v>
      </c>
      <c r="H293" s="12">
        <v>8.9616666695345959E-2</v>
      </c>
      <c r="I293" s="12">
        <v>0.33159995501763267</v>
      </c>
      <c r="J293" s="12">
        <v>0.5124368953552112</v>
      </c>
      <c r="K293" s="90">
        <v>2.1492959953832682</v>
      </c>
      <c r="L293" s="7">
        <v>4.6246482598265271</v>
      </c>
      <c r="M293" s="14">
        <v>7.8355514214966115E-2</v>
      </c>
      <c r="N293" s="7">
        <v>9.0815147876721074</v>
      </c>
      <c r="O293" s="7">
        <v>0.80985181064282741</v>
      </c>
      <c r="P293" s="7">
        <v>1.963720109605213</v>
      </c>
      <c r="S293" s="99">
        <v>4.6534675591272653E-2</v>
      </c>
      <c r="U293" s="117">
        <f>C293*S293</f>
        <v>0.23350273322740436</v>
      </c>
      <c r="V293" s="117">
        <f>(1+S293)*R292*(1-U293)+S293</f>
        <v>0.13472622239972348</v>
      </c>
      <c r="W293" s="117">
        <f>V293+I293/3</f>
        <v>0.24525954073893436</v>
      </c>
      <c r="X293" s="117">
        <f>V293+I293/5</f>
        <v>0.20104621340325002</v>
      </c>
      <c r="Y293" s="117"/>
      <c r="AA293" s="117"/>
    </row>
    <row r="294" spans="1:27" x14ac:dyDescent="0.2">
      <c r="B294" t="s">
        <v>34</v>
      </c>
      <c r="C294" s="145">
        <v>0.53186076282893857</v>
      </c>
      <c r="D294" s="90">
        <v>0.48477580945494397</v>
      </c>
      <c r="E294" s="12">
        <v>8.8528721546504485E-2</v>
      </c>
      <c r="F294" s="90">
        <v>1.431324950837465</v>
      </c>
      <c r="G294" s="90">
        <v>1.6911647763304161</v>
      </c>
      <c r="H294" s="12">
        <v>0.35493917008044867</v>
      </c>
      <c r="I294" s="12">
        <v>0.6746860430061048</v>
      </c>
      <c r="J294" s="12">
        <v>0.96368050263918414</v>
      </c>
      <c r="K294" s="90">
        <v>2.9525502777186219</v>
      </c>
      <c r="L294" s="7">
        <v>0.48477580945494397</v>
      </c>
      <c r="M294" s="14">
        <v>8.8528721546504485E-2</v>
      </c>
      <c r="N294" s="7">
        <v>1.131644796751708</v>
      </c>
      <c r="O294" s="7">
        <v>1.1277087460495301</v>
      </c>
      <c r="P294" s="7">
        <v>2.3343672986159691</v>
      </c>
      <c r="W294" s="117">
        <f>V292+I294/3</f>
        <v>0.37549982757694556</v>
      </c>
      <c r="X294" s="117">
        <f>V292+I294/5</f>
        <v>0.28554168850946493</v>
      </c>
      <c r="Y294" s="117"/>
      <c r="AA294" s="117"/>
    </row>
    <row r="295" spans="1:27" x14ac:dyDescent="0.2">
      <c r="B295" t="s">
        <v>35</v>
      </c>
      <c r="C295" s="145">
        <v>0.55166826850980866</v>
      </c>
      <c r="D295" s="90">
        <v>0.51158927617000116</v>
      </c>
      <c r="E295" s="12">
        <v>7.2650530450248052E-2</v>
      </c>
      <c r="F295" s="90">
        <v>1.521258747308089</v>
      </c>
      <c r="G295" s="90">
        <v>1.7575607192659131</v>
      </c>
      <c r="H295" s="12">
        <v>0.36133099676817237</v>
      </c>
      <c r="I295" s="12">
        <v>0.66730078119957925</v>
      </c>
      <c r="J295" s="12">
        <v>1.022248435179135</v>
      </c>
      <c r="K295" s="90">
        <v>2.9735938929309662</v>
      </c>
      <c r="L295" s="7">
        <v>0.51158927617000116</v>
      </c>
      <c r="M295" s="14">
        <v>7.2650530450248052E-2</v>
      </c>
      <c r="N295" s="7">
        <v>1.1703731602763019</v>
      </c>
      <c r="O295" s="7">
        <v>1.121516184785772</v>
      </c>
      <c r="P295" s="7">
        <v>2.2877202763870819</v>
      </c>
      <c r="W295" s="117">
        <f>V293+I295/3</f>
        <v>0.35715981613291659</v>
      </c>
      <c r="X295" s="117">
        <f>V293+I295/5</f>
        <v>0.26818637863963934</v>
      </c>
      <c r="Y295" s="117"/>
      <c r="AA295" s="117"/>
    </row>
    <row r="296" spans="1:27" x14ac:dyDescent="0.2">
      <c r="C296" s="101"/>
      <c r="D296" s="90"/>
      <c r="F296" s="90"/>
      <c r="G296" s="90"/>
      <c r="K296" s="90"/>
      <c r="L296" s="7"/>
      <c r="N296" s="7"/>
      <c r="O296" s="7"/>
      <c r="P296" s="7"/>
      <c r="AA296" s="117"/>
    </row>
    <row r="297" spans="1:27" x14ac:dyDescent="0.2">
      <c r="A297" t="s">
        <v>403</v>
      </c>
      <c r="B297" t="s">
        <v>30</v>
      </c>
      <c r="C297" s="143">
        <v>19.321000630193218</v>
      </c>
      <c r="D297" s="90">
        <v>10.42069270256567</v>
      </c>
      <c r="E297" s="12">
        <v>0.46065460573087003</v>
      </c>
      <c r="F297" s="90">
        <v>59.168219681434962</v>
      </c>
      <c r="G297" s="90">
        <v>2.0623786424897621</v>
      </c>
      <c r="H297" s="12">
        <v>-4.6202299560885278E-2</v>
      </c>
      <c r="I297" s="12">
        <v>0.27297364108885208</v>
      </c>
      <c r="J297" s="12">
        <v>0.60284474432794766</v>
      </c>
      <c r="K297" s="90">
        <v>5.6779545631229666</v>
      </c>
      <c r="L297" s="7">
        <v>13.79678612493524</v>
      </c>
      <c r="M297" s="14">
        <v>0.28591761943349892</v>
      </c>
      <c r="N297" s="7">
        <v>46.933497009804427</v>
      </c>
      <c r="O297" s="7">
        <v>1.429144220225361</v>
      </c>
      <c r="P297" s="7">
        <v>3.4017702807598398</v>
      </c>
      <c r="Q297" s="99">
        <v>6.8201688122549439E-2</v>
      </c>
      <c r="R297" s="99">
        <v>4.4961587015798242E-2</v>
      </c>
      <c r="S297" s="99">
        <v>2.154159412572286E-2</v>
      </c>
      <c r="U297" s="117">
        <f>C297*S297</f>
        <v>0.4162051536784579</v>
      </c>
      <c r="V297" s="117">
        <f>(1+S297)*Q297*(1-U297)+S297</f>
        <v>6.2215083837021283E-2</v>
      </c>
      <c r="W297" s="117">
        <f>V297+I297/3</f>
        <v>0.15320629753330531</v>
      </c>
      <c r="X297" s="117">
        <f>V297+I297/5</f>
        <v>0.1168098120547917</v>
      </c>
      <c r="Y297" s="117"/>
      <c r="AA297" s="117"/>
    </row>
    <row r="298" spans="1:27" x14ac:dyDescent="0.2">
      <c r="A298" t="s">
        <v>404</v>
      </c>
      <c r="B298" t="s">
        <v>32</v>
      </c>
      <c r="C298" s="143">
        <v>27.608648106400612</v>
      </c>
      <c r="D298" s="90">
        <v>11.58148045151953</v>
      </c>
      <c r="E298" s="12">
        <v>0.58051258406837547</v>
      </c>
      <c r="F298" s="90">
        <v>68.550113439285923</v>
      </c>
      <c r="G298" s="90">
        <v>1.4829217705662929</v>
      </c>
      <c r="H298" s="12">
        <v>-0.1727780139514217</v>
      </c>
      <c r="I298" s="12">
        <v>9.4955492891675597E-2</v>
      </c>
      <c r="J298" s="12">
        <v>0.41247256501156898</v>
      </c>
      <c r="K298" s="90">
        <v>5.9189422048622387</v>
      </c>
      <c r="L298" s="7">
        <v>16.930968314192569</v>
      </c>
      <c r="M298" s="14">
        <v>0.38675127268301818</v>
      </c>
      <c r="N298" s="7">
        <v>67.822837053814325</v>
      </c>
      <c r="O298" s="7">
        <v>1.456579430924426</v>
      </c>
      <c r="P298" s="7">
        <v>4.0058451350925441</v>
      </c>
      <c r="S298" s="99">
        <v>1.7897803039095259E-2</v>
      </c>
      <c r="U298" s="117">
        <f>C298*S298</f>
        <v>0.49413414598404842</v>
      </c>
      <c r="V298" s="117">
        <f>(1+S298)*R297*(1-U298)+S298</f>
        <v>4.104941179979231E-2</v>
      </c>
      <c r="W298" s="117">
        <f>V298+I298/3</f>
        <v>7.2701242763684171E-2</v>
      </c>
      <c r="X298" s="117">
        <f>V298+I298/5</f>
        <v>6.004051037812743E-2</v>
      </c>
      <c r="Y298" s="117"/>
      <c r="AA298" s="117"/>
    </row>
    <row r="299" spans="1:27" x14ac:dyDescent="0.2">
      <c r="B299" t="s">
        <v>34</v>
      </c>
      <c r="C299" s="145">
        <v>1.3177248591960189</v>
      </c>
      <c r="D299" s="90">
        <v>1.0631889389571709</v>
      </c>
      <c r="E299" s="12">
        <v>0.19316317701871949</v>
      </c>
      <c r="F299" s="90">
        <v>5.3205700593973466</v>
      </c>
      <c r="G299" s="90">
        <v>3.0376942290089111</v>
      </c>
      <c r="H299" s="12">
        <v>0.1849418506887566</v>
      </c>
      <c r="I299" s="12">
        <v>0.39156061205301751</v>
      </c>
      <c r="J299" s="12">
        <v>0.60218871744075875</v>
      </c>
      <c r="K299" s="90">
        <v>5.0043504634425808</v>
      </c>
      <c r="L299" s="7">
        <v>1.0631889389571709</v>
      </c>
      <c r="M299" s="14">
        <v>0.19316317701871949</v>
      </c>
      <c r="N299" s="7">
        <v>2.370811062199079</v>
      </c>
      <c r="O299" s="7">
        <v>0.79917002070187659</v>
      </c>
      <c r="P299" s="7">
        <v>2.229905687811697</v>
      </c>
      <c r="W299" s="117">
        <f>V297+I299/3</f>
        <v>0.19273528785469379</v>
      </c>
      <c r="X299" s="117">
        <f>V297+I299/5</f>
        <v>0.1405272062476248</v>
      </c>
      <c r="Y299" s="117"/>
      <c r="AA299" s="117"/>
    </row>
    <row r="300" spans="1:27" x14ac:dyDescent="0.2">
      <c r="B300" t="s">
        <v>35</v>
      </c>
      <c r="C300" s="145">
        <v>1.241328634224484</v>
      </c>
      <c r="D300" s="90">
        <v>1.047658131144682</v>
      </c>
      <c r="E300" s="12">
        <v>0.1560187187664426</v>
      </c>
      <c r="F300" s="90">
        <v>5.7269704038235307</v>
      </c>
      <c r="G300" s="90">
        <v>3.6135811628976371</v>
      </c>
      <c r="H300" s="12">
        <v>0.25861423062081718</v>
      </c>
      <c r="I300" s="12">
        <v>0.52291659965226778</v>
      </c>
      <c r="J300" s="12">
        <v>0.83614008729801625</v>
      </c>
      <c r="K300" s="90">
        <v>5.4664496304402119</v>
      </c>
      <c r="L300" s="7">
        <v>1.047658131144682</v>
      </c>
      <c r="M300" s="14">
        <v>0.1560187187664426</v>
      </c>
      <c r="N300" s="7">
        <v>2.295998930953882</v>
      </c>
      <c r="O300" s="7">
        <v>0.84963020077942475</v>
      </c>
      <c r="P300" s="7">
        <v>2.1915535828899162</v>
      </c>
      <c r="W300" s="117">
        <f>V298+I300/3</f>
        <v>0.21535494501721492</v>
      </c>
      <c r="X300" s="117">
        <f>V298+I300/5</f>
        <v>0.14563273173024588</v>
      </c>
      <c r="Y300" s="117"/>
      <c r="AA300" s="117"/>
    </row>
    <row r="301" spans="1:27" x14ac:dyDescent="0.2">
      <c r="C301" s="101"/>
      <c r="D301" s="90"/>
      <c r="F301" s="90"/>
      <c r="G301" s="90"/>
      <c r="K301" s="90"/>
      <c r="L301" s="7"/>
      <c r="N301" s="7"/>
      <c r="O301" s="7"/>
      <c r="P301" s="7"/>
      <c r="AA301" s="117"/>
    </row>
    <row r="302" spans="1:27" x14ac:dyDescent="0.2">
      <c r="A302" t="s">
        <v>286</v>
      </c>
      <c r="B302" t="s">
        <v>30</v>
      </c>
      <c r="C302" s="143">
        <v>13.146398412922011</v>
      </c>
      <c r="D302" s="90">
        <v>8.1440633532188027</v>
      </c>
      <c r="E302" s="12">
        <v>0.38050992390328409</v>
      </c>
      <c r="F302" s="90">
        <v>33.00599446352664</v>
      </c>
      <c r="G302" s="90">
        <v>1.5106491851855031</v>
      </c>
      <c r="H302" s="12">
        <v>-8.1284211039930332E-2</v>
      </c>
      <c r="I302" s="12">
        <v>0.11477701931633399</v>
      </c>
      <c r="J302" s="12">
        <v>0.47586130764377338</v>
      </c>
      <c r="K302" s="90">
        <v>4.0527674002537788</v>
      </c>
      <c r="L302" s="7">
        <v>8.1440633532188027</v>
      </c>
      <c r="M302" s="14">
        <v>0.38050992390328409</v>
      </c>
      <c r="N302" s="7">
        <v>21.978449071103</v>
      </c>
      <c r="O302" s="7">
        <v>0.67182283548471244</v>
      </c>
      <c r="P302" s="7">
        <v>2.698708018082447</v>
      </c>
      <c r="Q302" s="99">
        <v>0.1018132476833869</v>
      </c>
      <c r="R302" s="99">
        <v>8.2196868475149079E-2</v>
      </c>
      <c r="S302" s="99">
        <v>3.3719638913723218E-2</v>
      </c>
      <c r="U302" s="117">
        <f>C302*S302</f>
        <v>0.44329180749967417</v>
      </c>
      <c r="V302" s="117">
        <f>(1+S302)*Q302*(1-U302)+S302</f>
        <v>9.2311146211390707E-2</v>
      </c>
      <c r="W302" s="117">
        <f>V302+I302/3</f>
        <v>0.13057015265016869</v>
      </c>
      <c r="X302" s="117">
        <f>V302+I302/5</f>
        <v>0.1152665500746575</v>
      </c>
      <c r="Y302" s="117"/>
      <c r="AA302" s="117"/>
    </row>
    <row r="303" spans="1:27" x14ac:dyDescent="0.2">
      <c r="A303" t="s">
        <v>405</v>
      </c>
      <c r="B303" t="s">
        <v>32</v>
      </c>
      <c r="C303" s="145">
        <v>13.287219457893981</v>
      </c>
      <c r="D303" s="90">
        <v>1.210124233595139</v>
      </c>
      <c r="E303" s="12">
        <v>0.90892569830505809</v>
      </c>
      <c r="F303" s="90">
        <v>-1.719870401830079</v>
      </c>
      <c r="G303" s="90">
        <v>-1.12943794653804</v>
      </c>
      <c r="H303" s="12">
        <v>3.5771462450568947E-2</v>
      </c>
      <c r="I303" s="12">
        <v>0.44529651471446607</v>
      </c>
      <c r="J303" s="12">
        <v>0.95652492479349882</v>
      </c>
      <c r="K303" s="90">
        <v>-1.4212345758257761</v>
      </c>
      <c r="L303" s="7">
        <v>1.210124233595139</v>
      </c>
      <c r="M303" s="14">
        <v>0.90892569830505809</v>
      </c>
      <c r="N303" s="7">
        <v>-1.719870401830079</v>
      </c>
      <c r="O303" s="7">
        <v>-1.12943794653804</v>
      </c>
      <c r="P303" s="7">
        <v>-1.4212345758257761</v>
      </c>
      <c r="S303" s="99">
        <v>3.0489426310186321E-2</v>
      </c>
      <c r="U303" s="117">
        <f>C303*S303</f>
        <v>0.40511969852873236</v>
      </c>
      <c r="V303" s="117">
        <f>(1+S303)*R302*(1-U303)+S303</f>
        <v>8.0877574769720392E-2</v>
      </c>
      <c r="W303" s="117">
        <f>V303+I303/3</f>
        <v>0.2293097463412091</v>
      </c>
      <c r="X303" s="117">
        <f>V303+I303/5</f>
        <v>0.16993687771261362</v>
      </c>
      <c r="Y303" s="117"/>
      <c r="AA303" s="117"/>
    </row>
    <row r="304" spans="1:27" x14ac:dyDescent="0.2">
      <c r="B304" t="s">
        <v>34</v>
      </c>
      <c r="C304" s="145">
        <v>1.3384775177593129</v>
      </c>
      <c r="D304" s="90">
        <v>1.0313736769185451</v>
      </c>
      <c r="E304" s="12">
        <v>0.22944265911531889</v>
      </c>
      <c r="F304" s="90">
        <v>3.6765889368239151</v>
      </c>
      <c r="G304" s="90">
        <v>1.746843998529563</v>
      </c>
      <c r="H304" s="12">
        <v>0.2238382625477584</v>
      </c>
      <c r="I304" s="12">
        <v>0.48125075188514699</v>
      </c>
      <c r="J304" s="12">
        <v>0.76931042653870518</v>
      </c>
      <c r="K304" s="90">
        <v>3.5647496335261648</v>
      </c>
      <c r="L304" s="7">
        <v>1.0313736769185451</v>
      </c>
      <c r="M304" s="14">
        <v>0.22944265911531889</v>
      </c>
      <c r="N304" s="7">
        <v>2.7604252243252789</v>
      </c>
      <c r="O304" s="7">
        <v>1.062362040227905</v>
      </c>
      <c r="P304" s="7">
        <v>2.6764549901764561</v>
      </c>
      <c r="W304" s="117">
        <f>V302+I304/3</f>
        <v>0.25272806350643973</v>
      </c>
      <c r="X304" s="117">
        <f>V302+I304/5</f>
        <v>0.18856129658842011</v>
      </c>
      <c r="Y304" s="117"/>
      <c r="AA304" s="117"/>
    </row>
    <row r="305" spans="1:27" x14ac:dyDescent="0.2">
      <c r="B305" t="s">
        <v>35</v>
      </c>
      <c r="C305" s="145">
        <v>1.092167830180953</v>
      </c>
      <c r="D305" s="90">
        <v>0.7756936049598353</v>
      </c>
      <c r="E305" s="12">
        <v>0.28976702707740748</v>
      </c>
      <c r="F305" s="90">
        <v>12.70251206900706</v>
      </c>
      <c r="G305" s="90">
        <v>10.63054955290386</v>
      </c>
      <c r="H305" s="12">
        <v>0.28545881589512412</v>
      </c>
      <c r="I305" s="12">
        <v>0.63219314529010506</v>
      </c>
      <c r="J305" s="12">
        <v>1.0232310313969479</v>
      </c>
      <c r="K305" s="90">
        <v>16.375682341308949</v>
      </c>
      <c r="L305" s="7">
        <v>0.7756936049598353</v>
      </c>
      <c r="M305" s="14">
        <v>0.28976702707740748</v>
      </c>
      <c r="N305" s="7">
        <v>12.70251206900706</v>
      </c>
      <c r="O305" s="7">
        <v>10.63054955290386</v>
      </c>
      <c r="P305" s="7">
        <v>16.375682341308949</v>
      </c>
      <c r="W305" s="117">
        <f>V303+I305/3</f>
        <v>0.29160862319975539</v>
      </c>
      <c r="X305" s="117">
        <f>V303+I305/5</f>
        <v>0.20731620382774141</v>
      </c>
      <c r="Y305" s="117"/>
      <c r="AA305" s="117"/>
    </row>
    <row r="306" spans="1:27" x14ac:dyDescent="0.2">
      <c r="C306" s="101"/>
      <c r="D306" s="90"/>
      <c r="F306" s="90"/>
      <c r="G306" s="90"/>
      <c r="K306" s="90"/>
      <c r="L306" s="7"/>
      <c r="N306" s="7"/>
      <c r="O306" s="7"/>
      <c r="P306" s="7"/>
      <c r="AA306" s="117"/>
    </row>
    <row r="307" spans="1:27" x14ac:dyDescent="0.2">
      <c r="A307" s="78" t="s">
        <v>288</v>
      </c>
      <c r="B307" t="s">
        <v>30</v>
      </c>
      <c r="C307" s="143">
        <v>21.71427261777897</v>
      </c>
      <c r="D307" s="90">
        <v>11.833563821723279</v>
      </c>
      <c r="E307" s="12">
        <v>0.45503291636698312</v>
      </c>
      <c r="F307" s="90">
        <v>-123.5072319021445</v>
      </c>
      <c r="G307" s="90">
        <v>-6.6878364786219251</v>
      </c>
      <c r="H307" s="12">
        <v>-5.9169720132917332E-2</v>
      </c>
      <c r="I307" s="12">
        <v>0.25707962137507012</v>
      </c>
      <c r="J307" s="12">
        <v>0.94000349397573379</v>
      </c>
      <c r="K307" s="90">
        <v>-10.437027573672941</v>
      </c>
      <c r="L307" s="7">
        <v>11.833563821723279</v>
      </c>
      <c r="M307" s="14">
        <v>0.45503291636698312</v>
      </c>
      <c r="N307" s="7">
        <v>-123.5072319021445</v>
      </c>
      <c r="O307" s="7">
        <v>-6.6878364786219251</v>
      </c>
      <c r="P307" s="7">
        <v>-10.437027573672941</v>
      </c>
      <c r="Q307" s="99">
        <v>6.2486150947331752E-2</v>
      </c>
      <c r="R307" s="99">
        <v>5.2388727174451463E-2</v>
      </c>
      <c r="S307" s="99">
        <v>1.6743961517725309E-2</v>
      </c>
      <c r="U307" s="117">
        <f>C307*S307</f>
        <v>0.36358294509748751</v>
      </c>
      <c r="V307" s="117">
        <f>(1+S307)*Q307*(1-U307)+S307</f>
        <v>5.7177075015620853E-2</v>
      </c>
      <c r="W307" s="117">
        <f>V307+I307/3</f>
        <v>0.14287028214064423</v>
      </c>
      <c r="X307" s="117">
        <f>V307+I307/5</f>
        <v>0.10859299929063487</v>
      </c>
      <c r="Y307" s="117"/>
      <c r="AA307" s="117"/>
    </row>
    <row r="308" spans="1:27" x14ac:dyDescent="0.2">
      <c r="A308" t="s">
        <v>406</v>
      </c>
      <c r="B308" t="s">
        <v>32</v>
      </c>
      <c r="C308" s="143">
        <v>22.802208202519601</v>
      </c>
      <c r="D308" s="90">
        <v>15.798929538521691</v>
      </c>
      <c r="E308" s="12">
        <v>0.30713159891348008</v>
      </c>
      <c r="F308" s="90">
        <v>-11.326812626010559</v>
      </c>
      <c r="G308" s="90">
        <v>-1.49674191751126</v>
      </c>
      <c r="H308" s="12">
        <v>-1.6496005273205269E-2</v>
      </c>
      <c r="I308" s="12">
        <v>0.31730311604885553</v>
      </c>
      <c r="J308" s="12">
        <v>0.72796605031161699</v>
      </c>
      <c r="K308" s="90">
        <v>-0.71693544796139475</v>
      </c>
      <c r="L308" s="7">
        <v>15.798929538521691</v>
      </c>
      <c r="M308" s="14">
        <v>0.30713159891348008</v>
      </c>
      <c r="N308" s="7">
        <v>-11.326812626010559</v>
      </c>
      <c r="O308" s="7">
        <v>-1.49674191751126</v>
      </c>
      <c r="P308" s="7">
        <v>-0.71693544796139475</v>
      </c>
      <c r="S308" s="99">
        <v>1.230630455505812E-2</v>
      </c>
      <c r="U308" s="117">
        <f>C308*S308</f>
        <v>0.2806109186680506</v>
      </c>
      <c r="V308" s="117">
        <f>(1+S308)*R307*(1-U308)+S308</f>
        <v>5.0457981377805154E-2</v>
      </c>
      <c r="W308" s="117">
        <f>V308+I308/3</f>
        <v>0.15622568672742365</v>
      </c>
      <c r="X308" s="117">
        <f>V308+I308/5</f>
        <v>0.11391860458757627</v>
      </c>
      <c r="Y308" s="117"/>
      <c r="AA308" s="117"/>
    </row>
    <row r="309" spans="1:27" x14ac:dyDescent="0.2">
      <c r="B309" t="s">
        <v>34</v>
      </c>
      <c r="C309" s="145">
        <v>1.3568413165060491</v>
      </c>
      <c r="D309" s="90">
        <v>1.156257199872877</v>
      </c>
      <c r="E309" s="12">
        <v>0.14783166918124879</v>
      </c>
      <c r="F309" s="90">
        <v>7.5471746478296673</v>
      </c>
      <c r="G309" s="90">
        <v>4.5623119343565621</v>
      </c>
      <c r="H309" s="12">
        <v>8.6374171442154868E-2</v>
      </c>
      <c r="I309" s="12">
        <v>0.95790347742648119</v>
      </c>
      <c r="J309" s="12">
        <v>1.5402563919662751</v>
      </c>
      <c r="K309" s="90">
        <v>6.5272455372899998</v>
      </c>
      <c r="L309" s="7">
        <v>1.156257199872877</v>
      </c>
      <c r="M309" s="14">
        <v>0.14783166918124879</v>
      </c>
      <c r="N309" s="7">
        <v>2.7509426273608542</v>
      </c>
      <c r="O309" s="7">
        <v>1.027460834141388</v>
      </c>
      <c r="P309" s="7">
        <v>2.3791788087142738</v>
      </c>
      <c r="W309" s="117">
        <f>V307+I309/3</f>
        <v>0.37647823415778126</v>
      </c>
      <c r="X309" s="117">
        <f>V307+I309/5</f>
        <v>0.2487577705009171</v>
      </c>
      <c r="Y309" s="117"/>
      <c r="AA309" s="117"/>
    </row>
    <row r="310" spans="1:27" x14ac:dyDescent="0.2">
      <c r="B310" t="s">
        <v>35</v>
      </c>
      <c r="C310" s="145">
        <v>1.194578664496839</v>
      </c>
      <c r="D310" s="90">
        <v>0.99777225547635351</v>
      </c>
      <c r="E310" s="12">
        <v>0.1647496434262711</v>
      </c>
      <c r="F310" s="90">
        <v>7.2403615242215649</v>
      </c>
      <c r="G310" s="90">
        <v>5.061016942129327</v>
      </c>
      <c r="H310" s="12">
        <v>0.21160973774564451</v>
      </c>
      <c r="I310" s="12">
        <v>1.29133187976084</v>
      </c>
      <c r="J310" s="12">
        <v>2.1503628311823482</v>
      </c>
      <c r="K310" s="90">
        <v>7.2565272129809752</v>
      </c>
      <c r="L310" s="7">
        <v>0.99777225547635351</v>
      </c>
      <c r="M310" s="14">
        <v>0.1647496434262711</v>
      </c>
      <c r="N310" s="7">
        <v>3.0306927271217492</v>
      </c>
      <c r="O310" s="7">
        <v>1.5370390558568101</v>
      </c>
      <c r="P310" s="7">
        <v>3.0374594106897108</v>
      </c>
      <c r="W310" s="117">
        <f>V308+I310/3</f>
        <v>0.48090194129808517</v>
      </c>
      <c r="X310" s="117">
        <f>V308+I310/5</f>
        <v>0.30872435732997316</v>
      </c>
      <c r="Y310" s="117"/>
      <c r="AA310" s="117"/>
    </row>
    <row r="311" spans="1:27" x14ac:dyDescent="0.2">
      <c r="C311" s="101"/>
      <c r="D311" s="90"/>
      <c r="F311" s="90"/>
      <c r="G311" s="90"/>
      <c r="K311" s="90"/>
      <c r="L311" s="7"/>
      <c r="N311" s="7"/>
      <c r="O311" s="7"/>
      <c r="P311" s="7"/>
      <c r="AA311" s="117"/>
    </row>
    <row r="312" spans="1:27" x14ac:dyDescent="0.2">
      <c r="A312" t="s">
        <v>407</v>
      </c>
      <c r="B312" t="s">
        <v>30</v>
      </c>
      <c r="C312" s="144">
        <v>750.98932871140187</v>
      </c>
      <c r="D312" s="90">
        <v>11.642070974072929</v>
      </c>
      <c r="E312" s="12">
        <v>0.98449768787787018</v>
      </c>
      <c r="F312" s="90">
        <v>-191.64322877225999</v>
      </c>
      <c r="G312" s="90">
        <v>-1.2551876856906801</v>
      </c>
      <c r="H312" s="12">
        <v>-0.98157763568009615</v>
      </c>
      <c r="I312" s="12">
        <v>-0.97828489575264677</v>
      </c>
      <c r="J312" s="12">
        <v>-0.91019022699592023</v>
      </c>
      <c r="K312" s="90">
        <v>-16.461266144060829</v>
      </c>
      <c r="L312" s="7">
        <v>11.642070974072929</v>
      </c>
      <c r="M312" s="14">
        <v>0.98449768787787018</v>
      </c>
      <c r="N312" s="7">
        <v>-191.64322877225999</v>
      </c>
      <c r="O312" s="7">
        <v>-1.2551876856906801</v>
      </c>
      <c r="P312" s="7">
        <v>-16.461266144060829</v>
      </c>
      <c r="Q312" s="99">
        <v>1.2507738655796619E-3</v>
      </c>
      <c r="R312" s="99">
        <v>-0.19764394724276371</v>
      </c>
      <c r="S312" s="99">
        <v>2.1607565623140781E-2</v>
      </c>
      <c r="U312" s="117">
        <f>C312*S312</f>
        <v>16.22705120241006</v>
      </c>
      <c r="V312" s="117">
        <f>(1+S312)*Q312*(1-U312)+S312</f>
        <v>2.1504389273218037E-3</v>
      </c>
      <c r="W312" s="117">
        <f>V312+I312/3</f>
        <v>-0.32394452632356047</v>
      </c>
      <c r="X312" s="117">
        <f>V312+I312/5</f>
        <v>-0.19350654022320754</v>
      </c>
      <c r="Y312" s="117"/>
      <c r="AA312" s="117"/>
    </row>
    <row r="313" spans="1:27" x14ac:dyDescent="0.2">
      <c r="A313" t="s">
        <v>408</v>
      </c>
      <c r="B313" t="s">
        <v>32</v>
      </c>
      <c r="C313" s="144">
        <v>-6.2701284256812206</v>
      </c>
      <c r="D313" s="90">
        <v>20.495094247255249</v>
      </c>
      <c r="E313" s="12">
        <v>4.2686881122420628</v>
      </c>
      <c r="F313" s="90">
        <v>-4.7897201397222613</v>
      </c>
      <c r="G313" s="90">
        <v>-0.2361049384404148</v>
      </c>
      <c r="H313" s="12">
        <v>-5.2677292125727604</v>
      </c>
      <c r="I313" s="12">
        <v>-9.1377302250841037</v>
      </c>
      <c r="J313" s="12">
        <v>1.5174152209569349</v>
      </c>
      <c r="K313" s="90">
        <v>-0.2337008106397809</v>
      </c>
      <c r="L313" s="7">
        <v>21.253241525442309</v>
      </c>
      <c r="M313" s="14">
        <v>4.3896022668998587</v>
      </c>
      <c r="N313" s="7">
        <v>-4.7897201397222613</v>
      </c>
      <c r="O313" s="7">
        <v>-0.2361049384404148</v>
      </c>
      <c r="P313" s="7">
        <v>-0.22536421721780539</v>
      </c>
      <c r="S313" s="99">
        <v>1.6158113761438459E-2</v>
      </c>
      <c r="U313" s="117">
        <f>C313*S313</f>
        <v>-0.10131344840098619</v>
      </c>
      <c r="V313" s="117">
        <f>(1+S313)*R312*(1-U313)+S313</f>
        <v>-0.20502692662184677</v>
      </c>
      <c r="W313" s="117">
        <f>V313+I313/3</f>
        <v>-3.2509370016498815</v>
      </c>
      <c r="X313" s="117">
        <f>V313+I313/5</f>
        <v>-2.0325729716386678</v>
      </c>
      <c r="Y313" s="117"/>
      <c r="AA313" s="117"/>
    </row>
    <row r="314" spans="1:27" x14ac:dyDescent="0.2">
      <c r="B314" t="s">
        <v>34</v>
      </c>
      <c r="C314" s="143">
        <v>0.93931782568143585</v>
      </c>
      <c r="D314" s="90">
        <v>0.77474553841785176</v>
      </c>
      <c r="E314" s="12">
        <v>0.17520404996487079</v>
      </c>
      <c r="F314" s="90">
        <v>2.1368898762665811</v>
      </c>
      <c r="G314" s="90">
        <v>1.274938064457956</v>
      </c>
      <c r="H314" s="12">
        <v>-1.220050197317479E-2</v>
      </c>
      <c r="I314" s="12">
        <v>0.1140969088042572</v>
      </c>
      <c r="J314" s="12">
        <v>0.46305226503772512</v>
      </c>
      <c r="K314" s="90">
        <v>2.7581828746383432</v>
      </c>
      <c r="L314" s="7">
        <v>0.77474553841785176</v>
      </c>
      <c r="M314" s="14">
        <v>0.17520404996487079</v>
      </c>
      <c r="N314" s="7">
        <v>1.683855240008983</v>
      </c>
      <c r="O314" s="7">
        <v>0.79263630900160598</v>
      </c>
      <c r="P314" s="7">
        <v>2.173430057367832</v>
      </c>
      <c r="W314" s="117">
        <f>V312+I314/3</f>
        <v>4.0182741862074198E-2</v>
      </c>
      <c r="X314" s="117">
        <f>V312+I314/5</f>
        <v>2.4969820688173244E-2</v>
      </c>
      <c r="Y314" s="117"/>
      <c r="AA314" s="117"/>
    </row>
    <row r="315" spans="1:27" x14ac:dyDescent="0.2">
      <c r="B315" t="s">
        <v>35</v>
      </c>
      <c r="C315" s="146">
        <v>1.239252931770692</v>
      </c>
      <c r="D315" s="90">
        <v>0.89461272322254159</v>
      </c>
      <c r="E315" s="12">
        <v>0.27810320210880252</v>
      </c>
      <c r="F315" s="90">
        <v>2.7616713794467631</v>
      </c>
      <c r="G315" s="90">
        <v>1.2284969505787491</v>
      </c>
      <c r="H315" s="12">
        <v>-0.1184059259405937</v>
      </c>
      <c r="I315" s="12">
        <v>-4.7423371361520861E-2</v>
      </c>
      <c r="J315" s="12">
        <v>0.45168608294641749</v>
      </c>
      <c r="K315" s="90">
        <v>3.087002127019578</v>
      </c>
      <c r="L315" s="7">
        <v>0.89461272322254159</v>
      </c>
      <c r="M315" s="14">
        <v>0.27810320210880252</v>
      </c>
      <c r="N315" s="7">
        <v>2.094231537471928</v>
      </c>
      <c r="O315" s="7">
        <v>0.68991453139401426</v>
      </c>
      <c r="P315" s="7">
        <v>2.3409364556410091</v>
      </c>
      <c r="W315" s="117">
        <f>V313+I315/3</f>
        <v>-0.22083471707568705</v>
      </c>
      <c r="X315" s="117">
        <f>V313+I315/5</f>
        <v>-0.21451160089415094</v>
      </c>
      <c r="Y315" s="117"/>
      <c r="AA315" s="117"/>
    </row>
    <row r="316" spans="1:27" x14ac:dyDescent="0.2">
      <c r="C316" s="101"/>
      <c r="D316" s="90"/>
      <c r="F316" s="90"/>
      <c r="G316" s="90"/>
      <c r="K316" s="90"/>
      <c r="L316" s="7"/>
      <c r="N316" s="7"/>
      <c r="O316" s="7"/>
      <c r="P316" s="7"/>
      <c r="AA316" s="117"/>
    </row>
    <row r="317" spans="1:27" x14ac:dyDescent="0.2">
      <c r="A317" t="s">
        <v>409</v>
      </c>
      <c r="B317" t="s">
        <v>30</v>
      </c>
      <c r="C317" s="144">
        <v>-18.5180491890948</v>
      </c>
      <c r="D317" s="90">
        <v>17.34889764507156</v>
      </c>
      <c r="E317" s="12">
        <v>1.9368642165227781</v>
      </c>
      <c r="F317" s="90">
        <v>-16.15839900384805</v>
      </c>
      <c r="G317" s="90">
        <v>-0.12742433941888121</v>
      </c>
      <c r="H317" s="12">
        <v>-3.0490499323487001</v>
      </c>
      <c r="I317" s="12">
        <v>-4.6400521736624016</v>
      </c>
      <c r="J317" s="12">
        <v>38.661338170553528</v>
      </c>
      <c r="K317" s="90">
        <v>-0.93137900369354565</v>
      </c>
      <c r="L317" s="7">
        <v>17.34889764507156</v>
      </c>
      <c r="M317" s="14">
        <v>1.9368642165227781</v>
      </c>
      <c r="N317" s="7">
        <v>-16.15839900384805</v>
      </c>
      <c r="O317" s="7">
        <v>-0.12742433941888121</v>
      </c>
      <c r="P317" s="7">
        <v>-0.93137900369354565</v>
      </c>
      <c r="Q317" s="99">
        <v>-0.1554266367117243</v>
      </c>
      <c r="R317" s="99">
        <v>-0.12490234043853909</v>
      </c>
      <c r="S317" s="99">
        <v>2.7471104526001159E-3</v>
      </c>
      <c r="U317" s="117">
        <f>C317*S317</f>
        <v>-5.0871126489125423E-2</v>
      </c>
      <c r="V317" s="117">
        <f>(1+S317)*Q317*(1-U317)+S317</f>
        <v>-0.16103494914878713</v>
      </c>
      <c r="W317" s="117">
        <f>V317+I317/3</f>
        <v>-1.7077190070362542</v>
      </c>
      <c r="X317" s="117">
        <f>V317+I317/5</f>
        <v>-1.0890453838812675</v>
      </c>
      <c r="Y317" s="117"/>
      <c r="AA317" s="117"/>
    </row>
    <row r="318" spans="1:27" x14ac:dyDescent="0.2">
      <c r="A318" t="s">
        <v>410</v>
      </c>
      <c r="B318" t="s">
        <v>32</v>
      </c>
      <c r="C318" s="144">
        <v>-22.56042599574106</v>
      </c>
      <c r="D318" s="90">
        <v>38.548197144093798</v>
      </c>
      <c r="E318" s="12">
        <v>2.7086644175677761</v>
      </c>
      <c r="F318" s="90">
        <v>-14.07181492639131</v>
      </c>
      <c r="G318" s="90">
        <v>-0.37626111629949799</v>
      </c>
      <c r="H318" s="12">
        <v>-3.8985779256196378</v>
      </c>
      <c r="I318" s="12">
        <v>-10.697266055838909</v>
      </c>
      <c r="J318" s="12">
        <v>0.70571936543180791</v>
      </c>
      <c r="K318" s="90">
        <v>-0.36504469648192978</v>
      </c>
      <c r="L318" s="7">
        <v>38.548197144093798</v>
      </c>
      <c r="M318" s="14">
        <v>2.7086644175677761</v>
      </c>
      <c r="N318" s="7">
        <v>-14.07181492639131</v>
      </c>
      <c r="O318" s="7">
        <v>-0.37626111629949799</v>
      </c>
      <c r="P318" s="7">
        <v>-0.36504469648192978</v>
      </c>
      <c r="S318" s="99">
        <v>3.5377358490566039E-3</v>
      </c>
      <c r="U318" s="117">
        <f>C318*S318</f>
        <v>-7.9812827815121681E-2</v>
      </c>
      <c r="V318" s="117">
        <f>(1+S318)*R317*(1-U318)+S318</f>
        <v>-0.13181055208095011</v>
      </c>
      <c r="W318" s="117">
        <f>V318+I318/3</f>
        <v>-3.697565904027253</v>
      </c>
      <c r="X318" s="117">
        <f>V318+I318/5</f>
        <v>-2.271263763248732</v>
      </c>
      <c r="Y318" s="117"/>
      <c r="AA318" s="117"/>
    </row>
    <row r="319" spans="1:27" x14ac:dyDescent="0.2">
      <c r="B319" t="s">
        <v>34</v>
      </c>
      <c r="C319" s="143">
        <v>2.8781981039232791</v>
      </c>
      <c r="D319" s="90">
        <v>1.6018485414016721</v>
      </c>
      <c r="E319" s="12">
        <v>0.4434543823727114</v>
      </c>
      <c r="F319" s="90">
        <v>10.346551162827589</v>
      </c>
      <c r="G319" s="90">
        <v>2.594801604769382</v>
      </c>
      <c r="H319" s="12">
        <v>-0.1059733775316939</v>
      </c>
      <c r="I319" s="12">
        <v>0.2180844995723952</v>
      </c>
      <c r="J319" s="12">
        <v>0.75327702535062246</v>
      </c>
      <c r="K319" s="90">
        <v>6.4591319936989846</v>
      </c>
      <c r="L319" s="7">
        <v>1.6018485414016721</v>
      </c>
      <c r="M319" s="14">
        <v>0.4434543823727114</v>
      </c>
      <c r="N319" s="7">
        <v>5.5215309719288932</v>
      </c>
      <c r="O319" s="7">
        <v>0.91839851621140367</v>
      </c>
      <c r="P319" s="7">
        <v>3.446974435608853</v>
      </c>
      <c r="W319" s="117">
        <f>V317+I319/3</f>
        <v>-8.8340115957988727E-2</v>
      </c>
      <c r="X319" s="117">
        <f>V317+I319/5</f>
        <v>-0.1174180492343081</v>
      </c>
      <c r="Y319" s="117"/>
      <c r="AA319" s="117"/>
    </row>
    <row r="320" spans="1:27" x14ac:dyDescent="0.2">
      <c r="B320" t="s">
        <v>35</v>
      </c>
      <c r="C320" s="143">
        <v>2.8178500081585178</v>
      </c>
      <c r="D320" s="90">
        <v>1.983427016077024</v>
      </c>
      <c r="E320" s="12">
        <v>0.29612044277218069</v>
      </c>
      <c r="F320" s="90">
        <v>10.769180361915691</v>
      </c>
      <c r="G320" s="90">
        <v>2.821772035678157</v>
      </c>
      <c r="H320" s="12">
        <v>-3.8237495209874068E-3</v>
      </c>
      <c r="I320" s="12">
        <v>0.18169105371469521</v>
      </c>
      <c r="J320" s="12">
        <v>0.72991752893349782</v>
      </c>
      <c r="K320" s="90">
        <v>5.4295823716346314</v>
      </c>
      <c r="L320" s="7">
        <v>1.983427016077024</v>
      </c>
      <c r="M320" s="14">
        <v>0.29612044277218069</v>
      </c>
      <c r="N320" s="7">
        <v>5.3027983381943828</v>
      </c>
      <c r="O320" s="7">
        <v>0.88185968835857009</v>
      </c>
      <c r="P320" s="7">
        <v>2.673553549090335</v>
      </c>
      <c r="W320" s="117">
        <f>V318+I320/3</f>
        <v>-7.1246867509385026E-2</v>
      </c>
      <c r="X320" s="117">
        <f>V318+I320/5</f>
        <v>-9.5472341338011066E-2</v>
      </c>
      <c r="Y320" s="117"/>
      <c r="AA320" s="117"/>
    </row>
    <row r="321" spans="1:27" x14ac:dyDescent="0.2">
      <c r="C321" s="101"/>
      <c r="D321" s="90"/>
      <c r="F321" s="90"/>
      <c r="G321" s="90"/>
      <c r="K321" s="90"/>
      <c r="L321" s="7"/>
      <c r="N321" s="7"/>
      <c r="O321" s="7"/>
      <c r="P321" s="7"/>
      <c r="AA321" s="117"/>
    </row>
    <row r="322" spans="1:27" x14ac:dyDescent="0.2">
      <c r="A322" t="s">
        <v>411</v>
      </c>
      <c r="B322" t="s">
        <v>30</v>
      </c>
      <c r="C322" s="144">
        <v>48.859086099638759</v>
      </c>
      <c r="D322" s="90">
        <v>8.558683289979335</v>
      </c>
      <c r="E322" s="12">
        <v>0.82482923907898043</v>
      </c>
      <c r="F322" s="90">
        <v>93.149055329892391</v>
      </c>
      <c r="G322" s="90">
        <v>0.90648378358802528</v>
      </c>
      <c r="H322" s="12">
        <v>-0.73313535859557422</v>
      </c>
      <c r="I322" s="12">
        <v>-0.53354937752733322</v>
      </c>
      <c r="J322" s="12">
        <v>-0.16377285373065431</v>
      </c>
      <c r="K322" s="90">
        <v>10.88357311211095</v>
      </c>
      <c r="L322" s="7">
        <v>8.558683289979335</v>
      </c>
      <c r="M322" s="14">
        <v>0.82482923907898043</v>
      </c>
      <c r="N322" s="7">
        <v>93.149055329892391</v>
      </c>
      <c r="O322" s="7">
        <v>0.90648378358802528</v>
      </c>
      <c r="P322" s="7">
        <v>10.88357311211095</v>
      </c>
      <c r="Q322" s="99">
        <v>5.5541487685940527E-2</v>
      </c>
      <c r="R322" s="99">
        <v>-0.23386475536816201</v>
      </c>
      <c r="S322" s="99">
        <v>7.4106978913522949E-3</v>
      </c>
      <c r="U322" s="117">
        <f>C322*S322</f>
        <v>0.36207992633199315</v>
      </c>
      <c r="V322" s="117">
        <f>(1+S322)*Q322*(1-U322)+S322</f>
        <v>4.310429646628694E-2</v>
      </c>
      <c r="W322" s="117">
        <f>V322+I322/3</f>
        <v>-0.13474549604282413</v>
      </c>
      <c r="X322" s="117">
        <f>V322+I322/5</f>
        <v>-6.360557903917971E-2</v>
      </c>
      <c r="Y322" s="117"/>
      <c r="AA322" s="117"/>
    </row>
    <row r="323" spans="1:27" x14ac:dyDescent="0.2">
      <c r="A323" t="s">
        <v>412</v>
      </c>
      <c r="B323" t="s">
        <v>32</v>
      </c>
      <c r="C323" s="144">
        <v>-17.28461101222041</v>
      </c>
      <c r="D323" s="90">
        <v>12.61471063147631</v>
      </c>
      <c r="E323" s="12">
        <v>1.729823229609134</v>
      </c>
      <c r="F323" s="90">
        <v>-8.942353606993434</v>
      </c>
      <c r="G323" s="90">
        <v>-0.48264073743568248</v>
      </c>
      <c r="H323" s="12">
        <v>-2.1844224384357411</v>
      </c>
      <c r="I323" s="12">
        <v>-3.55122835496929</v>
      </c>
      <c r="J323" s="12">
        <v>3.3972495280541009</v>
      </c>
      <c r="K323" s="90">
        <v>-0.70888297545885937</v>
      </c>
      <c r="L323" s="7">
        <v>12.61471063147631</v>
      </c>
      <c r="M323" s="14">
        <v>1.729823229609134</v>
      </c>
      <c r="N323" s="7">
        <v>-8.942353606993434</v>
      </c>
      <c r="O323" s="7">
        <v>-0.48264073743568248</v>
      </c>
      <c r="P323" s="7">
        <v>-0.70888297545885937</v>
      </c>
      <c r="S323" s="99">
        <v>7.3831308794795082E-3</v>
      </c>
      <c r="U323" s="117">
        <f>C323*S323</f>
        <v>-0.12761454530411606</v>
      </c>
      <c r="V323" s="117">
        <f>(1+S323)*R322*(1-U323)+S323</f>
        <v>-0.25827316918211307</v>
      </c>
      <c r="W323" s="117">
        <f>V323+I323/3</f>
        <v>-1.4420159541718762</v>
      </c>
      <c r="X323" s="117">
        <f>V323+I323/5</f>
        <v>-0.96851884017597112</v>
      </c>
      <c r="Y323" s="117"/>
      <c r="AA323" s="117"/>
    </row>
    <row r="324" spans="1:27" x14ac:dyDescent="0.2">
      <c r="B324" t="s">
        <v>34</v>
      </c>
      <c r="C324" s="146">
        <v>2.713706328949395</v>
      </c>
      <c r="D324" s="90">
        <v>1.2371222115996789</v>
      </c>
      <c r="E324" s="12">
        <v>0.54412082162234987</v>
      </c>
      <c r="F324" s="90">
        <v>7.2394876439518434</v>
      </c>
      <c r="G324" s="90">
        <v>1.6677491100352759</v>
      </c>
      <c r="H324" s="12">
        <v>-0.34020619072103891</v>
      </c>
      <c r="I324" s="12">
        <v>-0.13336538392561259</v>
      </c>
      <c r="J324" s="12">
        <v>0.33003440944972318</v>
      </c>
      <c r="K324" s="90">
        <v>5.8518775073892808</v>
      </c>
      <c r="L324" s="7">
        <v>1.2371222115996789</v>
      </c>
      <c r="M324" s="14">
        <v>0.54412082162234987</v>
      </c>
      <c r="N324" s="7">
        <v>7.2394876439518434</v>
      </c>
      <c r="O324" s="7">
        <v>1.6677491100352759</v>
      </c>
      <c r="P324" s="7">
        <v>5.8518775073892808</v>
      </c>
      <c r="W324" s="117">
        <f>V322+I324/3</f>
        <v>-1.3508315089172593E-3</v>
      </c>
      <c r="X324" s="117">
        <f>V322+I324/5</f>
        <v>1.643121968116442E-2</v>
      </c>
      <c r="Y324" s="117"/>
      <c r="AA324" s="117"/>
    </row>
    <row r="325" spans="1:27" x14ac:dyDescent="0.2">
      <c r="B325" t="s">
        <v>35</v>
      </c>
      <c r="C325" s="144">
        <v>4.0422613260067664</v>
      </c>
      <c r="D325" s="90">
        <v>1.0803167508376881</v>
      </c>
      <c r="E325" s="12">
        <v>0.73274445571164937</v>
      </c>
      <c r="F325" s="90">
        <v>6.3395991056234626</v>
      </c>
      <c r="G325" s="90">
        <v>0.56832985161950678</v>
      </c>
      <c r="H325" s="12">
        <v>-0.51956929511338545</v>
      </c>
      <c r="I325" s="12">
        <v>-0.35965434990762729</v>
      </c>
      <c r="J325" s="12">
        <v>-6.8249268275748509E-2</v>
      </c>
      <c r="K325" s="90">
        <v>5.8682780774320831</v>
      </c>
      <c r="L325" s="7">
        <v>1.0803167508376881</v>
      </c>
      <c r="M325" s="14">
        <v>0.73274445571164937</v>
      </c>
      <c r="N325" s="7">
        <v>6.3395991056234626</v>
      </c>
      <c r="O325" s="7">
        <v>0.56832985161950678</v>
      </c>
      <c r="P325" s="7">
        <v>5.8682780774320831</v>
      </c>
      <c r="W325" s="117">
        <f>V323+I325/3</f>
        <v>-0.3781579524846555</v>
      </c>
      <c r="X325" s="117">
        <f>V323+I325/5</f>
        <v>-0.3302040391636385</v>
      </c>
      <c r="Y325" s="117"/>
      <c r="AA325" s="117"/>
    </row>
    <row r="326" spans="1:27" x14ac:dyDescent="0.2">
      <c r="C326" s="101"/>
      <c r="D326" s="90"/>
      <c r="F326" s="90"/>
      <c r="G326" s="90"/>
      <c r="K326" s="90"/>
      <c r="L326" s="7"/>
      <c r="N326" s="7"/>
      <c r="O326" s="7"/>
      <c r="P326" s="7"/>
      <c r="AA326" s="117"/>
    </row>
    <row r="327" spans="1:27" x14ac:dyDescent="0.2">
      <c r="A327" t="s">
        <v>413</v>
      </c>
      <c r="B327" t="s">
        <v>30</v>
      </c>
      <c r="C327" s="144">
        <v>287.12240261930037</v>
      </c>
      <c r="D327" s="90">
        <v>49.995874987823967</v>
      </c>
      <c r="E327" s="12">
        <v>0.82587260857483769</v>
      </c>
      <c r="F327" s="90">
        <v>-39.320022650434019</v>
      </c>
      <c r="G327" s="90">
        <v>-1.136945157506811</v>
      </c>
      <c r="H327" s="12">
        <v>-0.69541836241976873</v>
      </c>
      <c r="I327" s="12">
        <v>-0.49272015324586949</v>
      </c>
      <c r="J327" s="12">
        <v>-1.4474947376765279</v>
      </c>
      <c r="K327" s="90">
        <v>-0.78646533659046958</v>
      </c>
      <c r="L327" s="7">
        <v>55.314612584932853</v>
      </c>
      <c r="M327" s="14">
        <v>0.80734832224751452</v>
      </c>
      <c r="N327" s="7">
        <v>-39.320022650434019</v>
      </c>
      <c r="O327" s="7">
        <v>-1.136945157506811</v>
      </c>
      <c r="P327" s="7">
        <v>-0.71084331631284714</v>
      </c>
      <c r="Q327" s="99">
        <v>1.085872964415819E-2</v>
      </c>
      <c r="R327" s="99">
        <v>-4.2780118834447871E-2</v>
      </c>
      <c r="S327" s="99">
        <v>4.7130898629695103E-3</v>
      </c>
      <c r="U327" s="117">
        <f>C327*S327</f>
        <v>1.353233685216475</v>
      </c>
      <c r="V327" s="117">
        <f>(1+S327)*Q327*(1-U327)+S327</f>
        <v>8.59342920893175E-4</v>
      </c>
      <c r="W327" s="117">
        <f>V327+I327/3</f>
        <v>-0.16338070816106331</v>
      </c>
      <c r="X327" s="117">
        <f>V327+I327/5</f>
        <v>-9.768468772828072E-2</v>
      </c>
      <c r="Y327" s="117"/>
      <c r="AA327" s="117"/>
    </row>
    <row r="328" spans="1:27" x14ac:dyDescent="0.2">
      <c r="A328" t="s">
        <v>414</v>
      </c>
      <c r="B328" t="s">
        <v>32</v>
      </c>
      <c r="C328" s="145">
        <v>-77.022080872033072</v>
      </c>
      <c r="D328" s="90">
        <v>46.070569964757638</v>
      </c>
      <c r="E328" s="12">
        <v>1.5981475629216091</v>
      </c>
      <c r="F328" s="90">
        <v>-2.425901026527125</v>
      </c>
      <c r="G328" s="90">
        <v>-0.96850382385075273</v>
      </c>
      <c r="H328" s="12">
        <v>-2.1928820589945488</v>
      </c>
      <c r="I328" s="12">
        <v>-3.1172210299277809</v>
      </c>
      <c r="J328" s="12">
        <v>-0.86089493424662833</v>
      </c>
      <c r="K328" s="90">
        <v>-5.2656197402872452E-2</v>
      </c>
      <c r="L328" s="7">
        <v>55.284502443314857</v>
      </c>
      <c r="M328" s="14">
        <v>1.717774718851939</v>
      </c>
      <c r="N328" s="7">
        <v>-2.425901026527125</v>
      </c>
      <c r="O328" s="7">
        <v>-0.96850382385075273</v>
      </c>
      <c r="P328" s="7">
        <v>-4.3880308573175389E-2</v>
      </c>
      <c r="S328" s="99">
        <v>4.1937092584758201E-3</v>
      </c>
      <c r="U328" s="117">
        <f>C328*S328</f>
        <v>-0.32300821366011845</v>
      </c>
      <c r="V328" s="117">
        <f>(1+S328)*R327*(1-U328)+S328</f>
        <v>-5.264209677876102E-2</v>
      </c>
      <c r="W328" s="117">
        <f>V328+I328/3</f>
        <v>-1.0917157734213547</v>
      </c>
      <c r="X328" s="117">
        <f>V328+I328/5</f>
        <v>-0.67608630276431714</v>
      </c>
      <c r="Y328" s="117"/>
      <c r="AA328" s="117"/>
    </row>
    <row r="329" spans="1:27" x14ac:dyDescent="0.2">
      <c r="B329" t="s">
        <v>34</v>
      </c>
      <c r="C329" s="145">
        <v>3.117784544824119</v>
      </c>
      <c r="D329" s="90">
        <v>2.261875097708244</v>
      </c>
      <c r="E329" s="12">
        <v>0.27452488612042902</v>
      </c>
      <c r="F329" s="90">
        <v>30.347918788255321</v>
      </c>
      <c r="G329" s="90">
        <v>8.7338088479001392</v>
      </c>
      <c r="H329" s="12">
        <v>0.1199707638399794</v>
      </c>
      <c r="I329" s="12">
        <v>0.44319639535944488</v>
      </c>
      <c r="J329" s="12">
        <v>1.6929471168380621</v>
      </c>
      <c r="K329" s="90">
        <v>13.41715058404602</v>
      </c>
      <c r="L329" s="7">
        <v>2.261875097708244</v>
      </c>
      <c r="M329" s="14">
        <v>0.27452488612042902</v>
      </c>
      <c r="N329" s="7">
        <v>5.8877779329785689</v>
      </c>
      <c r="O329" s="7">
        <v>0.88844926528132206</v>
      </c>
      <c r="P329" s="7">
        <v>2.603051750710784</v>
      </c>
      <c r="W329" s="117">
        <f>V327+I329/3</f>
        <v>0.1485914747073748</v>
      </c>
      <c r="X329" s="117">
        <f>V327+I329/5</f>
        <v>8.9498621992782162E-2</v>
      </c>
      <c r="Y329" s="117"/>
      <c r="AA329" s="117"/>
    </row>
    <row r="330" spans="1:27" x14ac:dyDescent="0.2">
      <c r="B330" t="s">
        <v>35</v>
      </c>
      <c r="C330" s="143">
        <v>3.295013772582029</v>
      </c>
      <c r="D330" s="90">
        <v>1.923502375151819</v>
      </c>
      <c r="E330" s="12">
        <v>0.41623844150292277</v>
      </c>
      <c r="F330" s="90">
        <v>24.6904161521141</v>
      </c>
      <c r="G330" s="90">
        <v>6.493266449313281</v>
      </c>
      <c r="H330" s="12">
        <v>-0.16549200225357791</v>
      </c>
      <c r="I330" s="12">
        <v>0.2645678081325451</v>
      </c>
      <c r="J330" s="12">
        <v>1.3439138712659351</v>
      </c>
      <c r="K330" s="90">
        <v>12.836176586558841</v>
      </c>
      <c r="L330" s="7">
        <v>1.923502375151819</v>
      </c>
      <c r="M330" s="14">
        <v>0.41623844150292277</v>
      </c>
      <c r="N330" s="7">
        <v>6.169102578910727</v>
      </c>
      <c r="O330" s="7">
        <v>0.87225395846418974</v>
      </c>
      <c r="P330" s="7">
        <v>3.2072237906250618</v>
      </c>
      <c r="W330" s="117">
        <f>V328+I330/3</f>
        <v>3.5547172598754014E-2</v>
      </c>
      <c r="X330" s="117">
        <f>V328+I330/5</f>
        <v>2.7146484774800278E-4</v>
      </c>
      <c r="Y330" s="117"/>
      <c r="AA330" s="117"/>
    </row>
    <row r="331" spans="1:27" x14ac:dyDescent="0.2">
      <c r="C331" s="101"/>
      <c r="D331" s="90"/>
      <c r="F331" s="90"/>
      <c r="G331" s="90"/>
      <c r="K331" s="90"/>
      <c r="L331" s="7"/>
      <c r="N331" s="7"/>
      <c r="O331" s="7"/>
      <c r="P331" s="7"/>
      <c r="AA331" s="117"/>
    </row>
    <row r="332" spans="1:27" x14ac:dyDescent="0.2">
      <c r="A332" t="s">
        <v>415</v>
      </c>
      <c r="B332" t="s">
        <v>30</v>
      </c>
      <c r="C332" s="146">
        <v>193.31274125305569</v>
      </c>
      <c r="D332" s="90">
        <v>35.360370830868291</v>
      </c>
      <c r="E332" s="12">
        <v>0.81708204745501045</v>
      </c>
      <c r="F332" s="90">
        <v>-152.16029058046209</v>
      </c>
      <c r="G332" s="90">
        <v>-1.787119822491561</v>
      </c>
      <c r="H332" s="12">
        <v>-0.67264337559711262</v>
      </c>
      <c r="I332" s="12">
        <v>-0.49256415406294979</v>
      </c>
      <c r="J332" s="12">
        <v>2.257571570477408</v>
      </c>
      <c r="K332" s="90">
        <v>-4.3031305103743964</v>
      </c>
      <c r="L332" s="7">
        <v>43.217413329184893</v>
      </c>
      <c r="M332" s="14">
        <v>0.77643784341865385</v>
      </c>
      <c r="N332" s="7">
        <v>-152.16029058046209</v>
      </c>
      <c r="O332" s="7">
        <v>-1.787119822491561</v>
      </c>
      <c r="P332" s="7">
        <v>-3.5208097583597788</v>
      </c>
      <c r="Q332" s="99">
        <v>1.5985107117684132E-2</v>
      </c>
      <c r="R332" s="99">
        <v>-3.4765703236544793E-2</v>
      </c>
      <c r="S332" s="99">
        <v>3.8951515941443209E-3</v>
      </c>
      <c r="U332" s="117">
        <f>C332*S332</f>
        <v>0.75298243226024852</v>
      </c>
      <c r="V332" s="117">
        <f>(1+S332)*Q332*(1-U332)+S332</f>
        <v>7.8591342788806792E-3</v>
      </c>
      <c r="W332" s="117">
        <f>V332+I332/3</f>
        <v>-0.15632891707543592</v>
      </c>
      <c r="X332" s="117">
        <f>V332+I332/5</f>
        <v>-9.0653696533709277E-2</v>
      </c>
      <c r="Y332" s="117"/>
      <c r="AA332" s="117"/>
    </row>
    <row r="333" spans="1:27" x14ac:dyDescent="0.2">
      <c r="A333" t="s">
        <v>416</v>
      </c>
      <c r="B333" t="s">
        <v>32</v>
      </c>
      <c r="C333" s="145">
        <v>-80.691872856435083</v>
      </c>
      <c r="D333" s="90">
        <v>34.460834922173767</v>
      </c>
      <c r="E333" s="12">
        <v>1.4270669858349381</v>
      </c>
      <c r="F333" s="90">
        <v>-11.293370535282831</v>
      </c>
      <c r="G333" s="90">
        <v>-0.86004327157735316</v>
      </c>
      <c r="H333" s="12">
        <v>-1.963267040626957</v>
      </c>
      <c r="I333" s="12">
        <v>-2.9211495285571192</v>
      </c>
      <c r="J333" s="12">
        <v>-0.63221762369111056</v>
      </c>
      <c r="K333" s="90">
        <v>-0.32771610324554629</v>
      </c>
      <c r="L333" s="7">
        <v>48.684927029754327</v>
      </c>
      <c r="M333" s="14">
        <v>1.6033436244115109</v>
      </c>
      <c r="N333" s="7">
        <v>-11.293370535282831</v>
      </c>
      <c r="O333" s="7">
        <v>-0.86004327157735316</v>
      </c>
      <c r="P333" s="7">
        <v>-0.23196852135324669</v>
      </c>
      <c r="S333" s="99">
        <v>3.6998528894328221E-3</v>
      </c>
      <c r="U333" s="117">
        <f>C333*S333</f>
        <v>-0.29854805894162723</v>
      </c>
      <c r="V333" s="117">
        <f>(1+S333)*R332*(1-U333)+S333</f>
        <v>-4.1612113189711405E-2</v>
      </c>
      <c r="W333" s="117">
        <f>V333+I333/3</f>
        <v>-1.0153286227087512</v>
      </c>
      <c r="X333" s="117">
        <f>V333+I333/5</f>
        <v>-0.62584201890113522</v>
      </c>
      <c r="Y333" s="117"/>
      <c r="AA333" s="117"/>
    </row>
    <row r="334" spans="1:27" x14ac:dyDescent="0.2">
      <c r="B334" t="s">
        <v>34</v>
      </c>
      <c r="C334" s="143">
        <v>3.0901248761432512</v>
      </c>
      <c r="D334" s="90">
        <v>1.945556605025841</v>
      </c>
      <c r="E334" s="12">
        <v>0.37039547493819469</v>
      </c>
      <c r="F334" s="90">
        <v>18.836625042243611</v>
      </c>
      <c r="G334" s="90">
        <v>5.095748811858174</v>
      </c>
      <c r="H334" s="12">
        <v>-8.4392290122914382E-3</v>
      </c>
      <c r="I334" s="12">
        <v>0.19401534015009811</v>
      </c>
      <c r="J334" s="12">
        <v>0.91973513534494744</v>
      </c>
      <c r="K334" s="90">
        <v>9.6818694421864002</v>
      </c>
      <c r="L334" s="7">
        <v>1.945556605025841</v>
      </c>
      <c r="M334" s="14">
        <v>0.37039547493819469</v>
      </c>
      <c r="N334" s="7">
        <v>4.6703248757336366</v>
      </c>
      <c r="O334" s="7">
        <v>0.51137091959940939</v>
      </c>
      <c r="P334" s="7">
        <v>2.4005083499853268</v>
      </c>
      <c r="W334" s="117">
        <f>V332+I334/3</f>
        <v>7.2530914328913371E-2</v>
      </c>
      <c r="X334" s="117">
        <f>V332+I334/5</f>
        <v>4.6662202308900301E-2</v>
      </c>
      <c r="Y334" s="117"/>
      <c r="AA334" s="117"/>
    </row>
    <row r="335" spans="1:27" x14ac:dyDescent="0.2">
      <c r="B335" t="s">
        <v>35</v>
      </c>
      <c r="C335" s="143">
        <v>2.8053097053278262</v>
      </c>
      <c r="D335" s="90">
        <v>1.9487431829185451</v>
      </c>
      <c r="E335" s="12">
        <v>0.30533759633829199</v>
      </c>
      <c r="F335" s="90">
        <v>17.160843849080919</v>
      </c>
      <c r="G335" s="90">
        <v>5.1172724767212534</v>
      </c>
      <c r="H335" s="12">
        <v>-1.035101848670728E-2</v>
      </c>
      <c r="I335" s="12">
        <v>0.28950029413928902</v>
      </c>
      <c r="J335" s="12">
        <v>1.143542041718598</v>
      </c>
      <c r="K335" s="90">
        <v>8.8061084700652525</v>
      </c>
      <c r="L335" s="7">
        <v>1.9487431829185451</v>
      </c>
      <c r="M335" s="14">
        <v>0.30533759633829199</v>
      </c>
      <c r="N335" s="7">
        <v>9.2951678799028823</v>
      </c>
      <c r="O335" s="7">
        <v>2.3134194995474329</v>
      </c>
      <c r="P335" s="7">
        <v>4.7698270153699402</v>
      </c>
      <c r="W335" s="117">
        <f>V333+I335/3</f>
        <v>5.4887984856718267E-2</v>
      </c>
      <c r="X335" s="117">
        <f>V333+I335/5</f>
        <v>1.6287945638146395E-2</v>
      </c>
      <c r="Y335" s="117"/>
      <c r="AA335" s="117"/>
    </row>
    <row r="336" spans="1:27" x14ac:dyDescent="0.2">
      <c r="C336" s="101"/>
      <c r="D336" s="90"/>
      <c r="F336" s="90"/>
      <c r="G336" s="90"/>
      <c r="K336" s="90"/>
      <c r="L336" s="7"/>
      <c r="N336" s="7"/>
      <c r="O336" s="7"/>
      <c r="P336" s="7"/>
      <c r="AA336" s="117"/>
    </row>
    <row r="337" spans="1:27" x14ac:dyDescent="0.2">
      <c r="A337" t="s">
        <v>417</v>
      </c>
      <c r="B337" t="s">
        <v>30</v>
      </c>
      <c r="C337" s="146">
        <v>90.412067692934883</v>
      </c>
      <c r="D337" s="90">
        <v>32.324958485873019</v>
      </c>
      <c r="E337" s="12">
        <v>0.642470752956809</v>
      </c>
      <c r="F337" s="90">
        <v>-670.93742679855575</v>
      </c>
      <c r="G337" s="90">
        <v>-8.4208835603367707</v>
      </c>
      <c r="H337" s="12">
        <v>-0.41363020117664212</v>
      </c>
      <c r="I337" s="12">
        <v>-0.30703703510445801</v>
      </c>
      <c r="J337" s="12">
        <v>0.18596529506832901</v>
      </c>
      <c r="K337" s="90">
        <v>-20.756018204687742</v>
      </c>
      <c r="L337" s="7">
        <v>35.904887618431168</v>
      </c>
      <c r="M337" s="14">
        <v>0.6028750526934703</v>
      </c>
      <c r="N337" s="7">
        <v>-670.93742679855575</v>
      </c>
      <c r="O337" s="7">
        <v>-8.4208835603367707</v>
      </c>
      <c r="P337" s="7">
        <v>-18.686520730234552</v>
      </c>
      <c r="Q337" s="99">
        <v>5.0249973958796892E-2</v>
      </c>
      <c r="R337" s="99">
        <v>1.036069711590229E-2</v>
      </c>
      <c r="S337" s="99">
        <v>7.7824642529642236E-3</v>
      </c>
      <c r="U337" s="117">
        <f>C337*S337</f>
        <v>0.70362868485684726</v>
      </c>
      <c r="V337" s="117">
        <f>(1+S337)*Q337*(1-U337)+S337</f>
        <v>2.279101664405473E-2</v>
      </c>
      <c r="W337" s="117">
        <f>V337+I337/3</f>
        <v>-7.9554661724097947E-2</v>
      </c>
      <c r="X337" s="117">
        <f>V337+I337/5</f>
        <v>-3.8616390376836875E-2</v>
      </c>
      <c r="Y337" s="117"/>
      <c r="AA337" s="117"/>
    </row>
    <row r="338" spans="1:27" x14ac:dyDescent="0.2">
      <c r="A338" t="s">
        <v>418</v>
      </c>
      <c r="B338" t="s">
        <v>32</v>
      </c>
      <c r="C338" s="144">
        <v>326.23786561986532</v>
      </c>
      <c r="D338" s="90">
        <v>12.10754606189405</v>
      </c>
      <c r="E338" s="12">
        <v>0.96288736735421798</v>
      </c>
      <c r="F338" s="90">
        <v>-5.5346177121659936</v>
      </c>
      <c r="G338" s="90">
        <v>-1.016964976464795</v>
      </c>
      <c r="H338" s="12">
        <v>-0.84469950800954496</v>
      </c>
      <c r="I338" s="12">
        <v>-0.77672166516451779</v>
      </c>
      <c r="J338" s="12">
        <v>-0.54739214960812466</v>
      </c>
      <c r="K338" s="90">
        <v>-0.45712134266290638</v>
      </c>
      <c r="L338" s="7">
        <v>12.10754606189405</v>
      </c>
      <c r="M338" s="14">
        <v>0.96288736735421798</v>
      </c>
      <c r="N338" s="7">
        <v>-5.5346177121659936</v>
      </c>
      <c r="O338" s="7">
        <v>-1.016964976464795</v>
      </c>
      <c r="P338" s="7">
        <v>-0.45712134266290638</v>
      </c>
      <c r="S338" s="99">
        <v>5.8500848828294434E-3</v>
      </c>
      <c r="U338" s="117">
        <f>C338*S338</f>
        <v>1.9085192058693174</v>
      </c>
      <c r="V338" s="117">
        <f>(1+S338)*R337*(1-U338)+S338</f>
        <v>-3.6178736522041177E-3</v>
      </c>
      <c r="W338" s="117">
        <f>V338+I338/3</f>
        <v>-0.26252509537371005</v>
      </c>
      <c r="X338" s="117">
        <f>V338+I338/5</f>
        <v>-0.15896220668510769</v>
      </c>
      <c r="Y338" s="117"/>
      <c r="AA338" s="117"/>
    </row>
    <row r="339" spans="1:27" x14ac:dyDescent="0.2">
      <c r="B339" t="s">
        <v>34</v>
      </c>
      <c r="C339" s="143">
        <v>4.5432040471309589</v>
      </c>
      <c r="D339" s="90">
        <v>2.9882358660701112</v>
      </c>
      <c r="E339" s="12">
        <v>0.34226245727237659</v>
      </c>
      <c r="F339" s="90">
        <v>20.70701452753017</v>
      </c>
      <c r="G339" s="90">
        <v>3.5577998066379362</v>
      </c>
      <c r="H339" s="12">
        <v>-5.2417966539699552E-2</v>
      </c>
      <c r="I339" s="12">
        <v>0.2080470524088158</v>
      </c>
      <c r="J339" s="12">
        <v>0.53682604796621058</v>
      </c>
      <c r="K339" s="90">
        <v>6.929511409272517</v>
      </c>
      <c r="L339" s="7">
        <v>2.9882358660701112</v>
      </c>
      <c r="M339" s="14">
        <v>0.34226245727237659</v>
      </c>
      <c r="N339" s="7">
        <v>8.1452586446371171</v>
      </c>
      <c r="O339" s="7">
        <v>0.79284455642727769</v>
      </c>
      <c r="P339" s="7">
        <v>2.7257750089684558</v>
      </c>
      <c r="W339" s="117">
        <f>V337+I339/3</f>
        <v>9.2140034113660008E-2</v>
      </c>
      <c r="X339" s="117">
        <f>V337+I339/5</f>
        <v>6.4400427125817894E-2</v>
      </c>
      <c r="Y339" s="117"/>
      <c r="AA339" s="117"/>
    </row>
    <row r="340" spans="1:27" x14ac:dyDescent="0.2">
      <c r="B340" t="s">
        <v>35</v>
      </c>
      <c r="C340" s="145">
        <v>3.3800517134258579</v>
      </c>
      <c r="D340" s="90">
        <v>2.5408687165602029</v>
      </c>
      <c r="E340" s="12">
        <v>0.24827519458721509</v>
      </c>
      <c r="F340" s="90">
        <v>24.893393649496051</v>
      </c>
      <c r="G340" s="90">
        <v>6.3647966836179863</v>
      </c>
      <c r="H340" s="12">
        <v>8.0264382701094483E-2</v>
      </c>
      <c r="I340" s="12">
        <v>0.37925248378740362</v>
      </c>
      <c r="J340" s="12">
        <v>1.0522857402513111</v>
      </c>
      <c r="K340" s="90">
        <v>9.797197898204054</v>
      </c>
      <c r="L340" s="7">
        <v>2.5408687165602029</v>
      </c>
      <c r="M340" s="14">
        <v>0.24827519458721509</v>
      </c>
      <c r="N340" s="7">
        <v>24.893393649496051</v>
      </c>
      <c r="O340" s="7">
        <v>6.3647966836179863</v>
      </c>
      <c r="P340" s="7">
        <v>9.797197898204054</v>
      </c>
      <c r="W340" s="117">
        <f>V338+I340/3</f>
        <v>0.12279962094359709</v>
      </c>
      <c r="X340" s="117">
        <f>V338+I340/5</f>
        <v>7.2232623105276603E-2</v>
      </c>
      <c r="Y340" s="117"/>
      <c r="AA340" s="117"/>
    </row>
    <row r="341" spans="1:27" x14ac:dyDescent="0.2">
      <c r="C341" s="101"/>
      <c r="D341" s="90"/>
      <c r="F341" s="90"/>
      <c r="G341" s="90"/>
      <c r="K341" s="90"/>
      <c r="L341" s="7"/>
      <c r="N341" s="7"/>
      <c r="O341" s="7"/>
      <c r="P341" s="7"/>
      <c r="AA341" s="117"/>
    </row>
    <row r="342" spans="1:27" x14ac:dyDescent="0.2">
      <c r="A342" t="s">
        <v>419</v>
      </c>
      <c r="B342" t="s">
        <v>30</v>
      </c>
      <c r="C342" s="146">
        <v>75.885053193040278</v>
      </c>
      <c r="D342" s="90">
        <v>27.491778199739549</v>
      </c>
      <c r="E342" s="12">
        <v>0.63771814022710682</v>
      </c>
      <c r="F342" s="90">
        <v>-2897.2447436123862</v>
      </c>
      <c r="G342" s="90">
        <v>-39.179386080711133</v>
      </c>
      <c r="H342" s="12">
        <v>-0.47715535278148868</v>
      </c>
      <c r="I342" s="12">
        <v>-0.3046711855571681</v>
      </c>
      <c r="J342" s="12">
        <v>0.13998574804773289</v>
      </c>
      <c r="K342" s="90">
        <v>-105.3858620043659</v>
      </c>
      <c r="L342" s="7">
        <v>33.85794377777983</v>
      </c>
      <c r="M342" s="14">
        <v>0.55382592021579979</v>
      </c>
      <c r="N342" s="7">
        <v>-2897.2447436123862</v>
      </c>
      <c r="O342" s="7">
        <v>-39.179386080711133</v>
      </c>
      <c r="P342" s="7">
        <v>-85.570605309876484</v>
      </c>
      <c r="Q342" s="99">
        <v>3.81378537724767E-2</v>
      </c>
      <c r="R342" s="99">
        <v>-5.9547233133804688E-2</v>
      </c>
      <c r="S342" s="99">
        <v>6.6014150614802586E-3</v>
      </c>
      <c r="U342" s="117">
        <f>C342*S342</f>
        <v>0.50094873308976673</v>
      </c>
      <c r="V342" s="117">
        <f>(1+S342)*Q342*(1-U342)+S342</f>
        <v>2.5759802348374997E-2</v>
      </c>
      <c r="W342" s="117">
        <f>V342+I342/3</f>
        <v>-7.5797259504014378E-2</v>
      </c>
      <c r="X342" s="117">
        <f>V342+I342/5</f>
        <v>-3.5174434763058621E-2</v>
      </c>
      <c r="Y342" s="117"/>
      <c r="AA342" s="117"/>
    </row>
    <row r="343" spans="1:27" x14ac:dyDescent="0.2">
      <c r="A343" t="s">
        <v>420</v>
      </c>
      <c r="B343" t="s">
        <v>32</v>
      </c>
      <c r="C343" s="144">
        <v>-36.022157522731263</v>
      </c>
      <c r="D343" s="90">
        <v>40.258634070918468</v>
      </c>
      <c r="E343" s="12">
        <v>2.1176075182480072</v>
      </c>
      <c r="F343" s="90">
        <v>-3.3594940367177411</v>
      </c>
      <c r="G343" s="90">
        <v>-0.90673812265137699</v>
      </c>
      <c r="H343" s="12">
        <v>-2.4698848320518891</v>
      </c>
      <c r="I343" s="12">
        <v>-3.1225698489636109</v>
      </c>
      <c r="J343" s="12">
        <v>4.5702946314493014</v>
      </c>
      <c r="K343" s="90">
        <v>-8.3447789877812345E-2</v>
      </c>
      <c r="L343" s="7">
        <v>41.329886220815553</v>
      </c>
      <c r="M343" s="14">
        <v>2.147346218635986</v>
      </c>
      <c r="N343" s="7">
        <v>-3.3594940367177411</v>
      </c>
      <c r="O343" s="7">
        <v>-0.90673812265137699</v>
      </c>
      <c r="P343" s="7">
        <v>-8.1284860518821195E-2</v>
      </c>
      <c r="S343" s="99">
        <v>7.0066493041859744E-3</v>
      </c>
      <c r="U343" s="117">
        <f>C343*S343</f>
        <v>-0.25239462494192255</v>
      </c>
      <c r="V343" s="117">
        <f>(1+S343)*R342*(1-U343)+S343</f>
        <v>-6.8092517728432486E-2</v>
      </c>
      <c r="W343" s="117">
        <f>V343+I343/3</f>
        <v>-1.108949134049636</v>
      </c>
      <c r="X343" s="117">
        <f>V343+I343/5</f>
        <v>-0.69260648752115472</v>
      </c>
      <c r="Y343" s="117"/>
      <c r="AA343" s="117"/>
    </row>
    <row r="344" spans="1:27" x14ac:dyDescent="0.2">
      <c r="B344" t="s">
        <v>34</v>
      </c>
      <c r="C344" s="143">
        <v>2.8940930621927858</v>
      </c>
      <c r="D344" s="90">
        <v>1.8777525670836079</v>
      </c>
      <c r="E344" s="12">
        <v>0.35117754449095751</v>
      </c>
      <c r="F344" s="90">
        <v>9.431574181084164</v>
      </c>
      <c r="G344" s="90">
        <v>2.2589049413421698</v>
      </c>
      <c r="H344" s="12">
        <v>-9.8524458397068582E-2</v>
      </c>
      <c r="I344" s="12">
        <v>6.3953121428701243E-2</v>
      </c>
      <c r="J344" s="12">
        <v>0.29201809202791229</v>
      </c>
      <c r="K344" s="90">
        <v>5.0227992475774466</v>
      </c>
      <c r="L344" s="7">
        <v>1.8777525670836079</v>
      </c>
      <c r="M344" s="14">
        <v>0.35117754449095751</v>
      </c>
      <c r="N344" s="7">
        <v>4.6107235788136522</v>
      </c>
      <c r="O344" s="7">
        <v>0.59314972937332411</v>
      </c>
      <c r="P344" s="7">
        <v>2.4554478900139118</v>
      </c>
      <c r="W344" s="117">
        <f>V342+I344/3</f>
        <v>4.7077509491275413E-2</v>
      </c>
      <c r="X344" s="117">
        <f>V342+I344/5</f>
        <v>3.8550426634115245E-2</v>
      </c>
      <c r="Y344" s="117"/>
      <c r="AA344" s="117"/>
    </row>
    <row r="345" spans="1:27" x14ac:dyDescent="0.2">
      <c r="B345" t="s">
        <v>35</v>
      </c>
      <c r="C345" s="145">
        <v>2.1450198119887149</v>
      </c>
      <c r="D345" s="90">
        <v>1.8002924598487571</v>
      </c>
      <c r="E345" s="12">
        <v>0.16071056789930091</v>
      </c>
      <c r="F345" s="90">
        <v>10.048933538198529</v>
      </c>
      <c r="G345" s="90">
        <v>3.6847742300719579</v>
      </c>
      <c r="H345" s="12">
        <v>0.17236292525117339</v>
      </c>
      <c r="I345" s="12">
        <v>0.47231197524566593</v>
      </c>
      <c r="J345" s="12">
        <v>0.99379447004712707</v>
      </c>
      <c r="K345" s="90">
        <v>5.5818339310507037</v>
      </c>
      <c r="L345" s="7">
        <v>1.8002924598487571</v>
      </c>
      <c r="M345" s="14">
        <v>0.16071056789930091</v>
      </c>
      <c r="N345" s="7">
        <v>4.7272345983202682</v>
      </c>
      <c r="O345" s="7">
        <v>1.2038186183173301</v>
      </c>
      <c r="P345" s="7">
        <v>2.6258148071771652</v>
      </c>
      <c r="W345" s="117">
        <f>V343+I345/3</f>
        <v>8.9344807353456165E-2</v>
      </c>
      <c r="X345" s="117">
        <f>V343+I345/5</f>
        <v>2.6369877320700702E-2</v>
      </c>
      <c r="Y345" s="117"/>
      <c r="AA345" s="117"/>
    </row>
    <row r="346" spans="1:27" x14ac:dyDescent="0.2">
      <c r="C346" s="101"/>
      <c r="D346" s="90"/>
      <c r="F346" s="90"/>
      <c r="G346" s="90"/>
      <c r="K346" s="90"/>
      <c r="L346" s="7"/>
      <c r="N346" s="7"/>
      <c r="O346" s="7"/>
      <c r="P346" s="7"/>
      <c r="AA346" s="117"/>
    </row>
    <row r="347" spans="1:27" x14ac:dyDescent="0.2">
      <c r="A347" t="s">
        <v>279</v>
      </c>
      <c r="B347" t="s">
        <v>30</v>
      </c>
      <c r="C347" s="145">
        <v>30.06198814516214</v>
      </c>
      <c r="D347" s="90">
        <v>25.62123321187239</v>
      </c>
      <c r="E347" s="12">
        <v>0.14771993495062269</v>
      </c>
      <c r="F347" s="90">
        <v>106.19775480136251</v>
      </c>
      <c r="G347" s="90">
        <v>2.5326257960238352</v>
      </c>
      <c r="H347" s="12">
        <v>0.35532626968450481</v>
      </c>
      <c r="I347" s="12">
        <v>0.54095065011909438</v>
      </c>
      <c r="J347" s="12">
        <v>0.81433654420613077</v>
      </c>
      <c r="K347" s="90">
        <v>4.1449119143942088</v>
      </c>
      <c r="L347" s="7">
        <v>25.62123321187239</v>
      </c>
      <c r="M347" s="14">
        <v>0.14771993495062269</v>
      </c>
      <c r="N347" s="7">
        <v>64.015611825571142</v>
      </c>
      <c r="O347" s="7">
        <v>1.1294536980207399</v>
      </c>
      <c r="P347" s="7">
        <v>2.4985374941245029</v>
      </c>
      <c r="Q347" s="99">
        <v>0.1130883293614422</v>
      </c>
      <c r="R347" s="99">
        <v>4.0186851035319673E-2</v>
      </c>
      <c r="S347" s="99">
        <v>1.3293322083513829E-2</v>
      </c>
      <c r="U347" s="117">
        <f>C347*S347</f>
        <v>0.3996236908844148</v>
      </c>
      <c r="V347" s="117">
        <f>(1+S347)*Q347*(1-U347)+S347</f>
        <v>8.2091433334100933E-2</v>
      </c>
      <c r="W347" s="117">
        <f>V347+I347/3</f>
        <v>0.26240831670713238</v>
      </c>
      <c r="X347" s="117">
        <f>V347+I347/5</f>
        <v>0.19028156335791979</v>
      </c>
      <c r="Y347" s="117"/>
      <c r="AA347" s="117"/>
    </row>
    <row r="348" spans="1:27" x14ac:dyDescent="0.2">
      <c r="A348" t="s">
        <v>421</v>
      </c>
      <c r="B348" t="s">
        <v>32</v>
      </c>
      <c r="C348" s="144">
        <v>74.430616215082992</v>
      </c>
      <c r="D348" s="90">
        <v>38.024843611038527</v>
      </c>
      <c r="E348" s="12">
        <v>0.48912362217776473</v>
      </c>
      <c r="F348" s="90">
        <v>-16.260062550395581</v>
      </c>
      <c r="G348" s="90">
        <v>-1.218459330007543</v>
      </c>
      <c r="H348" s="12">
        <v>-0.1082347824003812</v>
      </c>
      <c r="I348" s="12">
        <v>0.27124962816875509</v>
      </c>
      <c r="J348" s="12">
        <v>-5.4274685360997603</v>
      </c>
      <c r="K348" s="90">
        <v>-0.42761681590914752</v>
      </c>
      <c r="L348" s="7">
        <v>54.17024103450315</v>
      </c>
      <c r="M348" s="14">
        <v>0.27220485615802509</v>
      </c>
      <c r="N348" s="7">
        <v>-16.260062550395581</v>
      </c>
      <c r="O348" s="7">
        <v>-1.218459330007543</v>
      </c>
      <c r="P348" s="7">
        <v>-0.30016596271076063</v>
      </c>
      <c r="S348" s="99">
        <v>6.6205815703634374E-3</v>
      </c>
      <c r="U348" s="117">
        <f>C348*S348</f>
        <v>0.49277396598437251</v>
      </c>
      <c r="V348" s="117">
        <f>(1+S348)*R347*(1-U348)+S348</f>
        <v>2.7139351364214224E-2</v>
      </c>
      <c r="W348" s="117">
        <f>V348+I348/3</f>
        <v>0.11755589408713259</v>
      </c>
      <c r="X348" s="117">
        <f>V348+I348/5</f>
        <v>8.1389276997965235E-2</v>
      </c>
      <c r="Y348" s="117"/>
      <c r="AA348" s="117"/>
    </row>
    <row r="349" spans="1:27" x14ac:dyDescent="0.2">
      <c r="B349" t="s">
        <v>34</v>
      </c>
      <c r="C349" s="145">
        <v>3.3996600166198649</v>
      </c>
      <c r="D349" s="90">
        <v>2.983046352415669</v>
      </c>
      <c r="E349" s="12">
        <v>0.1225456846177275</v>
      </c>
      <c r="F349" s="90">
        <v>12.23194525352195</v>
      </c>
      <c r="G349" s="90">
        <v>2.5979907384043779</v>
      </c>
      <c r="H349" s="12">
        <v>0.16191401906904471</v>
      </c>
      <c r="I349" s="12">
        <v>0.42180027403083059</v>
      </c>
      <c r="J349" s="12">
        <v>0.64721344809128234</v>
      </c>
      <c r="K349" s="90">
        <v>4.1004878263512499</v>
      </c>
      <c r="L349" s="7">
        <v>2.983046352415669</v>
      </c>
      <c r="M349" s="14">
        <v>0.1225456846177275</v>
      </c>
      <c r="N349" s="7">
        <v>5.5044795245164151</v>
      </c>
      <c r="O349" s="7">
        <v>0.61912647076670946</v>
      </c>
      <c r="P349" s="7">
        <v>1.845254439328069</v>
      </c>
      <c r="W349" s="117">
        <f>V347+I349/3</f>
        <v>0.22269152467771114</v>
      </c>
      <c r="X349" s="117">
        <f>V347+I349/5</f>
        <v>0.16645148814026706</v>
      </c>
      <c r="Y349" s="117"/>
      <c r="AA349" s="117"/>
    </row>
    <row r="350" spans="1:27" x14ac:dyDescent="0.2">
      <c r="B350" t="s">
        <v>35</v>
      </c>
      <c r="C350" s="145">
        <v>2.991132086302589</v>
      </c>
      <c r="D350" s="90">
        <v>2.2579079713893271</v>
      </c>
      <c r="E350" s="12">
        <v>0.24513264334629181</v>
      </c>
      <c r="F350" s="90">
        <v>11.405415182541701</v>
      </c>
      <c r="G350" s="90">
        <v>2.813076405007648</v>
      </c>
      <c r="H350" s="12">
        <v>5.2639101874777827E-2</v>
      </c>
      <c r="I350" s="12">
        <v>0.2196169657963398</v>
      </c>
      <c r="J350" s="12">
        <v>0.78914782371347969</v>
      </c>
      <c r="K350" s="90">
        <v>5.0513197734643578</v>
      </c>
      <c r="L350" s="7">
        <v>2.2579079713893271</v>
      </c>
      <c r="M350" s="14">
        <v>0.24513264334629181</v>
      </c>
      <c r="N350" s="7">
        <v>4.2775468250436139</v>
      </c>
      <c r="O350" s="7">
        <v>0.43007620580580702</v>
      </c>
      <c r="P350" s="7">
        <v>1.8944735034579689</v>
      </c>
      <c r="W350" s="117">
        <f>V348+I350/3</f>
        <v>0.10034500662966082</v>
      </c>
      <c r="X350" s="117">
        <f>V348+I350/5</f>
        <v>7.1062744523482185E-2</v>
      </c>
      <c r="Y350" s="117"/>
      <c r="AA350" s="117"/>
    </row>
    <row r="351" spans="1:27" x14ac:dyDescent="0.2">
      <c r="C351" s="101"/>
      <c r="D351" s="90"/>
      <c r="F351" s="90"/>
      <c r="G351" s="90"/>
      <c r="K351" s="90"/>
      <c r="L351" s="7"/>
      <c r="N351" s="7"/>
      <c r="O351" s="7"/>
      <c r="P351" s="7"/>
      <c r="AA351" s="117"/>
    </row>
    <row r="352" spans="1:27" x14ac:dyDescent="0.2">
      <c r="A352" t="s">
        <v>422</v>
      </c>
      <c r="B352" t="s">
        <v>30</v>
      </c>
      <c r="C352" s="145">
        <v>34.134290873223243</v>
      </c>
      <c r="D352" s="90">
        <v>29.094342911612841</v>
      </c>
      <c r="E352" s="12">
        <v>0.1476505834068462</v>
      </c>
      <c r="F352" s="90">
        <v>-817.21221902510717</v>
      </c>
      <c r="G352" s="90">
        <v>-24.941092611540739</v>
      </c>
      <c r="H352" s="12">
        <v>0.14598916095858189</v>
      </c>
      <c r="I352" s="12">
        <v>0.45551274530972158</v>
      </c>
      <c r="J352" s="12">
        <v>1.5730367974356001</v>
      </c>
      <c r="K352" s="90">
        <v>-28.088354547403149</v>
      </c>
      <c r="L352" s="7">
        <v>29.094342911612841</v>
      </c>
      <c r="M352" s="14">
        <v>0.1476505834068462</v>
      </c>
      <c r="N352" s="7">
        <v>105.08504877579961</v>
      </c>
      <c r="O352" s="7">
        <v>2.0785771752544</v>
      </c>
      <c r="P352" s="7">
        <v>3.6118722149884168</v>
      </c>
      <c r="Q352" s="99">
        <v>9.7924178416264163E-2</v>
      </c>
      <c r="R352" s="99">
        <v>5.649710612616049E-2</v>
      </c>
      <c r="S352" s="99">
        <v>7.4070481537931903E-3</v>
      </c>
      <c r="U352" s="117">
        <f>C352*S352</f>
        <v>0.25283433619354795</v>
      </c>
      <c r="V352" s="117">
        <f>(1+S352)*Q352*(1-U352)+S352</f>
        <v>8.1114572925060677E-2</v>
      </c>
      <c r="W352" s="117">
        <f>V352+I352/3</f>
        <v>0.23295215469496788</v>
      </c>
      <c r="X352" s="117">
        <f>V352+I352/5</f>
        <v>0.17221712198700501</v>
      </c>
      <c r="Y352" s="117"/>
      <c r="AA352" s="117"/>
    </row>
    <row r="353" spans="1:27" x14ac:dyDescent="0.2">
      <c r="A353" t="s">
        <v>423</v>
      </c>
      <c r="B353" t="s">
        <v>32</v>
      </c>
      <c r="C353" s="144">
        <v>49.427603210237812</v>
      </c>
      <c r="D353" s="90">
        <v>39.895038283083402</v>
      </c>
      <c r="E353" s="12">
        <v>0.19285913756748671</v>
      </c>
      <c r="F353" s="90">
        <v>-14.49854117948991</v>
      </c>
      <c r="G353" s="90">
        <v>-1.2933288332396189</v>
      </c>
      <c r="H353" s="12">
        <v>0.16687317509378821</v>
      </c>
      <c r="I353" s="12">
        <v>0.8945445248085635</v>
      </c>
      <c r="J353" s="12">
        <v>-2.4323586749462871</v>
      </c>
      <c r="K353" s="90">
        <v>-0.3634171516922115</v>
      </c>
      <c r="L353" s="7">
        <v>39.895038283083402</v>
      </c>
      <c r="M353" s="14">
        <v>0.19285913756748671</v>
      </c>
      <c r="N353" s="7">
        <v>-14.49854117948991</v>
      </c>
      <c r="O353" s="7">
        <v>-1.2933288332396189</v>
      </c>
      <c r="P353" s="7">
        <v>-0.3634171516922115</v>
      </c>
      <c r="S353" s="99">
        <v>7.2386397649915864E-3</v>
      </c>
      <c r="U353" s="117">
        <f>C353*S353</f>
        <v>0.35778861408585322</v>
      </c>
      <c r="V353" s="117">
        <f>(1+S353)*R352*(1-U353)+S353</f>
        <v>4.3784364771025597E-2</v>
      </c>
      <c r="W353" s="117">
        <f>V353+I353/3</f>
        <v>0.34196587304054676</v>
      </c>
      <c r="X353" s="117">
        <f>V353+I353/5</f>
        <v>0.22269326973273829</v>
      </c>
      <c r="Y353" s="117"/>
      <c r="AA353" s="117"/>
    </row>
    <row r="354" spans="1:27" x14ac:dyDescent="0.2">
      <c r="B354" t="s">
        <v>34</v>
      </c>
      <c r="C354" s="145">
        <v>3.3425723895821702</v>
      </c>
      <c r="D354" s="90">
        <v>2.39337387676767</v>
      </c>
      <c r="E354" s="12">
        <v>0.28397246257788672</v>
      </c>
      <c r="F354" s="90">
        <v>7.4709053686542886</v>
      </c>
      <c r="G354" s="90">
        <v>1.235076611037337</v>
      </c>
      <c r="H354" s="12">
        <v>3.9892655516283071E-2</v>
      </c>
      <c r="I354" s="12">
        <v>0.23385358047277191</v>
      </c>
      <c r="J354" s="12">
        <v>0.40749578256135449</v>
      </c>
      <c r="K354" s="90">
        <v>3.121495325562754</v>
      </c>
      <c r="L354" s="7">
        <v>2.39337387676767</v>
      </c>
      <c r="M354" s="14">
        <v>0.28397246257788672</v>
      </c>
      <c r="N354" s="7">
        <v>6.2653595652915923</v>
      </c>
      <c r="O354" s="7">
        <v>0.87441252875148012</v>
      </c>
      <c r="P354" s="7">
        <v>2.6177939126473491</v>
      </c>
      <c r="W354" s="117">
        <f>V352+I354/3</f>
        <v>0.15906576641598463</v>
      </c>
      <c r="X354" s="117">
        <f>V352+I354/5</f>
        <v>0.12788528901961504</v>
      </c>
      <c r="Y354" s="117"/>
      <c r="AA354" s="117"/>
    </row>
    <row r="355" spans="1:27" x14ac:dyDescent="0.2">
      <c r="B355" t="s">
        <v>35</v>
      </c>
      <c r="C355" s="145">
        <v>2.7925165441305562</v>
      </c>
      <c r="D355" s="90">
        <v>2.0000481750940771</v>
      </c>
      <c r="E355" s="12">
        <v>0.28378287344514652</v>
      </c>
      <c r="F355" s="90">
        <v>7.6714082385498967</v>
      </c>
      <c r="G355" s="90">
        <v>1.7471308109790891</v>
      </c>
      <c r="H355" s="12">
        <v>5.3604964443636487E-2</v>
      </c>
      <c r="I355" s="12">
        <v>0.23838375403504911</v>
      </c>
      <c r="J355" s="12">
        <v>0.44362064959135949</v>
      </c>
      <c r="K355" s="90">
        <v>3.83561172879701</v>
      </c>
      <c r="L355" s="7">
        <v>2.0000481750940771</v>
      </c>
      <c r="M355" s="14">
        <v>0.28378287344514652</v>
      </c>
      <c r="N355" s="7">
        <v>4.039444838637074</v>
      </c>
      <c r="O355" s="7">
        <v>0.44652494436509998</v>
      </c>
      <c r="P355" s="7">
        <v>2.0196737703315919</v>
      </c>
      <c r="W355" s="117">
        <f>V353+I355/3</f>
        <v>0.12324561611604197</v>
      </c>
      <c r="X355" s="117">
        <f>V353+I355/5</f>
        <v>9.1461115578035421E-2</v>
      </c>
      <c r="Y355" s="117"/>
      <c r="AA355" s="117"/>
    </row>
    <row r="356" spans="1:27" x14ac:dyDescent="0.2">
      <c r="C356" s="101"/>
      <c r="D356" s="90"/>
      <c r="F356" s="90"/>
      <c r="G356" s="90"/>
      <c r="K356" s="90"/>
      <c r="L356" s="7"/>
      <c r="N356" s="7"/>
      <c r="O356" s="7"/>
      <c r="P356" s="7"/>
      <c r="AA356" s="117"/>
    </row>
    <row r="357" spans="1:27" x14ac:dyDescent="0.2">
      <c r="A357" t="s">
        <v>424</v>
      </c>
      <c r="B357" t="s">
        <v>30</v>
      </c>
      <c r="C357" s="144">
        <v>151.63204262851019</v>
      </c>
      <c r="D357" s="90">
        <v>16.165300905033138</v>
      </c>
      <c r="E357" s="12">
        <v>0.89339126068071772</v>
      </c>
      <c r="F357" s="90">
        <v>244.40319479888339</v>
      </c>
      <c r="G357" s="90">
        <v>0.61181759845877171</v>
      </c>
      <c r="H357" s="12">
        <v>-0.78039675271227138</v>
      </c>
      <c r="I357" s="12">
        <v>-0.64315630216804653</v>
      </c>
      <c r="J357" s="12">
        <v>-0.43289035351059751</v>
      </c>
      <c r="K357" s="90">
        <v>15.11900064432376</v>
      </c>
      <c r="L357" s="7">
        <v>16.165300905033138</v>
      </c>
      <c r="M357" s="14">
        <v>0.89339126068071772</v>
      </c>
      <c r="N357" s="7">
        <v>244.40319479888339</v>
      </c>
      <c r="O357" s="7">
        <v>0.61181759845877171</v>
      </c>
      <c r="P357" s="7">
        <v>15.11900064432376</v>
      </c>
      <c r="Q357" s="99">
        <v>1.318142990071923E-2</v>
      </c>
      <c r="R357" s="99">
        <v>-1.6428420684995049E-2</v>
      </c>
      <c r="S357" s="99">
        <v>1.37017111555348E-2</v>
      </c>
      <c r="U357" s="117">
        <f>C357*S357</f>
        <v>2.0776184500195867</v>
      </c>
      <c r="V357" s="117">
        <f>(1+S357)*Q357*(1-U357)+S357</f>
        <v>-6.9746757252153735E-4</v>
      </c>
      <c r="W357" s="117">
        <f>V357+I357/3</f>
        <v>-0.21508290162853705</v>
      </c>
      <c r="X357" s="117">
        <f>V357+I357/5</f>
        <v>-0.12932872800613085</v>
      </c>
      <c r="Y357" s="117"/>
      <c r="AA357" s="117"/>
    </row>
    <row r="358" spans="1:27" x14ac:dyDescent="0.2">
      <c r="A358" t="s">
        <v>425</v>
      </c>
      <c r="B358" t="s">
        <v>32</v>
      </c>
      <c r="C358" s="145">
        <v>-150.30556486674089</v>
      </c>
      <c r="D358" s="90">
        <v>26.80451590837362</v>
      </c>
      <c r="E358" s="12">
        <v>1.1783334897289941</v>
      </c>
      <c r="F358" s="90">
        <v>-35.786098318354099</v>
      </c>
      <c r="G358" s="90">
        <v>-0.76191102205642469</v>
      </c>
      <c r="H358" s="12">
        <v>-1.409527830235825</v>
      </c>
      <c r="I358" s="12">
        <v>-2.1838243725634481</v>
      </c>
      <c r="J358" s="12">
        <v>-6.2825833545099909</v>
      </c>
      <c r="K358" s="90">
        <v>-1.335077210149304</v>
      </c>
      <c r="L358" s="7">
        <v>26.80451590837362</v>
      </c>
      <c r="M358" s="14">
        <v>1.1783334897289941</v>
      </c>
      <c r="N358" s="7">
        <v>-35.786098318354099</v>
      </c>
      <c r="O358" s="7">
        <v>-0.76191102205642469</v>
      </c>
      <c r="P358" s="7">
        <v>-1.335077210149304</v>
      </c>
      <c r="S358" s="99">
        <v>5.7723871266403218E-3</v>
      </c>
      <c r="U358" s="117">
        <f>C358*S358</f>
        <v>-0.86762190769917702</v>
      </c>
      <c r="V358" s="117">
        <f>(1+S358)*R357*(1-U358)+S358</f>
        <v>-2.5086800087815164E-2</v>
      </c>
      <c r="W358" s="117">
        <f>V358+I358/3</f>
        <v>-0.75302825760896452</v>
      </c>
      <c r="X358" s="117">
        <f>V358+I358/5</f>
        <v>-0.4618516746005048</v>
      </c>
      <c r="Y358" s="117"/>
      <c r="AA358" s="117"/>
    </row>
    <row r="359" spans="1:27" x14ac:dyDescent="0.2">
      <c r="B359" t="s">
        <v>34</v>
      </c>
      <c r="C359" s="145">
        <v>1.998727140610578</v>
      </c>
      <c r="D359" s="90">
        <v>1.401870720565118</v>
      </c>
      <c r="E359" s="12">
        <v>0.29861825955049082</v>
      </c>
      <c r="F359" s="90">
        <v>4.8027466086236696</v>
      </c>
      <c r="G359" s="90">
        <v>1.40290258286907</v>
      </c>
      <c r="H359" s="12">
        <v>1.7249304346194091E-2</v>
      </c>
      <c r="I359" s="12">
        <v>0.30909339679719849</v>
      </c>
      <c r="J359" s="12">
        <v>0.46896425652316309</v>
      </c>
      <c r="K359" s="90">
        <v>3.4259554309598541</v>
      </c>
      <c r="L359" s="7">
        <v>1.401870720565118</v>
      </c>
      <c r="M359" s="14">
        <v>0.29861825955049082</v>
      </c>
      <c r="N359" s="7">
        <v>3.2393179383759771</v>
      </c>
      <c r="O359" s="7">
        <v>0.62069042470020164</v>
      </c>
      <c r="P359" s="7">
        <v>2.310710888569063</v>
      </c>
      <c r="W359" s="117">
        <f>V357+I359/3</f>
        <v>0.1023336646932113</v>
      </c>
      <c r="X359" s="117">
        <f>V357+I359/5</f>
        <v>6.1121211786918164E-2</v>
      </c>
      <c r="Y359" s="117"/>
      <c r="AA359" s="117"/>
    </row>
    <row r="360" spans="1:27" x14ac:dyDescent="0.2">
      <c r="B360" t="s">
        <v>35</v>
      </c>
      <c r="C360" s="143">
        <v>2.4692830509266321</v>
      </c>
      <c r="D360" s="90">
        <v>1.6695950955866401</v>
      </c>
      <c r="E360" s="12">
        <v>0.32385430865849829</v>
      </c>
      <c r="F360" s="90">
        <v>6.5359464898105726</v>
      </c>
      <c r="G360" s="90">
        <v>1.6469004788081589</v>
      </c>
      <c r="H360" s="12">
        <v>-5.3957514823544613E-2</v>
      </c>
      <c r="I360" s="12">
        <v>0.1336432145916979</v>
      </c>
      <c r="J360" s="12">
        <v>0.46693584056573911</v>
      </c>
      <c r="K360" s="90">
        <v>3.914689559814537</v>
      </c>
      <c r="L360" s="7">
        <v>1.6695950955866401</v>
      </c>
      <c r="M360" s="14">
        <v>0.32385430865849829</v>
      </c>
      <c r="N360" s="7">
        <v>3.087657139095469</v>
      </c>
      <c r="O360" s="7">
        <v>0.25042657136320767</v>
      </c>
      <c r="P360" s="7">
        <v>1.849344878442261</v>
      </c>
      <c r="W360" s="117">
        <f>V358+I360/3</f>
        <v>1.9460938109417465E-2</v>
      </c>
      <c r="X360" s="117">
        <f>V358+I360/5</f>
        <v>1.6418428305244141E-3</v>
      </c>
      <c r="Y360" s="117"/>
      <c r="AA360" s="117"/>
    </row>
    <row r="361" spans="1:27" x14ac:dyDescent="0.2">
      <c r="C361" s="101"/>
      <c r="D361" s="90"/>
      <c r="F361" s="90"/>
      <c r="G361" s="90"/>
      <c r="K361" s="90"/>
      <c r="L361" s="7"/>
      <c r="N361" s="7"/>
      <c r="O361" s="7"/>
      <c r="P361" s="7"/>
      <c r="AA361" s="117"/>
    </row>
    <row r="362" spans="1:27" x14ac:dyDescent="0.2">
      <c r="A362" t="s">
        <v>426</v>
      </c>
      <c r="B362" t="s">
        <v>30</v>
      </c>
      <c r="C362" s="145">
        <v>44.700597980783797</v>
      </c>
      <c r="D362" s="90">
        <v>29.238044209060611</v>
      </c>
      <c r="E362" s="12">
        <v>0.34591380138517019</v>
      </c>
      <c r="F362" s="90">
        <v>168.89337190974061</v>
      </c>
      <c r="G362" s="90">
        <v>2.778324665418249</v>
      </c>
      <c r="H362" s="12">
        <v>0.13174029308258151</v>
      </c>
      <c r="I362" s="12">
        <v>0.92679091971672833</v>
      </c>
      <c r="J362" s="12">
        <v>1.3739711027039201</v>
      </c>
      <c r="K362" s="90">
        <v>5.776493485751077</v>
      </c>
      <c r="L362" s="7">
        <v>29.238044209060611</v>
      </c>
      <c r="M362" s="14">
        <v>0.34591380138517019</v>
      </c>
      <c r="N362" s="7">
        <v>146.04235302971051</v>
      </c>
      <c r="O362" s="7">
        <v>2.267123028029562</v>
      </c>
      <c r="P362" s="7">
        <v>4.994942616047255</v>
      </c>
      <c r="Q362" s="99">
        <v>0.1012140009522406</v>
      </c>
      <c r="R362" s="99">
        <v>6.0392752792429692E-2</v>
      </c>
      <c r="S362" s="99">
        <v>3.0172577346271119E-3</v>
      </c>
      <c r="U362" s="117">
        <f>C362*S362</f>
        <v>0.13487322499997698</v>
      </c>
      <c r="V362" s="117">
        <f>(1+S362)*Q362*(1-U362)+S362</f>
        <v>9.0844399927994424E-2</v>
      </c>
      <c r="W362" s="117">
        <f>V362+I362/3</f>
        <v>0.39977470650023722</v>
      </c>
      <c r="X362" s="117">
        <f>V362+I362/5</f>
        <v>0.27620258387134011</v>
      </c>
      <c r="Y362" s="117"/>
      <c r="AA362" s="117"/>
    </row>
    <row r="363" spans="1:27" x14ac:dyDescent="0.2">
      <c r="A363" t="s">
        <v>427</v>
      </c>
      <c r="B363" t="s">
        <v>32</v>
      </c>
      <c r="C363" s="145">
        <v>67.856307863979183</v>
      </c>
      <c r="D363" s="90">
        <v>36.420869274349833</v>
      </c>
      <c r="E363" s="12">
        <v>0.46326479555361322</v>
      </c>
      <c r="F363" s="90">
        <v>-267.92396449367368</v>
      </c>
      <c r="G363" s="90">
        <v>-4.9484017466841639</v>
      </c>
      <c r="H363" s="12">
        <v>3.1427128882618227E-2</v>
      </c>
      <c r="I363" s="12">
        <v>0.44493766135691182</v>
      </c>
      <c r="J363" s="12">
        <v>0.8539596753267602</v>
      </c>
      <c r="K363" s="90">
        <v>-7.3563308573297794</v>
      </c>
      <c r="L363" s="7">
        <v>36.420869274349833</v>
      </c>
      <c r="M363" s="14">
        <v>0.46326479555361322</v>
      </c>
      <c r="N363" s="7">
        <v>-267.92396449367368</v>
      </c>
      <c r="O363" s="7">
        <v>-4.9484017466841639</v>
      </c>
      <c r="P363" s="7">
        <v>-7.3563308573297794</v>
      </c>
      <c r="S363" s="99">
        <v>3.9999301471298774E-3</v>
      </c>
      <c r="U363" s="117">
        <f>C363*S363</f>
        <v>0.27142049149805653</v>
      </c>
      <c r="V363" s="117">
        <f>(1+S363)*R362*(1-U363)+S363</f>
        <v>4.8176852908713326E-2</v>
      </c>
      <c r="W363" s="117">
        <f>V363+I363/3</f>
        <v>0.19648940669435058</v>
      </c>
      <c r="X363" s="117">
        <f>V363+I363/5</f>
        <v>0.13716438518009569</v>
      </c>
      <c r="Y363" s="117"/>
      <c r="AA363" s="117"/>
    </row>
    <row r="364" spans="1:27" x14ac:dyDescent="0.2">
      <c r="B364" t="s">
        <v>34</v>
      </c>
      <c r="C364" s="146">
        <v>4.5243263665927751</v>
      </c>
      <c r="D364" s="90">
        <v>2.1158007480031511</v>
      </c>
      <c r="E364" s="12">
        <v>0.53235010550387429</v>
      </c>
      <c r="F364" s="90">
        <v>9.79871011384129</v>
      </c>
      <c r="G364" s="90">
        <v>1.1657832171865621</v>
      </c>
      <c r="H364" s="12">
        <v>-0.2476919446321135</v>
      </c>
      <c r="I364" s="12">
        <v>-2.178354948538741E-2</v>
      </c>
      <c r="J364" s="12">
        <v>0.42406808455705458</v>
      </c>
      <c r="K364" s="90">
        <v>4.631206470216588</v>
      </c>
      <c r="L364" s="7">
        <v>2.6455813305765892</v>
      </c>
      <c r="M364" s="14">
        <v>0.4152540917226204</v>
      </c>
      <c r="N364" s="7">
        <v>9.79871011384129</v>
      </c>
      <c r="O364" s="7">
        <v>1.1657832171865621</v>
      </c>
      <c r="P364" s="7">
        <v>3.7038022609971009</v>
      </c>
      <c r="W364" s="117">
        <f>V362+I364/3</f>
        <v>8.358321676619862E-2</v>
      </c>
      <c r="X364" s="117">
        <f>V362+I364/5</f>
        <v>8.6487690030916942E-2</v>
      </c>
      <c r="Y364" s="117"/>
      <c r="AA364" s="117"/>
    </row>
    <row r="365" spans="1:27" x14ac:dyDescent="0.2">
      <c r="B365" t="s">
        <v>35</v>
      </c>
      <c r="C365" s="146">
        <v>4.0980292262362976</v>
      </c>
      <c r="D365" s="90">
        <v>1.8842831462801779</v>
      </c>
      <c r="E365" s="12">
        <v>0.54019772865047699</v>
      </c>
      <c r="F365" s="90">
        <v>7.8339335054218973</v>
      </c>
      <c r="G365" s="90">
        <v>0.9116343668970659</v>
      </c>
      <c r="H365" s="12">
        <v>-0.25559000000153032</v>
      </c>
      <c r="I365" s="12">
        <v>-5.5742883322462911E-2</v>
      </c>
      <c r="J365" s="12">
        <v>0.1689459005792924</v>
      </c>
      <c r="K365" s="90">
        <v>4.1575139707039837</v>
      </c>
      <c r="L365" s="7">
        <v>2.378571931465407</v>
      </c>
      <c r="M365" s="14">
        <v>0.41958151097669721</v>
      </c>
      <c r="N365" s="7">
        <v>6.5431633646776151</v>
      </c>
      <c r="O365" s="7">
        <v>0.59666098103623622</v>
      </c>
      <c r="P365" s="7">
        <v>2.7508789110474621</v>
      </c>
      <c r="W365" s="117">
        <f>V363+I365/3</f>
        <v>2.9595891801225689E-2</v>
      </c>
      <c r="X365" s="117">
        <f>V363+I365/5</f>
        <v>3.702827624422074E-2</v>
      </c>
      <c r="Y365" s="117"/>
      <c r="AA365" s="117"/>
    </row>
    <row r="366" spans="1:27" x14ac:dyDescent="0.2">
      <c r="C366" s="101"/>
      <c r="D366" s="90"/>
      <c r="F366" s="90"/>
      <c r="G366" s="90"/>
      <c r="K366" s="90"/>
      <c r="L366" s="7"/>
      <c r="N366" s="7"/>
      <c r="O366" s="7"/>
      <c r="P366" s="7"/>
      <c r="AA366" s="117"/>
    </row>
    <row r="367" spans="1:27" x14ac:dyDescent="0.2">
      <c r="A367" t="s">
        <v>428</v>
      </c>
      <c r="B367" t="s">
        <v>30</v>
      </c>
      <c r="C367" s="145">
        <v>14.028384618020519</v>
      </c>
      <c r="D367" s="90">
        <v>11.06792510491745</v>
      </c>
      <c r="E367" s="12">
        <v>0.21103352907077649</v>
      </c>
      <c r="F367" s="90">
        <v>1071.701556155459</v>
      </c>
      <c r="G367" s="90">
        <v>75.395221925892812</v>
      </c>
      <c r="H367" s="12">
        <v>0.38445457561531587</v>
      </c>
      <c r="I367" s="12">
        <v>1.3016091525339919</v>
      </c>
      <c r="J367" s="12">
        <v>4.3643889620369922</v>
      </c>
      <c r="K367" s="90">
        <v>96.829491164455419</v>
      </c>
      <c r="L367" s="7">
        <v>11.06792510491745</v>
      </c>
      <c r="M367" s="14">
        <v>0.21103352907077649</v>
      </c>
      <c r="N367" s="7">
        <v>438.05522508050552</v>
      </c>
      <c r="O367" s="7">
        <v>30.226348364999239</v>
      </c>
      <c r="P367" s="7">
        <v>39.578802795284417</v>
      </c>
      <c r="Q367" s="99">
        <v>8.9180015655030906E-2</v>
      </c>
      <c r="R367" s="99">
        <v>6.9187850762678055E-2</v>
      </c>
      <c r="S367" s="99">
        <v>5.0559623384021667E-2</v>
      </c>
      <c r="U367" s="117">
        <f>C367*S367</f>
        <v>0.70926984297332007</v>
      </c>
      <c r="V367" s="117">
        <f>(1+S367)*Q367*(1-U367)+S367</f>
        <v>7.7797818871333871E-2</v>
      </c>
      <c r="W367" s="117">
        <f>V367+I367/3</f>
        <v>0.51166753638266449</v>
      </c>
      <c r="X367" s="117">
        <f>V367+I367/5</f>
        <v>0.33811964937813221</v>
      </c>
      <c r="Y367" s="117"/>
      <c r="AA367" s="117"/>
    </row>
    <row r="368" spans="1:27" x14ac:dyDescent="0.2">
      <c r="A368" t="s">
        <v>429</v>
      </c>
      <c r="B368" t="s">
        <v>32</v>
      </c>
      <c r="C368" s="145">
        <v>16.58356709002323</v>
      </c>
      <c r="D368" s="90">
        <v>12.561585687350179</v>
      </c>
      <c r="E368" s="12">
        <v>0.24252812322221651</v>
      </c>
      <c r="F368" s="90">
        <v>1071.701556155459</v>
      </c>
      <c r="G368" s="90">
        <v>63.624308530111151</v>
      </c>
      <c r="H368" s="12">
        <v>0.17113894540784361</v>
      </c>
      <c r="I368" s="12">
        <v>0.94697909423405391</v>
      </c>
      <c r="J368" s="12">
        <v>3.537848292324989</v>
      </c>
      <c r="K368" s="90">
        <v>85.315785986691793</v>
      </c>
      <c r="L368" s="7">
        <v>12.561585687350179</v>
      </c>
      <c r="M368" s="14">
        <v>0.24252812322221651</v>
      </c>
      <c r="N368" s="7">
        <v>438.05522508050552</v>
      </c>
      <c r="O368" s="7">
        <v>25.4150181141693</v>
      </c>
      <c r="P368" s="7">
        <v>34.872605734930232</v>
      </c>
      <c r="S368" s="99">
        <v>4.2229073732923138E-2</v>
      </c>
      <c r="U368" s="117">
        <f>C368*S368</f>
        <v>0.70030867739946856</v>
      </c>
      <c r="V368" s="117">
        <f>(1+S368)*R367*(1-U368)+S368</f>
        <v>6.3839692016511657E-2</v>
      </c>
      <c r="W368" s="117">
        <f>V368+I368/3</f>
        <v>0.3794993900945296</v>
      </c>
      <c r="X368" s="117">
        <f>V368+I368/5</f>
        <v>0.25323551086332241</v>
      </c>
      <c r="Y368" s="117"/>
      <c r="AA368" s="117"/>
    </row>
    <row r="369" spans="1:27" x14ac:dyDescent="0.2">
      <c r="B369" t="s">
        <v>34</v>
      </c>
      <c r="C369" s="146">
        <v>1.251051559849865</v>
      </c>
      <c r="D369" s="90">
        <v>0.78120977847868267</v>
      </c>
      <c r="E369" s="12">
        <v>0.37555748815625678</v>
      </c>
      <c r="F369" s="90">
        <v>2.8505936875007252</v>
      </c>
      <c r="G369" s="90">
        <v>1.278558117814758</v>
      </c>
      <c r="H369" s="12">
        <v>-0.25244006089949172</v>
      </c>
      <c r="I369" s="12">
        <v>-8.4685307038263713E-2</v>
      </c>
      <c r="J369" s="12">
        <v>0.20567852372230599</v>
      </c>
      <c r="K369" s="90">
        <v>3.648947780776544</v>
      </c>
      <c r="L369" s="7">
        <v>0.78120977847868267</v>
      </c>
      <c r="M369" s="14">
        <v>0.37555748815625678</v>
      </c>
      <c r="N369" s="7">
        <v>1.6705114101768219</v>
      </c>
      <c r="O369" s="7">
        <v>0.33528582177484001</v>
      </c>
      <c r="P369" s="7">
        <v>2.138364695626255</v>
      </c>
      <c r="W369" s="117">
        <f>V367+I369/3</f>
        <v>4.9569383191912633E-2</v>
      </c>
      <c r="X369" s="117">
        <f>V367+I369/5</f>
        <v>6.086075746368113E-2</v>
      </c>
      <c r="Y369" s="117"/>
      <c r="AA369" s="117"/>
    </row>
    <row r="370" spans="1:27" x14ac:dyDescent="0.2">
      <c r="B370" t="s">
        <v>35</v>
      </c>
      <c r="C370" s="146">
        <v>1.147381364937387</v>
      </c>
      <c r="D370" s="90">
        <v>0.75259895403269439</v>
      </c>
      <c r="E370" s="12">
        <v>0.34407253156515732</v>
      </c>
      <c r="F370" s="90">
        <v>2.8505936875007252</v>
      </c>
      <c r="G370" s="90">
        <v>1.484434360371788</v>
      </c>
      <c r="H370" s="12">
        <v>-0.21379072514427711</v>
      </c>
      <c r="I370" s="12">
        <v>-1.113866214874804E-2</v>
      </c>
      <c r="J370" s="12">
        <v>0.31461608482946368</v>
      </c>
      <c r="K370" s="90">
        <v>3.7876662892317681</v>
      </c>
      <c r="L370" s="7">
        <v>0.75259895403269439</v>
      </c>
      <c r="M370" s="14">
        <v>0.34407253156515732</v>
      </c>
      <c r="N370" s="7">
        <v>1.6705114101768219</v>
      </c>
      <c r="O370" s="7">
        <v>0.45593388669684648</v>
      </c>
      <c r="P370" s="7">
        <v>2.21965683213566</v>
      </c>
      <c r="W370" s="117">
        <f>V368+I370/3</f>
        <v>6.012680463359564E-2</v>
      </c>
      <c r="X370" s="117">
        <f>V368+I370/5</f>
        <v>6.161195958676205E-2</v>
      </c>
      <c r="Y370" s="117"/>
      <c r="AA370" s="117"/>
    </row>
    <row r="371" spans="1:27" x14ac:dyDescent="0.2">
      <c r="C371" s="101"/>
      <c r="D371" s="90"/>
      <c r="F371" s="90"/>
      <c r="G371" s="90"/>
      <c r="K371" s="90"/>
      <c r="L371" s="7"/>
      <c r="N371" s="7"/>
      <c r="O371" s="7"/>
      <c r="P371" s="7"/>
      <c r="AA371" s="117"/>
    </row>
    <row r="372" spans="1:27" x14ac:dyDescent="0.2">
      <c r="A372" t="s">
        <v>430</v>
      </c>
      <c r="B372" t="s">
        <v>30</v>
      </c>
      <c r="C372" s="144">
        <v>-11.491253311680939</v>
      </c>
      <c r="D372" s="90">
        <v>21.344833604348921</v>
      </c>
      <c r="E372" s="12">
        <v>2.8574852564299271</v>
      </c>
      <c r="F372" s="90">
        <v>-5.3933337280379838</v>
      </c>
      <c r="G372" s="90">
        <v>-0.53065748515389344</v>
      </c>
      <c r="H372" s="12">
        <v>-5.4269052185300994</v>
      </c>
      <c r="I372" s="12">
        <v>-7.1040859709550972</v>
      </c>
      <c r="J372" s="12">
        <v>0.41496877217329747</v>
      </c>
      <c r="K372" s="90">
        <v>-0.25267630697009108</v>
      </c>
      <c r="L372" s="7">
        <v>21.344833604348921</v>
      </c>
      <c r="M372" s="14">
        <v>2.8574852564299271</v>
      </c>
      <c r="N372" s="7">
        <v>-5.3933337280379838</v>
      </c>
      <c r="O372" s="7">
        <v>-0.53065748515389344</v>
      </c>
      <c r="P372" s="7">
        <v>-0.25267630697009108</v>
      </c>
      <c r="Q372" s="99">
        <v>-0.2827336463349216</v>
      </c>
      <c r="R372" s="99">
        <v>-0.18483251535597109</v>
      </c>
      <c r="S372" s="99">
        <v>1.9897939183173411E-3</v>
      </c>
      <c r="U372" s="117">
        <f>C372*S372</f>
        <v>-2.286522595342674E-2</v>
      </c>
      <c r="V372" s="117">
        <f>(1+S372)*Q372*(1-U372)+S372</f>
        <v>-0.28778406637212811</v>
      </c>
      <c r="W372" s="117">
        <f>V372+I372/3</f>
        <v>-2.6558127233571605</v>
      </c>
      <c r="X372" s="117">
        <f>V372+I372/5</f>
        <v>-1.7086012605631475</v>
      </c>
      <c r="Y372" s="117"/>
      <c r="AA372" s="117"/>
    </row>
    <row r="373" spans="1:27" x14ac:dyDescent="0.2">
      <c r="A373" t="s">
        <v>431</v>
      </c>
      <c r="B373" t="s">
        <v>32</v>
      </c>
      <c r="C373" s="144">
        <v>-16.257930181872659</v>
      </c>
      <c r="D373" s="90">
        <v>36.482999296298829</v>
      </c>
      <c r="E373" s="12">
        <v>3.2440125457653162</v>
      </c>
      <c r="F373" s="90">
        <v>-7.1224816011279977</v>
      </c>
      <c r="G373" s="90">
        <v>-0.56190723410354804</v>
      </c>
      <c r="H373" s="12">
        <v>-5.2130763539253184</v>
      </c>
      <c r="I373" s="12">
        <v>-8.7352419614193515</v>
      </c>
      <c r="J373" s="12">
        <v>0.56030220023581578</v>
      </c>
      <c r="K373" s="90">
        <v>-0.19522741382314379</v>
      </c>
      <c r="L373" s="7">
        <v>51.816717374258047</v>
      </c>
      <c r="M373" s="14">
        <v>4.1871656966538646</v>
      </c>
      <c r="N373" s="7">
        <v>-7.1224816011279977</v>
      </c>
      <c r="O373" s="7">
        <v>-0.56190723410354804</v>
      </c>
      <c r="P373" s="7">
        <v>-0.13745528397108309</v>
      </c>
      <c r="S373" s="99">
        <v>3.3347371636641898E-3</v>
      </c>
      <c r="U373" s="117">
        <f>C373*S373</f>
        <v>-5.421592398174846E-2</v>
      </c>
      <c r="V373" s="117">
        <f>(1+S373)*R372*(1-U373)+S373</f>
        <v>-0.19216842860514743</v>
      </c>
      <c r="W373" s="117">
        <f>V373+I373/3</f>
        <v>-3.1039157490782645</v>
      </c>
      <c r="X373" s="117">
        <f>V373+I373/5</f>
        <v>-1.9392168208890177</v>
      </c>
      <c r="Y373" s="117"/>
      <c r="AA373" s="117"/>
    </row>
    <row r="374" spans="1:27" x14ac:dyDescent="0.2">
      <c r="B374" t="s">
        <v>34</v>
      </c>
      <c r="C374" s="143">
        <v>3.248963949769796</v>
      </c>
      <c r="D374" s="90">
        <v>2.1863129496747709</v>
      </c>
      <c r="E374" s="12">
        <v>0.32707380461094943</v>
      </c>
      <c r="F374" s="90">
        <v>19.541809858148511</v>
      </c>
      <c r="G374" s="90">
        <v>5.0147819921280261</v>
      </c>
      <c r="H374" s="12">
        <v>-1.354754099874067E-2</v>
      </c>
      <c r="I374" s="12">
        <v>0.43234361359298829</v>
      </c>
      <c r="J374" s="12">
        <v>1.0425218912945859</v>
      </c>
      <c r="K374" s="90">
        <v>8.9382491472940728</v>
      </c>
      <c r="L374" s="7">
        <v>2.1863129496747709</v>
      </c>
      <c r="M374" s="14">
        <v>0.32707380461094943</v>
      </c>
      <c r="N374" s="7">
        <v>7.9696663233405269</v>
      </c>
      <c r="O374" s="7">
        <v>1.4529869972565299</v>
      </c>
      <c r="P374" s="7">
        <v>3.6452541364337012</v>
      </c>
      <c r="W374" s="117">
        <f>V372+I374/3</f>
        <v>-0.14366952850779868</v>
      </c>
      <c r="X374" s="117">
        <f>V372+I374/5</f>
        <v>-0.20131534365353046</v>
      </c>
      <c r="Y374" s="117"/>
      <c r="AA374" s="117"/>
    </row>
    <row r="375" spans="1:27" x14ac:dyDescent="0.2">
      <c r="B375" t="s">
        <v>35</v>
      </c>
      <c r="C375" s="145">
        <v>3.004994129997284</v>
      </c>
      <c r="D375" s="90">
        <v>2.384930734049564</v>
      </c>
      <c r="E375" s="12">
        <v>0.20634429523770151</v>
      </c>
      <c r="F375" s="90">
        <v>16.689160531817571</v>
      </c>
      <c r="G375" s="90">
        <v>4.55380803084386</v>
      </c>
      <c r="H375" s="12">
        <v>0.33298341804356529</v>
      </c>
      <c r="I375" s="12">
        <v>0.7817196088348024</v>
      </c>
      <c r="J375" s="12">
        <v>1.161971353994268</v>
      </c>
      <c r="K375" s="90">
        <v>6.9977548167529857</v>
      </c>
      <c r="L375" s="7">
        <v>2.384930734049564</v>
      </c>
      <c r="M375" s="14">
        <v>0.20634429523770151</v>
      </c>
      <c r="N375" s="7">
        <v>6.9957172594089796</v>
      </c>
      <c r="O375" s="7">
        <v>1.328030257887826</v>
      </c>
      <c r="P375" s="7">
        <v>2.9332999736769692</v>
      </c>
      <c r="W375" s="117">
        <f>V373+I375/3</f>
        <v>6.84047743397867E-2</v>
      </c>
      <c r="X375" s="117">
        <f>V373+I375/5</f>
        <v>-3.5824506838186942E-2</v>
      </c>
      <c r="Y375" s="117"/>
      <c r="AA375" s="117"/>
    </row>
    <row r="376" spans="1:27" x14ac:dyDescent="0.2">
      <c r="C376" s="101"/>
      <c r="D376" s="90"/>
      <c r="F376" s="90"/>
      <c r="G376" s="90"/>
      <c r="K376" s="90"/>
      <c r="L376" s="7"/>
      <c r="N376" s="7"/>
      <c r="O376" s="7"/>
      <c r="P376" s="7"/>
      <c r="AA376" s="117"/>
    </row>
    <row r="377" spans="1:27" x14ac:dyDescent="0.2">
      <c r="A377" t="s">
        <v>432</v>
      </c>
      <c r="B377" t="s">
        <v>30</v>
      </c>
      <c r="C377" s="145">
        <v>38.971804600206561</v>
      </c>
      <c r="D377" s="90">
        <v>34.133298438671858</v>
      </c>
      <c r="E377" s="12">
        <v>0.1241540188136183</v>
      </c>
      <c r="F377" s="90">
        <v>312.4723269673575</v>
      </c>
      <c r="G377" s="90">
        <v>7.0179075660689652</v>
      </c>
      <c r="H377" s="12">
        <v>0.40880202318794262</v>
      </c>
      <c r="I377" s="12">
        <v>0.71985981175551106</v>
      </c>
      <c r="J377" s="12">
        <v>1.344241127399622</v>
      </c>
      <c r="K377" s="90">
        <v>9.1544720627801102</v>
      </c>
      <c r="L377" s="7">
        <v>34.133298438671858</v>
      </c>
      <c r="M377" s="14">
        <v>0.1241540188136183</v>
      </c>
      <c r="N377" s="7">
        <v>136.00975928058261</v>
      </c>
      <c r="O377" s="7">
        <v>2.489952817834403</v>
      </c>
      <c r="P377" s="7">
        <v>3.98466498996441</v>
      </c>
      <c r="Q377" s="99">
        <v>7.1625024603745813E-2</v>
      </c>
      <c r="R377" s="99">
        <v>-0.1688053423727976</v>
      </c>
      <c r="S377" s="99">
        <v>6.5085541655101904E-3</v>
      </c>
      <c r="U377" s="117">
        <f>C377*S377</f>
        <v>0.25365010116812359</v>
      </c>
      <c r="V377" s="117">
        <f>(1+S377)*Q377*(1-U377)+S377</f>
        <v>6.0313813959328381E-2</v>
      </c>
      <c r="W377" s="117">
        <f>V377+I377/3</f>
        <v>0.30026708454449874</v>
      </c>
      <c r="X377" s="117">
        <f>V377+I377/5</f>
        <v>0.2042857763104306</v>
      </c>
      <c r="Y377" s="117"/>
      <c r="AA377" s="117"/>
    </row>
    <row r="378" spans="1:27" x14ac:dyDescent="0.2">
      <c r="A378" t="s">
        <v>433</v>
      </c>
      <c r="B378" t="s">
        <v>32</v>
      </c>
      <c r="C378" s="144">
        <v>-19.777588730233859</v>
      </c>
      <c r="D378" s="90">
        <v>37.730383333839768</v>
      </c>
      <c r="E378" s="12">
        <v>2.907734246498999</v>
      </c>
      <c r="F378" s="90">
        <v>-16.207574577136199</v>
      </c>
      <c r="G378" s="90">
        <v>-0.18050805898497629</v>
      </c>
      <c r="H378" s="12">
        <v>-5.3811998046785794</v>
      </c>
      <c r="I378" s="12">
        <v>-7.9310743488609194</v>
      </c>
      <c r="J378" s="12">
        <v>0.62860985455781471</v>
      </c>
      <c r="K378" s="90">
        <v>-0.42956294490122199</v>
      </c>
      <c r="L378" s="7">
        <v>81.085004548266113</v>
      </c>
      <c r="M378" s="14">
        <v>5.0998427894454119</v>
      </c>
      <c r="N378" s="7">
        <v>-16.207574577136199</v>
      </c>
      <c r="O378" s="7">
        <v>-0.18050805898497629</v>
      </c>
      <c r="P378" s="7">
        <v>-0.19988374752434759</v>
      </c>
      <c r="S378" s="99">
        <v>3.7231825078665858E-3</v>
      </c>
      <c r="U378" s="117">
        <f>C378*S378</f>
        <v>-7.3635572408186023E-2</v>
      </c>
      <c r="V378" s="117">
        <f>(1+S378)*R377*(1-U378)+S378</f>
        <v>-0.17818701042309126</v>
      </c>
      <c r="W378" s="117">
        <f>V378+I378/3</f>
        <v>-2.8218784600433975</v>
      </c>
      <c r="X378" s="117">
        <f>V378+I378/5</f>
        <v>-1.7644018801952752</v>
      </c>
      <c r="Y378" s="117"/>
      <c r="AA378" s="117"/>
    </row>
    <row r="379" spans="1:27" x14ac:dyDescent="0.2">
      <c r="B379" t="s">
        <v>34</v>
      </c>
      <c r="C379" s="145">
        <v>2.791356463342169</v>
      </c>
      <c r="D379" s="90">
        <v>2.2501651421581612</v>
      </c>
      <c r="E379" s="12">
        <v>0.19388112134414551</v>
      </c>
      <c r="F379" s="90">
        <v>7.6695061590342641</v>
      </c>
      <c r="G379" s="90">
        <v>1.7475910940630459</v>
      </c>
      <c r="H379" s="12">
        <v>5.9389585997323469E-2</v>
      </c>
      <c r="I379" s="12">
        <v>0.29039292703023462</v>
      </c>
      <c r="J379" s="12">
        <v>0.49526304178487018</v>
      </c>
      <c r="K379" s="90">
        <v>3.4084192379223981</v>
      </c>
      <c r="L379" s="7">
        <v>2.3215470204863</v>
      </c>
      <c r="M379" s="14">
        <v>0.16830865173463139</v>
      </c>
      <c r="N379" s="7">
        <v>4.8836121575494129</v>
      </c>
      <c r="O379" s="7">
        <v>0.74954801426619944</v>
      </c>
      <c r="P379" s="7">
        <v>2.103602517827285</v>
      </c>
      <c r="W379" s="117">
        <f>V377+I379/3</f>
        <v>0.15711145630273993</v>
      </c>
      <c r="X379" s="117">
        <f>V377+I379/5</f>
        <v>0.11839239936537529</v>
      </c>
      <c r="Y379" s="117"/>
      <c r="AA379" s="117"/>
    </row>
    <row r="380" spans="1:27" x14ac:dyDescent="0.2">
      <c r="B380" t="s">
        <v>35</v>
      </c>
      <c r="C380" s="146">
        <v>3.3385626369155088</v>
      </c>
      <c r="D380" s="90">
        <v>2.1064975447694199</v>
      </c>
      <c r="E380" s="12">
        <v>0.36904058007561941</v>
      </c>
      <c r="F380" s="90">
        <v>9.0242853160891432</v>
      </c>
      <c r="G380" s="90">
        <v>1.703045081827987</v>
      </c>
      <c r="H380" s="12">
        <v>-0.15699518017713451</v>
      </c>
      <c r="I380" s="12">
        <v>-3.0959609970610869E-2</v>
      </c>
      <c r="J380" s="12">
        <v>0.35842176972014478</v>
      </c>
      <c r="K380" s="90">
        <v>4.2840236574199064</v>
      </c>
      <c r="L380" s="7">
        <v>2.1064975447694199</v>
      </c>
      <c r="M380" s="14">
        <v>0.36904058007561941</v>
      </c>
      <c r="N380" s="7">
        <v>3.8665306647783222</v>
      </c>
      <c r="O380" s="7">
        <v>0.15814231610481369</v>
      </c>
      <c r="P380" s="7">
        <v>1.8355258349952439</v>
      </c>
      <c r="W380" s="117">
        <f>V378+I380/3</f>
        <v>-0.18850688041329489</v>
      </c>
      <c r="X380" s="117">
        <f>V378+I380/5</f>
        <v>-0.18437893241721343</v>
      </c>
      <c r="Y380" s="117"/>
      <c r="AA380" s="117"/>
    </row>
    <row r="381" spans="1:27" x14ac:dyDescent="0.2">
      <c r="C381" s="101"/>
      <c r="D381" s="90"/>
      <c r="F381" s="90"/>
      <c r="G381" s="90"/>
      <c r="K381" s="90"/>
      <c r="L381" s="7"/>
      <c r="N381" s="7"/>
      <c r="O381" s="7"/>
      <c r="P381" s="7"/>
      <c r="AA381" s="117"/>
    </row>
    <row r="382" spans="1:27" x14ac:dyDescent="0.2">
      <c r="A382" t="s">
        <v>434</v>
      </c>
      <c r="B382" t="s">
        <v>30</v>
      </c>
      <c r="C382" s="146">
        <v>-51.944142454115408</v>
      </c>
      <c r="D382" s="90">
        <v>38.142783188304087</v>
      </c>
      <c r="E382" s="12">
        <v>1.73430383843563</v>
      </c>
      <c r="F382" s="90">
        <v>-6.5991360016352294</v>
      </c>
      <c r="G382" s="90">
        <v>-0.87295707100248032</v>
      </c>
      <c r="H382" s="12">
        <v>-2.3487351594452841</v>
      </c>
      <c r="I382" s="12">
        <v>3.0159047027503392</v>
      </c>
      <c r="J382" s="12">
        <v>-0.28521243532556162</v>
      </c>
      <c r="K382" s="90">
        <v>-0.1730113916715641</v>
      </c>
      <c r="L382" s="7">
        <v>70.00959887143658</v>
      </c>
      <c r="M382" s="14">
        <v>2.3477862096439308</v>
      </c>
      <c r="N382" s="7">
        <v>-6.5991360016352294</v>
      </c>
      <c r="O382" s="7">
        <v>-0.87295707100248032</v>
      </c>
      <c r="P382" s="7">
        <v>-9.426044582477433E-2</v>
      </c>
      <c r="Q382" s="99">
        <v>-6.3862749124956E-2</v>
      </c>
      <c r="R382" s="99">
        <v>-0.30547900121131061</v>
      </c>
      <c r="S382" s="99">
        <v>1.766162833426291E-3</v>
      </c>
      <c r="U382" s="117">
        <f>C382*S382</f>
        <v>-9.1741813816659357E-2</v>
      </c>
      <c r="V382" s="117">
        <f>(1+S382)*Q382*(1-U382)+S382</f>
        <v>-6.8078610489459693E-2</v>
      </c>
      <c r="W382" s="117">
        <f>V382+I382/3</f>
        <v>0.93722295709398673</v>
      </c>
      <c r="X382" s="117">
        <f>V382+I382/5</f>
        <v>0.53510233006060814</v>
      </c>
      <c r="Y382" s="117"/>
      <c r="AA382" s="117"/>
    </row>
    <row r="383" spans="1:27" x14ac:dyDescent="0.2">
      <c r="A383" t="s">
        <v>435</v>
      </c>
      <c r="B383" t="s">
        <v>32</v>
      </c>
      <c r="C383" s="145">
        <v>-10.39192585207965</v>
      </c>
      <c r="D383" s="90">
        <v>44.195394129868838</v>
      </c>
      <c r="E383" s="12">
        <v>5.2528588789944441</v>
      </c>
      <c r="F383" s="90">
        <v>-3.064145797531348</v>
      </c>
      <c r="G383" s="90">
        <v>-0.7051416800748106</v>
      </c>
      <c r="H383" s="12">
        <v>-12.47798124625819</v>
      </c>
      <c r="I383" s="12">
        <v>-37.179533052262308</v>
      </c>
      <c r="J383" s="12">
        <v>-0.1186512304218591</v>
      </c>
      <c r="K383" s="90">
        <v>-6.9331790288537948E-2</v>
      </c>
      <c r="L383" s="7">
        <v>119.6470632674128</v>
      </c>
      <c r="M383" s="14">
        <v>12.51346391135661</v>
      </c>
      <c r="N383" s="7">
        <v>-3.064145797531348</v>
      </c>
      <c r="O383" s="7">
        <v>-0.7051416800748106</v>
      </c>
      <c r="P383" s="7">
        <v>-2.5609870512934702E-2</v>
      </c>
      <c r="S383" s="99">
        <v>9.825686173443619E-4</v>
      </c>
      <c r="U383" s="117">
        <f>C383*S383</f>
        <v>-1.0210780216023032E-2</v>
      </c>
      <c r="V383" s="117">
        <f>(1+S383)*R382*(1-U383)+S383</f>
        <v>-0.30791883042313339</v>
      </c>
      <c r="W383" s="117">
        <f>V383+I383/3</f>
        <v>-12.701096514510569</v>
      </c>
      <c r="X383" s="117">
        <f>V383+I383/5</f>
        <v>-7.7438254408755949</v>
      </c>
      <c r="Y383" s="117"/>
      <c r="AA383" s="117"/>
    </row>
    <row r="384" spans="1:27" x14ac:dyDescent="0.2">
      <c r="B384" t="s">
        <v>34</v>
      </c>
      <c r="C384" s="143">
        <v>3.317295738058148</v>
      </c>
      <c r="D384" s="90">
        <v>2.0227848616338631</v>
      </c>
      <c r="E384" s="12">
        <v>0.39023077188229699</v>
      </c>
      <c r="F384" s="90">
        <v>14.37222263542842</v>
      </c>
      <c r="G384" s="90">
        <v>3.3325117114344209</v>
      </c>
      <c r="H384" s="12">
        <v>-6.2539274284906354E-2</v>
      </c>
      <c r="I384" s="12">
        <v>0.21849404165908479</v>
      </c>
      <c r="J384" s="12">
        <v>0.67796392890274082</v>
      </c>
      <c r="K384" s="90">
        <v>7.1051662033003096</v>
      </c>
      <c r="L384" s="7">
        <v>2.0227848616338631</v>
      </c>
      <c r="M384" s="14">
        <v>0.39023077188229699</v>
      </c>
      <c r="N384" s="7">
        <v>7.3364003416800267</v>
      </c>
      <c r="O384" s="7">
        <v>1.2115605363465569</v>
      </c>
      <c r="P384" s="7">
        <v>3.626881177939111</v>
      </c>
      <c r="W384" s="117">
        <f>V382+I384/3</f>
        <v>4.7527367302352408E-3</v>
      </c>
      <c r="X384" s="117">
        <f>V382+I384/5</f>
        <v>-2.4379802157642738E-2</v>
      </c>
      <c r="Y384" s="117"/>
      <c r="AA384" s="117"/>
    </row>
    <row r="385" spans="1:27" x14ac:dyDescent="0.2">
      <c r="B385" t="s">
        <v>35</v>
      </c>
      <c r="C385" s="143">
        <v>3.1745151299552892</v>
      </c>
      <c r="D385" s="90">
        <v>1.9689266458297221</v>
      </c>
      <c r="E385" s="12">
        <v>0.37977090509017258</v>
      </c>
      <c r="F385" s="90">
        <v>11.48928147084627</v>
      </c>
      <c r="G385" s="90">
        <v>2.619224039108011</v>
      </c>
      <c r="H385" s="12">
        <v>-5.8707644859591679E-2</v>
      </c>
      <c r="I385" s="12">
        <v>0.23576179027087971</v>
      </c>
      <c r="J385" s="12">
        <v>0.7572229802596373</v>
      </c>
      <c r="K385" s="90">
        <v>5.8353019373175243</v>
      </c>
      <c r="L385" s="7">
        <v>1.9689266458297221</v>
      </c>
      <c r="M385" s="14">
        <v>0.37977090509017258</v>
      </c>
      <c r="N385" s="7">
        <v>7.9822333287261014</v>
      </c>
      <c r="O385" s="7">
        <v>1.5144732351105621</v>
      </c>
      <c r="P385" s="7">
        <v>4.0541039685926554</v>
      </c>
      <c r="W385" s="117">
        <f>V383+I385/3</f>
        <v>-0.22933156699950683</v>
      </c>
      <c r="X385" s="117">
        <f>V383+I385/5</f>
        <v>-0.26076647236895745</v>
      </c>
      <c r="Y385" s="117"/>
      <c r="AA385" s="117"/>
    </row>
    <row r="386" spans="1:27" x14ac:dyDescent="0.2">
      <c r="C386" s="101"/>
      <c r="D386" s="90"/>
      <c r="F386" s="90"/>
      <c r="G386" s="90"/>
      <c r="K386" s="90"/>
      <c r="L386" s="7"/>
      <c r="N386" s="7"/>
      <c r="O386" s="7"/>
      <c r="P386" s="7"/>
      <c r="AA386" s="117"/>
    </row>
    <row r="387" spans="1:27" x14ac:dyDescent="0.2">
      <c r="A387" t="s">
        <v>436</v>
      </c>
      <c r="B387" t="s">
        <v>30</v>
      </c>
      <c r="C387" s="144">
        <v>50.654167293965763</v>
      </c>
      <c r="D387" s="90">
        <v>9.1944696380974396</v>
      </c>
      <c r="E387" s="12">
        <v>0.81848542520226686</v>
      </c>
      <c r="F387" s="90">
        <v>88.42441909223713</v>
      </c>
      <c r="G387" s="90">
        <v>0.74564944635405728</v>
      </c>
      <c r="H387" s="12">
        <v>-0.70126576095147564</v>
      </c>
      <c r="I387" s="12">
        <v>-0.6361280780532268</v>
      </c>
      <c r="J387" s="12">
        <v>-0.53092055981585085</v>
      </c>
      <c r="K387" s="90">
        <v>9.617131011651729</v>
      </c>
      <c r="L387" s="7">
        <v>15.45160704173195</v>
      </c>
      <c r="M387" s="14">
        <v>0.6949588184510016</v>
      </c>
      <c r="N387" s="7">
        <v>88.42441909223713</v>
      </c>
      <c r="O387" s="7">
        <v>0.74564944635405728</v>
      </c>
      <c r="P387" s="7">
        <v>5.7226681246435422</v>
      </c>
      <c r="Q387" s="99">
        <v>3.4803713770094627E-2</v>
      </c>
      <c r="R387" s="99">
        <v>-1.427341175783995E-2</v>
      </c>
      <c r="S387" s="99">
        <v>1.7345541036072609E-2</v>
      </c>
      <c r="U387" s="117">
        <f>C387*S387</f>
        <v>0.87862393744557021</v>
      </c>
      <c r="V387" s="117">
        <f>(1+S387)*Q387*(1-U387)+S387</f>
        <v>2.1643152199372028E-2</v>
      </c>
      <c r="W387" s="117">
        <f>V387+I387/3</f>
        <v>-0.19039954048503691</v>
      </c>
      <c r="X387" s="117">
        <f>V387+I387/5</f>
        <v>-0.10558246341127332</v>
      </c>
      <c r="Y387" s="117"/>
      <c r="AA387" s="117"/>
    </row>
    <row r="388" spans="1:27" x14ac:dyDescent="0.2">
      <c r="A388" t="s">
        <v>437</v>
      </c>
      <c r="B388" t="s">
        <v>32</v>
      </c>
      <c r="C388" s="145">
        <v>-112.9559881185783</v>
      </c>
      <c r="D388" s="90">
        <v>13.029666895316311</v>
      </c>
      <c r="E388" s="12">
        <v>1.1153517145247589</v>
      </c>
      <c r="F388" s="90">
        <v>-19.928745021806868</v>
      </c>
      <c r="G388" s="90">
        <v>-0.82357070790362885</v>
      </c>
      <c r="H388" s="12">
        <v>-1.1941411143535769</v>
      </c>
      <c r="I388" s="12">
        <v>-1.2652086703839149</v>
      </c>
      <c r="J388" s="12">
        <v>-1.80151711585787</v>
      </c>
      <c r="K388" s="90">
        <v>-1.5294899848107799</v>
      </c>
      <c r="L388" s="7">
        <v>21.710592973105719</v>
      </c>
      <c r="M388" s="14">
        <v>1.1922040020606479</v>
      </c>
      <c r="N388" s="7">
        <v>-19.928745021806868</v>
      </c>
      <c r="O388" s="7">
        <v>-0.82357070790362885</v>
      </c>
      <c r="P388" s="7">
        <v>-0.91792725544133502</v>
      </c>
      <c r="S388" s="99">
        <v>8.7768448985201791E-3</v>
      </c>
      <c r="U388" s="117">
        <f>C388*S388</f>
        <v>-0.99139718807584998</v>
      </c>
      <c r="V388" s="117">
        <f>(1+S388)*R387*(1-U388)+S388</f>
        <v>-1.9896660460886291E-2</v>
      </c>
      <c r="W388" s="117">
        <f>V388+I388/3</f>
        <v>-0.44163288392219124</v>
      </c>
      <c r="X388" s="117">
        <f>V388+I388/5</f>
        <v>-0.27293839453766927</v>
      </c>
      <c r="Y388" s="117"/>
      <c r="AA388" s="117"/>
    </row>
    <row r="389" spans="1:27" x14ac:dyDescent="0.2">
      <c r="B389" t="s">
        <v>34</v>
      </c>
      <c r="C389" s="146">
        <v>1.7629531397616729</v>
      </c>
      <c r="D389" s="90">
        <v>1.2311726872523729</v>
      </c>
      <c r="E389" s="12">
        <v>0.30164185338538813</v>
      </c>
      <c r="F389" s="90">
        <v>3.5200054719746872</v>
      </c>
      <c r="G389" s="90">
        <v>0.99665288463114954</v>
      </c>
      <c r="H389" s="12">
        <v>-0.1825854865614015</v>
      </c>
      <c r="I389" s="12">
        <v>-7.6585383033962451E-2</v>
      </c>
      <c r="J389" s="12">
        <v>5.903530991506023E-2</v>
      </c>
      <c r="K389" s="90">
        <v>2.8590672197499258</v>
      </c>
      <c r="L389" s="7">
        <v>1.275726564091447</v>
      </c>
      <c r="M389" s="14">
        <v>0.27636955553798342</v>
      </c>
      <c r="N389" s="7">
        <v>2.169967280195396</v>
      </c>
      <c r="O389" s="7">
        <v>0.2308706517796304</v>
      </c>
      <c r="P389" s="7">
        <v>1.7009658192238191</v>
      </c>
      <c r="W389" s="117">
        <f>V387+I389/3</f>
        <v>-3.88530881194879E-3</v>
      </c>
      <c r="X389" s="117">
        <f>V387+I389/5</f>
        <v>6.326075592579538E-3</v>
      </c>
      <c r="Y389" s="117"/>
      <c r="AA389" s="117"/>
    </row>
    <row r="390" spans="1:27" x14ac:dyDescent="0.2">
      <c r="B390" t="s">
        <v>35</v>
      </c>
      <c r="C390" s="146">
        <v>1.612267328930145</v>
      </c>
      <c r="D390" s="90">
        <v>1.071272075218916</v>
      </c>
      <c r="E390" s="12">
        <v>0.33554934966660799</v>
      </c>
      <c r="F390" s="90">
        <v>4.2885046353871674</v>
      </c>
      <c r="G390" s="90">
        <v>1.659921564144637</v>
      </c>
      <c r="H390" s="12">
        <v>-0.20014644597814621</v>
      </c>
      <c r="I390" s="12">
        <v>-2.0524546265933141E-2</v>
      </c>
      <c r="J390" s="12">
        <v>0.24362544985747661</v>
      </c>
      <c r="K390" s="90">
        <v>4.0031890446792486</v>
      </c>
      <c r="L390" s="7">
        <v>1.071272075218916</v>
      </c>
      <c r="M390" s="14">
        <v>0.33554934966660799</v>
      </c>
      <c r="N390" s="7">
        <v>1.873078518706589</v>
      </c>
      <c r="O390" s="7">
        <v>0.16176671516969271</v>
      </c>
      <c r="P390" s="7">
        <v>1.7484620032906419</v>
      </c>
      <c r="W390" s="117">
        <f>V388+I390/3</f>
        <v>-2.6738175882864004E-2</v>
      </c>
      <c r="X390" s="117">
        <f>V388+I390/5</f>
        <v>-2.4001569714072919E-2</v>
      </c>
      <c r="Y390" s="117"/>
      <c r="AA390" s="117"/>
    </row>
    <row r="392" spans="1:27" x14ac:dyDescent="0.2">
      <c r="A392" t="s">
        <v>438</v>
      </c>
      <c r="B392" t="s">
        <v>30</v>
      </c>
      <c r="C392" s="145">
        <v>21.190307445597441</v>
      </c>
      <c r="D392" s="90">
        <v>16.333966928386701</v>
      </c>
      <c r="E392" s="12">
        <v>0.22917744490864919</v>
      </c>
      <c r="F392" s="90">
        <v>93.367953315774116</v>
      </c>
      <c r="G392" s="90">
        <v>3.406163221344507</v>
      </c>
      <c r="H392" s="12">
        <v>0.1189898489194143</v>
      </c>
      <c r="I392" s="12">
        <v>0.4469362065541338</v>
      </c>
      <c r="J392" s="12">
        <v>1.0516937141539799</v>
      </c>
      <c r="K392" s="90">
        <v>5.7161835655189517</v>
      </c>
      <c r="L392" s="7">
        <v>16.333966928386701</v>
      </c>
      <c r="M392" s="14">
        <v>0.22917744490864919</v>
      </c>
      <c r="N392" s="7">
        <v>93.367953315774116</v>
      </c>
      <c r="O392" s="7">
        <v>3.406163221344507</v>
      </c>
      <c r="P392" s="7">
        <v>5.7161835655189517</v>
      </c>
      <c r="Q392" s="99">
        <v>0.1055601066450543</v>
      </c>
      <c r="R392" s="99">
        <v>3.7684931919468707E-2</v>
      </c>
      <c r="S392" s="99">
        <v>2.0443669414915929E-2</v>
      </c>
      <c r="U392" s="117"/>
      <c r="V392" s="117"/>
      <c r="W392" s="117"/>
      <c r="X392" s="117"/>
      <c r="Y392" s="117"/>
      <c r="AA392" s="117"/>
    </row>
    <row r="393" spans="1:27" x14ac:dyDescent="0.2">
      <c r="A393" t="s">
        <v>439</v>
      </c>
      <c r="B393" t="s">
        <v>32</v>
      </c>
      <c r="C393" s="146">
        <v>52.7414329760797</v>
      </c>
      <c r="D393" s="90">
        <v>18.075442869235321</v>
      </c>
      <c r="E393" s="12">
        <v>0.65728191576756656</v>
      </c>
      <c r="F393" s="90">
        <v>-9.517803015941265</v>
      </c>
      <c r="G393" s="90">
        <v>-1.180461593075371</v>
      </c>
      <c r="H393" s="12">
        <v>-0.48186374448037489</v>
      </c>
      <c r="I393" s="12">
        <v>-0.33600664859989732</v>
      </c>
      <c r="J393" s="12">
        <v>0.51255370973515779</v>
      </c>
      <c r="K393" s="90">
        <v>-0.52655987932338344</v>
      </c>
      <c r="L393" s="7">
        <v>18.075442869235321</v>
      </c>
      <c r="M393" s="14">
        <v>0.65728191576756656</v>
      </c>
      <c r="N393" s="7">
        <v>-9.517803015941265</v>
      </c>
      <c r="O393" s="7">
        <v>-1.180461593075371</v>
      </c>
      <c r="P393" s="7">
        <v>-0.52655987932338344</v>
      </c>
      <c r="S393" s="99">
        <v>2.0115201122244832E-2</v>
      </c>
      <c r="U393" s="117"/>
      <c r="V393" s="117"/>
      <c r="W393" s="117"/>
      <c r="X393" s="117"/>
      <c r="Y393" s="117"/>
      <c r="AA393" s="117"/>
    </row>
    <row r="394" spans="1:27" x14ac:dyDescent="0.2">
      <c r="B394" t="s">
        <v>34</v>
      </c>
      <c r="C394" s="145">
        <v>2.2368511137987541</v>
      </c>
      <c r="D394" s="90">
        <v>1.8256832627360171</v>
      </c>
      <c r="E394" s="12">
        <v>0.18381547548082769</v>
      </c>
      <c r="F394" s="90">
        <v>6.6475858517793167</v>
      </c>
      <c r="G394" s="90">
        <v>1.971849941541254</v>
      </c>
      <c r="H394" s="12">
        <v>1.7690082226260451E-2</v>
      </c>
      <c r="I394" s="12">
        <v>0.20234720591577229</v>
      </c>
      <c r="J394" s="12">
        <v>0.47626608049664992</v>
      </c>
      <c r="K394" s="90">
        <v>3.6411495835356842</v>
      </c>
      <c r="L394" s="7">
        <v>1.8256832627360171</v>
      </c>
      <c r="M394" s="14">
        <v>0.18381547548082769</v>
      </c>
      <c r="N394" s="7">
        <v>3.3394822447802661</v>
      </c>
      <c r="O394" s="7">
        <v>0.49293899096795818</v>
      </c>
      <c r="P394" s="7">
        <v>1.8291684614425561</v>
      </c>
      <c r="W394" s="117"/>
      <c r="X394" s="117"/>
      <c r="Y394" s="117"/>
      <c r="AA394" s="117"/>
    </row>
    <row r="395" spans="1:27" x14ac:dyDescent="0.2">
      <c r="B395" t="s">
        <v>35</v>
      </c>
      <c r="C395" s="143">
        <v>1.9875573110387861</v>
      </c>
      <c r="D395" s="90">
        <v>1.5800046863620101</v>
      </c>
      <c r="E395" s="12">
        <v>0.20505201153861119</v>
      </c>
      <c r="F395" s="90">
        <v>6.302212025852473</v>
      </c>
      <c r="G395" s="90">
        <v>2.170832856416431</v>
      </c>
      <c r="H395" s="12">
        <v>-2.9556031539744069E-2</v>
      </c>
      <c r="I395" s="12">
        <v>0.21709017921914059</v>
      </c>
      <c r="J395" s="12">
        <v>0.53771527789737283</v>
      </c>
      <c r="K395" s="90">
        <v>3.988729957734134</v>
      </c>
      <c r="L395" s="7">
        <v>1.5800046863620101</v>
      </c>
      <c r="M395" s="14">
        <v>0.20505201153861119</v>
      </c>
      <c r="N395" s="7">
        <v>2.5778387297647201</v>
      </c>
      <c r="O395" s="7">
        <v>0.29698837635903291</v>
      </c>
      <c r="P395" s="7">
        <v>1.631538660622736</v>
      </c>
      <c r="W395" s="117"/>
      <c r="X395" s="117"/>
      <c r="Y395" s="117"/>
      <c r="AA395" s="117"/>
    </row>
    <row r="396" spans="1:27" x14ac:dyDescent="0.2">
      <c r="C396" s="121"/>
      <c r="D396" s="90"/>
      <c r="F396" s="90"/>
      <c r="G396" s="90"/>
      <c r="K396" s="90"/>
      <c r="L396" s="7"/>
      <c r="N396" s="7"/>
      <c r="O396" s="7"/>
      <c r="P396" s="7"/>
      <c r="U396" s="117"/>
      <c r="V396" s="117"/>
      <c r="W396" s="117"/>
      <c r="X396" s="117"/>
      <c r="Y396" s="117"/>
      <c r="AA396" s="117"/>
    </row>
    <row r="397" spans="1:27" x14ac:dyDescent="0.2">
      <c r="A397" t="s">
        <v>440</v>
      </c>
      <c r="B397" t="s">
        <v>30</v>
      </c>
      <c r="C397" s="145">
        <v>12.94277426018717</v>
      </c>
      <c r="D397" s="90">
        <v>12.162249855865079</v>
      </c>
      <c r="E397" s="12">
        <v>6.0305803735064667E-2</v>
      </c>
      <c r="F397" s="90">
        <v>58.941849705519637</v>
      </c>
      <c r="G397" s="90">
        <v>3.554035210737521</v>
      </c>
      <c r="H397" s="12">
        <v>0.2272401962022659</v>
      </c>
      <c r="I397" s="12">
        <v>0.74382878796519458</v>
      </c>
      <c r="J397" s="12">
        <v>1.3135835795185671</v>
      </c>
      <c r="K397" s="90">
        <v>4.8462949210910793</v>
      </c>
      <c r="L397" s="7">
        <v>12.162249855865079</v>
      </c>
      <c r="M397" s="14">
        <v>6.0305803735064667E-2</v>
      </c>
      <c r="N397" s="7">
        <v>27.108613027068959</v>
      </c>
      <c r="O397" s="7">
        <v>1.0944978628312201</v>
      </c>
      <c r="P397" s="7">
        <v>2.2289143331483361</v>
      </c>
      <c r="Q397" s="99">
        <v>0.1020443754285571</v>
      </c>
      <c r="R397" s="99">
        <v>8.0131551563167314E-2</v>
      </c>
      <c r="S397" s="99">
        <v>2.9038066858554739E-2</v>
      </c>
      <c r="U397" s="117"/>
      <c r="V397" s="117"/>
      <c r="W397" s="117"/>
      <c r="X397" s="117"/>
      <c r="Y397" s="117"/>
      <c r="AA397" s="117"/>
    </row>
    <row r="398" spans="1:27" x14ac:dyDescent="0.2">
      <c r="A398" t="s">
        <v>441</v>
      </c>
      <c r="B398" t="s">
        <v>32</v>
      </c>
      <c r="C398" s="145">
        <v>17.20867159410432</v>
      </c>
      <c r="D398" s="90">
        <v>15.8136947233386</v>
      </c>
      <c r="E398" s="12">
        <v>8.1062437802789655E-2</v>
      </c>
      <c r="F398" s="90">
        <v>62.623292996835083</v>
      </c>
      <c r="G398" s="90">
        <v>2.6390544531217501</v>
      </c>
      <c r="H398" s="12">
        <v>6.627632114373716E-2</v>
      </c>
      <c r="I398" s="12">
        <v>0.39821668103650149</v>
      </c>
      <c r="J398" s="12">
        <v>1.05721088736965</v>
      </c>
      <c r="K398" s="90">
        <v>3.9600671501779181</v>
      </c>
      <c r="L398" s="7">
        <v>15.8136947233386</v>
      </c>
      <c r="M398" s="14">
        <v>8.1062437802789655E-2</v>
      </c>
      <c r="N398" s="7">
        <v>28.99713137891775</v>
      </c>
      <c r="O398" s="7">
        <v>0.68503020238076706</v>
      </c>
      <c r="P398" s="7">
        <v>1.833672135843271</v>
      </c>
      <c r="S398" s="99">
        <v>2.1027823845442991E-2</v>
      </c>
      <c r="W398" s="117"/>
      <c r="X398" s="117"/>
      <c r="Y398" s="117"/>
      <c r="AA398" s="117"/>
    </row>
    <row r="399" spans="1:27" x14ac:dyDescent="0.2">
      <c r="B399" t="s">
        <v>34</v>
      </c>
      <c r="C399" s="145">
        <v>1.3207373156936051</v>
      </c>
      <c r="D399" s="90">
        <v>1.2095449478930309</v>
      </c>
      <c r="E399" s="12">
        <v>8.4189616269136014E-2</v>
      </c>
      <c r="F399" s="90">
        <v>5.5746860683833113</v>
      </c>
      <c r="G399" s="90">
        <v>3.2208893488071721</v>
      </c>
      <c r="H399" s="12">
        <v>0.1151958870364596</v>
      </c>
      <c r="I399" s="12">
        <v>0.63834489279057971</v>
      </c>
      <c r="J399" s="12">
        <v>1.007610181390691</v>
      </c>
      <c r="K399" s="90">
        <v>4.6089118706122862</v>
      </c>
      <c r="L399" s="7">
        <v>1.2095449478930309</v>
      </c>
      <c r="M399" s="14">
        <v>8.4189616269136014E-2</v>
      </c>
      <c r="N399" s="7">
        <v>2.3120382310552778</v>
      </c>
      <c r="O399" s="7">
        <v>0.75056629625178495</v>
      </c>
      <c r="P399" s="7">
        <v>1.911494264915691</v>
      </c>
      <c r="W399" s="117"/>
      <c r="X399" s="117"/>
      <c r="Y399" s="117"/>
      <c r="AA399" s="117"/>
    </row>
    <row r="400" spans="1:27" x14ac:dyDescent="0.2">
      <c r="B400" t="s">
        <v>35</v>
      </c>
      <c r="C400" s="145">
        <v>1.3789575551765829</v>
      </c>
      <c r="D400" s="90">
        <v>1.1884618763040189</v>
      </c>
      <c r="E400" s="12">
        <v>0.13814470079767621</v>
      </c>
      <c r="F400" s="90">
        <v>5.0449563838435818</v>
      </c>
      <c r="G400" s="90">
        <v>2.658529129417293</v>
      </c>
      <c r="H400" s="12">
        <v>4.2526416878431839E-2</v>
      </c>
      <c r="I400" s="12">
        <v>0.49366109301628591</v>
      </c>
      <c r="J400" s="12">
        <v>0.94452160827485598</v>
      </c>
      <c r="K400" s="90">
        <v>4.2449459123862026</v>
      </c>
      <c r="L400" s="7">
        <v>1.1884618763040189</v>
      </c>
      <c r="M400" s="14">
        <v>0.13814470079767621</v>
      </c>
      <c r="N400" s="7">
        <v>2.3012849544112361</v>
      </c>
      <c r="O400" s="7">
        <v>0.66885844003845696</v>
      </c>
      <c r="P400" s="7">
        <v>1.9363557218747069</v>
      </c>
      <c r="U400" s="117"/>
      <c r="V400" s="117"/>
      <c r="W400" s="117"/>
      <c r="X400" s="117"/>
      <c r="Y400" s="117"/>
      <c r="AA400" s="117"/>
    </row>
    <row r="401" spans="1:27" x14ac:dyDescent="0.2">
      <c r="C401" s="121"/>
      <c r="D401" s="90"/>
      <c r="F401" s="90"/>
      <c r="G401" s="90"/>
      <c r="K401" s="90"/>
      <c r="L401" s="7"/>
      <c r="N401" s="7"/>
      <c r="O401" s="7"/>
      <c r="P401" s="7"/>
      <c r="U401" s="117"/>
      <c r="V401" s="117"/>
      <c r="W401" s="117"/>
      <c r="X401" s="117"/>
      <c r="Y401" s="117"/>
      <c r="AA401" s="117"/>
    </row>
    <row r="402" spans="1:27" x14ac:dyDescent="0.2">
      <c r="A402" t="s">
        <v>442</v>
      </c>
      <c r="B402" t="s">
        <v>30</v>
      </c>
      <c r="C402" s="143">
        <v>20.666300009391321</v>
      </c>
      <c r="D402" s="90">
        <v>15.25595753524159</v>
      </c>
      <c r="E402" s="12">
        <v>0.26179540951651392</v>
      </c>
      <c r="F402" s="90">
        <v>71.615337168132456</v>
      </c>
      <c r="G402" s="90">
        <v>2.465319729975298</v>
      </c>
      <c r="H402" s="12">
        <v>-5.1378858600079513E-2</v>
      </c>
      <c r="I402" s="12">
        <v>0.1091347392869835</v>
      </c>
      <c r="J402" s="12">
        <v>0.61588769595535209</v>
      </c>
      <c r="K402" s="90">
        <v>4.6942538351132326</v>
      </c>
      <c r="L402" s="7">
        <v>15.25595753524159</v>
      </c>
      <c r="M402" s="14">
        <v>0.26179540951651392</v>
      </c>
      <c r="N402" s="7">
        <v>28.43155477666004</v>
      </c>
      <c r="O402" s="7">
        <v>0.37574480016935657</v>
      </c>
      <c r="P402" s="7">
        <v>1.8636362031673559</v>
      </c>
      <c r="Q402" s="99">
        <v>7.2793990406869902E-2</v>
      </c>
      <c r="R402" s="99">
        <v>6.3941382828812928E-3</v>
      </c>
      <c r="S402" s="99">
        <v>1.9416758858665339E-2</v>
      </c>
      <c r="W402" s="117"/>
      <c r="X402" s="117"/>
      <c r="Y402" s="117"/>
      <c r="AA402" s="117"/>
    </row>
    <row r="403" spans="1:27" x14ac:dyDescent="0.2">
      <c r="A403" t="s">
        <v>443</v>
      </c>
      <c r="B403" t="s">
        <v>32</v>
      </c>
      <c r="C403" s="144">
        <v>325.91723619748342</v>
      </c>
      <c r="D403" s="90">
        <v>16.014190489061441</v>
      </c>
      <c r="E403" s="12">
        <v>0.95086424186734964</v>
      </c>
      <c r="F403" s="90">
        <v>402.95651535906819</v>
      </c>
      <c r="G403" s="90">
        <v>0.23637681780936659</v>
      </c>
      <c r="H403" s="12">
        <v>-0.90488903214062844</v>
      </c>
      <c r="I403" s="12">
        <v>-0.88251085662029283</v>
      </c>
      <c r="J403" s="12">
        <v>-0.82273979734937552</v>
      </c>
      <c r="K403" s="90">
        <v>25.16246547924538</v>
      </c>
      <c r="L403" s="7">
        <v>24.471472806621101</v>
      </c>
      <c r="M403" s="14">
        <v>0.92491507018121288</v>
      </c>
      <c r="N403" s="7">
        <v>402.95651535906819</v>
      </c>
      <c r="O403" s="7">
        <v>0.23637681780936659</v>
      </c>
      <c r="P403" s="7">
        <v>16.4663777510785</v>
      </c>
      <c r="S403" s="99">
        <v>1.8852439419393172E-2</v>
      </c>
      <c r="W403" s="117"/>
      <c r="X403" s="117"/>
      <c r="Y403" s="117"/>
      <c r="AA403" s="117"/>
    </row>
    <row r="404" spans="1:27" x14ac:dyDescent="0.2">
      <c r="B404" t="s">
        <v>34</v>
      </c>
      <c r="C404" s="145">
        <v>1.504382444629127</v>
      </c>
      <c r="D404" s="90">
        <v>1.134167169689235</v>
      </c>
      <c r="E404" s="12">
        <v>0.24609119593333281</v>
      </c>
      <c r="F404" s="90">
        <v>6.0615418131450118</v>
      </c>
      <c r="G404" s="90">
        <v>3.0292558815649779</v>
      </c>
      <c r="H404" s="12">
        <v>6.6483334031220087E-2</v>
      </c>
      <c r="I404" s="12">
        <v>0.32215911298477179</v>
      </c>
      <c r="J404" s="12">
        <v>0.78926548809313335</v>
      </c>
      <c r="K404" s="90">
        <v>5.3444871048470688</v>
      </c>
      <c r="L404" s="7">
        <v>1.134167169689235</v>
      </c>
      <c r="M404" s="14">
        <v>0.24609119593333281</v>
      </c>
      <c r="N404" s="7">
        <v>2.0119879961070679</v>
      </c>
      <c r="O404" s="7">
        <v>0.33741789083631568</v>
      </c>
      <c r="P404" s="7">
        <v>1.7739783427678999</v>
      </c>
      <c r="U404" s="117"/>
      <c r="V404" s="117"/>
      <c r="W404" s="117"/>
      <c r="X404" s="117"/>
      <c r="Y404" s="117"/>
      <c r="AA404" s="117"/>
    </row>
    <row r="405" spans="1:27" x14ac:dyDescent="0.2">
      <c r="B405" t="s">
        <v>35</v>
      </c>
      <c r="C405" s="143">
        <v>2.0839598770211931</v>
      </c>
      <c r="D405" s="90">
        <v>1.145979630151883</v>
      </c>
      <c r="E405" s="12">
        <v>0.45009515644324988</v>
      </c>
      <c r="F405" s="90">
        <v>5.8867564075687691</v>
      </c>
      <c r="G405" s="90">
        <v>1.8247935444819039</v>
      </c>
      <c r="H405" s="12">
        <v>-0.22533504789994971</v>
      </c>
      <c r="I405" s="12">
        <v>5.0965159404876559E-2</v>
      </c>
      <c r="J405" s="12">
        <v>0.4286396340026275</v>
      </c>
      <c r="K405" s="90">
        <v>5.1368770025943329</v>
      </c>
      <c r="L405" s="7">
        <v>1.145979630151883</v>
      </c>
      <c r="M405" s="14">
        <v>0.45009515644324988</v>
      </c>
      <c r="N405" s="7">
        <v>2.3128042540387952</v>
      </c>
      <c r="O405" s="7">
        <v>0.1098122759180522</v>
      </c>
      <c r="P405" s="7">
        <v>2.0181896721255548</v>
      </c>
      <c r="U405" s="117"/>
      <c r="V405" s="117"/>
      <c r="W405" s="117"/>
      <c r="X405" s="117"/>
      <c r="Y405" s="117"/>
      <c r="AA405" s="117"/>
    </row>
    <row r="406" spans="1:27" x14ac:dyDescent="0.2">
      <c r="C406" s="120"/>
      <c r="D406" s="90"/>
      <c r="F406" s="90"/>
      <c r="G406" s="90"/>
      <c r="K406" s="90"/>
      <c r="L406" s="7"/>
      <c r="N406" s="7"/>
      <c r="O406" s="7"/>
      <c r="P406" s="7"/>
      <c r="W406" s="117"/>
      <c r="X406" s="117"/>
      <c r="Y406" s="117"/>
      <c r="AA406" s="117"/>
    </row>
    <row r="407" spans="1:27" x14ac:dyDescent="0.2">
      <c r="A407" t="s">
        <v>444</v>
      </c>
      <c r="B407" t="s">
        <v>30</v>
      </c>
      <c r="C407" s="145">
        <v>-120.8778447213421</v>
      </c>
      <c r="D407" s="90">
        <v>7.7771738479729899</v>
      </c>
      <c r="E407" s="12">
        <v>1.06433911744457</v>
      </c>
      <c r="F407" s="90">
        <v>-103.0798896114391</v>
      </c>
      <c r="G407" s="90">
        <v>-0.14723918308547251</v>
      </c>
      <c r="H407" s="12">
        <v>-1.078533814930986</v>
      </c>
      <c r="I407" s="12">
        <v>-1.100586559256586</v>
      </c>
      <c r="J407" s="12">
        <v>-1.1738723255284751</v>
      </c>
      <c r="K407" s="90">
        <v>-13.254157824735451</v>
      </c>
      <c r="L407" s="7">
        <v>7.7771738479729899</v>
      </c>
      <c r="M407" s="14">
        <v>1.06433911744457</v>
      </c>
      <c r="N407" s="7">
        <v>-103.0798896114391</v>
      </c>
      <c r="O407" s="7">
        <v>-0.14723918308547251</v>
      </c>
      <c r="P407" s="7">
        <v>-13.254157824735451</v>
      </c>
      <c r="Q407" s="99">
        <v>-7.3501821469336443E-3</v>
      </c>
      <c r="R407" s="99">
        <v>-0.13262147621359199</v>
      </c>
      <c r="S407" s="99">
        <v>2.378897629174383E-2</v>
      </c>
      <c r="W407" s="117"/>
      <c r="X407" s="117"/>
      <c r="Y407" s="117"/>
      <c r="AA407" s="117"/>
    </row>
    <row r="408" spans="1:27" x14ac:dyDescent="0.2">
      <c r="A408" t="s">
        <v>445</v>
      </c>
      <c r="B408" t="s">
        <v>32</v>
      </c>
      <c r="C408" s="145">
        <v>-6.9930361232264344</v>
      </c>
      <c r="D408" s="90">
        <v>11.93326912386396</v>
      </c>
      <c r="E408" s="12">
        <v>2.7064503762863752</v>
      </c>
      <c r="F408" s="90">
        <v>-6.0170755672888196</v>
      </c>
      <c r="G408" s="90">
        <v>-0.139561778137552</v>
      </c>
      <c r="H408" s="12">
        <v>-3.406206592439414</v>
      </c>
      <c r="I408" s="12">
        <v>-4.7472122216239283</v>
      </c>
      <c r="J408" s="12">
        <v>-9.4384426143042965</v>
      </c>
      <c r="K408" s="90">
        <v>-0.50422692263396374</v>
      </c>
      <c r="L408" s="7">
        <v>11.93326912386396</v>
      </c>
      <c r="M408" s="14">
        <v>2.7064503762863752</v>
      </c>
      <c r="N408" s="7">
        <v>-6.0170755672888196</v>
      </c>
      <c r="O408" s="7">
        <v>-0.139561778137552</v>
      </c>
      <c r="P408" s="7">
        <v>-0.50422692263396374</v>
      </c>
      <c r="S408" s="99">
        <v>1.1832802096741519E-2</v>
      </c>
      <c r="U408" s="117"/>
      <c r="V408" s="117"/>
      <c r="W408" s="117"/>
      <c r="X408" s="117"/>
      <c r="Y408" s="117"/>
      <c r="AA408" s="117"/>
    </row>
    <row r="409" spans="1:27" x14ac:dyDescent="0.2">
      <c r="B409" t="s">
        <v>34</v>
      </c>
      <c r="C409" s="145">
        <v>0.8884741762306263</v>
      </c>
      <c r="D409" s="90">
        <v>0.75757968990920299</v>
      </c>
      <c r="E409" s="12">
        <v>0.14732503186164209</v>
      </c>
      <c r="F409" s="90">
        <v>3.9176047908898641</v>
      </c>
      <c r="G409" s="90">
        <v>3.4093625855400771</v>
      </c>
      <c r="H409" s="12">
        <v>0.26940754748345808</v>
      </c>
      <c r="I409" s="12">
        <v>0.72062222261169495</v>
      </c>
      <c r="J409" s="12">
        <v>1.3888818282085029</v>
      </c>
      <c r="K409" s="90">
        <v>5.1712114818698396</v>
      </c>
      <c r="L409" s="7">
        <v>0.75757968990920299</v>
      </c>
      <c r="M409" s="14">
        <v>0.14732503186164209</v>
      </c>
      <c r="N409" s="7">
        <v>2.0235561473032719</v>
      </c>
      <c r="O409" s="7">
        <v>1.2775632668225201</v>
      </c>
      <c r="P409" s="7">
        <v>2.671080249717094</v>
      </c>
      <c r="U409" s="117"/>
      <c r="V409" s="117"/>
      <c r="W409" s="117"/>
      <c r="X409" s="117"/>
      <c r="Y409" s="117"/>
      <c r="AA409" s="117"/>
    </row>
    <row r="410" spans="1:27" x14ac:dyDescent="0.2">
      <c r="B410" t="s">
        <v>35</v>
      </c>
      <c r="C410" s="145">
        <v>0.9274267738772638</v>
      </c>
      <c r="D410" s="90">
        <v>0.80013873121361667</v>
      </c>
      <c r="E410" s="12">
        <v>0.1372486176256246</v>
      </c>
      <c r="F410" s="90">
        <v>4.449843187724607</v>
      </c>
      <c r="G410" s="90">
        <v>3.798053402233891</v>
      </c>
      <c r="H410" s="12">
        <v>0.1107866810659537</v>
      </c>
      <c r="I410" s="12">
        <v>0.7182286610749391</v>
      </c>
      <c r="J410" s="12">
        <v>1.461239434021449</v>
      </c>
      <c r="K410" s="90">
        <v>5.5613395704208353</v>
      </c>
      <c r="L410" s="7">
        <v>0.80013873121361667</v>
      </c>
      <c r="M410" s="14">
        <v>0.1372486176256246</v>
      </c>
      <c r="N410" s="7">
        <v>1.884794583754388</v>
      </c>
      <c r="O410" s="7">
        <v>1.0322839892519891</v>
      </c>
      <c r="P410" s="7">
        <v>2.3555847382810868</v>
      </c>
      <c r="W410" s="117"/>
      <c r="X410" s="117"/>
      <c r="Y410" s="117"/>
      <c r="AA410" s="117"/>
    </row>
    <row r="411" spans="1:27" x14ac:dyDescent="0.2">
      <c r="C411" s="122"/>
      <c r="D411" s="90"/>
      <c r="F411" s="90"/>
      <c r="G411" s="90"/>
      <c r="K411" s="90"/>
      <c r="L411" s="7"/>
      <c r="N411" s="7"/>
      <c r="O411" s="7"/>
      <c r="P411" s="7"/>
      <c r="W411" s="117"/>
      <c r="X411" s="117"/>
      <c r="Y411" s="117"/>
      <c r="AA411" s="117"/>
    </row>
    <row r="412" spans="1:27" x14ac:dyDescent="0.2">
      <c r="A412" t="s">
        <v>446</v>
      </c>
      <c r="B412" t="s">
        <v>30</v>
      </c>
      <c r="C412" s="145">
        <v>-17.769420126795289</v>
      </c>
      <c r="D412" s="90">
        <v>9.5618482039315733</v>
      </c>
      <c r="E412" s="12">
        <v>1.5381069351561361</v>
      </c>
      <c r="F412" s="90">
        <v>-15.94589810666683</v>
      </c>
      <c r="G412" s="90">
        <v>-0.10262135776612601</v>
      </c>
      <c r="H412" s="12">
        <v>-1.988950485849091</v>
      </c>
      <c r="I412" s="12">
        <v>-2.4379112371471598</v>
      </c>
      <c r="J412" s="12">
        <v>-3.9556525711504742</v>
      </c>
      <c r="K412" s="90">
        <v>-1.667658570454017</v>
      </c>
      <c r="L412" s="7">
        <v>9.5618482039315733</v>
      </c>
      <c r="M412" s="14">
        <v>1.5381069351561361</v>
      </c>
      <c r="N412" s="7">
        <v>-15.94589810666683</v>
      </c>
      <c r="O412" s="7">
        <v>-0.10262135776612601</v>
      </c>
      <c r="P412" s="7">
        <v>-1.667658570454017</v>
      </c>
      <c r="Q412" s="99">
        <v>-8.7216396309888547E-2</v>
      </c>
      <c r="R412" s="99">
        <v>-4.4563774145744821</v>
      </c>
      <c r="S412" s="99">
        <v>3.9366550779956329E-2</v>
      </c>
      <c r="U412" s="117"/>
      <c r="V412" s="117"/>
      <c r="W412" s="117"/>
      <c r="X412" s="117"/>
      <c r="Y412" s="117"/>
      <c r="AA412" s="117"/>
    </row>
    <row r="413" spans="1:27" x14ac:dyDescent="0.2">
      <c r="A413" t="s">
        <v>447</v>
      </c>
      <c r="B413" t="s">
        <v>32</v>
      </c>
      <c r="C413" s="144">
        <v>-1.076790440332051</v>
      </c>
      <c r="D413" s="90">
        <v>7.389798494712073</v>
      </c>
      <c r="E413" s="12">
        <v>7.8628009851510861</v>
      </c>
      <c r="F413" s="90">
        <v>-1.076790440332051</v>
      </c>
      <c r="G413" s="90">
        <v>0</v>
      </c>
      <c r="H413" s="12">
        <v>-20.542161895272528</v>
      </c>
      <c r="I413" s="12">
        <v>-32.345187499901833</v>
      </c>
      <c r="J413" s="12">
        <v>30.929357481245731</v>
      </c>
      <c r="K413" s="90">
        <v>-0.1457130990922921</v>
      </c>
      <c r="L413" s="7">
        <v>7.389798494712073</v>
      </c>
      <c r="M413" s="14">
        <v>7.8628009851510861</v>
      </c>
      <c r="N413" s="7">
        <v>-1.076790440332051</v>
      </c>
      <c r="O413" s="7">
        <v>0</v>
      </c>
      <c r="P413" s="7">
        <v>-0.1457130990922921</v>
      </c>
      <c r="S413" s="99">
        <v>2.7211303596611228E-2</v>
      </c>
      <c r="U413" s="117"/>
      <c r="V413" s="117"/>
      <c r="W413" s="117"/>
      <c r="X413" s="117"/>
      <c r="Y413" s="117"/>
      <c r="AA413" s="117"/>
    </row>
    <row r="414" spans="1:27" x14ac:dyDescent="0.2">
      <c r="B414" t="s">
        <v>34</v>
      </c>
      <c r="C414" s="145">
        <v>1.549784787975488</v>
      </c>
      <c r="D414" s="90">
        <v>1.233846019351754</v>
      </c>
      <c r="E414" s="12">
        <v>0.20385976883696941</v>
      </c>
      <c r="F414" s="90">
        <v>8.6038496028688272</v>
      </c>
      <c r="G414" s="90">
        <v>4.5516415373441568</v>
      </c>
      <c r="H414" s="12">
        <v>0.12855160404651469</v>
      </c>
      <c r="I414" s="12">
        <v>0.56435747996782704</v>
      </c>
      <c r="J414" s="12">
        <v>1.3174733183985741</v>
      </c>
      <c r="K414" s="90">
        <v>6.9731955754002239</v>
      </c>
      <c r="L414" s="7">
        <v>1.233846019351754</v>
      </c>
      <c r="M414" s="14">
        <v>0.20385976883696941</v>
      </c>
      <c r="N414" s="7">
        <v>3.207666885027229</v>
      </c>
      <c r="O414" s="7">
        <v>1.06974988392902</v>
      </c>
      <c r="P414" s="7">
        <v>2.5997303024185259</v>
      </c>
      <c r="W414" s="117"/>
      <c r="X414" s="117"/>
      <c r="Y414" s="117"/>
      <c r="AA414" s="117"/>
    </row>
    <row r="415" spans="1:27" x14ac:dyDescent="0.2">
      <c r="B415" t="s">
        <v>35</v>
      </c>
      <c r="C415" s="144">
        <v>4.7985845985254647</v>
      </c>
      <c r="D415" s="90">
        <v>0.7859104207244676</v>
      </c>
      <c r="E415" s="12">
        <v>0.83622036777970599</v>
      </c>
      <c r="F415" s="90">
        <v>5.7192242413755201</v>
      </c>
      <c r="G415" s="90">
        <v>0.19185649933794119</v>
      </c>
      <c r="H415" s="12">
        <v>-0.75131279313706745</v>
      </c>
      <c r="I415" s="12">
        <v>-0.54967760523716769</v>
      </c>
      <c r="J415" s="12">
        <v>-0.45169024215973003</v>
      </c>
      <c r="K415" s="90">
        <v>7.2771960907496647</v>
      </c>
      <c r="L415" s="7">
        <v>0.7859104207244676</v>
      </c>
      <c r="M415" s="14">
        <v>0.83622036777970599</v>
      </c>
      <c r="N415" s="7">
        <v>4.9506882246733994</v>
      </c>
      <c r="O415" s="7">
        <v>3.1697602287698252E-2</v>
      </c>
      <c r="P415" s="7">
        <v>6.2993034500162981</v>
      </c>
      <c r="W415" s="117"/>
      <c r="X415" s="117"/>
      <c r="Y415" s="117"/>
      <c r="AA415" s="117"/>
    </row>
    <row r="416" spans="1:27" x14ac:dyDescent="0.2">
      <c r="C416" s="121"/>
      <c r="D416" s="90"/>
      <c r="F416" s="90"/>
      <c r="G416" s="90"/>
      <c r="K416" s="90"/>
      <c r="L416" s="7"/>
      <c r="N416" s="7"/>
      <c r="O416" s="7"/>
      <c r="P416" s="7"/>
      <c r="U416" s="117"/>
      <c r="V416" s="117"/>
      <c r="W416" s="117"/>
      <c r="X416" s="117"/>
      <c r="Y416" s="117"/>
      <c r="AA416" s="117"/>
    </row>
    <row r="417" spans="1:27" x14ac:dyDescent="0.2">
      <c r="A417" t="s">
        <v>448</v>
      </c>
      <c r="B417" t="s">
        <v>30</v>
      </c>
      <c r="C417" s="143">
        <v>21.97591471641795</v>
      </c>
      <c r="D417" s="90">
        <v>8.0171564240699755</v>
      </c>
      <c r="E417" s="12">
        <v>0.63518440403846066</v>
      </c>
      <c r="F417" s="90">
        <v>125.3338135595836</v>
      </c>
      <c r="G417" s="90">
        <v>4.7032353454642859</v>
      </c>
      <c r="H417" s="12">
        <v>-0.39508606448245581</v>
      </c>
      <c r="I417" s="12">
        <v>1.051271209836457E-2</v>
      </c>
      <c r="J417" s="12">
        <v>1.149721533741046</v>
      </c>
      <c r="K417" s="90">
        <v>15.63320046784828</v>
      </c>
      <c r="L417" s="7">
        <v>8.0171564240699755</v>
      </c>
      <c r="M417" s="14">
        <v>0.63518440403846066</v>
      </c>
      <c r="N417" s="7">
        <v>31.123495172181318</v>
      </c>
      <c r="O417" s="7">
        <v>0.41625482141725462</v>
      </c>
      <c r="P417" s="7">
        <v>3.8821115026194311</v>
      </c>
      <c r="Q417" s="99">
        <v>6.6739442526637577E-2</v>
      </c>
      <c r="R417" s="99">
        <v>5.4576197175316261E-2</v>
      </c>
      <c r="S417" s="99">
        <v>2.2770918521066569E-2</v>
      </c>
      <c r="U417" s="117"/>
      <c r="V417" s="117"/>
      <c r="W417" s="117"/>
      <c r="X417" s="117"/>
      <c r="Y417" s="117"/>
      <c r="AA417" s="117"/>
    </row>
    <row r="418" spans="1:27" x14ac:dyDescent="0.2">
      <c r="A418" t="s">
        <v>449</v>
      </c>
      <c r="B418" t="s">
        <v>32</v>
      </c>
      <c r="C418" s="143">
        <v>26.659973936902301</v>
      </c>
      <c r="D418" s="90">
        <v>13.28386041992599</v>
      </c>
      <c r="E418" s="12">
        <v>0.50173017980566392</v>
      </c>
      <c r="F418" s="90">
        <v>-262.14623456216009</v>
      </c>
      <c r="G418" s="90">
        <v>-10.832951644386331</v>
      </c>
      <c r="H418" s="12">
        <v>-7.8282035218125601E-2</v>
      </c>
      <c r="I418" s="12">
        <v>0.24521635056446731</v>
      </c>
      <c r="J418" s="12">
        <v>1.484552245990302</v>
      </c>
      <c r="K418" s="90">
        <v>-19.734190685181911</v>
      </c>
      <c r="L418" s="7">
        <v>13.28386041992599</v>
      </c>
      <c r="M418" s="14">
        <v>0.50173017980566392</v>
      </c>
      <c r="N418" s="7">
        <v>43.799057534827</v>
      </c>
      <c r="O418" s="7">
        <v>0.64287698249401015</v>
      </c>
      <c r="P418" s="7">
        <v>3.2971633358272689</v>
      </c>
      <c r="S418" s="99">
        <v>1.5688035596195249E-2</v>
      </c>
      <c r="W418" s="117"/>
      <c r="X418" s="117"/>
      <c r="Y418" s="117"/>
      <c r="AA418" s="117"/>
    </row>
    <row r="419" spans="1:27" x14ac:dyDescent="0.2">
      <c r="B419" t="s">
        <v>34</v>
      </c>
      <c r="C419" s="145">
        <v>1.4666602971866649</v>
      </c>
      <c r="D419" s="90">
        <v>1.233519526932219</v>
      </c>
      <c r="E419" s="12">
        <v>0.1589603064197305</v>
      </c>
      <c r="F419" s="90">
        <v>7.9157396237570623</v>
      </c>
      <c r="G419" s="90">
        <v>4.3971186367701964</v>
      </c>
      <c r="H419" s="12">
        <v>0.1038774141587446</v>
      </c>
      <c r="I419" s="12">
        <v>0.61069009507590133</v>
      </c>
      <c r="J419" s="12">
        <v>1.0279597972772929</v>
      </c>
      <c r="K419" s="90">
        <v>6.4171984722800612</v>
      </c>
      <c r="L419" s="7">
        <v>1.233519526932219</v>
      </c>
      <c r="M419" s="14">
        <v>0.1589603064197305</v>
      </c>
      <c r="N419" s="7">
        <v>3.1220160246200508</v>
      </c>
      <c r="O419" s="7">
        <v>1.1286565339013239</v>
      </c>
      <c r="P419" s="7">
        <v>2.5309822475081121</v>
      </c>
      <c r="W419" s="117"/>
      <c r="X419" s="117"/>
      <c r="Y419" s="117"/>
      <c r="AA419" s="117"/>
    </row>
    <row r="420" spans="1:27" x14ac:dyDescent="0.2">
      <c r="B420" t="s">
        <v>35</v>
      </c>
      <c r="C420" s="145">
        <v>1.454999994269172</v>
      </c>
      <c r="D420" s="90">
        <v>1.1679917592552389</v>
      </c>
      <c r="E420" s="12">
        <v>0.1972565196868564</v>
      </c>
      <c r="F420" s="90">
        <v>6.7873694714679607</v>
      </c>
      <c r="G420" s="90">
        <v>3.66485876165049</v>
      </c>
      <c r="H420" s="12">
        <v>2.0908959839437639E-2</v>
      </c>
      <c r="I420" s="12">
        <v>0.45768260235270808</v>
      </c>
      <c r="J420" s="12">
        <v>1.0373824627475119</v>
      </c>
      <c r="K420" s="90">
        <v>5.8111449996837932</v>
      </c>
      <c r="L420" s="7">
        <v>1.1679917592552389</v>
      </c>
      <c r="M420" s="14">
        <v>0.1972565196868564</v>
      </c>
      <c r="N420" s="7">
        <v>2.5390293065853711</v>
      </c>
      <c r="O420" s="7">
        <v>0.74503733098685876</v>
      </c>
      <c r="P420" s="7">
        <v>2.1738417985109439</v>
      </c>
      <c r="U420" s="117"/>
      <c r="V420" s="117"/>
      <c r="W420" s="117"/>
      <c r="X420" s="117"/>
      <c r="Y420" s="117"/>
      <c r="AA420" s="117"/>
    </row>
    <row r="421" spans="1:27" x14ac:dyDescent="0.2">
      <c r="C421" s="121"/>
      <c r="D421" s="90"/>
      <c r="F421" s="90"/>
      <c r="G421" s="90"/>
      <c r="K421" s="90"/>
      <c r="L421" s="7"/>
      <c r="N421" s="7"/>
      <c r="O421" s="7"/>
      <c r="P421" s="7"/>
      <c r="U421" s="117"/>
      <c r="V421" s="117"/>
      <c r="W421" s="117"/>
      <c r="X421" s="117"/>
      <c r="Y421" s="117"/>
      <c r="AA421" s="117"/>
    </row>
    <row r="422" spans="1:27" x14ac:dyDescent="0.2">
      <c r="A422" t="s">
        <v>450</v>
      </c>
      <c r="B422" t="s">
        <v>30</v>
      </c>
      <c r="C422" s="143">
        <v>26.469280822612941</v>
      </c>
      <c r="D422" s="90">
        <v>9.5250010990628411</v>
      </c>
      <c r="E422" s="12">
        <v>0.6401488516860061</v>
      </c>
      <c r="F422" s="90">
        <v>124.2109763600788</v>
      </c>
      <c r="G422" s="90">
        <v>3.6926464376759429</v>
      </c>
      <c r="H422" s="12">
        <v>-0.22518583305073411</v>
      </c>
      <c r="I422" s="12">
        <v>1.6192895526909279E-2</v>
      </c>
      <c r="J422" s="12">
        <v>0.78025393859720671</v>
      </c>
      <c r="K422" s="90">
        <v>13.040520947792841</v>
      </c>
      <c r="L422" s="7">
        <v>16.596505046599109</v>
      </c>
      <c r="M422" s="14">
        <v>0.37298995171714022</v>
      </c>
      <c r="N422" s="7">
        <v>32.609079003722613</v>
      </c>
      <c r="O422" s="7">
        <v>0.23195938802630359</v>
      </c>
      <c r="P422" s="7">
        <v>1.964816020732312</v>
      </c>
      <c r="Q422" s="99">
        <v>6.5078302717295519E-2</v>
      </c>
      <c r="R422" s="99">
        <v>5.4460866404673278E-2</v>
      </c>
      <c r="S422" s="99">
        <v>2.1293468621093919E-2</v>
      </c>
      <c r="W422" s="117"/>
      <c r="X422" s="117"/>
      <c r="Y422" s="117"/>
      <c r="AA422" s="117"/>
    </row>
    <row r="423" spans="1:27" x14ac:dyDescent="0.2">
      <c r="A423" t="s">
        <v>451</v>
      </c>
      <c r="B423" t="s">
        <v>32</v>
      </c>
      <c r="C423" s="143">
        <v>32.440939787547862</v>
      </c>
      <c r="D423" s="90">
        <v>5.0292400817246676</v>
      </c>
      <c r="E423" s="12">
        <v>0.84497242944684692</v>
      </c>
      <c r="F423" s="90">
        <v>260.86405038741577</v>
      </c>
      <c r="G423" s="90">
        <v>7.0411989324534296</v>
      </c>
      <c r="H423" s="12">
        <v>-0.21370011955927859</v>
      </c>
      <c r="I423" s="12">
        <v>5.8525733569417593E-2</v>
      </c>
      <c r="J423" s="12">
        <v>1.060797207951109</v>
      </c>
      <c r="K423" s="90">
        <v>51.869476530927159</v>
      </c>
      <c r="L423" s="7">
        <v>21.812025494900329</v>
      </c>
      <c r="M423" s="14">
        <v>0.32763891435498249</v>
      </c>
      <c r="N423" s="7">
        <v>52.747911695286852</v>
      </c>
      <c r="O423" s="7">
        <v>0.62596743623110518</v>
      </c>
      <c r="P423" s="7">
        <v>2.418294977127152</v>
      </c>
      <c r="S423" s="99">
        <v>1.8504284170975369E-2</v>
      </c>
      <c r="W423" s="117"/>
      <c r="X423" s="117"/>
      <c r="Y423" s="117"/>
      <c r="AA423" s="117"/>
    </row>
    <row r="424" spans="1:27" x14ac:dyDescent="0.2">
      <c r="B424" t="s">
        <v>34</v>
      </c>
      <c r="C424" s="143">
        <v>1.72257587008311</v>
      </c>
      <c r="D424" s="90">
        <v>1.3145396950499759</v>
      </c>
      <c r="E424" s="12">
        <v>0.23687558970244221</v>
      </c>
      <c r="F424" s="90">
        <v>7.6583607972816363</v>
      </c>
      <c r="G424" s="90">
        <v>3.4458772065071011</v>
      </c>
      <c r="H424" s="12">
        <v>-9.5152089931148653E-2</v>
      </c>
      <c r="I424" s="12">
        <v>0.21523454237276279</v>
      </c>
      <c r="J424" s="12">
        <v>0.90780622253118137</v>
      </c>
      <c r="K424" s="90">
        <v>5.8258878192267014</v>
      </c>
      <c r="L424" s="7">
        <v>1.3145396950499759</v>
      </c>
      <c r="M424" s="14">
        <v>0.23687558970244221</v>
      </c>
      <c r="N424" s="7">
        <v>2.239796594375131</v>
      </c>
      <c r="O424" s="7">
        <v>0.30026005430290081</v>
      </c>
      <c r="P424" s="7">
        <v>1.703863795676386</v>
      </c>
      <c r="U424" s="117"/>
      <c r="V424" s="117"/>
      <c r="W424" s="117"/>
      <c r="X424" s="117"/>
      <c r="Y424" s="117"/>
      <c r="AA424" s="117"/>
    </row>
    <row r="425" spans="1:27" x14ac:dyDescent="0.2">
      <c r="B425" t="s">
        <v>35</v>
      </c>
      <c r="C425" s="143">
        <v>1.7667616878116941</v>
      </c>
      <c r="D425" s="90">
        <v>1.126453732954297</v>
      </c>
      <c r="E425" s="12">
        <v>0.36241897210850249</v>
      </c>
      <c r="F425" s="90">
        <v>7.8890671347149643</v>
      </c>
      <c r="G425" s="90">
        <v>3.4652695319006721</v>
      </c>
      <c r="H425" s="12">
        <v>-0.1180726429609226</v>
      </c>
      <c r="I425" s="12">
        <v>0.24396315122769741</v>
      </c>
      <c r="J425" s="12">
        <v>1.0955919717524141</v>
      </c>
      <c r="K425" s="90">
        <v>7.0034542067029069</v>
      </c>
      <c r="L425" s="7">
        <v>1.126453732954297</v>
      </c>
      <c r="M425" s="14">
        <v>0.36241897210850249</v>
      </c>
      <c r="N425" s="7">
        <v>2.3246362716021589</v>
      </c>
      <c r="O425" s="7">
        <v>0.31576108291178012</v>
      </c>
      <c r="P425" s="7">
        <v>2.0636766549705019</v>
      </c>
      <c r="U425" s="117"/>
      <c r="V425" s="117"/>
      <c r="W425" s="117"/>
      <c r="X425" s="117"/>
      <c r="Y425" s="117"/>
      <c r="AA425" s="117"/>
    </row>
    <row r="427" spans="1:27" x14ac:dyDescent="0.2">
      <c r="B427" t="s">
        <v>30</v>
      </c>
      <c r="C427" s="148">
        <v>-9.4706412802044664</v>
      </c>
      <c r="D427">
        <v>15.15107240931915</v>
      </c>
      <c r="E427">
        <v>2.599793716291201</v>
      </c>
      <c r="F427">
        <v>-4.2630279782748399</v>
      </c>
      <c r="G427">
        <v>-0.54986913217952615</v>
      </c>
      <c r="H427">
        <v>-3.7661421258478498</v>
      </c>
      <c r="I427">
        <v>-5.7587439888276908</v>
      </c>
      <c r="J427">
        <v>-12.97478401949974</v>
      </c>
      <c r="K427">
        <v>-0.28136806841822809</v>
      </c>
      <c r="L427">
        <v>15.15107240931915</v>
      </c>
      <c r="M427">
        <v>2.599793716291201</v>
      </c>
      <c r="N427">
        <v>-4.2630279782748399</v>
      </c>
      <c r="O427">
        <v>-0.54986913217952615</v>
      </c>
      <c r="P427">
        <v>-0.28136806841822809</v>
      </c>
      <c r="Q427">
        <v>-0.1489775445080114</v>
      </c>
      <c r="R427">
        <v>-0.22313066037922649</v>
      </c>
      <c r="S427">
        <v>4.433271869781685E-3</v>
      </c>
    </row>
    <row r="428" spans="1:27" x14ac:dyDescent="0.2">
      <c r="A428" t="s">
        <v>452</v>
      </c>
      <c r="B428" t="s">
        <v>32</v>
      </c>
      <c r="C428" s="148">
        <v>-7.4355744419375531</v>
      </c>
      <c r="D428">
        <v>18.864163397139802</v>
      </c>
      <c r="E428">
        <v>3.5370149333377121</v>
      </c>
      <c r="F428">
        <v>-2.181597939593376</v>
      </c>
      <c r="G428">
        <v>-0.70659994642930402</v>
      </c>
      <c r="H428">
        <v>-5.0757132879490161</v>
      </c>
      <c r="I428">
        <v>-8.5640715592775791</v>
      </c>
      <c r="J428">
        <v>-21.05637434187857</v>
      </c>
      <c r="K428">
        <v>-0.1156477440141423</v>
      </c>
      <c r="L428">
        <v>18.864163397139802</v>
      </c>
      <c r="M428">
        <v>3.5370149333377121</v>
      </c>
      <c r="N428">
        <v>-2.181597939593376</v>
      </c>
      <c r="O428">
        <v>-0.70659994642930402</v>
      </c>
      <c r="P428">
        <v>-0.1156477440141423</v>
      </c>
      <c r="S428">
        <v>4.2363903718833102E-3</v>
      </c>
    </row>
    <row r="429" spans="1:27" x14ac:dyDescent="0.2">
      <c r="B429" t="s">
        <v>34</v>
      </c>
      <c r="C429" s="147">
        <v>1.4109128828410711</v>
      </c>
      <c r="D429">
        <v>1.067742058159822</v>
      </c>
      <c r="E429">
        <v>0.24322609060754111</v>
      </c>
      <c r="F429">
        <v>12.074733993435229</v>
      </c>
      <c r="G429">
        <v>7.5581003195045344</v>
      </c>
      <c r="H429">
        <v>-4.4518118851239567E-2</v>
      </c>
      <c r="I429">
        <v>0.71552884531125294</v>
      </c>
      <c r="J429">
        <v>2.3353277111949859</v>
      </c>
      <c r="K429">
        <v>11.308661957406819</v>
      </c>
      <c r="L429">
        <v>1.067742058159822</v>
      </c>
      <c r="M429">
        <v>0.24322609060754111</v>
      </c>
      <c r="N429">
        <v>2.6835714300404421</v>
      </c>
      <c r="O429">
        <v>0.90201072133999816</v>
      </c>
      <c r="P429">
        <v>2.5133143436022261</v>
      </c>
    </row>
    <row r="430" spans="1:27" x14ac:dyDescent="0.2">
      <c r="B430" t="s">
        <v>35</v>
      </c>
      <c r="C430" s="147">
        <v>1.6591046355284249</v>
      </c>
      <c r="D430">
        <v>1.023997558943994</v>
      </c>
      <c r="E430">
        <v>0.38280109824546971</v>
      </c>
      <c r="F430">
        <v>11.49451435267129</v>
      </c>
      <c r="G430">
        <v>5.9281431119685148</v>
      </c>
      <c r="H430">
        <v>-0.16216815640437579</v>
      </c>
      <c r="I430">
        <v>0.47538557925695951</v>
      </c>
      <c r="J430">
        <v>2.2225349002976542</v>
      </c>
      <c r="K430">
        <v>11.225138431506711</v>
      </c>
      <c r="L430">
        <v>1.023997558943994</v>
      </c>
      <c r="M430">
        <v>0.38280109824546971</v>
      </c>
      <c r="N430">
        <v>2.6011018234002381</v>
      </c>
      <c r="O430">
        <v>0.56777442947218715</v>
      </c>
      <c r="P430">
        <v>2.5401445547220298</v>
      </c>
    </row>
  </sheetData>
  <conditionalFormatting sqref="E1:E280 E282:E311 E316:E391 E426:E1048576">
    <cfRule type="dataBar" priority="51">
      <dataBar>
        <cfvo type="min"/>
        <cfvo type="max"/>
        <color rgb="FF638EC6"/>
      </dataBar>
    </cfRule>
  </conditionalFormatting>
  <conditionalFormatting sqref="E1:E311 E316:E1048576">
    <cfRule type="dataBar" priority="18">
      <dataBar>
        <cfvo type="min"/>
        <cfvo type="max"/>
        <color rgb="FF638EC6"/>
      </dataBar>
    </cfRule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12:E315">
    <cfRule type="dataBar" priority="3">
      <dataBar>
        <cfvo type="min"/>
        <cfvo type="max"/>
        <color rgb="FF638EC6"/>
      </dataBar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  <cfRule type="dataBar" priority="14">
      <dataBar>
        <cfvo type="min"/>
        <cfvo type="max"/>
        <color rgb="FF638EC6"/>
      </dataBar>
    </cfRule>
  </conditionalFormatting>
  <conditionalFormatting sqref="E392:E425">
    <cfRule type="dataBar" priority="31">
      <dataBar>
        <cfvo type="min"/>
        <cfvo type="max"/>
        <color rgb="FF638EC6"/>
      </dataBar>
    </cfRule>
  </conditionalFormatting>
  <conditionalFormatting sqref="H1:H311 H316:H391 H426:H1048576">
    <cfRule type="dataBar" priority="48">
      <dataBar>
        <cfvo type="min"/>
        <cfvo type="max"/>
        <color rgb="FF638EC6"/>
      </dataBar>
    </cfRule>
  </conditionalFormatting>
  <conditionalFormatting sqref="H312:H315">
    <cfRule type="dataBar" priority="11">
      <dataBar>
        <cfvo type="min"/>
        <cfvo type="max"/>
        <color rgb="FF638EC6"/>
      </dataBar>
    </cfRule>
  </conditionalFormatting>
  <conditionalFormatting sqref="H392:H425">
    <cfRule type="dataBar" priority="28">
      <dataBar>
        <cfvo type="min"/>
        <cfvo type="max"/>
        <color rgb="FF638EC6"/>
      </dataBar>
    </cfRule>
  </conditionalFormatting>
  <conditionalFormatting sqref="I1:J311 I316:J391 I426:J1048576">
    <cfRule type="dataBar" priority="49">
      <dataBar>
        <cfvo type="min"/>
        <cfvo type="max"/>
        <color rgb="FF638EC6"/>
      </dataBar>
    </cfRule>
  </conditionalFormatting>
  <conditionalFormatting sqref="I312:J315">
    <cfRule type="dataBar" priority="12">
      <dataBar>
        <cfvo type="min"/>
        <cfvo type="max"/>
        <color rgb="FF638EC6"/>
      </dataBar>
    </cfRule>
  </conditionalFormatting>
  <conditionalFormatting sqref="I392:J425">
    <cfRule type="dataBar" priority="29">
      <dataBar>
        <cfvo type="min"/>
        <cfvo type="max"/>
        <color rgb="FF638EC6"/>
      </dataBar>
    </cfRule>
  </conditionalFormatting>
  <conditionalFormatting sqref="M1:M311 M316:M391 M426:M1048576">
    <cfRule type="dataBar" priority="50">
      <dataBar>
        <cfvo type="min"/>
        <cfvo type="max"/>
        <color rgb="FF638EC6"/>
      </dataBar>
    </cfRule>
  </conditionalFormatting>
  <conditionalFormatting sqref="M312:M315">
    <cfRule type="dataBar" priority="13">
      <dataBar>
        <cfvo type="min"/>
        <cfvo type="max"/>
        <color rgb="FF638EC6"/>
      </dataBar>
    </cfRule>
  </conditionalFormatting>
  <conditionalFormatting sqref="M392:M425">
    <cfRule type="dataBar" priority="30">
      <dataBar>
        <cfvo type="min"/>
        <cfvo type="max"/>
        <color rgb="FF638EC6"/>
      </dataBar>
    </cfRule>
  </conditionalFormatting>
  <conditionalFormatting sqref="Q1:Q206 Q208:Q311 Q316:Q391 Q426:Q1048576">
    <cfRule type="dataBar" priority="54">
      <dataBar>
        <cfvo type="min"/>
        <cfvo type="max"/>
        <color rgb="FF638EC6"/>
      </dataBar>
    </cfRule>
  </conditionalFormatting>
  <conditionalFormatting sqref="Q207">
    <cfRule type="dataBar" priority="2">
      <dataBar>
        <cfvo type="min"/>
        <cfvo type="max"/>
        <color rgb="FF638EC6"/>
      </dataBar>
    </cfRule>
  </conditionalFormatting>
  <conditionalFormatting sqref="Q312:Q315">
    <cfRule type="dataBar" priority="17">
      <dataBar>
        <cfvo type="min"/>
        <cfvo type="max"/>
        <color rgb="FF638EC6"/>
      </dataBar>
    </cfRule>
  </conditionalFormatting>
  <conditionalFormatting sqref="Q392:Q425">
    <cfRule type="dataBar" priority="34">
      <dataBar>
        <cfvo type="min"/>
        <cfvo type="max"/>
        <color rgb="FF638EC6"/>
      </dataBar>
    </cfRule>
  </conditionalFormatting>
  <conditionalFormatting sqref="R1:R206 R208:R311 R316:R391 R426:R1048576">
    <cfRule type="dataBar" priority="53">
      <dataBar>
        <cfvo type="min"/>
        <cfvo type="max"/>
        <color rgb="FF638EC6"/>
      </dataBar>
    </cfRule>
  </conditionalFormatting>
  <conditionalFormatting sqref="R207">
    <cfRule type="dataBar" priority="1">
      <dataBar>
        <cfvo type="min"/>
        <cfvo type="max"/>
        <color rgb="FF638EC6"/>
      </dataBar>
    </cfRule>
  </conditionalFormatting>
  <conditionalFormatting sqref="R312:R315">
    <cfRule type="dataBar" priority="16">
      <dataBar>
        <cfvo type="min"/>
        <cfvo type="max"/>
        <color rgb="FF638EC6"/>
      </dataBar>
    </cfRule>
  </conditionalFormatting>
  <conditionalFormatting sqref="R392:R425">
    <cfRule type="dataBar" priority="33">
      <dataBar>
        <cfvo type="min"/>
        <cfvo type="max"/>
        <color rgb="FF638EC6"/>
      </dataBar>
    </cfRule>
  </conditionalFormatting>
  <conditionalFormatting sqref="S1:S311 S316:S391 S426:S1048576">
    <cfRule type="dataBar" priority="52">
      <dataBar>
        <cfvo type="min"/>
        <cfvo type="max"/>
        <color rgb="FF638EC6"/>
      </dataBar>
    </cfRule>
  </conditionalFormatting>
  <conditionalFormatting sqref="S312:S315">
    <cfRule type="dataBar" priority="15">
      <dataBar>
        <cfvo type="min"/>
        <cfvo type="max"/>
        <color rgb="FF638EC6"/>
      </dataBar>
    </cfRule>
  </conditionalFormatting>
  <conditionalFormatting sqref="S392:S425">
    <cfRule type="dataBar" priority="32">
      <dataBar>
        <cfvo type="min"/>
        <cfvo type="max"/>
        <color rgb="FF638EC6"/>
      </dataBar>
    </cfRule>
  </conditionalFormatting>
  <conditionalFormatting sqref="V1:V311 V316:V391 V426:V1048576">
    <cfRule type="top10" dxfId="44" priority="35" percent="1" rank="20"/>
    <cfRule type="dataBar" priority="39">
      <dataBar>
        <cfvo type="min"/>
        <cfvo type="max"/>
        <color rgb="FF638EC6"/>
      </dataBar>
    </cfRule>
    <cfRule type="top10" dxfId="43" priority="40" percent="1" rank="10"/>
  </conditionalFormatting>
  <conditionalFormatting sqref="V312:V315">
    <cfRule type="top10" dxfId="42" priority="5" percent="1" rank="20"/>
    <cfRule type="dataBar" priority="9">
      <dataBar>
        <cfvo type="min"/>
        <cfvo type="max"/>
        <color rgb="FF638EC6"/>
      </dataBar>
    </cfRule>
    <cfRule type="top10" dxfId="41" priority="10" percent="1" rank="10"/>
  </conditionalFormatting>
  <conditionalFormatting sqref="V392:V425">
    <cfRule type="top10" dxfId="40" priority="22" percent="1" rank="20"/>
    <cfRule type="dataBar" priority="26">
      <dataBar>
        <cfvo type="min"/>
        <cfvo type="max"/>
        <color rgb="FF638EC6"/>
      </dataBar>
    </cfRule>
    <cfRule type="top10" dxfId="39" priority="27" percent="1" rank="10"/>
  </conditionalFormatting>
  <conditionalFormatting sqref="W1:W311 W316:W391 W426:W1048576">
    <cfRule type="top10" dxfId="38" priority="36" percent="1" rank="20"/>
    <cfRule type="top10" dxfId="37" priority="37" percent="1" rank="10"/>
    <cfRule type="dataBar" priority="38">
      <dataBar>
        <cfvo type="min"/>
        <cfvo type="max"/>
        <color rgb="FF638EC6"/>
      </dataBar>
    </cfRule>
  </conditionalFormatting>
  <conditionalFormatting sqref="W312:W315">
    <cfRule type="top10" dxfId="36" priority="6" percent="1" rank="20"/>
    <cfRule type="top10" dxfId="35" priority="7" percent="1" rank="10"/>
    <cfRule type="dataBar" priority="8">
      <dataBar>
        <cfvo type="min"/>
        <cfvo type="max"/>
        <color rgb="FF638EC6"/>
      </dataBar>
    </cfRule>
  </conditionalFormatting>
  <conditionalFormatting sqref="W392:W425">
    <cfRule type="top10" dxfId="34" priority="23" percent="1" rank="20"/>
    <cfRule type="top10" dxfId="33" priority="24" percent="1" rank="10"/>
    <cfRule type="dataBar" priority="25">
      <dataBar>
        <cfvo type="min"/>
        <cfvo type="max"/>
        <color rgb="FF638EC6"/>
      </dataBar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Q30"/>
  <sheetViews>
    <sheetView topLeftCell="A2" zoomScale="110" zoomScaleNormal="110" workbookViewId="0">
      <pane ySplit="1" topLeftCell="A6" activePane="bottomLeft" state="frozen"/>
      <selection activeCell="A2" sqref="A2"/>
      <selection pane="bottomLeft" activeCell="O7" sqref="O7"/>
    </sheetView>
  </sheetViews>
  <sheetFormatPr baseColWidth="10" defaultRowHeight="16" x14ac:dyDescent="0.2"/>
  <cols>
    <col min="1" max="2" width="10.83203125" customWidth="1"/>
    <col min="3" max="3" width="18.5" customWidth="1"/>
    <col min="4" max="7" width="10.83203125" customWidth="1"/>
    <col min="8" max="8" width="14.33203125" style="113" customWidth="1"/>
    <col min="9" max="9" width="10.83203125" customWidth="1"/>
    <col min="10" max="10" width="19" style="113" customWidth="1"/>
    <col min="11" max="12" width="10.83203125" customWidth="1"/>
    <col min="13" max="13" width="18" customWidth="1"/>
    <col min="14" max="14" width="11" customWidth="1"/>
    <col min="15" max="15" width="15.5" customWidth="1"/>
    <col min="16" max="16" width="9.1640625" customWidth="1"/>
    <col min="17" max="17" width="17.1640625" customWidth="1"/>
    <col min="18" max="64" width="10.83203125" customWidth="1"/>
  </cols>
  <sheetData>
    <row r="1" spans="2:17" x14ac:dyDescent="0.2">
      <c r="B1" s="112">
        <v>43407</v>
      </c>
    </row>
    <row r="2" spans="2:17" ht="17" customHeight="1" x14ac:dyDescent="0.2">
      <c r="B2" s="114" t="s">
        <v>453</v>
      </c>
      <c r="C2" s="114" t="s">
        <v>454</v>
      </c>
      <c r="D2" s="114" t="s">
        <v>455</v>
      </c>
      <c r="E2" s="114" t="s">
        <v>456</v>
      </c>
      <c r="F2" s="114" t="s">
        <v>457</v>
      </c>
      <c r="G2" s="114" t="s">
        <v>458</v>
      </c>
      <c r="H2" s="114" t="s">
        <v>459</v>
      </c>
      <c r="I2" s="114" t="s">
        <v>460</v>
      </c>
      <c r="J2" s="114" t="s">
        <v>461</v>
      </c>
      <c r="K2" s="114" t="s">
        <v>462</v>
      </c>
      <c r="L2" s="114" t="s">
        <v>463</v>
      </c>
      <c r="M2" s="114" t="s">
        <v>464</v>
      </c>
      <c r="O2" s="114"/>
    </row>
    <row r="3" spans="2:17" ht="17" customHeight="1" x14ac:dyDescent="0.2">
      <c r="B3" s="115" t="s">
        <v>465</v>
      </c>
      <c r="C3" s="115" t="s">
        <v>466</v>
      </c>
      <c r="D3" s="115">
        <v>733.45</v>
      </c>
      <c r="E3" s="115">
        <v>-0.04</v>
      </c>
      <c r="F3" s="115">
        <v>7.84</v>
      </c>
      <c r="G3" s="115">
        <v>44.69</v>
      </c>
      <c r="H3" s="115">
        <v>0.27</v>
      </c>
      <c r="I3" s="115">
        <v>2.56</v>
      </c>
      <c r="J3" s="115">
        <v>7.0000000000000007E-2</v>
      </c>
      <c r="K3" s="116">
        <v>36529</v>
      </c>
      <c r="L3" s="132" t="s">
        <v>463</v>
      </c>
      <c r="M3" s="117">
        <f t="shared" ref="M3:M30" si="0">I3/G3</f>
        <v>5.7283508614902667E-2</v>
      </c>
      <c r="N3" s="115"/>
      <c r="O3" s="118"/>
      <c r="P3" s="115"/>
      <c r="Q3" s="118"/>
    </row>
    <row r="4" spans="2:17" ht="17" customHeight="1" x14ac:dyDescent="0.2">
      <c r="B4" s="115" t="s">
        <v>467</v>
      </c>
      <c r="C4" s="115" t="s">
        <v>468</v>
      </c>
      <c r="D4" s="115">
        <v>3980.69</v>
      </c>
      <c r="E4" s="115">
        <v>3.85</v>
      </c>
      <c r="F4" s="115">
        <v>14.39</v>
      </c>
      <c r="G4" s="115">
        <v>48.51</v>
      </c>
      <c r="H4" s="115">
        <v>0.46</v>
      </c>
      <c r="I4" s="115">
        <v>3.87</v>
      </c>
      <c r="J4" s="115">
        <v>0.68</v>
      </c>
      <c r="K4" s="116">
        <v>36529</v>
      </c>
      <c r="L4" s="132" t="s">
        <v>463</v>
      </c>
      <c r="M4" s="117">
        <f t="shared" si="0"/>
        <v>7.9777365491651209E-2</v>
      </c>
      <c r="N4" s="115"/>
      <c r="O4" s="118"/>
      <c r="P4" s="115"/>
      <c r="Q4" s="118"/>
    </row>
    <row r="5" spans="2:17" ht="17" customHeight="1" x14ac:dyDescent="0.2">
      <c r="B5" s="115" t="s">
        <v>469</v>
      </c>
      <c r="C5" s="115" t="s">
        <v>470</v>
      </c>
      <c r="D5" s="115">
        <v>5280.49</v>
      </c>
      <c r="E5" s="115">
        <v>1.33</v>
      </c>
      <c r="F5" s="115">
        <v>13.04</v>
      </c>
      <c r="G5" s="115">
        <v>65.5</v>
      </c>
      <c r="H5" s="115">
        <v>0.83</v>
      </c>
      <c r="I5" s="115">
        <v>4.3099999999999996</v>
      </c>
      <c r="J5" s="115">
        <v>0.55000000000000004</v>
      </c>
      <c r="K5" s="116">
        <v>36529</v>
      </c>
      <c r="L5" s="132" t="s">
        <v>463</v>
      </c>
      <c r="M5" s="117">
        <f t="shared" si="0"/>
        <v>6.5801526717557249E-2</v>
      </c>
      <c r="N5" s="115"/>
      <c r="O5" s="118"/>
      <c r="P5" s="115"/>
      <c r="Q5" s="118"/>
    </row>
    <row r="6" spans="2:17" ht="17" customHeight="1" x14ac:dyDescent="0.2">
      <c r="B6" s="115" t="s">
        <v>471</v>
      </c>
      <c r="C6" s="115" t="s">
        <v>472</v>
      </c>
      <c r="D6" s="115">
        <v>2473.9699999999998</v>
      </c>
      <c r="E6" s="115">
        <v>1.8</v>
      </c>
      <c r="F6" s="115">
        <v>7.3</v>
      </c>
      <c r="G6" s="115">
        <v>40.49</v>
      </c>
      <c r="H6" s="115">
        <v>0.53</v>
      </c>
      <c r="I6" s="115">
        <v>2.89</v>
      </c>
      <c r="J6" s="115">
        <v>0.6</v>
      </c>
      <c r="K6" s="116">
        <v>36529</v>
      </c>
      <c r="L6" s="132" t="s">
        <v>463</v>
      </c>
      <c r="M6" s="117">
        <f t="shared" si="0"/>
        <v>7.1375648308224252E-2</v>
      </c>
      <c r="N6" s="115"/>
      <c r="O6" s="118"/>
      <c r="P6" s="115"/>
      <c r="Q6" s="118"/>
    </row>
    <row r="7" spans="2:17" ht="17" customHeight="1" x14ac:dyDescent="0.2">
      <c r="B7" s="115" t="s">
        <v>473</v>
      </c>
      <c r="C7" s="115" t="s">
        <v>474</v>
      </c>
      <c r="D7" s="115">
        <v>2335.33</v>
      </c>
      <c r="E7" s="115">
        <v>0.32</v>
      </c>
      <c r="F7" s="115">
        <v>-1.94</v>
      </c>
      <c r="G7" s="115">
        <v>17.239999999999998</v>
      </c>
      <c r="H7" s="115">
        <v>0.24</v>
      </c>
      <c r="I7" s="115">
        <v>1.43</v>
      </c>
      <c r="J7" s="115">
        <v>0.14000000000000001</v>
      </c>
      <c r="K7" s="116">
        <v>36529</v>
      </c>
      <c r="L7" s="132" t="s">
        <v>463</v>
      </c>
      <c r="M7" s="117">
        <f t="shared" si="0"/>
        <v>8.2946635730858476E-2</v>
      </c>
      <c r="N7" s="115"/>
      <c r="O7" s="118"/>
      <c r="P7" s="115"/>
      <c r="Q7" s="118"/>
    </row>
    <row r="8" spans="2:17" ht="17" customHeight="1" x14ac:dyDescent="0.2">
      <c r="B8" s="115" t="s">
        <v>475</v>
      </c>
      <c r="C8" s="115" t="s">
        <v>476</v>
      </c>
      <c r="D8" s="115">
        <v>1197.58</v>
      </c>
      <c r="E8" s="115">
        <v>2.02</v>
      </c>
      <c r="F8" s="115">
        <v>6.32</v>
      </c>
      <c r="G8" s="115">
        <v>61.62</v>
      </c>
      <c r="H8" s="115">
        <v>0.46</v>
      </c>
      <c r="I8" s="115">
        <v>2.5299999999999998</v>
      </c>
      <c r="J8" s="115">
        <v>0.27</v>
      </c>
      <c r="K8" s="116">
        <v>36529</v>
      </c>
      <c r="L8" s="132" t="s">
        <v>463</v>
      </c>
      <c r="M8" s="117">
        <f t="shared" si="0"/>
        <v>4.1058098020123335E-2</v>
      </c>
      <c r="N8" s="115"/>
      <c r="O8" s="118"/>
      <c r="P8" s="115"/>
      <c r="Q8" s="118"/>
    </row>
    <row r="9" spans="2:17" ht="17" customHeight="1" x14ac:dyDescent="0.2">
      <c r="B9" s="115" t="s">
        <v>477</v>
      </c>
      <c r="C9" s="115" t="s">
        <v>478</v>
      </c>
      <c r="D9" s="115">
        <v>8493.9500000000007</v>
      </c>
      <c r="E9" s="115">
        <v>1.85</v>
      </c>
      <c r="F9" s="115">
        <v>6.27</v>
      </c>
      <c r="G9" s="115">
        <v>38.630000000000003</v>
      </c>
      <c r="H9" s="115">
        <v>0.48</v>
      </c>
      <c r="I9" s="115">
        <v>3.64</v>
      </c>
      <c r="J9" s="115">
        <v>0.31</v>
      </c>
      <c r="K9" s="116">
        <v>36529</v>
      </c>
      <c r="L9" s="132" t="s">
        <v>463</v>
      </c>
      <c r="M9" s="117">
        <f t="shared" si="0"/>
        <v>9.4227284493916638E-2</v>
      </c>
      <c r="N9" s="115"/>
      <c r="O9" s="118"/>
      <c r="P9" s="115"/>
      <c r="Q9" s="118"/>
    </row>
    <row r="10" spans="2:17" ht="17" customHeight="1" x14ac:dyDescent="0.2">
      <c r="B10" s="115" t="s">
        <v>479</v>
      </c>
      <c r="C10" s="115" t="s">
        <v>480</v>
      </c>
      <c r="D10" s="115">
        <v>4192.07</v>
      </c>
      <c r="E10" s="115">
        <v>-0.52</v>
      </c>
      <c r="F10" s="115">
        <v>-2.34</v>
      </c>
      <c r="G10" s="115">
        <v>9.68</v>
      </c>
      <c r="H10" s="115">
        <v>0.03</v>
      </c>
      <c r="I10" s="115">
        <v>1.4</v>
      </c>
      <c r="J10" s="115">
        <v>0.06</v>
      </c>
      <c r="K10" s="116">
        <v>36529</v>
      </c>
      <c r="L10" s="132" t="s">
        <v>463</v>
      </c>
      <c r="M10" s="117">
        <f t="shared" si="0"/>
        <v>0.14462809917355371</v>
      </c>
      <c r="N10" s="115"/>
      <c r="O10" s="118"/>
      <c r="P10" s="115"/>
      <c r="Q10" s="118"/>
    </row>
    <row r="11" spans="2:17" ht="17" customHeight="1" x14ac:dyDescent="0.2">
      <c r="B11" s="115" t="s">
        <v>481</v>
      </c>
      <c r="C11" s="115" t="s">
        <v>482</v>
      </c>
      <c r="D11" s="115">
        <v>3454.75</v>
      </c>
      <c r="E11" s="115">
        <v>0.64</v>
      </c>
      <c r="F11" s="115">
        <v>4.43</v>
      </c>
      <c r="G11" s="115">
        <v>33.44</v>
      </c>
      <c r="H11" s="115">
        <v>0.23</v>
      </c>
      <c r="I11" s="115">
        <v>3.73</v>
      </c>
      <c r="J11" s="115">
        <v>0.56000000000000005</v>
      </c>
      <c r="K11" s="116">
        <v>36529</v>
      </c>
      <c r="L11" s="132" t="s">
        <v>463</v>
      </c>
      <c r="M11" s="117">
        <f t="shared" si="0"/>
        <v>0.11154306220095694</v>
      </c>
      <c r="N11" s="115"/>
      <c r="O11" s="118"/>
      <c r="P11" s="115"/>
      <c r="Q11" s="118"/>
    </row>
    <row r="12" spans="2:17" ht="17" customHeight="1" x14ac:dyDescent="0.2">
      <c r="B12" s="115" t="s">
        <v>483</v>
      </c>
      <c r="C12" s="115" t="s">
        <v>484</v>
      </c>
      <c r="D12" s="115">
        <v>3345.88</v>
      </c>
      <c r="E12" s="115">
        <v>-0.06</v>
      </c>
      <c r="F12" s="115">
        <v>3.24</v>
      </c>
      <c r="G12" s="115">
        <v>15.26</v>
      </c>
      <c r="H12" s="115">
        <v>0.01</v>
      </c>
      <c r="I12" s="115">
        <v>1.48</v>
      </c>
      <c r="J12" s="115">
        <v>0.03</v>
      </c>
      <c r="K12" s="116">
        <v>36529</v>
      </c>
      <c r="L12" s="132" t="s">
        <v>463</v>
      </c>
      <c r="M12" s="117">
        <f t="shared" si="0"/>
        <v>9.6985583224115338E-2</v>
      </c>
      <c r="N12" s="115"/>
      <c r="O12" s="118"/>
      <c r="P12" s="115"/>
      <c r="Q12" s="118"/>
    </row>
    <row r="13" spans="2:17" ht="17" customHeight="1" x14ac:dyDescent="0.2">
      <c r="B13" s="115" t="s">
        <v>485</v>
      </c>
      <c r="C13" s="115" t="s">
        <v>486</v>
      </c>
      <c r="D13" s="115">
        <v>8091.27</v>
      </c>
      <c r="E13" s="115">
        <v>0.45</v>
      </c>
      <c r="F13" s="115">
        <v>4.01</v>
      </c>
      <c r="G13" s="115">
        <v>17.82</v>
      </c>
      <c r="H13" s="115">
        <v>0.33</v>
      </c>
      <c r="I13" s="115">
        <v>3.5</v>
      </c>
      <c r="J13" s="115">
        <v>0.76</v>
      </c>
      <c r="K13" s="116">
        <v>36529</v>
      </c>
      <c r="L13" s="132" t="s">
        <v>463</v>
      </c>
      <c r="M13" s="117">
        <f t="shared" si="0"/>
        <v>0.19640852974186307</v>
      </c>
      <c r="N13" s="115"/>
      <c r="O13" s="118"/>
      <c r="P13" s="115"/>
      <c r="Q13" s="118"/>
    </row>
    <row r="14" spans="2:17" ht="17" customHeight="1" x14ac:dyDescent="0.2">
      <c r="B14" s="115" t="s">
        <v>487</v>
      </c>
      <c r="C14" s="115" t="s">
        <v>488</v>
      </c>
      <c r="D14" s="115">
        <v>4179.71</v>
      </c>
      <c r="E14" s="115">
        <v>0.09</v>
      </c>
      <c r="F14" s="115">
        <v>6.8</v>
      </c>
      <c r="G14" s="115">
        <v>20.75</v>
      </c>
      <c r="H14" s="115">
        <v>0.51</v>
      </c>
      <c r="I14" s="115">
        <v>1.7</v>
      </c>
      <c r="J14" s="115">
        <v>0.16</v>
      </c>
      <c r="K14" s="116">
        <v>36529</v>
      </c>
      <c r="L14" s="132" t="s">
        <v>463</v>
      </c>
      <c r="M14" s="117">
        <f t="shared" si="0"/>
        <v>8.1927710843373497E-2</v>
      </c>
      <c r="N14" s="115"/>
      <c r="O14" s="118"/>
      <c r="P14" s="115"/>
      <c r="Q14" s="118"/>
    </row>
    <row r="15" spans="2:17" ht="17" customHeight="1" x14ac:dyDescent="0.2">
      <c r="B15" s="115" t="s">
        <v>489</v>
      </c>
      <c r="C15" s="115" t="s">
        <v>490</v>
      </c>
      <c r="D15" s="115">
        <v>1989.44</v>
      </c>
      <c r="E15" s="115">
        <v>0.96</v>
      </c>
      <c r="F15" s="115">
        <v>3.64</v>
      </c>
      <c r="G15" s="115">
        <v>26.15</v>
      </c>
      <c r="H15" s="115">
        <v>0.33</v>
      </c>
      <c r="I15" s="115">
        <v>1.88</v>
      </c>
      <c r="J15" s="115">
        <v>0.22</v>
      </c>
      <c r="K15" s="116">
        <v>36529</v>
      </c>
      <c r="L15" s="132" t="s">
        <v>463</v>
      </c>
      <c r="M15" s="117">
        <f t="shared" si="0"/>
        <v>7.1892925430210322E-2</v>
      </c>
      <c r="N15" s="115"/>
      <c r="O15" s="118"/>
      <c r="P15" s="115"/>
      <c r="Q15" s="118"/>
    </row>
    <row r="16" spans="2:17" ht="17" customHeight="1" x14ac:dyDescent="0.2">
      <c r="B16" s="115" t="s">
        <v>491</v>
      </c>
      <c r="C16" s="115" t="s">
        <v>492</v>
      </c>
      <c r="D16" s="115">
        <v>15513.59</v>
      </c>
      <c r="E16" s="115">
        <v>-0.73</v>
      </c>
      <c r="F16" s="115">
        <v>-0.27</v>
      </c>
      <c r="G16" s="115">
        <v>32.409999999999997</v>
      </c>
      <c r="H16" s="115">
        <v>0.47</v>
      </c>
      <c r="I16" s="115">
        <v>6.58</v>
      </c>
      <c r="J16" s="115">
        <v>0.81</v>
      </c>
      <c r="K16" s="116">
        <v>36529</v>
      </c>
      <c r="L16" s="132" t="s">
        <v>463</v>
      </c>
      <c r="M16" s="117">
        <f t="shared" si="0"/>
        <v>0.20302375809935208</v>
      </c>
      <c r="N16" s="115"/>
      <c r="O16" s="118"/>
      <c r="P16" s="115"/>
      <c r="Q16" s="118"/>
    </row>
    <row r="17" spans="2:17" ht="17" customHeight="1" x14ac:dyDescent="0.2">
      <c r="B17" s="115" t="s">
        <v>493</v>
      </c>
      <c r="C17" s="115" t="s">
        <v>494</v>
      </c>
      <c r="D17" s="115">
        <v>6348.68</v>
      </c>
      <c r="E17" s="115">
        <v>0.79</v>
      </c>
      <c r="F17" s="115">
        <v>0.48</v>
      </c>
      <c r="G17" s="115">
        <v>13.13</v>
      </c>
      <c r="H17" s="115">
        <v>0.06</v>
      </c>
      <c r="I17" s="115">
        <v>1.94</v>
      </c>
      <c r="J17" s="115">
        <v>0.23</v>
      </c>
      <c r="K17" s="116">
        <v>36529</v>
      </c>
      <c r="L17" s="132" t="s">
        <v>463</v>
      </c>
      <c r="M17" s="117">
        <f t="shared" si="0"/>
        <v>0.14775323686214775</v>
      </c>
      <c r="N17" s="115"/>
      <c r="O17" s="118"/>
      <c r="P17" s="115"/>
      <c r="Q17" s="118"/>
    </row>
    <row r="18" spans="2:17" ht="17" customHeight="1" x14ac:dyDescent="0.2">
      <c r="B18" s="115" t="s">
        <v>495</v>
      </c>
      <c r="C18" s="115" t="s">
        <v>496</v>
      </c>
      <c r="D18" s="115">
        <v>2138.92</v>
      </c>
      <c r="E18" s="115">
        <v>0.73</v>
      </c>
      <c r="F18" s="115">
        <v>2.38</v>
      </c>
      <c r="G18" s="115">
        <v>9.7899999999999991</v>
      </c>
      <c r="H18" s="115">
        <v>0.03</v>
      </c>
      <c r="I18" s="115">
        <v>1.03</v>
      </c>
      <c r="J18" s="115">
        <v>0.01</v>
      </c>
      <c r="K18" s="116">
        <v>36529</v>
      </c>
      <c r="L18" s="132" t="s">
        <v>463</v>
      </c>
      <c r="M18" s="117">
        <f t="shared" si="0"/>
        <v>0.10520939734422882</v>
      </c>
      <c r="N18" s="115"/>
      <c r="O18" s="118"/>
      <c r="P18" s="115"/>
      <c r="Q18" s="118"/>
    </row>
    <row r="19" spans="2:17" ht="17" customHeight="1" x14ac:dyDescent="0.2">
      <c r="B19" s="115" t="s">
        <v>497</v>
      </c>
      <c r="C19" s="115" t="s">
        <v>498</v>
      </c>
      <c r="D19" s="115">
        <v>1214.92</v>
      </c>
      <c r="E19" s="115">
        <v>1.1399999999999999</v>
      </c>
      <c r="F19" s="115">
        <v>3.61</v>
      </c>
      <c r="G19" s="115">
        <v>27.64</v>
      </c>
      <c r="H19" s="115">
        <v>0.34</v>
      </c>
      <c r="I19" s="115">
        <v>2.14</v>
      </c>
      <c r="J19" s="115">
        <v>0.22</v>
      </c>
      <c r="K19" s="116">
        <v>36529</v>
      </c>
      <c r="L19" s="132" t="s">
        <v>463</v>
      </c>
      <c r="M19" s="117">
        <f t="shared" si="0"/>
        <v>7.7424023154848046E-2</v>
      </c>
      <c r="N19" s="115"/>
      <c r="O19" s="118"/>
      <c r="P19" s="115"/>
      <c r="Q19" s="118"/>
    </row>
    <row r="20" spans="2:17" ht="17" customHeight="1" x14ac:dyDescent="0.2">
      <c r="B20" s="115" t="s">
        <v>499</v>
      </c>
      <c r="C20" s="115" t="s">
        <v>500</v>
      </c>
      <c r="D20" s="115">
        <v>6020.06</v>
      </c>
      <c r="E20" s="115">
        <v>-3.72</v>
      </c>
      <c r="F20" s="115">
        <v>-2.46</v>
      </c>
      <c r="G20" s="115">
        <v>33.450000000000003</v>
      </c>
      <c r="H20" s="115">
        <v>0.17</v>
      </c>
      <c r="I20" s="115">
        <v>3.58</v>
      </c>
      <c r="J20" s="115">
        <v>0.37</v>
      </c>
      <c r="K20" s="116">
        <v>36529</v>
      </c>
      <c r="L20" s="132" t="s">
        <v>463</v>
      </c>
      <c r="M20" s="117">
        <f t="shared" si="0"/>
        <v>0.10702541106128549</v>
      </c>
      <c r="N20" s="115"/>
      <c r="O20" s="118"/>
      <c r="P20" s="115"/>
      <c r="Q20" s="118"/>
    </row>
    <row r="21" spans="2:17" ht="17" customHeight="1" x14ac:dyDescent="0.2">
      <c r="B21" s="115" t="s">
        <v>501</v>
      </c>
      <c r="C21" s="115" t="s">
        <v>502</v>
      </c>
      <c r="D21" s="115">
        <v>1988.98</v>
      </c>
      <c r="E21" s="115">
        <v>0.41</v>
      </c>
      <c r="F21" s="115">
        <v>0.39</v>
      </c>
      <c r="G21" s="115">
        <v>19.13</v>
      </c>
      <c r="H21" s="115">
        <v>0.12</v>
      </c>
      <c r="I21" s="115">
        <v>1.43</v>
      </c>
      <c r="J21" s="115">
        <v>0.01</v>
      </c>
      <c r="K21" s="116">
        <v>36529</v>
      </c>
      <c r="L21" s="132" t="s">
        <v>463</v>
      </c>
      <c r="M21" s="117">
        <f t="shared" si="0"/>
        <v>7.4751698902247782E-2</v>
      </c>
      <c r="N21" s="115"/>
      <c r="O21" s="118"/>
      <c r="P21" s="115"/>
      <c r="Q21" s="118"/>
    </row>
    <row r="22" spans="2:17" ht="17" customHeight="1" x14ac:dyDescent="0.2">
      <c r="B22" s="115" t="s">
        <v>503</v>
      </c>
      <c r="C22" s="115" t="s">
        <v>504</v>
      </c>
      <c r="D22" s="115">
        <v>4676.4399999999996</v>
      </c>
      <c r="E22" s="115">
        <v>2.1</v>
      </c>
      <c r="F22" s="115">
        <v>7.39</v>
      </c>
      <c r="G22" s="115">
        <v>34.74</v>
      </c>
      <c r="H22" s="115">
        <v>0.28999999999999998</v>
      </c>
      <c r="I22" s="115">
        <v>2.35</v>
      </c>
      <c r="J22" s="115">
        <v>0.16</v>
      </c>
      <c r="K22" s="116">
        <v>36529</v>
      </c>
      <c r="L22" s="132" t="s">
        <v>463</v>
      </c>
      <c r="M22" s="117">
        <f t="shared" si="0"/>
        <v>6.7645365572826716E-2</v>
      </c>
      <c r="N22" s="115"/>
      <c r="O22" s="118"/>
      <c r="P22" s="115"/>
      <c r="Q22" s="118"/>
    </row>
    <row r="23" spans="2:17" ht="17" customHeight="1" x14ac:dyDescent="0.2">
      <c r="B23" s="115" t="s">
        <v>505</v>
      </c>
      <c r="C23" s="115" t="s">
        <v>506</v>
      </c>
      <c r="D23" s="115">
        <v>2222.9499999999998</v>
      </c>
      <c r="E23" s="115">
        <v>0.69</v>
      </c>
      <c r="F23" s="115">
        <v>4.82</v>
      </c>
      <c r="G23" s="115">
        <v>33.950000000000003</v>
      </c>
      <c r="H23" s="115">
        <v>0.18</v>
      </c>
      <c r="I23" s="115">
        <v>1.93</v>
      </c>
      <c r="J23" s="115">
        <v>0.15</v>
      </c>
      <c r="K23" s="116">
        <v>36529</v>
      </c>
      <c r="L23" s="132" t="s">
        <v>463</v>
      </c>
      <c r="M23" s="117">
        <f t="shared" si="0"/>
        <v>5.6848306332842408E-2</v>
      </c>
      <c r="N23" s="115"/>
      <c r="O23" s="118"/>
      <c r="P23" s="115"/>
      <c r="Q23" s="118"/>
    </row>
    <row r="24" spans="2:17" ht="17" customHeight="1" x14ac:dyDescent="0.2">
      <c r="B24" s="115" t="s">
        <v>507</v>
      </c>
      <c r="C24" s="115" t="s">
        <v>508</v>
      </c>
      <c r="D24" s="115">
        <v>2817.49</v>
      </c>
      <c r="E24" s="115">
        <v>0.9</v>
      </c>
      <c r="F24" s="115">
        <v>4.22</v>
      </c>
      <c r="G24" s="115">
        <v>22.57</v>
      </c>
      <c r="H24" s="115">
        <v>0.25</v>
      </c>
      <c r="I24" s="115">
        <v>1.98</v>
      </c>
      <c r="J24" s="115">
        <v>0.13</v>
      </c>
      <c r="K24" s="116">
        <v>36529</v>
      </c>
      <c r="L24" s="132" t="s">
        <v>463</v>
      </c>
      <c r="M24" s="117">
        <f t="shared" si="0"/>
        <v>8.7727071333628712E-2</v>
      </c>
      <c r="N24" s="115"/>
      <c r="O24" s="118"/>
      <c r="P24" s="115"/>
      <c r="Q24" s="118"/>
    </row>
    <row r="25" spans="2:17" ht="17" customHeight="1" x14ac:dyDescent="0.2">
      <c r="B25" s="115" t="s">
        <v>509</v>
      </c>
      <c r="C25" s="115" t="s">
        <v>510</v>
      </c>
      <c r="D25" s="115">
        <v>3168.93</v>
      </c>
      <c r="E25" s="115">
        <v>0.42</v>
      </c>
      <c r="F25" s="115">
        <v>4.3099999999999996</v>
      </c>
      <c r="G25" s="115">
        <v>40.32</v>
      </c>
      <c r="H25" s="115">
        <v>0.45</v>
      </c>
      <c r="I25" s="115">
        <v>2.19</v>
      </c>
      <c r="J25" s="115">
        <v>0.16</v>
      </c>
      <c r="K25" s="116">
        <v>36529</v>
      </c>
      <c r="L25" s="132" t="s">
        <v>463</v>
      </c>
      <c r="M25" s="117">
        <f t="shared" si="0"/>
        <v>5.4315476190476192E-2</v>
      </c>
      <c r="N25" s="115"/>
      <c r="O25" s="118"/>
      <c r="P25" s="115"/>
      <c r="Q25" s="118"/>
    </row>
    <row r="26" spans="2:17" ht="17" customHeight="1" x14ac:dyDescent="0.2">
      <c r="B26" s="115" t="s">
        <v>511</v>
      </c>
      <c r="C26" s="115" t="s">
        <v>512</v>
      </c>
      <c r="D26" s="115">
        <v>2522.44</v>
      </c>
      <c r="E26" s="115">
        <v>-0.19</v>
      </c>
      <c r="F26" s="115">
        <v>0.28999999999999998</v>
      </c>
      <c r="G26" s="115">
        <v>13.04</v>
      </c>
      <c r="H26" s="115">
        <v>0.1</v>
      </c>
      <c r="I26" s="115">
        <v>1.1299999999999999</v>
      </c>
      <c r="J26" s="115">
        <v>0.01</v>
      </c>
      <c r="K26" s="116">
        <v>36529</v>
      </c>
      <c r="L26" s="132" t="s">
        <v>463</v>
      </c>
      <c r="M26" s="117">
        <f t="shared" si="0"/>
        <v>8.665644171779141E-2</v>
      </c>
      <c r="N26" s="115"/>
      <c r="O26" s="118"/>
      <c r="P26" s="115"/>
      <c r="Q26" s="118"/>
    </row>
    <row r="27" spans="2:17" ht="17" customHeight="1" x14ac:dyDescent="0.2">
      <c r="B27" s="115" t="s">
        <v>513</v>
      </c>
      <c r="C27" s="115" t="s">
        <v>514</v>
      </c>
      <c r="D27" s="115">
        <v>2107.86</v>
      </c>
      <c r="E27" s="115">
        <v>0.15</v>
      </c>
      <c r="F27" s="115">
        <v>-1.17</v>
      </c>
      <c r="G27" s="115">
        <v>9.6199999999999992</v>
      </c>
      <c r="H27" s="115">
        <v>0.2</v>
      </c>
      <c r="I27" s="115">
        <v>0.92</v>
      </c>
      <c r="J27" s="115">
        <v>0.09</v>
      </c>
      <c r="K27" s="116">
        <v>36529</v>
      </c>
      <c r="L27" s="132" t="s">
        <v>463</v>
      </c>
      <c r="M27" s="117">
        <f t="shared" si="0"/>
        <v>9.5634095634095639E-2</v>
      </c>
      <c r="N27" s="115"/>
      <c r="O27" s="118"/>
      <c r="P27" s="115"/>
      <c r="Q27" s="118"/>
    </row>
    <row r="28" spans="2:17" ht="17" customHeight="1" x14ac:dyDescent="0.2">
      <c r="B28" s="115" t="s">
        <v>515</v>
      </c>
      <c r="C28" s="115" t="s">
        <v>516</v>
      </c>
      <c r="D28" s="115">
        <v>2395.02</v>
      </c>
      <c r="E28" s="115">
        <v>1.55</v>
      </c>
      <c r="F28" s="115">
        <v>6.4</v>
      </c>
      <c r="G28" s="115">
        <v>25.85</v>
      </c>
      <c r="H28" s="115">
        <v>0.23</v>
      </c>
      <c r="I28" s="115">
        <v>1.87</v>
      </c>
      <c r="J28" s="115">
        <v>0.24</v>
      </c>
      <c r="K28" s="116">
        <v>36529</v>
      </c>
      <c r="L28" s="132" t="s">
        <v>463</v>
      </c>
      <c r="M28" s="117">
        <f t="shared" si="0"/>
        <v>7.2340425531914887E-2</v>
      </c>
      <c r="N28" s="115"/>
      <c r="O28" s="118"/>
      <c r="P28" s="115"/>
      <c r="Q28" s="118"/>
    </row>
    <row r="29" spans="2:17" ht="17" customHeight="1" x14ac:dyDescent="0.2">
      <c r="B29" s="115" t="s">
        <v>517</v>
      </c>
      <c r="C29" s="115" t="s">
        <v>518</v>
      </c>
      <c r="D29" s="115">
        <v>2166.41</v>
      </c>
      <c r="E29" s="115">
        <v>1.5</v>
      </c>
      <c r="F29" s="115">
        <v>1.21</v>
      </c>
      <c r="G29" s="115">
        <v>16.03</v>
      </c>
      <c r="H29" s="115">
        <v>0.12</v>
      </c>
      <c r="I29" s="115">
        <v>1.94</v>
      </c>
      <c r="J29" s="115">
        <v>0.21</v>
      </c>
      <c r="K29" s="116">
        <v>36529</v>
      </c>
      <c r="L29" s="132" t="s">
        <v>463</v>
      </c>
      <c r="M29" s="117">
        <f t="shared" si="0"/>
        <v>0.12102308172177166</v>
      </c>
      <c r="N29" s="115"/>
      <c r="O29" s="118"/>
      <c r="P29" s="115"/>
      <c r="Q29" s="118"/>
    </row>
    <row r="30" spans="2:17" ht="17" customHeight="1" x14ac:dyDescent="0.2">
      <c r="B30" s="115" t="s">
        <v>519</v>
      </c>
      <c r="C30" s="115" t="s">
        <v>520</v>
      </c>
      <c r="D30" s="115">
        <v>3794.77</v>
      </c>
      <c r="E30" s="115">
        <v>0.54</v>
      </c>
      <c r="F30" s="115">
        <v>-0.69</v>
      </c>
      <c r="G30" s="115">
        <v>6.98</v>
      </c>
      <c r="H30" s="115">
        <v>0.3</v>
      </c>
      <c r="I30" s="115">
        <v>0.81</v>
      </c>
      <c r="J30" s="115">
        <v>0.03</v>
      </c>
      <c r="K30" s="116">
        <v>36529</v>
      </c>
      <c r="L30" s="132" t="s">
        <v>463</v>
      </c>
      <c r="M30" s="117">
        <f t="shared" si="0"/>
        <v>0.11604584527220631</v>
      </c>
      <c r="N30" s="115"/>
      <c r="O30" s="118"/>
      <c r="P30" s="115"/>
      <c r="Q30" s="118"/>
    </row>
  </sheetData>
  <autoFilter ref="B2:Q30" xr:uid="{00000000-0009-0000-0000-000005000000}">
    <sortState xmlns:xlrd2="http://schemas.microsoft.com/office/spreadsheetml/2017/richdata2" ref="B3:Q30">
      <sortCondition descending="1" ref="F2:F30"/>
    </sortState>
  </autoFilter>
  <conditionalFormatting sqref="H1:H104857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1:H69 H1 H99:H1048576">
    <cfRule type="dataBar" priority="4">
      <dataBar>
        <cfvo type="min"/>
        <cfvo type="max"/>
        <color rgb="FF638EC6"/>
      </dataBar>
    </cfRule>
    <cfRule type="dataBar" priority="6">
      <dataBar>
        <cfvo type="min"/>
        <cfvo type="max"/>
        <color rgb="FF638EC6"/>
      </dataBar>
    </cfRule>
    <cfRule type="dataBar" priority="10">
      <dataBar>
        <cfvo type="min"/>
        <cfvo type="max"/>
        <color rgb="FF638EC6"/>
      </dataBar>
    </cfRule>
  </conditionalFormatting>
  <conditionalFormatting sqref="J1:J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1:J69 J1 J99:J1048576">
    <cfRule type="dataBar" priority="3">
      <dataBar>
        <cfvo type="min"/>
        <cfvo type="max"/>
        <color rgb="FF638EC6"/>
      </dataBar>
    </cfRule>
    <cfRule type="dataBar" priority="5">
      <dataBar>
        <cfvo type="min"/>
        <cfvo type="max"/>
        <color rgb="FF638EC6"/>
      </dataBar>
    </cfRule>
    <cfRule type="dataBar" priority="11">
      <dataBar>
        <cfvo type="min"/>
        <cfvo type="max"/>
        <color rgb="FF638EC6"/>
      </dataBar>
    </cfRule>
  </conditionalFormatting>
  <conditionalFormatting sqref="M3:M30">
    <cfRule type="dataBar" priority="9">
      <dataBar>
        <cfvo type="min"/>
        <cfvo type="max"/>
        <color rgb="FF638EC6"/>
      </dataBar>
    </cfRule>
  </conditionalFormatting>
  <conditionalFormatting sqref="O1:O1048576">
    <cfRule type="dataBar" priority="8">
      <dataBar>
        <cfvo type="min"/>
        <cfvo type="max"/>
        <color rgb="FF638EC6"/>
      </dataBar>
    </cfRule>
  </conditionalFormatting>
  <conditionalFormatting sqref="Q1:Q1048576">
    <cfRule type="dataBar" priority="7">
      <dataBar>
        <cfvo type="min"/>
        <cfvo type="max"/>
        <color rgb="FF638EC6"/>
      </dataBar>
    </cfRule>
  </conditionalFormatting>
  <hyperlinks>
    <hyperlink ref="L3" r:id="rId1" display="http://discuss.jiucaishuo.com/?/invest/showData/search_gu-si801760" xr:uid="{00000000-0004-0000-0500-000000000000}"/>
    <hyperlink ref="L4" r:id="rId2" display="http://discuss.jiucaishuo.com/?/invest/showData/search_gu-si801080" xr:uid="{00000000-0004-0000-0500-000001000000}"/>
    <hyperlink ref="L5" r:id="rId3" display="http://discuss.jiucaishuo.com/?/invest/showData/search_gu-si801750" xr:uid="{00000000-0004-0000-0500-000002000000}"/>
    <hyperlink ref="L6" r:id="rId4" display="http://discuss.jiucaishuo.com/?/invest/showData/search_gu-si801770" xr:uid="{00000000-0004-0000-0500-000003000000}"/>
    <hyperlink ref="L7" r:id="rId5" display="http://discuss.jiucaishuo.com/?/invest/showData/search_gu-si801170" xr:uid="{00000000-0004-0000-0500-000004000000}"/>
    <hyperlink ref="L8" r:id="rId6" display="http://discuss.jiucaishuo.com/?/invest/showData/search_gu-si801740" xr:uid="{00000000-0004-0000-0500-000005000000}"/>
    <hyperlink ref="L9" r:id="rId7" display="http://discuss.jiucaishuo.com/?/invest/showData/search_gu-si801150" xr:uid="{00000000-0004-0000-0500-000006000000}"/>
    <hyperlink ref="L10" r:id="rId8" display="http://discuss.jiucaishuo.com/?/invest/showData/search_gu-si801180" xr:uid="{00000000-0004-0000-0500-000007000000}"/>
    <hyperlink ref="L11" r:id="rId9" display="http://discuss.jiucaishuo.com/?/invest/showData/search_gu-si801010" xr:uid="{00000000-0004-0000-0500-000008000000}"/>
    <hyperlink ref="L12" r:id="rId10" display="http://discuss.jiucaishuo.com/?/invest/showData/search_gu-si801200" xr:uid="{00000000-0004-0000-0500-000009000000}"/>
    <hyperlink ref="L13" r:id="rId11" display="http://discuss.jiucaishuo.com/?/invest/showData/search_gu-si801110" xr:uid="{00000000-0004-0000-0500-00000A000000}"/>
    <hyperlink ref="L14" r:id="rId12" display="http://discuss.jiucaishuo.com/?/invest/showData/search_gu-si801880" xr:uid="{00000000-0004-0000-0500-00000B000000}"/>
    <hyperlink ref="L15" r:id="rId13" display="http://discuss.jiucaishuo.com/?/invest/showData/search_gu-si801130" xr:uid="{00000000-0004-0000-0500-00000C000000}"/>
    <hyperlink ref="L16" r:id="rId14" display="http://discuss.jiucaishuo.com/?/invest/showData/search_gu-si801120" xr:uid="{00000000-0004-0000-0500-00000D000000}"/>
    <hyperlink ref="L17" r:id="rId15" display="http://discuss.jiucaishuo.com/?/invest/showData/search_gu-si801710" xr:uid="{00000000-0004-0000-0500-00000E000000}"/>
    <hyperlink ref="L18" r:id="rId16" display="http://discuss.jiucaishuo.com/?/invest/showData/search_gu-si801720" xr:uid="{00000000-0004-0000-0500-00000F000000}"/>
    <hyperlink ref="L19" r:id="rId17" display="http://discuss.jiucaishuo.com/?/invest/showData/search_gu-si801890" xr:uid="{00000000-0004-0000-0500-000010000000}"/>
    <hyperlink ref="L20" r:id="rId18" display="http://discuss.jiucaishuo.com/?/invest/showData/search_gu-si801210" xr:uid="{00000000-0004-0000-0500-000011000000}"/>
    <hyperlink ref="L21" r:id="rId19" display="http://discuss.jiucaishuo.com/?/invest/showData/search_gu-si801160" xr:uid="{00000000-0004-0000-0500-000012000000}"/>
    <hyperlink ref="L22" r:id="rId20" display="http://discuss.jiucaishuo.com/?/invest/showData/search_gu-si801730" xr:uid="{00000000-0004-0000-0500-000013000000}"/>
    <hyperlink ref="L23" r:id="rId21" display="http://discuss.jiucaishuo.com/?/invest/showData/search_gu-si801230" xr:uid="{00000000-0004-0000-0500-000014000000}"/>
    <hyperlink ref="L24" r:id="rId22" display="http://discuss.jiucaishuo.com/?/invest/showData/search_gu-si801030" xr:uid="{00000000-0004-0000-0500-000015000000}"/>
    <hyperlink ref="L25" r:id="rId23" display="http://discuss.jiucaishuo.com/?/invest/showData/search_gu-si801050" xr:uid="{00000000-0004-0000-0500-000016000000}"/>
    <hyperlink ref="L26" r:id="rId24" display="http://discuss.jiucaishuo.com/?/invest/showData/search_gu-si801020" xr:uid="{00000000-0004-0000-0500-000017000000}"/>
    <hyperlink ref="L27" r:id="rId25" display="http://discuss.jiucaishuo.com/?/invest/showData/search_gu-si801040" xr:uid="{00000000-0004-0000-0500-000018000000}"/>
    <hyperlink ref="L28" r:id="rId26" display="http://discuss.jiucaishuo.com/?/invest/showData/search_gu-si801140" xr:uid="{00000000-0004-0000-0500-000019000000}"/>
    <hyperlink ref="L29" r:id="rId27" display="http://discuss.jiucaishuo.com/?/invest/showData/search_gu-si801790" xr:uid="{00000000-0004-0000-0500-00001A000000}"/>
    <hyperlink ref="L30" r:id="rId28" display="http://discuss.jiucaishuo.com/?/invest/showData/search_gu-si801780" xr:uid="{00000000-0004-0000-0500-00001B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N105"/>
  <sheetViews>
    <sheetView zoomScale="108" workbookViewId="0">
      <pane ySplit="1" topLeftCell="A2" activePane="bottomLeft" state="frozen"/>
      <selection pane="bottomLeft" activeCell="H35" sqref="H35"/>
    </sheetView>
  </sheetViews>
  <sheetFormatPr baseColWidth="10" defaultRowHeight="16" x14ac:dyDescent="0.2"/>
  <cols>
    <col min="1" max="1" width="10.83203125" customWidth="1"/>
    <col min="3" max="3" width="22.5" customWidth="1"/>
    <col min="6" max="6" width="14" customWidth="1"/>
    <col min="8" max="8" width="16.5" style="113" customWidth="1"/>
    <col min="10" max="10" width="18.33203125" style="113" customWidth="1"/>
    <col min="11" max="11" width="15.33203125" customWidth="1"/>
    <col min="13" max="13" width="19.1640625" customWidth="1"/>
  </cols>
  <sheetData>
    <row r="1" spans="2:14" ht="17" customHeight="1" x14ac:dyDescent="0.2">
      <c r="B1" s="114" t="s">
        <v>453</v>
      </c>
      <c r="C1" s="114" t="s">
        <v>454</v>
      </c>
      <c r="D1" s="114" t="s">
        <v>455</v>
      </c>
      <c r="E1" s="114" t="s">
        <v>456</v>
      </c>
      <c r="F1" s="114" t="s">
        <v>457</v>
      </c>
      <c r="G1" s="114" t="s">
        <v>458</v>
      </c>
      <c r="H1" s="114" t="s">
        <v>459</v>
      </c>
      <c r="I1" s="114" t="s">
        <v>460</v>
      </c>
      <c r="J1" s="114" t="s">
        <v>461</v>
      </c>
      <c r="K1" s="114" t="s">
        <v>462</v>
      </c>
      <c r="L1" s="114" t="s">
        <v>463</v>
      </c>
      <c r="M1" s="114" t="s">
        <v>464</v>
      </c>
      <c r="N1" s="101"/>
    </row>
    <row r="2" spans="2:14" ht="17" customHeight="1" x14ac:dyDescent="0.2">
      <c r="B2" s="115" t="s">
        <v>521</v>
      </c>
      <c r="C2" s="115" t="s">
        <v>522</v>
      </c>
      <c r="D2" s="115">
        <v>2242.17</v>
      </c>
      <c r="E2" s="115">
        <v>0.2</v>
      </c>
      <c r="F2" s="115">
        <v>27.93</v>
      </c>
      <c r="G2" s="115">
        <v>26.64</v>
      </c>
      <c r="H2" s="115">
        <v>0.04</v>
      </c>
      <c r="I2" s="115">
        <v>1.78</v>
      </c>
      <c r="J2" s="115">
        <v>0.03</v>
      </c>
      <c r="K2" s="116">
        <v>36529</v>
      </c>
      <c r="L2" s="132" t="s">
        <v>463</v>
      </c>
      <c r="M2" s="99">
        <f t="shared" ref="M2:M33" si="0">I2/G2</f>
        <v>6.681681681681681E-2</v>
      </c>
    </row>
    <row r="3" spans="2:14" ht="17" customHeight="1" x14ac:dyDescent="0.2">
      <c r="B3" s="115" t="s">
        <v>523</v>
      </c>
      <c r="C3" s="115" t="s">
        <v>524</v>
      </c>
      <c r="D3" s="115">
        <v>1075.74</v>
      </c>
      <c r="E3" s="115">
        <v>-0.24</v>
      </c>
      <c r="F3" s="115">
        <v>38.39</v>
      </c>
      <c r="G3" s="115">
        <v>33.590000000000003</v>
      </c>
      <c r="H3" s="115">
        <v>0.05</v>
      </c>
      <c r="I3" s="115">
        <v>2.93</v>
      </c>
      <c r="J3" s="115">
        <v>0.04</v>
      </c>
      <c r="K3" s="116">
        <v>36529</v>
      </c>
      <c r="L3" s="132" t="s">
        <v>463</v>
      </c>
      <c r="M3" s="99">
        <f t="shared" si="0"/>
        <v>8.7228341768383441E-2</v>
      </c>
    </row>
    <row r="4" spans="2:14" ht="17" customHeight="1" x14ac:dyDescent="0.2">
      <c r="B4" s="115" t="s">
        <v>525</v>
      </c>
      <c r="C4" s="115" t="s">
        <v>526</v>
      </c>
      <c r="D4" s="115">
        <v>3319.92</v>
      </c>
      <c r="E4" s="115">
        <v>1.48</v>
      </c>
      <c r="F4" s="115">
        <v>32.619999999999997</v>
      </c>
      <c r="G4" s="115">
        <v>19.37</v>
      </c>
      <c r="H4" s="115">
        <v>0.05</v>
      </c>
      <c r="I4" s="115">
        <v>2.73</v>
      </c>
      <c r="J4" s="115">
        <v>0.06</v>
      </c>
      <c r="K4" s="116">
        <v>40826</v>
      </c>
      <c r="L4" s="132" t="s">
        <v>463</v>
      </c>
      <c r="M4" s="99">
        <f t="shared" si="0"/>
        <v>0.14093959731543623</v>
      </c>
    </row>
    <row r="5" spans="2:14" ht="17" customHeight="1" x14ac:dyDescent="0.2">
      <c r="B5" s="115" t="s">
        <v>527</v>
      </c>
      <c r="C5" s="115" t="s">
        <v>528</v>
      </c>
      <c r="D5" s="115">
        <v>4070.1</v>
      </c>
      <c r="E5" s="115">
        <v>-1.63</v>
      </c>
      <c r="F5" s="115">
        <v>42.3</v>
      </c>
      <c r="G5" s="115">
        <v>32.97</v>
      </c>
      <c r="H5" s="115">
        <v>0.14000000000000001</v>
      </c>
      <c r="I5" s="115">
        <v>4.45</v>
      </c>
      <c r="J5" s="115">
        <v>0.28999999999999998</v>
      </c>
      <c r="K5" s="116">
        <v>36529</v>
      </c>
      <c r="L5" s="132" t="s">
        <v>463</v>
      </c>
      <c r="M5" s="99">
        <f t="shared" si="0"/>
        <v>0.13497118592659996</v>
      </c>
    </row>
    <row r="6" spans="2:14" ht="17" customHeight="1" x14ac:dyDescent="0.2">
      <c r="B6" s="115" t="s">
        <v>529</v>
      </c>
      <c r="C6" s="115" t="s">
        <v>530</v>
      </c>
      <c r="D6" s="115">
        <v>1522.81</v>
      </c>
      <c r="E6" s="115">
        <v>-1.08</v>
      </c>
      <c r="F6" s="115">
        <v>41.83</v>
      </c>
      <c r="G6" s="115">
        <v>28.32</v>
      </c>
      <c r="H6" s="115">
        <v>0.13</v>
      </c>
      <c r="I6" s="115">
        <v>2.04</v>
      </c>
      <c r="J6" s="115">
        <v>0.17</v>
      </c>
      <c r="K6" s="116">
        <v>36529</v>
      </c>
      <c r="L6" s="132" t="s">
        <v>463</v>
      </c>
      <c r="M6" s="99">
        <f t="shared" si="0"/>
        <v>7.2033898305084748E-2</v>
      </c>
    </row>
    <row r="7" spans="2:14" ht="17" customHeight="1" x14ac:dyDescent="0.2">
      <c r="B7" s="115" t="s">
        <v>531</v>
      </c>
      <c r="C7" s="115" t="s">
        <v>532</v>
      </c>
      <c r="D7" s="115">
        <v>3661.97</v>
      </c>
      <c r="E7" s="115">
        <v>-1.78</v>
      </c>
      <c r="F7" s="115">
        <v>30.58</v>
      </c>
      <c r="G7" s="115">
        <v>33.21</v>
      </c>
      <c r="H7" s="115">
        <v>0.2</v>
      </c>
      <c r="I7" s="115">
        <v>3.45</v>
      </c>
      <c r="J7" s="115">
        <v>0.56999999999999995</v>
      </c>
      <c r="K7" s="116">
        <v>36529</v>
      </c>
      <c r="L7" s="132" t="s">
        <v>463</v>
      </c>
      <c r="M7" s="99">
        <f t="shared" si="0"/>
        <v>0.10388437217705511</v>
      </c>
    </row>
    <row r="8" spans="2:14" ht="17" customHeight="1" x14ac:dyDescent="0.2">
      <c r="B8" s="115" t="s">
        <v>533</v>
      </c>
      <c r="C8" s="115" t="s">
        <v>534</v>
      </c>
      <c r="D8" s="115">
        <v>4666.24</v>
      </c>
      <c r="E8" s="115">
        <v>-1.23</v>
      </c>
      <c r="F8" s="115">
        <v>34.69</v>
      </c>
      <c r="G8" s="115">
        <v>33.22</v>
      </c>
      <c r="H8" s="115">
        <v>0.18</v>
      </c>
      <c r="I8" s="115">
        <v>3.3</v>
      </c>
      <c r="J8" s="115">
        <v>0.25</v>
      </c>
      <c r="K8" s="116">
        <v>36529</v>
      </c>
      <c r="L8" s="132" t="s">
        <v>463</v>
      </c>
      <c r="M8" s="99">
        <f t="shared" si="0"/>
        <v>9.9337748344370855E-2</v>
      </c>
    </row>
    <row r="9" spans="2:14" ht="17" customHeight="1" x14ac:dyDescent="0.2">
      <c r="B9" s="115" t="s">
        <v>535</v>
      </c>
      <c r="C9" s="115" t="s">
        <v>536</v>
      </c>
      <c r="D9" s="115">
        <v>2031.06</v>
      </c>
      <c r="E9" s="115">
        <v>-1.81</v>
      </c>
      <c r="F9" s="115">
        <v>49.04</v>
      </c>
      <c r="G9" s="115">
        <v>56.12</v>
      </c>
      <c r="H9" s="115">
        <v>0.28000000000000003</v>
      </c>
      <c r="I9" s="115">
        <v>3.35</v>
      </c>
      <c r="J9" s="115">
        <v>0.37</v>
      </c>
      <c r="K9" s="116">
        <v>36529</v>
      </c>
      <c r="L9" s="132" t="s">
        <v>463</v>
      </c>
      <c r="M9" s="99">
        <f t="shared" si="0"/>
        <v>5.9693513898788318E-2</v>
      </c>
    </row>
    <row r="10" spans="2:14" ht="17" customHeight="1" x14ac:dyDescent="0.2">
      <c r="B10" s="115" t="s">
        <v>537</v>
      </c>
      <c r="C10" s="115" t="s">
        <v>538</v>
      </c>
      <c r="D10" s="115">
        <v>4861.95</v>
      </c>
      <c r="E10" s="115">
        <v>-0.31</v>
      </c>
      <c r="F10" s="115">
        <v>47.26</v>
      </c>
      <c r="G10" s="115">
        <v>54.68</v>
      </c>
      <c r="H10" s="115">
        <v>0.57999999999999996</v>
      </c>
      <c r="I10" s="115">
        <v>4.0999999999999996</v>
      </c>
      <c r="J10" s="115">
        <v>0.41</v>
      </c>
      <c r="K10" s="116">
        <v>36529</v>
      </c>
      <c r="L10" s="132" t="s">
        <v>463</v>
      </c>
      <c r="M10" s="99">
        <f t="shared" si="0"/>
        <v>7.4981711777615215E-2</v>
      </c>
    </row>
    <row r="11" spans="2:14" ht="17" customHeight="1" x14ac:dyDescent="0.2">
      <c r="B11" s="115" t="s">
        <v>539</v>
      </c>
      <c r="C11" s="115" t="s">
        <v>540</v>
      </c>
      <c r="D11" s="115">
        <v>3144.97</v>
      </c>
      <c r="E11" s="115">
        <v>-0.13</v>
      </c>
      <c r="F11" s="115">
        <v>45.5</v>
      </c>
      <c r="G11" s="115">
        <v>63.12</v>
      </c>
      <c r="H11" s="115">
        <v>0.73</v>
      </c>
      <c r="I11" s="115">
        <v>3.01</v>
      </c>
      <c r="J11" s="115">
        <v>0.28999999999999998</v>
      </c>
      <c r="K11" s="116">
        <v>36529</v>
      </c>
      <c r="L11" s="132" t="s">
        <v>463</v>
      </c>
      <c r="M11" s="99">
        <f t="shared" si="0"/>
        <v>4.768694550063371E-2</v>
      </c>
    </row>
    <row r="12" spans="2:14" ht="17" customHeight="1" x14ac:dyDescent="0.2">
      <c r="B12" s="115" t="s">
        <v>541</v>
      </c>
      <c r="C12" s="115" t="s">
        <v>542</v>
      </c>
      <c r="D12" s="115">
        <v>2956.87</v>
      </c>
      <c r="E12" s="115">
        <v>0.81</v>
      </c>
      <c r="F12" s="115">
        <v>38.049999999999997</v>
      </c>
      <c r="G12" s="115">
        <v>76.66</v>
      </c>
      <c r="H12" s="115">
        <v>0.71</v>
      </c>
      <c r="I12" s="115">
        <v>1.68</v>
      </c>
      <c r="J12" s="115">
        <v>0.47</v>
      </c>
      <c r="K12" s="116">
        <v>36529</v>
      </c>
      <c r="L12" s="132" t="s">
        <v>463</v>
      </c>
      <c r="M12" s="99">
        <f t="shared" si="0"/>
        <v>2.1914949126010958E-2</v>
      </c>
    </row>
    <row r="13" spans="2:14" ht="17" customHeight="1" x14ac:dyDescent="0.2">
      <c r="B13" s="115" t="s">
        <v>543</v>
      </c>
      <c r="C13" s="115" t="s">
        <v>544</v>
      </c>
      <c r="D13" s="115">
        <v>2465.66</v>
      </c>
      <c r="E13" s="115">
        <v>-0.72</v>
      </c>
      <c r="F13" s="115">
        <v>34.64</v>
      </c>
      <c r="G13" s="115">
        <v>46.5</v>
      </c>
      <c r="H13" s="115">
        <v>0.54</v>
      </c>
      <c r="I13" s="115">
        <v>3.51</v>
      </c>
      <c r="J13" s="115">
        <v>0.46</v>
      </c>
      <c r="K13" s="116">
        <v>36529</v>
      </c>
      <c r="L13" s="132" t="s">
        <v>463</v>
      </c>
      <c r="M13" s="99">
        <f t="shared" si="0"/>
        <v>7.5483870967741937E-2</v>
      </c>
    </row>
    <row r="14" spans="2:14" ht="17" customHeight="1" x14ac:dyDescent="0.2">
      <c r="B14" s="115" t="s">
        <v>545</v>
      </c>
      <c r="C14" s="115" t="s">
        <v>546</v>
      </c>
      <c r="D14" s="115">
        <v>1295.8900000000001</v>
      </c>
      <c r="E14" s="115">
        <v>1.86</v>
      </c>
      <c r="F14" s="115">
        <v>26.74</v>
      </c>
      <c r="G14" s="115">
        <v>60.31</v>
      </c>
      <c r="H14" s="115">
        <v>0.56999999999999995</v>
      </c>
      <c r="I14" s="115">
        <v>3.04</v>
      </c>
      <c r="J14" s="115">
        <v>0.38</v>
      </c>
      <c r="K14" s="116">
        <v>36529</v>
      </c>
      <c r="L14" s="132" t="s">
        <v>463</v>
      </c>
      <c r="M14" s="99">
        <f t="shared" si="0"/>
        <v>5.0406234455314211E-2</v>
      </c>
    </row>
    <row r="15" spans="2:14" ht="17" customHeight="1" x14ac:dyDescent="0.2">
      <c r="B15" s="115" t="s">
        <v>547</v>
      </c>
      <c r="C15" s="115" t="s">
        <v>548</v>
      </c>
      <c r="D15" s="115">
        <v>2799.12</v>
      </c>
      <c r="E15" s="115">
        <v>-0.17</v>
      </c>
      <c r="F15" s="115">
        <v>28.61</v>
      </c>
      <c r="G15" s="115">
        <v>22.68</v>
      </c>
      <c r="H15" s="115">
        <v>0.25</v>
      </c>
      <c r="I15" s="115">
        <v>1.48</v>
      </c>
      <c r="J15" s="115">
        <v>0.04</v>
      </c>
      <c r="K15" s="116">
        <v>36529</v>
      </c>
      <c r="L15" s="132" t="s">
        <v>463</v>
      </c>
      <c r="M15" s="99">
        <f t="shared" si="0"/>
        <v>6.5255731922398585E-2</v>
      </c>
    </row>
    <row r="16" spans="2:14" ht="17" customHeight="1" x14ac:dyDescent="0.2">
      <c r="B16" s="115" t="s">
        <v>549</v>
      </c>
      <c r="C16" s="115" t="s">
        <v>550</v>
      </c>
      <c r="D16" s="115">
        <v>6838.56</v>
      </c>
      <c r="E16" s="115">
        <v>-0.86</v>
      </c>
      <c r="F16" s="115">
        <v>19.29</v>
      </c>
      <c r="G16" s="115">
        <v>24.51</v>
      </c>
      <c r="H16" s="115">
        <v>0.62</v>
      </c>
      <c r="I16" s="115">
        <v>2.83</v>
      </c>
      <c r="J16" s="115">
        <v>0.7</v>
      </c>
      <c r="K16" s="116">
        <v>36529</v>
      </c>
      <c r="L16" s="132" t="s">
        <v>463</v>
      </c>
      <c r="M16" s="99">
        <f t="shared" si="0"/>
        <v>0.11546307629538963</v>
      </c>
    </row>
    <row r="17" spans="2:13" ht="17" customHeight="1" x14ac:dyDescent="0.2">
      <c r="B17" s="115" t="s">
        <v>551</v>
      </c>
      <c r="C17" s="115" t="s">
        <v>552</v>
      </c>
      <c r="D17" s="115">
        <v>4605.6400000000003</v>
      </c>
      <c r="E17" s="115">
        <v>1.64</v>
      </c>
      <c r="F17" s="115">
        <v>30.79</v>
      </c>
      <c r="G17" s="115">
        <v>20.07</v>
      </c>
      <c r="H17" s="115">
        <v>0.27</v>
      </c>
      <c r="I17" s="115">
        <v>1.52</v>
      </c>
      <c r="J17" s="115">
        <v>0.18</v>
      </c>
      <c r="K17" s="116">
        <v>36529</v>
      </c>
      <c r="L17" s="132" t="s">
        <v>463</v>
      </c>
      <c r="M17" s="99">
        <f t="shared" si="0"/>
        <v>7.5734927752864972E-2</v>
      </c>
    </row>
    <row r="18" spans="2:13" ht="17" customHeight="1" x14ac:dyDescent="0.2">
      <c r="B18" s="115" t="s">
        <v>553</v>
      </c>
      <c r="C18" s="115" t="s">
        <v>554</v>
      </c>
      <c r="D18" s="115">
        <v>5357.64</v>
      </c>
      <c r="E18" s="115">
        <v>-0.08</v>
      </c>
      <c r="F18" s="115">
        <v>23.69</v>
      </c>
      <c r="G18" s="115">
        <v>23.03</v>
      </c>
      <c r="H18" s="115">
        <v>0.24</v>
      </c>
      <c r="I18" s="115">
        <v>1.98</v>
      </c>
      <c r="J18" s="115">
        <v>0.16</v>
      </c>
      <c r="K18" s="116">
        <v>36529</v>
      </c>
      <c r="L18" s="132" t="s">
        <v>463</v>
      </c>
      <c r="M18" s="99">
        <f t="shared" si="0"/>
        <v>8.5974815458098125E-2</v>
      </c>
    </row>
    <row r="19" spans="2:13" ht="17" customHeight="1" x14ac:dyDescent="0.2">
      <c r="B19" s="115" t="s">
        <v>555</v>
      </c>
      <c r="C19" s="115" t="s">
        <v>556</v>
      </c>
      <c r="D19" s="115">
        <v>2444.7199999999998</v>
      </c>
      <c r="E19" s="115">
        <v>-0.9</v>
      </c>
      <c r="F19" s="115">
        <v>24.02</v>
      </c>
      <c r="G19" s="115">
        <v>29.19</v>
      </c>
      <c r="H19" s="115">
        <v>0.56999999999999995</v>
      </c>
      <c r="I19" s="115">
        <v>1.26</v>
      </c>
      <c r="J19" s="115">
        <v>0.11</v>
      </c>
      <c r="K19" s="116">
        <v>36529</v>
      </c>
      <c r="L19" s="132" t="s">
        <v>463</v>
      </c>
      <c r="M19" s="99">
        <f t="shared" si="0"/>
        <v>4.3165467625899276E-2</v>
      </c>
    </row>
    <row r="20" spans="2:13" ht="17" customHeight="1" x14ac:dyDescent="0.2">
      <c r="B20" s="115" t="s">
        <v>557</v>
      </c>
      <c r="C20" s="115" t="s">
        <v>558</v>
      </c>
      <c r="D20" s="115">
        <v>1423.58</v>
      </c>
      <c r="E20" s="115">
        <v>1.69</v>
      </c>
      <c r="F20" s="115">
        <v>31.7</v>
      </c>
      <c r="G20" s="115">
        <v>66.72</v>
      </c>
      <c r="H20" s="115">
        <v>0.71</v>
      </c>
      <c r="I20" s="115">
        <v>1.62</v>
      </c>
      <c r="J20" s="115">
        <v>0.22</v>
      </c>
      <c r="K20" s="116">
        <v>36529</v>
      </c>
      <c r="L20" s="132" t="s">
        <v>463</v>
      </c>
      <c r="M20" s="99">
        <f t="shared" si="0"/>
        <v>2.4280575539568347E-2</v>
      </c>
    </row>
    <row r="21" spans="2:13" ht="17" customHeight="1" x14ac:dyDescent="0.2">
      <c r="B21" s="115" t="s">
        <v>559</v>
      </c>
      <c r="C21" s="115" t="s">
        <v>560</v>
      </c>
      <c r="D21" s="115">
        <v>8918.4599999999991</v>
      </c>
      <c r="E21" s="115">
        <v>-0.35</v>
      </c>
      <c r="F21" s="115">
        <v>8.75</v>
      </c>
      <c r="G21" s="115">
        <v>23.64</v>
      </c>
      <c r="H21" s="115">
        <v>0.25</v>
      </c>
      <c r="I21" s="115">
        <v>2.14</v>
      </c>
      <c r="J21" s="115">
        <v>0.25</v>
      </c>
      <c r="K21" s="116">
        <v>36529</v>
      </c>
      <c r="L21" s="132" t="s">
        <v>463</v>
      </c>
      <c r="M21" s="99">
        <f t="shared" si="0"/>
        <v>9.0524534686971234E-2</v>
      </c>
    </row>
    <row r="22" spans="2:13" ht="17" customHeight="1" x14ac:dyDescent="0.2">
      <c r="B22" s="115" t="s">
        <v>561</v>
      </c>
      <c r="C22" s="115" t="s">
        <v>562</v>
      </c>
      <c r="D22" s="115">
        <v>1298.54</v>
      </c>
      <c r="E22" s="115">
        <v>-0.12</v>
      </c>
      <c r="F22" s="115">
        <v>9.25</v>
      </c>
      <c r="G22" s="115">
        <v>11.57</v>
      </c>
      <c r="H22" s="115">
        <v>0.15</v>
      </c>
      <c r="I22" s="115">
        <v>1.25</v>
      </c>
      <c r="J22" s="115">
        <v>0.1</v>
      </c>
      <c r="K22" s="116">
        <v>36529</v>
      </c>
      <c r="L22" s="132" t="s">
        <v>463</v>
      </c>
      <c r="M22" s="99">
        <f t="shared" si="0"/>
        <v>0.10803802938634399</v>
      </c>
    </row>
    <row r="23" spans="2:13" ht="17" customHeight="1" x14ac:dyDescent="0.2">
      <c r="B23" s="115" t="s">
        <v>563</v>
      </c>
      <c r="C23" s="115" t="s">
        <v>564</v>
      </c>
      <c r="D23" s="115">
        <v>2149.4899999999998</v>
      </c>
      <c r="E23" s="115">
        <v>0.93</v>
      </c>
      <c r="F23" s="115">
        <v>22.9</v>
      </c>
      <c r="G23" s="115">
        <v>12.08</v>
      </c>
      <c r="H23" s="115">
        <v>0.16</v>
      </c>
      <c r="I23" s="115">
        <v>1.1599999999999999</v>
      </c>
      <c r="J23" s="115">
        <v>0.17</v>
      </c>
      <c r="K23" s="116">
        <v>36529</v>
      </c>
      <c r="L23" s="132" t="s">
        <v>463</v>
      </c>
      <c r="M23" s="99">
        <f t="shared" si="0"/>
        <v>9.6026490066225156E-2</v>
      </c>
    </row>
    <row r="24" spans="2:13" ht="17" customHeight="1" x14ac:dyDescent="0.2">
      <c r="B24" s="115" t="s">
        <v>565</v>
      </c>
      <c r="C24" s="115" t="s">
        <v>566</v>
      </c>
      <c r="D24" s="115">
        <v>12678.69</v>
      </c>
      <c r="E24" s="115">
        <v>-1.01</v>
      </c>
      <c r="F24" s="115">
        <v>31.26</v>
      </c>
      <c r="G24" s="115">
        <v>58.91</v>
      </c>
      <c r="H24" s="115">
        <v>0.12</v>
      </c>
      <c r="I24" s="115">
        <v>3.04</v>
      </c>
      <c r="J24" s="115">
        <v>0.39</v>
      </c>
      <c r="K24" s="116">
        <v>36529</v>
      </c>
      <c r="L24" s="132" t="s">
        <v>463</v>
      </c>
      <c r="M24" s="99">
        <f t="shared" si="0"/>
        <v>5.1604141911390261E-2</v>
      </c>
    </row>
    <row r="25" spans="2:13" ht="17" customHeight="1" x14ac:dyDescent="0.2">
      <c r="B25" s="115" t="s">
        <v>567</v>
      </c>
      <c r="C25" s="115" t="s">
        <v>568</v>
      </c>
      <c r="D25" s="115">
        <v>6316.19</v>
      </c>
      <c r="E25" s="115">
        <v>-1.41</v>
      </c>
      <c r="F25" s="115">
        <v>29.78</v>
      </c>
      <c r="G25" s="115">
        <v>60.87</v>
      </c>
      <c r="H25" s="115">
        <v>0.21</v>
      </c>
      <c r="I25" s="115">
        <v>2.92</v>
      </c>
      <c r="J25" s="115">
        <v>0.34</v>
      </c>
      <c r="K25" s="116">
        <v>36529</v>
      </c>
      <c r="L25" s="132" t="s">
        <v>463</v>
      </c>
      <c r="M25" s="99">
        <f t="shared" si="0"/>
        <v>4.7971085920814852E-2</v>
      </c>
    </row>
    <row r="26" spans="2:13" ht="17" customHeight="1" x14ac:dyDescent="0.2">
      <c r="B26" s="115" t="s">
        <v>569</v>
      </c>
      <c r="C26" s="115" t="s">
        <v>570</v>
      </c>
      <c r="D26" s="115">
        <v>8411.6</v>
      </c>
      <c r="E26" s="115">
        <v>-1.41</v>
      </c>
      <c r="F26" s="115">
        <v>38.14</v>
      </c>
      <c r="G26" s="115">
        <v>61.06</v>
      </c>
      <c r="H26" s="115">
        <v>0.37</v>
      </c>
      <c r="I26" s="115">
        <v>2.99</v>
      </c>
      <c r="J26" s="115">
        <v>0.16</v>
      </c>
      <c r="K26" s="116">
        <v>39265</v>
      </c>
      <c r="L26" s="132" t="s">
        <v>463</v>
      </c>
      <c r="M26" s="99">
        <f t="shared" si="0"/>
        <v>4.8968227972486081E-2</v>
      </c>
    </row>
    <row r="27" spans="2:13" ht="17" customHeight="1" x14ac:dyDescent="0.2">
      <c r="B27" s="115" t="s">
        <v>571</v>
      </c>
      <c r="C27" s="115" t="s">
        <v>572</v>
      </c>
      <c r="D27" s="115">
        <v>2405.67</v>
      </c>
      <c r="E27" s="115">
        <v>0.31</v>
      </c>
      <c r="F27" s="115">
        <v>38.950000000000003</v>
      </c>
      <c r="G27" s="115">
        <v>146.91999999999999</v>
      </c>
      <c r="H27" s="115">
        <v>0.82</v>
      </c>
      <c r="I27" s="115">
        <v>1.68</v>
      </c>
      <c r="J27" s="115">
        <v>0.13</v>
      </c>
      <c r="K27" s="116">
        <v>39265</v>
      </c>
      <c r="L27" s="132" t="s">
        <v>463</v>
      </c>
      <c r="M27" s="99">
        <f t="shared" si="0"/>
        <v>1.1434794445956985E-2</v>
      </c>
    </row>
    <row r="28" spans="2:13" ht="17" customHeight="1" x14ac:dyDescent="0.2">
      <c r="B28" s="115" t="s">
        <v>573</v>
      </c>
      <c r="C28" s="115" t="s">
        <v>574</v>
      </c>
      <c r="D28" s="115">
        <v>6706.07</v>
      </c>
      <c r="E28" s="115">
        <v>0.23</v>
      </c>
      <c r="F28" s="115">
        <v>23.8</v>
      </c>
      <c r="G28" s="115">
        <v>21.7</v>
      </c>
      <c r="H28" s="115">
        <v>0.02</v>
      </c>
      <c r="I28" s="115">
        <v>2.58</v>
      </c>
      <c r="J28" s="115">
        <v>0.15</v>
      </c>
      <c r="K28" s="116">
        <v>36529</v>
      </c>
      <c r="L28" s="132" t="s">
        <v>463</v>
      </c>
      <c r="M28" s="99">
        <f t="shared" si="0"/>
        <v>0.11889400921658987</v>
      </c>
    </row>
    <row r="29" spans="2:13" ht="17" customHeight="1" x14ac:dyDescent="0.2">
      <c r="B29" s="115" t="s">
        <v>575</v>
      </c>
      <c r="C29" s="115" t="s">
        <v>576</v>
      </c>
      <c r="D29" s="115">
        <v>5414.77</v>
      </c>
      <c r="E29" s="115">
        <v>0.31</v>
      </c>
      <c r="F29" s="115">
        <v>32.97</v>
      </c>
      <c r="G29" s="115">
        <v>79.45</v>
      </c>
      <c r="H29" s="115">
        <v>0.41</v>
      </c>
      <c r="I29" s="115">
        <v>7.34</v>
      </c>
      <c r="J29" s="115">
        <v>0.55000000000000004</v>
      </c>
      <c r="K29" s="116">
        <v>39265</v>
      </c>
      <c r="L29" s="132" t="s">
        <v>463</v>
      </c>
      <c r="M29" s="99">
        <f t="shared" si="0"/>
        <v>9.2385147891755823E-2</v>
      </c>
    </row>
    <row r="30" spans="2:13" ht="17" customHeight="1" x14ac:dyDescent="0.2">
      <c r="B30" s="115" t="s">
        <v>577</v>
      </c>
      <c r="C30" s="115" t="s">
        <v>578</v>
      </c>
      <c r="D30" s="115">
        <v>5208.21</v>
      </c>
      <c r="E30" s="115">
        <v>-0.38</v>
      </c>
      <c r="F30" s="115">
        <v>27.82</v>
      </c>
      <c r="G30" s="115">
        <v>53.2</v>
      </c>
      <c r="H30" s="115">
        <v>0.54</v>
      </c>
      <c r="I30" s="115">
        <v>4.18</v>
      </c>
      <c r="J30" s="115">
        <v>0.52</v>
      </c>
      <c r="K30" s="116">
        <v>36529</v>
      </c>
      <c r="L30" s="132" t="s">
        <v>463</v>
      </c>
      <c r="M30" s="99">
        <f t="shared" si="0"/>
        <v>7.8571428571428556E-2</v>
      </c>
    </row>
    <row r="31" spans="2:13" ht="17" customHeight="1" x14ac:dyDescent="0.2">
      <c r="B31" s="115" t="s">
        <v>579</v>
      </c>
      <c r="C31" s="115" t="s">
        <v>580</v>
      </c>
      <c r="D31" s="115">
        <v>6820.1</v>
      </c>
      <c r="E31" s="115">
        <v>0.93</v>
      </c>
      <c r="F31" s="115">
        <v>24.68</v>
      </c>
      <c r="G31" s="115">
        <v>16.45</v>
      </c>
      <c r="H31" s="115">
        <v>0.01</v>
      </c>
      <c r="I31" s="115">
        <v>1.95</v>
      </c>
      <c r="J31" s="115">
        <v>0.12</v>
      </c>
      <c r="K31" s="116">
        <v>36529</v>
      </c>
      <c r="L31" s="132" t="s">
        <v>463</v>
      </c>
      <c r="M31" s="99">
        <f t="shared" si="0"/>
        <v>0.11854103343465046</v>
      </c>
    </row>
    <row r="32" spans="2:13" ht="17" customHeight="1" x14ac:dyDescent="0.2">
      <c r="B32" s="115" t="s">
        <v>581</v>
      </c>
      <c r="C32" s="115" t="s">
        <v>582</v>
      </c>
      <c r="D32" s="115">
        <v>7930.96</v>
      </c>
      <c r="E32" s="115">
        <v>-0.88</v>
      </c>
      <c r="F32" s="115">
        <v>28.17</v>
      </c>
      <c r="G32" s="115">
        <v>44.19</v>
      </c>
      <c r="H32" s="115">
        <v>0.36</v>
      </c>
      <c r="I32" s="115">
        <v>5.03</v>
      </c>
      <c r="J32" s="115">
        <v>0.45</v>
      </c>
      <c r="K32" s="116">
        <v>36529</v>
      </c>
      <c r="L32" s="132" t="s">
        <v>463</v>
      </c>
      <c r="M32" s="99">
        <f t="shared" si="0"/>
        <v>0.11382665761484499</v>
      </c>
    </row>
    <row r="33" spans="2:13" ht="17" customHeight="1" x14ac:dyDescent="0.2">
      <c r="B33" s="115" t="s">
        <v>583</v>
      </c>
      <c r="C33" s="115" t="s">
        <v>584</v>
      </c>
      <c r="D33" s="115">
        <v>8730.81</v>
      </c>
      <c r="E33" s="115">
        <v>-0.05</v>
      </c>
      <c r="F33" s="115">
        <v>32.840000000000003</v>
      </c>
      <c r="G33" s="115">
        <v>31.3</v>
      </c>
      <c r="H33" s="115">
        <v>0.27</v>
      </c>
      <c r="I33" s="115">
        <v>3.21</v>
      </c>
      <c r="J33" s="115">
        <v>0.27</v>
      </c>
      <c r="K33" s="116">
        <v>36529</v>
      </c>
      <c r="L33" s="132" t="s">
        <v>463</v>
      </c>
      <c r="M33" s="99">
        <f t="shared" si="0"/>
        <v>0.10255591054313098</v>
      </c>
    </row>
    <row r="34" spans="2:13" ht="17" customHeight="1" x14ac:dyDescent="0.2">
      <c r="B34" s="115" t="s">
        <v>585</v>
      </c>
      <c r="C34" s="115" t="s">
        <v>586</v>
      </c>
      <c r="D34" s="115">
        <v>3176.33</v>
      </c>
      <c r="E34" s="115">
        <v>0.33</v>
      </c>
      <c r="F34" s="115">
        <v>50.39</v>
      </c>
      <c r="G34" s="115">
        <v>26.5</v>
      </c>
      <c r="H34" s="115">
        <v>0.23</v>
      </c>
      <c r="I34" s="115">
        <v>2.5099999999999998</v>
      </c>
      <c r="J34" s="115">
        <v>0.48</v>
      </c>
      <c r="K34" s="116">
        <v>36529</v>
      </c>
      <c r="L34" s="132" t="s">
        <v>463</v>
      </c>
      <c r="M34" s="99">
        <f t="shared" ref="M34:M65" si="1">I34/G34</f>
        <v>9.4716981132075467E-2</v>
      </c>
    </row>
    <row r="35" spans="2:13" ht="17" customHeight="1" x14ac:dyDescent="0.2">
      <c r="B35" s="115" t="s">
        <v>587</v>
      </c>
      <c r="C35" s="115" t="s">
        <v>588</v>
      </c>
      <c r="D35" s="115">
        <v>5265.12</v>
      </c>
      <c r="E35" s="115">
        <v>0.75</v>
      </c>
      <c r="F35" s="115">
        <v>29.71</v>
      </c>
      <c r="G35" s="115">
        <v>10.62</v>
      </c>
      <c r="H35" s="115">
        <v>0.04</v>
      </c>
      <c r="I35" s="115">
        <v>1.51</v>
      </c>
      <c r="J35" s="115">
        <v>7.0000000000000007E-2</v>
      </c>
      <c r="K35" s="116">
        <v>36529</v>
      </c>
      <c r="L35" s="132" t="s">
        <v>463</v>
      </c>
      <c r="M35" s="99">
        <f t="shared" si="1"/>
        <v>0.14218455743879474</v>
      </c>
    </row>
    <row r="36" spans="2:13" ht="17" customHeight="1" x14ac:dyDescent="0.2">
      <c r="B36" s="115" t="s">
        <v>589</v>
      </c>
      <c r="C36" s="115" t="s">
        <v>590</v>
      </c>
      <c r="D36" s="115">
        <v>2194.31</v>
      </c>
      <c r="E36" s="115">
        <v>0.33</v>
      </c>
      <c r="F36" s="115">
        <v>47.23</v>
      </c>
      <c r="G36" s="115">
        <v>38.58</v>
      </c>
      <c r="H36" s="115">
        <v>0.24</v>
      </c>
      <c r="I36" s="115">
        <v>3.39</v>
      </c>
      <c r="J36" s="115">
        <v>0.43</v>
      </c>
      <c r="K36" s="116">
        <v>36529</v>
      </c>
      <c r="L36" s="132" t="s">
        <v>463</v>
      </c>
      <c r="M36" s="99">
        <f t="shared" si="1"/>
        <v>8.7869362363919137E-2</v>
      </c>
    </row>
    <row r="37" spans="2:13" ht="17" customHeight="1" x14ac:dyDescent="0.2">
      <c r="B37" s="115" t="s">
        <v>591</v>
      </c>
      <c r="C37" s="115" t="s">
        <v>592</v>
      </c>
      <c r="D37" s="115">
        <v>2089.0500000000002</v>
      </c>
      <c r="E37" s="115">
        <v>0.89</v>
      </c>
      <c r="F37" s="115">
        <v>26.13</v>
      </c>
      <c r="G37" s="115">
        <v>28.29</v>
      </c>
      <c r="H37" s="115">
        <v>0.09</v>
      </c>
      <c r="I37" s="115">
        <v>2.4300000000000002</v>
      </c>
      <c r="J37" s="115">
        <v>0.28999999999999998</v>
      </c>
      <c r="K37" s="116">
        <v>36529</v>
      </c>
      <c r="L37" s="132" t="s">
        <v>463</v>
      </c>
      <c r="M37" s="99">
        <f t="shared" si="1"/>
        <v>8.5896076352067877E-2</v>
      </c>
    </row>
    <row r="38" spans="2:13" ht="17" customHeight="1" x14ac:dyDescent="0.2">
      <c r="B38" s="115" t="s">
        <v>593</v>
      </c>
      <c r="C38" s="115" t="s">
        <v>594</v>
      </c>
      <c r="D38" s="115">
        <v>5778.81</v>
      </c>
      <c r="E38" s="115">
        <v>0.65</v>
      </c>
      <c r="F38" s="115">
        <v>19.440000000000001</v>
      </c>
      <c r="G38" s="115">
        <v>25.88</v>
      </c>
      <c r="H38" s="115">
        <v>0.19</v>
      </c>
      <c r="I38" s="115">
        <v>3.13</v>
      </c>
      <c r="J38" s="115">
        <v>0.32</v>
      </c>
      <c r="K38" s="116">
        <v>36529</v>
      </c>
      <c r="L38" s="132" t="s">
        <v>463</v>
      </c>
      <c r="M38" s="99">
        <f t="shared" si="1"/>
        <v>0.12094281298299846</v>
      </c>
    </row>
    <row r="39" spans="2:13" ht="17" customHeight="1" x14ac:dyDescent="0.2">
      <c r="B39" s="115" t="s">
        <v>595</v>
      </c>
      <c r="C39" s="115" t="s">
        <v>596</v>
      </c>
      <c r="D39" s="115">
        <v>1620.3</v>
      </c>
      <c r="E39" s="115">
        <v>-0.84</v>
      </c>
      <c r="F39" s="115">
        <v>40.6</v>
      </c>
      <c r="G39" s="115">
        <v>83.48</v>
      </c>
      <c r="H39" s="115">
        <v>0.51</v>
      </c>
      <c r="I39" s="115">
        <v>2.89</v>
      </c>
      <c r="J39" s="115">
        <v>0.38</v>
      </c>
      <c r="K39" s="116">
        <v>36529</v>
      </c>
      <c r="L39" s="132" t="s">
        <v>463</v>
      </c>
      <c r="M39" s="99">
        <f t="shared" si="1"/>
        <v>3.461907043603258E-2</v>
      </c>
    </row>
    <row r="40" spans="2:13" ht="17" customHeight="1" x14ac:dyDescent="0.2">
      <c r="B40" s="115" t="s">
        <v>597</v>
      </c>
      <c r="C40" s="115" t="s">
        <v>598</v>
      </c>
      <c r="D40" s="115">
        <v>1119.33</v>
      </c>
      <c r="E40" s="115">
        <v>0.57999999999999996</v>
      </c>
      <c r="F40" s="115">
        <v>24.65</v>
      </c>
      <c r="G40" s="115">
        <v>37.35</v>
      </c>
      <c r="H40" s="115">
        <v>0.18</v>
      </c>
      <c r="I40" s="115">
        <v>1.9</v>
      </c>
      <c r="J40" s="115">
        <v>0.15</v>
      </c>
      <c r="K40" s="116">
        <v>36529</v>
      </c>
      <c r="L40" s="132" t="s">
        <v>463</v>
      </c>
      <c r="M40" s="99">
        <f t="shared" si="1"/>
        <v>5.0870147255689419E-2</v>
      </c>
    </row>
    <row r="41" spans="2:13" ht="17" customHeight="1" x14ac:dyDescent="0.2">
      <c r="B41" s="115" t="s">
        <v>599</v>
      </c>
      <c r="C41" s="115" t="s">
        <v>600</v>
      </c>
      <c r="D41" s="115">
        <v>4497.22</v>
      </c>
      <c r="E41" s="115">
        <v>-4.38</v>
      </c>
      <c r="F41" s="115">
        <v>57.2</v>
      </c>
      <c r="G41" s="115">
        <v>42.95</v>
      </c>
      <c r="H41" s="115">
        <v>0.39</v>
      </c>
      <c r="I41" s="115">
        <v>5.37</v>
      </c>
      <c r="J41" s="115">
        <v>0.92</v>
      </c>
      <c r="K41" s="116">
        <v>36529</v>
      </c>
      <c r="L41" s="132" t="s">
        <v>463</v>
      </c>
      <c r="M41" s="99">
        <f t="shared" si="1"/>
        <v>0.1250291036088475</v>
      </c>
    </row>
    <row r="42" spans="2:13" ht="17" customHeight="1" x14ac:dyDescent="0.2">
      <c r="B42" s="115" t="s">
        <v>601</v>
      </c>
      <c r="C42" s="115" t="s">
        <v>602</v>
      </c>
      <c r="D42" s="115">
        <v>2285.19</v>
      </c>
      <c r="E42" s="115">
        <v>1.05</v>
      </c>
      <c r="F42" s="115">
        <v>20.93</v>
      </c>
      <c r="G42" s="115">
        <v>40.299999999999997</v>
      </c>
      <c r="H42" s="115">
        <v>0.18</v>
      </c>
      <c r="I42" s="115">
        <v>2.37</v>
      </c>
      <c r="J42" s="115">
        <v>0.19</v>
      </c>
      <c r="K42" s="116">
        <v>36529</v>
      </c>
      <c r="L42" s="132" t="s">
        <v>463</v>
      </c>
      <c r="M42" s="99">
        <f t="shared" si="1"/>
        <v>5.8808933002481398E-2</v>
      </c>
    </row>
    <row r="43" spans="2:13" ht="17" customHeight="1" x14ac:dyDescent="0.2">
      <c r="B43" s="115" t="s">
        <v>603</v>
      </c>
      <c r="C43" s="115" t="s">
        <v>604</v>
      </c>
      <c r="D43" s="115">
        <v>4956.5200000000004</v>
      </c>
      <c r="E43" s="115">
        <v>-3.73</v>
      </c>
      <c r="F43" s="115">
        <v>67.64</v>
      </c>
      <c r="G43" s="115">
        <v>35.04</v>
      </c>
      <c r="H43" s="115">
        <v>0.43</v>
      </c>
      <c r="I43" s="115">
        <v>3.5</v>
      </c>
      <c r="J43" s="115">
        <v>0.56000000000000005</v>
      </c>
      <c r="K43" s="116">
        <v>36529</v>
      </c>
      <c r="L43" s="132" t="s">
        <v>463</v>
      </c>
      <c r="M43" s="99">
        <f t="shared" si="1"/>
        <v>9.9885844748858449E-2</v>
      </c>
    </row>
    <row r="44" spans="2:13" ht="17" customHeight="1" x14ac:dyDescent="0.2">
      <c r="B44" s="115" t="s">
        <v>605</v>
      </c>
      <c r="C44" s="115" t="s">
        <v>606</v>
      </c>
      <c r="D44" s="115">
        <v>864.3</v>
      </c>
      <c r="E44" s="115">
        <v>-0.24</v>
      </c>
      <c r="F44" s="115">
        <v>27.3</v>
      </c>
      <c r="G44" s="115">
        <v>15.89</v>
      </c>
      <c r="H44" s="115">
        <v>0.08</v>
      </c>
      <c r="I44" s="115">
        <v>1.66</v>
      </c>
      <c r="J44" s="115">
        <v>0.06</v>
      </c>
      <c r="K44" s="116">
        <v>39265</v>
      </c>
      <c r="L44" s="132" t="s">
        <v>463</v>
      </c>
      <c r="M44" s="99">
        <f t="shared" si="1"/>
        <v>0.10446821900566393</v>
      </c>
    </row>
    <row r="45" spans="2:13" ht="17" customHeight="1" x14ac:dyDescent="0.2">
      <c r="B45" s="115" t="s">
        <v>607</v>
      </c>
      <c r="C45" s="115" t="s">
        <v>608</v>
      </c>
      <c r="D45" s="115">
        <v>4363.21</v>
      </c>
      <c r="E45" s="115">
        <v>0.18</v>
      </c>
      <c r="F45" s="115">
        <v>32.9</v>
      </c>
      <c r="G45" s="115">
        <v>17.2</v>
      </c>
      <c r="H45" s="115">
        <v>0.17</v>
      </c>
      <c r="I45" s="115">
        <v>1.33</v>
      </c>
      <c r="J45" s="115">
        <v>0.04</v>
      </c>
      <c r="K45" s="116">
        <v>36529</v>
      </c>
      <c r="L45" s="132" t="s">
        <v>463</v>
      </c>
      <c r="M45" s="99">
        <f t="shared" si="1"/>
        <v>7.7325581395348841E-2</v>
      </c>
    </row>
    <row r="46" spans="2:13" ht="17" customHeight="1" x14ac:dyDescent="0.2">
      <c r="B46" s="115" t="s">
        <v>609</v>
      </c>
      <c r="C46" s="115" t="s">
        <v>610</v>
      </c>
      <c r="D46" s="115">
        <v>1237.93</v>
      </c>
      <c r="E46" s="115">
        <v>-0.67</v>
      </c>
      <c r="F46" s="115">
        <v>51.3</v>
      </c>
      <c r="G46" s="115">
        <v>15.4</v>
      </c>
      <c r="H46" s="115">
        <v>0.04</v>
      </c>
      <c r="I46" s="115">
        <v>1.73</v>
      </c>
      <c r="J46" s="115">
        <v>0.44</v>
      </c>
      <c r="K46" s="116">
        <v>36529</v>
      </c>
      <c r="L46" s="132" t="s">
        <v>463</v>
      </c>
      <c r="M46" s="99">
        <f t="shared" si="1"/>
        <v>0.11233766233766233</v>
      </c>
    </row>
    <row r="47" spans="2:13" ht="17" customHeight="1" x14ac:dyDescent="0.2">
      <c r="B47" s="115" t="s">
        <v>611</v>
      </c>
      <c r="C47" s="115" t="s">
        <v>612</v>
      </c>
      <c r="D47" s="115">
        <v>14166.1</v>
      </c>
      <c r="E47" s="115">
        <v>-1.02</v>
      </c>
      <c r="F47" s="115">
        <v>30.63</v>
      </c>
      <c r="G47" s="115">
        <v>13.78</v>
      </c>
      <c r="H47" s="115">
        <v>0.21</v>
      </c>
      <c r="I47" s="115">
        <v>3.3</v>
      </c>
      <c r="J47" s="115">
        <v>0.56999999999999995</v>
      </c>
      <c r="K47" s="116">
        <v>36529</v>
      </c>
      <c r="L47" s="132" t="s">
        <v>463</v>
      </c>
      <c r="M47" s="99">
        <f t="shared" si="1"/>
        <v>0.23947750362844702</v>
      </c>
    </row>
    <row r="48" spans="2:13" ht="17" customHeight="1" x14ac:dyDescent="0.2">
      <c r="B48" s="115" t="s">
        <v>613</v>
      </c>
      <c r="C48" s="115" t="s">
        <v>614</v>
      </c>
      <c r="D48" s="115">
        <v>4733.46</v>
      </c>
      <c r="E48" s="115">
        <v>-0.18</v>
      </c>
      <c r="F48" s="115">
        <v>11.97</v>
      </c>
      <c r="G48" s="115">
        <v>15.09</v>
      </c>
      <c r="H48" s="115">
        <v>0.39</v>
      </c>
      <c r="I48" s="115">
        <v>1.47</v>
      </c>
      <c r="J48" s="115">
        <v>0.1</v>
      </c>
      <c r="K48" s="116">
        <v>36529</v>
      </c>
      <c r="L48" s="132" t="s">
        <v>463</v>
      </c>
      <c r="M48" s="99">
        <f t="shared" si="1"/>
        <v>9.7415506958250492E-2</v>
      </c>
    </row>
    <row r="49" spans="2:13" ht="17" customHeight="1" x14ac:dyDescent="0.2">
      <c r="B49" s="115" t="s">
        <v>615</v>
      </c>
      <c r="C49" s="115" t="s">
        <v>616</v>
      </c>
      <c r="D49" s="115">
        <v>4718.29</v>
      </c>
      <c r="E49" s="115">
        <v>0.21</v>
      </c>
      <c r="F49" s="115">
        <v>25.29</v>
      </c>
      <c r="G49" s="115">
        <v>16.12</v>
      </c>
      <c r="H49" s="115">
        <v>0.13</v>
      </c>
      <c r="I49" s="115">
        <v>1.9</v>
      </c>
      <c r="J49" s="115">
        <v>0.16</v>
      </c>
      <c r="K49" s="116">
        <v>36529</v>
      </c>
      <c r="L49" s="132" t="s">
        <v>463</v>
      </c>
      <c r="M49" s="99">
        <f t="shared" si="1"/>
        <v>0.11786600496277914</v>
      </c>
    </row>
    <row r="50" spans="2:13" ht="17" customHeight="1" x14ac:dyDescent="0.2">
      <c r="B50" s="115" t="s">
        <v>617</v>
      </c>
      <c r="C50" s="115" t="s">
        <v>618</v>
      </c>
      <c r="D50" s="115">
        <v>1058.24</v>
      </c>
      <c r="E50" s="115">
        <v>0.27</v>
      </c>
      <c r="F50" s="115">
        <v>34.26</v>
      </c>
      <c r="G50" s="115">
        <v>26.64</v>
      </c>
      <c r="H50" s="115">
        <v>0.11</v>
      </c>
      <c r="I50" s="115">
        <v>1.63</v>
      </c>
      <c r="J50" s="115">
        <v>0.1</v>
      </c>
      <c r="K50" s="116">
        <v>36529</v>
      </c>
      <c r="L50" s="132" t="s">
        <v>463</v>
      </c>
      <c r="M50" s="99">
        <f t="shared" si="1"/>
        <v>6.1186186186186181E-2</v>
      </c>
    </row>
    <row r="51" spans="2:13" ht="17" customHeight="1" x14ac:dyDescent="0.2">
      <c r="B51" s="115" t="s">
        <v>619</v>
      </c>
      <c r="C51" s="115" t="s">
        <v>620</v>
      </c>
      <c r="D51" s="115">
        <v>2093.08</v>
      </c>
      <c r="E51" s="115">
        <v>-0.35</v>
      </c>
      <c r="F51" s="115">
        <v>21.41</v>
      </c>
      <c r="G51" s="115">
        <v>27.38</v>
      </c>
      <c r="H51" s="115">
        <v>0.47</v>
      </c>
      <c r="I51" s="115">
        <v>2.16</v>
      </c>
      <c r="J51" s="115">
        <v>0.3</v>
      </c>
      <c r="K51" s="116">
        <v>36529</v>
      </c>
      <c r="L51" s="132" t="s">
        <v>463</v>
      </c>
      <c r="M51" s="99">
        <f t="shared" si="1"/>
        <v>7.8889700511322144E-2</v>
      </c>
    </row>
    <row r="52" spans="2:13" ht="17" customHeight="1" x14ac:dyDescent="0.2">
      <c r="B52" s="115" t="s">
        <v>621</v>
      </c>
      <c r="C52" s="115" t="s">
        <v>622</v>
      </c>
      <c r="D52" s="115">
        <v>2382.98</v>
      </c>
      <c r="E52" s="115">
        <v>0.7</v>
      </c>
      <c r="F52" s="115">
        <v>24.71</v>
      </c>
      <c r="G52" s="115">
        <v>19.559999999999999</v>
      </c>
      <c r="H52" s="115">
        <v>0.03</v>
      </c>
      <c r="I52" s="115">
        <v>1.59</v>
      </c>
      <c r="J52" s="115">
        <v>0.11</v>
      </c>
      <c r="K52" s="116">
        <v>36529</v>
      </c>
      <c r="L52" s="132" t="s">
        <v>463</v>
      </c>
      <c r="M52" s="99">
        <f t="shared" si="1"/>
        <v>8.1288343558282211E-2</v>
      </c>
    </row>
    <row r="53" spans="2:13" ht="17" customHeight="1" x14ac:dyDescent="0.2">
      <c r="B53" s="115" t="s">
        <v>623</v>
      </c>
      <c r="C53" s="115" t="s">
        <v>624</v>
      </c>
      <c r="D53" s="115">
        <v>15155.17</v>
      </c>
      <c r="E53" s="115">
        <v>0.23</v>
      </c>
      <c r="F53" s="115">
        <v>41.7</v>
      </c>
      <c r="G53" s="115">
        <v>28.24</v>
      </c>
      <c r="H53" s="115">
        <v>0.3</v>
      </c>
      <c r="I53" s="115">
        <v>5.56</v>
      </c>
      <c r="J53" s="115">
        <v>0.67</v>
      </c>
      <c r="K53" s="116">
        <v>36529</v>
      </c>
      <c r="L53" s="132" t="s">
        <v>463</v>
      </c>
      <c r="M53" s="99">
        <f t="shared" si="1"/>
        <v>0.19688385269121814</v>
      </c>
    </row>
    <row r="54" spans="2:13" ht="17" customHeight="1" x14ac:dyDescent="0.2">
      <c r="B54" s="115" t="s">
        <v>625</v>
      </c>
      <c r="C54" s="115" t="s">
        <v>626</v>
      </c>
      <c r="D54" s="115" t="s">
        <v>627</v>
      </c>
      <c r="E54" s="115" t="s">
        <v>627</v>
      </c>
      <c r="F54" s="115" t="s">
        <v>627</v>
      </c>
      <c r="G54" s="115">
        <v>50.65</v>
      </c>
      <c r="H54" s="115">
        <v>0.76</v>
      </c>
      <c r="I54" s="115">
        <v>2.13</v>
      </c>
      <c r="J54" s="115">
        <v>0.27</v>
      </c>
      <c r="K54" s="116">
        <v>36529</v>
      </c>
      <c r="L54" s="132" t="s">
        <v>463</v>
      </c>
      <c r="M54" s="99">
        <f t="shared" si="1"/>
        <v>4.2053307008884502E-2</v>
      </c>
    </row>
    <row r="55" spans="2:13" ht="17" customHeight="1" x14ac:dyDescent="0.2">
      <c r="B55" s="115" t="s">
        <v>628</v>
      </c>
      <c r="C55" s="115" t="s">
        <v>629</v>
      </c>
      <c r="D55" s="115">
        <v>4121.5200000000004</v>
      </c>
      <c r="E55" s="115">
        <v>0.25</v>
      </c>
      <c r="F55" s="115">
        <v>23.69</v>
      </c>
      <c r="G55" s="115">
        <v>20.87</v>
      </c>
      <c r="H55" s="115">
        <v>0.16</v>
      </c>
      <c r="I55" s="115">
        <v>1.83</v>
      </c>
      <c r="J55" s="115">
        <v>0.1</v>
      </c>
      <c r="K55" s="116">
        <v>36529</v>
      </c>
      <c r="L55" s="132" t="s">
        <v>463</v>
      </c>
      <c r="M55" s="99">
        <f t="shared" si="1"/>
        <v>8.7685673215141355E-2</v>
      </c>
    </row>
    <row r="56" spans="2:13" ht="17" customHeight="1" x14ac:dyDescent="0.2">
      <c r="B56" s="115" t="s">
        <v>630</v>
      </c>
      <c r="C56" s="115" t="s">
        <v>631</v>
      </c>
      <c r="D56" s="115">
        <v>14055.3</v>
      </c>
      <c r="E56" s="115">
        <v>0.17</v>
      </c>
      <c r="F56" s="115">
        <v>21.66</v>
      </c>
      <c r="G56" s="115">
        <v>28.34</v>
      </c>
      <c r="H56" s="115">
        <v>0.2</v>
      </c>
      <c r="I56" s="115">
        <v>4.5199999999999996</v>
      </c>
      <c r="J56" s="115">
        <v>0.53</v>
      </c>
      <c r="K56" s="116">
        <v>36529</v>
      </c>
      <c r="L56" s="132" t="s">
        <v>463</v>
      </c>
      <c r="M56" s="99">
        <f t="shared" si="1"/>
        <v>0.15949188426252645</v>
      </c>
    </row>
    <row r="57" spans="2:13" ht="17" customHeight="1" x14ac:dyDescent="0.2">
      <c r="B57" s="115" t="s">
        <v>632</v>
      </c>
      <c r="C57" s="115" t="s">
        <v>633</v>
      </c>
      <c r="D57" s="115">
        <v>7769.53</v>
      </c>
      <c r="E57" s="115">
        <v>0.76</v>
      </c>
      <c r="F57" s="115">
        <v>25.12</v>
      </c>
      <c r="G57" s="115">
        <v>18.12</v>
      </c>
      <c r="H57" s="115">
        <v>0.05</v>
      </c>
      <c r="I57" s="115">
        <v>1.91</v>
      </c>
      <c r="J57" s="115">
        <v>0.04</v>
      </c>
      <c r="K57" s="116">
        <v>40147</v>
      </c>
      <c r="L57" s="132" t="s">
        <v>463</v>
      </c>
      <c r="M57" s="99">
        <f t="shared" si="1"/>
        <v>0.10540838852097129</v>
      </c>
    </row>
    <row r="58" spans="2:13" ht="17" customHeight="1" x14ac:dyDescent="0.2">
      <c r="B58" s="115" t="s">
        <v>634</v>
      </c>
      <c r="C58" s="115" t="s">
        <v>635</v>
      </c>
      <c r="D58" s="115">
        <v>1795.17</v>
      </c>
      <c r="E58" s="115">
        <v>0.62</v>
      </c>
      <c r="F58" s="115">
        <v>28.43</v>
      </c>
      <c r="G58" s="115">
        <v>14.42</v>
      </c>
      <c r="H58" s="115">
        <v>0.06</v>
      </c>
      <c r="I58" s="115">
        <v>1.35</v>
      </c>
      <c r="J58" s="115">
        <v>0.06</v>
      </c>
      <c r="K58" s="116">
        <v>40826</v>
      </c>
      <c r="L58" s="132" t="s">
        <v>463</v>
      </c>
      <c r="M58" s="99">
        <f t="shared" si="1"/>
        <v>9.361997226074896E-2</v>
      </c>
    </row>
    <row r="59" spans="2:13" ht="17" customHeight="1" x14ac:dyDescent="0.2">
      <c r="B59" s="115" t="s">
        <v>636</v>
      </c>
      <c r="C59" s="115" t="s">
        <v>637</v>
      </c>
      <c r="D59" s="115">
        <v>2746.13</v>
      </c>
      <c r="E59" s="115">
        <v>-0.01</v>
      </c>
      <c r="F59" s="115">
        <v>16.899999999999999</v>
      </c>
      <c r="G59" s="115">
        <v>11.09</v>
      </c>
      <c r="H59" s="115">
        <v>0.32</v>
      </c>
      <c r="I59" s="115">
        <v>1.17</v>
      </c>
      <c r="J59" s="115">
        <v>0.3</v>
      </c>
      <c r="K59" s="116">
        <v>40826</v>
      </c>
      <c r="L59" s="132" t="s">
        <v>463</v>
      </c>
      <c r="M59" s="99">
        <f t="shared" si="1"/>
        <v>0.10550045085662758</v>
      </c>
    </row>
    <row r="60" spans="2:13" ht="17" customHeight="1" x14ac:dyDescent="0.2">
      <c r="B60" s="115" t="s">
        <v>638</v>
      </c>
      <c r="C60" s="115" t="s">
        <v>639</v>
      </c>
      <c r="D60" s="115">
        <v>6876.71</v>
      </c>
      <c r="E60" s="115">
        <v>1.98</v>
      </c>
      <c r="F60" s="115">
        <v>30.55</v>
      </c>
      <c r="G60" s="115">
        <v>9.4</v>
      </c>
      <c r="H60" s="115">
        <v>0.02</v>
      </c>
      <c r="I60" s="115">
        <v>1.69</v>
      </c>
      <c r="J60" s="115">
        <v>0.28000000000000003</v>
      </c>
      <c r="K60" s="116">
        <v>36529</v>
      </c>
      <c r="L60" s="132" t="s">
        <v>463</v>
      </c>
      <c r="M60" s="99">
        <f t="shared" si="1"/>
        <v>0.17978723404255317</v>
      </c>
    </row>
    <row r="61" spans="2:13" ht="17" customHeight="1" x14ac:dyDescent="0.2">
      <c r="B61" s="115" t="s">
        <v>640</v>
      </c>
      <c r="C61" s="115" t="s">
        <v>641</v>
      </c>
      <c r="D61" s="115">
        <v>4877.58</v>
      </c>
      <c r="E61" s="115">
        <v>0.6</v>
      </c>
      <c r="F61" s="115">
        <v>37.14</v>
      </c>
      <c r="G61" s="115">
        <v>21.71</v>
      </c>
      <c r="H61" s="115">
        <v>0.16</v>
      </c>
      <c r="I61" s="115">
        <v>1.8</v>
      </c>
      <c r="J61" s="115">
        <v>0.05</v>
      </c>
      <c r="K61" s="116">
        <v>36529</v>
      </c>
      <c r="L61" s="132" t="s">
        <v>463</v>
      </c>
      <c r="M61" s="99">
        <f t="shared" si="1"/>
        <v>8.2911100875172727E-2</v>
      </c>
    </row>
    <row r="62" spans="2:13" ht="17" customHeight="1" x14ac:dyDescent="0.2">
      <c r="B62" s="115" t="s">
        <v>642</v>
      </c>
      <c r="C62" s="115" t="s">
        <v>643</v>
      </c>
      <c r="D62" s="115">
        <v>5311.94</v>
      </c>
      <c r="E62" s="115">
        <v>1.1000000000000001</v>
      </c>
      <c r="F62" s="115">
        <v>36.11</v>
      </c>
      <c r="G62" s="115">
        <v>25.17</v>
      </c>
      <c r="H62" s="115">
        <v>0.14000000000000001</v>
      </c>
      <c r="I62" s="115">
        <v>2.67</v>
      </c>
      <c r="J62" s="115">
        <v>0.32</v>
      </c>
      <c r="K62" s="116">
        <v>36529</v>
      </c>
      <c r="L62" s="132" t="s">
        <v>463</v>
      </c>
      <c r="M62" s="99">
        <f t="shared" si="1"/>
        <v>0.10607866507747317</v>
      </c>
    </row>
    <row r="63" spans="2:13" ht="17" customHeight="1" x14ac:dyDescent="0.2">
      <c r="B63" s="115" t="s">
        <v>644</v>
      </c>
      <c r="C63" s="115" t="s">
        <v>645</v>
      </c>
      <c r="D63" s="115">
        <v>3953.41</v>
      </c>
      <c r="E63" s="115">
        <v>-0.44</v>
      </c>
      <c r="F63" s="115">
        <v>15.67</v>
      </c>
      <c r="G63" s="115">
        <v>9.57</v>
      </c>
      <c r="H63" s="115">
        <v>0.73</v>
      </c>
      <c r="I63" s="115">
        <v>1.26</v>
      </c>
      <c r="J63" s="115">
        <v>0.63</v>
      </c>
      <c r="K63" s="116">
        <v>40826</v>
      </c>
      <c r="L63" s="132" t="s">
        <v>463</v>
      </c>
      <c r="M63" s="99">
        <f t="shared" si="1"/>
        <v>0.13166144200626959</v>
      </c>
    </row>
    <row r="64" spans="2:13" ht="17" customHeight="1" x14ac:dyDescent="0.2">
      <c r="B64" s="115" t="s">
        <v>646</v>
      </c>
      <c r="C64" s="115" t="s">
        <v>647</v>
      </c>
      <c r="D64" s="115">
        <v>5806.86</v>
      </c>
      <c r="E64" s="115">
        <v>0.31</v>
      </c>
      <c r="F64" s="115">
        <v>36.29</v>
      </c>
      <c r="G64" s="115">
        <v>30.09</v>
      </c>
      <c r="H64" s="115">
        <v>0.44</v>
      </c>
      <c r="I64" s="115">
        <v>2.0299999999999998</v>
      </c>
      <c r="J64" s="115">
        <v>0.19</v>
      </c>
      <c r="K64" s="116">
        <v>36529</v>
      </c>
      <c r="L64" s="132" t="s">
        <v>463</v>
      </c>
      <c r="M64" s="99">
        <f t="shared" si="1"/>
        <v>6.7464273845131262E-2</v>
      </c>
    </row>
    <row r="65" spans="2:13" ht="17" customHeight="1" x14ac:dyDescent="0.2">
      <c r="B65" s="115" t="s">
        <v>648</v>
      </c>
      <c r="C65" s="115" t="s">
        <v>649</v>
      </c>
      <c r="D65" s="115">
        <v>3921.81</v>
      </c>
      <c r="E65" s="115">
        <v>0.37</v>
      </c>
      <c r="F65" s="115">
        <v>36.770000000000003</v>
      </c>
      <c r="G65" s="115">
        <v>39.42</v>
      </c>
      <c r="H65" s="115">
        <v>0.34</v>
      </c>
      <c r="I65" s="115">
        <v>2.58</v>
      </c>
      <c r="J65" s="115">
        <v>0.3</v>
      </c>
      <c r="K65" s="116">
        <v>36529</v>
      </c>
      <c r="L65" s="132" t="s">
        <v>463</v>
      </c>
      <c r="M65" s="99">
        <f t="shared" si="1"/>
        <v>6.5449010654490103E-2</v>
      </c>
    </row>
    <row r="66" spans="2:13" ht="17" customHeight="1" x14ac:dyDescent="0.2">
      <c r="B66" s="115" t="s">
        <v>650</v>
      </c>
      <c r="C66" s="115" t="s">
        <v>651</v>
      </c>
      <c r="D66" s="115">
        <v>7447.38</v>
      </c>
      <c r="E66" s="115">
        <v>-1</v>
      </c>
      <c r="F66" s="115">
        <v>25.74</v>
      </c>
      <c r="G66" s="115">
        <v>20.16</v>
      </c>
      <c r="H66" s="115">
        <v>0.08</v>
      </c>
      <c r="I66" s="115">
        <v>1.99</v>
      </c>
      <c r="J66" s="115">
        <v>0.05</v>
      </c>
      <c r="K66" s="116">
        <v>39042</v>
      </c>
      <c r="L66" s="132" t="s">
        <v>463</v>
      </c>
      <c r="M66" s="99">
        <f t="shared" ref="M66:M97" si="2">I66/G66</f>
        <v>9.8710317460317457E-2</v>
      </c>
    </row>
    <row r="67" spans="2:13" ht="17" customHeight="1" x14ac:dyDescent="0.2">
      <c r="B67" s="115" t="s">
        <v>652</v>
      </c>
      <c r="C67" s="115" t="s">
        <v>653</v>
      </c>
      <c r="D67" s="115" t="s">
        <v>627</v>
      </c>
      <c r="E67" s="115">
        <v>0</v>
      </c>
      <c r="F67" s="115">
        <v>0</v>
      </c>
      <c r="G67" s="115">
        <v>38.270000000000003</v>
      </c>
      <c r="H67" s="115">
        <v>0.35</v>
      </c>
      <c r="I67" s="115">
        <v>2.3199999999999998</v>
      </c>
      <c r="J67" s="115">
        <v>0.37</v>
      </c>
      <c r="K67" s="116">
        <v>42901</v>
      </c>
      <c r="L67" s="132" t="s">
        <v>463</v>
      </c>
      <c r="M67" s="99">
        <f t="shared" si="2"/>
        <v>6.0621897047295523E-2</v>
      </c>
    </row>
    <row r="68" spans="2:13" ht="17" customHeight="1" x14ac:dyDescent="0.2">
      <c r="B68" s="115" t="s">
        <v>654</v>
      </c>
      <c r="C68" s="115" t="s">
        <v>655</v>
      </c>
      <c r="D68" s="115">
        <v>5703.36</v>
      </c>
      <c r="E68" s="115">
        <v>1.33</v>
      </c>
      <c r="F68" s="115">
        <v>12.28</v>
      </c>
      <c r="G68" s="115">
        <v>30.25</v>
      </c>
      <c r="H68" s="115">
        <v>7.0000000000000007E-2</v>
      </c>
      <c r="I68" s="115">
        <v>4.09</v>
      </c>
      <c r="J68" s="115">
        <v>0.55000000000000004</v>
      </c>
      <c r="K68" s="116">
        <v>36529</v>
      </c>
      <c r="L68" s="132" t="s">
        <v>463</v>
      </c>
      <c r="M68" s="99">
        <f t="shared" si="2"/>
        <v>0.13520661157024794</v>
      </c>
    </row>
    <row r="69" spans="2:13" ht="17" customHeight="1" x14ac:dyDescent="0.2">
      <c r="B69" s="115" t="s">
        <v>656</v>
      </c>
      <c r="C69" s="115" t="s">
        <v>657</v>
      </c>
      <c r="D69" s="115">
        <v>8208.0300000000007</v>
      </c>
      <c r="E69" s="115">
        <v>1.38</v>
      </c>
      <c r="F69" s="115">
        <v>15.91</v>
      </c>
      <c r="G69" s="115">
        <v>25.21</v>
      </c>
      <c r="H69" s="115">
        <v>0.05</v>
      </c>
      <c r="I69" s="115">
        <v>2.5299999999999998</v>
      </c>
      <c r="J69" s="115">
        <v>0.02</v>
      </c>
      <c r="K69" s="116">
        <v>36529</v>
      </c>
      <c r="L69" s="132" t="s">
        <v>463</v>
      </c>
      <c r="M69" s="99">
        <f t="shared" si="2"/>
        <v>0.10035700119000396</v>
      </c>
    </row>
    <row r="70" spans="2:13" ht="17" customHeight="1" x14ac:dyDescent="0.2">
      <c r="B70" s="115" t="s">
        <v>658</v>
      </c>
      <c r="C70" s="115" t="s">
        <v>659</v>
      </c>
      <c r="D70" s="115">
        <v>3467.43</v>
      </c>
      <c r="E70" s="115">
        <v>0.33</v>
      </c>
      <c r="F70" s="115">
        <v>28.53</v>
      </c>
      <c r="G70" s="115">
        <v>28.25</v>
      </c>
      <c r="H70" s="115">
        <v>0.06</v>
      </c>
      <c r="I70" s="115">
        <v>2.19</v>
      </c>
      <c r="J70" s="115">
        <v>0.14000000000000001</v>
      </c>
      <c r="K70" s="116">
        <v>36529</v>
      </c>
      <c r="L70" s="132" t="s">
        <v>463</v>
      </c>
      <c r="M70" s="99">
        <f t="shared" si="2"/>
        <v>7.7522123893805306E-2</v>
      </c>
    </row>
    <row r="71" spans="2:13" ht="17" customHeight="1" x14ac:dyDescent="0.2">
      <c r="B71" s="115" t="s">
        <v>660</v>
      </c>
      <c r="C71" s="115" t="s">
        <v>661</v>
      </c>
      <c r="D71" s="115">
        <v>994.71</v>
      </c>
      <c r="E71" s="115">
        <v>3.62</v>
      </c>
      <c r="F71" s="115">
        <v>24.97</v>
      </c>
      <c r="G71" s="115">
        <v>82.59</v>
      </c>
      <c r="H71" s="115">
        <v>0.51</v>
      </c>
      <c r="I71" s="115">
        <v>4.82</v>
      </c>
      <c r="J71" s="115">
        <v>0.49</v>
      </c>
      <c r="K71" s="116">
        <v>36529</v>
      </c>
      <c r="L71" s="132" t="s">
        <v>463</v>
      </c>
      <c r="M71" s="99">
        <f t="shared" si="2"/>
        <v>5.8360576340961375E-2</v>
      </c>
    </row>
    <row r="72" spans="2:13" ht="17" customHeight="1" x14ac:dyDescent="0.2">
      <c r="B72" s="115" t="s">
        <v>662</v>
      </c>
      <c r="C72" s="115" t="s">
        <v>663</v>
      </c>
      <c r="D72" s="115">
        <v>1523.05</v>
      </c>
      <c r="E72" s="115">
        <v>1.26</v>
      </c>
      <c r="F72" s="115">
        <v>23.81</v>
      </c>
      <c r="G72" s="115">
        <v>21.79</v>
      </c>
      <c r="H72" s="115">
        <v>0.1</v>
      </c>
      <c r="I72" s="115">
        <v>1.9</v>
      </c>
      <c r="J72" s="115">
        <v>7.0000000000000007E-2</v>
      </c>
      <c r="K72" s="116">
        <v>36529</v>
      </c>
      <c r="L72" s="132" t="s">
        <v>463</v>
      </c>
      <c r="M72" s="99">
        <f t="shared" si="2"/>
        <v>8.7195961450206513E-2</v>
      </c>
    </row>
    <row r="73" spans="2:13" ht="17" customHeight="1" x14ac:dyDescent="0.2">
      <c r="B73" s="115" t="s">
        <v>664</v>
      </c>
      <c r="C73" s="115" t="s">
        <v>665</v>
      </c>
      <c r="D73" s="115">
        <v>3176.43</v>
      </c>
      <c r="E73" s="115">
        <v>0.28999999999999998</v>
      </c>
      <c r="F73" s="115">
        <v>21.45</v>
      </c>
      <c r="G73" s="115">
        <v>22.76</v>
      </c>
      <c r="H73" s="115">
        <v>0.1</v>
      </c>
      <c r="I73" s="115">
        <v>1.57</v>
      </c>
      <c r="J73" s="115">
        <v>0.03</v>
      </c>
      <c r="K73" s="116">
        <v>36529</v>
      </c>
      <c r="L73" s="132" t="s">
        <v>463</v>
      </c>
      <c r="M73" s="99">
        <f t="shared" si="2"/>
        <v>6.8980667838312831E-2</v>
      </c>
    </row>
    <row r="74" spans="2:13" ht="17" customHeight="1" x14ac:dyDescent="0.2">
      <c r="B74" s="115" t="s">
        <v>666</v>
      </c>
      <c r="C74" s="115" t="s">
        <v>667</v>
      </c>
      <c r="D74" s="115">
        <v>3698.34</v>
      </c>
      <c r="E74" s="115">
        <v>-1.1000000000000001</v>
      </c>
      <c r="F74" s="115">
        <v>26.45</v>
      </c>
      <c r="G74" s="115">
        <v>33.1</v>
      </c>
      <c r="H74" s="115">
        <v>0.28000000000000003</v>
      </c>
      <c r="I74" s="115">
        <v>2.15</v>
      </c>
      <c r="J74" s="115">
        <v>0.1</v>
      </c>
      <c r="K74" s="116">
        <v>36878</v>
      </c>
      <c r="L74" s="132" t="s">
        <v>463</v>
      </c>
      <c r="M74" s="99">
        <f t="shared" si="2"/>
        <v>6.4954682779456194E-2</v>
      </c>
    </row>
    <row r="75" spans="2:13" ht="17" customHeight="1" x14ac:dyDescent="0.2">
      <c r="B75" s="115" t="s">
        <v>668</v>
      </c>
      <c r="C75" s="115" t="s">
        <v>669</v>
      </c>
      <c r="D75" s="115">
        <v>2620.6799999999998</v>
      </c>
      <c r="E75" s="115">
        <v>-0.14000000000000001</v>
      </c>
      <c r="F75" s="115">
        <v>17</v>
      </c>
      <c r="G75" s="115">
        <v>23.36</v>
      </c>
      <c r="H75" s="115">
        <v>0.43</v>
      </c>
      <c r="I75" s="115">
        <v>1.59</v>
      </c>
      <c r="J75" s="115">
        <v>0.13</v>
      </c>
      <c r="K75" s="116">
        <v>36529</v>
      </c>
      <c r="L75" s="132" t="s">
        <v>463</v>
      </c>
      <c r="M75" s="99">
        <f t="shared" si="2"/>
        <v>6.8065068493150693E-2</v>
      </c>
    </row>
    <row r="76" spans="2:13" ht="17" customHeight="1" x14ac:dyDescent="0.2">
      <c r="B76" s="115" t="s">
        <v>670</v>
      </c>
      <c r="C76" s="115" t="s">
        <v>671</v>
      </c>
      <c r="D76" s="115">
        <v>5548.79</v>
      </c>
      <c r="E76" s="115">
        <v>-0.66</v>
      </c>
      <c r="F76" s="115">
        <v>26.83</v>
      </c>
      <c r="G76" s="115">
        <v>29.58</v>
      </c>
      <c r="H76" s="115">
        <v>0.08</v>
      </c>
      <c r="I76" s="115">
        <v>2.0699999999999998</v>
      </c>
      <c r="J76" s="115">
        <v>0.11</v>
      </c>
      <c r="K76" s="116">
        <v>36529</v>
      </c>
      <c r="L76" s="132" t="s">
        <v>463</v>
      </c>
      <c r="M76" s="99">
        <f t="shared" si="2"/>
        <v>6.9979716024340763E-2</v>
      </c>
    </row>
    <row r="77" spans="2:13" ht="17" customHeight="1" x14ac:dyDescent="0.2">
      <c r="B77" s="115" t="s">
        <v>672</v>
      </c>
      <c r="C77" s="115" t="s">
        <v>673</v>
      </c>
      <c r="D77" s="115">
        <v>7165.93</v>
      </c>
      <c r="E77" s="115">
        <v>-0.17</v>
      </c>
      <c r="F77" s="115">
        <v>38.14</v>
      </c>
      <c r="G77" s="115">
        <v>34.47</v>
      </c>
      <c r="H77" s="115">
        <v>0.3</v>
      </c>
      <c r="I77" s="115">
        <v>2.15</v>
      </c>
      <c r="J77" s="115">
        <v>0.09</v>
      </c>
      <c r="K77" s="116">
        <v>36529</v>
      </c>
      <c r="L77" s="132" t="s">
        <v>463</v>
      </c>
      <c r="M77" s="99">
        <f t="shared" si="2"/>
        <v>6.2373078038874381E-2</v>
      </c>
    </row>
    <row r="78" spans="2:13" ht="17" customHeight="1" x14ac:dyDescent="0.2">
      <c r="B78" s="115" t="s">
        <v>674</v>
      </c>
      <c r="C78" s="115" t="s">
        <v>675</v>
      </c>
      <c r="D78" s="115">
        <v>5534.56</v>
      </c>
      <c r="E78" s="115">
        <v>-2.23</v>
      </c>
      <c r="F78" s="115">
        <v>31.01</v>
      </c>
      <c r="G78" s="115">
        <v>27.82</v>
      </c>
      <c r="H78" s="115">
        <v>0.16</v>
      </c>
      <c r="I78" s="115">
        <v>1.76</v>
      </c>
      <c r="J78" s="115">
        <v>7.0000000000000007E-2</v>
      </c>
      <c r="K78" s="116">
        <v>36529</v>
      </c>
      <c r="L78" s="132" t="s">
        <v>463</v>
      </c>
      <c r="M78" s="99">
        <f t="shared" si="2"/>
        <v>6.3263838964773542E-2</v>
      </c>
    </row>
    <row r="79" spans="2:13" ht="17" customHeight="1" x14ac:dyDescent="0.2">
      <c r="B79" s="115" t="s">
        <v>676</v>
      </c>
      <c r="C79" s="115" t="s">
        <v>677</v>
      </c>
      <c r="D79" s="115">
        <v>4542.3</v>
      </c>
      <c r="E79" s="115">
        <v>-0.8</v>
      </c>
      <c r="F79" s="115">
        <v>32.69</v>
      </c>
      <c r="G79" s="115">
        <v>22.55</v>
      </c>
      <c r="H79" s="115">
        <v>0.05</v>
      </c>
      <c r="I79" s="115">
        <v>2.33</v>
      </c>
      <c r="J79" s="115">
        <v>0.14000000000000001</v>
      </c>
      <c r="K79" s="116">
        <v>36529</v>
      </c>
      <c r="L79" s="132" t="s">
        <v>463</v>
      </c>
      <c r="M79" s="99">
        <f t="shared" si="2"/>
        <v>0.1033259423503326</v>
      </c>
    </row>
    <row r="80" spans="2:13" ht="17" customHeight="1" x14ac:dyDescent="0.2">
      <c r="B80" s="115" t="s">
        <v>678</v>
      </c>
      <c r="C80" s="115" t="s">
        <v>679</v>
      </c>
      <c r="D80" s="115">
        <v>2304.4499999999998</v>
      </c>
      <c r="E80" s="115">
        <v>0.94</v>
      </c>
      <c r="F80" s="115">
        <v>37.22</v>
      </c>
      <c r="G80" s="115">
        <v>34.090000000000003</v>
      </c>
      <c r="H80" s="115">
        <v>0.16</v>
      </c>
      <c r="I80" s="115">
        <v>1.76</v>
      </c>
      <c r="J80" s="115">
        <v>0.09</v>
      </c>
      <c r="K80" s="116">
        <v>36529</v>
      </c>
      <c r="L80" s="132" t="s">
        <v>463</v>
      </c>
      <c r="M80" s="99">
        <f t="shared" si="2"/>
        <v>5.1628043414491051E-2</v>
      </c>
    </row>
    <row r="81" spans="2:13" ht="17" customHeight="1" x14ac:dyDescent="0.2">
      <c r="B81" s="115" t="s">
        <v>680</v>
      </c>
      <c r="C81" s="115" t="s">
        <v>681</v>
      </c>
      <c r="D81" s="115">
        <v>3536.02</v>
      </c>
      <c r="E81" s="115">
        <v>0.32</v>
      </c>
      <c r="F81" s="115">
        <v>24.26</v>
      </c>
      <c r="G81" s="115">
        <v>19.22</v>
      </c>
      <c r="H81" s="115">
        <v>0.06</v>
      </c>
      <c r="I81" s="115">
        <v>1.67</v>
      </c>
      <c r="J81" s="115">
        <v>0.13</v>
      </c>
      <c r="K81" s="116">
        <v>36529</v>
      </c>
      <c r="L81" s="132" t="s">
        <v>463</v>
      </c>
      <c r="M81" s="99">
        <f t="shared" si="2"/>
        <v>8.6888657648283046E-2</v>
      </c>
    </row>
    <row r="82" spans="2:13" ht="17" customHeight="1" x14ac:dyDescent="0.2">
      <c r="B82" s="115" t="s">
        <v>682</v>
      </c>
      <c r="C82" s="115" t="s">
        <v>683</v>
      </c>
      <c r="D82" s="115">
        <v>3332.31</v>
      </c>
      <c r="E82" s="115">
        <v>0.78</v>
      </c>
      <c r="F82" s="115">
        <v>19.25</v>
      </c>
      <c r="G82" s="115">
        <v>21.54</v>
      </c>
      <c r="H82" s="115">
        <v>0.13</v>
      </c>
      <c r="I82" s="115">
        <v>1.97</v>
      </c>
      <c r="J82" s="115">
        <v>0.17</v>
      </c>
      <c r="K82" s="116">
        <v>36529</v>
      </c>
      <c r="L82" s="132" t="s">
        <v>463</v>
      </c>
      <c r="M82" s="99">
        <f t="shared" si="2"/>
        <v>9.1457753017641599E-2</v>
      </c>
    </row>
    <row r="83" spans="2:13" ht="17" customHeight="1" x14ac:dyDescent="0.2">
      <c r="B83" s="115" t="s">
        <v>684</v>
      </c>
      <c r="C83" s="115" t="s">
        <v>685</v>
      </c>
      <c r="D83" s="115">
        <v>2501.29</v>
      </c>
      <c r="E83" s="115">
        <v>-0.59</v>
      </c>
      <c r="F83" s="115">
        <v>21.19</v>
      </c>
      <c r="G83" s="115">
        <v>11.88</v>
      </c>
      <c r="H83" s="115">
        <v>0.08</v>
      </c>
      <c r="I83" s="115">
        <v>1.28</v>
      </c>
      <c r="J83" s="115">
        <v>0.02</v>
      </c>
      <c r="K83" s="116">
        <v>36529</v>
      </c>
      <c r="L83" s="132" t="s">
        <v>463</v>
      </c>
      <c r="M83" s="99">
        <f t="shared" si="2"/>
        <v>0.10774410774410774</v>
      </c>
    </row>
    <row r="84" spans="2:13" ht="17" customHeight="1" x14ac:dyDescent="0.2">
      <c r="B84" s="115" t="s">
        <v>686</v>
      </c>
      <c r="C84" s="115" t="s">
        <v>687</v>
      </c>
      <c r="D84" s="115">
        <v>4023.08</v>
      </c>
      <c r="E84" s="115">
        <v>-0.18</v>
      </c>
      <c r="F84" s="115">
        <v>28.74</v>
      </c>
      <c r="G84" s="115">
        <v>17.350000000000001</v>
      </c>
      <c r="H84" s="115">
        <v>7.0000000000000007E-2</v>
      </c>
      <c r="I84" s="115">
        <v>2.08</v>
      </c>
      <c r="J84" s="115">
        <v>0.1</v>
      </c>
      <c r="K84" s="116">
        <v>36529</v>
      </c>
      <c r="L84" s="132" t="s">
        <v>463</v>
      </c>
      <c r="M84" s="99">
        <f t="shared" si="2"/>
        <v>0.11988472622478386</v>
      </c>
    </row>
    <row r="85" spans="2:13" ht="17" customHeight="1" x14ac:dyDescent="0.2">
      <c r="B85" s="115" t="s">
        <v>688</v>
      </c>
      <c r="C85" s="115" t="s">
        <v>689</v>
      </c>
      <c r="D85" s="115">
        <v>2345.98</v>
      </c>
      <c r="E85" s="115">
        <v>7.0000000000000007E-2</v>
      </c>
      <c r="F85" s="115">
        <v>35.01</v>
      </c>
      <c r="G85" s="115">
        <v>15.04</v>
      </c>
      <c r="H85" s="115">
        <v>0.04</v>
      </c>
      <c r="I85" s="115">
        <v>1.69</v>
      </c>
      <c r="J85" s="115">
        <v>0.19</v>
      </c>
      <c r="K85" s="116">
        <v>36529</v>
      </c>
      <c r="L85" s="132" t="s">
        <v>463</v>
      </c>
      <c r="M85" s="99">
        <f t="shared" si="2"/>
        <v>0.11236702127659574</v>
      </c>
    </row>
    <row r="86" spans="2:13" ht="17" customHeight="1" x14ac:dyDescent="0.2">
      <c r="B86" s="115" t="s">
        <v>690</v>
      </c>
      <c r="C86" s="115" t="s">
        <v>691</v>
      </c>
      <c r="D86" s="115">
        <v>3152.12</v>
      </c>
      <c r="E86" s="115">
        <v>-0.33</v>
      </c>
      <c r="F86" s="115">
        <v>30.49</v>
      </c>
      <c r="G86" s="115">
        <v>20.260000000000002</v>
      </c>
      <c r="H86" s="115">
        <v>0.02</v>
      </c>
      <c r="I86" s="115">
        <v>2.17</v>
      </c>
      <c r="J86" s="115">
        <v>0.3</v>
      </c>
      <c r="K86" s="116">
        <v>36529</v>
      </c>
      <c r="L86" s="132" t="s">
        <v>463</v>
      </c>
      <c r="M86" s="99">
        <f t="shared" si="2"/>
        <v>0.10710760118460018</v>
      </c>
    </row>
    <row r="87" spans="2:13" ht="17" customHeight="1" x14ac:dyDescent="0.2">
      <c r="B87" s="115" t="s">
        <v>692</v>
      </c>
      <c r="C87" s="115" t="s">
        <v>693</v>
      </c>
      <c r="D87" s="115">
        <v>1238.1500000000001</v>
      </c>
      <c r="E87" s="115">
        <v>0.28999999999999998</v>
      </c>
      <c r="F87" s="115">
        <v>29.2</v>
      </c>
      <c r="G87" s="115">
        <v>32.18</v>
      </c>
      <c r="H87" s="115">
        <v>0.44</v>
      </c>
      <c r="I87" s="115">
        <v>1.64</v>
      </c>
      <c r="J87" s="115">
        <v>0.11</v>
      </c>
      <c r="K87" s="116">
        <v>36529</v>
      </c>
      <c r="L87" s="132" t="s">
        <v>463</v>
      </c>
      <c r="M87" s="99">
        <f t="shared" si="2"/>
        <v>5.09633312616532E-2</v>
      </c>
    </row>
    <row r="88" spans="2:13" ht="17" customHeight="1" x14ac:dyDescent="0.2">
      <c r="B88" s="115" t="s">
        <v>694</v>
      </c>
      <c r="C88" s="115" t="s">
        <v>695</v>
      </c>
      <c r="D88" s="115">
        <v>8345.08</v>
      </c>
      <c r="E88" s="115">
        <v>-2.0299999999999998</v>
      </c>
      <c r="F88" s="115">
        <v>33.25</v>
      </c>
      <c r="G88" s="115">
        <v>37.979999999999997</v>
      </c>
      <c r="H88" s="115">
        <v>0.26</v>
      </c>
      <c r="I88" s="115">
        <v>3.56</v>
      </c>
      <c r="J88" s="115">
        <v>0.28000000000000003</v>
      </c>
      <c r="K88" s="116">
        <v>36529</v>
      </c>
      <c r="L88" s="132" t="s">
        <v>463</v>
      </c>
      <c r="M88" s="99">
        <f t="shared" si="2"/>
        <v>9.3733543970510799E-2</v>
      </c>
    </row>
    <row r="89" spans="2:13" ht="17" customHeight="1" x14ac:dyDescent="0.2">
      <c r="B89" s="115" t="s">
        <v>696</v>
      </c>
      <c r="C89" s="115" t="s">
        <v>697</v>
      </c>
      <c r="D89" s="115">
        <v>5841.62</v>
      </c>
      <c r="E89" s="115">
        <v>-0.97</v>
      </c>
      <c r="F89" s="115">
        <v>4.51</v>
      </c>
      <c r="G89" s="115">
        <v>33.479999999999997</v>
      </c>
      <c r="H89" s="115">
        <v>0.35</v>
      </c>
      <c r="I89" s="115">
        <v>2.61</v>
      </c>
      <c r="J89" s="115">
        <v>0.11</v>
      </c>
      <c r="K89" s="116">
        <v>39265</v>
      </c>
      <c r="L89" s="132" t="s">
        <v>463</v>
      </c>
      <c r="M89" s="99">
        <f t="shared" si="2"/>
        <v>7.7956989247311828E-2</v>
      </c>
    </row>
    <row r="90" spans="2:13" ht="17" customHeight="1" x14ac:dyDescent="0.2">
      <c r="B90" s="115" t="s">
        <v>698</v>
      </c>
      <c r="C90" s="115" t="s">
        <v>699</v>
      </c>
      <c r="D90" s="115">
        <v>4317.8100000000004</v>
      </c>
      <c r="E90" s="115">
        <v>-1</v>
      </c>
      <c r="F90" s="115">
        <v>38.409999999999997</v>
      </c>
      <c r="G90" s="115">
        <v>19.87</v>
      </c>
      <c r="H90" s="115">
        <v>0.03</v>
      </c>
      <c r="I90" s="115">
        <v>2.71</v>
      </c>
      <c r="J90" s="115">
        <v>0.18</v>
      </c>
      <c r="K90" s="116">
        <v>36529</v>
      </c>
      <c r="L90" s="132" t="s">
        <v>463</v>
      </c>
      <c r="M90" s="99">
        <f t="shared" si="2"/>
        <v>0.13638651233014595</v>
      </c>
    </row>
    <row r="91" spans="2:13" ht="17" customHeight="1" x14ac:dyDescent="0.2">
      <c r="B91" s="115" t="s">
        <v>700</v>
      </c>
      <c r="C91" s="115" t="s">
        <v>701</v>
      </c>
      <c r="D91" s="115">
        <v>2777.63</v>
      </c>
      <c r="E91" s="115">
        <v>0.11</v>
      </c>
      <c r="F91" s="115">
        <v>24.13</v>
      </c>
      <c r="G91" s="115">
        <v>11.68</v>
      </c>
      <c r="H91" s="115">
        <v>0.11</v>
      </c>
      <c r="I91" s="115">
        <v>1.25</v>
      </c>
      <c r="J91" s="115">
        <v>7.0000000000000007E-2</v>
      </c>
      <c r="K91" s="116">
        <v>36529</v>
      </c>
      <c r="L91" s="132" t="s">
        <v>463</v>
      </c>
      <c r="M91" s="99">
        <f t="shared" si="2"/>
        <v>0.10702054794520548</v>
      </c>
    </row>
    <row r="92" spans="2:13" ht="17" customHeight="1" x14ac:dyDescent="0.2">
      <c r="B92" s="115" t="s">
        <v>702</v>
      </c>
      <c r="C92" s="115" t="s">
        <v>703</v>
      </c>
      <c r="D92" s="115">
        <v>368.74</v>
      </c>
      <c r="E92" s="115">
        <v>-0.99</v>
      </c>
      <c r="F92" s="115">
        <v>16.04</v>
      </c>
      <c r="G92" s="115">
        <v>28.64</v>
      </c>
      <c r="H92" s="115">
        <v>0.75</v>
      </c>
      <c r="I92" s="115">
        <v>1.24</v>
      </c>
      <c r="J92" s="115">
        <v>0.06</v>
      </c>
      <c r="K92" s="116">
        <v>36529</v>
      </c>
      <c r="L92" s="132" t="s">
        <v>463</v>
      </c>
      <c r="M92" s="99">
        <f t="shared" si="2"/>
        <v>4.3296089385474856E-2</v>
      </c>
    </row>
    <row r="93" spans="2:13" ht="17" customHeight="1" x14ac:dyDescent="0.2">
      <c r="B93" s="115" t="s">
        <v>704</v>
      </c>
      <c r="C93" s="115" t="s">
        <v>705</v>
      </c>
      <c r="D93" s="115">
        <v>4673.2700000000004</v>
      </c>
      <c r="E93" s="115">
        <v>-0.69</v>
      </c>
      <c r="F93" s="115">
        <v>27.29</v>
      </c>
      <c r="G93" s="115">
        <v>114.95</v>
      </c>
      <c r="H93" s="115">
        <v>0.98</v>
      </c>
      <c r="I93" s="115">
        <v>1.54</v>
      </c>
      <c r="J93" s="115">
        <v>0.03</v>
      </c>
      <c r="K93" s="116">
        <v>37313</v>
      </c>
      <c r="L93" s="132" t="s">
        <v>463</v>
      </c>
      <c r="M93" s="99">
        <f t="shared" si="2"/>
        <v>1.3397129186602871E-2</v>
      </c>
    </row>
    <row r="94" spans="2:13" ht="17" customHeight="1" x14ac:dyDescent="0.2">
      <c r="B94" s="115" t="s">
        <v>706</v>
      </c>
      <c r="C94" s="115" t="s">
        <v>707</v>
      </c>
      <c r="D94" s="115">
        <v>3688.85</v>
      </c>
      <c r="E94" s="115">
        <v>-0.16</v>
      </c>
      <c r="F94" s="115">
        <v>30.31</v>
      </c>
      <c r="G94" s="115">
        <v>23.14</v>
      </c>
      <c r="H94" s="115">
        <v>0.24</v>
      </c>
      <c r="I94" s="115">
        <v>1.73</v>
      </c>
      <c r="J94" s="115">
        <v>0.13</v>
      </c>
      <c r="K94" s="116">
        <v>39624</v>
      </c>
      <c r="L94" s="132" t="s">
        <v>463</v>
      </c>
      <c r="M94" s="99">
        <f t="shared" si="2"/>
        <v>7.4762316335350035E-2</v>
      </c>
    </row>
    <row r="95" spans="2:13" ht="17" customHeight="1" x14ac:dyDescent="0.2">
      <c r="B95" s="115" t="s">
        <v>708</v>
      </c>
      <c r="C95" s="115" t="s">
        <v>709</v>
      </c>
      <c r="D95" s="115">
        <v>2949.35</v>
      </c>
      <c r="E95" s="115">
        <v>-0.23</v>
      </c>
      <c r="F95" s="115">
        <v>25.28</v>
      </c>
      <c r="G95" s="115">
        <v>7.51</v>
      </c>
      <c r="H95" s="115">
        <v>0.1</v>
      </c>
      <c r="I95" s="115">
        <v>1.28</v>
      </c>
      <c r="J95" s="115">
        <v>0.3</v>
      </c>
      <c r="K95" s="116">
        <v>36529</v>
      </c>
      <c r="L95" s="132" t="s">
        <v>463</v>
      </c>
      <c r="M95" s="99">
        <f t="shared" si="2"/>
        <v>0.17043941411451399</v>
      </c>
    </row>
    <row r="96" spans="2:13" ht="17" customHeight="1" x14ac:dyDescent="0.2">
      <c r="B96" s="115" t="s">
        <v>710</v>
      </c>
      <c r="C96" s="115" t="s">
        <v>711</v>
      </c>
      <c r="D96" s="115">
        <v>881.45</v>
      </c>
      <c r="E96" s="115">
        <v>0.4</v>
      </c>
      <c r="F96" s="115">
        <v>29.02</v>
      </c>
      <c r="G96" s="115">
        <v>22.93</v>
      </c>
      <c r="H96" s="115">
        <v>0.05</v>
      </c>
      <c r="I96" s="115">
        <v>2.83</v>
      </c>
      <c r="J96" s="115">
        <v>0.27</v>
      </c>
      <c r="K96" s="116">
        <v>36529</v>
      </c>
      <c r="L96" s="132" t="s">
        <v>463</v>
      </c>
      <c r="M96" s="99">
        <f t="shared" si="2"/>
        <v>0.12341910161360663</v>
      </c>
    </row>
    <row r="97" spans="2:13" ht="17" customHeight="1" x14ac:dyDescent="0.2">
      <c r="B97" s="115" t="s">
        <v>712</v>
      </c>
      <c r="C97" s="115" t="s">
        <v>713</v>
      </c>
      <c r="D97" s="115" t="s">
        <v>627</v>
      </c>
      <c r="E97" s="115">
        <v>0</v>
      </c>
      <c r="F97" s="115">
        <v>0</v>
      </c>
      <c r="G97" s="115">
        <v>57.79</v>
      </c>
      <c r="H97" s="115">
        <v>0.42</v>
      </c>
      <c r="I97" s="115">
        <v>4.2699999999999996</v>
      </c>
      <c r="J97" s="115">
        <v>0.48</v>
      </c>
      <c r="K97" s="116">
        <v>43216</v>
      </c>
      <c r="L97" s="132" t="s">
        <v>463</v>
      </c>
      <c r="M97" s="99">
        <f t="shared" si="2"/>
        <v>7.3888215954317354E-2</v>
      </c>
    </row>
    <row r="98" spans="2:13" ht="17" customHeight="1" x14ac:dyDescent="0.2">
      <c r="B98" s="115" t="s">
        <v>714</v>
      </c>
      <c r="C98" s="115" t="s">
        <v>715</v>
      </c>
      <c r="D98" s="115">
        <v>2809.45</v>
      </c>
      <c r="E98" s="115">
        <v>0.41</v>
      </c>
      <c r="F98" s="115">
        <v>30.66</v>
      </c>
      <c r="G98" s="115">
        <v>29.92</v>
      </c>
      <c r="H98" s="115">
        <v>0.33</v>
      </c>
      <c r="I98" s="115">
        <v>2.61</v>
      </c>
      <c r="J98" s="115">
        <v>0.37</v>
      </c>
      <c r="K98" s="116">
        <v>36529</v>
      </c>
      <c r="L98" s="132" t="s">
        <v>463</v>
      </c>
      <c r="M98" s="99">
        <f t="shared" ref="M98:M105" si="3">I98/G98</f>
        <v>8.7232620320855603E-2</v>
      </c>
    </row>
    <row r="99" spans="2:13" ht="17" customHeight="1" x14ac:dyDescent="0.2">
      <c r="B99" s="115" t="s">
        <v>716</v>
      </c>
      <c r="C99" s="115" t="s">
        <v>717</v>
      </c>
      <c r="D99" s="115">
        <v>2159.1999999999998</v>
      </c>
      <c r="E99" s="115">
        <v>-0.4</v>
      </c>
      <c r="F99" s="115">
        <v>26.07</v>
      </c>
      <c r="G99" s="115">
        <v>29.41</v>
      </c>
      <c r="H99" s="115">
        <v>0.11</v>
      </c>
      <c r="I99" s="115">
        <v>2.12</v>
      </c>
      <c r="J99" s="115">
        <v>0.14000000000000001</v>
      </c>
      <c r="K99" s="116">
        <v>36529</v>
      </c>
      <c r="L99" s="132" t="s">
        <v>463</v>
      </c>
      <c r="M99" s="99">
        <f t="shared" si="3"/>
        <v>7.2084325059503573E-2</v>
      </c>
    </row>
    <row r="100" spans="2:13" ht="17" customHeight="1" x14ac:dyDescent="0.2">
      <c r="B100" s="115" t="s">
        <v>718</v>
      </c>
      <c r="C100" s="115" t="s">
        <v>719</v>
      </c>
      <c r="D100" s="115">
        <v>2220.86</v>
      </c>
      <c r="E100" s="115">
        <v>0.16</v>
      </c>
      <c r="F100" s="115">
        <v>24.5</v>
      </c>
      <c r="G100" s="115">
        <v>10.34</v>
      </c>
      <c r="H100" s="115">
        <v>0.03</v>
      </c>
      <c r="I100" s="115">
        <v>1.33</v>
      </c>
      <c r="J100" s="115">
        <v>0.13</v>
      </c>
      <c r="K100" s="116">
        <v>36529</v>
      </c>
      <c r="L100" s="132" t="s">
        <v>463</v>
      </c>
      <c r="M100" s="99">
        <f t="shared" si="3"/>
        <v>0.1286266924564797</v>
      </c>
    </row>
    <row r="101" spans="2:13" ht="17" customHeight="1" x14ac:dyDescent="0.2">
      <c r="B101" s="115" t="s">
        <v>720</v>
      </c>
      <c r="C101" s="115" t="s">
        <v>721</v>
      </c>
      <c r="D101" s="115">
        <v>1553.77</v>
      </c>
      <c r="E101" s="115">
        <v>1.17</v>
      </c>
      <c r="F101" s="115">
        <v>34.35</v>
      </c>
      <c r="G101" s="115">
        <v>14.02</v>
      </c>
      <c r="H101" s="115">
        <v>0.34</v>
      </c>
      <c r="I101" s="115">
        <v>2.4</v>
      </c>
      <c r="J101" s="115">
        <v>0.48</v>
      </c>
      <c r="K101" s="116">
        <v>39099</v>
      </c>
      <c r="L101" s="132" t="s">
        <v>463</v>
      </c>
      <c r="M101" s="99">
        <f t="shared" si="3"/>
        <v>0.17118402282453637</v>
      </c>
    </row>
    <row r="102" spans="2:13" ht="17" customHeight="1" x14ac:dyDescent="0.2">
      <c r="B102" s="115" t="s">
        <v>722</v>
      </c>
      <c r="C102" s="115" t="s">
        <v>723</v>
      </c>
      <c r="D102" s="115">
        <v>6571.91</v>
      </c>
      <c r="E102" s="115">
        <v>1.49</v>
      </c>
      <c r="F102" s="115">
        <v>49.41</v>
      </c>
      <c r="G102" s="115">
        <v>37.159999999999997</v>
      </c>
      <c r="H102" s="115">
        <v>0.56999999999999995</v>
      </c>
      <c r="I102" s="115">
        <v>1.87</v>
      </c>
      <c r="J102" s="115">
        <v>0.21</v>
      </c>
      <c r="K102" s="116">
        <v>36529</v>
      </c>
      <c r="L102" s="132" t="s">
        <v>463</v>
      </c>
      <c r="M102" s="99">
        <f t="shared" si="3"/>
        <v>5.0322927879440267E-2</v>
      </c>
    </row>
    <row r="103" spans="2:13" ht="17" customHeight="1" x14ac:dyDescent="0.2">
      <c r="B103" s="115" t="s">
        <v>724</v>
      </c>
      <c r="C103" s="115" t="s">
        <v>725</v>
      </c>
      <c r="D103" s="115">
        <v>3656.35</v>
      </c>
      <c r="E103" s="115">
        <v>0.18</v>
      </c>
      <c r="F103" s="115">
        <v>17.59</v>
      </c>
      <c r="G103" s="115">
        <v>7.15</v>
      </c>
      <c r="H103" s="115">
        <v>0.32</v>
      </c>
      <c r="I103" s="115">
        <v>0.89</v>
      </c>
      <c r="J103" s="115">
        <v>0.06</v>
      </c>
      <c r="K103" s="116">
        <v>36529</v>
      </c>
      <c r="L103" s="132" t="s">
        <v>463</v>
      </c>
      <c r="M103" s="99">
        <f t="shared" si="3"/>
        <v>0.12447552447552447</v>
      </c>
    </row>
    <row r="104" spans="2:13" ht="17" customHeight="1" x14ac:dyDescent="0.2">
      <c r="B104" s="115" t="s">
        <v>726</v>
      </c>
      <c r="C104" s="115" t="s">
        <v>727</v>
      </c>
      <c r="D104" s="115">
        <v>2093.92</v>
      </c>
      <c r="E104" s="115">
        <v>2.88</v>
      </c>
      <c r="F104" s="115">
        <v>44.14</v>
      </c>
      <c r="G104" s="115">
        <v>25.83</v>
      </c>
      <c r="H104" s="115">
        <v>0.13</v>
      </c>
      <c r="I104" s="115">
        <v>2.4</v>
      </c>
      <c r="J104" s="115">
        <v>0.13</v>
      </c>
      <c r="K104" s="116">
        <v>36529</v>
      </c>
      <c r="L104" s="132" t="s">
        <v>463</v>
      </c>
      <c r="M104" s="99">
        <f t="shared" si="3"/>
        <v>9.2915214866434379E-2</v>
      </c>
    </row>
    <row r="105" spans="2:13" ht="17" customHeight="1" x14ac:dyDescent="0.2">
      <c r="B105" s="115" t="s">
        <v>728</v>
      </c>
      <c r="C105" s="115" t="s">
        <v>729</v>
      </c>
      <c r="D105" s="115">
        <v>3232.14</v>
      </c>
      <c r="E105" s="115">
        <v>-0.95</v>
      </c>
      <c r="F105" s="115">
        <v>38.61</v>
      </c>
      <c r="G105" s="115">
        <v>40.81</v>
      </c>
      <c r="H105" s="115">
        <v>0.05</v>
      </c>
      <c r="I105" s="115">
        <v>3.35</v>
      </c>
      <c r="J105" s="115">
        <v>0.25</v>
      </c>
      <c r="K105" s="116">
        <v>36529</v>
      </c>
      <c r="L105" s="132" t="s">
        <v>463</v>
      </c>
      <c r="M105" s="99">
        <f t="shared" si="3"/>
        <v>8.2087723597157561E-2</v>
      </c>
    </row>
  </sheetData>
  <autoFilter ref="J1:J105" xr:uid="{00000000-0009-0000-0000-000006000000}"/>
  <conditionalFormatting sqref="H106:H1048576">
    <cfRule type="dataBar" priority="3">
      <dataBar>
        <cfvo type="min"/>
        <cfvo type="max"/>
        <color rgb="FF638EC6"/>
      </dataBar>
    </cfRule>
  </conditionalFormatting>
  <conditionalFormatting sqref="J106:J1048576">
    <cfRule type="dataBar" priority="2">
      <dataBar>
        <cfvo type="min"/>
        <cfvo type="max"/>
        <color rgb="FF638EC6"/>
      </dataBar>
    </cfRule>
  </conditionalFormatting>
  <conditionalFormatting sqref="M2:M105">
    <cfRule type="dataBar" priority="1">
      <dataBar>
        <cfvo type="min"/>
        <cfvo type="max"/>
        <color rgb="FF638EC6"/>
      </dataBar>
    </cfRule>
  </conditionalFormatting>
  <hyperlinks>
    <hyperlink ref="L2" r:id="rId1" display="http://discuss.jiucaishuo.com/?/invest/showData/search_gu-si801761" xr:uid="{00000000-0004-0000-0600-000000000000}"/>
    <hyperlink ref="L3" r:id="rId2" display="http://discuss.jiucaishuo.com/?/invest/showData/search_gu-si801752" xr:uid="{00000000-0004-0000-0600-000001000000}"/>
    <hyperlink ref="L4" r:id="rId3" display="http://discuss.jiucaishuo.com/?/invest/showData/search_gu-si801751" xr:uid="{00000000-0004-0000-0600-000002000000}"/>
    <hyperlink ref="L5" r:id="rId4" display="http://discuss.jiucaishuo.com/?/invest/showData/search_gu-si801085" xr:uid="{00000000-0004-0000-0600-000003000000}"/>
    <hyperlink ref="L6" r:id="rId5" display="http://discuss.jiucaishuo.com/?/invest/showData/search_gu-si801084" xr:uid="{00000000-0004-0000-0600-000004000000}"/>
    <hyperlink ref="L7" r:id="rId6" display="http://discuss.jiucaishuo.com/?/invest/showData/search_gu-si801083" xr:uid="{00000000-0004-0000-0600-000005000000}"/>
    <hyperlink ref="L8" r:id="rId7" display="http://discuss.jiucaishuo.com/?/invest/showData/search_gu-si801082" xr:uid="{00000000-0004-0000-0600-000006000000}"/>
    <hyperlink ref="L9" r:id="rId8" display="http://discuss.jiucaishuo.com/?/invest/showData/search_gu-si801081" xr:uid="{00000000-0004-0000-0600-000007000000}"/>
    <hyperlink ref="L10" r:id="rId9" display="http://discuss.jiucaishuo.com/?/invest/showData/search_gu-si801222" xr:uid="{00000000-0004-0000-0600-000008000000}"/>
    <hyperlink ref="L11" r:id="rId10" display="http://discuss.jiucaishuo.com/?/invest/showData/search_gu-si801101" xr:uid="{00000000-0004-0000-0600-000009000000}"/>
    <hyperlink ref="L12" r:id="rId11" display="http://discuss.jiucaishuo.com/?/invest/showData/search_gu-si801223" xr:uid="{00000000-0004-0000-0600-00000A000000}"/>
    <hyperlink ref="L13" r:id="rId12" display="http://discuss.jiucaishuo.com/?/invest/showData/search_gu-si801102" xr:uid="{00000000-0004-0000-0600-00000B000000}"/>
    <hyperlink ref="L14" r:id="rId13" display="http://discuss.jiucaishuo.com/?/invest/showData/search_gu-si801881" xr:uid="{00000000-0004-0000-0600-00000C000000}"/>
    <hyperlink ref="L15" r:id="rId14" display="http://discuss.jiucaishuo.com/?/invest/showData/search_gu-si801172" xr:uid="{00000000-0004-0000-0600-00000D000000}"/>
    <hyperlink ref="L16" r:id="rId15" display="http://discuss.jiucaishuo.com/?/invest/showData/search_gu-si801174" xr:uid="{00000000-0004-0000-0600-00000E000000}"/>
    <hyperlink ref="L17" r:id="rId16" display="http://discuss.jiucaishuo.com/?/invest/showData/search_gu-si801171" xr:uid="{00000000-0004-0000-0600-00000F000000}"/>
    <hyperlink ref="L18" r:id="rId17" display="http://discuss.jiucaishuo.com/?/invest/showData/search_gu-si801178" xr:uid="{00000000-0004-0000-0600-000010000000}"/>
    <hyperlink ref="L19" r:id="rId18" display="http://discuss.jiucaishuo.com/?/invest/showData/search_gu-si801173" xr:uid="{00000000-0004-0000-0600-000011000000}"/>
    <hyperlink ref="L20" r:id="rId19" display="http://discuss.jiucaishuo.com/?/invest/showData/search_gu-si801176" xr:uid="{00000000-0004-0000-0600-000012000000}"/>
    <hyperlink ref="L21" r:id="rId20" display="http://discuss.jiucaishuo.com/?/invest/showData/search_gu-si801076" xr:uid="{00000000-0004-0000-0600-000013000000}"/>
    <hyperlink ref="L22" r:id="rId21" display="http://discuss.jiucaishuo.com/?/invest/showData/search_gu-si801177" xr:uid="{00000000-0004-0000-0600-000014000000}"/>
    <hyperlink ref="L23" r:id="rId22" display="http://discuss.jiucaishuo.com/?/invest/showData/search_gu-si801175" xr:uid="{00000000-0004-0000-0600-000015000000}"/>
    <hyperlink ref="L24" r:id="rId23" display="http://discuss.jiucaishuo.com/?/invest/showData/search_gu-si801743" xr:uid="{00000000-0004-0000-0600-000016000000}"/>
    <hyperlink ref="L25" r:id="rId24" display="http://discuss.jiucaishuo.com/?/invest/showData/search_gu-si801742" xr:uid="{00000000-0004-0000-0600-000017000000}"/>
    <hyperlink ref="L26" r:id="rId25" display="http://discuss.jiucaishuo.com/?/invest/showData/search_gu-si801741" xr:uid="{00000000-0004-0000-0600-000018000000}"/>
    <hyperlink ref="L27" r:id="rId26" display="http://discuss.jiucaishuo.com/?/invest/showData/search_gu-si801744" xr:uid="{00000000-0004-0000-0600-000019000000}"/>
    <hyperlink ref="L28" r:id="rId27" display="http://discuss.jiucaishuo.com/?/invest/showData/search_gu-si801155" xr:uid="{00000000-0004-0000-0600-00001A000000}"/>
    <hyperlink ref="L29" r:id="rId28" display="http://discuss.jiucaishuo.com/?/invest/showData/search_gu-si801156" xr:uid="{00000000-0004-0000-0600-00001B000000}"/>
    <hyperlink ref="L30" r:id="rId29" display="http://discuss.jiucaishuo.com/?/invest/showData/search_gu-si801153" xr:uid="{00000000-0004-0000-0600-00001C000000}"/>
    <hyperlink ref="L31" r:id="rId30" display="http://discuss.jiucaishuo.com/?/invest/showData/search_gu-si801154" xr:uid="{00000000-0004-0000-0600-00001D000000}"/>
    <hyperlink ref="L32" r:id="rId31" display="http://discuss.jiucaishuo.com/?/invest/showData/search_gu-si801152" xr:uid="{00000000-0004-0000-0600-00001E000000}"/>
    <hyperlink ref="L33" r:id="rId32" display="http://discuss.jiucaishuo.com/?/invest/showData/search_gu-si801151" xr:uid="{00000000-0004-0000-0600-00001F000000}"/>
    <hyperlink ref="L34" r:id="rId33" display="http://discuss.jiucaishuo.com/?/invest/showData/search_gu-si801182" xr:uid="{00000000-0004-0000-0600-000020000000}"/>
    <hyperlink ref="L35" r:id="rId34" display="http://discuss.jiucaishuo.com/?/invest/showData/search_gu-si801181" xr:uid="{00000000-0004-0000-0600-000021000000}"/>
    <hyperlink ref="L36" r:id="rId35" display="http://discuss.jiucaishuo.com/?/invest/showData/search_gu-si801013" xr:uid="{00000000-0004-0000-0600-000022000000}"/>
    <hyperlink ref="L37" r:id="rId36" display="http://discuss.jiucaishuo.com/?/invest/showData/search_gu-si801012" xr:uid="{00000000-0004-0000-0600-000023000000}"/>
    <hyperlink ref="L38" r:id="rId37" display="http://discuss.jiucaishuo.com/?/invest/showData/search_gu-si801018" xr:uid="{00000000-0004-0000-0600-000024000000}"/>
    <hyperlink ref="L39" r:id="rId38" display="http://discuss.jiucaishuo.com/?/invest/showData/search_gu-si801011" xr:uid="{00000000-0004-0000-0600-000025000000}"/>
    <hyperlink ref="L40" r:id="rId39" display="http://discuss.jiucaishuo.com/?/invest/showData/search_gu-si801015" xr:uid="{00000000-0004-0000-0600-000026000000}"/>
    <hyperlink ref="L41" r:id="rId40" display="http://discuss.jiucaishuo.com/?/invest/showData/search_gu-si801017" xr:uid="{00000000-0004-0000-0600-000027000000}"/>
    <hyperlink ref="L42" r:id="rId41" display="http://discuss.jiucaishuo.com/?/invest/showData/search_gu-si801016" xr:uid="{00000000-0004-0000-0600-000028000000}"/>
    <hyperlink ref="L43" r:id="rId42" display="http://discuss.jiucaishuo.com/?/invest/showData/search_gu-si801014" xr:uid="{00000000-0004-0000-0600-000029000000}"/>
    <hyperlink ref="L44" r:id="rId43" display="http://discuss.jiucaishuo.com/?/invest/showData/search_gu-si801205" xr:uid="{00000000-0004-0000-0600-00002A000000}"/>
    <hyperlink ref="L45" r:id="rId44" display="http://discuss.jiucaishuo.com/?/invest/showData/search_gu-si801202" xr:uid="{00000000-0004-0000-0600-00002B000000}"/>
    <hyperlink ref="L46" r:id="rId45" display="http://discuss.jiucaishuo.com/?/invest/showData/search_gu-si801112" xr:uid="{00000000-0004-0000-0600-00002C000000}"/>
    <hyperlink ref="L47" r:id="rId46" display="http://discuss.jiucaishuo.com/?/invest/showData/search_gu-si801111" xr:uid="{00000000-0004-0000-0600-00002D000000}"/>
    <hyperlink ref="L48" r:id="rId47" display="http://discuss.jiucaishuo.com/?/invest/showData/search_gu-si801094" xr:uid="{00000000-0004-0000-0600-00002E000000}"/>
    <hyperlink ref="L49" r:id="rId48" display="http://discuss.jiucaishuo.com/?/invest/showData/search_gu-si801093" xr:uid="{00000000-0004-0000-0600-00002F000000}"/>
    <hyperlink ref="L50" r:id="rId49" display="http://discuss.jiucaishuo.com/?/invest/showData/search_gu-si801092" xr:uid="{00000000-0004-0000-0600-000030000000}"/>
    <hyperlink ref="L51" r:id="rId50" display="http://discuss.jiucaishuo.com/?/invest/showData/search_gu-si801132" xr:uid="{00000000-0004-0000-0600-000031000000}"/>
    <hyperlink ref="L52" r:id="rId51" display="http://discuss.jiucaishuo.com/?/invest/showData/search_gu-si801131" xr:uid="{00000000-0004-0000-0600-000032000000}"/>
    <hyperlink ref="L53" r:id="rId52" display="http://discuss.jiucaishuo.com/?/invest/showData/search_gu-si801123" xr:uid="{00000000-0004-0000-0600-000033000000}"/>
    <hyperlink ref="L54" r:id="rId53" display="http://discuss.jiucaishuo.com/?/invest/showData/search_gu-si801204" xr:uid="{00000000-0004-0000-0600-000034000000}"/>
    <hyperlink ref="L55" r:id="rId54" display="http://discuss.jiucaishuo.com/?/invest/showData/search_gu-si801203" xr:uid="{00000000-0004-0000-0600-000035000000}"/>
    <hyperlink ref="L56" r:id="rId55" display="http://discuss.jiucaishuo.com/?/invest/showData/search_gu-si801124" xr:uid="{00000000-0004-0000-0600-000036000000}"/>
    <hyperlink ref="L57" r:id="rId56" display="http://discuss.jiucaishuo.com/?/invest/showData/search_gu-si801725" xr:uid="{00000000-0004-0000-0600-000037000000}"/>
    <hyperlink ref="L58" r:id="rId57" display="http://discuss.jiucaishuo.com/?/invest/showData/search_gu-si801724" xr:uid="{00000000-0004-0000-0600-000038000000}"/>
    <hyperlink ref="L59" r:id="rId58" display="http://discuss.jiucaishuo.com/?/invest/showData/search_gu-si801723" xr:uid="{00000000-0004-0000-0600-000039000000}"/>
    <hyperlink ref="L60" r:id="rId59" display="http://discuss.jiucaishuo.com/?/invest/showData/search_gu-si801711" xr:uid="{00000000-0004-0000-0600-00003A000000}"/>
    <hyperlink ref="L61" r:id="rId60" display="http://discuss.jiucaishuo.com/?/invest/showData/search_gu-si801712" xr:uid="{00000000-0004-0000-0600-00003B000000}"/>
    <hyperlink ref="L62" r:id="rId61" display="http://discuss.jiucaishuo.com/?/invest/showData/search_gu-si801713" xr:uid="{00000000-0004-0000-0600-00003C000000}"/>
    <hyperlink ref="L63" r:id="rId62" display="http://discuss.jiucaishuo.com/?/invest/showData/search_gu-si801721" xr:uid="{00000000-0004-0000-0600-00003D000000}"/>
    <hyperlink ref="L64" r:id="rId63" display="http://discuss.jiucaishuo.com/?/invest/showData/search_gu-si801074" xr:uid="{00000000-0004-0000-0600-00003E000000}"/>
    <hyperlink ref="L65" r:id="rId64" display="http://discuss.jiucaishuo.com/?/invest/showData/search_gu-si801072" xr:uid="{00000000-0004-0000-0600-00003F000000}"/>
    <hyperlink ref="L66" r:id="rId65" display="http://discuss.jiucaishuo.com/?/invest/showData/search_gu-si801722" xr:uid="{00000000-0004-0000-0600-000040000000}"/>
    <hyperlink ref="L67" r:id="rId66" display="http://discuss.jiucaishuo.com/?/invest/showData/search_gu-si801215" xr:uid="{00000000-0004-0000-0600-000041000000}"/>
    <hyperlink ref="L68" r:id="rId67" display="http://discuss.jiucaishuo.com/?/invest/showData/search_gu-si801214" xr:uid="{00000000-0004-0000-0600-000042000000}"/>
    <hyperlink ref="L69" r:id="rId68" display="http://discuss.jiucaishuo.com/?/invest/showData/search_gu-si801212" xr:uid="{00000000-0004-0000-0600-000043000000}"/>
    <hyperlink ref="L70" r:id="rId69" display="http://discuss.jiucaishuo.com/?/invest/showData/search_gu-si801213" xr:uid="{00000000-0004-0000-0600-000044000000}"/>
    <hyperlink ref="L71" r:id="rId70" display="http://discuss.jiucaishuo.com/?/invest/showData/search_gu-si801211" xr:uid="{00000000-0004-0000-0600-000045000000}"/>
    <hyperlink ref="L72" r:id="rId71" display="http://discuss.jiucaishuo.com/?/invest/showData/search_gu-si801162" xr:uid="{00000000-0004-0000-0600-000046000000}"/>
    <hyperlink ref="L73" r:id="rId72" display="http://discuss.jiucaishuo.com/?/invest/showData/search_gu-si801164" xr:uid="{00000000-0004-0000-0600-000047000000}"/>
    <hyperlink ref="L74" r:id="rId73" display="http://discuss.jiucaishuo.com/?/invest/showData/search_gu-si801163" xr:uid="{00000000-0004-0000-0600-000048000000}"/>
    <hyperlink ref="L75" r:id="rId74" display="http://discuss.jiucaishuo.com/?/invest/showData/search_gu-si801161" xr:uid="{00000000-0004-0000-0600-000049000000}"/>
    <hyperlink ref="L76" r:id="rId75" display="http://discuss.jiucaishuo.com/?/invest/showData/search_gu-si801734" xr:uid="{00000000-0004-0000-0600-00004A000000}"/>
    <hyperlink ref="L77" r:id="rId76" display="http://discuss.jiucaishuo.com/?/invest/showData/search_gu-si801733" xr:uid="{00000000-0004-0000-0600-00004B000000}"/>
    <hyperlink ref="L78" r:id="rId77" display="http://discuss.jiucaishuo.com/?/invest/showData/search_gu-si801731" xr:uid="{00000000-0004-0000-0600-00004C000000}"/>
    <hyperlink ref="L79" r:id="rId78" display="http://discuss.jiucaishuo.com/?/invest/showData/search_gu-si801732" xr:uid="{00000000-0004-0000-0600-00004D000000}"/>
    <hyperlink ref="L80" r:id="rId79" display="http://discuss.jiucaishuo.com/?/invest/showData/search_gu-si801231" xr:uid="{00000000-0004-0000-0600-00004E000000}"/>
    <hyperlink ref="L81" r:id="rId80" display="http://discuss.jiucaishuo.com/?/invest/showData/search_gu-si801037" xr:uid="{00000000-0004-0000-0600-00004F000000}"/>
    <hyperlink ref="L82" r:id="rId81" display="http://discuss.jiucaishuo.com/?/invest/showData/search_gu-si801036" xr:uid="{00000000-0004-0000-0600-000050000000}"/>
    <hyperlink ref="L83" r:id="rId82" display="http://discuss.jiucaishuo.com/?/invest/showData/search_gu-si801035" xr:uid="{00000000-0004-0000-0600-000051000000}"/>
    <hyperlink ref="L84" r:id="rId83" display="http://discuss.jiucaishuo.com/?/invest/showData/search_gu-si801034" xr:uid="{00000000-0004-0000-0600-000052000000}"/>
    <hyperlink ref="L85" r:id="rId84" display="http://discuss.jiucaishuo.com/?/invest/showData/search_gu-si801033" xr:uid="{00000000-0004-0000-0600-000053000000}"/>
    <hyperlink ref="L86" r:id="rId85" display="http://discuss.jiucaishuo.com/?/invest/showData/search_gu-si801032" xr:uid="{00000000-0004-0000-0600-000054000000}"/>
    <hyperlink ref="L87" r:id="rId86" display="http://discuss.jiucaishuo.com/?/invest/showData/search_gu-si801055" xr:uid="{00000000-0004-0000-0600-000055000000}"/>
    <hyperlink ref="L88" r:id="rId87" display="http://discuss.jiucaishuo.com/?/invest/showData/search_gu-si801054" xr:uid="{00000000-0004-0000-0600-000056000000}"/>
    <hyperlink ref="L89" r:id="rId88" display="http://discuss.jiucaishuo.com/?/invest/showData/search_gu-si801053" xr:uid="{00000000-0004-0000-0600-000057000000}"/>
    <hyperlink ref="L90" r:id="rId89" display="http://discuss.jiucaishuo.com/?/invest/showData/search_gu-si801051" xr:uid="{00000000-0004-0000-0600-000058000000}"/>
    <hyperlink ref="L91" r:id="rId90" display="http://discuss.jiucaishuo.com/?/invest/showData/search_gu-si801021" xr:uid="{00000000-0004-0000-0600-000059000000}"/>
    <hyperlink ref="L92" r:id="rId91" display="http://discuss.jiucaishuo.com/?/invest/showData/search_gu-si801023" xr:uid="{00000000-0004-0000-0600-00005A000000}"/>
    <hyperlink ref="L93" r:id="rId92" display="http://discuss.jiucaishuo.com/?/invest/showData/search_gu-si801024" xr:uid="{00000000-0004-0000-0600-00005B000000}"/>
    <hyperlink ref="L94" r:id="rId93" display="http://discuss.jiucaishuo.com/?/invest/showData/search_gu-si801075" xr:uid="{00000000-0004-0000-0600-00005C000000}"/>
    <hyperlink ref="L95" r:id="rId94" display="http://discuss.jiucaishuo.com/?/invest/showData/search_gu-si801041" xr:uid="{00000000-0004-0000-0600-00005D000000}"/>
    <hyperlink ref="L96" r:id="rId95" display="http://discuss.jiucaishuo.com/?/invest/showData/search_gu-si801022" xr:uid="{00000000-0004-0000-0600-00005E000000}"/>
    <hyperlink ref="L97" r:id="rId96" display="http://discuss.jiucaishuo.com/?/invest/showData/search_gu-si801144" xr:uid="{00000000-0004-0000-0600-00005F000000}"/>
    <hyperlink ref="L98" r:id="rId97" display="http://discuss.jiucaishuo.com/?/invest/showData/search_gu-si801141" xr:uid="{00000000-0004-0000-0600-000060000000}"/>
    <hyperlink ref="L99" r:id="rId98" display="http://discuss.jiucaishuo.com/?/invest/showData/search_gu-si801142" xr:uid="{00000000-0004-0000-0600-000061000000}"/>
    <hyperlink ref="L100" r:id="rId99" display="http://discuss.jiucaishuo.com/?/invest/showData/search_gu-si801143" xr:uid="{00000000-0004-0000-0600-000062000000}"/>
    <hyperlink ref="L101" r:id="rId100" display="http://discuss.jiucaishuo.com/?/invest/showData/search_gu-si801194" xr:uid="{00000000-0004-0000-0600-000063000000}"/>
    <hyperlink ref="L102" r:id="rId101" display="http://discuss.jiucaishuo.com/?/invest/showData/search_gu-si801193" xr:uid="{00000000-0004-0000-0600-000064000000}"/>
    <hyperlink ref="L103" r:id="rId102" display="http://discuss.jiucaishuo.com/?/invest/showData/search_gu-si801192" xr:uid="{00000000-0004-0000-0600-000065000000}"/>
    <hyperlink ref="L104" r:id="rId103" display="http://discuss.jiucaishuo.com/?/invest/showData/search_gu-si801191" xr:uid="{00000000-0004-0000-0600-000066000000}"/>
    <hyperlink ref="L105" r:id="rId104" display="http://discuss.jiucaishuo.com/?/invest/showData/search_gu-si801073" xr:uid="{00000000-0004-0000-0600-00006700000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346"/>
  <sheetViews>
    <sheetView zoomScale="115" workbookViewId="0">
      <pane ySplit="1" topLeftCell="A321" activePane="bottomLeft" state="frozen"/>
      <selection pane="bottomLeft" activeCell="A342" sqref="A342"/>
    </sheetView>
  </sheetViews>
  <sheetFormatPr baseColWidth="10" defaultRowHeight="16" x14ac:dyDescent="0.2"/>
  <cols>
    <col min="1" max="2" width="22.83203125" customWidth="1"/>
    <col min="3" max="3" width="16.1640625" customWidth="1"/>
    <col min="4" max="4" width="10.83203125" style="101" customWidth="1"/>
    <col min="5" max="5" width="11.6640625" bestFit="1" customWidth="1"/>
    <col min="6" max="6" width="11.6640625" customWidth="1"/>
    <col min="7" max="7" width="10.83203125" customWidth="1"/>
    <col min="8" max="8" width="13.6640625" bestFit="1" customWidth="1"/>
    <col min="10" max="10" width="10.83203125" customWidth="1"/>
    <col min="11" max="11" width="13.6640625" bestFit="1" customWidth="1"/>
  </cols>
  <sheetData>
    <row r="1" spans="1:11" x14ac:dyDescent="0.2">
      <c r="B1" t="s">
        <v>730</v>
      </c>
      <c r="C1" t="s">
        <v>731</v>
      </c>
      <c r="D1" s="101">
        <v>2014.03</v>
      </c>
      <c r="E1">
        <v>2019.03</v>
      </c>
      <c r="G1" s="127" t="s">
        <v>18</v>
      </c>
      <c r="H1" s="127" t="s">
        <v>1</v>
      </c>
      <c r="J1" s="127" t="s">
        <v>18</v>
      </c>
      <c r="K1" s="127" t="s">
        <v>1</v>
      </c>
    </row>
    <row r="2" spans="1:11" x14ac:dyDescent="0.2">
      <c r="A2" s="78" t="s">
        <v>29</v>
      </c>
      <c r="B2" s="98">
        <f>(E3/D3)^(1/5)-1</f>
        <v>6.7059032095312165E-2</v>
      </c>
      <c r="C2" s="98">
        <f>(E2/D2)^(1/5)-1</f>
        <v>0.11988360401466758</v>
      </c>
      <c r="D2" s="101">
        <f>G2/H4</f>
        <v>1254.3103448275863</v>
      </c>
      <c r="E2" s="101">
        <f>J2/K4</f>
        <v>2209.375</v>
      </c>
      <c r="F2" s="101"/>
      <c r="G2">
        <v>1455</v>
      </c>
      <c r="H2" s="47">
        <v>7.21</v>
      </c>
      <c r="J2">
        <v>2828</v>
      </c>
      <c r="K2" s="40">
        <v>10.130000000000001</v>
      </c>
    </row>
    <row r="3" spans="1:11" x14ac:dyDescent="0.2">
      <c r="A3" t="s">
        <v>31</v>
      </c>
      <c r="D3" s="101">
        <f>G2/H2</f>
        <v>201.80305131761443</v>
      </c>
      <c r="E3" s="101">
        <f>J2/K2</f>
        <v>279.17077986179663</v>
      </c>
      <c r="F3" s="101"/>
      <c r="G3" s="128"/>
      <c r="H3" s="47"/>
      <c r="J3" s="128"/>
      <c r="K3" s="41"/>
    </row>
    <row r="4" spans="1:11" x14ac:dyDescent="0.2">
      <c r="A4" t="s">
        <v>33</v>
      </c>
      <c r="E4" s="101"/>
      <c r="F4" s="101"/>
      <c r="G4" s="128"/>
      <c r="H4" s="47">
        <v>1.1599999999999999</v>
      </c>
      <c r="J4" s="128"/>
      <c r="K4" s="41">
        <v>1.28</v>
      </c>
    </row>
    <row r="5" spans="1:11" x14ac:dyDescent="0.2">
      <c r="A5">
        <v>2.4900000000000002</v>
      </c>
      <c r="E5" s="101"/>
      <c r="F5" s="101"/>
      <c r="G5" s="128"/>
      <c r="H5" s="47"/>
      <c r="J5" s="128"/>
      <c r="K5" s="41"/>
    </row>
    <row r="6" spans="1:11" x14ac:dyDescent="0.2">
      <c r="E6" s="101"/>
      <c r="F6" s="101"/>
      <c r="H6" s="99">
        <f>H4/H2</f>
        <v>0.16088765603328709</v>
      </c>
      <c r="I6" s="99"/>
      <c r="J6" s="99"/>
      <c r="K6" s="99">
        <f>K4/K2</f>
        <v>0.12635735439289239</v>
      </c>
    </row>
    <row r="7" spans="1:11" x14ac:dyDescent="0.2">
      <c r="A7" s="78" t="s">
        <v>36</v>
      </c>
      <c r="B7" s="98">
        <f>(E8/D8)^(1/5)-1</f>
        <v>3.430294679654855E-2</v>
      </c>
      <c r="C7" s="98">
        <f>(E7/D7)^(1/5)-1</f>
        <v>7.5980057783728183E-2</v>
      </c>
      <c r="D7" s="101">
        <f>G7/H9</f>
        <v>1707.0866141732283</v>
      </c>
      <c r="E7" s="101">
        <f>J7/K9</f>
        <v>2461.9354838709678</v>
      </c>
      <c r="F7" s="101"/>
      <c r="G7">
        <v>2168</v>
      </c>
      <c r="H7" s="47">
        <v>8.4600000000000009</v>
      </c>
      <c r="J7">
        <v>3816</v>
      </c>
      <c r="K7" s="40">
        <v>12.58</v>
      </c>
    </row>
    <row r="8" spans="1:11" x14ac:dyDescent="0.2">
      <c r="A8" t="s">
        <v>37</v>
      </c>
      <c r="D8" s="101">
        <f>G7/H7</f>
        <v>256.26477541371156</v>
      </c>
      <c r="E8" s="101">
        <f>J7/K7</f>
        <v>303.33863275039744</v>
      </c>
      <c r="F8" s="101"/>
      <c r="G8" s="128"/>
      <c r="H8" s="48"/>
      <c r="J8" s="128"/>
      <c r="K8" s="41"/>
    </row>
    <row r="9" spans="1:11" x14ac:dyDescent="0.2">
      <c r="A9" t="s">
        <v>38</v>
      </c>
      <c r="E9" s="101"/>
      <c r="F9" s="101"/>
      <c r="G9" s="128"/>
      <c r="H9" s="47">
        <v>1.27</v>
      </c>
      <c r="J9" s="128"/>
      <c r="K9" s="41">
        <v>1.55</v>
      </c>
    </row>
    <row r="10" spans="1:11" x14ac:dyDescent="0.2">
      <c r="A10">
        <v>2.66</v>
      </c>
      <c r="E10" s="101"/>
      <c r="F10" s="101"/>
      <c r="G10" s="128"/>
      <c r="H10" s="48"/>
      <c r="J10" s="128"/>
      <c r="K10" s="41"/>
    </row>
    <row r="11" spans="1:11" x14ac:dyDescent="0.2">
      <c r="E11" s="101"/>
      <c r="F11" s="101"/>
      <c r="H11" s="99">
        <f>H9/H7</f>
        <v>0.15011820330969267</v>
      </c>
      <c r="I11" s="99"/>
      <c r="J11" s="99"/>
      <c r="K11" s="99">
        <f>K9/K7</f>
        <v>0.1232114467408585</v>
      </c>
    </row>
    <row r="12" spans="1:11" x14ac:dyDescent="0.2">
      <c r="A12" t="s">
        <v>100</v>
      </c>
      <c r="B12" s="98">
        <f>(E13/D13)^(1/5)-1</f>
        <v>7.7457547832471274E-2</v>
      </c>
      <c r="C12" s="98">
        <f>(E12/D12)^(1/5)-1</f>
        <v>7.2737088430575358E-2</v>
      </c>
      <c r="D12" s="101">
        <f>G12/H14</f>
        <v>1779.2022792022792</v>
      </c>
      <c r="E12" s="101">
        <f>J12/K14</f>
        <v>2527.5037369207771</v>
      </c>
      <c r="F12" s="101"/>
      <c r="G12">
        <v>6245</v>
      </c>
      <c r="H12" s="49">
        <v>17.059999999999999</v>
      </c>
      <c r="J12">
        <v>16909</v>
      </c>
      <c r="K12" s="42">
        <v>31.81</v>
      </c>
    </row>
    <row r="13" spans="1:11" x14ac:dyDescent="0.2">
      <c r="A13" t="s">
        <v>98</v>
      </c>
      <c r="D13" s="101">
        <f>G12/H12</f>
        <v>366.06096131301291</v>
      </c>
      <c r="E13" s="101">
        <f>J12/K12</f>
        <v>531.56240176045276</v>
      </c>
      <c r="F13" s="101"/>
      <c r="H13" s="50"/>
      <c r="K13" s="86"/>
    </row>
    <row r="14" spans="1:11" x14ac:dyDescent="0.2">
      <c r="A14" t="s">
        <v>102</v>
      </c>
      <c r="E14" s="101"/>
      <c r="F14" s="101"/>
      <c r="H14" s="51">
        <v>3.51</v>
      </c>
      <c r="K14" s="42">
        <v>6.69</v>
      </c>
    </row>
    <row r="15" spans="1:11" x14ac:dyDescent="0.2">
      <c r="A15">
        <v>2.93</v>
      </c>
      <c r="E15" s="101"/>
      <c r="F15" s="101"/>
      <c r="H15" s="49"/>
      <c r="K15" s="86"/>
    </row>
    <row r="16" spans="1:11" x14ac:dyDescent="0.2">
      <c r="E16" s="101"/>
      <c r="F16" s="101"/>
      <c r="H16" s="99">
        <f>H14/H12</f>
        <v>0.20574443141852286</v>
      </c>
      <c r="I16" s="99"/>
      <c r="J16" s="99"/>
      <c r="K16" s="99">
        <f>K14/K12</f>
        <v>0.21031122288588497</v>
      </c>
    </row>
    <row r="17" spans="1:17" x14ac:dyDescent="0.2">
      <c r="A17" s="80" t="s">
        <v>143</v>
      </c>
      <c r="B17" s="98">
        <f>(E18/D18)^(1/4)-1</f>
        <v>0.12667668430919088</v>
      </c>
      <c r="C17" s="98">
        <f>(E17/D17)^(1/4)-1</f>
        <v>0.11043077057842821</v>
      </c>
      <c r="D17" s="101">
        <f>G17/H19</f>
        <v>1599.4426609306754</v>
      </c>
      <c r="E17" s="101">
        <f>J17/K19</f>
        <v>2431.8379225941894</v>
      </c>
      <c r="F17" s="101"/>
      <c r="G17">
        <v>7158.18</v>
      </c>
      <c r="H17" s="50">
        <v>35.994169061547638</v>
      </c>
      <c r="J17">
        <v>8660.4699999999993</v>
      </c>
      <c r="K17" s="86">
        <v>27.0255020604659</v>
      </c>
    </row>
    <row r="18" spans="1:17" x14ac:dyDescent="0.2">
      <c r="A18" t="s">
        <v>142</v>
      </c>
      <c r="D18" s="101">
        <f>G17/H17</f>
        <v>198.87054449735979</v>
      </c>
      <c r="E18" s="101">
        <f>J17/K17</f>
        <v>320.45547130348848</v>
      </c>
      <c r="F18" s="101"/>
      <c r="H18" s="50">
        <v>41.069496744427667</v>
      </c>
      <c r="K18" s="86">
        <v>23.40346311226287</v>
      </c>
    </row>
    <row r="19" spans="1:17" x14ac:dyDescent="0.2">
      <c r="A19" t="s">
        <v>102</v>
      </c>
      <c r="E19" s="101"/>
      <c r="F19" s="101"/>
      <c r="H19" s="50">
        <v>4.4754214545176856</v>
      </c>
      <c r="K19" s="86">
        <v>3.5612858568968071</v>
      </c>
    </row>
    <row r="20" spans="1:17" x14ac:dyDescent="0.2">
      <c r="A20">
        <v>3.41</v>
      </c>
      <c r="E20" s="101"/>
      <c r="F20" s="101"/>
      <c r="H20" s="50">
        <v>4.5664628468838284</v>
      </c>
      <c r="K20" s="86">
        <v>2.701233557280279</v>
      </c>
    </row>
    <row r="21" spans="1:17" x14ac:dyDescent="0.2">
      <c r="E21" s="101"/>
      <c r="F21" s="101"/>
      <c r="H21" s="99">
        <f>H19/H17</f>
        <v>0.12433740161816244</v>
      </c>
      <c r="I21" s="99"/>
      <c r="J21" s="99"/>
      <c r="K21" s="99">
        <f>K19/K17</f>
        <v>0.1317750119471939</v>
      </c>
    </row>
    <row r="22" spans="1:17" x14ac:dyDescent="0.2">
      <c r="A22" s="78" t="s">
        <v>59</v>
      </c>
      <c r="B22" s="98">
        <f>(E23/D23)^(1/5)-1</f>
        <v>0.10044144174991487</v>
      </c>
      <c r="C22" s="98">
        <f>(E22/D22)^(1/5)-1</f>
        <v>8.9197945014001911E-2</v>
      </c>
      <c r="D22" s="101">
        <f>G22/H25</f>
        <v>429.92957746478874</v>
      </c>
      <c r="E22" s="101">
        <f>J22/K25</f>
        <v>659.06976744186045</v>
      </c>
      <c r="F22" s="101"/>
      <c r="G22">
        <v>1221</v>
      </c>
      <c r="H22" s="48"/>
      <c r="J22">
        <v>1417</v>
      </c>
      <c r="K22" s="41"/>
    </row>
    <row r="23" spans="1:17" x14ac:dyDescent="0.2">
      <c r="A23" t="s">
        <v>57</v>
      </c>
      <c r="D23" s="101">
        <f>G22/H23</f>
        <v>31.259600614439321</v>
      </c>
      <c r="E23" s="101">
        <f>J22/K23</f>
        <v>50.444998220007122</v>
      </c>
      <c r="F23" s="101"/>
      <c r="G23" s="128"/>
      <c r="H23" s="48">
        <v>39.06</v>
      </c>
      <c r="J23" s="128"/>
      <c r="K23" s="41">
        <v>28.09</v>
      </c>
    </row>
    <row r="24" spans="1:17" x14ac:dyDescent="0.2">
      <c r="A24" t="s">
        <v>61</v>
      </c>
      <c r="E24" s="101"/>
      <c r="F24" s="101"/>
      <c r="G24" s="128"/>
      <c r="H24" s="52"/>
      <c r="J24" s="128"/>
      <c r="K24" s="41"/>
    </row>
    <row r="25" spans="1:17" x14ac:dyDescent="0.2">
      <c r="A25">
        <v>4.3</v>
      </c>
      <c r="E25" s="101"/>
      <c r="F25" s="101"/>
      <c r="G25" s="128"/>
      <c r="H25" s="52">
        <v>2.84</v>
      </c>
      <c r="J25" s="128"/>
      <c r="K25" s="41">
        <v>2.15</v>
      </c>
    </row>
    <row r="26" spans="1:17" x14ac:dyDescent="0.2">
      <c r="E26" s="101"/>
      <c r="F26" s="101"/>
      <c r="H26" s="99">
        <f>H25/H23</f>
        <v>7.2708653353814642E-2</v>
      </c>
      <c r="I26" s="99"/>
      <c r="J26" s="99"/>
      <c r="K26" s="99">
        <f>K25/K23</f>
        <v>7.6539693841224637E-2</v>
      </c>
    </row>
    <row r="27" spans="1:17" x14ac:dyDescent="0.2">
      <c r="A27" s="81" t="s">
        <v>62</v>
      </c>
      <c r="B27" s="98">
        <f>(E28/D28)^(1/4)-1</f>
        <v>0.22920160571555814</v>
      </c>
      <c r="C27" s="98">
        <f>(E27/D27)^(1/4)-1</f>
        <v>0.11492906749895337</v>
      </c>
      <c r="D27" s="101">
        <f>G27/H29</f>
        <v>1601.2515989212309</v>
      </c>
      <c r="E27" s="101">
        <f>J27/K29</f>
        <v>2474.2782020622531</v>
      </c>
      <c r="F27" s="101"/>
      <c r="G27">
        <v>6240.77</v>
      </c>
      <c r="H27" s="50">
        <v>64.590673619817949</v>
      </c>
      <c r="J27">
        <v>4847.04</v>
      </c>
      <c r="K27" s="86">
        <v>21.974336198138339</v>
      </c>
    </row>
    <row r="28" spans="1:17" x14ac:dyDescent="0.2">
      <c r="A28" t="s">
        <v>60</v>
      </c>
      <c r="D28" s="101">
        <f>G27/H27</f>
        <v>96.620295938285182</v>
      </c>
      <c r="E28" s="101">
        <f>J27/K27</f>
        <v>220.57731147349244</v>
      </c>
      <c r="F28" s="101"/>
      <c r="H28" s="50">
        <v>65.297114842793079</v>
      </c>
      <c r="K28" s="86">
        <v>26.025725060110879</v>
      </c>
    </row>
    <row r="29" spans="1:17" x14ac:dyDescent="0.2">
      <c r="A29" t="s">
        <v>64</v>
      </c>
      <c r="E29" s="101"/>
      <c r="F29" s="101"/>
      <c r="H29" s="49">
        <v>3.897432486065544</v>
      </c>
      <c r="K29" s="86">
        <v>1.9589713056357629</v>
      </c>
    </row>
    <row r="30" spans="1:17" x14ac:dyDescent="0.2">
      <c r="A30">
        <v>5.04</v>
      </c>
      <c r="E30" s="101"/>
      <c r="F30" s="101"/>
      <c r="H30" s="49">
        <v>3.6543843362992789</v>
      </c>
      <c r="K30" s="86">
        <v>1.8367471547140231</v>
      </c>
    </row>
    <row r="31" spans="1:17" x14ac:dyDescent="0.2">
      <c r="E31" s="101"/>
      <c r="F31" s="101"/>
      <c r="H31" s="99">
        <f>H29/H27</f>
        <v>6.0340483658769574E-2</v>
      </c>
      <c r="I31" s="99"/>
      <c r="J31" s="99"/>
      <c r="K31" s="99">
        <f>K29/K27</f>
        <v>8.9148144816393896E-2</v>
      </c>
    </row>
    <row r="32" spans="1:17" x14ac:dyDescent="0.2">
      <c r="A32" s="80" t="s">
        <v>42</v>
      </c>
      <c r="B32" s="98">
        <f>(E33/D33)^(1/6)-1</f>
        <v>0.14049301597596453</v>
      </c>
      <c r="C32" s="98">
        <f>(E32/D32)^(1/6)-1</f>
        <v>0.10042194721036113</v>
      </c>
      <c r="D32" s="101">
        <f>G32/H34</f>
        <v>1517.6767676767677</v>
      </c>
      <c r="E32" s="101">
        <f>J32/K34</f>
        <v>2694.8509347166059</v>
      </c>
      <c r="F32" s="101"/>
      <c r="G32">
        <v>3005</v>
      </c>
      <c r="H32" s="53">
        <v>28.36</v>
      </c>
      <c r="J32">
        <v>4554.67</v>
      </c>
      <c r="K32" s="41">
        <v>19.532727253774979</v>
      </c>
      <c r="L32">
        <v>1651</v>
      </c>
      <c r="M32">
        <v>1875</v>
      </c>
      <c r="N32">
        <v>2025</v>
      </c>
      <c r="O32">
        <v>2254</v>
      </c>
      <c r="P32">
        <v>2543</v>
      </c>
      <c r="Q32">
        <v>2700</v>
      </c>
    </row>
    <row r="33" spans="1:17" x14ac:dyDescent="0.2">
      <c r="A33" t="s">
        <v>43</v>
      </c>
      <c r="D33" s="101">
        <f>G32/H32</f>
        <v>105.95909732016925</v>
      </c>
      <c r="E33" s="101">
        <f>J32/K32</f>
        <v>233.18146722802086</v>
      </c>
      <c r="F33" s="101"/>
      <c r="G33" s="128"/>
      <c r="H33" s="48"/>
      <c r="J33" s="128"/>
      <c r="K33" s="41">
        <v>24.89961385263549</v>
      </c>
      <c r="M33">
        <f>M32/L32</f>
        <v>1.1356753482737734</v>
      </c>
      <c r="N33">
        <f>N32/M32</f>
        <v>1.08</v>
      </c>
      <c r="O33">
        <f>O32/N32</f>
        <v>1.1130864197530863</v>
      </c>
      <c r="P33">
        <f>P32/O32</f>
        <v>1.1282165039929015</v>
      </c>
      <c r="Q33">
        <f>Q32/P32</f>
        <v>1.0617381046008652</v>
      </c>
    </row>
    <row r="34" spans="1:17" x14ac:dyDescent="0.2">
      <c r="A34" t="s">
        <v>41</v>
      </c>
      <c r="E34" s="101"/>
      <c r="F34" s="101"/>
      <c r="G34" s="128"/>
      <c r="H34" s="48">
        <v>1.98</v>
      </c>
      <c r="J34" s="128"/>
      <c r="K34" s="41">
        <v>1.6901380114662909</v>
      </c>
    </row>
    <row r="35" spans="1:17" x14ac:dyDescent="0.2">
      <c r="A35">
        <v>4.3</v>
      </c>
      <c r="E35" s="101"/>
      <c r="F35" s="101"/>
      <c r="G35" s="128"/>
      <c r="H35" s="48"/>
      <c r="J35" s="128"/>
      <c r="K35" s="41">
        <v>1.5739362534911909</v>
      </c>
    </row>
    <row r="36" spans="1:17" x14ac:dyDescent="0.2">
      <c r="E36" s="101"/>
      <c r="F36" s="101"/>
      <c r="H36" s="99">
        <f>H34/H32</f>
        <v>6.981664315937941E-2</v>
      </c>
      <c r="I36" s="99"/>
      <c r="J36" s="99"/>
      <c r="K36" s="99">
        <f>K34/K32</f>
        <v>8.6528521568315434E-2</v>
      </c>
    </row>
    <row r="37" spans="1:17" x14ac:dyDescent="0.2">
      <c r="A37" s="80" t="s">
        <v>732</v>
      </c>
      <c r="B37" s="98">
        <f>(E38/D38)^(1/3)-1</f>
        <v>0.16129190672564309</v>
      </c>
      <c r="C37" s="98">
        <f>(E37/D37)^(1/3)-1</f>
        <v>0.20510333778059486</v>
      </c>
      <c r="D37" s="101">
        <f>G37/H39</f>
        <v>4905.0387596899227</v>
      </c>
      <c r="E37" s="101">
        <f>J37/K39</f>
        <v>8584.5060590126704</v>
      </c>
      <c r="F37" s="101"/>
      <c r="G37">
        <v>12655</v>
      </c>
      <c r="H37" s="53">
        <v>33.18</v>
      </c>
      <c r="J37">
        <v>14509</v>
      </c>
      <c r="K37" s="41">
        <v>24.29</v>
      </c>
    </row>
    <row r="38" spans="1:17" x14ac:dyDescent="0.2">
      <c r="D38" s="101">
        <f>G37/H37</f>
        <v>381.40446051838455</v>
      </c>
      <c r="E38" s="101">
        <f>J37/K37</f>
        <v>597.32400164676824</v>
      </c>
      <c r="F38" s="101"/>
      <c r="G38" s="128"/>
      <c r="H38" s="48"/>
      <c r="J38" s="128"/>
      <c r="K38" s="41"/>
    </row>
    <row r="39" spans="1:17" x14ac:dyDescent="0.2">
      <c r="E39" s="101"/>
      <c r="F39" s="101"/>
      <c r="G39" s="128"/>
      <c r="H39" s="48">
        <v>2.58</v>
      </c>
      <c r="J39" s="128"/>
      <c r="K39" s="41">
        <v>1.6901380114662909</v>
      </c>
    </row>
    <row r="40" spans="1:17" x14ac:dyDescent="0.2">
      <c r="A40">
        <v>4.3</v>
      </c>
      <c r="E40" s="101"/>
      <c r="F40" s="101"/>
      <c r="G40" s="128"/>
      <c r="H40" s="48"/>
      <c r="J40" s="128"/>
      <c r="K40" s="41"/>
    </row>
    <row r="41" spans="1:17" x14ac:dyDescent="0.2">
      <c r="E41" s="101"/>
      <c r="F41" s="101"/>
      <c r="H41" s="99">
        <f>H39/H37</f>
        <v>7.7757685352622063E-2</v>
      </c>
      <c r="I41" s="99"/>
      <c r="J41" s="99"/>
      <c r="K41" s="99">
        <f>K39/K37</f>
        <v>6.9581639006434381E-2</v>
      </c>
    </row>
    <row r="42" spans="1:17" x14ac:dyDescent="0.2">
      <c r="A42" s="81" t="s">
        <v>56</v>
      </c>
      <c r="B42" s="98">
        <f>(E43/D43)^(1/5)-1</f>
        <v>8.7477519757491518E-2</v>
      </c>
      <c r="C42" s="98">
        <f>(E42/D42)^(1/5)-1</f>
        <v>0.13355211644259346</v>
      </c>
      <c r="D42" s="101">
        <f>G42/H44</f>
        <v>2178.8461538461538</v>
      </c>
      <c r="E42" s="101">
        <f>J42/K44</f>
        <v>4077.8761061946907</v>
      </c>
      <c r="F42" s="101"/>
      <c r="G42">
        <v>2266</v>
      </c>
      <c r="H42" s="47">
        <v>6.26</v>
      </c>
      <c r="J42">
        <v>4608</v>
      </c>
      <c r="K42" s="41">
        <v>8.3699999999999992</v>
      </c>
    </row>
    <row r="43" spans="1:17" x14ac:dyDescent="0.2">
      <c r="A43" t="s">
        <v>54</v>
      </c>
      <c r="D43" s="101">
        <f>G42/H42</f>
        <v>361.98083067092654</v>
      </c>
      <c r="E43" s="101">
        <f>J42/K42</f>
        <v>550.53763440860223</v>
      </c>
      <c r="F43" s="101"/>
      <c r="G43" s="128"/>
      <c r="H43" s="48"/>
      <c r="J43" s="128"/>
      <c r="K43" s="41"/>
    </row>
    <row r="44" spans="1:17" x14ac:dyDescent="0.2">
      <c r="A44" t="s">
        <v>58</v>
      </c>
      <c r="E44" s="101"/>
      <c r="F44" s="101"/>
      <c r="G44" s="128"/>
      <c r="H44" s="47">
        <v>1.04</v>
      </c>
      <c r="J44" s="128"/>
      <c r="K44" s="41">
        <v>1.1299999999999999</v>
      </c>
    </row>
    <row r="45" spans="1:17" x14ac:dyDescent="0.2">
      <c r="A45">
        <v>3</v>
      </c>
      <c r="E45" s="101"/>
      <c r="F45" s="101"/>
      <c r="G45" s="128"/>
      <c r="H45" s="48"/>
      <c r="J45" s="128"/>
      <c r="K45" s="41"/>
    </row>
    <row r="46" spans="1:17" x14ac:dyDescent="0.2">
      <c r="E46" s="101"/>
      <c r="F46" s="101"/>
      <c r="H46" s="99">
        <f>H44/H42</f>
        <v>0.1661341853035144</v>
      </c>
      <c r="I46" s="99"/>
      <c r="J46" s="99"/>
      <c r="K46" s="99">
        <f>K44/K42</f>
        <v>0.13500597371565112</v>
      </c>
    </row>
    <row r="47" spans="1:17" x14ac:dyDescent="0.2">
      <c r="A47" s="78" t="s">
        <v>129</v>
      </c>
      <c r="B47" s="98">
        <f>(E48/D48)^(1/4)-1</f>
        <v>-8.1024662187364149E-2</v>
      </c>
      <c r="C47" s="98">
        <f>(E47/D47)^(1/4)-1</f>
        <v>-1.2192583370863819E-2</v>
      </c>
      <c r="D47" s="101">
        <f>G47/H49</f>
        <v>1685.4539103798077</v>
      </c>
      <c r="E47" s="101">
        <f>J47/K49</f>
        <v>1604.7449268077871</v>
      </c>
      <c r="F47" s="101"/>
      <c r="G47">
        <v>2013.18</v>
      </c>
      <c r="H47" s="54">
        <v>11.27196574612312</v>
      </c>
      <c r="J47">
        <v>1802.2</v>
      </c>
      <c r="K47" s="42">
        <v>14.14831147601285</v>
      </c>
    </row>
    <row r="48" spans="1:17" x14ac:dyDescent="0.2">
      <c r="A48" t="s">
        <v>128</v>
      </c>
      <c r="D48" s="101">
        <f>G47/H47</f>
        <v>178.60061371215693</v>
      </c>
      <c r="E48" s="101">
        <f>J47/K47</f>
        <v>127.37915779246612</v>
      </c>
      <c r="F48" s="101"/>
      <c r="H48" s="50">
        <v>31.192223337050091</v>
      </c>
      <c r="K48" s="86">
        <v>12.643119128420871</v>
      </c>
    </row>
    <row r="49" spans="1:11" x14ac:dyDescent="0.2">
      <c r="A49" t="s">
        <v>67</v>
      </c>
      <c r="E49" s="101"/>
      <c r="F49" s="101"/>
      <c r="H49" s="51">
        <v>1.1944438157590089</v>
      </c>
      <c r="K49" s="86">
        <v>1.123044522461895</v>
      </c>
    </row>
    <row r="50" spans="1:11" x14ac:dyDescent="0.2">
      <c r="A50">
        <v>2.14</v>
      </c>
      <c r="E50" s="101"/>
      <c r="F50" s="101"/>
      <c r="H50" s="51">
        <v>1.5030558665428491</v>
      </c>
      <c r="K50" s="86">
        <v>1.137437778765692</v>
      </c>
    </row>
    <row r="51" spans="1:11" x14ac:dyDescent="0.2">
      <c r="E51" s="101"/>
      <c r="F51" s="101"/>
      <c r="H51" s="99">
        <f>H49/H47</f>
        <v>0.10596588409344891</v>
      </c>
      <c r="I51" s="99"/>
      <c r="J51" s="99"/>
      <c r="K51" s="99">
        <f>K49/K47</f>
        <v>7.9376576092907825E-2</v>
      </c>
    </row>
    <row r="52" spans="1:11" x14ac:dyDescent="0.2">
      <c r="A52" t="s">
        <v>125</v>
      </c>
      <c r="B52" s="98">
        <f>(E53/D53)^(1/4)-1</f>
        <v>0.25744152764001549</v>
      </c>
      <c r="C52" s="98">
        <f>(E52/D52)^(1/4)-1</f>
        <v>6.4662053546711507E-2</v>
      </c>
      <c r="D52" s="101">
        <f>G52/H54</f>
        <v>1163.0306624794052</v>
      </c>
      <c r="E52" s="101">
        <f>J52/K54</f>
        <v>1494.3016156005119</v>
      </c>
      <c r="F52" s="101"/>
      <c r="G52">
        <v>2188.14</v>
      </c>
      <c r="H52" s="54">
        <v>27.5008245053208</v>
      </c>
      <c r="J52">
        <v>2292.67</v>
      </c>
      <c r="K52" s="86">
        <v>11.52553148362232</v>
      </c>
    </row>
    <row r="53" spans="1:11" x14ac:dyDescent="0.2">
      <c r="A53" t="s">
        <v>124</v>
      </c>
      <c r="D53" s="101">
        <f>G52/H52</f>
        <v>79.566341713741835</v>
      </c>
      <c r="E53" s="101">
        <f>J52/K52</f>
        <v>198.92097846054773</v>
      </c>
      <c r="F53" s="101"/>
      <c r="H53" s="54">
        <v>33.942365730139741</v>
      </c>
      <c r="K53" s="86">
        <v>13.706869168031741</v>
      </c>
    </row>
    <row r="54" spans="1:11" x14ac:dyDescent="0.2">
      <c r="A54" t="s">
        <v>67</v>
      </c>
      <c r="E54" s="101"/>
      <c r="F54" s="101"/>
      <c r="H54" s="54">
        <v>1.8814121334816889</v>
      </c>
      <c r="K54" s="86">
        <v>1.534275260137927</v>
      </c>
    </row>
    <row r="55" spans="1:11" x14ac:dyDescent="0.2">
      <c r="A55">
        <v>2.7</v>
      </c>
      <c r="E55" s="101"/>
      <c r="F55" s="101"/>
      <c r="H55" s="49">
        <v>2.0628507395390789</v>
      </c>
      <c r="K55" s="86">
        <v>1.5152591102944399</v>
      </c>
    </row>
    <row r="56" spans="1:11" x14ac:dyDescent="0.2">
      <c r="E56" s="101"/>
      <c r="F56" s="101"/>
      <c r="H56" s="99">
        <f>H54/H52</f>
        <v>6.8412935514630749E-2</v>
      </c>
      <c r="I56" s="99"/>
      <c r="J56" s="99"/>
      <c r="K56" s="99">
        <f>K54/K52</f>
        <v>0.13311969711055138</v>
      </c>
    </row>
    <row r="57" spans="1:11" x14ac:dyDescent="0.2">
      <c r="A57" t="s">
        <v>133</v>
      </c>
      <c r="B57" s="98">
        <f>(E58/D58)^(1/4)-1</f>
        <v>2.3558748886840508E-2</v>
      </c>
      <c r="C57" s="98">
        <f>(E57/D57)^(1/4)-1</f>
        <v>2.4959176001463579E-2</v>
      </c>
      <c r="D57" s="101">
        <f>G57/H59</f>
        <v>1464.0757537762984</v>
      </c>
      <c r="E57" s="101">
        <f>J57/K59</f>
        <v>1615.8082447107695</v>
      </c>
      <c r="F57" s="101"/>
      <c r="G57">
        <v>2680.25</v>
      </c>
      <c r="H57" s="49">
        <v>19.044297328370181</v>
      </c>
      <c r="J57">
        <v>2409.38</v>
      </c>
      <c r="K57" s="86">
        <v>15.59709977823662</v>
      </c>
    </row>
    <row r="58" spans="1:11" x14ac:dyDescent="0.2">
      <c r="A58" t="s">
        <v>132</v>
      </c>
      <c r="D58" s="101">
        <f>G57/H57</f>
        <v>140.7376682786425</v>
      </c>
      <c r="E58" s="101">
        <f>J57/K57</f>
        <v>154.47615481449463</v>
      </c>
      <c r="F58" s="101"/>
      <c r="H58" s="49">
        <v>27.824224840889059</v>
      </c>
      <c r="K58" s="42">
        <v>24.617811427223561</v>
      </c>
    </row>
    <row r="59" spans="1:11" x14ac:dyDescent="0.2">
      <c r="A59" t="s">
        <v>67</v>
      </c>
      <c r="E59" s="101"/>
      <c r="F59" s="101"/>
      <c r="H59" s="54">
        <v>1.8306771306654159</v>
      </c>
      <c r="K59" s="86">
        <v>1.4911299084448479</v>
      </c>
    </row>
    <row r="60" spans="1:11" x14ac:dyDescent="0.2">
      <c r="A60">
        <v>3.76</v>
      </c>
      <c r="E60" s="101"/>
      <c r="F60" s="101"/>
      <c r="H60" s="49">
        <v>2.1890100902461702</v>
      </c>
      <c r="K60" s="86">
        <v>1.521939574333069</v>
      </c>
    </row>
    <row r="61" spans="1:11" x14ac:dyDescent="0.2">
      <c r="E61" s="101"/>
      <c r="F61" s="101"/>
      <c r="H61" s="99">
        <f>H59/H57</f>
        <v>9.6127313027100592E-2</v>
      </c>
      <c r="I61" s="99"/>
      <c r="J61" s="99"/>
      <c r="K61" s="99">
        <f>K59/K57</f>
        <v>9.5603024257464378E-2</v>
      </c>
    </row>
    <row r="62" spans="1:11" x14ac:dyDescent="0.2">
      <c r="A62" t="s">
        <v>113</v>
      </c>
      <c r="B62" s="98">
        <f>(E63/D63)^(1/4)-1</f>
        <v>5.9196381291361178E-2</v>
      </c>
      <c r="C62" s="98">
        <f>(E62/D62)^(1/4)-1</f>
        <v>8.0929631560824111E-2</v>
      </c>
      <c r="D62" s="101">
        <f>G62/H64</f>
        <v>1644.6782545741664</v>
      </c>
      <c r="E62" s="101">
        <f>J62/K64</f>
        <v>2245.2806815352837</v>
      </c>
      <c r="F62" s="101"/>
      <c r="G62">
        <v>4050.98</v>
      </c>
      <c r="H62" s="54">
        <v>17.62953681715415</v>
      </c>
      <c r="J62">
        <v>4047.4</v>
      </c>
      <c r="K62" s="86">
        <v>13.99429346922221</v>
      </c>
    </row>
    <row r="63" spans="1:11" x14ac:dyDescent="0.2">
      <c r="A63" t="s">
        <v>111</v>
      </c>
      <c r="D63" s="101">
        <f>G62/H62</f>
        <v>229.78368870464345</v>
      </c>
      <c r="E63" s="101">
        <f>J62/K62</f>
        <v>289.21788791277584</v>
      </c>
      <c r="F63" s="101"/>
      <c r="H63" s="54">
        <v>23.163940672417031</v>
      </c>
      <c r="K63" s="86">
        <v>21.049563233608591</v>
      </c>
    </row>
    <row r="64" spans="1:11" x14ac:dyDescent="0.2">
      <c r="A64" t="s">
        <v>67</v>
      </c>
      <c r="E64" s="101"/>
      <c r="F64" s="101"/>
      <c r="H64" s="49">
        <v>2.4630835780393192</v>
      </c>
      <c r="K64" s="86">
        <v>1.8026254059392071</v>
      </c>
    </row>
    <row r="65" spans="1:11" x14ac:dyDescent="0.2">
      <c r="A65">
        <v>3.57</v>
      </c>
      <c r="E65" s="101"/>
      <c r="F65" s="101"/>
      <c r="H65" s="49">
        <v>2.4575958604392532</v>
      </c>
      <c r="K65" s="86">
        <v>1.5029029851199021</v>
      </c>
    </row>
    <row r="66" spans="1:11" x14ac:dyDescent="0.2">
      <c r="E66" s="101"/>
      <c r="F66" s="101"/>
      <c r="H66" s="99">
        <f>H64/H62</f>
        <v>0.13971345949614816</v>
      </c>
      <c r="I66" s="99"/>
      <c r="J66" s="99"/>
      <c r="K66" s="99">
        <f>K64/K62</f>
        <v>0.12881146232239157</v>
      </c>
    </row>
    <row r="67" spans="1:11" x14ac:dyDescent="0.2">
      <c r="A67" t="s">
        <v>65</v>
      </c>
      <c r="B67" s="98">
        <f>(E68/D68)^(1/4)-1</f>
        <v>0.1200275211581987</v>
      </c>
      <c r="C67" s="98">
        <f>(E67/D67)^(1/4)-1</f>
        <v>5.8137813369593783E-2</v>
      </c>
      <c r="D67" s="101">
        <f>G67/H69</f>
        <v>1887.9539657943633</v>
      </c>
      <c r="E67" s="101">
        <f>J67/K69</f>
        <v>2366.7933408466761</v>
      </c>
      <c r="F67" s="101"/>
      <c r="G67">
        <v>5774.06</v>
      </c>
      <c r="H67" s="54">
        <v>20.947728093644979</v>
      </c>
      <c r="J67">
        <v>9755.51</v>
      </c>
      <c r="K67" s="42">
        <v>22.490071550281659</v>
      </c>
    </row>
    <row r="68" spans="1:11" x14ac:dyDescent="0.2">
      <c r="A68" t="s">
        <v>63</v>
      </c>
      <c r="D68" s="101">
        <f>G67/H67</f>
        <v>275.6413475574808</v>
      </c>
      <c r="E68" s="101">
        <f>J67/K67</f>
        <v>433.76962933129596</v>
      </c>
      <c r="F68" s="101"/>
      <c r="H68" s="54">
        <v>32.332178293488369</v>
      </c>
      <c r="K68" s="86">
        <v>27.443996009340982</v>
      </c>
    </row>
    <row r="69" spans="1:11" x14ac:dyDescent="0.2">
      <c r="A69" t="s">
        <v>67</v>
      </c>
      <c r="E69" s="101"/>
      <c r="F69" s="101"/>
      <c r="H69" s="51">
        <v>3.058369062283012</v>
      </c>
      <c r="K69" s="42">
        <v>4.1218258610234848</v>
      </c>
    </row>
    <row r="70" spans="1:11" x14ac:dyDescent="0.2">
      <c r="A70">
        <v>2.36</v>
      </c>
      <c r="E70" s="101"/>
      <c r="F70" s="101"/>
      <c r="H70" s="54">
        <v>3.022589856617234</v>
      </c>
      <c r="K70" s="86">
        <v>2.3640654422438221</v>
      </c>
    </row>
    <row r="71" spans="1:11" x14ac:dyDescent="0.2">
      <c r="E71" s="101"/>
      <c r="F71" s="101"/>
      <c r="H71" s="99">
        <f>H69/H67</f>
        <v>0.14600003630994451</v>
      </c>
      <c r="I71" s="99"/>
      <c r="J71" s="99"/>
      <c r="K71" s="99">
        <f>K69/K67</f>
        <v>0.18327313240459051</v>
      </c>
    </row>
    <row r="72" spans="1:11" x14ac:dyDescent="0.2">
      <c r="A72" s="80" t="s">
        <v>95</v>
      </c>
      <c r="B72" s="98">
        <f>(E73/D73)^(1/4)-1</f>
        <v>0.11752310013697786</v>
      </c>
      <c r="C72" s="98">
        <f>(E72/D72)^(1/4)-1</f>
        <v>0.11251116474446388</v>
      </c>
      <c r="D72" s="101">
        <f>G72/H74</f>
        <v>1684.7417024766216</v>
      </c>
      <c r="E72" s="101">
        <f>J72/K74</f>
        <v>2580.7791325081466</v>
      </c>
      <c r="F72" s="101"/>
      <c r="G72">
        <v>7239.72</v>
      </c>
      <c r="H72" s="49">
        <v>33.786519816732437</v>
      </c>
      <c r="J72">
        <v>8906.23</v>
      </c>
      <c r="K72" s="86">
        <v>26.64953033387274</v>
      </c>
    </row>
    <row r="73" spans="1:11" x14ac:dyDescent="0.2">
      <c r="A73" t="s">
        <v>93</v>
      </c>
      <c r="D73" s="101">
        <f>G72/H72</f>
        <v>214.27835832960224</v>
      </c>
      <c r="E73" s="101">
        <f>J72/K72</f>
        <v>334.19838505295473</v>
      </c>
      <c r="F73" s="101"/>
      <c r="H73" s="49">
        <v>37.021980512378612</v>
      </c>
      <c r="K73" s="86">
        <v>22.655927107973099</v>
      </c>
    </row>
    <row r="74" spans="1:11" x14ac:dyDescent="0.2">
      <c r="A74" t="s">
        <v>67</v>
      </c>
      <c r="E74" s="101"/>
      <c r="F74" s="101"/>
      <c r="H74" s="54">
        <v>4.2972284649672954</v>
      </c>
      <c r="K74" s="86">
        <v>3.4509849710945328</v>
      </c>
    </row>
    <row r="75" spans="1:11" x14ac:dyDescent="0.2">
      <c r="A75">
        <v>3.34</v>
      </c>
      <c r="E75" s="101"/>
      <c r="F75" s="101"/>
      <c r="H75" s="49">
        <v>3.9602560779708749</v>
      </c>
      <c r="K75" s="86">
        <v>2.4629758579466698</v>
      </c>
    </row>
    <row r="76" spans="1:11" x14ac:dyDescent="0.2">
      <c r="E76" s="101"/>
      <c r="F76" s="101"/>
      <c r="H76" s="99">
        <f>H74/H72</f>
        <v>0.12718766206986301</v>
      </c>
      <c r="I76" s="99"/>
      <c r="J76" s="99"/>
      <c r="K76" s="99">
        <f>K74/K72</f>
        <v>0.12949515161654376</v>
      </c>
    </row>
    <row r="77" spans="1:11" x14ac:dyDescent="0.2">
      <c r="A77" s="81" t="s">
        <v>153</v>
      </c>
      <c r="B77" s="98">
        <f>(E78/D78)^(1/5)-1</f>
        <v>0.11746622711586641</v>
      </c>
      <c r="C77" s="98">
        <f>(E77/D77)^(1/5)-1</f>
        <v>0.1083754011298832</v>
      </c>
      <c r="D77" s="101">
        <f>G77/H80</f>
        <v>2279.8994974874372</v>
      </c>
      <c r="E77" s="101">
        <f>J77/K80</f>
        <v>3813.7313432835822</v>
      </c>
      <c r="F77" s="101"/>
      <c r="G77">
        <v>9074</v>
      </c>
      <c r="H77" s="48"/>
      <c r="J77">
        <v>12776</v>
      </c>
      <c r="K77" s="41"/>
    </row>
    <row r="78" spans="1:11" x14ac:dyDescent="0.2">
      <c r="D78" s="101">
        <f>G77/H78</f>
        <v>244.31879375336564</v>
      </c>
      <c r="E78" s="101">
        <f>J77/K78</f>
        <v>425.72475841386205</v>
      </c>
      <c r="F78" s="101"/>
      <c r="G78" s="128"/>
      <c r="H78" s="48">
        <v>37.14</v>
      </c>
      <c r="J78" s="128"/>
      <c r="K78" s="41">
        <v>30.01</v>
      </c>
    </row>
    <row r="79" spans="1:11" x14ac:dyDescent="0.2">
      <c r="E79" s="101"/>
      <c r="F79" s="101"/>
      <c r="G79" s="128"/>
      <c r="H79" s="52"/>
      <c r="J79" s="128"/>
      <c r="K79" s="41"/>
    </row>
    <row r="80" spans="1:11" x14ac:dyDescent="0.2">
      <c r="E80" s="101"/>
      <c r="F80" s="101"/>
      <c r="G80" s="128"/>
      <c r="H80" s="52">
        <v>3.98</v>
      </c>
      <c r="J80" s="128"/>
      <c r="K80" s="41">
        <v>3.35</v>
      </c>
    </row>
    <row r="81" spans="1:11" x14ac:dyDescent="0.2">
      <c r="E81" s="101"/>
      <c r="F81" s="101"/>
      <c r="H81" s="99">
        <f>H80/H78</f>
        <v>0.10716208939149165</v>
      </c>
      <c r="I81" s="99"/>
      <c r="J81" s="99"/>
      <c r="K81" s="99">
        <f>K80/K78</f>
        <v>0.11162945684771743</v>
      </c>
    </row>
    <row r="82" spans="1:11" x14ac:dyDescent="0.2">
      <c r="A82" t="s">
        <v>115</v>
      </c>
      <c r="B82" s="98">
        <f>(E83/D83)^(1/4)-1</f>
        <v>2.0435733278237223E-2</v>
      </c>
      <c r="C82" s="98">
        <f>(E82/D82)^(1/4)-1</f>
        <v>9.6672991883535841E-2</v>
      </c>
      <c r="D82" s="101">
        <f>G82/H84</f>
        <v>3666.1634984850625</v>
      </c>
      <c r="E82" s="101">
        <f>J82/K84</f>
        <v>5302.9852785889616</v>
      </c>
      <c r="F82" s="101"/>
      <c r="G82">
        <v>3949.23</v>
      </c>
      <c r="H82" s="51">
        <v>6.3311908444427392</v>
      </c>
      <c r="J82">
        <v>5438.12</v>
      </c>
      <c r="K82" s="42">
        <v>8.0404273357205476</v>
      </c>
    </row>
    <row r="83" spans="1:11" x14ac:dyDescent="0.2">
      <c r="A83" t="s">
        <v>114</v>
      </c>
      <c r="D83" s="101">
        <f>G82/H82</f>
        <v>623.77364654336282</v>
      </c>
      <c r="E83" s="101">
        <f>J82/K82</f>
        <v>676.34713590912133</v>
      </c>
      <c r="F83" s="101"/>
      <c r="H83" s="54">
        <v>13.65733273434917</v>
      </c>
      <c r="K83" s="42">
        <v>13.330887405003329</v>
      </c>
    </row>
    <row r="84" spans="1:11" x14ac:dyDescent="0.2">
      <c r="A84" t="s">
        <v>67</v>
      </c>
      <c r="E84" s="101"/>
      <c r="F84" s="101"/>
      <c r="H84" s="51">
        <v>1.077210550383775</v>
      </c>
      <c r="K84" s="86">
        <v>1.0254827638229831</v>
      </c>
    </row>
    <row r="85" spans="1:11" x14ac:dyDescent="0.2">
      <c r="A85">
        <v>2.72</v>
      </c>
      <c r="E85" s="101"/>
      <c r="F85" s="101"/>
      <c r="H85" s="54">
        <v>1.6950477964647901</v>
      </c>
      <c r="K85" s="86">
        <v>1.166253100727709</v>
      </c>
    </row>
    <row r="86" spans="1:11" x14ac:dyDescent="0.2">
      <c r="E86" s="101"/>
      <c r="F86" s="101"/>
      <c r="H86" s="99">
        <f>H84/H82</f>
        <v>0.1701434338106087</v>
      </c>
      <c r="I86" s="99"/>
      <c r="J86" s="99"/>
      <c r="K86" s="99">
        <f>K84/K82</f>
        <v>0.12754082849143539</v>
      </c>
    </row>
    <row r="87" spans="1:11" x14ac:dyDescent="0.2">
      <c r="A87" t="s">
        <v>106</v>
      </c>
      <c r="B87" s="98">
        <f>(E88/D88)^(1/4)-1</f>
        <v>9.8881427073624684E-2</v>
      </c>
      <c r="C87" s="98">
        <f>(E87/D87)^(1/4)-1</f>
        <v>5.5479117599023242E-2</v>
      </c>
      <c r="D87" s="101">
        <f>G87/H89</f>
        <v>839.67524999795171</v>
      </c>
      <c r="E87" s="101">
        <f>J87/K89</f>
        <v>1042.1012900266824</v>
      </c>
      <c r="F87" s="101"/>
      <c r="G87">
        <v>3174.29</v>
      </c>
      <c r="H87" s="54">
        <v>43.540292802117563</v>
      </c>
      <c r="J87">
        <v>3147.45</v>
      </c>
      <c r="K87" s="86">
        <v>29.60739865885245</v>
      </c>
    </row>
    <row r="88" spans="1:11" x14ac:dyDescent="0.2">
      <c r="A88" t="s">
        <v>104</v>
      </c>
      <c r="D88" s="101">
        <f>G87/H87</f>
        <v>72.904654418070876</v>
      </c>
      <c r="E88" s="101">
        <f>J87/K87</f>
        <v>106.30619853726763</v>
      </c>
      <c r="F88" s="101"/>
      <c r="H88" s="54">
        <v>50.560286862271298</v>
      </c>
      <c r="K88" s="42">
        <v>45.307424407143358</v>
      </c>
    </row>
    <row r="89" spans="1:11" x14ac:dyDescent="0.2">
      <c r="A89" t="s">
        <v>67</v>
      </c>
      <c r="E89" s="101"/>
      <c r="F89" s="101"/>
      <c r="H89" s="54">
        <v>3.780378187886023</v>
      </c>
      <c r="K89" s="86">
        <v>3.0202918181968772</v>
      </c>
    </row>
    <row r="90" spans="1:11" x14ac:dyDescent="0.2">
      <c r="A90">
        <v>5.21</v>
      </c>
      <c r="E90" s="101"/>
      <c r="F90" s="101"/>
      <c r="H90" s="49">
        <v>4.0102662717353814</v>
      </c>
      <c r="K90" s="86">
        <v>2.3041174287553861</v>
      </c>
    </row>
    <row r="91" spans="1:11" x14ac:dyDescent="0.2">
      <c r="E91" s="101"/>
      <c r="F91" s="101"/>
      <c r="H91" s="99">
        <f>H89/H87</f>
        <v>8.6824822356320164E-2</v>
      </c>
      <c r="I91" s="99"/>
      <c r="J91" s="99"/>
      <c r="K91" s="99">
        <f>K89/K87</f>
        <v>0.10201138752505116</v>
      </c>
    </row>
    <row r="92" spans="1:11" x14ac:dyDescent="0.2">
      <c r="A92" t="s">
        <v>141</v>
      </c>
      <c r="B92" s="98">
        <f>(E93/D93)^(1/4)-1</f>
        <v>-0.25267933506380347</v>
      </c>
      <c r="C92" s="98">
        <f>(E92/D92)^(1/4)-1</f>
        <v>1.8942852483632144E-3</v>
      </c>
      <c r="D92" s="101">
        <f>G92/H94</f>
        <v>2087.9914081159991</v>
      </c>
      <c r="E92" s="101">
        <f>J92/K94</f>
        <v>2103.8574244514834</v>
      </c>
      <c r="F92" s="101"/>
      <c r="G92">
        <v>3680.71</v>
      </c>
      <c r="H92" s="51">
        <v>26.433284633381209</v>
      </c>
      <c r="J92">
        <v>4055.42</v>
      </c>
      <c r="K92" s="43">
        <v>93.374309620556602</v>
      </c>
    </row>
    <row r="93" spans="1:11" x14ac:dyDescent="0.2">
      <c r="A93" t="s">
        <v>140</v>
      </c>
      <c r="D93" s="101">
        <f>G92/H92</f>
        <v>139.24527545668028</v>
      </c>
      <c r="E93" s="101">
        <f>J92/K92</f>
        <v>43.43186061005359</v>
      </c>
      <c r="F93" s="101"/>
      <c r="H93" s="49">
        <v>40.911145721052961</v>
      </c>
      <c r="K93" s="42">
        <v>36.625567252079428</v>
      </c>
    </row>
    <row r="94" spans="1:11" x14ac:dyDescent="0.2">
      <c r="A94" t="s">
        <v>67</v>
      </c>
      <c r="E94" s="101"/>
      <c r="F94" s="101"/>
      <c r="H94" s="54">
        <v>1.7627993993141551</v>
      </c>
      <c r="K94" s="42">
        <v>1.9276116113511479</v>
      </c>
    </row>
    <row r="95" spans="1:11" x14ac:dyDescent="0.2">
      <c r="A95">
        <v>5.13</v>
      </c>
      <c r="E95" s="101"/>
      <c r="F95" s="101"/>
      <c r="H95" s="49">
        <v>2.6186564803088181</v>
      </c>
      <c r="K95" s="86">
        <v>2.1414705813623849</v>
      </c>
    </row>
    <row r="96" spans="1:11" x14ac:dyDescent="0.2">
      <c r="E96" s="101"/>
      <c r="F96" s="101"/>
      <c r="H96" s="99">
        <f>H94/H92</f>
        <v>6.6688624730655233E-2</v>
      </c>
      <c r="I96" s="99"/>
      <c r="J96" s="99"/>
      <c r="K96" s="99">
        <f>K94/K92</f>
        <v>2.0643918216738055E-2</v>
      </c>
    </row>
    <row r="97" spans="1:11" x14ac:dyDescent="0.2">
      <c r="A97" t="s">
        <v>135</v>
      </c>
      <c r="B97" s="98">
        <f>(E98/D98)^(1/4)-1</f>
        <v>-9.471580938252E-2</v>
      </c>
      <c r="C97" s="98">
        <f>(E97/D97)^(1/4)-1</f>
        <v>2.9388444119899937E-2</v>
      </c>
      <c r="D97" s="101">
        <f>G97/H99</f>
        <v>1118.7271349261346</v>
      </c>
      <c r="E97" s="101">
        <f>J97/K99</f>
        <v>1256.1494900143593</v>
      </c>
      <c r="F97" s="101"/>
      <c r="G97">
        <v>1983.49</v>
      </c>
      <c r="H97" s="54">
        <v>13.15423923919427</v>
      </c>
      <c r="J97">
        <v>1910.18</v>
      </c>
      <c r="K97" s="42">
        <v>18.861241242742029</v>
      </c>
    </row>
    <row r="98" spans="1:11" x14ac:dyDescent="0.2">
      <c r="A98" t="s">
        <v>134</v>
      </c>
      <c r="D98" s="101">
        <f>G97/H97</f>
        <v>150.78713135230265</v>
      </c>
      <c r="E98" s="101">
        <f>J97/K97</f>
        <v>101.27541318284416</v>
      </c>
      <c r="F98" s="101"/>
      <c r="H98" s="54">
        <v>18.71866650287388</v>
      </c>
      <c r="K98" s="42">
        <v>21.905102679067269</v>
      </c>
    </row>
    <row r="99" spans="1:11" x14ac:dyDescent="0.2">
      <c r="A99" t="s">
        <v>67</v>
      </c>
      <c r="E99" s="101"/>
      <c r="F99" s="101"/>
      <c r="H99" s="54">
        <v>1.772988191737177</v>
      </c>
      <c r="K99" s="86">
        <v>1.5206629586564291</v>
      </c>
    </row>
    <row r="100" spans="1:11" x14ac:dyDescent="0.2">
      <c r="A100">
        <v>3.37</v>
      </c>
      <c r="E100" s="101"/>
      <c r="F100" s="101"/>
      <c r="H100" s="49">
        <v>2.2178724660699962</v>
      </c>
      <c r="K100" s="86">
        <v>1.383101471692654</v>
      </c>
    </row>
    <row r="101" spans="1:11" x14ac:dyDescent="0.2">
      <c r="E101" s="101"/>
      <c r="F101" s="101"/>
      <c r="H101" s="99">
        <f>H99/H97</f>
        <v>0.13478454812152077</v>
      </c>
      <c r="I101" s="99"/>
      <c r="J101" s="99"/>
      <c r="K101" s="99">
        <f>K99/K97</f>
        <v>8.0623694861100062E-2</v>
      </c>
    </row>
    <row r="102" spans="1:11" x14ac:dyDescent="0.2">
      <c r="A102" s="81" t="s">
        <v>44</v>
      </c>
      <c r="B102" s="98">
        <f>(E103/D103)^(1/4)-1</f>
        <v>0.2081111483419289</v>
      </c>
      <c r="C102" s="98">
        <f>(E102/D102)^(1/4)-1</f>
        <v>0.14509829387000628</v>
      </c>
      <c r="D102" s="101">
        <f>G102/H104</f>
        <v>2827.268486940789</v>
      </c>
      <c r="E102" s="101">
        <f>J102/K104</f>
        <v>4861.1399332476922</v>
      </c>
      <c r="F102" s="101"/>
      <c r="G102">
        <v>4391.37</v>
      </c>
      <c r="H102" s="54">
        <v>9.627921707640569</v>
      </c>
      <c r="J102">
        <v>7974.98</v>
      </c>
      <c r="K102" s="86">
        <v>8.2079472003309508</v>
      </c>
    </row>
    <row r="103" spans="1:11" x14ac:dyDescent="0.2">
      <c r="A103" t="s">
        <v>733</v>
      </c>
      <c r="D103" s="101">
        <f>G102/H102</f>
        <v>456.10778040655202</v>
      </c>
      <c r="E103" s="101">
        <f>J102/K102</f>
        <v>971.61687390952545</v>
      </c>
      <c r="F103" s="101"/>
      <c r="H103" s="54">
        <v>11.51366009565697</v>
      </c>
      <c r="K103" s="86">
        <v>7.6355854091890629</v>
      </c>
    </row>
    <row r="104" spans="1:11" x14ac:dyDescent="0.2">
      <c r="A104" t="s">
        <v>46</v>
      </c>
      <c r="E104" s="101"/>
      <c r="F104" s="101"/>
      <c r="H104" s="54">
        <v>1.5532200144004109</v>
      </c>
      <c r="K104" s="86">
        <v>1.640557587214317</v>
      </c>
    </row>
    <row r="105" spans="1:11" x14ac:dyDescent="0.2">
      <c r="A105">
        <v>3.11</v>
      </c>
      <c r="E105" s="101"/>
      <c r="F105" s="101"/>
      <c r="H105" s="54">
        <v>1.5435051690584991</v>
      </c>
      <c r="K105" s="86">
        <v>1.3400790342078079</v>
      </c>
    </row>
    <row r="106" spans="1:11" x14ac:dyDescent="0.2">
      <c r="E106" s="101"/>
      <c r="F106" s="101"/>
      <c r="H106" s="99">
        <f>H104/H102</f>
        <v>0.16132453727451893</v>
      </c>
      <c r="I106" s="99"/>
      <c r="J106" s="99"/>
      <c r="K106" s="99">
        <f>K104/K102</f>
        <v>0.19987428612457064</v>
      </c>
    </row>
    <row r="107" spans="1:11" x14ac:dyDescent="0.2">
      <c r="A107" s="81" t="s">
        <v>734</v>
      </c>
      <c r="B107" s="98">
        <f>(E108/D108)^(1/5)-1</f>
        <v>0.17846638528392589</v>
      </c>
      <c r="C107" s="98">
        <f>(E107/D107)^(1/5)-1</f>
        <v>0.14553616405505831</v>
      </c>
      <c r="D107" s="101">
        <f>G107/H110</f>
        <v>2616.911764705882</v>
      </c>
      <c r="E107" s="101">
        <f>J107/K110</f>
        <v>5162.1794871794873</v>
      </c>
      <c r="F107" s="101"/>
      <c r="G107">
        <v>3559</v>
      </c>
      <c r="H107" s="54"/>
      <c r="J107">
        <v>8053</v>
      </c>
      <c r="K107" s="86"/>
    </row>
    <row r="108" spans="1:11" x14ac:dyDescent="0.2">
      <c r="A108" t="s">
        <v>733</v>
      </c>
      <c r="D108" s="101">
        <f>G107/H108</f>
        <v>399.88764044943821</v>
      </c>
      <c r="E108" s="101">
        <f>J107/K108</f>
        <v>908.91647855530482</v>
      </c>
      <c r="F108" s="101"/>
      <c r="H108" s="54">
        <v>8.9</v>
      </c>
      <c r="K108" s="86">
        <v>8.86</v>
      </c>
    </row>
    <row r="109" spans="1:11" x14ac:dyDescent="0.2">
      <c r="A109" t="s">
        <v>46</v>
      </c>
      <c r="E109" s="101"/>
      <c r="F109" s="101"/>
      <c r="H109" s="54"/>
      <c r="K109" s="86"/>
    </row>
    <row r="110" spans="1:11" x14ac:dyDescent="0.2">
      <c r="A110">
        <v>3.11</v>
      </c>
      <c r="E110" s="101"/>
      <c r="F110" s="101"/>
      <c r="H110" s="54">
        <v>1.36</v>
      </c>
      <c r="K110" s="86">
        <v>1.56</v>
      </c>
    </row>
    <row r="111" spans="1:11" x14ac:dyDescent="0.2">
      <c r="E111" s="101"/>
      <c r="F111" s="101"/>
      <c r="H111" s="99">
        <f>H110/H108</f>
        <v>0.15280898876404495</v>
      </c>
      <c r="I111" s="99"/>
      <c r="J111" s="99"/>
      <c r="K111" s="99">
        <f>K110/K108</f>
        <v>0.1760722347629797</v>
      </c>
    </row>
    <row r="112" spans="1:11" x14ac:dyDescent="0.2">
      <c r="A112" t="s">
        <v>123</v>
      </c>
      <c r="B112" s="98">
        <f>(E113/D113)^(1/4)-1</f>
        <v>-9.2640576885999137E-2</v>
      </c>
      <c r="C112" s="98">
        <f>(E112/D112)^(1/4)-1</f>
        <v>-2.9673145610916052E-2</v>
      </c>
      <c r="D112" s="101">
        <f>G112/H114</f>
        <v>1644.8845110960069</v>
      </c>
      <c r="E112" s="101">
        <f>J112/K114</f>
        <v>1458.1681729690004</v>
      </c>
      <c r="F112" s="101"/>
      <c r="G112">
        <v>1994.59</v>
      </c>
      <c r="H112" s="54">
        <v>11.575037186003719</v>
      </c>
      <c r="J112">
        <v>1647.77</v>
      </c>
      <c r="K112" s="42">
        <v>14.107430971195789</v>
      </c>
    </row>
    <row r="113" spans="1:11" x14ac:dyDescent="0.2">
      <c r="A113" t="s">
        <v>121</v>
      </c>
      <c r="D113" s="101">
        <f>G112/H112</f>
        <v>172.31823690482949</v>
      </c>
      <c r="E113" s="101">
        <f>J112/K112</f>
        <v>116.80156389667097</v>
      </c>
      <c r="F113" s="101"/>
      <c r="H113" s="50">
        <v>40.342810808980161</v>
      </c>
      <c r="K113" s="43">
        <v>14.990564598518089</v>
      </c>
    </row>
    <row r="114" spans="1:11" x14ac:dyDescent="0.2">
      <c r="A114" t="s">
        <v>55</v>
      </c>
      <c r="E114" s="101"/>
      <c r="F114" s="101"/>
      <c r="H114" s="51">
        <v>1.212601849275716</v>
      </c>
      <c r="K114" s="86">
        <v>1.13002740736341</v>
      </c>
    </row>
    <row r="115" spans="1:11" x14ac:dyDescent="0.2">
      <c r="A115">
        <v>2.16</v>
      </c>
      <c r="E115" s="101"/>
      <c r="F115" s="101"/>
      <c r="H115" s="54">
        <v>1.7248011781075181</v>
      </c>
      <c r="K115" s="86">
        <v>1.20212581782367</v>
      </c>
    </row>
    <row r="116" spans="1:11" x14ac:dyDescent="0.2">
      <c r="E116" s="101"/>
      <c r="F116" s="101"/>
      <c r="H116" s="99">
        <f>H114/H112</f>
        <v>0.10476008239022917</v>
      </c>
      <c r="I116" s="99"/>
      <c r="J116" s="99"/>
      <c r="K116" s="99">
        <f>K114/K112</f>
        <v>8.0101572686811132E-2</v>
      </c>
    </row>
    <row r="117" spans="1:11" x14ac:dyDescent="0.2">
      <c r="A117" t="s">
        <v>127</v>
      </c>
      <c r="B117" s="98">
        <f>(E118/D118)^(1/4)-1</f>
        <v>0.3007116674709942</v>
      </c>
      <c r="C117" s="98">
        <f>(E117/D117)^(1/4)-1</f>
        <v>4.5728952666864497E-2</v>
      </c>
      <c r="D117" s="101">
        <f>G117/H119</f>
        <v>1243.6304685569619</v>
      </c>
      <c r="E117" s="101">
        <f>J117/K119</f>
        <v>1487.1948842486488</v>
      </c>
      <c r="F117" s="101"/>
      <c r="G117">
        <v>2582.42</v>
      </c>
      <c r="H117" s="49">
        <v>39.894557071589567</v>
      </c>
      <c r="J117">
        <v>2456.11</v>
      </c>
      <c r="K117" s="86">
        <v>13.255937288652071</v>
      </c>
    </row>
    <row r="118" spans="1:11" x14ac:dyDescent="0.2">
      <c r="A118" t="s">
        <v>126</v>
      </c>
      <c r="D118" s="101">
        <f>G117/H117</f>
        <v>64.731136013514984</v>
      </c>
      <c r="E118" s="101">
        <f>J117/K117</f>
        <v>185.28376730497868</v>
      </c>
      <c r="F118" s="101"/>
      <c r="H118" s="49">
        <v>64.328899378536448</v>
      </c>
      <c r="K118" s="86">
        <v>19.17814520005988</v>
      </c>
    </row>
    <row r="119" spans="1:11" x14ac:dyDescent="0.2">
      <c r="A119" t="s">
        <v>55</v>
      </c>
      <c r="E119" s="101"/>
      <c r="F119" s="101"/>
      <c r="H119" s="49">
        <v>2.0765171530386302</v>
      </c>
      <c r="K119" s="86">
        <v>1.651505143013493</v>
      </c>
    </row>
    <row r="120" spans="1:11" x14ac:dyDescent="0.2">
      <c r="A120">
        <v>3.13</v>
      </c>
      <c r="E120" s="101"/>
      <c r="F120" s="101"/>
      <c r="H120" s="50">
        <v>2.470299365764745</v>
      </c>
      <c r="K120" s="86">
        <v>1.7773804331081979</v>
      </c>
    </row>
    <row r="121" spans="1:11" x14ac:dyDescent="0.2">
      <c r="E121" s="101"/>
      <c r="F121" s="101"/>
      <c r="H121" s="99">
        <f>H119/H117</f>
        <v>5.2050136797167176E-2</v>
      </c>
      <c r="I121" s="99"/>
      <c r="J121" s="99"/>
      <c r="K121" s="99">
        <f>K119/K117</f>
        <v>0.12458607090931903</v>
      </c>
    </row>
    <row r="122" spans="1:11" x14ac:dyDescent="0.2">
      <c r="A122" t="s">
        <v>131</v>
      </c>
      <c r="B122" s="98">
        <f>(E123/D123)^(1/4)-1</f>
        <v>2.6240833972413169E-2</v>
      </c>
      <c r="C122" s="98">
        <f>(E122/D122)^(1/4)-1</f>
        <v>2.7922072882654803E-2</v>
      </c>
      <c r="D122" s="101">
        <f>G122/H124</f>
        <v>1463.5825558092147</v>
      </c>
      <c r="E122" s="101">
        <f>J122/K124</f>
        <v>1634.0223487792555</v>
      </c>
      <c r="F122" s="101"/>
      <c r="G122">
        <v>3157.8</v>
      </c>
      <c r="H122" s="50">
        <v>24.260809610565531</v>
      </c>
      <c r="J122">
        <v>2627.45</v>
      </c>
      <c r="K122" s="86">
        <v>18.199437481645379</v>
      </c>
    </row>
    <row r="123" spans="1:11" x14ac:dyDescent="0.2">
      <c r="A123" t="s">
        <v>130</v>
      </c>
      <c r="D123" s="101">
        <f>G122/H122</f>
        <v>130.16053671287148</v>
      </c>
      <c r="E123" s="101">
        <f>J122/K122</f>
        <v>144.36984674113438</v>
      </c>
      <c r="F123" s="101"/>
      <c r="H123" s="50">
        <v>41.991328135851738</v>
      </c>
      <c r="K123" s="42">
        <v>29.54261029910958</v>
      </c>
    </row>
    <row r="124" spans="1:11" x14ac:dyDescent="0.2">
      <c r="A124" t="s">
        <v>55</v>
      </c>
      <c r="E124" s="101"/>
      <c r="F124" s="101"/>
      <c r="H124" s="50">
        <v>2.1575824250337918</v>
      </c>
      <c r="K124" s="86">
        <v>1.6079645434243379</v>
      </c>
    </row>
    <row r="125" spans="1:11" x14ac:dyDescent="0.2">
      <c r="A125" s="101">
        <v>4.0999999999999996</v>
      </c>
      <c r="E125" s="101"/>
      <c r="F125" s="101"/>
      <c r="H125" s="50">
        <v>2.7796665463750259</v>
      </c>
      <c r="K125" s="86">
        <v>1.777825290073374</v>
      </c>
    </row>
    <row r="126" spans="1:11" x14ac:dyDescent="0.2">
      <c r="E126" s="101"/>
      <c r="F126" s="101"/>
      <c r="H126" s="99">
        <f>H124/H122</f>
        <v>8.8932828692335528E-2</v>
      </c>
      <c r="I126" s="99"/>
      <c r="J126" s="99"/>
      <c r="K126" s="99">
        <f>K124/K122</f>
        <v>8.8352430949913324E-2</v>
      </c>
    </row>
    <row r="127" spans="1:11" x14ac:dyDescent="0.2">
      <c r="A127" t="s">
        <v>108</v>
      </c>
      <c r="B127" s="98">
        <f>(E128/D128)^(1/4)-1</f>
        <v>4.473818778008698E-2</v>
      </c>
      <c r="C127" s="98">
        <f>(E127/D127)^(1/4)-1</f>
        <v>8.0654153185881317E-2</v>
      </c>
      <c r="D127" s="101">
        <f>G127/H129</f>
        <v>1616.4635148631257</v>
      </c>
      <c r="E127" s="101">
        <f>J127/K129</f>
        <v>2204.5137612800681</v>
      </c>
      <c r="F127" s="101"/>
      <c r="G127">
        <v>4359.8999999999996</v>
      </c>
      <c r="H127" s="52">
        <v>21.4932800096399</v>
      </c>
      <c r="J127">
        <v>3944.75</v>
      </c>
      <c r="K127" s="41">
        <v>16.323593645008589</v>
      </c>
    </row>
    <row r="128" spans="1:11" x14ac:dyDescent="0.2">
      <c r="A128" t="s">
        <v>107</v>
      </c>
      <c r="D128" s="101">
        <f>G127/H127</f>
        <v>202.84944866695781</v>
      </c>
      <c r="E128" s="101">
        <f>J127/K127</f>
        <v>241.65940942827999</v>
      </c>
      <c r="F128" s="101"/>
      <c r="G128" s="128"/>
      <c r="H128" s="52">
        <v>32.950675101332394</v>
      </c>
      <c r="J128" s="128"/>
      <c r="K128" s="41">
        <v>25.671524175064931</v>
      </c>
    </row>
    <row r="129" spans="1:11" x14ac:dyDescent="0.2">
      <c r="A129" t="s">
        <v>55</v>
      </c>
      <c r="E129" s="101"/>
      <c r="F129" s="101"/>
      <c r="G129" s="128"/>
      <c r="H129" s="52">
        <v>2.6971842914556441</v>
      </c>
      <c r="J129" s="128"/>
      <c r="K129" s="41">
        <v>1.7893968589742211</v>
      </c>
    </row>
    <row r="130" spans="1:11" x14ac:dyDescent="0.2">
      <c r="A130">
        <v>3.94</v>
      </c>
      <c r="E130" s="101"/>
      <c r="F130" s="101"/>
      <c r="G130" s="128"/>
      <c r="H130" s="52">
        <v>2.828551127987768</v>
      </c>
      <c r="J130" s="128"/>
      <c r="K130" s="41">
        <v>1.6925444164550929</v>
      </c>
    </row>
    <row r="131" spans="1:11" x14ac:dyDescent="0.2">
      <c r="E131" s="101"/>
      <c r="F131" s="101"/>
      <c r="H131" s="99">
        <f>H129/H127</f>
        <v>0.12548965491753405</v>
      </c>
      <c r="I131" s="99"/>
      <c r="J131" s="99"/>
      <c r="K131" s="99">
        <f>K129/K127</f>
        <v>0.10962027712086431</v>
      </c>
    </row>
    <row r="132" spans="1:11" x14ac:dyDescent="0.2">
      <c r="A132" t="s">
        <v>145</v>
      </c>
      <c r="B132" s="98">
        <f>(E133/D133)^(1/5)-1</f>
        <v>8.3975973116018121E-2</v>
      </c>
      <c r="C132" s="98">
        <f>(E132/D132)^(1/5)-1</f>
        <v>7.043205785495843E-2</v>
      </c>
      <c r="D132" s="101">
        <f>G132/H134</f>
        <v>1770.125786163522</v>
      </c>
      <c r="E132" s="101">
        <f>J132/K134</f>
        <v>2487.7094972067039</v>
      </c>
      <c r="F132" s="101"/>
      <c r="G132">
        <v>5629</v>
      </c>
      <c r="H132" s="53">
        <v>22.09</v>
      </c>
      <c r="J132">
        <v>13359</v>
      </c>
      <c r="K132" s="40">
        <v>35.03</v>
      </c>
    </row>
    <row r="133" spans="1:11" x14ac:dyDescent="0.2">
      <c r="A133" t="s">
        <v>144</v>
      </c>
      <c r="D133" s="101">
        <f>G132/H132</f>
        <v>254.8211860570394</v>
      </c>
      <c r="E133" s="101">
        <f>J132/K132</f>
        <v>381.35883528404224</v>
      </c>
      <c r="F133" s="101"/>
      <c r="G133" s="128"/>
      <c r="H133" s="52"/>
      <c r="J133" s="128"/>
      <c r="K133" s="41"/>
    </row>
    <row r="134" spans="1:11" x14ac:dyDescent="0.2">
      <c r="A134" t="s">
        <v>55</v>
      </c>
      <c r="E134" s="101"/>
      <c r="F134" s="101"/>
      <c r="G134" s="128"/>
      <c r="H134" s="47">
        <v>3.18</v>
      </c>
      <c r="J134" s="128"/>
      <c r="K134" s="40">
        <v>5.37</v>
      </c>
    </row>
    <row r="135" spans="1:11" x14ac:dyDescent="0.2">
      <c r="E135" s="101"/>
      <c r="F135" s="101"/>
      <c r="G135" s="128"/>
      <c r="H135" s="53"/>
      <c r="J135" s="128"/>
      <c r="K135" s="41"/>
    </row>
    <row r="136" spans="1:11" x14ac:dyDescent="0.2">
      <c r="E136" s="101"/>
      <c r="F136" s="101"/>
      <c r="H136" s="99">
        <f>H134/H132</f>
        <v>0.14395654142145767</v>
      </c>
      <c r="I136" s="99"/>
      <c r="J136" s="99"/>
      <c r="K136" s="99">
        <f>K134/K132</f>
        <v>0.15329717385098487</v>
      </c>
    </row>
    <row r="137" spans="1:11" x14ac:dyDescent="0.2">
      <c r="A137" s="80" t="s">
        <v>53</v>
      </c>
      <c r="B137" s="98">
        <f>(E138/D138)^(1/4)-1</f>
        <v>0.13114874028032752</v>
      </c>
      <c r="C137" s="98">
        <f>(E137/D137)^(1/4)-1</f>
        <v>0.12558838275701567</v>
      </c>
      <c r="D137" s="101">
        <f>G137/H139</f>
        <v>1636.3932577770327</v>
      </c>
      <c r="E137" s="101">
        <f>J137/K139</f>
        <v>2626.6734829580246</v>
      </c>
      <c r="F137" s="101"/>
      <c r="G137">
        <v>7622.29</v>
      </c>
      <c r="H137" s="52">
        <v>40.158707555699273</v>
      </c>
      <c r="J137">
        <v>8518.66</v>
      </c>
      <c r="K137" s="41">
        <v>27.414900838451331</v>
      </c>
    </row>
    <row r="138" spans="1:11" x14ac:dyDescent="0.2">
      <c r="A138" t="s">
        <v>51</v>
      </c>
      <c r="D138" s="101">
        <f>G137/H137</f>
        <v>189.80416611834548</v>
      </c>
      <c r="E138" s="101">
        <f>J137/K137</f>
        <v>310.73101632569023</v>
      </c>
      <c r="F138" s="101"/>
      <c r="G138" s="128"/>
      <c r="H138" s="52">
        <v>49.515263928142012</v>
      </c>
      <c r="J138" s="128"/>
      <c r="K138" s="41">
        <v>26.514195618850849</v>
      </c>
    </row>
    <row r="139" spans="1:11" x14ac:dyDescent="0.2">
      <c r="A139" t="s">
        <v>55</v>
      </c>
      <c r="E139" s="101"/>
      <c r="F139" s="101"/>
      <c r="G139" s="128"/>
      <c r="H139" s="52">
        <v>4.657981792441837</v>
      </c>
      <c r="J139" s="128"/>
      <c r="K139" s="41">
        <v>3.2431362539993831</v>
      </c>
    </row>
    <row r="140" spans="1:11" x14ac:dyDescent="0.2">
      <c r="A140">
        <v>3.82</v>
      </c>
      <c r="E140" s="101"/>
      <c r="F140" s="101"/>
      <c r="G140" s="128"/>
      <c r="H140" s="52">
        <v>4.5081928583342794</v>
      </c>
      <c r="J140" s="128"/>
      <c r="K140" s="41">
        <v>2.489904122223435</v>
      </c>
    </row>
    <row r="141" spans="1:11" x14ac:dyDescent="0.2">
      <c r="E141" s="101"/>
      <c r="F141" s="101"/>
      <c r="H141" s="99">
        <f>H139/H137</f>
        <v>0.1159893352140707</v>
      </c>
      <c r="I141" s="99"/>
      <c r="J141" s="99"/>
      <c r="K141" s="99">
        <f>K139/K137</f>
        <v>0.11829830328806647</v>
      </c>
    </row>
    <row r="142" spans="1:11" x14ac:dyDescent="0.2">
      <c r="A142" t="s">
        <v>68</v>
      </c>
      <c r="B142" s="98">
        <f>(E143/D143)^(1/4)-1</f>
        <v>1.4104929514053177E-2</v>
      </c>
      <c r="C142" s="98">
        <f>(E142/D142)^(1/4)-1</f>
        <v>8.9109211034464231E-2</v>
      </c>
      <c r="D142" s="101">
        <f>G142/H144</f>
        <v>3584.2912201564218</v>
      </c>
      <c r="E142" s="101">
        <f>J142/K144</f>
        <v>5043.000516858473</v>
      </c>
      <c r="F142" s="101"/>
      <c r="G142">
        <v>3892.21</v>
      </c>
      <c r="H142" s="48">
        <v>6.4043925256375429</v>
      </c>
      <c r="J142">
        <v>5209.0200000000004</v>
      </c>
      <c r="K142" s="40">
        <v>8.1041249346599908</v>
      </c>
    </row>
    <row r="143" spans="1:11" x14ac:dyDescent="0.2">
      <c r="A143" t="s">
        <v>66</v>
      </c>
      <c r="D143" s="101">
        <f>G142/H142</f>
        <v>607.74070052999116</v>
      </c>
      <c r="E143" s="101">
        <f>J142/K142</f>
        <v>642.76156179699183</v>
      </c>
      <c r="F143" s="101"/>
      <c r="G143" s="128"/>
      <c r="H143" s="53">
        <v>14.5359350100386</v>
      </c>
      <c r="J143" s="128"/>
      <c r="K143" s="41">
        <v>12.82551987026001</v>
      </c>
    </row>
    <row r="144" spans="1:11" x14ac:dyDescent="0.2">
      <c r="A144" t="s">
        <v>55</v>
      </c>
      <c r="E144" s="101"/>
      <c r="F144" s="101"/>
      <c r="G144" s="128"/>
      <c r="H144" s="48">
        <v>1.0859078576294201</v>
      </c>
      <c r="J144" s="128"/>
      <c r="K144" s="41">
        <v>1.032920774563979</v>
      </c>
    </row>
    <row r="145" spans="1:11" x14ac:dyDescent="0.2">
      <c r="A145">
        <v>2.75</v>
      </c>
      <c r="E145" s="101"/>
      <c r="F145" s="101"/>
      <c r="G145" s="128"/>
      <c r="H145" s="53">
        <v>1.746833901842161</v>
      </c>
      <c r="J145" s="128"/>
      <c r="K145" s="41">
        <v>1.1925031623501789</v>
      </c>
    </row>
    <row r="146" spans="1:11" x14ac:dyDescent="0.2">
      <c r="E146" s="101"/>
      <c r="F146" s="101"/>
      <c r="H146" s="99">
        <f>H144/H142</f>
        <v>0.16955673052243475</v>
      </c>
      <c r="I146" s="99"/>
      <c r="J146" s="99"/>
      <c r="K146" s="99">
        <f>K144/K142</f>
        <v>0.12745617606983686</v>
      </c>
    </row>
    <row r="147" spans="1:11" x14ac:dyDescent="0.2">
      <c r="A147" s="80" t="s">
        <v>70</v>
      </c>
      <c r="B147" s="98">
        <f>(E148/D148)^(1/5)-1</f>
        <v>0.15071716380500022</v>
      </c>
      <c r="C147" s="98">
        <f>(E147/D147)^(1/5)-1</f>
        <v>0.1189233020529421</v>
      </c>
      <c r="D147" s="101">
        <f>G147/H149</f>
        <v>832.02614379084969</v>
      </c>
      <c r="E147" s="101">
        <f>J147/K149</f>
        <v>1459.2797783933518</v>
      </c>
      <c r="F147" s="101"/>
      <c r="G147">
        <v>3819</v>
      </c>
      <c r="H147" s="52">
        <v>58.58</v>
      </c>
      <c r="J147">
        <v>5268</v>
      </c>
      <c r="K147" s="41">
        <v>40.049999999999997</v>
      </c>
    </row>
    <row r="148" spans="1:11" x14ac:dyDescent="0.2">
      <c r="A148" t="s">
        <v>69</v>
      </c>
      <c r="D148" s="101">
        <f>G147/H147</f>
        <v>65.192898600204856</v>
      </c>
      <c r="E148" s="101">
        <f>J147/K147</f>
        <v>131.53558052434457</v>
      </c>
      <c r="F148" s="101"/>
      <c r="G148" s="128"/>
      <c r="H148" s="52"/>
      <c r="J148" s="128"/>
      <c r="K148" s="40"/>
    </row>
    <row r="149" spans="1:11" x14ac:dyDescent="0.2">
      <c r="A149" t="s">
        <v>55</v>
      </c>
      <c r="E149" s="101"/>
      <c r="F149" s="101"/>
      <c r="G149" s="128"/>
      <c r="H149" s="52">
        <v>4.59</v>
      </c>
      <c r="J149" s="128"/>
      <c r="K149" s="41">
        <v>3.61</v>
      </c>
    </row>
    <row r="150" spans="1:11" x14ac:dyDescent="0.2">
      <c r="A150">
        <v>6.72</v>
      </c>
      <c r="E150" s="101"/>
      <c r="F150" s="101"/>
      <c r="G150" s="128"/>
      <c r="H150" s="52"/>
      <c r="J150" s="128"/>
      <c r="K150" s="41"/>
    </row>
    <row r="151" spans="1:11" x14ac:dyDescent="0.2">
      <c r="E151" s="101"/>
      <c r="F151" s="101"/>
      <c r="H151" s="99">
        <f>H149/H147</f>
        <v>7.8354387162854214E-2</v>
      </c>
      <c r="I151" s="99"/>
      <c r="J151" s="99"/>
      <c r="K151" s="99">
        <f>K149/K147</f>
        <v>9.0137328339575537E-2</v>
      </c>
    </row>
    <row r="152" spans="1:11" x14ac:dyDescent="0.2">
      <c r="A152" t="s">
        <v>139</v>
      </c>
      <c r="B152" s="98">
        <f>(E153/D153)^(1/5)-1</f>
        <v>9.8852599752412784E-2</v>
      </c>
      <c r="C152" s="98">
        <f>(E152/D152)^(1/5)-1</f>
        <v>8.0423787130314173E-2</v>
      </c>
      <c r="D152" s="101">
        <f>G152/H154</f>
        <v>1002.0004390218695</v>
      </c>
      <c r="E152" s="101">
        <f>J152/K154</f>
        <v>1475.1582012263341</v>
      </c>
      <c r="F152" s="101"/>
      <c r="G152">
        <v>4486.87</v>
      </c>
      <c r="H152" s="52">
        <v>55.544960504731058</v>
      </c>
      <c r="J152">
        <v>4130.24</v>
      </c>
      <c r="K152" s="41">
        <v>31.91385473780182</v>
      </c>
    </row>
    <row r="153" spans="1:11" x14ac:dyDescent="0.2">
      <c r="A153" t="s">
        <v>138</v>
      </c>
      <c r="D153" s="101">
        <f>G152/H152</f>
        <v>80.779065449471858</v>
      </c>
      <c r="E153" s="101">
        <f>J152/K152</f>
        <v>129.41839943602139</v>
      </c>
      <c r="F153" s="101"/>
      <c r="G153" s="128"/>
      <c r="H153" s="52"/>
      <c r="J153" s="128"/>
      <c r="K153" s="40"/>
    </row>
    <row r="154" spans="1:11" x14ac:dyDescent="0.2">
      <c r="A154" t="s">
        <v>55</v>
      </c>
      <c r="E154" s="101"/>
      <c r="F154" s="101"/>
      <c r="G154" s="128"/>
      <c r="H154" s="52">
        <v>4.4779122096792516</v>
      </c>
      <c r="J154" s="128"/>
      <c r="K154" s="41">
        <v>2.7998624124290079</v>
      </c>
    </row>
    <row r="155" spans="1:11" x14ac:dyDescent="0.2">
      <c r="A155">
        <v>3.48</v>
      </c>
      <c r="E155" s="101"/>
      <c r="F155" s="101"/>
      <c r="G155" s="128"/>
      <c r="H155" s="52"/>
      <c r="J155" s="128"/>
      <c r="K155" s="41"/>
    </row>
    <row r="156" spans="1:11" x14ac:dyDescent="0.2">
      <c r="E156" s="101"/>
      <c r="F156" s="101"/>
      <c r="H156" s="99">
        <f>H154/H152</f>
        <v>8.0617794467561898E-2</v>
      </c>
      <c r="I156" s="99"/>
      <c r="J156" s="99"/>
      <c r="K156" s="99">
        <f>K154/K152</f>
        <v>8.7731878064625748E-2</v>
      </c>
    </row>
    <row r="157" spans="1:11" x14ac:dyDescent="0.2">
      <c r="A157" t="s">
        <v>137</v>
      </c>
      <c r="B157" s="98">
        <f>(E158/D158)^(1/4)-1</f>
        <v>-0.11167813486975575</v>
      </c>
      <c r="C157" s="98">
        <f>(E157/D157)^(1/4)-1</f>
        <v>1.8071113376117776E-2</v>
      </c>
      <c r="D157" s="101">
        <f>G157/H159</f>
        <v>1235.2846808828488</v>
      </c>
      <c r="E157" s="101">
        <f>J157/K159</f>
        <v>1327.0262557926583</v>
      </c>
      <c r="F157" s="101"/>
      <c r="G157">
        <v>2179.6559999999999</v>
      </c>
      <c r="H157" s="54">
        <v>13.53964835347676</v>
      </c>
      <c r="J157">
        <v>1948.71</v>
      </c>
      <c r="K157" s="44">
        <v>19.439506423002221</v>
      </c>
    </row>
    <row r="158" spans="1:11" x14ac:dyDescent="0.2">
      <c r="A158" t="s">
        <v>136</v>
      </c>
      <c r="D158" s="101">
        <f>G157/H157</f>
        <v>160.98320599591494</v>
      </c>
      <c r="E158" s="101">
        <f>J157/K157</f>
        <v>100.24482914309729</v>
      </c>
      <c r="F158" s="101"/>
      <c r="H158" s="54">
        <v>19.58649690223039</v>
      </c>
      <c r="K158" s="44">
        <v>26.88958729664316</v>
      </c>
    </row>
    <row r="159" spans="1:11" x14ac:dyDescent="0.2">
      <c r="A159" t="s">
        <v>55</v>
      </c>
      <c r="E159" s="101"/>
      <c r="F159" s="101"/>
      <c r="H159" s="50">
        <v>1.764496908066743</v>
      </c>
      <c r="K159" s="86">
        <v>1.468478857515896</v>
      </c>
    </row>
    <row r="160" spans="1:11" x14ac:dyDescent="0.2">
      <c r="E160" s="101"/>
      <c r="F160" s="101"/>
      <c r="H160" s="50">
        <v>2.039174834043207</v>
      </c>
      <c r="K160" s="86">
        <v>1.3511936695135249</v>
      </c>
    </row>
    <row r="161" spans="1:11" x14ac:dyDescent="0.2">
      <c r="E161" s="101"/>
      <c r="F161" s="101"/>
      <c r="H161" s="99">
        <f>H159/H157</f>
        <v>0.13032073374443651</v>
      </c>
      <c r="I161" s="99"/>
      <c r="J161" s="99"/>
      <c r="K161" s="99">
        <f>K159/K157</f>
        <v>7.5540953847381964E-2</v>
      </c>
    </row>
    <row r="162" spans="1:11" x14ac:dyDescent="0.2">
      <c r="A162" t="s">
        <v>75</v>
      </c>
      <c r="B162" s="98">
        <f>(E163/D163)^(1/4)-1</f>
        <v>0.10254051177334755</v>
      </c>
      <c r="C162" s="98">
        <f>(E162/D162)^(1/4)-1</f>
        <v>6.2448880709490284E-2</v>
      </c>
      <c r="D162" s="101">
        <f>G162/H164</f>
        <v>1438.3230585122062</v>
      </c>
      <c r="E162" s="101">
        <f>J162/K164</f>
        <v>1832.6883376175554</v>
      </c>
      <c r="F162" s="101"/>
      <c r="G162">
        <v>5425.35</v>
      </c>
      <c r="H162" s="49">
        <v>31.37014498702603</v>
      </c>
      <c r="J162">
        <v>5224.42</v>
      </c>
      <c r="K162" s="86">
        <v>20.443188070547919</v>
      </c>
    </row>
    <row r="163" spans="1:11" x14ac:dyDescent="0.2">
      <c r="A163" t="s">
        <v>73</v>
      </c>
      <c r="D163" s="101">
        <f>G162/H162</f>
        <v>172.94628387097987</v>
      </c>
      <c r="E163" s="101">
        <f>J162/K162</f>
        <v>255.55798743184849</v>
      </c>
      <c r="F163" s="101"/>
      <c r="H163" s="49">
        <v>33.693416755459268</v>
      </c>
      <c r="K163" s="86">
        <v>20.041643182247739</v>
      </c>
    </row>
    <row r="164" spans="1:11" x14ac:dyDescent="0.2">
      <c r="A164" t="s">
        <v>77</v>
      </c>
      <c r="E164" s="101"/>
      <c r="F164" s="101"/>
      <c r="H164" s="54">
        <v>3.7719968180249812</v>
      </c>
      <c r="K164" s="86">
        <v>2.850686553062046</v>
      </c>
    </row>
    <row r="165" spans="1:11" x14ac:dyDescent="0.2">
      <c r="E165" s="101"/>
      <c r="F165" s="101"/>
      <c r="H165" s="54">
        <v>3.707914976245239</v>
      </c>
      <c r="K165" s="86">
        <v>2.40861704661123</v>
      </c>
    </row>
    <row r="166" spans="1:11" x14ac:dyDescent="0.2">
      <c r="E166" s="101"/>
      <c r="F166" s="101"/>
      <c r="H166" s="99">
        <f>H164/H162</f>
        <v>0.12024161251358552</v>
      </c>
      <c r="I166" s="99"/>
      <c r="J166" s="99"/>
      <c r="K166" s="99">
        <f>K164/K162</f>
        <v>0.13944432459480091</v>
      </c>
    </row>
    <row r="167" spans="1:11" x14ac:dyDescent="0.2">
      <c r="A167" t="s">
        <v>78</v>
      </c>
      <c r="B167" s="98">
        <f>(E168/D168)^(1/4)-1</f>
        <v>0.1507925819294913</v>
      </c>
      <c r="C167" s="98">
        <f>(E167/D167)^(1/4)-1</f>
        <v>0.11539964738411346</v>
      </c>
      <c r="D167" s="101">
        <f>G167/H169</f>
        <v>248.48203422480367</v>
      </c>
      <c r="E167" s="101">
        <f>J167/K169</f>
        <v>384.60684141924588</v>
      </c>
      <c r="F167" s="101"/>
      <c r="G167">
        <v>1504.83</v>
      </c>
      <c r="H167" s="49">
        <v>58.776279599115931</v>
      </c>
      <c r="J167">
        <v>1363.03</v>
      </c>
      <c r="K167" s="86">
        <v>30.355112855126698</v>
      </c>
    </row>
    <row r="168" spans="1:11" x14ac:dyDescent="0.2">
      <c r="A168" t="s">
        <v>76</v>
      </c>
      <c r="D168" s="101">
        <f>G167/H167</f>
        <v>25.602675267364734</v>
      </c>
      <c r="E168" s="101">
        <f>J167/K167</f>
        <v>44.902814445303463</v>
      </c>
      <c r="F168" s="101"/>
      <c r="H168" s="50">
        <v>61.188174610485937</v>
      </c>
      <c r="K168" s="86">
        <v>30.768611528042481</v>
      </c>
    </row>
    <row r="169" spans="1:11" x14ac:dyDescent="0.2">
      <c r="A169" t="s">
        <v>80</v>
      </c>
      <c r="E169" s="101"/>
      <c r="F169" s="101"/>
      <c r="H169" s="50">
        <v>6.0560917600930786</v>
      </c>
      <c r="K169" s="86">
        <v>3.54395671946514</v>
      </c>
    </row>
    <row r="170" spans="1:11" x14ac:dyDescent="0.2">
      <c r="A170">
        <v>6.4</v>
      </c>
      <c r="E170" s="101"/>
      <c r="F170" s="101"/>
      <c r="H170" s="50">
        <v>5.5481654905451796</v>
      </c>
      <c r="K170" s="86">
        <v>2.772773965480881</v>
      </c>
    </row>
    <row r="171" spans="1:11" x14ac:dyDescent="0.2">
      <c r="E171" s="101"/>
      <c r="F171" s="101"/>
      <c r="H171" s="99">
        <f>H169/H167</f>
        <v>0.10303632352028232</v>
      </c>
      <c r="I171" s="99"/>
      <c r="J171" s="99"/>
      <c r="K171" s="99">
        <f>K169/K167</f>
        <v>0.11674991084299653</v>
      </c>
    </row>
    <row r="172" spans="1:11" x14ac:dyDescent="0.2">
      <c r="A172" t="s">
        <v>81</v>
      </c>
      <c r="B172" s="98">
        <f>(E173/D173)^(1/4)-1</f>
        <v>7.8456894516593101E-2</v>
      </c>
      <c r="C172" s="98">
        <f>(E172/D172)^(1/4)-1</f>
        <v>5.1556522092527146E-2</v>
      </c>
      <c r="D172" s="101">
        <f>G172/H174</f>
        <v>230.673114412084</v>
      </c>
      <c r="E172" s="101">
        <f>J172/K174</f>
        <v>282.05088365924473</v>
      </c>
      <c r="F172" s="101"/>
      <c r="G172">
        <v>1431.67</v>
      </c>
      <c r="H172" s="49">
        <v>54.816597575538481</v>
      </c>
      <c r="J172">
        <v>1115.68</v>
      </c>
      <c r="K172" s="86">
        <v>31.578946254911781</v>
      </c>
    </row>
    <row r="173" spans="1:11" x14ac:dyDescent="0.2">
      <c r="A173" t="s">
        <v>79</v>
      </c>
      <c r="D173" s="101">
        <f>G172/H172</f>
        <v>26.117454627261885</v>
      </c>
      <c r="E173" s="101">
        <f>J172/K172</f>
        <v>35.329867912437628</v>
      </c>
      <c r="F173" s="101"/>
      <c r="H173" s="49">
        <v>57.438290002047559</v>
      </c>
      <c r="K173" s="86">
        <v>30.391832730990881</v>
      </c>
    </row>
    <row r="174" spans="1:11" x14ac:dyDescent="0.2">
      <c r="A174" t="s">
        <v>83</v>
      </c>
      <c r="E174" s="101"/>
      <c r="F174" s="101"/>
      <c r="H174" s="54">
        <v>6.2064883618920819</v>
      </c>
      <c r="K174" s="86">
        <v>3.9555983144796349</v>
      </c>
    </row>
    <row r="175" spans="1:11" x14ac:dyDescent="0.2">
      <c r="E175" s="101"/>
      <c r="F175" s="101"/>
      <c r="H175" s="49">
        <v>5.663598380615757</v>
      </c>
      <c r="K175" s="86">
        <v>3.0649938068701901</v>
      </c>
    </row>
    <row r="176" spans="1:11" x14ac:dyDescent="0.2">
      <c r="E176" s="101"/>
      <c r="F176" s="101"/>
      <c r="H176" s="99">
        <f>H174/H172</f>
        <v>0.1132227944891947</v>
      </c>
      <c r="I176" s="99"/>
      <c r="J176" s="99"/>
      <c r="K176" s="99">
        <f>K174/K172</f>
        <v>0.12526061770868566</v>
      </c>
    </row>
    <row r="177" spans="1:11" x14ac:dyDescent="0.2">
      <c r="A177" t="s">
        <v>84</v>
      </c>
      <c r="B177" s="98">
        <f>(E178/D178)^(1/4)-1</f>
        <v>0.10061626483085351</v>
      </c>
      <c r="C177" s="98">
        <f>(E177/D177)^(1/4)-1</f>
        <v>0.11499455090434507</v>
      </c>
      <c r="D177" s="101">
        <f>G177/H180</f>
        <v>1647.0137989761051</v>
      </c>
      <c r="E177" s="101">
        <f>J177/K180</f>
        <v>2545.5886010409308</v>
      </c>
      <c r="F177" s="101"/>
      <c r="G177">
        <v>6304.6149999999998</v>
      </c>
      <c r="H177" s="49">
        <v>20.884644087881728</v>
      </c>
      <c r="J177">
        <v>6616.57</v>
      </c>
      <c r="K177" s="41">
        <v>19.128437552326311</v>
      </c>
    </row>
    <row r="178" spans="1:11" x14ac:dyDescent="0.2">
      <c r="A178" t="s">
        <v>82</v>
      </c>
      <c r="D178" s="101">
        <f>G177/H178</f>
        <v>209.23498883746416</v>
      </c>
      <c r="E178" s="101">
        <f>J177/K178</f>
        <v>307.02802301377125</v>
      </c>
      <c r="F178" s="101"/>
      <c r="H178" s="50">
        <v>30.1317434289037</v>
      </c>
      <c r="J178" s="128"/>
      <c r="K178" s="41">
        <v>21.55037815458045</v>
      </c>
    </row>
    <row r="179" spans="1:11" x14ac:dyDescent="0.2">
      <c r="A179" t="s">
        <v>86</v>
      </c>
      <c r="E179" s="101"/>
      <c r="F179" s="101"/>
      <c r="H179" s="49">
        <v>2.6690960333675151</v>
      </c>
      <c r="J179" s="128"/>
      <c r="K179" s="41">
        <v>2.7209417522970529</v>
      </c>
    </row>
    <row r="180" spans="1:11" x14ac:dyDescent="0.2">
      <c r="E180" s="101"/>
      <c r="F180" s="101"/>
      <c r="H180" s="50">
        <v>3.8279066052266071</v>
      </c>
      <c r="J180" s="128"/>
      <c r="K180" s="41">
        <v>2.5992298980653752</v>
      </c>
    </row>
    <row r="181" spans="1:11" x14ac:dyDescent="0.2">
      <c r="E181" s="101"/>
      <c r="F181" s="101"/>
      <c r="H181" s="99">
        <f>H180/H178</f>
        <v>0.12703900171785978</v>
      </c>
      <c r="I181" s="99"/>
      <c r="J181" s="99"/>
      <c r="K181" s="99">
        <f>K180/K178</f>
        <v>0.12061179991465341</v>
      </c>
    </row>
    <row r="182" spans="1:11" x14ac:dyDescent="0.2">
      <c r="A182" t="s">
        <v>39</v>
      </c>
      <c r="B182" s="98">
        <f>(E183/D183)^(1/4)-1</f>
        <v>0.15090735374467878</v>
      </c>
      <c r="C182" s="98">
        <f>(E182/D182)^(1/4)-1</f>
        <v>9.1957588530832579E-2</v>
      </c>
      <c r="D182" s="101">
        <f>G182/H184</f>
        <v>1509.5999446014484</v>
      </c>
      <c r="E182" s="101">
        <f>J182/K184</f>
        <v>2146.2729608173067</v>
      </c>
      <c r="F182" s="101"/>
      <c r="G182">
        <v>3466.14</v>
      </c>
      <c r="H182" s="48">
        <v>24.768643235814281</v>
      </c>
      <c r="J182">
        <v>3211.04</v>
      </c>
      <c r="K182" s="86">
        <v>13.077971092274611</v>
      </c>
    </row>
    <row r="183" spans="1:11" x14ac:dyDescent="0.2">
      <c r="A183" t="s">
        <v>735</v>
      </c>
      <c r="D183" s="101">
        <f>G182/H182</f>
        <v>139.94064862576428</v>
      </c>
      <c r="E183" s="101">
        <f>J182/K182</f>
        <v>245.5304402604788</v>
      </c>
      <c r="F183" s="101"/>
      <c r="G183" s="128"/>
      <c r="H183" s="53">
        <v>25.952574208132621</v>
      </c>
      <c r="K183" s="86">
        <v>17.370134583029841</v>
      </c>
    </row>
    <row r="184" spans="1:11" x14ac:dyDescent="0.2">
      <c r="A184" t="s">
        <v>41</v>
      </c>
      <c r="E184" s="101"/>
      <c r="F184" s="101"/>
      <c r="G184" s="128"/>
      <c r="H184" s="48">
        <v>2.2960652670897521</v>
      </c>
      <c r="K184" s="86">
        <v>1.49610047678988</v>
      </c>
    </row>
    <row r="185" spans="1:11" x14ac:dyDescent="0.2">
      <c r="A185">
        <v>3.16</v>
      </c>
      <c r="E185" s="101"/>
      <c r="F185" s="101"/>
      <c r="G185" s="128"/>
      <c r="H185" s="48">
        <v>2.2757989502490972</v>
      </c>
      <c r="K185" s="86">
        <v>1.681594426137704</v>
      </c>
    </row>
    <row r="186" spans="1:11" x14ac:dyDescent="0.2">
      <c r="E186" s="101"/>
      <c r="F186" s="101"/>
      <c r="H186" s="99">
        <f>H184/H182</f>
        <v>9.2700486063352502E-2</v>
      </c>
      <c r="I186" s="99"/>
      <c r="J186" s="99"/>
      <c r="K186" s="99">
        <f>K184/K182</f>
        <v>0.11439851535332213</v>
      </c>
    </row>
    <row r="187" spans="1:11" x14ac:dyDescent="0.2">
      <c r="A187" t="s">
        <v>47</v>
      </c>
      <c r="B187" s="98">
        <f>(E188/D188)^(1/5)-1</f>
        <v>9.1745871718501126E-2</v>
      </c>
      <c r="C187" s="98">
        <f>(E187/D187)^(1/5)-1</f>
        <v>7.655574011353683E-2</v>
      </c>
      <c r="D187" s="101">
        <f>G187/H189</f>
        <v>180.65099457504519</v>
      </c>
      <c r="E187" s="101">
        <f>J187/K189</f>
        <v>261.22994652406413</v>
      </c>
      <c r="F187" s="101"/>
      <c r="G187">
        <v>999</v>
      </c>
      <c r="H187" s="54">
        <v>27.69</v>
      </c>
      <c r="J187" s="68">
        <v>977</v>
      </c>
      <c r="K187" s="86">
        <v>17.46</v>
      </c>
    </row>
    <row r="188" spans="1:11" x14ac:dyDescent="0.2">
      <c r="A188" t="s">
        <v>736</v>
      </c>
      <c r="D188" s="101">
        <f>G187/H187</f>
        <v>36.078006500541711</v>
      </c>
      <c r="E188" s="101">
        <f>J187/K187</f>
        <v>55.956471935853379</v>
      </c>
      <c r="F188" s="101"/>
      <c r="H188" s="49"/>
      <c r="K188" s="86"/>
    </row>
    <row r="189" spans="1:11" x14ac:dyDescent="0.2">
      <c r="A189" t="s">
        <v>49</v>
      </c>
      <c r="E189" s="101"/>
      <c r="F189" s="101"/>
      <c r="H189" s="54">
        <v>5.53</v>
      </c>
      <c r="K189" s="86">
        <v>3.74</v>
      </c>
    </row>
    <row r="190" spans="1:11" x14ac:dyDescent="0.2">
      <c r="A190">
        <v>3.4</v>
      </c>
      <c r="E190" s="101"/>
      <c r="F190" s="101"/>
      <c r="H190" s="49"/>
      <c r="K190" s="86"/>
    </row>
    <row r="191" spans="1:11" x14ac:dyDescent="0.2">
      <c r="E191" s="101"/>
      <c r="F191" s="101"/>
      <c r="H191" s="99">
        <f>H189/H187</f>
        <v>0.19971108703503071</v>
      </c>
      <c r="I191" s="99"/>
      <c r="J191" s="99"/>
      <c r="K191" s="99">
        <f>K189/K187</f>
        <v>0.21420389461626574</v>
      </c>
    </row>
    <row r="192" spans="1:11" x14ac:dyDescent="0.2">
      <c r="A192" t="s">
        <v>87</v>
      </c>
      <c r="B192" s="98">
        <f>(E193/D193)^(1/4)-1</f>
        <v>6.5959896279315755E-2</v>
      </c>
      <c r="C192" s="98">
        <f>(E192/D192)^(1/4)-1</f>
        <v>8.7661654325708049E-2</v>
      </c>
      <c r="D192" s="101">
        <f>G192/H194</f>
        <v>2233.9560335193964</v>
      </c>
      <c r="E192" s="101">
        <f>J192/K194</f>
        <v>3126.4385154099468</v>
      </c>
      <c r="F192" s="101"/>
      <c r="G192">
        <v>8904.39</v>
      </c>
      <c r="H192" s="50">
        <v>84.031315248746125</v>
      </c>
      <c r="J192">
        <v>6960.44</v>
      </c>
      <c r="K192" s="41">
        <v>50.875678994204229</v>
      </c>
    </row>
    <row r="193" spans="1:11" x14ac:dyDescent="0.2">
      <c r="A193" t="s">
        <v>85</v>
      </c>
      <c r="D193" s="101">
        <f>G192/H192</f>
        <v>105.96513899183395</v>
      </c>
      <c r="E193" s="101">
        <f>J192/K192</f>
        <v>136.81271950774229</v>
      </c>
      <c r="F193" s="101"/>
      <c r="H193" s="50">
        <v>96.580695431881537</v>
      </c>
      <c r="J193" s="128"/>
      <c r="K193" s="41">
        <v>51.627946829709771</v>
      </c>
    </row>
    <row r="194" spans="1:11" x14ac:dyDescent="0.2">
      <c r="A194" t="s">
        <v>89</v>
      </c>
      <c r="E194" s="101"/>
      <c r="F194" s="101"/>
      <c r="H194" s="50">
        <v>3.985928937899434</v>
      </c>
      <c r="J194" s="128"/>
      <c r="K194" s="41">
        <v>2.226315971253741</v>
      </c>
    </row>
    <row r="195" spans="1:11" x14ac:dyDescent="0.2">
      <c r="A195">
        <v>6.44</v>
      </c>
      <c r="E195" s="101"/>
      <c r="F195" s="101"/>
      <c r="H195" s="50">
        <v>4.6619134164257012</v>
      </c>
      <c r="J195" s="128"/>
      <c r="K195" s="41">
        <v>2.5016535601473979</v>
      </c>
    </row>
    <row r="196" spans="1:11" x14ac:dyDescent="0.2">
      <c r="E196" s="101"/>
      <c r="F196" s="101"/>
      <c r="H196" s="99">
        <f>H194/H192</f>
        <v>4.743385160758757E-2</v>
      </c>
      <c r="I196" s="99"/>
      <c r="J196" s="99"/>
      <c r="K196" s="99">
        <f>K194/K192</f>
        <v>4.3759926457342488E-2</v>
      </c>
    </row>
    <row r="197" spans="1:11" x14ac:dyDescent="0.2">
      <c r="A197" t="s">
        <v>120</v>
      </c>
      <c r="B197" s="98">
        <f>(E198/D198)^(1/4)-1</f>
        <v>0.11014386348161742</v>
      </c>
      <c r="C197" s="98">
        <f>(E197/D197)^(1/4)-1</f>
        <v>5.0885037957893786E-2</v>
      </c>
      <c r="D197" s="101">
        <f>G197/H199</f>
        <v>465.68375145024908</v>
      </c>
      <c r="E197" s="101">
        <f>J197/K199</f>
        <v>567.95237506869933</v>
      </c>
      <c r="F197" s="101"/>
      <c r="G197">
        <v>1961.123</v>
      </c>
      <c r="H197" s="52">
        <v>43.645882163439623</v>
      </c>
      <c r="J197">
        <v>1793.32</v>
      </c>
      <c r="K197" s="86">
        <v>26.277205904760081</v>
      </c>
    </row>
    <row r="198" spans="1:11" x14ac:dyDescent="0.2">
      <c r="A198" t="s">
        <v>118</v>
      </c>
      <c r="D198" s="101">
        <f>G197/H197</f>
        <v>44.932600804269065</v>
      </c>
      <c r="E198" s="101">
        <f>J197/K197</f>
        <v>68.24622094524679</v>
      </c>
      <c r="F198" s="101"/>
      <c r="G198" s="128"/>
      <c r="H198" s="53">
        <v>40.360809660646517</v>
      </c>
      <c r="K198" s="86">
        <v>25.119211800846589</v>
      </c>
    </row>
    <row r="199" spans="1:11" x14ac:dyDescent="0.2">
      <c r="A199" t="s">
        <v>122</v>
      </c>
      <c r="E199" s="101"/>
      <c r="F199" s="101"/>
      <c r="G199" s="128"/>
      <c r="H199" s="52">
        <v>4.2112764164362622</v>
      </c>
      <c r="K199" s="86">
        <v>3.1575182686454659</v>
      </c>
    </row>
    <row r="200" spans="1:11" x14ac:dyDescent="0.2">
      <c r="E200" s="101"/>
      <c r="F200" s="101"/>
      <c r="G200" s="128"/>
      <c r="H200" s="53">
        <v>4.108670942812032</v>
      </c>
      <c r="K200" s="86">
        <v>2.721947418224508</v>
      </c>
    </row>
    <row r="201" spans="1:11" x14ac:dyDescent="0.2">
      <c r="E201" s="101"/>
      <c r="F201" s="101"/>
      <c r="H201" s="99">
        <f>H199/H197</f>
        <v>9.6487370805484071E-2</v>
      </c>
      <c r="I201" s="99"/>
      <c r="J201" s="99"/>
      <c r="K201" s="99">
        <f>K199/K197</f>
        <v>0.12016187261650546</v>
      </c>
    </row>
    <row r="202" spans="1:11" x14ac:dyDescent="0.2">
      <c r="A202" t="s">
        <v>92</v>
      </c>
      <c r="B202" s="98">
        <f>(E203/D203)^(1/4)-1</f>
        <v>0.10905174586457611</v>
      </c>
      <c r="C202" s="98">
        <f>(E202/D202)^(1/4)-1</f>
        <v>5.4869711006239497E-2</v>
      </c>
      <c r="D202" s="101">
        <f>G202/H204</f>
        <v>372.49537589153499</v>
      </c>
      <c r="E202" s="101">
        <f>J202/K204</f>
        <v>461.22854276828826</v>
      </c>
      <c r="F202" s="101"/>
      <c r="G202">
        <v>1819.472</v>
      </c>
      <c r="H202" s="50">
        <v>49.856092646360402</v>
      </c>
      <c r="J202">
        <v>1172.97</v>
      </c>
      <c r="K202" s="41">
        <v>21.244794156073048</v>
      </c>
    </row>
    <row r="203" spans="1:11" x14ac:dyDescent="0.2">
      <c r="A203" t="s">
        <v>91</v>
      </c>
      <c r="D203" s="101">
        <f>G202/H202</f>
        <v>36.494476470627006</v>
      </c>
      <c r="E203" s="101">
        <f>J202/K202</f>
        <v>55.212114148194473</v>
      </c>
      <c r="F203" s="101"/>
      <c r="H203" s="50">
        <v>53.129082092972581</v>
      </c>
      <c r="J203" s="128"/>
      <c r="K203" s="41">
        <v>21.607911933939231</v>
      </c>
    </row>
    <row r="204" spans="1:11" x14ac:dyDescent="0.2">
      <c r="A204" t="s">
        <v>94</v>
      </c>
      <c r="E204" s="101"/>
      <c r="F204" s="101"/>
      <c r="H204" s="49">
        <v>4.8845492260011376</v>
      </c>
      <c r="J204" s="128"/>
      <c r="K204" s="41">
        <v>2.5431426965899551</v>
      </c>
    </row>
    <row r="205" spans="1:11" x14ac:dyDescent="0.2">
      <c r="A205">
        <v>7.4</v>
      </c>
      <c r="E205" s="101"/>
      <c r="F205" s="101"/>
      <c r="H205" s="49">
        <v>4.6847108228427414</v>
      </c>
      <c r="J205" s="128"/>
      <c r="K205" s="41">
        <v>1.9055394754334689</v>
      </c>
    </row>
    <row r="206" spans="1:11" x14ac:dyDescent="0.2">
      <c r="E206" s="101"/>
      <c r="F206" s="101"/>
      <c r="H206" s="99">
        <f>H204/H202</f>
        <v>9.7972965122803693E-2</v>
      </c>
      <c r="I206" s="99"/>
      <c r="J206" s="99"/>
      <c r="K206" s="99">
        <f>K204/K202</f>
        <v>0.11970662920558216</v>
      </c>
    </row>
    <row r="207" spans="1:11" x14ac:dyDescent="0.2">
      <c r="A207" t="s">
        <v>72</v>
      </c>
      <c r="B207" s="98">
        <f>(E208/D208)^(1/4)-1</f>
        <v>-1.6867572625301586E-2</v>
      </c>
      <c r="C207" s="98">
        <f>(E207/D207)^(1/4)-1</f>
        <v>9.0598448968115086E-2</v>
      </c>
      <c r="D207" s="101">
        <f>G207/H209</f>
        <v>325.37896196784646</v>
      </c>
      <c r="E207" s="101">
        <f>J207/K209</f>
        <v>460.30847620071501</v>
      </c>
      <c r="F207" s="101"/>
      <c r="G207">
        <v>766.3922</v>
      </c>
      <c r="H207" s="53">
        <v>29.707370845620339</v>
      </c>
      <c r="J207">
        <v>606.46</v>
      </c>
      <c r="K207" s="45">
        <v>25.16327820978718</v>
      </c>
    </row>
    <row r="208" spans="1:11" x14ac:dyDescent="0.2">
      <c r="A208" t="s">
        <v>71</v>
      </c>
      <c r="D208" s="101">
        <f>G207/H207</f>
        <v>25.798048705915242</v>
      </c>
      <c r="E208" s="101">
        <f>J207/K207</f>
        <v>24.100993318275965</v>
      </c>
      <c r="F208" s="101"/>
      <c r="G208" s="128"/>
      <c r="H208" s="53">
        <v>35.445205718967372</v>
      </c>
      <c r="J208" s="128"/>
      <c r="K208" s="46">
        <v>37.871431589933792</v>
      </c>
    </row>
    <row r="209" spans="1:11" x14ac:dyDescent="0.2">
      <c r="A209" t="s">
        <v>74</v>
      </c>
      <c r="E209" s="101"/>
      <c r="F209" s="101"/>
      <c r="G209" s="128"/>
      <c r="H209" s="52">
        <v>2.355383382394999</v>
      </c>
      <c r="J209" s="128"/>
      <c r="K209" s="41">
        <v>1.317507783053633</v>
      </c>
    </row>
    <row r="210" spans="1:11" x14ac:dyDescent="0.2">
      <c r="A210">
        <v>4.2699999999999996</v>
      </c>
      <c r="E210" s="101"/>
      <c r="F210" s="101"/>
      <c r="G210" s="128"/>
      <c r="H210" s="52">
        <v>2.6970407224418969</v>
      </c>
      <c r="J210" s="128"/>
      <c r="K210" s="41">
        <v>1.3694874941412341</v>
      </c>
    </row>
    <row r="211" spans="1:11" x14ac:dyDescent="0.2">
      <c r="E211" s="101"/>
      <c r="F211" s="101"/>
      <c r="H211" s="99">
        <f>H209/H207</f>
        <v>7.9286160819655491E-2</v>
      </c>
      <c r="I211" s="99"/>
      <c r="J211" s="99"/>
      <c r="K211" s="99">
        <f>K209/K207</f>
        <v>5.2358352201550287E-2</v>
      </c>
    </row>
    <row r="212" spans="1:11" x14ac:dyDescent="0.2">
      <c r="A212" s="80" t="s">
        <v>90</v>
      </c>
      <c r="B212" s="98">
        <f>(E213/D213)^(1/5)-1</f>
        <v>5.1100626525358628E-2</v>
      </c>
      <c r="C212" s="98">
        <f>(E212/D212)^(1/5)-1</f>
        <v>0.13627852610220281</v>
      </c>
      <c r="D212" s="101">
        <f>G212/H214</f>
        <v>4010.4651162790697</v>
      </c>
      <c r="E212" s="101">
        <f>J212/K214</f>
        <v>7596.590909090909</v>
      </c>
      <c r="F212" s="101"/>
      <c r="G212">
        <v>3449</v>
      </c>
      <c r="H212" s="47">
        <v>4.66</v>
      </c>
      <c r="J212">
        <v>6685</v>
      </c>
      <c r="K212" s="40">
        <v>7.04</v>
      </c>
    </row>
    <row r="213" spans="1:11" x14ac:dyDescent="0.2">
      <c r="A213" t="s">
        <v>88</v>
      </c>
      <c r="D213" s="101">
        <f>G212/H212</f>
        <v>740.12875536480681</v>
      </c>
      <c r="E213" s="101">
        <f>J212/K212</f>
        <v>949.57386363636363</v>
      </c>
      <c r="F213" s="101"/>
      <c r="G213" s="128"/>
      <c r="H213" s="47"/>
      <c r="J213" s="128"/>
      <c r="K213" s="40"/>
    </row>
    <row r="214" spans="1:11" x14ac:dyDescent="0.2">
      <c r="A214" t="s">
        <v>74</v>
      </c>
      <c r="E214" s="101"/>
      <c r="F214" s="101"/>
      <c r="G214" s="128"/>
      <c r="H214" s="47">
        <v>0.86</v>
      </c>
      <c r="J214" s="128"/>
      <c r="K214" s="41">
        <v>0.88</v>
      </c>
    </row>
    <row r="215" spans="1:11" x14ac:dyDescent="0.2">
      <c r="A215">
        <v>2.4</v>
      </c>
      <c r="E215" s="101"/>
      <c r="F215" s="101"/>
      <c r="G215" s="128"/>
      <c r="H215" s="47"/>
      <c r="J215" s="128"/>
      <c r="K215" s="41"/>
    </row>
    <row r="216" spans="1:11" x14ac:dyDescent="0.2">
      <c r="E216" s="101"/>
      <c r="F216" s="101"/>
      <c r="H216" s="99">
        <f>H214/H212</f>
        <v>0.18454935622317595</v>
      </c>
      <c r="I216" s="99"/>
      <c r="J216" s="99"/>
      <c r="K216" s="99">
        <f>K214/K212</f>
        <v>0.125</v>
      </c>
    </row>
    <row r="217" spans="1:11" x14ac:dyDescent="0.2">
      <c r="A217" t="s">
        <v>97</v>
      </c>
      <c r="B217" s="98"/>
      <c r="C217" s="98">
        <f>(E217/D217)^(1/5)-1</f>
        <v>4.6666166103174866E-2</v>
      </c>
      <c r="D217" s="101">
        <f>G217/H219</f>
        <v>1135.0409836065573</v>
      </c>
      <c r="E217" s="101">
        <f>J217/K219</f>
        <v>1425.7798457712654</v>
      </c>
      <c r="F217" s="101"/>
      <c r="G217">
        <v>11078</v>
      </c>
      <c r="H217" s="48"/>
      <c r="J217">
        <v>6790.45</v>
      </c>
      <c r="K217" s="86">
        <v>38.701378381208677</v>
      </c>
    </row>
    <row r="218" spans="1:11" x14ac:dyDescent="0.2">
      <c r="A218" t="s">
        <v>96</v>
      </c>
      <c r="E218" s="101">
        <f>J217/K217</f>
        <v>175.457575001956</v>
      </c>
      <c r="F218" s="101"/>
      <c r="G218" s="128"/>
      <c r="H218" s="48"/>
      <c r="K218" s="86">
        <v>35.015789849580997</v>
      </c>
    </row>
    <row r="219" spans="1:11" x14ac:dyDescent="0.2">
      <c r="A219" t="s">
        <v>99</v>
      </c>
      <c r="E219" s="101"/>
      <c r="F219" s="101"/>
      <c r="G219" s="128"/>
      <c r="H219" s="48">
        <v>9.76</v>
      </c>
      <c r="K219" s="86">
        <v>4.7626216769299008</v>
      </c>
    </row>
    <row r="220" spans="1:11" x14ac:dyDescent="0.2">
      <c r="E220" s="101"/>
      <c r="F220" s="101"/>
      <c r="G220" s="128"/>
      <c r="H220" s="53"/>
      <c r="K220" s="86">
        <v>3.057924150737545</v>
      </c>
    </row>
    <row r="221" spans="1:11" x14ac:dyDescent="0.2">
      <c r="E221" s="101"/>
      <c r="F221" s="101"/>
      <c r="H221" s="57"/>
      <c r="K221" s="57"/>
    </row>
    <row r="222" spans="1:11" x14ac:dyDescent="0.2">
      <c r="A222" t="s">
        <v>110</v>
      </c>
      <c r="B222" s="98">
        <f>(E223/D223)^(1/4)-1</f>
        <v>0.11247544036794865</v>
      </c>
      <c r="C222" s="98">
        <f>(E222/D222)^(1/4)-1</f>
        <v>6.4631774347907012E-2</v>
      </c>
      <c r="D222" s="101">
        <f>G222/H224</f>
        <v>686</v>
      </c>
      <c r="E222" s="101">
        <f>J222/K224</f>
        <v>881.29602356406474</v>
      </c>
      <c r="F222" s="101"/>
      <c r="G222">
        <v>2401</v>
      </c>
      <c r="H222" s="86">
        <v>17.14</v>
      </c>
      <c r="J222">
        <v>5984</v>
      </c>
      <c r="K222" s="42">
        <v>27.89</v>
      </c>
    </row>
    <row r="223" spans="1:11" x14ac:dyDescent="0.2">
      <c r="A223" t="s">
        <v>109</v>
      </c>
      <c r="D223" s="101">
        <f>G222/H222</f>
        <v>140.08168028004667</v>
      </c>
      <c r="E223" s="101">
        <f>J222/K222</f>
        <v>214.55718895661528</v>
      </c>
      <c r="F223" s="101"/>
      <c r="H223" s="86"/>
      <c r="K223" s="86"/>
    </row>
    <row r="224" spans="1:11" x14ac:dyDescent="0.2">
      <c r="A224" t="s">
        <v>112</v>
      </c>
      <c r="E224" s="101"/>
      <c r="F224" s="101"/>
      <c r="H224" s="86">
        <v>3.5</v>
      </c>
      <c r="K224" s="44">
        <v>6.79</v>
      </c>
    </row>
    <row r="225" spans="1:11" x14ac:dyDescent="0.2">
      <c r="E225" s="101"/>
      <c r="F225" s="101"/>
      <c r="H225" s="86"/>
      <c r="K225" s="86"/>
    </row>
    <row r="226" spans="1:11" x14ac:dyDescent="0.2">
      <c r="E226" s="101"/>
      <c r="F226" s="101"/>
      <c r="H226" s="99">
        <f>H224/H222</f>
        <v>0.20420070011668612</v>
      </c>
      <c r="I226" s="99"/>
      <c r="J226" s="99"/>
      <c r="K226" s="99">
        <f>K224/K222</f>
        <v>0.24345643599856578</v>
      </c>
    </row>
    <row r="227" spans="1:11" x14ac:dyDescent="0.2">
      <c r="A227" t="s">
        <v>117</v>
      </c>
      <c r="B227" s="98"/>
      <c r="C227" s="98"/>
      <c r="E227" s="101">
        <f>J227/K229</f>
        <v>1159.5450955770273</v>
      </c>
      <c r="F227" s="101"/>
      <c r="H227" s="42"/>
      <c r="J227">
        <v>1288.56</v>
      </c>
      <c r="K227" s="86">
        <v>9.2048484229956422</v>
      </c>
    </row>
    <row r="228" spans="1:11" x14ac:dyDescent="0.2">
      <c r="A228" t="s">
        <v>116</v>
      </c>
      <c r="E228" s="101"/>
      <c r="F228" s="101"/>
      <c r="H228" s="86"/>
      <c r="K228" s="43">
        <v>11.35413643208571</v>
      </c>
    </row>
    <row r="229" spans="1:11" x14ac:dyDescent="0.2">
      <c r="A229" t="s">
        <v>119</v>
      </c>
      <c r="E229" s="101"/>
      <c r="F229" s="101"/>
      <c r="H229" s="44"/>
      <c r="K229" s="86">
        <v>1.1112633781256871</v>
      </c>
    </row>
    <row r="230" spans="1:11" x14ac:dyDescent="0.2">
      <c r="E230" s="101"/>
      <c r="F230" s="101"/>
      <c r="H230" s="86"/>
      <c r="K230" s="86">
        <v>1.072882285396312</v>
      </c>
    </row>
    <row r="231" spans="1:11" x14ac:dyDescent="0.2">
      <c r="E231" s="101"/>
      <c r="F231" s="101"/>
      <c r="H231" s="57"/>
    </row>
    <row r="232" spans="1:11" x14ac:dyDescent="0.2">
      <c r="A232" t="s">
        <v>50</v>
      </c>
      <c r="B232" s="98">
        <f>(E233/D233)^(1/4)-1</f>
        <v>9.3967016244458357E-3</v>
      </c>
      <c r="C232" s="98">
        <f>(E232/D232)^(1/4)-1</f>
        <v>4.8547515326808677E-2</v>
      </c>
      <c r="D232" s="101">
        <f>G232/H234</f>
        <v>2031.25</v>
      </c>
      <c r="E232" s="101">
        <f>J232/K234</f>
        <v>2455.3637521524797</v>
      </c>
      <c r="F232" s="101"/>
      <c r="G232">
        <v>3575</v>
      </c>
      <c r="H232" s="42">
        <v>14</v>
      </c>
      <c r="J232">
        <v>3712.11</v>
      </c>
      <c r="K232" s="42">
        <v>14.00313583206505</v>
      </c>
    </row>
    <row r="233" spans="1:11" x14ac:dyDescent="0.2">
      <c r="A233" t="s">
        <v>48</v>
      </c>
      <c r="D233" s="101">
        <f>G232/H232</f>
        <v>255.35714285714286</v>
      </c>
      <c r="E233" s="101">
        <f>J232/K232</f>
        <v>265.09133700608925</v>
      </c>
      <c r="F233" s="101"/>
      <c r="H233" s="86"/>
      <c r="K233" s="86">
        <v>31.800141405562592</v>
      </c>
    </row>
    <row r="234" spans="1:11" x14ac:dyDescent="0.2">
      <c r="A234" t="s">
        <v>52</v>
      </c>
      <c r="E234" s="101"/>
      <c r="F234" s="101"/>
      <c r="H234" s="86">
        <v>1.76</v>
      </c>
      <c r="K234" s="86">
        <v>1.5118370940948369</v>
      </c>
    </row>
    <row r="235" spans="1:11" x14ac:dyDescent="0.2">
      <c r="E235" s="101"/>
      <c r="F235" s="101"/>
      <c r="H235" s="86"/>
      <c r="K235" s="86">
        <v>1.924461058310335</v>
      </c>
    </row>
    <row r="236" spans="1:11" x14ac:dyDescent="0.2">
      <c r="H236" s="99">
        <f>H234/H232</f>
        <v>0.12571428571428572</v>
      </c>
      <c r="I236" s="99"/>
      <c r="J236" s="99"/>
      <c r="K236" s="99">
        <f>K234/K232</f>
        <v>0.10796418118240059</v>
      </c>
    </row>
    <row r="237" spans="1:11" x14ac:dyDescent="0.2">
      <c r="A237" t="s">
        <v>147</v>
      </c>
      <c r="B237" s="98">
        <f>(E238/D238)^(1/4)-1</f>
        <v>0.20773224628439535</v>
      </c>
      <c r="C237" s="98">
        <f>(E237/D237)^(1/4)-1</f>
        <v>1.3808855664687147E-2</v>
      </c>
      <c r="D237" s="101">
        <f>G237/H240</f>
        <v>465.72580645161293</v>
      </c>
      <c r="E237" s="101">
        <f>J237/K240</f>
        <v>491.98813056379822</v>
      </c>
      <c r="G237">
        <v>2310</v>
      </c>
      <c r="J237">
        <v>1658</v>
      </c>
    </row>
    <row r="238" spans="1:11" x14ac:dyDescent="0.2">
      <c r="A238" t="s">
        <v>146</v>
      </c>
      <c r="D238" s="101">
        <f>G237/H238</f>
        <v>29.664825992038011</v>
      </c>
      <c r="E238" s="101">
        <f>J237/K238</f>
        <v>63.113818043395511</v>
      </c>
      <c r="H238">
        <v>77.87</v>
      </c>
      <c r="K238" s="86">
        <v>26.27</v>
      </c>
    </row>
    <row r="239" spans="1:11" x14ac:dyDescent="0.2">
      <c r="A239" t="s">
        <v>149</v>
      </c>
      <c r="E239" s="101"/>
      <c r="K239" s="86"/>
    </row>
    <row r="240" spans="1:11" x14ac:dyDescent="0.2">
      <c r="E240" s="101"/>
      <c r="H240">
        <v>4.96</v>
      </c>
      <c r="K240" s="86">
        <v>3.37</v>
      </c>
    </row>
    <row r="241" spans="1:11" x14ac:dyDescent="0.2">
      <c r="H241" s="99">
        <f>H240/H238</f>
        <v>6.369590342879157E-2</v>
      </c>
      <c r="I241" s="99"/>
      <c r="J241" s="99"/>
      <c r="K241" s="99">
        <f>K240/K238</f>
        <v>0.12828321279025506</v>
      </c>
    </row>
    <row r="242" spans="1:11" ht="17" customHeight="1" x14ac:dyDescent="0.2">
      <c r="A242" t="s">
        <v>737</v>
      </c>
      <c r="B242" s="98"/>
      <c r="C242" s="98"/>
      <c r="E242" s="101"/>
      <c r="H242" s="99"/>
    </row>
    <row r="243" spans="1:11" x14ac:dyDescent="0.2">
      <c r="A243">
        <v>399959</v>
      </c>
      <c r="E243" s="101"/>
      <c r="H243" s="86"/>
    </row>
    <row r="244" spans="1:11" ht="17" customHeight="1" x14ac:dyDescent="0.2">
      <c r="A244" s="112">
        <v>40785</v>
      </c>
      <c r="E244" s="101"/>
      <c r="H244" s="86"/>
    </row>
    <row r="245" spans="1:11" x14ac:dyDescent="0.2">
      <c r="A245">
        <v>5.74</v>
      </c>
      <c r="E245" s="101"/>
      <c r="H245" s="86"/>
    </row>
    <row r="247" spans="1:11" x14ac:dyDescent="0.2">
      <c r="A247" s="80" t="s">
        <v>738</v>
      </c>
      <c r="B247" s="98">
        <f>(E248/D248)^(1/5)-1</f>
        <v>0.12568600218571757</v>
      </c>
      <c r="C247" s="98">
        <f>(E247/D247)^(1/5)-1</f>
        <v>0.19037517360735001</v>
      </c>
      <c r="D247" s="101">
        <f>G247/H249</f>
        <v>435.96403596403599</v>
      </c>
      <c r="E247" s="101">
        <f>J247/K249</f>
        <v>1042.0053956834533</v>
      </c>
      <c r="G247">
        <v>4364</v>
      </c>
      <c r="H247">
        <v>46.36</v>
      </c>
      <c r="J247">
        <v>5793.55</v>
      </c>
      <c r="K247">
        <v>34.049999999999997</v>
      </c>
    </row>
    <row r="248" spans="1:11" x14ac:dyDescent="0.2">
      <c r="D248" s="101">
        <f>G247/H247</f>
        <v>94.13287316652287</v>
      </c>
      <c r="E248" s="101">
        <f>J247/K247</f>
        <v>170.14831130690163</v>
      </c>
    </row>
    <row r="249" spans="1:11" x14ac:dyDescent="0.2">
      <c r="E249" s="101"/>
      <c r="H249">
        <v>10.01</v>
      </c>
      <c r="K249">
        <v>5.56</v>
      </c>
    </row>
    <row r="250" spans="1:11" x14ac:dyDescent="0.2">
      <c r="E250" s="101"/>
    </row>
    <row r="251" spans="1:11" x14ac:dyDescent="0.2">
      <c r="H251" s="99">
        <f>H249/H247</f>
        <v>0.21591889559965488</v>
      </c>
      <c r="I251" s="99"/>
      <c r="J251" s="99"/>
      <c r="K251" s="99">
        <f>K249/K247</f>
        <v>0.16328928046989721</v>
      </c>
    </row>
    <row r="252" spans="1:11" x14ac:dyDescent="0.2">
      <c r="A252" s="80" t="s">
        <v>739</v>
      </c>
      <c r="B252" s="98">
        <f>(E253/D253)^(1/5)-1</f>
        <v>0.13062236905492997</v>
      </c>
      <c r="C252" s="98">
        <f>(E252/D252)^(1/5)-1</f>
        <v>0.10988664676246973</v>
      </c>
      <c r="D252" s="101">
        <f>G252/H254</f>
        <v>4024.3654822335025</v>
      </c>
      <c r="E252" s="101">
        <f>J252/K254</f>
        <v>6777.8280542986422</v>
      </c>
      <c r="F252" s="101"/>
      <c r="G252">
        <v>7928</v>
      </c>
      <c r="H252" s="48">
        <v>10.15</v>
      </c>
      <c r="J252">
        <v>14979</v>
      </c>
      <c r="K252" s="61">
        <v>10.38</v>
      </c>
    </row>
    <row r="253" spans="1:11" x14ac:dyDescent="0.2">
      <c r="D253" s="101">
        <f>G252/H252</f>
        <v>781.08374384236447</v>
      </c>
      <c r="E253" s="101">
        <f>J252/K252</f>
        <v>1443.0635838150288</v>
      </c>
      <c r="F253" s="101"/>
      <c r="G253" s="128"/>
      <c r="H253" s="53"/>
      <c r="J253" s="128"/>
      <c r="K253" s="41"/>
    </row>
    <row r="254" spans="1:11" x14ac:dyDescent="0.2">
      <c r="E254" s="101"/>
      <c r="F254" s="101"/>
      <c r="G254" s="128"/>
      <c r="H254" s="48">
        <v>1.97</v>
      </c>
      <c r="J254" s="128"/>
      <c r="K254" s="41">
        <v>2.21</v>
      </c>
    </row>
    <row r="255" spans="1:11" x14ac:dyDescent="0.2">
      <c r="E255" s="101"/>
      <c r="F255" s="101"/>
      <c r="G255" s="128"/>
      <c r="H255" s="53"/>
      <c r="J255" s="128"/>
      <c r="K255" s="41"/>
    </row>
    <row r="256" spans="1:11" x14ac:dyDescent="0.2">
      <c r="H256" s="99">
        <f>H254/H252</f>
        <v>0.1940886699507389</v>
      </c>
      <c r="I256" s="99"/>
      <c r="J256" s="99"/>
      <c r="K256" s="99">
        <f>K254/K252</f>
        <v>0.21290944123314062</v>
      </c>
    </row>
    <row r="257" spans="1:11" x14ac:dyDescent="0.2">
      <c r="A257" s="80" t="s">
        <v>164</v>
      </c>
      <c r="B257" s="98">
        <f>(E258/D258)^(1/4)-1</f>
        <v>0.14643654756027269</v>
      </c>
      <c r="C257" s="98">
        <f>(E257/D257)^(1/4)-1</f>
        <v>0.1394616697799913</v>
      </c>
      <c r="D257" s="101">
        <f>G257/H259</f>
        <v>1326.4192139737991</v>
      </c>
      <c r="E257" s="101">
        <f>J257/K259</f>
        <v>2236.040609137056</v>
      </c>
      <c r="F257" s="101"/>
      <c r="G257">
        <v>6075</v>
      </c>
      <c r="H257" s="42">
        <v>33.96</v>
      </c>
      <c r="J257">
        <v>8810</v>
      </c>
      <c r="K257" s="42">
        <v>28.51</v>
      </c>
    </row>
    <row r="258" spans="1:11" x14ac:dyDescent="0.2">
      <c r="D258" s="101">
        <f>G257/H257</f>
        <v>178.886925795053</v>
      </c>
      <c r="E258" s="101">
        <f>J257/K257</f>
        <v>309.0143809189758</v>
      </c>
      <c r="F258" s="101"/>
      <c r="H258" s="86"/>
      <c r="K258" s="86"/>
    </row>
    <row r="259" spans="1:11" x14ac:dyDescent="0.2">
      <c r="E259" s="101"/>
      <c r="F259" s="101"/>
      <c r="H259" s="86">
        <v>4.58</v>
      </c>
      <c r="K259" s="86">
        <v>3.94</v>
      </c>
    </row>
    <row r="260" spans="1:11" x14ac:dyDescent="0.2">
      <c r="E260" s="101"/>
      <c r="F260" s="101"/>
      <c r="H260" s="86"/>
      <c r="K260" s="86"/>
    </row>
    <row r="261" spans="1:11" x14ac:dyDescent="0.2">
      <c r="H261" s="99">
        <f>H259/H257</f>
        <v>0.1348645465253239</v>
      </c>
      <c r="I261" s="99"/>
      <c r="J261" s="99"/>
      <c r="K261" s="99">
        <f>K259/K257</f>
        <v>0.13819712381620483</v>
      </c>
    </row>
    <row r="262" spans="1:11" x14ac:dyDescent="0.2">
      <c r="A262" t="s">
        <v>97</v>
      </c>
      <c r="B262" s="98">
        <f>(E263/D263)^(1/3)-1</f>
        <v>0.17171668360401138</v>
      </c>
      <c r="C262" s="98">
        <f>(E262/D262)^(1/3)-1</f>
        <v>5.8622607133122173E-2</v>
      </c>
      <c r="D262" s="101">
        <f>G262/H264</f>
        <v>1197.0108695652173</v>
      </c>
      <c r="E262" s="101">
        <f>J262/K264</f>
        <v>1420.108695652174</v>
      </c>
      <c r="F262" s="101"/>
      <c r="G262">
        <v>8810</v>
      </c>
      <c r="H262" s="42">
        <v>77</v>
      </c>
      <c r="J262">
        <v>7839</v>
      </c>
      <c r="K262" s="42">
        <v>42.59</v>
      </c>
    </row>
    <row r="263" spans="1:11" x14ac:dyDescent="0.2">
      <c r="D263" s="101">
        <f>G262/H262</f>
        <v>114.41558441558442</v>
      </c>
      <c r="E263" s="101">
        <f>J262/K262</f>
        <v>184.05729044376614</v>
      </c>
      <c r="F263" s="101"/>
      <c r="H263" s="86"/>
      <c r="K263" s="86"/>
    </row>
    <row r="264" spans="1:11" x14ac:dyDescent="0.2">
      <c r="E264" s="101"/>
      <c r="F264" s="101"/>
      <c r="H264" s="86">
        <v>7.36</v>
      </c>
      <c r="K264" s="86">
        <v>5.52</v>
      </c>
    </row>
    <row r="265" spans="1:11" x14ac:dyDescent="0.2">
      <c r="E265" s="101"/>
      <c r="F265" s="101"/>
      <c r="H265" s="86"/>
      <c r="K265" s="86"/>
    </row>
    <row r="266" spans="1:11" x14ac:dyDescent="0.2">
      <c r="H266" s="99">
        <f>H264/H262</f>
        <v>9.5584415584415591E-2</v>
      </c>
      <c r="I266" s="99"/>
      <c r="J266" s="99"/>
      <c r="K266" s="99">
        <f>K264/K262</f>
        <v>0.12960788917586286</v>
      </c>
    </row>
    <row r="267" spans="1:11" x14ac:dyDescent="0.2">
      <c r="A267" t="s">
        <v>740</v>
      </c>
      <c r="B267" s="98">
        <f>(E268/D268)^(1/3)-1</f>
        <v>5.1682697791145316E-2</v>
      </c>
      <c r="C267" s="98">
        <f>(E267/D267)^(1/3)-1</f>
        <v>7.0814768094149105E-2</v>
      </c>
      <c r="D267" s="101">
        <f>G267/H269</f>
        <v>2745.6919060052219</v>
      </c>
      <c r="E267" s="101">
        <f>J267/K269</f>
        <v>3371.2802768166089</v>
      </c>
      <c r="F267" s="101"/>
      <c r="G267">
        <v>10516</v>
      </c>
      <c r="H267" s="48">
        <v>30.32</v>
      </c>
      <c r="J267">
        <v>9743</v>
      </c>
      <c r="K267" s="86">
        <v>24.15</v>
      </c>
    </row>
    <row r="268" spans="1:11" ht="18" customHeight="1" x14ac:dyDescent="0.2">
      <c r="A268" s="79" t="s">
        <v>396</v>
      </c>
      <c r="D268" s="101">
        <f>G267/H267</f>
        <v>346.83377308707122</v>
      </c>
      <c r="E268" s="101">
        <f>J267/K267</f>
        <v>403.43685300207039</v>
      </c>
      <c r="F268" s="101"/>
      <c r="G268" s="128"/>
      <c r="H268" s="48"/>
      <c r="K268" s="86"/>
    </row>
    <row r="269" spans="1:11" x14ac:dyDescent="0.2">
      <c r="E269" s="101"/>
      <c r="F269" s="101"/>
      <c r="G269" s="128"/>
      <c r="H269" s="48">
        <v>3.83</v>
      </c>
      <c r="K269" s="86">
        <v>2.89</v>
      </c>
    </row>
    <row r="270" spans="1:11" x14ac:dyDescent="0.2">
      <c r="E270" s="101"/>
      <c r="F270" s="101"/>
      <c r="G270" s="128"/>
      <c r="H270" s="53"/>
      <c r="K270" s="86"/>
    </row>
    <row r="271" spans="1:11" ht="15" customHeight="1" x14ac:dyDescent="0.2">
      <c r="H271" s="99">
        <f>H269/H267</f>
        <v>0.12631926121372031</v>
      </c>
      <c r="I271" s="99"/>
      <c r="J271" s="99"/>
      <c r="K271" s="99">
        <f>K269/K267</f>
        <v>0.11966873706004141</v>
      </c>
    </row>
    <row r="272" spans="1:11" x14ac:dyDescent="0.2">
      <c r="A272" t="s">
        <v>150</v>
      </c>
      <c r="B272" s="98">
        <f>(E273/D273)^(1/5)-1</f>
        <v>6.4352247160335274E-2</v>
      </c>
      <c r="C272" s="98">
        <f>(E272/D272)^(1/5)-1</f>
        <v>0.12347771846993938</v>
      </c>
      <c r="D272" s="101">
        <f>G272/H274</f>
        <v>1642.5742574257426</v>
      </c>
      <c r="E272" s="101">
        <f>J272/K274</f>
        <v>2940</v>
      </c>
      <c r="G272">
        <v>1659</v>
      </c>
      <c r="H272">
        <v>5.99</v>
      </c>
      <c r="J272">
        <v>3087</v>
      </c>
      <c r="K272" s="82">
        <v>8.16</v>
      </c>
    </row>
    <row r="273" spans="1:11" x14ac:dyDescent="0.2">
      <c r="A273" t="s">
        <v>148</v>
      </c>
      <c r="D273" s="101">
        <f>G272/H272</f>
        <v>276.9616026711185</v>
      </c>
      <c r="E273" s="101">
        <f>J272/K272</f>
        <v>378.30882352941177</v>
      </c>
      <c r="K273" s="82"/>
    </row>
    <row r="274" spans="1:11" x14ac:dyDescent="0.2">
      <c r="A274" t="s">
        <v>152</v>
      </c>
      <c r="H274">
        <v>1.01</v>
      </c>
      <c r="K274" s="83">
        <v>1.05</v>
      </c>
    </row>
    <row r="275" spans="1:11" x14ac:dyDescent="0.2">
      <c r="K275" s="82"/>
    </row>
    <row r="276" spans="1:11" x14ac:dyDescent="0.2">
      <c r="H276" s="99">
        <f>H274/H272</f>
        <v>0.1686143572621035</v>
      </c>
      <c r="K276" s="99">
        <f>K274/K272</f>
        <v>0.12867647058823531</v>
      </c>
    </row>
    <row r="278" spans="1:11" x14ac:dyDescent="0.2">
      <c r="A278" t="s">
        <v>159</v>
      </c>
      <c r="B278" s="98">
        <f>(E279/D279)^(1/4)-1</f>
        <v>6.0119667132102039E-2</v>
      </c>
      <c r="C278" s="98">
        <f>(E278/D278)^(1/4)-1</f>
        <v>0.10153658332317672</v>
      </c>
      <c r="D278" s="101">
        <f>G278/H280</f>
        <v>999.04761904761904</v>
      </c>
      <c r="E278" s="101">
        <f>J278/K280</f>
        <v>1470.895738580547</v>
      </c>
      <c r="G278">
        <v>2098</v>
      </c>
      <c r="H278">
        <v>15.54</v>
      </c>
      <c r="J278">
        <v>2595</v>
      </c>
      <c r="K278" s="84">
        <v>15.21820137713296</v>
      </c>
    </row>
    <row r="279" spans="1:11" x14ac:dyDescent="0.2">
      <c r="A279" t="s">
        <v>157</v>
      </c>
      <c r="D279" s="101">
        <f>G278/H278</f>
        <v>135.00643500643503</v>
      </c>
      <c r="E279" s="101">
        <f>J278/K278</f>
        <v>170.51949410390088</v>
      </c>
      <c r="K279" s="84"/>
    </row>
    <row r="280" spans="1:11" x14ac:dyDescent="0.2">
      <c r="A280" t="s">
        <v>741</v>
      </c>
      <c r="H280">
        <v>2.1</v>
      </c>
      <c r="K280" s="84">
        <v>1.7642310953353111</v>
      </c>
    </row>
    <row r="281" spans="1:11" x14ac:dyDescent="0.2">
      <c r="K281" s="85"/>
    </row>
    <row r="282" spans="1:11" x14ac:dyDescent="0.2">
      <c r="H282" s="99">
        <f>H280/H278</f>
        <v>0.13513513513513514</v>
      </c>
      <c r="K282" s="99">
        <f>K280/K278</f>
        <v>0.1159290149745465</v>
      </c>
    </row>
    <row r="284" spans="1:11" x14ac:dyDescent="0.2">
      <c r="A284" t="s">
        <v>742</v>
      </c>
      <c r="B284" s="98">
        <f>(E285/D285)^(1/3)-1</f>
        <v>-6.1873397974069655E-2</v>
      </c>
      <c r="C284" s="98">
        <f>(E284/D284)^(1/3)-1</f>
        <v>6.5563142938678931E-2</v>
      </c>
      <c r="D284" s="101">
        <f>G284/H286</f>
        <v>1633.6116910229646</v>
      </c>
      <c r="E284" s="101">
        <f>J284/K286</f>
        <v>1976.4525993883792</v>
      </c>
      <c r="G284">
        <v>7825</v>
      </c>
      <c r="H284">
        <v>78.73</v>
      </c>
      <c r="J284">
        <v>6463</v>
      </c>
      <c r="K284">
        <v>78.760000000000005</v>
      </c>
    </row>
    <row r="285" spans="1:11" x14ac:dyDescent="0.2">
      <c r="D285" s="101">
        <f>G284/H284</f>
        <v>99.390321351454332</v>
      </c>
      <c r="E285" s="101">
        <f>J284/K284</f>
        <v>82.059421025901472</v>
      </c>
    </row>
    <row r="286" spans="1:11" x14ac:dyDescent="0.2">
      <c r="H286">
        <v>4.79</v>
      </c>
      <c r="K286">
        <v>3.27</v>
      </c>
    </row>
    <row r="288" spans="1:11" x14ac:dyDescent="0.2">
      <c r="H288" s="99">
        <f>H286/H284</f>
        <v>6.0840848469452556E-2</v>
      </c>
      <c r="K288" s="99">
        <f>K286/K284</f>
        <v>4.1518537328593196E-2</v>
      </c>
    </row>
    <row r="290" spans="1:11" x14ac:dyDescent="0.2">
      <c r="A290" t="s">
        <v>97</v>
      </c>
      <c r="B290" s="98">
        <f>(E291/D291)^(1/4)-1</f>
        <v>0.10046650661253254</v>
      </c>
      <c r="C290" s="98">
        <f>(E290/D290)^(1/4)-1</f>
        <v>5.9830786236366063E-2</v>
      </c>
      <c r="D290" s="101">
        <f>G290/H292</f>
        <v>1109.1111111111111</v>
      </c>
      <c r="E290" s="101">
        <f>J290/K292</f>
        <v>1399.3333333333333</v>
      </c>
      <c r="G290">
        <v>9982</v>
      </c>
      <c r="H290">
        <v>82.02</v>
      </c>
      <c r="J290">
        <v>8396</v>
      </c>
      <c r="K290">
        <v>47.04</v>
      </c>
    </row>
    <row r="291" spans="1:11" x14ac:dyDescent="0.2">
      <c r="D291" s="101">
        <f>G290/H290</f>
        <v>121.70202389661058</v>
      </c>
      <c r="E291" s="101">
        <f>J290/K290</f>
        <v>178.48639455782313</v>
      </c>
    </row>
    <row r="292" spans="1:11" x14ac:dyDescent="0.2">
      <c r="H292">
        <v>9</v>
      </c>
      <c r="K292">
        <v>6</v>
      </c>
    </row>
    <row r="294" spans="1:11" x14ac:dyDescent="0.2">
      <c r="H294" s="99">
        <f>H292/H290</f>
        <v>0.1097293343087052</v>
      </c>
      <c r="K294" s="99">
        <f>K292/K290</f>
        <v>0.12755102040816327</v>
      </c>
    </row>
    <row r="296" spans="1:11" x14ac:dyDescent="0.2">
      <c r="A296" t="s">
        <v>743</v>
      </c>
      <c r="B296" s="98">
        <f>(E297/D297)^(1/3)-1</f>
        <v>0.10316035365809406</v>
      </c>
      <c r="C296" s="98">
        <f>(E296/D296)^(1/3)-1</f>
        <v>0.20019475490959859</v>
      </c>
      <c r="D296" s="101">
        <f>G296/H298</f>
        <v>10.931899641577061</v>
      </c>
      <c r="E296" s="101">
        <f>J296/K298</f>
        <v>18.899521531100479</v>
      </c>
      <c r="G296">
        <v>61</v>
      </c>
      <c r="H296">
        <v>15.57</v>
      </c>
      <c r="J296">
        <v>79</v>
      </c>
      <c r="K296">
        <v>15.02</v>
      </c>
    </row>
    <row r="297" spans="1:11" x14ac:dyDescent="0.2">
      <c r="D297" s="101">
        <f>G296/H296</f>
        <v>3.9177906229929351</v>
      </c>
      <c r="E297" s="101">
        <f>J296/K296</f>
        <v>5.2596537949400801</v>
      </c>
    </row>
    <row r="298" spans="1:11" x14ac:dyDescent="0.2">
      <c r="H298">
        <v>5.58</v>
      </c>
      <c r="K298">
        <v>4.18</v>
      </c>
    </row>
    <row r="300" spans="1:11" x14ac:dyDescent="0.2">
      <c r="H300" s="99">
        <f>H298/H296</f>
        <v>0.3583815028901734</v>
      </c>
      <c r="K300" s="99">
        <f>K298/K296</f>
        <v>0.27829560585885482</v>
      </c>
    </row>
    <row r="302" spans="1:11" x14ac:dyDescent="0.2">
      <c r="A302" t="s">
        <v>744</v>
      </c>
      <c r="B302" s="98">
        <f>(E303/D303)^(1/4)-1</f>
        <v>6.8534393530170323E-2</v>
      </c>
      <c r="C302" s="98">
        <f>(E302/D302)^(1/4)-1</f>
        <v>7.3760972379786738E-2</v>
      </c>
      <c r="D302" s="101">
        <f>G302/H304</f>
        <v>2989.6103896103896</v>
      </c>
      <c r="E302" s="101">
        <f>J302/K304</f>
        <v>3974.1573033707864</v>
      </c>
      <c r="G302">
        <v>6906</v>
      </c>
      <c r="H302">
        <v>19.93</v>
      </c>
      <c r="J302">
        <v>3537</v>
      </c>
      <c r="K302">
        <v>7.83</v>
      </c>
    </row>
    <row r="303" spans="1:11" x14ac:dyDescent="0.2">
      <c r="D303" s="101">
        <f>G302/H302</f>
        <v>346.51279478173609</v>
      </c>
      <c r="E303" s="101">
        <f>J302/K302</f>
        <v>451.72413793103448</v>
      </c>
    </row>
    <row r="304" spans="1:11" x14ac:dyDescent="0.2">
      <c r="H304">
        <v>2.31</v>
      </c>
      <c r="K304">
        <v>0.89</v>
      </c>
    </row>
    <row r="306" spans="1:11" x14ac:dyDescent="0.2">
      <c r="H306" s="99">
        <f>H304/H302</f>
        <v>0.11590566984445561</v>
      </c>
      <c r="K306" s="99">
        <f>K304/K302</f>
        <v>0.1136653895274585</v>
      </c>
    </row>
    <row r="310" spans="1:11" x14ac:dyDescent="0.2">
      <c r="A310" t="s">
        <v>745</v>
      </c>
      <c r="B310" s="98">
        <f>(E311/D311)^(1/5)-1</f>
        <v>0.18685228541169607</v>
      </c>
      <c r="C310" s="98">
        <f>(E310/D310)^(1/5)-1</f>
        <v>0.21151625063305191</v>
      </c>
      <c r="D310" s="101">
        <f>G310/H312</f>
        <v>5.4112149532710285</v>
      </c>
      <c r="E310" s="101">
        <f>J310/K312</f>
        <v>14.123456790123457</v>
      </c>
      <c r="G310">
        <v>17.37</v>
      </c>
      <c r="H310">
        <v>12.05</v>
      </c>
      <c r="J310">
        <v>57.2</v>
      </c>
      <c r="K310">
        <v>16.850000000000001</v>
      </c>
    </row>
    <row r="311" spans="1:11" x14ac:dyDescent="0.2">
      <c r="D311" s="101">
        <f>G310/H310</f>
        <v>1.4414937759336099</v>
      </c>
      <c r="E311" s="101">
        <f>J310/K310</f>
        <v>3.3946587537091988</v>
      </c>
    </row>
    <row r="312" spans="1:11" x14ac:dyDescent="0.2">
      <c r="H312">
        <v>3.21</v>
      </c>
      <c r="K312">
        <v>4.05</v>
      </c>
    </row>
    <row r="314" spans="1:11" x14ac:dyDescent="0.2">
      <c r="H314" s="99">
        <f>H312/H310</f>
        <v>0.26639004149377593</v>
      </c>
      <c r="K314" s="99">
        <f>K312/K310</f>
        <v>0.24035608308605338</v>
      </c>
    </row>
    <row r="315" spans="1:11" x14ac:dyDescent="0.2">
      <c r="H315" s="99"/>
      <c r="K315" s="99"/>
    </row>
    <row r="317" spans="1:11" x14ac:dyDescent="0.2">
      <c r="A317" t="s">
        <v>746</v>
      </c>
      <c r="B317" s="98">
        <f>(E318/D318)^(1/6)-1</f>
        <v>6.790548249459416E-2</v>
      </c>
      <c r="C317" s="98">
        <f>(E317/D317)^(1/6)-1</f>
        <v>3.6736774764190461E-2</v>
      </c>
      <c r="D317" s="101">
        <f>G317/H319</f>
        <v>3592.217898832685</v>
      </c>
      <c r="E317" s="101">
        <f>J317/K319</f>
        <v>4460.398860398861</v>
      </c>
      <c r="G317">
        <v>9232</v>
      </c>
      <c r="H317">
        <v>12.45</v>
      </c>
      <c r="J317">
        <v>31312</v>
      </c>
      <c r="K317">
        <v>28.47</v>
      </c>
    </row>
    <row r="318" spans="1:11" x14ac:dyDescent="0.2">
      <c r="D318" s="101">
        <f>G317/H317</f>
        <v>741.52610441767069</v>
      </c>
      <c r="E318" s="101">
        <f>J317/K317</f>
        <v>1099.8243765367054</v>
      </c>
    </row>
    <row r="319" spans="1:11" x14ac:dyDescent="0.2">
      <c r="H319">
        <v>2.57</v>
      </c>
      <c r="K319">
        <v>7.02</v>
      </c>
    </row>
    <row r="321" spans="1:11" x14ac:dyDescent="0.2">
      <c r="H321" s="99">
        <f>H319/H317</f>
        <v>0.20642570281124498</v>
      </c>
      <c r="K321" s="99">
        <f>K319/K317</f>
        <v>0.24657534246575341</v>
      </c>
    </row>
    <row r="323" spans="1:11" x14ac:dyDescent="0.2">
      <c r="A323" t="s">
        <v>747</v>
      </c>
      <c r="B323" s="98">
        <f>(E324/D324)^(1/6)-1</f>
        <v>0.23131423298887333</v>
      </c>
      <c r="C323" s="98">
        <f>(E323/D323)^(1/6)-1</f>
        <v>0.15015067926681924</v>
      </c>
      <c r="D323" s="101">
        <f>G323/H325</f>
        <v>2150.5102040816328</v>
      </c>
      <c r="E323" s="101">
        <f>J323/K325</f>
        <v>4978.1725888324872</v>
      </c>
      <c r="G323">
        <v>8430</v>
      </c>
      <c r="H323">
        <v>35.200000000000003</v>
      </c>
      <c r="J323">
        <v>29421</v>
      </c>
      <c r="K323">
        <v>35.25</v>
      </c>
    </row>
    <row r="324" spans="1:11" x14ac:dyDescent="0.2">
      <c r="D324" s="101">
        <f>G323/H323</f>
        <v>239.48863636363635</v>
      </c>
      <c r="E324" s="101">
        <f>J323/K323</f>
        <v>834.63829787234044</v>
      </c>
    </row>
    <row r="325" spans="1:11" x14ac:dyDescent="0.2">
      <c r="H325">
        <v>3.92</v>
      </c>
      <c r="K325">
        <v>5.91</v>
      </c>
    </row>
    <row r="327" spans="1:11" x14ac:dyDescent="0.2">
      <c r="H327" s="99">
        <f>H325/H323</f>
        <v>0.11136363636363636</v>
      </c>
      <c r="K327" s="99">
        <f>K325/K323</f>
        <v>0.1676595744680851</v>
      </c>
    </row>
    <row r="330" spans="1:11" x14ac:dyDescent="0.2">
      <c r="A330" t="s">
        <v>748</v>
      </c>
      <c r="B330" s="98">
        <f>(E331/D331)^(1/1)-1</f>
        <v>0.15370759233240427</v>
      </c>
      <c r="C330" s="98">
        <f>(E330/D330)^(1/1)-1</f>
        <v>0.30135351049567483</v>
      </c>
      <c r="D330" s="101">
        <f>G330/H332</f>
        <v>5338.3333333333339</v>
      </c>
      <c r="E330" s="101">
        <f>J330/K332</f>
        <v>6947.0588235294117</v>
      </c>
      <c r="G330">
        <v>12812</v>
      </c>
      <c r="H330">
        <v>17.84</v>
      </c>
      <c r="J330">
        <v>15353</v>
      </c>
      <c r="K330">
        <v>18.53</v>
      </c>
    </row>
    <row r="331" spans="1:11" x14ac:dyDescent="0.2">
      <c r="D331" s="101">
        <f>G330/H330</f>
        <v>718.16143497757844</v>
      </c>
      <c r="E331" s="101">
        <f>J330/K330</f>
        <v>828.5483000539665</v>
      </c>
    </row>
    <row r="332" spans="1:11" x14ac:dyDescent="0.2">
      <c r="H332">
        <v>2.4</v>
      </c>
      <c r="K332">
        <v>2.21</v>
      </c>
    </row>
    <row r="334" spans="1:11" x14ac:dyDescent="0.2">
      <c r="H334" s="99">
        <f>H332/H330</f>
        <v>0.13452914798206278</v>
      </c>
      <c r="K334" s="99">
        <f>K332/K330</f>
        <v>0.11926605504587155</v>
      </c>
    </row>
    <row r="335" spans="1:11" x14ac:dyDescent="0.2">
      <c r="H335" s="99"/>
      <c r="K335" s="99"/>
    </row>
    <row r="336" spans="1:11" x14ac:dyDescent="0.2">
      <c r="A336" t="s">
        <v>749</v>
      </c>
      <c r="B336" s="98">
        <f>(E337/D337)^(1/4)-1</f>
        <v>7.0995237826669388E-2</v>
      </c>
      <c r="C336" s="98">
        <f>(E336/D336)^(1/4)-1</f>
        <v>8.1606055452747128E-2</v>
      </c>
      <c r="D336" s="101">
        <f>G336/H338</f>
        <v>343.23570432357042</v>
      </c>
      <c r="E336" s="101">
        <f>J336/K338</f>
        <v>469.75228161668838</v>
      </c>
      <c r="G336">
        <v>2461</v>
      </c>
      <c r="H336">
        <v>61.9</v>
      </c>
      <c r="J336">
        <v>3603</v>
      </c>
      <c r="K336">
        <v>68.88</v>
      </c>
    </row>
    <row r="337" spans="1:11" x14ac:dyDescent="0.2">
      <c r="D337" s="101">
        <f>G336/H336</f>
        <v>39.757673667205168</v>
      </c>
      <c r="E337" s="101">
        <f>J336/K336</f>
        <v>52.308362369337985</v>
      </c>
    </row>
    <row r="338" spans="1:11" x14ac:dyDescent="0.2">
      <c r="H338">
        <v>7.17</v>
      </c>
      <c r="K338">
        <v>7.67</v>
      </c>
    </row>
    <row r="340" spans="1:11" x14ac:dyDescent="0.2">
      <c r="H340" s="99">
        <f>H338/H336</f>
        <v>0.11583198707592891</v>
      </c>
      <c r="K340" s="99">
        <f>K338/K336</f>
        <v>0.11135307781649245</v>
      </c>
    </row>
    <row r="341" spans="1:11" x14ac:dyDescent="0.2">
      <c r="H341" s="99"/>
      <c r="K341" s="99"/>
    </row>
    <row r="342" spans="1:11" x14ac:dyDescent="0.2">
      <c r="A342" t="s">
        <v>750</v>
      </c>
      <c r="B342" s="98">
        <f>(E343/D343)^(1/8)-1</f>
        <v>0.11150525248040033</v>
      </c>
      <c r="C342" s="98">
        <f>(E342/D342)^(1/8)-1</f>
        <v>9.6200804053405919E-2</v>
      </c>
      <c r="D342" s="101">
        <f>G342/H344</f>
        <v>15.896640826873385</v>
      </c>
      <c r="E342" s="101">
        <f>J342/K344</f>
        <v>33.145631067961162</v>
      </c>
      <c r="G342">
        <v>61.52</v>
      </c>
      <c r="H342">
        <v>17.850000000000001</v>
      </c>
      <c r="J342">
        <v>170.7</v>
      </c>
      <c r="K342">
        <v>21.26</v>
      </c>
    </row>
    <row r="343" spans="1:11" x14ac:dyDescent="0.2">
      <c r="D343" s="101">
        <f>G342/H342</f>
        <v>3.4464985994397757</v>
      </c>
      <c r="E343" s="101">
        <f>J342/K342</f>
        <v>8.0291627469426139</v>
      </c>
    </row>
    <row r="344" spans="1:11" x14ac:dyDescent="0.2">
      <c r="H344">
        <v>3.87</v>
      </c>
      <c r="K344">
        <v>5.15</v>
      </c>
    </row>
    <row r="346" spans="1:11" x14ac:dyDescent="0.2">
      <c r="H346" s="99">
        <f>H344/H342</f>
        <v>0.21680672268907561</v>
      </c>
      <c r="K346" s="99">
        <f>K344/K342</f>
        <v>0.24223894637817497</v>
      </c>
    </row>
  </sheetData>
  <conditionalFormatting sqref="B1:B36 B42:B289 B295 B301 B303:B309 B321:B322 B326:B329 B347:B1048576">
    <cfRule type="top10" dxfId="32" priority="38" percent="1" rank="40"/>
  </conditionalFormatting>
  <conditionalFormatting sqref="B37:B41">
    <cfRule type="top10" dxfId="31" priority="36" percent="1" rank="40"/>
  </conditionalFormatting>
  <conditionalFormatting sqref="B290:B294">
    <cfRule type="top10" dxfId="30" priority="34" percent="1" rank="40"/>
  </conditionalFormatting>
  <conditionalFormatting sqref="B296:B300">
    <cfRule type="top10" dxfId="29" priority="32" percent="1" rank="40"/>
  </conditionalFormatting>
  <conditionalFormatting sqref="B311:B316">
    <cfRule type="top10" dxfId="28" priority="24" percent="1" rank="40"/>
  </conditionalFormatting>
  <conditionalFormatting sqref="B318:B320">
    <cfRule type="top10" dxfId="27" priority="21" percent="1" rank="40"/>
  </conditionalFormatting>
  <conditionalFormatting sqref="B324:B325">
    <cfRule type="top10" dxfId="26" priority="18" percent="1" rank="40"/>
  </conditionalFormatting>
  <conditionalFormatting sqref="B331:B332">
    <cfRule type="top10" dxfId="25" priority="13" percent="1" rank="40"/>
  </conditionalFormatting>
  <conditionalFormatting sqref="B333:B335">
    <cfRule type="top10" dxfId="24" priority="15" percent="1" rank="40"/>
  </conditionalFormatting>
  <conditionalFormatting sqref="B337:B338">
    <cfRule type="top10" dxfId="23" priority="8" percent="1" rank="40"/>
  </conditionalFormatting>
  <conditionalFormatting sqref="B339:B341">
    <cfRule type="top10" dxfId="22" priority="10" percent="1" rank="40"/>
  </conditionalFormatting>
  <conditionalFormatting sqref="B343:B344">
    <cfRule type="top10" dxfId="21" priority="3" percent="1" rank="40"/>
  </conditionalFormatting>
  <conditionalFormatting sqref="B345:B346">
    <cfRule type="top10" dxfId="20" priority="5" percent="1" rank="40"/>
  </conditionalFormatting>
  <conditionalFormatting sqref="B302:C302">
    <cfRule type="top10" dxfId="19" priority="25" percent="1" rank="40"/>
  </conditionalFormatting>
  <conditionalFormatting sqref="B310:C310">
    <cfRule type="top10" dxfId="18" priority="22" percent="1" rank="40"/>
  </conditionalFormatting>
  <conditionalFormatting sqref="B317:C317">
    <cfRule type="top10" dxfId="17" priority="19" percent="1" rank="40"/>
  </conditionalFormatting>
  <conditionalFormatting sqref="B323:C323">
    <cfRule type="top10" dxfId="16" priority="16" percent="1" rank="40"/>
  </conditionalFormatting>
  <conditionalFormatting sqref="B330:C330">
    <cfRule type="top10" dxfId="15" priority="11" percent="1" rank="40"/>
  </conditionalFormatting>
  <conditionalFormatting sqref="B336:C336">
    <cfRule type="top10" dxfId="14" priority="6" percent="1" rank="40"/>
  </conditionalFormatting>
  <conditionalFormatting sqref="B342:C342">
    <cfRule type="top10" dxfId="13" priority="1" percent="1" rank="40"/>
  </conditionalFormatting>
  <conditionalFormatting sqref="C1:C36 C42:C289 C295 C301 C303:C309 C321:C322 C326:C329 C347:C1048576">
    <cfRule type="top10" dxfId="12" priority="37" percent="1" rank="40"/>
  </conditionalFormatting>
  <conditionalFormatting sqref="C37:C41">
    <cfRule type="top10" dxfId="11" priority="35" percent="1" rank="40"/>
  </conditionalFormatting>
  <conditionalFormatting sqref="C290:C294">
    <cfRule type="top10" dxfId="10" priority="33" percent="1" rank="40"/>
  </conditionalFormatting>
  <conditionalFormatting sqref="C296:C300">
    <cfRule type="top10" dxfId="9" priority="31" percent="1" rank="40"/>
  </conditionalFormatting>
  <conditionalFormatting sqref="C311:C316">
    <cfRule type="top10" dxfId="8" priority="23" percent="1" rank="40"/>
  </conditionalFormatting>
  <conditionalFormatting sqref="C318:C320">
    <cfRule type="top10" dxfId="7" priority="20" percent="1" rank="40"/>
  </conditionalFormatting>
  <conditionalFormatting sqref="C324:C325">
    <cfRule type="top10" dxfId="6" priority="17" percent="1" rank="40"/>
  </conditionalFormatting>
  <conditionalFormatting sqref="C331:C332">
    <cfRule type="top10" dxfId="5" priority="12" percent="1" rank="40"/>
  </conditionalFormatting>
  <conditionalFormatting sqref="C333:C335">
    <cfRule type="top10" dxfId="4" priority="14" percent="1" rank="40"/>
  </conditionalFormatting>
  <conditionalFormatting sqref="C337:C338">
    <cfRule type="top10" dxfId="3" priority="7" percent="1" rank="40"/>
  </conditionalFormatting>
  <conditionalFormatting sqref="C339:C341">
    <cfRule type="top10" dxfId="2" priority="9" percent="1" rank="40"/>
  </conditionalFormatting>
  <conditionalFormatting sqref="C343:C344">
    <cfRule type="top10" dxfId="1" priority="2" percent="1" rank="40"/>
  </conditionalFormatting>
  <conditionalFormatting sqref="C345:C346">
    <cfRule type="top10" dxfId="0" priority="4" percent="1" rank="40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358"/>
  <sheetViews>
    <sheetView workbookViewId="0">
      <pane ySplit="1" topLeftCell="A338" activePane="bottomLeft" state="frozen"/>
      <selection pane="bottomLeft" activeCell="B354" sqref="B354"/>
    </sheetView>
  </sheetViews>
  <sheetFormatPr baseColWidth="10" defaultRowHeight="16" x14ac:dyDescent="0.2"/>
  <cols>
    <col min="2" max="2" width="23" customWidth="1"/>
    <col min="7" max="7" width="10.83203125" style="113" customWidth="1"/>
    <col min="9" max="9" width="10.83203125" style="113" customWidth="1"/>
    <col min="10" max="10" width="20.33203125" customWidth="1"/>
  </cols>
  <sheetData>
    <row r="1" spans="1:25" ht="17" customHeight="1" x14ac:dyDescent="0.2">
      <c r="A1" s="114" t="s">
        <v>453</v>
      </c>
      <c r="B1" s="114" t="s">
        <v>454</v>
      </c>
      <c r="C1" s="114" t="s">
        <v>455</v>
      </c>
      <c r="D1" s="114" t="s">
        <v>456</v>
      </c>
      <c r="E1" s="114" t="s">
        <v>457</v>
      </c>
      <c r="F1" s="114" t="s">
        <v>458</v>
      </c>
      <c r="G1" s="114" t="s">
        <v>459</v>
      </c>
      <c r="H1" s="114" t="s">
        <v>460</v>
      </c>
      <c r="I1" s="114" t="s">
        <v>461</v>
      </c>
      <c r="J1" s="114" t="s">
        <v>462</v>
      </c>
      <c r="K1" s="114" t="s">
        <v>463</v>
      </c>
      <c r="L1" s="109" t="s">
        <v>751</v>
      </c>
      <c r="M1" s="132"/>
      <c r="N1" s="132"/>
      <c r="O1" s="133"/>
      <c r="P1" s="133"/>
      <c r="Q1" s="104"/>
      <c r="R1" s="132"/>
      <c r="S1" s="105"/>
      <c r="T1" s="133"/>
      <c r="U1" s="104"/>
      <c r="V1" s="104"/>
      <c r="W1" s="132"/>
      <c r="X1" s="133"/>
      <c r="Y1" s="132"/>
    </row>
    <row r="2" spans="1:25" ht="17" customHeight="1" x14ac:dyDescent="0.2">
      <c r="A2" s="115" t="s">
        <v>495</v>
      </c>
      <c r="B2" s="115" t="s">
        <v>496</v>
      </c>
      <c r="C2" s="115">
        <v>2002.71</v>
      </c>
      <c r="D2" s="115">
        <v>-0.53</v>
      </c>
      <c r="E2" s="115">
        <v>-6.16</v>
      </c>
      <c r="F2" s="115">
        <v>9.08</v>
      </c>
      <c r="G2" s="115">
        <v>0</v>
      </c>
      <c r="H2" s="115">
        <v>0.95</v>
      </c>
      <c r="I2" s="115">
        <v>0</v>
      </c>
      <c r="J2" s="116">
        <v>36529</v>
      </c>
      <c r="K2" s="132" t="s">
        <v>463</v>
      </c>
      <c r="L2" s="111">
        <f t="shared" ref="L2:L65" si="0">H2/F2</f>
        <v>0.10462555066079295</v>
      </c>
      <c r="M2" s="132"/>
      <c r="N2" s="132"/>
      <c r="O2" s="133"/>
      <c r="P2" s="133"/>
      <c r="Q2" s="104"/>
      <c r="R2" s="132"/>
      <c r="S2" s="105"/>
      <c r="T2" s="133"/>
      <c r="U2" s="104"/>
      <c r="V2" s="104"/>
      <c r="W2" s="132"/>
      <c r="X2" s="133"/>
      <c r="Y2" s="132"/>
    </row>
    <row r="3" spans="1:25" ht="17" customHeight="1" x14ac:dyDescent="0.2">
      <c r="A3" s="115" t="s">
        <v>501</v>
      </c>
      <c r="B3" s="115" t="s">
        <v>502</v>
      </c>
      <c r="C3" s="115">
        <v>1938.92</v>
      </c>
      <c r="D3" s="115">
        <v>-0.01</v>
      </c>
      <c r="E3" s="115">
        <v>2.88</v>
      </c>
      <c r="F3" s="115">
        <v>18.57</v>
      </c>
      <c r="G3" s="115">
        <v>0.08</v>
      </c>
      <c r="H3" s="115">
        <v>1.39</v>
      </c>
      <c r="I3" s="115">
        <v>0</v>
      </c>
      <c r="J3" s="116">
        <v>36529</v>
      </c>
      <c r="K3" s="132" t="s">
        <v>463</v>
      </c>
      <c r="L3" s="111">
        <f t="shared" si="0"/>
        <v>7.4851911685514264E-2</v>
      </c>
      <c r="M3" s="132"/>
      <c r="N3" s="132"/>
      <c r="O3" s="133"/>
      <c r="P3" s="133"/>
      <c r="Q3" s="104"/>
      <c r="R3" s="132"/>
      <c r="S3" s="105"/>
      <c r="T3" s="133"/>
      <c r="U3" s="104"/>
      <c r="V3" s="104"/>
      <c r="W3" s="132"/>
      <c r="X3" s="133"/>
      <c r="Y3" s="132"/>
    </row>
    <row r="4" spans="1:25" ht="17" customHeight="1" x14ac:dyDescent="0.2">
      <c r="A4" s="115" t="s">
        <v>511</v>
      </c>
      <c r="B4" s="115" t="s">
        <v>512</v>
      </c>
      <c r="C4" s="115">
        <v>2411.73</v>
      </c>
      <c r="D4" s="115">
        <v>-1.19</v>
      </c>
      <c r="E4" s="115">
        <v>4.58</v>
      </c>
      <c r="F4" s="115">
        <v>12.51</v>
      </c>
      <c r="G4" s="115">
        <v>0.08</v>
      </c>
      <c r="H4" s="115">
        <v>1.0900000000000001</v>
      </c>
      <c r="I4" s="115">
        <v>0</v>
      </c>
      <c r="J4" s="116">
        <v>36529</v>
      </c>
      <c r="K4" s="132" t="s">
        <v>463</v>
      </c>
      <c r="L4" s="111">
        <f t="shared" si="0"/>
        <v>8.7130295763389293E-2</v>
      </c>
      <c r="M4" s="132"/>
      <c r="N4" s="132"/>
      <c r="O4" s="133"/>
      <c r="P4" s="133"/>
      <c r="Q4" s="104"/>
      <c r="R4" s="132"/>
      <c r="S4" s="105"/>
      <c r="T4" s="133"/>
      <c r="U4" s="104"/>
      <c r="V4" s="104"/>
      <c r="W4" s="132"/>
      <c r="X4" s="133"/>
      <c r="Y4" s="132"/>
    </row>
    <row r="5" spans="1:25" ht="17" customHeight="1" x14ac:dyDescent="0.2">
      <c r="A5" s="115" t="s">
        <v>561</v>
      </c>
      <c r="B5" s="115" t="s">
        <v>562</v>
      </c>
      <c r="C5" s="115">
        <v>1123.69</v>
      </c>
      <c r="D5" s="115">
        <v>0.04</v>
      </c>
      <c r="E5" s="115">
        <v>-5.46</v>
      </c>
      <c r="F5" s="115">
        <v>9.92</v>
      </c>
      <c r="G5" s="115">
        <v>0.06</v>
      </c>
      <c r="H5" s="115">
        <v>1</v>
      </c>
      <c r="I5" s="115">
        <v>0</v>
      </c>
      <c r="J5" s="116">
        <v>36529</v>
      </c>
      <c r="K5" s="132" t="s">
        <v>463</v>
      </c>
      <c r="L5" s="111">
        <f t="shared" si="0"/>
        <v>0.10080645161290323</v>
      </c>
      <c r="M5" s="132"/>
      <c r="N5" s="132"/>
      <c r="O5" s="133"/>
      <c r="P5" s="133"/>
      <c r="Q5" s="104"/>
      <c r="R5" s="132"/>
      <c r="S5" s="105"/>
      <c r="T5" s="133"/>
      <c r="U5" s="104"/>
      <c r="V5" s="104"/>
      <c r="W5" s="132"/>
      <c r="X5" s="133"/>
      <c r="Y5" s="132"/>
    </row>
    <row r="6" spans="1:25" ht="17" customHeight="1" x14ac:dyDescent="0.2">
      <c r="A6" s="115" t="s">
        <v>628</v>
      </c>
      <c r="B6" s="115" t="s">
        <v>629</v>
      </c>
      <c r="C6" s="115">
        <v>3328.76</v>
      </c>
      <c r="D6" s="115">
        <v>-0.12</v>
      </c>
      <c r="E6" s="115">
        <v>-0.1</v>
      </c>
      <c r="F6" s="115">
        <v>18.39</v>
      </c>
      <c r="G6" s="115">
        <v>0.12</v>
      </c>
      <c r="H6" s="115">
        <v>1.34</v>
      </c>
      <c r="I6" s="115">
        <v>0</v>
      </c>
      <c r="J6" s="116">
        <v>36529</v>
      </c>
      <c r="K6" s="132" t="s">
        <v>463</v>
      </c>
      <c r="L6" s="111">
        <f t="shared" si="0"/>
        <v>7.2865687873844481E-2</v>
      </c>
      <c r="M6" s="132"/>
      <c r="N6" s="132"/>
      <c r="O6" s="133"/>
      <c r="P6" s="133"/>
      <c r="Q6" s="104"/>
      <c r="R6" s="132"/>
      <c r="S6" s="105"/>
      <c r="T6" s="133"/>
      <c r="U6" s="104"/>
      <c r="V6" s="104"/>
      <c r="W6" s="132"/>
      <c r="X6" s="133"/>
      <c r="Y6" s="132"/>
    </row>
    <row r="7" spans="1:25" ht="17" customHeight="1" x14ac:dyDescent="0.2">
      <c r="A7" s="115" t="s">
        <v>632</v>
      </c>
      <c r="B7" s="115" t="s">
        <v>633</v>
      </c>
      <c r="C7" s="115">
        <v>5359.62</v>
      </c>
      <c r="D7" s="115">
        <v>-0.66</v>
      </c>
      <c r="E7" s="115">
        <v>-13.69</v>
      </c>
      <c r="F7" s="115">
        <v>50.96</v>
      </c>
      <c r="G7" s="115">
        <v>0.59</v>
      </c>
      <c r="H7" s="115">
        <v>1.22</v>
      </c>
      <c r="I7" s="115">
        <v>0</v>
      </c>
      <c r="J7" s="116">
        <v>40147</v>
      </c>
      <c r="K7" s="132" t="s">
        <v>463</v>
      </c>
      <c r="L7" s="111">
        <f t="shared" si="0"/>
        <v>2.3940345368916798E-2</v>
      </c>
      <c r="M7" s="132"/>
      <c r="N7" s="132"/>
      <c r="O7" s="133"/>
      <c r="P7" s="133"/>
      <c r="Q7" s="104"/>
      <c r="R7" s="132"/>
      <c r="S7" s="105"/>
      <c r="T7" s="133"/>
      <c r="U7" s="104"/>
      <c r="V7" s="104"/>
      <c r="W7" s="132"/>
      <c r="X7" s="133"/>
      <c r="Y7" s="132"/>
    </row>
    <row r="8" spans="1:25" ht="17" customHeight="1" x14ac:dyDescent="0.2">
      <c r="A8" s="115" t="s">
        <v>664</v>
      </c>
      <c r="B8" s="115" t="s">
        <v>665</v>
      </c>
      <c r="C8" s="115">
        <v>2660.19</v>
      </c>
      <c r="D8" s="115">
        <v>-0.85</v>
      </c>
      <c r="E8" s="115">
        <v>1.71</v>
      </c>
      <c r="F8" s="115">
        <v>18.54</v>
      </c>
      <c r="G8" s="115">
        <v>0.01</v>
      </c>
      <c r="H8" s="115">
        <v>1.22</v>
      </c>
      <c r="I8" s="115">
        <v>0</v>
      </c>
      <c r="J8" s="116">
        <v>36529</v>
      </c>
      <c r="K8" s="132" t="s">
        <v>463</v>
      </c>
      <c r="L8" s="111">
        <f t="shared" si="0"/>
        <v>6.5803667745415323E-2</v>
      </c>
      <c r="M8" s="132"/>
      <c r="N8" s="132"/>
      <c r="O8" s="133"/>
      <c r="P8" s="133"/>
      <c r="Q8" s="104"/>
      <c r="R8" s="132"/>
      <c r="S8" s="105"/>
      <c r="T8" s="133"/>
      <c r="U8" s="104"/>
      <c r="V8" s="104"/>
      <c r="W8" s="132"/>
      <c r="X8" s="133"/>
      <c r="Y8" s="132"/>
    </row>
    <row r="9" spans="1:25" ht="17" customHeight="1" x14ac:dyDescent="0.2">
      <c r="A9" s="115" t="s">
        <v>666</v>
      </c>
      <c r="B9" s="115" t="s">
        <v>667</v>
      </c>
      <c r="C9" s="115">
        <v>2719.04</v>
      </c>
      <c r="D9" s="115">
        <v>-0.78</v>
      </c>
      <c r="E9" s="115">
        <v>-7.03</v>
      </c>
      <c r="F9" s="115">
        <v>31.92</v>
      </c>
      <c r="G9" s="115">
        <v>0.24</v>
      </c>
      <c r="H9" s="115">
        <v>1.62</v>
      </c>
      <c r="I9" s="115">
        <v>0</v>
      </c>
      <c r="J9" s="116">
        <v>36878</v>
      </c>
      <c r="K9" s="132" t="s">
        <v>463</v>
      </c>
      <c r="L9" s="111">
        <f t="shared" si="0"/>
        <v>5.0751879699248117E-2</v>
      </c>
      <c r="M9" s="132"/>
      <c r="N9" s="132"/>
      <c r="O9" s="133"/>
      <c r="P9" s="133"/>
      <c r="Q9" s="104"/>
      <c r="R9" s="132"/>
      <c r="S9" s="105"/>
      <c r="T9" s="133"/>
      <c r="U9" s="104"/>
      <c r="V9" s="104"/>
      <c r="W9" s="132"/>
      <c r="X9" s="133"/>
      <c r="Y9" s="132"/>
    </row>
    <row r="10" spans="1:25" ht="17" customHeight="1" x14ac:dyDescent="0.2">
      <c r="A10" s="115" t="s">
        <v>684</v>
      </c>
      <c r="B10" s="115" t="s">
        <v>685</v>
      </c>
      <c r="C10" s="115">
        <v>1992.36</v>
      </c>
      <c r="D10" s="115">
        <v>-0.32</v>
      </c>
      <c r="E10" s="115">
        <v>-3.47</v>
      </c>
      <c r="F10" s="115">
        <v>14.33</v>
      </c>
      <c r="G10" s="115">
        <v>0.16</v>
      </c>
      <c r="H10" s="115">
        <v>1.01</v>
      </c>
      <c r="I10" s="115">
        <v>0</v>
      </c>
      <c r="J10" s="116">
        <v>36529</v>
      </c>
      <c r="K10" s="132" t="s">
        <v>463</v>
      </c>
      <c r="L10" s="111">
        <f t="shared" si="0"/>
        <v>7.048150732728542E-2</v>
      </c>
      <c r="M10" s="132"/>
      <c r="N10" s="132"/>
      <c r="O10" s="133"/>
      <c r="P10" s="133"/>
      <c r="Q10" s="104"/>
      <c r="R10" s="132"/>
      <c r="S10" s="105"/>
      <c r="T10" s="133"/>
      <c r="U10" s="104"/>
      <c r="V10" s="104"/>
      <c r="W10" s="132"/>
      <c r="X10" s="133"/>
      <c r="Y10" s="132"/>
    </row>
    <row r="11" spans="1:25" ht="17" customHeight="1" x14ac:dyDescent="0.2">
      <c r="A11" s="115" t="s">
        <v>702</v>
      </c>
      <c r="B11" s="115" t="s">
        <v>703</v>
      </c>
      <c r="C11" s="115">
        <v>273.97000000000003</v>
      </c>
      <c r="D11" s="115">
        <v>-1.47</v>
      </c>
      <c r="E11" s="115">
        <v>-13.79</v>
      </c>
      <c r="F11" s="115">
        <v>23.8</v>
      </c>
      <c r="G11" s="115">
        <v>0.66</v>
      </c>
      <c r="H11" s="115">
        <v>0.87</v>
      </c>
      <c r="I11" s="115">
        <v>0</v>
      </c>
      <c r="J11" s="116">
        <v>36529</v>
      </c>
      <c r="K11" s="132" t="s">
        <v>463</v>
      </c>
      <c r="L11" s="111">
        <f t="shared" si="0"/>
        <v>3.6554621848739498E-2</v>
      </c>
      <c r="M11" s="132"/>
      <c r="N11" s="132"/>
      <c r="O11" s="133"/>
      <c r="P11" s="133"/>
      <c r="Q11" s="104"/>
      <c r="R11" s="132"/>
      <c r="S11" s="105"/>
      <c r="T11" s="133"/>
      <c r="U11" s="104"/>
      <c r="V11" s="104"/>
      <c r="W11" s="132"/>
      <c r="X11" s="133"/>
      <c r="Y11" s="132"/>
    </row>
    <row r="12" spans="1:25" ht="17" customHeight="1" x14ac:dyDescent="0.2">
      <c r="A12" s="115" t="s">
        <v>752</v>
      </c>
      <c r="B12" s="115" t="s">
        <v>753</v>
      </c>
      <c r="C12" s="115">
        <v>1510.91</v>
      </c>
      <c r="D12" s="115">
        <v>-0.39</v>
      </c>
      <c r="E12" s="115">
        <v>8.84</v>
      </c>
      <c r="F12" s="115">
        <v>16.21</v>
      </c>
      <c r="G12" s="115">
        <v>0.49</v>
      </c>
      <c r="H12" s="115">
        <v>1.07</v>
      </c>
      <c r="I12" s="115">
        <v>0</v>
      </c>
      <c r="J12" s="116">
        <v>40298</v>
      </c>
      <c r="K12" s="132" t="s">
        <v>463</v>
      </c>
      <c r="L12" s="111">
        <f t="shared" si="0"/>
        <v>6.6008636644046881E-2</v>
      </c>
      <c r="M12" s="132"/>
      <c r="N12" s="132"/>
      <c r="O12" s="133"/>
      <c r="P12" s="133"/>
      <c r="Q12" s="104"/>
      <c r="R12" s="132"/>
      <c r="S12" s="105"/>
      <c r="T12" s="133"/>
      <c r="U12" s="104"/>
      <c r="V12" s="104"/>
      <c r="W12" s="132"/>
      <c r="X12" s="133"/>
      <c r="Y12" s="132"/>
    </row>
    <row r="13" spans="1:25" ht="17" customHeight="1" x14ac:dyDescent="0.2">
      <c r="A13" s="115" t="s">
        <v>754</v>
      </c>
      <c r="B13" s="115" t="s">
        <v>123</v>
      </c>
      <c r="C13" s="115">
        <v>1527.93</v>
      </c>
      <c r="D13" s="115">
        <v>-0.88</v>
      </c>
      <c r="E13" s="115">
        <v>4.18</v>
      </c>
      <c r="F13" s="115">
        <v>14.05</v>
      </c>
      <c r="G13" s="115">
        <v>0.47</v>
      </c>
      <c r="H13" s="115">
        <v>0.92</v>
      </c>
      <c r="I13" s="115">
        <v>0</v>
      </c>
      <c r="J13" s="116">
        <v>40757</v>
      </c>
      <c r="K13" s="132" t="s">
        <v>463</v>
      </c>
      <c r="L13" s="111">
        <f t="shared" si="0"/>
        <v>6.5480427046263348E-2</v>
      </c>
      <c r="M13" s="132"/>
      <c r="N13" s="132"/>
      <c r="O13" s="133"/>
      <c r="P13" s="133"/>
      <c r="Q13" s="104"/>
      <c r="R13" s="132"/>
      <c r="S13" s="105"/>
      <c r="T13" s="133"/>
      <c r="U13" s="104"/>
      <c r="V13" s="104"/>
      <c r="W13" s="132"/>
      <c r="X13" s="133"/>
      <c r="Y13" s="132"/>
    </row>
    <row r="14" spans="1:25" ht="17" customHeight="1" x14ac:dyDescent="0.2">
      <c r="A14" s="115" t="s">
        <v>755</v>
      </c>
      <c r="B14" s="115" t="s">
        <v>756</v>
      </c>
      <c r="C14" s="115">
        <v>2070.56</v>
      </c>
      <c r="D14" s="115">
        <v>-0.18</v>
      </c>
      <c r="E14" s="115">
        <v>4.2</v>
      </c>
      <c r="F14" s="115">
        <v>16.559999999999999</v>
      </c>
      <c r="G14" s="115">
        <v>0.44</v>
      </c>
      <c r="H14" s="115">
        <v>1.05</v>
      </c>
      <c r="I14" s="115">
        <v>0</v>
      </c>
      <c r="J14" s="116">
        <v>40114</v>
      </c>
      <c r="K14" s="132" t="s">
        <v>463</v>
      </c>
      <c r="L14" s="111">
        <f t="shared" si="0"/>
        <v>6.3405797101449279E-2</v>
      </c>
      <c r="M14" s="132"/>
      <c r="N14" s="132"/>
      <c r="O14" s="133"/>
      <c r="P14" s="133"/>
      <c r="Q14" s="104"/>
      <c r="R14" s="132"/>
      <c r="S14" s="105"/>
      <c r="T14" s="133"/>
      <c r="U14" s="104"/>
      <c r="V14" s="104"/>
      <c r="W14" s="132"/>
      <c r="X14" s="133"/>
      <c r="Y14" s="132"/>
    </row>
    <row r="15" spans="1:25" ht="17" customHeight="1" x14ac:dyDescent="0.2">
      <c r="A15" s="115" t="s">
        <v>757</v>
      </c>
      <c r="B15" s="115" t="s">
        <v>758</v>
      </c>
      <c r="C15" s="115">
        <v>7914.05</v>
      </c>
      <c r="D15" s="115">
        <v>-0.71</v>
      </c>
      <c r="E15" s="115">
        <v>7.96</v>
      </c>
      <c r="F15" s="115">
        <v>7.29</v>
      </c>
      <c r="G15" s="115">
        <v>0.2</v>
      </c>
      <c r="H15" s="115">
        <v>0.9</v>
      </c>
      <c r="I15" s="115">
        <v>0</v>
      </c>
      <c r="J15" s="116">
        <v>39086</v>
      </c>
      <c r="K15" s="132" t="s">
        <v>463</v>
      </c>
      <c r="L15" s="111">
        <f t="shared" si="0"/>
        <v>0.1234567901234568</v>
      </c>
      <c r="M15" s="132"/>
      <c r="N15" s="132"/>
      <c r="O15" s="133"/>
      <c r="P15" s="133"/>
      <c r="Q15" s="104"/>
      <c r="R15" s="132"/>
      <c r="S15" s="105"/>
      <c r="T15" s="133"/>
      <c r="U15" s="104"/>
      <c r="V15" s="104"/>
      <c r="W15" s="132"/>
      <c r="X15" s="133"/>
      <c r="Y15" s="132"/>
    </row>
    <row r="16" spans="1:25" ht="17" customHeight="1" x14ac:dyDescent="0.2">
      <c r="A16" s="115" t="s">
        <v>759</v>
      </c>
      <c r="B16" s="115" t="s">
        <v>760</v>
      </c>
      <c r="C16" s="115">
        <v>1595.7</v>
      </c>
      <c r="D16" s="115">
        <v>-0.46</v>
      </c>
      <c r="E16" s="115">
        <v>4.1500000000000004</v>
      </c>
      <c r="F16" s="115">
        <v>16.739999999999998</v>
      </c>
      <c r="G16" s="115">
        <v>0.5</v>
      </c>
      <c r="H16" s="115">
        <v>1.03</v>
      </c>
      <c r="I16" s="115">
        <v>0</v>
      </c>
      <c r="J16" s="116">
        <v>40326</v>
      </c>
      <c r="K16" s="132" t="s">
        <v>463</v>
      </c>
      <c r="L16" s="111">
        <f t="shared" si="0"/>
        <v>6.1529271206690571E-2</v>
      </c>
      <c r="M16" s="132"/>
      <c r="N16" s="132"/>
      <c r="O16" s="133"/>
      <c r="P16" s="133"/>
      <c r="Q16" s="104"/>
      <c r="R16" s="132"/>
      <c r="S16" s="105"/>
      <c r="T16" s="133"/>
      <c r="U16" s="104"/>
      <c r="V16" s="104"/>
      <c r="W16" s="132"/>
      <c r="X16" s="133"/>
      <c r="Y16" s="132"/>
    </row>
    <row r="17" spans="1:25" ht="17" customHeight="1" x14ac:dyDescent="0.2">
      <c r="A17" s="115" t="s">
        <v>761</v>
      </c>
      <c r="B17" s="115" t="s">
        <v>129</v>
      </c>
      <c r="C17" s="115">
        <v>1706.83</v>
      </c>
      <c r="D17" s="115">
        <v>-0.44</v>
      </c>
      <c r="E17" s="115">
        <v>5.87</v>
      </c>
      <c r="F17" s="115">
        <v>14.06</v>
      </c>
      <c r="G17" s="115">
        <v>0.39</v>
      </c>
      <c r="H17" s="115">
        <v>0.92</v>
      </c>
      <c r="I17" s="115">
        <v>0</v>
      </c>
      <c r="J17" s="116">
        <v>39997</v>
      </c>
      <c r="K17" s="132" t="s">
        <v>463</v>
      </c>
      <c r="L17" s="111">
        <f t="shared" si="0"/>
        <v>6.5433854907539113E-2</v>
      </c>
      <c r="M17" s="132"/>
      <c r="N17" s="132"/>
      <c r="O17" s="133"/>
      <c r="P17" s="133"/>
      <c r="Q17" s="104"/>
      <c r="R17" s="132"/>
      <c r="S17" s="105"/>
      <c r="T17" s="133"/>
      <c r="U17" s="104"/>
      <c r="V17" s="104"/>
      <c r="W17" s="132"/>
      <c r="X17" s="133"/>
      <c r="Y17" s="132"/>
    </row>
    <row r="18" spans="1:25" ht="17" customHeight="1" x14ac:dyDescent="0.2">
      <c r="A18" s="115" t="s">
        <v>479</v>
      </c>
      <c r="B18" s="115" t="s">
        <v>480</v>
      </c>
      <c r="C18" s="115">
        <v>3946.7</v>
      </c>
      <c r="D18" s="115">
        <v>-0.52</v>
      </c>
      <c r="E18" s="115">
        <v>12.87</v>
      </c>
      <c r="F18" s="115">
        <v>9.08</v>
      </c>
      <c r="G18" s="115">
        <v>0.01</v>
      </c>
      <c r="H18" s="115">
        <v>1.28</v>
      </c>
      <c r="I18" s="115">
        <v>0.01</v>
      </c>
      <c r="J18" s="116">
        <v>36529</v>
      </c>
      <c r="K18" s="132" t="s">
        <v>463</v>
      </c>
      <c r="L18" s="111">
        <f t="shared" si="0"/>
        <v>0.14096916299559473</v>
      </c>
      <c r="M18" s="132"/>
      <c r="N18" s="132"/>
      <c r="O18" s="133"/>
      <c r="P18" s="133"/>
      <c r="Q18" s="104"/>
      <c r="R18" s="132"/>
      <c r="S18" s="105"/>
      <c r="T18" s="133"/>
      <c r="U18" s="104"/>
      <c r="V18" s="104"/>
      <c r="W18" s="132"/>
      <c r="X18" s="133"/>
      <c r="Y18" s="132"/>
    </row>
    <row r="19" spans="1:25" ht="17" customHeight="1" x14ac:dyDescent="0.2">
      <c r="A19" s="115" t="s">
        <v>483</v>
      </c>
      <c r="B19" s="115" t="s">
        <v>484</v>
      </c>
      <c r="C19" s="115">
        <v>3101.44</v>
      </c>
      <c r="D19" s="115">
        <v>-0.32</v>
      </c>
      <c r="E19" s="115">
        <v>4.12</v>
      </c>
      <c r="F19" s="115">
        <v>14.15</v>
      </c>
      <c r="G19" s="115">
        <v>0</v>
      </c>
      <c r="H19" s="115">
        <v>1.37</v>
      </c>
      <c r="I19" s="115">
        <v>0.01</v>
      </c>
      <c r="J19" s="116">
        <v>36529</v>
      </c>
      <c r="K19" s="132" t="s">
        <v>463</v>
      </c>
      <c r="L19" s="111">
        <f t="shared" si="0"/>
        <v>9.6819787985865727E-2</v>
      </c>
      <c r="M19" s="132"/>
      <c r="N19" s="132"/>
      <c r="O19" s="133"/>
      <c r="P19" s="133"/>
      <c r="Q19" s="104"/>
      <c r="R19" s="132"/>
      <c r="S19" s="105"/>
      <c r="T19" s="133"/>
      <c r="U19" s="104"/>
      <c r="V19" s="104"/>
      <c r="W19" s="132"/>
      <c r="X19" s="133"/>
      <c r="Y19" s="132"/>
    </row>
    <row r="20" spans="1:25" ht="17" customHeight="1" x14ac:dyDescent="0.2">
      <c r="A20" s="115" t="s">
        <v>519</v>
      </c>
      <c r="B20" s="115" t="s">
        <v>520</v>
      </c>
      <c r="C20" s="115">
        <v>3707.07</v>
      </c>
      <c r="D20" s="115">
        <v>-0.63</v>
      </c>
      <c r="E20" s="115">
        <v>19.27</v>
      </c>
      <c r="F20" s="115">
        <v>6.76</v>
      </c>
      <c r="G20" s="115">
        <v>0.24</v>
      </c>
      <c r="H20" s="115">
        <v>0.78</v>
      </c>
      <c r="I20" s="115">
        <v>0.01</v>
      </c>
      <c r="J20" s="116">
        <v>36529</v>
      </c>
      <c r="K20" s="132" t="s">
        <v>463</v>
      </c>
      <c r="L20" s="111">
        <f t="shared" si="0"/>
        <v>0.11538461538461539</v>
      </c>
      <c r="M20" s="132"/>
      <c r="N20" s="132"/>
      <c r="O20" s="133"/>
      <c r="P20" s="133"/>
      <c r="Q20" s="104"/>
      <c r="R20" s="132"/>
      <c r="S20" s="105"/>
      <c r="T20" s="133"/>
      <c r="U20" s="104"/>
      <c r="V20" s="104"/>
      <c r="W20" s="132"/>
      <c r="X20" s="133"/>
      <c r="Y20" s="132"/>
    </row>
    <row r="21" spans="1:25" ht="17" customHeight="1" x14ac:dyDescent="0.2">
      <c r="A21" s="115" t="s">
        <v>547</v>
      </c>
      <c r="B21" s="115" t="s">
        <v>548</v>
      </c>
      <c r="C21" s="115">
        <v>2267.4499999999998</v>
      </c>
      <c r="D21" s="115">
        <v>-0.1</v>
      </c>
      <c r="E21" s="115">
        <v>4.18</v>
      </c>
      <c r="F21" s="115">
        <v>15.86</v>
      </c>
      <c r="G21" s="115">
        <v>0.02</v>
      </c>
      <c r="H21" s="115">
        <v>1.2</v>
      </c>
      <c r="I21" s="115">
        <v>0.01</v>
      </c>
      <c r="J21" s="116">
        <v>36529</v>
      </c>
      <c r="K21" s="132" t="s">
        <v>463</v>
      </c>
      <c r="L21" s="111">
        <f t="shared" si="0"/>
        <v>7.5662042875157626E-2</v>
      </c>
      <c r="M21" s="132"/>
      <c r="N21" s="132"/>
      <c r="O21" s="133"/>
      <c r="P21" s="133"/>
      <c r="Q21" s="104"/>
      <c r="R21" s="132"/>
      <c r="S21" s="105"/>
      <c r="T21" s="133"/>
      <c r="U21" s="104"/>
      <c r="V21" s="104"/>
      <c r="W21" s="132"/>
      <c r="X21" s="133"/>
      <c r="Y21" s="132"/>
    </row>
    <row r="22" spans="1:25" ht="17" customHeight="1" x14ac:dyDescent="0.2">
      <c r="A22" s="115" t="s">
        <v>551</v>
      </c>
      <c r="B22" s="115" t="s">
        <v>552</v>
      </c>
      <c r="C22" s="115">
        <v>3742.93</v>
      </c>
      <c r="D22" s="115">
        <v>0.02</v>
      </c>
      <c r="E22" s="115">
        <v>6.29</v>
      </c>
      <c r="F22" s="115">
        <v>14.66</v>
      </c>
      <c r="G22" s="115">
        <v>0.04</v>
      </c>
      <c r="H22" s="115">
        <v>1.17</v>
      </c>
      <c r="I22" s="115">
        <v>0.01</v>
      </c>
      <c r="J22" s="116">
        <v>36529</v>
      </c>
      <c r="K22" s="132" t="s">
        <v>463</v>
      </c>
      <c r="L22" s="111">
        <f t="shared" si="0"/>
        <v>7.9809004092769434E-2</v>
      </c>
      <c r="M22" s="132"/>
      <c r="N22" s="132"/>
      <c r="O22" s="133"/>
      <c r="P22" s="133"/>
      <c r="Q22" s="104"/>
      <c r="R22" s="132"/>
      <c r="S22" s="105"/>
      <c r="T22" s="133"/>
      <c r="U22" s="104"/>
      <c r="V22" s="104"/>
      <c r="W22" s="132"/>
      <c r="X22" s="133"/>
      <c r="Y22" s="132"/>
    </row>
    <row r="23" spans="1:25" ht="17" customHeight="1" x14ac:dyDescent="0.2">
      <c r="A23" s="115" t="s">
        <v>559</v>
      </c>
      <c r="B23" s="115" t="s">
        <v>560</v>
      </c>
      <c r="C23" s="115">
        <v>6895.97</v>
      </c>
      <c r="D23" s="115">
        <v>-0.03</v>
      </c>
      <c r="E23" s="115">
        <v>-15.92</v>
      </c>
      <c r="F23" s="115">
        <v>18.829999999999998</v>
      </c>
      <c r="G23" s="115">
        <v>0.13</v>
      </c>
      <c r="H23" s="115">
        <v>1.51</v>
      </c>
      <c r="I23" s="115">
        <v>0.01</v>
      </c>
      <c r="J23" s="116">
        <v>36529</v>
      </c>
      <c r="K23" s="132" t="s">
        <v>463</v>
      </c>
      <c r="L23" s="111">
        <f t="shared" si="0"/>
        <v>8.0191184280403616E-2</v>
      </c>
      <c r="M23" s="132"/>
      <c r="N23" s="132"/>
      <c r="O23" s="133"/>
      <c r="P23" s="133"/>
      <c r="Q23" s="104"/>
      <c r="R23" s="132"/>
      <c r="S23" s="105"/>
      <c r="T23" s="133"/>
      <c r="U23" s="104"/>
      <c r="V23" s="104"/>
      <c r="W23" s="132"/>
      <c r="X23" s="133"/>
      <c r="Y23" s="132"/>
    </row>
    <row r="24" spans="1:25" ht="17" customHeight="1" x14ac:dyDescent="0.2">
      <c r="A24" s="115" t="s">
        <v>579</v>
      </c>
      <c r="B24" s="115" t="s">
        <v>580</v>
      </c>
      <c r="C24" s="115">
        <v>6215.21</v>
      </c>
      <c r="D24" s="115">
        <v>-0.21</v>
      </c>
      <c r="E24" s="115">
        <v>13.62</v>
      </c>
      <c r="F24" s="115">
        <v>14.7</v>
      </c>
      <c r="G24" s="115">
        <v>0.01</v>
      </c>
      <c r="H24" s="115">
        <v>1.39</v>
      </c>
      <c r="I24" s="115">
        <v>0.01</v>
      </c>
      <c r="J24" s="116">
        <v>36529</v>
      </c>
      <c r="K24" s="132" t="s">
        <v>463</v>
      </c>
      <c r="L24" s="111">
        <f t="shared" si="0"/>
        <v>9.4557823129251692E-2</v>
      </c>
      <c r="M24" s="132"/>
      <c r="N24" s="132"/>
      <c r="O24" s="133"/>
      <c r="P24" s="133"/>
      <c r="Q24" s="104"/>
      <c r="R24" s="132"/>
      <c r="S24" s="105"/>
      <c r="T24" s="133"/>
      <c r="U24" s="104"/>
      <c r="V24" s="104"/>
      <c r="W24" s="132"/>
      <c r="X24" s="133"/>
      <c r="Y24" s="132"/>
    </row>
    <row r="25" spans="1:25" ht="17" customHeight="1" x14ac:dyDescent="0.2">
      <c r="A25" s="115" t="s">
        <v>587</v>
      </c>
      <c r="B25" s="115" t="s">
        <v>588</v>
      </c>
      <c r="C25" s="115">
        <v>4595.8900000000003</v>
      </c>
      <c r="D25" s="115">
        <v>-0.48</v>
      </c>
      <c r="E25" s="115">
        <v>13.23</v>
      </c>
      <c r="F25" s="115">
        <v>8.7799999999999994</v>
      </c>
      <c r="G25" s="115">
        <v>0.01</v>
      </c>
      <c r="H25" s="115">
        <v>1.26</v>
      </c>
      <c r="I25" s="115">
        <v>0.01</v>
      </c>
      <c r="J25" s="116">
        <v>36529</v>
      </c>
      <c r="K25" s="132" t="s">
        <v>463</v>
      </c>
      <c r="L25" s="111">
        <f t="shared" si="0"/>
        <v>0.14350797266514809</v>
      </c>
      <c r="M25" s="132"/>
      <c r="N25" s="132"/>
      <c r="O25" s="133"/>
      <c r="P25" s="133"/>
      <c r="Q25" s="104"/>
      <c r="R25" s="132"/>
      <c r="S25" s="105"/>
      <c r="T25" s="133"/>
      <c r="U25" s="104"/>
      <c r="V25" s="104"/>
      <c r="W25" s="132"/>
      <c r="X25" s="133"/>
      <c r="Y25" s="132"/>
    </row>
    <row r="26" spans="1:25" ht="17" customHeight="1" x14ac:dyDescent="0.2">
      <c r="A26" s="115" t="s">
        <v>617</v>
      </c>
      <c r="B26" s="115" t="s">
        <v>618</v>
      </c>
      <c r="C26" s="115">
        <v>795.88</v>
      </c>
      <c r="D26" s="115">
        <v>0.04</v>
      </c>
      <c r="E26" s="115">
        <v>0.97</v>
      </c>
      <c r="F26" s="115">
        <v>18</v>
      </c>
      <c r="G26" s="115">
        <v>0.05</v>
      </c>
      <c r="H26" s="115">
        <v>1.19</v>
      </c>
      <c r="I26" s="115">
        <v>0.01</v>
      </c>
      <c r="J26" s="116">
        <v>36529</v>
      </c>
      <c r="K26" s="132" t="s">
        <v>463</v>
      </c>
      <c r="L26" s="111">
        <f t="shared" si="0"/>
        <v>6.6111111111111107E-2</v>
      </c>
      <c r="M26" s="132"/>
      <c r="N26" s="132"/>
      <c r="O26" s="133"/>
      <c r="P26" s="133"/>
      <c r="Q26" s="104"/>
      <c r="R26" s="132"/>
      <c r="S26" s="105"/>
      <c r="T26" s="133"/>
      <c r="U26" s="104"/>
      <c r="V26" s="104"/>
      <c r="W26" s="132"/>
      <c r="X26" s="133"/>
      <c r="Y26" s="132"/>
    </row>
    <row r="27" spans="1:25" ht="17" customHeight="1" x14ac:dyDescent="0.2">
      <c r="A27" s="115" t="s">
        <v>634</v>
      </c>
      <c r="B27" s="115" t="s">
        <v>635</v>
      </c>
      <c r="C27" s="115">
        <v>1372.3</v>
      </c>
      <c r="D27" s="115">
        <v>-0.77</v>
      </c>
      <c r="E27" s="115">
        <v>-1.82</v>
      </c>
      <c r="F27" s="115">
        <v>11.02</v>
      </c>
      <c r="G27" s="115">
        <v>0.01</v>
      </c>
      <c r="H27" s="115">
        <v>0.99</v>
      </c>
      <c r="I27" s="115">
        <v>0.01</v>
      </c>
      <c r="J27" s="116">
        <v>40826</v>
      </c>
      <c r="K27" s="132" t="s">
        <v>463</v>
      </c>
      <c r="L27" s="111">
        <f t="shared" si="0"/>
        <v>8.9836660617059888E-2</v>
      </c>
      <c r="M27" s="132"/>
      <c r="N27" s="132"/>
      <c r="O27" s="133"/>
      <c r="P27" s="133"/>
      <c r="Q27" s="104"/>
      <c r="R27" s="132"/>
      <c r="S27" s="105"/>
      <c r="T27" s="133"/>
      <c r="U27" s="104"/>
      <c r="V27" s="104"/>
      <c r="W27" s="132"/>
      <c r="X27" s="133"/>
      <c r="Y27" s="132"/>
    </row>
    <row r="28" spans="1:25" ht="17" customHeight="1" x14ac:dyDescent="0.2">
      <c r="A28" s="115" t="s">
        <v>636</v>
      </c>
      <c r="B28" s="115" t="s">
        <v>637</v>
      </c>
      <c r="C28" s="115">
        <v>2128.9</v>
      </c>
      <c r="D28" s="115">
        <v>-0.7</v>
      </c>
      <c r="E28" s="115">
        <v>-9.3800000000000008</v>
      </c>
      <c r="F28" s="115">
        <v>7.88</v>
      </c>
      <c r="G28" s="115">
        <v>0.01</v>
      </c>
      <c r="H28" s="115">
        <v>0.79</v>
      </c>
      <c r="I28" s="115">
        <v>0.01</v>
      </c>
      <c r="J28" s="116">
        <v>40826</v>
      </c>
      <c r="K28" s="132" t="s">
        <v>463</v>
      </c>
      <c r="L28" s="111">
        <f t="shared" si="0"/>
        <v>0.10025380710659899</v>
      </c>
      <c r="M28" s="132"/>
      <c r="N28" s="132"/>
      <c r="O28" s="133"/>
      <c r="P28" s="133"/>
      <c r="Q28" s="104"/>
      <c r="R28" s="132"/>
      <c r="S28" s="105"/>
      <c r="T28" s="133"/>
      <c r="U28" s="104"/>
      <c r="V28" s="104"/>
      <c r="W28" s="132"/>
      <c r="X28" s="133"/>
      <c r="Y28" s="132"/>
    </row>
    <row r="29" spans="1:25" ht="17" customHeight="1" x14ac:dyDescent="0.2">
      <c r="A29" s="115" t="s">
        <v>650</v>
      </c>
      <c r="B29" s="115" t="s">
        <v>651</v>
      </c>
      <c r="C29" s="115">
        <v>5981.37</v>
      </c>
      <c r="D29" s="115">
        <v>7.0000000000000007E-2</v>
      </c>
      <c r="E29" s="115">
        <v>0.99</v>
      </c>
      <c r="F29" s="115">
        <v>19.38</v>
      </c>
      <c r="G29" s="115">
        <v>0.09</v>
      </c>
      <c r="H29" s="115">
        <v>1.56</v>
      </c>
      <c r="I29" s="115">
        <v>0.01</v>
      </c>
      <c r="J29" s="116">
        <v>39042</v>
      </c>
      <c r="K29" s="132" t="s">
        <v>463</v>
      </c>
      <c r="L29" s="111">
        <f t="shared" si="0"/>
        <v>8.0495356037151716E-2</v>
      </c>
      <c r="M29" s="132"/>
      <c r="N29" s="132"/>
      <c r="O29" s="133"/>
      <c r="P29" s="133"/>
      <c r="Q29" s="104"/>
      <c r="R29" s="132"/>
      <c r="S29" s="105"/>
      <c r="T29" s="133"/>
      <c r="U29" s="104"/>
      <c r="V29" s="104"/>
      <c r="W29" s="132"/>
      <c r="X29" s="133"/>
      <c r="Y29" s="132"/>
    </row>
    <row r="30" spans="1:25" ht="17" customHeight="1" x14ac:dyDescent="0.2">
      <c r="A30" s="115" t="s">
        <v>662</v>
      </c>
      <c r="B30" s="115" t="s">
        <v>663</v>
      </c>
      <c r="C30" s="115">
        <v>1126.27</v>
      </c>
      <c r="D30" s="115">
        <v>-0.28000000000000003</v>
      </c>
      <c r="E30" s="115">
        <v>-8.4499999999999993</v>
      </c>
      <c r="F30" s="115">
        <v>24.86</v>
      </c>
      <c r="G30" s="115">
        <v>0.16</v>
      </c>
      <c r="H30" s="115">
        <v>1.55</v>
      </c>
      <c r="I30" s="115">
        <v>0.01</v>
      </c>
      <c r="J30" s="116">
        <v>36529</v>
      </c>
      <c r="K30" s="132" t="s">
        <v>463</v>
      </c>
      <c r="L30" s="111">
        <f t="shared" si="0"/>
        <v>6.2349155269509252E-2</v>
      </c>
      <c r="M30" s="132"/>
      <c r="N30" s="132"/>
      <c r="O30" s="133"/>
      <c r="P30" s="133"/>
      <c r="Q30" s="104"/>
      <c r="R30" s="132"/>
      <c r="S30" s="105"/>
      <c r="T30" s="133"/>
      <c r="U30" s="104"/>
      <c r="V30" s="104"/>
      <c r="W30" s="132"/>
      <c r="X30" s="133"/>
      <c r="Y30" s="132"/>
    </row>
    <row r="31" spans="1:25" ht="17" customHeight="1" x14ac:dyDescent="0.2">
      <c r="A31" s="115" t="s">
        <v>762</v>
      </c>
      <c r="B31" s="115" t="s">
        <v>103</v>
      </c>
      <c r="C31" s="115">
        <v>1369.54</v>
      </c>
      <c r="D31" s="115">
        <v>-0.4</v>
      </c>
      <c r="E31" s="115">
        <v>-0.26</v>
      </c>
      <c r="F31" s="115">
        <v>28.01</v>
      </c>
      <c r="G31" s="115">
        <v>0.14000000000000001</v>
      </c>
      <c r="H31" s="115">
        <v>1.61</v>
      </c>
      <c r="I31" s="115">
        <v>0.01</v>
      </c>
      <c r="J31" s="116">
        <v>41841</v>
      </c>
      <c r="K31" s="132" t="s">
        <v>463</v>
      </c>
      <c r="L31" s="111">
        <f t="shared" si="0"/>
        <v>5.7479471617279544E-2</v>
      </c>
      <c r="M31" s="132"/>
      <c r="N31" s="132"/>
      <c r="O31" s="133"/>
      <c r="P31" s="133"/>
      <c r="Q31" s="104"/>
      <c r="R31" s="132"/>
      <c r="S31" s="105"/>
      <c r="T31" s="133"/>
      <c r="U31" s="104"/>
      <c r="V31" s="104"/>
      <c r="W31" s="132"/>
      <c r="X31" s="133"/>
      <c r="Y31" s="132"/>
    </row>
    <row r="32" spans="1:25" ht="17" customHeight="1" x14ac:dyDescent="0.2">
      <c r="A32" s="115" t="s">
        <v>692</v>
      </c>
      <c r="B32" s="115" t="s">
        <v>693</v>
      </c>
      <c r="C32" s="115">
        <v>1012.42</v>
      </c>
      <c r="D32" s="115">
        <v>-1.24</v>
      </c>
      <c r="E32" s="115">
        <v>5.64</v>
      </c>
      <c r="F32" s="115">
        <v>27.37</v>
      </c>
      <c r="G32" s="115">
        <v>0.28000000000000003</v>
      </c>
      <c r="H32" s="115">
        <v>1.29</v>
      </c>
      <c r="I32" s="115">
        <v>0.01</v>
      </c>
      <c r="J32" s="116">
        <v>36529</v>
      </c>
      <c r="K32" s="132" t="s">
        <v>463</v>
      </c>
      <c r="L32" s="111">
        <f t="shared" si="0"/>
        <v>4.7131896236755573E-2</v>
      </c>
      <c r="M32" s="132"/>
      <c r="N32" s="132"/>
      <c r="O32" s="133"/>
      <c r="P32" s="133"/>
      <c r="Q32" s="104"/>
      <c r="R32" s="132"/>
      <c r="S32" s="105"/>
      <c r="T32" s="133"/>
      <c r="U32" s="104"/>
      <c r="V32" s="104"/>
      <c r="W32" s="132"/>
      <c r="X32" s="133"/>
      <c r="Y32" s="132"/>
    </row>
    <row r="33" spans="1:25" ht="17" customHeight="1" x14ac:dyDescent="0.2">
      <c r="A33" s="115" t="s">
        <v>700</v>
      </c>
      <c r="B33" s="115" t="s">
        <v>701</v>
      </c>
      <c r="C33" s="115">
        <v>2368.6</v>
      </c>
      <c r="D33" s="115">
        <v>-1.5</v>
      </c>
      <c r="E33" s="115">
        <v>5.85</v>
      </c>
      <c r="F33" s="115">
        <v>9.66</v>
      </c>
      <c r="G33" s="115">
        <v>0.04</v>
      </c>
      <c r="H33" s="115">
        <v>1.01</v>
      </c>
      <c r="I33" s="115">
        <v>0.01</v>
      </c>
      <c r="J33" s="116">
        <v>36529</v>
      </c>
      <c r="K33" s="132" t="s">
        <v>463</v>
      </c>
      <c r="L33" s="111">
        <f t="shared" si="0"/>
        <v>0.10455486542443064</v>
      </c>
      <c r="M33" s="132"/>
      <c r="N33" s="132"/>
      <c r="O33" s="133"/>
      <c r="P33" s="133"/>
      <c r="Q33" s="104"/>
      <c r="R33" s="132"/>
      <c r="S33" s="105"/>
      <c r="T33" s="133"/>
      <c r="U33" s="104"/>
      <c r="V33" s="104"/>
      <c r="W33" s="132"/>
      <c r="X33" s="133"/>
      <c r="Y33" s="132"/>
    </row>
    <row r="34" spans="1:25" ht="17" customHeight="1" x14ac:dyDescent="0.2">
      <c r="A34" s="115" t="s">
        <v>763</v>
      </c>
      <c r="B34" s="115" t="s">
        <v>161</v>
      </c>
      <c r="C34" s="115">
        <v>3155.52</v>
      </c>
      <c r="D34" s="115">
        <v>-0.7</v>
      </c>
      <c r="E34" s="115">
        <v>3.16</v>
      </c>
      <c r="F34" s="115">
        <v>14.02</v>
      </c>
      <c r="G34" s="115">
        <v>0.28000000000000003</v>
      </c>
      <c r="H34" s="115">
        <v>1.22</v>
      </c>
      <c r="I34" s="115">
        <v>0.01</v>
      </c>
      <c r="J34" s="116">
        <v>40777</v>
      </c>
      <c r="K34" s="132" t="s">
        <v>463</v>
      </c>
      <c r="L34" s="111">
        <f t="shared" si="0"/>
        <v>8.7018544935805991E-2</v>
      </c>
      <c r="M34" s="132"/>
      <c r="N34" s="132"/>
      <c r="O34" s="133"/>
      <c r="P34" s="133"/>
      <c r="Q34" s="104"/>
      <c r="R34" s="132"/>
      <c r="S34" s="105"/>
      <c r="T34" s="133"/>
      <c r="U34" s="104"/>
      <c r="V34" s="104"/>
      <c r="W34" s="132"/>
      <c r="X34" s="133"/>
      <c r="Y34" s="132"/>
    </row>
    <row r="35" spans="1:25" ht="17" customHeight="1" x14ac:dyDescent="0.2">
      <c r="A35" s="115" t="s">
        <v>724</v>
      </c>
      <c r="B35" s="115" t="s">
        <v>725</v>
      </c>
      <c r="C35" s="115">
        <v>3708.66</v>
      </c>
      <c r="D35" s="115">
        <v>-0.63</v>
      </c>
      <c r="E35" s="115">
        <v>19.27</v>
      </c>
      <c r="F35" s="115">
        <v>6.76</v>
      </c>
      <c r="G35" s="115">
        <v>0.25</v>
      </c>
      <c r="H35" s="115">
        <v>0.78</v>
      </c>
      <c r="I35" s="115">
        <v>0.01</v>
      </c>
      <c r="J35" s="116">
        <v>36529</v>
      </c>
      <c r="K35" s="132" t="s">
        <v>463</v>
      </c>
      <c r="L35" s="111">
        <f t="shared" si="0"/>
        <v>0.11538461538461539</v>
      </c>
      <c r="M35" s="132"/>
      <c r="N35" s="132"/>
      <c r="O35" s="133"/>
      <c r="P35" s="133"/>
      <c r="Q35" s="104"/>
      <c r="R35" s="132"/>
      <c r="S35" s="105"/>
      <c r="T35" s="133"/>
      <c r="U35" s="104"/>
      <c r="V35" s="104"/>
      <c r="W35" s="132"/>
      <c r="X35" s="133"/>
      <c r="Y35" s="132"/>
    </row>
    <row r="36" spans="1:25" ht="17" customHeight="1" x14ac:dyDescent="0.2">
      <c r="A36" s="115" t="s">
        <v>726</v>
      </c>
      <c r="B36" s="115" t="s">
        <v>727</v>
      </c>
      <c r="C36" s="115">
        <v>1489.62</v>
      </c>
      <c r="D36" s="115">
        <v>0.03</v>
      </c>
      <c r="E36" s="115">
        <v>2.54</v>
      </c>
      <c r="F36" s="115">
        <v>20.73</v>
      </c>
      <c r="G36" s="115">
        <v>0.08</v>
      </c>
      <c r="H36" s="115">
        <v>1.56</v>
      </c>
      <c r="I36" s="115">
        <v>0.01</v>
      </c>
      <c r="J36" s="116">
        <v>36529</v>
      </c>
      <c r="K36" s="132" t="s">
        <v>463</v>
      </c>
      <c r="L36" s="111">
        <f t="shared" si="0"/>
        <v>7.5253256150506515E-2</v>
      </c>
      <c r="M36" s="132"/>
      <c r="N36" s="132"/>
      <c r="O36" s="133"/>
      <c r="P36" s="133"/>
      <c r="Q36" s="104"/>
      <c r="R36" s="132"/>
      <c r="S36" s="105"/>
      <c r="T36" s="133"/>
      <c r="U36" s="104"/>
      <c r="V36" s="104"/>
      <c r="W36" s="132"/>
      <c r="X36" s="133"/>
      <c r="Y36" s="132"/>
    </row>
    <row r="37" spans="1:25" ht="17" customHeight="1" x14ac:dyDescent="0.2">
      <c r="A37" s="115" t="s">
        <v>764</v>
      </c>
      <c r="B37" s="115" t="s">
        <v>117</v>
      </c>
      <c r="C37" s="115">
        <v>1230.1199999999999</v>
      </c>
      <c r="D37" s="115">
        <v>-1.71</v>
      </c>
      <c r="E37" s="115">
        <v>6.87</v>
      </c>
      <c r="F37" s="115">
        <v>8.44</v>
      </c>
      <c r="G37" s="115">
        <v>0.01</v>
      </c>
      <c r="H37" s="115">
        <v>0.98</v>
      </c>
      <c r="I37" s="115">
        <v>0.01</v>
      </c>
      <c r="J37" s="116">
        <v>42048</v>
      </c>
      <c r="K37" s="132" t="s">
        <v>463</v>
      </c>
      <c r="L37" s="111">
        <f t="shared" si="0"/>
        <v>0.11611374407582939</v>
      </c>
      <c r="M37" s="132"/>
      <c r="N37" s="132"/>
      <c r="O37" s="133"/>
      <c r="P37" s="133"/>
      <c r="Q37" s="104"/>
      <c r="R37" s="132"/>
      <c r="S37" s="105"/>
      <c r="T37" s="133"/>
      <c r="U37" s="104"/>
      <c r="V37" s="104"/>
      <c r="W37" s="132"/>
      <c r="X37" s="133"/>
      <c r="Y37" s="132"/>
    </row>
    <row r="38" spans="1:25" ht="17" customHeight="1" x14ac:dyDescent="0.2">
      <c r="A38" s="115" t="s">
        <v>765</v>
      </c>
      <c r="B38" s="115" t="s">
        <v>766</v>
      </c>
      <c r="C38" s="115">
        <v>1606.44</v>
      </c>
      <c r="D38" s="115">
        <v>-2.21</v>
      </c>
      <c r="E38" s="115">
        <v>7.56</v>
      </c>
      <c r="F38" s="115">
        <v>8.44</v>
      </c>
      <c r="G38" s="115">
        <v>0.01</v>
      </c>
      <c r="H38" s="115">
        <v>0.98</v>
      </c>
      <c r="I38" s="115">
        <v>0.01</v>
      </c>
      <c r="J38" s="116">
        <v>42025</v>
      </c>
      <c r="K38" s="132" t="s">
        <v>463</v>
      </c>
      <c r="L38" s="111">
        <f t="shared" si="0"/>
        <v>0.11611374407582939</v>
      </c>
      <c r="M38" s="132"/>
      <c r="N38" s="132"/>
      <c r="O38" s="133"/>
      <c r="P38" s="133"/>
      <c r="Q38" s="104"/>
      <c r="R38" s="132"/>
      <c r="S38" s="105"/>
      <c r="T38" s="133"/>
      <c r="U38" s="104"/>
      <c r="V38" s="104"/>
      <c r="W38" s="132"/>
      <c r="X38" s="133"/>
      <c r="Y38" s="132"/>
    </row>
    <row r="39" spans="1:25" ht="17" customHeight="1" x14ac:dyDescent="0.2">
      <c r="A39" s="115" t="s">
        <v>767</v>
      </c>
      <c r="B39" s="115" t="s">
        <v>768</v>
      </c>
      <c r="C39" s="115" t="s">
        <v>627</v>
      </c>
      <c r="D39" s="115">
        <v>0</v>
      </c>
      <c r="E39" s="115">
        <v>0</v>
      </c>
      <c r="F39" s="115">
        <v>8.67</v>
      </c>
      <c r="G39" s="115">
        <v>7.0000000000000007E-2</v>
      </c>
      <c r="H39" s="115">
        <v>0.99</v>
      </c>
      <c r="I39" s="115">
        <v>0.01</v>
      </c>
      <c r="J39" s="116">
        <v>42348</v>
      </c>
      <c r="K39" s="132" t="s">
        <v>463</v>
      </c>
      <c r="L39" s="111">
        <f t="shared" si="0"/>
        <v>0.11418685121107267</v>
      </c>
      <c r="M39" s="132"/>
      <c r="N39" s="132"/>
      <c r="O39" s="133"/>
      <c r="P39" s="133"/>
      <c r="Q39" s="104"/>
      <c r="R39" s="132"/>
      <c r="S39" s="105"/>
      <c r="T39" s="133"/>
      <c r="U39" s="104"/>
      <c r="V39" s="104"/>
      <c r="W39" s="132"/>
      <c r="X39" s="133"/>
      <c r="Y39" s="132"/>
    </row>
    <row r="40" spans="1:25" ht="17" customHeight="1" x14ac:dyDescent="0.2">
      <c r="A40" s="115" t="s">
        <v>769</v>
      </c>
      <c r="B40" s="115" t="s">
        <v>770</v>
      </c>
      <c r="C40" s="115">
        <v>3437.61</v>
      </c>
      <c r="D40" s="115">
        <v>-0.45</v>
      </c>
      <c r="E40" s="115">
        <v>13.7</v>
      </c>
      <c r="F40" s="115">
        <v>16.809999999999999</v>
      </c>
      <c r="G40" s="115">
        <v>0.49</v>
      </c>
      <c r="H40" s="115">
        <v>1.07</v>
      </c>
      <c r="I40" s="115">
        <v>0.01</v>
      </c>
      <c r="J40" s="116">
        <v>40914</v>
      </c>
      <c r="K40" s="132" t="s">
        <v>463</v>
      </c>
      <c r="L40" s="111">
        <f t="shared" si="0"/>
        <v>6.3652587745389663E-2</v>
      </c>
      <c r="M40" s="132"/>
      <c r="N40" s="132"/>
      <c r="O40" s="133"/>
      <c r="P40" s="133"/>
      <c r="Q40" s="104"/>
      <c r="R40" s="132"/>
      <c r="S40" s="105"/>
      <c r="T40" s="133"/>
      <c r="U40" s="104"/>
      <c r="V40" s="104"/>
      <c r="W40" s="132"/>
      <c r="X40" s="133"/>
      <c r="Y40" s="132"/>
    </row>
    <row r="41" spans="1:25" ht="17" customHeight="1" x14ac:dyDescent="0.2">
      <c r="A41" s="115" t="s">
        <v>771</v>
      </c>
      <c r="B41" s="115" t="s">
        <v>772</v>
      </c>
      <c r="C41" s="115">
        <v>1490.17</v>
      </c>
      <c r="D41" s="115">
        <v>-0.21</v>
      </c>
      <c r="E41" s="115">
        <v>9.3699999999999992</v>
      </c>
      <c r="F41" s="115">
        <v>8.83</v>
      </c>
      <c r="G41" s="115">
        <v>0.24</v>
      </c>
      <c r="H41" s="115">
        <v>0.99</v>
      </c>
      <c r="I41" s="115">
        <v>0.01</v>
      </c>
      <c r="J41" s="116">
        <v>39902</v>
      </c>
      <c r="K41" s="132" t="s">
        <v>463</v>
      </c>
      <c r="L41" s="111">
        <f t="shared" si="0"/>
        <v>0.11211778029445073</v>
      </c>
      <c r="M41" s="132"/>
      <c r="N41" s="132"/>
      <c r="O41" s="133"/>
      <c r="P41" s="133"/>
      <c r="Q41" s="104"/>
      <c r="R41" s="132"/>
      <c r="S41" s="105"/>
      <c r="T41" s="133"/>
      <c r="U41" s="104"/>
      <c r="V41" s="104"/>
      <c r="W41" s="132"/>
      <c r="X41" s="133"/>
      <c r="Y41" s="132"/>
    </row>
    <row r="42" spans="1:25" ht="17" customHeight="1" x14ac:dyDescent="0.2">
      <c r="A42" s="115" t="s">
        <v>773</v>
      </c>
      <c r="B42" s="115" t="s">
        <v>150</v>
      </c>
      <c r="C42" s="115">
        <v>2632.37</v>
      </c>
      <c r="D42" s="115">
        <v>-0.25</v>
      </c>
      <c r="E42" s="115">
        <v>5.88</v>
      </c>
      <c r="F42" s="115">
        <v>7.41</v>
      </c>
      <c r="G42" s="115">
        <v>0.14000000000000001</v>
      </c>
      <c r="H42" s="115">
        <v>0.92</v>
      </c>
      <c r="I42" s="115">
        <v>0.01</v>
      </c>
      <c r="J42" s="116">
        <v>38356</v>
      </c>
      <c r="K42" s="132" t="s">
        <v>463</v>
      </c>
      <c r="L42" s="111">
        <f t="shared" si="0"/>
        <v>0.12415654520917679</v>
      </c>
      <c r="M42" s="132"/>
      <c r="N42" s="132"/>
      <c r="O42" s="133"/>
      <c r="P42" s="133"/>
      <c r="Q42" s="104"/>
      <c r="R42" s="132"/>
      <c r="S42" s="105"/>
      <c r="T42" s="133"/>
      <c r="U42" s="104"/>
      <c r="V42" s="104"/>
      <c r="W42" s="132"/>
      <c r="X42" s="133"/>
      <c r="Y42" s="132"/>
    </row>
    <row r="43" spans="1:25" ht="17" customHeight="1" x14ac:dyDescent="0.2">
      <c r="A43" s="115" t="s">
        <v>774</v>
      </c>
      <c r="B43" s="115" t="s">
        <v>775</v>
      </c>
      <c r="C43" s="115">
        <v>1950.15</v>
      </c>
      <c r="D43" s="115">
        <v>-0.22</v>
      </c>
      <c r="E43" s="115">
        <v>13.62</v>
      </c>
      <c r="F43" s="115">
        <v>7.66</v>
      </c>
      <c r="G43" s="115">
        <v>0.01</v>
      </c>
      <c r="H43" s="115">
        <v>1</v>
      </c>
      <c r="I43" s="115">
        <v>0.01</v>
      </c>
      <c r="J43" s="116">
        <v>41596</v>
      </c>
      <c r="K43" s="132" t="s">
        <v>463</v>
      </c>
      <c r="L43" s="111">
        <f t="shared" si="0"/>
        <v>0.13054830287206265</v>
      </c>
      <c r="M43" s="133"/>
      <c r="N43" s="132"/>
      <c r="O43" s="133"/>
      <c r="P43" s="133"/>
      <c r="Q43" s="104"/>
      <c r="R43" s="132"/>
      <c r="S43" s="105"/>
      <c r="T43" s="133"/>
      <c r="U43" s="104"/>
      <c r="V43" s="104"/>
      <c r="W43" s="132"/>
      <c r="X43" s="133"/>
      <c r="Y43" s="132"/>
    </row>
    <row r="44" spans="1:25" ht="17" customHeight="1" x14ac:dyDescent="0.2">
      <c r="A44" s="115" t="s">
        <v>776</v>
      </c>
      <c r="B44" s="115" t="s">
        <v>169</v>
      </c>
      <c r="C44" s="115">
        <v>4331.7299999999996</v>
      </c>
      <c r="D44" s="115">
        <v>1.28</v>
      </c>
      <c r="E44" s="115">
        <v>1.26</v>
      </c>
      <c r="F44" s="115">
        <v>7.7</v>
      </c>
      <c r="G44" s="115">
        <v>0.14000000000000001</v>
      </c>
      <c r="H44" s="115">
        <v>0.98</v>
      </c>
      <c r="I44" s="115">
        <v>0.01</v>
      </c>
      <c r="J44" s="116">
        <v>39468</v>
      </c>
      <c r="K44" s="132" t="s">
        <v>463</v>
      </c>
      <c r="L44" s="111">
        <f t="shared" si="0"/>
        <v>0.12727272727272726</v>
      </c>
      <c r="M44" s="133"/>
      <c r="N44" s="132"/>
      <c r="O44" s="133"/>
      <c r="P44" s="133"/>
      <c r="Q44" s="104"/>
      <c r="R44" s="132"/>
      <c r="S44" s="105"/>
      <c r="T44" s="133"/>
      <c r="U44" s="104"/>
      <c r="V44" s="104"/>
      <c r="W44" s="132"/>
      <c r="X44" s="133"/>
      <c r="Y44" s="132"/>
    </row>
    <row r="45" spans="1:25" ht="17" customHeight="1" x14ac:dyDescent="0.2">
      <c r="A45" s="115" t="s">
        <v>777</v>
      </c>
      <c r="B45" s="115" t="s">
        <v>778</v>
      </c>
      <c r="C45" s="115">
        <v>1980.54</v>
      </c>
      <c r="D45" s="115">
        <v>-0.14000000000000001</v>
      </c>
      <c r="E45" s="115">
        <v>2.33</v>
      </c>
      <c r="F45" s="115">
        <v>14.3</v>
      </c>
      <c r="G45" s="115">
        <v>0.34</v>
      </c>
      <c r="H45" s="115">
        <v>1.1599999999999999</v>
      </c>
      <c r="I45" s="115">
        <v>0.01</v>
      </c>
      <c r="J45" s="116">
        <v>40284</v>
      </c>
      <c r="K45" s="132" t="s">
        <v>463</v>
      </c>
      <c r="L45" s="111">
        <f t="shared" si="0"/>
        <v>8.1118881118881103E-2</v>
      </c>
      <c r="M45" s="133"/>
      <c r="N45" s="132"/>
      <c r="O45" s="133"/>
      <c r="P45" s="133"/>
      <c r="Q45" s="104"/>
      <c r="R45" s="132"/>
      <c r="S45" s="105"/>
      <c r="T45" s="133"/>
      <c r="U45" s="104"/>
      <c r="V45" s="104"/>
      <c r="W45" s="132"/>
      <c r="X45" s="133"/>
      <c r="Y45" s="132"/>
    </row>
    <row r="46" spans="1:25" ht="17" customHeight="1" x14ac:dyDescent="0.2">
      <c r="A46" s="115" t="s">
        <v>779</v>
      </c>
      <c r="B46" s="115" t="s">
        <v>780</v>
      </c>
      <c r="C46" s="115">
        <v>6042.28</v>
      </c>
      <c r="D46" s="115">
        <v>0.39</v>
      </c>
      <c r="E46" s="115">
        <v>1.65</v>
      </c>
      <c r="F46" s="115">
        <v>17</v>
      </c>
      <c r="G46" s="115">
        <v>0.01</v>
      </c>
      <c r="H46" s="115">
        <v>2.0499999999999998</v>
      </c>
      <c r="I46" s="115">
        <v>0.01</v>
      </c>
      <c r="J46" s="116">
        <v>40298</v>
      </c>
      <c r="K46" s="132" t="s">
        <v>463</v>
      </c>
      <c r="L46" s="111">
        <f t="shared" si="0"/>
        <v>0.12058823529411763</v>
      </c>
      <c r="M46" s="133"/>
      <c r="N46" s="132"/>
      <c r="O46" s="133"/>
      <c r="P46" s="133"/>
      <c r="Q46" s="104"/>
      <c r="R46" s="132"/>
      <c r="S46" s="105"/>
      <c r="T46" s="133"/>
      <c r="U46" s="104"/>
      <c r="V46" s="104"/>
      <c r="W46" s="132"/>
      <c r="X46" s="133"/>
      <c r="Y46" s="132"/>
    </row>
    <row r="47" spans="1:25" ht="17" customHeight="1" x14ac:dyDescent="0.2">
      <c r="A47" s="115" t="s">
        <v>781</v>
      </c>
      <c r="B47" s="115" t="s">
        <v>782</v>
      </c>
      <c r="C47" s="115">
        <v>1591.18</v>
      </c>
      <c r="D47" s="115">
        <v>-0.38</v>
      </c>
      <c r="E47" s="115">
        <v>10.52</v>
      </c>
      <c r="F47" s="115">
        <v>12.74</v>
      </c>
      <c r="G47" s="115">
        <v>0.04</v>
      </c>
      <c r="H47" s="115">
        <v>1.1100000000000001</v>
      </c>
      <c r="I47" s="115">
        <v>0.01</v>
      </c>
      <c r="J47" s="116">
        <v>42117</v>
      </c>
      <c r="K47" s="132" t="s">
        <v>463</v>
      </c>
      <c r="L47" s="111">
        <f t="shared" si="0"/>
        <v>8.7127158555729986E-2</v>
      </c>
      <c r="M47" s="133"/>
      <c r="N47" s="132"/>
      <c r="O47" s="133"/>
      <c r="P47" s="133"/>
      <c r="Q47" s="104"/>
      <c r="R47" s="132"/>
      <c r="S47" s="105"/>
      <c r="T47" s="133"/>
      <c r="U47" s="104"/>
      <c r="V47" s="104"/>
      <c r="W47" s="132"/>
      <c r="X47" s="133"/>
      <c r="Y47" s="132"/>
    </row>
    <row r="48" spans="1:25" ht="17" customHeight="1" x14ac:dyDescent="0.2">
      <c r="A48" s="115" t="s">
        <v>783</v>
      </c>
      <c r="B48" s="115" t="s">
        <v>784</v>
      </c>
      <c r="C48" s="115">
        <v>1439.32</v>
      </c>
      <c r="D48" s="115">
        <v>-0.28000000000000003</v>
      </c>
      <c r="E48" s="115">
        <v>11.7</v>
      </c>
      <c r="F48" s="115">
        <v>13.87</v>
      </c>
      <c r="G48" s="115">
        <v>0.05</v>
      </c>
      <c r="H48" s="115">
        <v>1.1399999999999999</v>
      </c>
      <c r="I48" s="115">
        <v>0.01</v>
      </c>
      <c r="J48" s="116">
        <v>42051</v>
      </c>
      <c r="K48" s="132" t="s">
        <v>463</v>
      </c>
      <c r="L48" s="111">
        <f t="shared" si="0"/>
        <v>8.2191780821917804E-2</v>
      </c>
      <c r="M48" s="133"/>
      <c r="N48" s="132"/>
      <c r="O48" s="133"/>
      <c r="P48" s="133"/>
      <c r="Q48" s="104"/>
      <c r="R48" s="132"/>
      <c r="S48" s="105"/>
      <c r="T48" s="133"/>
      <c r="U48" s="104"/>
      <c r="V48" s="104"/>
      <c r="W48" s="132"/>
      <c r="X48" s="133"/>
      <c r="Y48" s="132"/>
    </row>
    <row r="49" spans="1:25" ht="17" customHeight="1" x14ac:dyDescent="0.2">
      <c r="A49" s="115" t="s">
        <v>785</v>
      </c>
      <c r="B49" s="115" t="s">
        <v>786</v>
      </c>
      <c r="C49" s="115">
        <v>4681.38</v>
      </c>
      <c r="D49" s="115">
        <v>0.56000000000000005</v>
      </c>
      <c r="E49" s="115">
        <v>3.61</v>
      </c>
      <c r="F49" s="115">
        <v>24.58</v>
      </c>
      <c r="G49" s="115">
        <v>1</v>
      </c>
      <c r="H49" s="115">
        <v>1.34</v>
      </c>
      <c r="I49" s="115">
        <v>0.01</v>
      </c>
      <c r="J49" s="116">
        <v>41470</v>
      </c>
      <c r="K49" s="132" t="s">
        <v>463</v>
      </c>
      <c r="L49" s="111">
        <f t="shared" si="0"/>
        <v>5.4515866558177389E-2</v>
      </c>
      <c r="M49" s="133"/>
      <c r="N49" s="132"/>
      <c r="O49" s="133"/>
      <c r="P49" s="133"/>
      <c r="Q49" s="104"/>
      <c r="R49" s="132"/>
      <c r="S49" s="105"/>
      <c r="T49" s="133"/>
      <c r="U49" s="104"/>
      <c r="V49" s="104"/>
      <c r="W49" s="132"/>
      <c r="X49" s="133"/>
      <c r="Y49" s="132"/>
    </row>
    <row r="50" spans="1:25" ht="17" customHeight="1" x14ac:dyDescent="0.2">
      <c r="A50" s="115" t="s">
        <v>787</v>
      </c>
      <c r="B50" s="115" t="s">
        <v>90</v>
      </c>
      <c r="C50" s="115">
        <v>6624.7</v>
      </c>
      <c r="D50" s="115">
        <v>-0.61</v>
      </c>
      <c r="E50" s="115">
        <v>19.059999999999999</v>
      </c>
      <c r="F50" s="115">
        <v>6.59</v>
      </c>
      <c r="G50" s="115">
        <v>0.62</v>
      </c>
      <c r="H50" s="115">
        <v>0.82</v>
      </c>
      <c r="I50" s="115">
        <v>0.01</v>
      </c>
      <c r="J50" s="116">
        <v>41470</v>
      </c>
      <c r="K50" s="132" t="s">
        <v>463</v>
      </c>
      <c r="L50" s="111">
        <f t="shared" si="0"/>
        <v>0.1244309559939302</v>
      </c>
      <c r="M50" s="133"/>
      <c r="N50" s="132"/>
      <c r="O50" s="133"/>
      <c r="P50" s="133"/>
      <c r="Q50" s="104"/>
      <c r="R50" s="132"/>
      <c r="S50" s="105"/>
      <c r="T50" s="133"/>
      <c r="U50" s="104"/>
      <c r="V50" s="104"/>
      <c r="W50" s="132"/>
      <c r="X50" s="133"/>
      <c r="Y50" s="132"/>
    </row>
    <row r="51" spans="1:25" ht="17" customHeight="1" x14ac:dyDescent="0.2">
      <c r="A51" s="115" t="s">
        <v>788</v>
      </c>
      <c r="B51" s="115" t="s">
        <v>789</v>
      </c>
      <c r="C51" s="115">
        <v>4134.38</v>
      </c>
      <c r="D51" s="115">
        <v>-0.83</v>
      </c>
      <c r="E51" s="115">
        <v>0.01</v>
      </c>
      <c r="F51" s="115">
        <v>9.4700000000000006</v>
      </c>
      <c r="G51" s="115">
        <v>0.18</v>
      </c>
      <c r="H51" s="115">
        <v>1.17</v>
      </c>
      <c r="I51" s="115">
        <v>0.02</v>
      </c>
      <c r="J51" s="116">
        <v>40081</v>
      </c>
      <c r="K51" s="132" t="s">
        <v>463</v>
      </c>
      <c r="L51" s="111">
        <f t="shared" si="0"/>
        <v>0.12354804646251319</v>
      </c>
      <c r="M51" s="133"/>
      <c r="N51" s="132"/>
      <c r="O51" s="133"/>
      <c r="P51" s="133"/>
      <c r="Q51" s="104"/>
      <c r="R51" s="132"/>
      <c r="S51" s="105"/>
      <c r="T51" s="133"/>
      <c r="U51" s="104"/>
      <c r="V51" s="104"/>
      <c r="W51" s="132"/>
      <c r="X51" s="133"/>
      <c r="Y51" s="132"/>
    </row>
    <row r="52" spans="1:25" ht="17" customHeight="1" x14ac:dyDescent="0.2">
      <c r="A52" s="115" t="s">
        <v>521</v>
      </c>
      <c r="B52" s="115" t="s">
        <v>522</v>
      </c>
      <c r="C52" s="115">
        <v>1856.45</v>
      </c>
      <c r="D52" s="115">
        <v>-0.44</v>
      </c>
      <c r="E52" s="115">
        <v>5.92</v>
      </c>
      <c r="F52" s="115">
        <v>32.61</v>
      </c>
      <c r="G52" s="115">
        <v>0.17</v>
      </c>
      <c r="H52" s="115">
        <v>1.5</v>
      </c>
      <c r="I52" s="115">
        <v>0.02</v>
      </c>
      <c r="J52" s="116">
        <v>36529</v>
      </c>
      <c r="K52" s="132" t="s">
        <v>463</v>
      </c>
      <c r="L52" s="111">
        <f t="shared" si="0"/>
        <v>4.5998160073597055E-2</v>
      </c>
      <c r="M52" s="133"/>
      <c r="N52" s="132"/>
      <c r="O52" s="133"/>
      <c r="P52" s="133"/>
      <c r="Q52" s="104"/>
      <c r="R52" s="132"/>
      <c r="S52" s="105"/>
      <c r="T52" s="133"/>
      <c r="U52" s="104"/>
      <c r="V52" s="104"/>
      <c r="W52" s="132"/>
      <c r="X52" s="133"/>
      <c r="Y52" s="132"/>
    </row>
    <row r="53" spans="1:25" ht="17" customHeight="1" x14ac:dyDescent="0.2">
      <c r="A53" s="115" t="s">
        <v>605</v>
      </c>
      <c r="B53" s="115" t="s">
        <v>606</v>
      </c>
      <c r="C53" s="115">
        <v>710.43</v>
      </c>
      <c r="D53" s="115">
        <v>-0.44</v>
      </c>
      <c r="E53" s="115">
        <v>4.63</v>
      </c>
      <c r="F53" s="115">
        <v>21.67</v>
      </c>
      <c r="G53" s="115">
        <v>0.16</v>
      </c>
      <c r="H53" s="115">
        <v>1.32</v>
      </c>
      <c r="I53" s="115">
        <v>0.02</v>
      </c>
      <c r="J53" s="116">
        <v>39265</v>
      </c>
      <c r="K53" s="132" t="s">
        <v>463</v>
      </c>
      <c r="L53" s="111">
        <f t="shared" si="0"/>
        <v>6.091370558375634E-2</v>
      </c>
      <c r="M53" s="133"/>
      <c r="N53" s="132"/>
      <c r="O53" s="133"/>
      <c r="P53" s="133"/>
      <c r="Q53" s="104"/>
      <c r="R53" s="132"/>
      <c r="S53" s="105"/>
      <c r="T53" s="133"/>
      <c r="U53" s="104"/>
      <c r="V53" s="104"/>
      <c r="W53" s="132"/>
      <c r="X53" s="133"/>
      <c r="Y53" s="132"/>
    </row>
    <row r="54" spans="1:25" ht="17" customHeight="1" x14ac:dyDescent="0.2">
      <c r="A54" s="115" t="s">
        <v>790</v>
      </c>
      <c r="B54" s="115" t="s">
        <v>744</v>
      </c>
      <c r="C54" s="115">
        <v>3658.71</v>
      </c>
      <c r="D54" s="115">
        <v>-0.52</v>
      </c>
      <c r="E54" s="115">
        <v>-7.72</v>
      </c>
      <c r="F54" s="115">
        <v>8.14</v>
      </c>
      <c r="G54" s="115">
        <v>0.01</v>
      </c>
      <c r="H54" s="115">
        <v>0.93</v>
      </c>
      <c r="I54" s="115">
        <v>0.02</v>
      </c>
      <c r="J54" s="116">
        <v>42075</v>
      </c>
      <c r="K54" s="132" t="s">
        <v>463</v>
      </c>
      <c r="L54" s="111">
        <f t="shared" si="0"/>
        <v>0.11425061425061425</v>
      </c>
      <c r="M54" s="133"/>
      <c r="N54" s="132"/>
      <c r="O54" s="133"/>
      <c r="P54" s="133"/>
      <c r="Q54" s="104"/>
      <c r="R54" s="132"/>
      <c r="S54" s="105"/>
      <c r="T54" s="133"/>
      <c r="U54" s="104"/>
      <c r="V54" s="104"/>
      <c r="W54" s="132"/>
      <c r="X54" s="133"/>
      <c r="Y54" s="132"/>
    </row>
    <row r="55" spans="1:25" ht="17" customHeight="1" x14ac:dyDescent="0.2">
      <c r="A55" s="115" t="s">
        <v>668</v>
      </c>
      <c r="B55" s="115" t="s">
        <v>669</v>
      </c>
      <c r="C55" s="115">
        <v>2418.63</v>
      </c>
      <c r="D55" s="115">
        <v>0.24</v>
      </c>
      <c r="E55" s="115">
        <v>7.98</v>
      </c>
      <c r="F55" s="115">
        <v>16.899999999999999</v>
      </c>
      <c r="G55" s="115">
        <v>0.12</v>
      </c>
      <c r="H55" s="115">
        <v>1.36</v>
      </c>
      <c r="I55" s="115">
        <v>0.02</v>
      </c>
      <c r="J55" s="116">
        <v>36529</v>
      </c>
      <c r="K55" s="132" t="s">
        <v>463</v>
      </c>
      <c r="L55" s="111">
        <f t="shared" si="0"/>
        <v>8.0473372781065103E-2</v>
      </c>
      <c r="M55" s="133"/>
      <c r="N55" s="132"/>
      <c r="O55" s="133"/>
      <c r="P55" s="133"/>
      <c r="Q55" s="104"/>
      <c r="R55" s="132"/>
      <c r="S55" s="105"/>
      <c r="T55" s="133"/>
      <c r="U55" s="104"/>
      <c r="V55" s="104"/>
      <c r="W55" s="132"/>
      <c r="X55" s="133"/>
      <c r="Y55" s="132"/>
    </row>
    <row r="56" spans="1:25" ht="17" customHeight="1" x14ac:dyDescent="0.2">
      <c r="A56" s="115" t="s">
        <v>670</v>
      </c>
      <c r="B56" s="115" t="s">
        <v>671</v>
      </c>
      <c r="C56" s="115">
        <v>4415.8900000000003</v>
      </c>
      <c r="D56" s="115">
        <v>0.26</v>
      </c>
      <c r="E56" s="115">
        <v>0.93</v>
      </c>
      <c r="F56" s="115">
        <v>25.59</v>
      </c>
      <c r="G56" s="115">
        <v>0.04</v>
      </c>
      <c r="H56" s="115">
        <v>1.61</v>
      </c>
      <c r="I56" s="115">
        <v>0.02</v>
      </c>
      <c r="J56" s="116">
        <v>36529</v>
      </c>
      <c r="K56" s="132" t="s">
        <v>463</v>
      </c>
      <c r="L56" s="111">
        <f t="shared" si="0"/>
        <v>6.2915201250488481E-2</v>
      </c>
      <c r="M56" s="133"/>
      <c r="N56" s="132"/>
      <c r="O56" s="133"/>
      <c r="P56" s="133"/>
      <c r="Q56" s="104"/>
      <c r="R56" s="132"/>
      <c r="S56" s="105"/>
      <c r="T56" s="133"/>
      <c r="U56" s="104"/>
      <c r="V56" s="104"/>
      <c r="W56" s="132"/>
      <c r="X56" s="133"/>
      <c r="Y56" s="132"/>
    </row>
    <row r="57" spans="1:25" ht="17" customHeight="1" x14ac:dyDescent="0.2">
      <c r="A57" s="115" t="s">
        <v>706</v>
      </c>
      <c r="B57" s="115" t="s">
        <v>707</v>
      </c>
      <c r="C57" s="115">
        <v>2909.16</v>
      </c>
      <c r="D57" s="115">
        <v>-0.6</v>
      </c>
      <c r="E57" s="115">
        <v>2.77</v>
      </c>
      <c r="F57" s="115">
        <v>35.68</v>
      </c>
      <c r="G57" s="115">
        <v>0.61</v>
      </c>
      <c r="H57" s="115">
        <v>1.23</v>
      </c>
      <c r="I57" s="115">
        <v>0.02</v>
      </c>
      <c r="J57" s="116">
        <v>39624</v>
      </c>
      <c r="K57" s="132" t="s">
        <v>463</v>
      </c>
      <c r="L57" s="111">
        <f t="shared" si="0"/>
        <v>3.447309417040359E-2</v>
      </c>
      <c r="M57" s="133"/>
      <c r="N57" s="132"/>
      <c r="O57" s="133"/>
      <c r="P57" s="133"/>
      <c r="Q57" s="104"/>
      <c r="R57" s="132"/>
      <c r="S57" s="105"/>
      <c r="T57" s="133"/>
      <c r="U57" s="104"/>
      <c r="V57" s="104"/>
      <c r="W57" s="132"/>
      <c r="X57" s="133"/>
      <c r="Y57" s="132"/>
    </row>
    <row r="58" spans="1:25" ht="17" customHeight="1" x14ac:dyDescent="0.2">
      <c r="A58" s="115" t="s">
        <v>791</v>
      </c>
      <c r="B58" s="115" t="s">
        <v>792</v>
      </c>
      <c r="C58" s="115">
        <v>1390.04</v>
      </c>
      <c r="D58" s="115">
        <v>-0.08</v>
      </c>
      <c r="E58" s="115">
        <v>20.13</v>
      </c>
      <c r="F58" s="115">
        <v>15.6</v>
      </c>
      <c r="G58" s="115">
        <v>0.23</v>
      </c>
      <c r="H58" s="115">
        <v>1.59</v>
      </c>
      <c r="I58" s="115">
        <v>0.02</v>
      </c>
      <c r="J58" s="116">
        <v>42132</v>
      </c>
      <c r="K58" s="132" t="s">
        <v>463</v>
      </c>
      <c r="L58" s="111">
        <f t="shared" si="0"/>
        <v>0.10192307692307694</v>
      </c>
      <c r="M58" s="133"/>
      <c r="N58" s="132"/>
      <c r="O58" s="133"/>
      <c r="P58" s="133"/>
      <c r="Q58" s="104"/>
      <c r="R58" s="132"/>
      <c r="S58" s="105"/>
      <c r="T58" s="133"/>
      <c r="U58" s="104"/>
      <c r="V58" s="104"/>
      <c r="W58" s="132"/>
      <c r="X58" s="133"/>
      <c r="Y58" s="132"/>
    </row>
    <row r="59" spans="1:25" ht="17" customHeight="1" x14ac:dyDescent="0.2">
      <c r="A59" s="115" t="s">
        <v>793</v>
      </c>
      <c r="B59" s="115" t="s">
        <v>794</v>
      </c>
      <c r="C59" s="115">
        <v>6098.52</v>
      </c>
      <c r="D59" s="115">
        <v>-0.32</v>
      </c>
      <c r="E59" s="115">
        <v>0.19</v>
      </c>
      <c r="F59" s="115">
        <v>9.14</v>
      </c>
      <c r="G59" s="115">
        <v>0.41</v>
      </c>
      <c r="H59" s="115">
        <v>1.21</v>
      </c>
      <c r="I59" s="115">
        <v>0.03</v>
      </c>
      <c r="J59" s="116">
        <v>40949</v>
      </c>
      <c r="K59" s="132" t="s">
        <v>463</v>
      </c>
      <c r="L59" s="111">
        <f t="shared" si="0"/>
        <v>0.13238512035010941</v>
      </c>
      <c r="M59" s="133"/>
      <c r="N59" s="132"/>
      <c r="O59" s="133"/>
      <c r="P59" s="133"/>
      <c r="Q59" s="104"/>
      <c r="R59" s="132"/>
      <c r="S59" s="105"/>
      <c r="T59" s="133"/>
      <c r="U59" s="104"/>
      <c r="V59" s="104"/>
      <c r="W59" s="132"/>
      <c r="X59" s="133"/>
      <c r="Y59" s="132"/>
    </row>
    <row r="60" spans="1:25" ht="17" customHeight="1" x14ac:dyDescent="0.2">
      <c r="A60" s="115" t="s">
        <v>613</v>
      </c>
      <c r="B60" s="115" t="s">
        <v>614</v>
      </c>
      <c r="C60" s="115">
        <v>4245.5</v>
      </c>
      <c r="D60" s="115">
        <v>0.87</v>
      </c>
      <c r="E60" s="115">
        <v>0.43</v>
      </c>
      <c r="F60" s="115">
        <v>19</v>
      </c>
      <c r="G60" s="115">
        <v>0.6</v>
      </c>
      <c r="H60" s="115">
        <v>1.29</v>
      </c>
      <c r="I60" s="115">
        <v>0.03</v>
      </c>
      <c r="J60" s="116">
        <v>36529</v>
      </c>
      <c r="K60" s="132" t="s">
        <v>463</v>
      </c>
      <c r="L60" s="111">
        <f t="shared" si="0"/>
        <v>6.7894736842105272E-2</v>
      </c>
      <c r="M60" s="133"/>
      <c r="N60" s="132"/>
      <c r="O60" s="133"/>
      <c r="P60" s="133"/>
      <c r="Q60" s="104"/>
      <c r="R60" s="132"/>
      <c r="S60" s="105"/>
      <c r="T60" s="133"/>
      <c r="U60" s="104"/>
      <c r="V60" s="104"/>
      <c r="W60" s="132"/>
      <c r="X60" s="133"/>
      <c r="Y60" s="132"/>
    </row>
    <row r="61" spans="1:25" ht="17" customHeight="1" x14ac:dyDescent="0.2">
      <c r="A61" s="115" t="s">
        <v>795</v>
      </c>
      <c r="B61" s="115" t="s">
        <v>796</v>
      </c>
      <c r="C61" s="115">
        <v>1320.55</v>
      </c>
      <c r="D61" s="115">
        <v>-1.0900000000000001</v>
      </c>
      <c r="E61" s="115">
        <v>7.74</v>
      </c>
      <c r="F61" s="115">
        <v>13.97</v>
      </c>
      <c r="G61" s="115">
        <v>0.3</v>
      </c>
      <c r="H61" s="115">
        <v>0.9</v>
      </c>
      <c r="I61" s="115">
        <v>0.03</v>
      </c>
      <c r="J61" s="116">
        <v>43179</v>
      </c>
      <c r="K61" s="132" t="s">
        <v>463</v>
      </c>
      <c r="L61" s="111">
        <f t="shared" si="0"/>
        <v>6.4423765211166786E-2</v>
      </c>
      <c r="M61" s="133"/>
      <c r="N61" s="132"/>
      <c r="O61" s="133"/>
      <c r="P61" s="133"/>
      <c r="Q61" s="104"/>
      <c r="R61" s="132"/>
      <c r="S61" s="105"/>
      <c r="T61" s="133"/>
      <c r="U61" s="104"/>
      <c r="V61" s="104"/>
      <c r="W61" s="132"/>
      <c r="X61" s="133"/>
      <c r="Y61" s="132"/>
    </row>
    <row r="62" spans="1:25" ht="17" customHeight="1" x14ac:dyDescent="0.2">
      <c r="A62" s="115" t="s">
        <v>797</v>
      </c>
      <c r="B62" s="115" t="s">
        <v>798</v>
      </c>
      <c r="C62" s="115">
        <v>3485.98</v>
      </c>
      <c r="D62" s="115">
        <v>0.31</v>
      </c>
      <c r="E62" s="115">
        <v>24.32</v>
      </c>
      <c r="F62" s="115">
        <v>8.4499999999999993</v>
      </c>
      <c r="G62" s="115">
        <v>0.28999999999999998</v>
      </c>
      <c r="H62" s="115">
        <v>1.08</v>
      </c>
      <c r="I62" s="115">
        <v>0.03</v>
      </c>
      <c r="J62" s="116">
        <v>43692</v>
      </c>
      <c r="K62" s="132" t="s">
        <v>463</v>
      </c>
      <c r="L62" s="111">
        <f t="shared" si="0"/>
        <v>0.12781065088757398</v>
      </c>
      <c r="M62" s="133"/>
      <c r="N62" s="132"/>
      <c r="O62" s="133"/>
      <c r="P62" s="133"/>
      <c r="Q62" s="104"/>
      <c r="R62" s="132"/>
      <c r="S62" s="105"/>
      <c r="T62" s="133"/>
      <c r="U62" s="104"/>
      <c r="V62" s="104"/>
      <c r="W62" s="132"/>
      <c r="X62" s="133"/>
      <c r="Y62" s="132"/>
    </row>
    <row r="63" spans="1:25" ht="17" customHeight="1" x14ac:dyDescent="0.2">
      <c r="A63" s="115" t="s">
        <v>799</v>
      </c>
      <c r="B63" s="115" t="s">
        <v>800</v>
      </c>
      <c r="C63" s="115">
        <v>4020.56</v>
      </c>
      <c r="D63" s="115">
        <v>-0.31</v>
      </c>
      <c r="E63" s="115">
        <v>15.07</v>
      </c>
      <c r="F63" s="115">
        <v>7.52</v>
      </c>
      <c r="G63" s="115">
        <v>0.18</v>
      </c>
      <c r="H63" s="115">
        <v>0.98</v>
      </c>
      <c r="I63" s="115">
        <v>0.03</v>
      </c>
      <c r="J63" s="116">
        <v>39822</v>
      </c>
      <c r="K63" s="132" t="s">
        <v>463</v>
      </c>
      <c r="L63" s="111">
        <f t="shared" si="0"/>
        <v>0.13031914893617022</v>
      </c>
      <c r="M63" s="133"/>
      <c r="N63" s="132"/>
      <c r="O63" s="133"/>
      <c r="P63" s="133"/>
      <c r="Q63" s="104"/>
      <c r="R63" s="132"/>
      <c r="S63" s="105"/>
      <c r="T63" s="133"/>
      <c r="U63" s="104"/>
      <c r="V63" s="104"/>
      <c r="W63" s="132"/>
      <c r="X63" s="133"/>
      <c r="Y63" s="132"/>
    </row>
    <row r="64" spans="1:25" ht="17" customHeight="1" x14ac:dyDescent="0.2">
      <c r="A64" s="115" t="s">
        <v>801</v>
      </c>
      <c r="B64" s="115" t="s">
        <v>802</v>
      </c>
      <c r="C64" s="115">
        <v>946.47</v>
      </c>
      <c r="D64" s="115">
        <v>-0.14000000000000001</v>
      </c>
      <c r="E64" s="115">
        <v>16.989999999999998</v>
      </c>
      <c r="F64" s="115">
        <v>9.3699999999999992</v>
      </c>
      <c r="G64" s="115">
        <v>0.28000000000000003</v>
      </c>
      <c r="H64" s="115">
        <v>1.1000000000000001</v>
      </c>
      <c r="I64" s="115">
        <v>0.03</v>
      </c>
      <c r="J64" s="116">
        <v>39701</v>
      </c>
      <c r="K64" s="132" t="s">
        <v>463</v>
      </c>
      <c r="L64" s="111">
        <f t="shared" si="0"/>
        <v>0.11739594450373535</v>
      </c>
      <c r="M64" s="133"/>
      <c r="N64" s="132"/>
      <c r="O64" s="133"/>
      <c r="P64" s="133"/>
      <c r="Q64" s="104"/>
      <c r="R64" s="132"/>
      <c r="S64" s="105"/>
      <c r="T64" s="133"/>
      <c r="U64" s="104"/>
      <c r="V64" s="104"/>
      <c r="W64" s="132"/>
      <c r="X64" s="133"/>
      <c r="Y64" s="132"/>
    </row>
    <row r="65" spans="1:25" ht="17" customHeight="1" x14ac:dyDescent="0.2">
      <c r="A65" s="115" t="s">
        <v>803</v>
      </c>
      <c r="B65" s="115" t="s">
        <v>42</v>
      </c>
      <c r="C65" s="115">
        <v>4882.16</v>
      </c>
      <c r="D65" s="115">
        <v>-0.39</v>
      </c>
      <c r="E65" s="115">
        <v>17.13</v>
      </c>
      <c r="F65" s="115">
        <v>25.51</v>
      </c>
      <c r="G65" s="115">
        <v>0.14000000000000001</v>
      </c>
      <c r="H65" s="115">
        <v>1.76</v>
      </c>
      <c r="I65" s="115">
        <v>0.04</v>
      </c>
      <c r="J65" s="116">
        <v>39097</v>
      </c>
      <c r="K65" s="132" t="s">
        <v>463</v>
      </c>
      <c r="L65" s="111">
        <f t="shared" si="0"/>
        <v>6.8992551940415522E-2</v>
      </c>
      <c r="M65" s="133"/>
      <c r="N65" s="132"/>
      <c r="O65" s="133"/>
      <c r="P65" s="133"/>
      <c r="Q65" s="104"/>
      <c r="R65" s="132"/>
      <c r="S65" s="105"/>
      <c r="T65" s="133"/>
      <c r="U65" s="104"/>
      <c r="V65" s="104"/>
      <c r="W65" s="132"/>
      <c r="X65" s="133"/>
      <c r="Y65" s="132"/>
    </row>
    <row r="66" spans="1:25" ht="17" customHeight="1" x14ac:dyDescent="0.2">
      <c r="A66" s="115" t="s">
        <v>465</v>
      </c>
      <c r="B66" s="115" t="s">
        <v>466</v>
      </c>
      <c r="C66" s="115">
        <v>615.82000000000005</v>
      </c>
      <c r="D66" s="115">
        <v>7.0000000000000007E-2</v>
      </c>
      <c r="E66" s="115">
        <v>9.74</v>
      </c>
      <c r="F66" s="115">
        <v>37.57</v>
      </c>
      <c r="G66" s="115">
        <v>0.19</v>
      </c>
      <c r="H66" s="115">
        <v>2.17</v>
      </c>
      <c r="I66" s="115">
        <v>0.04</v>
      </c>
      <c r="J66" s="116">
        <v>36529</v>
      </c>
      <c r="K66" s="132" t="s">
        <v>463</v>
      </c>
      <c r="L66" s="111">
        <f t="shared" ref="L66:L129" si="1">H66/F66</f>
        <v>5.7758850146393398E-2</v>
      </c>
      <c r="M66" s="133"/>
      <c r="N66" s="132"/>
      <c r="O66" s="133"/>
      <c r="P66" s="133"/>
      <c r="Q66" s="104"/>
      <c r="R66" s="132"/>
      <c r="S66" s="105"/>
      <c r="T66" s="133"/>
      <c r="U66" s="104"/>
      <c r="V66" s="104"/>
      <c r="W66" s="132"/>
      <c r="X66" s="133"/>
      <c r="Y66" s="132"/>
    </row>
    <row r="67" spans="1:25" ht="17" customHeight="1" x14ac:dyDescent="0.2">
      <c r="A67" s="115" t="s">
        <v>553</v>
      </c>
      <c r="B67" s="115" t="s">
        <v>554</v>
      </c>
      <c r="C67" s="115">
        <v>4592.34</v>
      </c>
      <c r="D67" s="115">
        <v>0.34</v>
      </c>
      <c r="E67" s="115">
        <v>6.03</v>
      </c>
      <c r="F67" s="115">
        <v>15.52</v>
      </c>
      <c r="G67" s="115">
        <v>0.09</v>
      </c>
      <c r="H67" s="115">
        <v>1.67</v>
      </c>
      <c r="I67" s="115">
        <v>0.04</v>
      </c>
      <c r="J67" s="116">
        <v>36529</v>
      </c>
      <c r="K67" s="132" t="s">
        <v>463</v>
      </c>
      <c r="L67" s="111">
        <f t="shared" si="1"/>
        <v>0.10760309278350515</v>
      </c>
      <c r="M67" s="133"/>
      <c r="N67" s="132"/>
      <c r="O67" s="133"/>
      <c r="P67" s="133"/>
      <c r="Q67" s="104"/>
      <c r="R67" s="132"/>
      <c r="S67" s="105"/>
      <c r="T67" s="133"/>
      <c r="U67" s="104"/>
      <c r="V67" s="104"/>
      <c r="W67" s="132"/>
      <c r="X67" s="133"/>
      <c r="Y67" s="132"/>
    </row>
    <row r="68" spans="1:25" ht="17" customHeight="1" x14ac:dyDescent="0.2">
      <c r="A68" s="115" t="s">
        <v>804</v>
      </c>
      <c r="B68" s="115" t="s">
        <v>805</v>
      </c>
      <c r="C68" s="115">
        <v>1349.44</v>
      </c>
      <c r="D68" s="115">
        <v>-0.54</v>
      </c>
      <c r="E68" s="115">
        <v>-6.05</v>
      </c>
      <c r="F68" s="115">
        <v>11.72</v>
      </c>
      <c r="G68" s="115">
        <v>0.01</v>
      </c>
      <c r="H68" s="115">
        <v>1.1100000000000001</v>
      </c>
      <c r="I68" s="115">
        <v>0.04</v>
      </c>
      <c r="J68" s="116">
        <v>42024</v>
      </c>
      <c r="K68" s="132" t="s">
        <v>463</v>
      </c>
      <c r="L68" s="111">
        <f t="shared" si="1"/>
        <v>9.4709897610921509E-2</v>
      </c>
      <c r="M68" s="133"/>
      <c r="N68" s="132"/>
      <c r="O68" s="133"/>
      <c r="P68" s="133"/>
      <c r="Q68" s="104"/>
      <c r="R68" s="132"/>
      <c r="S68" s="105"/>
      <c r="T68" s="133"/>
      <c r="U68" s="104"/>
      <c r="V68" s="104"/>
      <c r="W68" s="132"/>
      <c r="X68" s="133"/>
      <c r="Y68" s="132"/>
    </row>
    <row r="69" spans="1:25" ht="17" customHeight="1" x14ac:dyDescent="0.2">
      <c r="A69" s="115" t="s">
        <v>640</v>
      </c>
      <c r="B69" s="115" t="s">
        <v>641</v>
      </c>
      <c r="C69" s="115">
        <v>4309.47</v>
      </c>
      <c r="D69" s="115">
        <v>-0.63</v>
      </c>
      <c r="E69" s="115">
        <v>21.17</v>
      </c>
      <c r="F69" s="115">
        <v>22.23</v>
      </c>
      <c r="G69" s="115">
        <v>0.18</v>
      </c>
      <c r="H69" s="115">
        <v>1.54</v>
      </c>
      <c r="I69" s="115">
        <v>0.04</v>
      </c>
      <c r="J69" s="116">
        <v>36529</v>
      </c>
      <c r="K69" s="132" t="s">
        <v>463</v>
      </c>
      <c r="L69" s="111">
        <f t="shared" si="1"/>
        <v>6.9275753486279804E-2</v>
      </c>
      <c r="M69" s="133"/>
      <c r="N69" s="132"/>
      <c r="O69" s="133"/>
      <c r="P69" s="133"/>
      <c r="Q69" s="104"/>
      <c r="R69" s="132"/>
      <c r="S69" s="105"/>
      <c r="T69" s="133"/>
      <c r="U69" s="104"/>
      <c r="V69" s="104"/>
      <c r="W69" s="132"/>
      <c r="X69" s="133"/>
      <c r="Y69" s="132"/>
    </row>
    <row r="70" spans="1:25" ht="17" customHeight="1" x14ac:dyDescent="0.2">
      <c r="A70" s="115" t="s">
        <v>710</v>
      </c>
      <c r="B70" s="115" t="s">
        <v>711</v>
      </c>
      <c r="C70" s="115">
        <v>715.42</v>
      </c>
      <c r="D70" s="115">
        <v>-0.24</v>
      </c>
      <c r="E70" s="115">
        <v>4.72</v>
      </c>
      <c r="F70" s="115">
        <v>15.7</v>
      </c>
      <c r="G70" s="115">
        <v>0.05</v>
      </c>
      <c r="H70" s="115">
        <v>1.78</v>
      </c>
      <c r="I70" s="115">
        <v>0.04</v>
      </c>
      <c r="J70" s="116">
        <v>36529</v>
      </c>
      <c r="K70" s="132" t="s">
        <v>463</v>
      </c>
      <c r="L70" s="111">
        <f t="shared" si="1"/>
        <v>0.11337579617834395</v>
      </c>
      <c r="M70" s="133"/>
      <c r="N70" s="132"/>
      <c r="O70" s="133"/>
      <c r="P70" s="133"/>
      <c r="Q70" s="104"/>
      <c r="R70" s="132"/>
      <c r="S70" s="105"/>
      <c r="T70" s="133"/>
      <c r="U70" s="104"/>
      <c r="V70" s="104"/>
      <c r="W70" s="132"/>
      <c r="X70" s="133"/>
      <c r="Y70" s="132"/>
    </row>
    <row r="71" spans="1:25" ht="17" customHeight="1" x14ac:dyDescent="0.2">
      <c r="A71" s="115" t="s">
        <v>722</v>
      </c>
      <c r="B71" s="115" t="s">
        <v>723</v>
      </c>
      <c r="C71" s="115">
        <v>5529.7</v>
      </c>
      <c r="D71" s="115">
        <v>-0.09</v>
      </c>
      <c r="E71" s="115">
        <v>25.71</v>
      </c>
      <c r="F71" s="115">
        <v>24.43</v>
      </c>
      <c r="G71" s="115">
        <v>0.33</v>
      </c>
      <c r="H71" s="115">
        <v>1.42</v>
      </c>
      <c r="I71" s="115">
        <v>0.04</v>
      </c>
      <c r="J71" s="116">
        <v>36529</v>
      </c>
      <c r="K71" s="132" t="s">
        <v>463</v>
      </c>
      <c r="L71" s="111">
        <f t="shared" si="1"/>
        <v>5.8125255832992218E-2</v>
      </c>
      <c r="M71" s="133"/>
      <c r="N71" s="132"/>
      <c r="O71" s="133"/>
      <c r="P71" s="133"/>
      <c r="Q71" s="104"/>
      <c r="R71" s="132"/>
      <c r="S71" s="105"/>
      <c r="T71" s="133"/>
      <c r="U71" s="104"/>
      <c r="V71" s="104"/>
      <c r="W71" s="132"/>
      <c r="X71" s="133"/>
      <c r="Y71" s="132"/>
    </row>
    <row r="72" spans="1:25" ht="17" customHeight="1" x14ac:dyDescent="0.2">
      <c r="A72" s="115" t="s">
        <v>806</v>
      </c>
      <c r="B72" s="115" t="s">
        <v>807</v>
      </c>
      <c r="C72" s="115">
        <v>9319.7900000000009</v>
      </c>
      <c r="D72" s="115">
        <v>-0.04</v>
      </c>
      <c r="E72" s="115">
        <v>4.8</v>
      </c>
      <c r="F72" s="115">
        <v>8.52</v>
      </c>
      <c r="G72" s="115">
        <v>0.24</v>
      </c>
      <c r="H72" s="115">
        <v>0.97</v>
      </c>
      <c r="I72" s="115">
        <v>0.04</v>
      </c>
      <c r="J72" s="116">
        <v>38971</v>
      </c>
      <c r="K72" s="132" t="s">
        <v>463</v>
      </c>
      <c r="L72" s="111">
        <f t="shared" si="1"/>
        <v>0.11384976525821597</v>
      </c>
      <c r="M72" s="133"/>
      <c r="N72" s="132"/>
      <c r="O72" s="133"/>
      <c r="P72" s="133"/>
      <c r="Q72" s="104"/>
      <c r="R72" s="132"/>
      <c r="S72" s="105"/>
      <c r="T72" s="133"/>
      <c r="U72" s="104"/>
      <c r="V72" s="104"/>
      <c r="W72" s="132"/>
      <c r="X72" s="133"/>
      <c r="Y72" s="132"/>
    </row>
    <row r="73" spans="1:25" ht="17" customHeight="1" x14ac:dyDescent="0.2">
      <c r="A73" s="115" t="s">
        <v>808</v>
      </c>
      <c r="B73" s="115" t="s">
        <v>809</v>
      </c>
      <c r="C73" s="115">
        <v>3465.42</v>
      </c>
      <c r="D73" s="115">
        <v>-1.85</v>
      </c>
      <c r="E73" s="115">
        <v>6.15</v>
      </c>
      <c r="F73" s="115">
        <v>15.13</v>
      </c>
      <c r="G73" s="115">
        <v>0.23</v>
      </c>
      <c r="H73" s="115">
        <v>1.4</v>
      </c>
      <c r="I73" s="115">
        <v>0.04</v>
      </c>
      <c r="J73" s="116">
        <v>41584</v>
      </c>
      <c r="K73" s="132" t="s">
        <v>463</v>
      </c>
      <c r="L73" s="111">
        <f t="shared" si="1"/>
        <v>9.2531394580304016E-2</v>
      </c>
      <c r="M73" s="133"/>
      <c r="N73" s="132"/>
      <c r="O73" s="133"/>
      <c r="P73" s="133"/>
      <c r="Q73" s="104"/>
      <c r="R73" s="132"/>
      <c r="S73" s="105"/>
      <c r="T73" s="133"/>
      <c r="U73" s="104"/>
      <c r="V73" s="104"/>
      <c r="W73" s="132"/>
      <c r="X73" s="133"/>
      <c r="Y73" s="132"/>
    </row>
    <row r="74" spans="1:25" ht="17" customHeight="1" x14ac:dyDescent="0.2">
      <c r="A74" s="115" t="s">
        <v>810</v>
      </c>
      <c r="B74" s="115" t="s">
        <v>811</v>
      </c>
      <c r="C74" s="115">
        <v>2907.06</v>
      </c>
      <c r="D74" s="115">
        <v>0.03</v>
      </c>
      <c r="E74" s="115">
        <v>16.57</v>
      </c>
      <c r="F74" s="115">
        <v>12.66</v>
      </c>
      <c r="G74" s="115">
        <v>0.19</v>
      </c>
      <c r="H74" s="115">
        <v>1.35</v>
      </c>
      <c r="I74" s="115">
        <v>0.05</v>
      </c>
      <c r="J74" s="116">
        <v>36529</v>
      </c>
      <c r="K74" s="132" t="s">
        <v>463</v>
      </c>
      <c r="L74" s="111">
        <f t="shared" si="1"/>
        <v>0.1066350710900474</v>
      </c>
      <c r="M74" s="133"/>
      <c r="N74" s="132"/>
      <c r="O74" s="133"/>
      <c r="P74" s="133"/>
      <c r="Q74" s="104"/>
      <c r="R74" s="132"/>
      <c r="S74" s="105"/>
      <c r="T74" s="133"/>
      <c r="U74" s="104"/>
      <c r="V74" s="104"/>
      <c r="W74" s="132"/>
      <c r="X74" s="133"/>
      <c r="Y74" s="132"/>
    </row>
    <row r="75" spans="1:25" ht="17" customHeight="1" x14ac:dyDescent="0.2">
      <c r="A75" s="115" t="s">
        <v>812</v>
      </c>
      <c r="B75" s="115" t="s">
        <v>195</v>
      </c>
      <c r="C75" s="115">
        <v>26913.919999999998</v>
      </c>
      <c r="D75" s="115">
        <v>-0.28999999999999998</v>
      </c>
      <c r="E75" s="115">
        <v>4.13</v>
      </c>
      <c r="F75" s="115">
        <v>9.68</v>
      </c>
      <c r="G75" s="115">
        <v>0.25</v>
      </c>
      <c r="H75" s="115">
        <v>1.03</v>
      </c>
      <c r="I75" s="115">
        <v>0.05</v>
      </c>
      <c r="J75" s="116">
        <v>37438</v>
      </c>
      <c r="K75" s="132" t="s">
        <v>463</v>
      </c>
      <c r="L75" s="111">
        <f t="shared" si="1"/>
        <v>0.10640495867768596</v>
      </c>
      <c r="M75" s="133"/>
      <c r="N75" s="132"/>
      <c r="O75" s="133"/>
      <c r="P75" s="133"/>
      <c r="Q75" s="104"/>
      <c r="R75" s="132"/>
      <c r="S75" s="105"/>
      <c r="T75" s="133"/>
      <c r="U75" s="104"/>
      <c r="V75" s="104"/>
      <c r="W75" s="132"/>
      <c r="X75" s="133"/>
      <c r="Y75" s="132"/>
    </row>
    <row r="76" spans="1:25" ht="17" customHeight="1" x14ac:dyDescent="0.2">
      <c r="A76" s="115" t="s">
        <v>813</v>
      </c>
      <c r="B76" s="115" t="s">
        <v>814</v>
      </c>
      <c r="C76" s="115">
        <v>3786.41</v>
      </c>
      <c r="D76" s="115">
        <v>0.6</v>
      </c>
      <c r="E76" s="115">
        <v>23.04</v>
      </c>
      <c r="F76" s="115">
        <v>11.82</v>
      </c>
      <c r="G76" s="115">
        <v>0.11</v>
      </c>
      <c r="H76" s="115">
        <v>1.42</v>
      </c>
      <c r="I76" s="115">
        <v>0.05</v>
      </c>
      <c r="J76" s="116">
        <v>43682</v>
      </c>
      <c r="K76" s="132" t="s">
        <v>463</v>
      </c>
      <c r="L76" s="111">
        <f t="shared" si="1"/>
        <v>0.12013536379018612</v>
      </c>
      <c r="M76" s="133"/>
      <c r="N76" s="132"/>
      <c r="O76" s="133"/>
      <c r="P76" s="133"/>
      <c r="Q76" s="104"/>
      <c r="R76" s="132"/>
      <c r="S76" s="105"/>
      <c r="T76" s="133"/>
      <c r="U76" s="104"/>
      <c r="V76" s="104"/>
      <c r="W76" s="132"/>
      <c r="X76" s="133"/>
      <c r="Y76" s="132"/>
    </row>
    <row r="77" spans="1:25" ht="17" customHeight="1" x14ac:dyDescent="0.2">
      <c r="A77" s="115" t="s">
        <v>507</v>
      </c>
      <c r="B77" s="115" t="s">
        <v>508</v>
      </c>
      <c r="C77" s="115">
        <v>2467.4899999999998</v>
      </c>
      <c r="D77" s="115">
        <v>-0.08</v>
      </c>
      <c r="E77" s="115">
        <v>13.38</v>
      </c>
      <c r="F77" s="115">
        <v>19.54</v>
      </c>
      <c r="G77" s="115">
        <v>0.15</v>
      </c>
      <c r="H77" s="115">
        <v>1.72</v>
      </c>
      <c r="I77" s="115">
        <v>0.05</v>
      </c>
      <c r="J77" s="116">
        <v>36529</v>
      </c>
      <c r="K77" s="132" t="s">
        <v>463</v>
      </c>
      <c r="L77" s="111">
        <f t="shared" si="1"/>
        <v>8.8024564994882301E-2</v>
      </c>
      <c r="M77" s="133"/>
      <c r="N77" s="132"/>
      <c r="O77" s="133"/>
      <c r="P77" s="133"/>
      <c r="Q77" s="104"/>
      <c r="R77" s="132"/>
      <c r="S77" s="105"/>
      <c r="T77" s="133"/>
      <c r="U77" s="104"/>
      <c r="V77" s="104"/>
      <c r="W77" s="132"/>
      <c r="X77" s="133"/>
      <c r="Y77" s="132"/>
    </row>
    <row r="78" spans="1:25" ht="17" customHeight="1" x14ac:dyDescent="0.2">
      <c r="A78" s="115" t="s">
        <v>815</v>
      </c>
      <c r="B78" s="115" t="s">
        <v>816</v>
      </c>
      <c r="C78" s="115">
        <v>4390.17</v>
      </c>
      <c r="D78" s="115">
        <v>-0.3</v>
      </c>
      <c r="E78" s="115">
        <v>16.89</v>
      </c>
      <c r="F78" s="115">
        <v>31.09</v>
      </c>
      <c r="G78" s="115">
        <v>0.38</v>
      </c>
      <c r="H78" s="115">
        <v>1.86</v>
      </c>
      <c r="I78" s="115">
        <v>0.05</v>
      </c>
      <c r="J78" s="116">
        <v>41157</v>
      </c>
      <c r="K78" s="132" t="s">
        <v>463</v>
      </c>
      <c r="L78" s="111">
        <f t="shared" si="1"/>
        <v>5.9826310710839499E-2</v>
      </c>
      <c r="M78" s="133"/>
      <c r="N78" s="132"/>
      <c r="O78" s="133"/>
      <c r="P78" s="133"/>
      <c r="Q78" s="104"/>
      <c r="R78" s="132"/>
      <c r="S78" s="105"/>
      <c r="T78" s="133"/>
      <c r="U78" s="104"/>
      <c r="V78" s="104"/>
      <c r="W78" s="132"/>
      <c r="X78" s="133"/>
      <c r="Y78" s="132"/>
    </row>
    <row r="79" spans="1:25" ht="17" customHeight="1" x14ac:dyDescent="0.2">
      <c r="A79" s="115" t="s">
        <v>817</v>
      </c>
      <c r="B79" s="115" t="s">
        <v>818</v>
      </c>
      <c r="C79" s="115">
        <v>5765.92</v>
      </c>
      <c r="D79" s="115">
        <v>-0.41</v>
      </c>
      <c r="E79" s="115">
        <v>15.47</v>
      </c>
      <c r="F79" s="115">
        <v>25.51</v>
      </c>
      <c r="G79" s="115">
        <v>0.15</v>
      </c>
      <c r="H79" s="115">
        <v>1.76</v>
      </c>
      <c r="I79" s="115">
        <v>0.05</v>
      </c>
      <c r="J79" s="116">
        <v>40707</v>
      </c>
      <c r="K79" s="132" t="s">
        <v>463</v>
      </c>
      <c r="L79" s="111">
        <f t="shared" si="1"/>
        <v>6.8992551940415522E-2</v>
      </c>
      <c r="M79" s="133"/>
      <c r="N79" s="132"/>
      <c r="O79" s="133"/>
      <c r="P79" s="133"/>
      <c r="Q79" s="104"/>
      <c r="R79" s="132"/>
      <c r="S79" s="105"/>
      <c r="T79" s="133"/>
      <c r="U79" s="104"/>
      <c r="V79" s="104"/>
      <c r="W79" s="132"/>
      <c r="X79" s="133"/>
      <c r="Y79" s="132"/>
    </row>
    <row r="80" spans="1:25" ht="17" customHeight="1" x14ac:dyDescent="0.2">
      <c r="A80" s="115" t="s">
        <v>563</v>
      </c>
      <c r="B80" s="115" t="s">
        <v>564</v>
      </c>
      <c r="C80" s="115">
        <v>1856.87</v>
      </c>
      <c r="D80" s="115">
        <v>-0.15</v>
      </c>
      <c r="E80" s="115">
        <v>6.17</v>
      </c>
      <c r="F80" s="115">
        <v>9.19</v>
      </c>
      <c r="G80" s="115">
        <v>0.01</v>
      </c>
      <c r="H80" s="115">
        <v>0.97</v>
      </c>
      <c r="I80" s="115">
        <v>0.05</v>
      </c>
      <c r="J80" s="116">
        <v>36529</v>
      </c>
      <c r="K80" s="132" t="s">
        <v>463</v>
      </c>
      <c r="L80" s="111">
        <f t="shared" si="1"/>
        <v>0.10554951033732318</v>
      </c>
      <c r="M80" s="133"/>
      <c r="N80" s="132"/>
      <c r="O80" s="133"/>
      <c r="P80" s="133"/>
      <c r="Q80" s="104"/>
      <c r="R80" s="132"/>
      <c r="S80" s="105"/>
      <c r="T80" s="133"/>
      <c r="U80" s="104"/>
      <c r="V80" s="104"/>
      <c r="W80" s="132"/>
      <c r="X80" s="133"/>
      <c r="Y80" s="132"/>
    </row>
    <row r="81" spans="1:25" ht="17" customHeight="1" x14ac:dyDescent="0.2">
      <c r="A81" s="115" t="s">
        <v>597</v>
      </c>
      <c r="B81" s="115" t="s">
        <v>598</v>
      </c>
      <c r="C81" s="115">
        <v>778.91</v>
      </c>
      <c r="D81" s="115">
        <v>-0.18</v>
      </c>
      <c r="E81" s="115">
        <v>-13.26</v>
      </c>
      <c r="F81" s="115">
        <v>110.3</v>
      </c>
      <c r="G81" s="115">
        <v>0.89</v>
      </c>
      <c r="H81" s="115">
        <v>1.41</v>
      </c>
      <c r="I81" s="115">
        <v>0.05</v>
      </c>
      <c r="J81" s="116">
        <v>36529</v>
      </c>
      <c r="K81" s="132" t="s">
        <v>463</v>
      </c>
      <c r="L81" s="111">
        <f t="shared" si="1"/>
        <v>1.2783318223028105E-2</v>
      </c>
      <c r="M81" s="133"/>
      <c r="N81" s="132"/>
      <c r="O81" s="133"/>
      <c r="P81" s="133"/>
      <c r="Q81" s="104"/>
      <c r="R81" s="132"/>
      <c r="S81" s="105"/>
      <c r="T81" s="133"/>
      <c r="U81" s="104"/>
      <c r="V81" s="104"/>
      <c r="W81" s="132"/>
      <c r="X81" s="133"/>
      <c r="Y81" s="132"/>
    </row>
    <row r="82" spans="1:25" ht="17" customHeight="1" x14ac:dyDescent="0.2">
      <c r="A82" s="115" t="s">
        <v>819</v>
      </c>
      <c r="B82" s="115" t="s">
        <v>820</v>
      </c>
      <c r="C82" s="115">
        <v>1139.33</v>
      </c>
      <c r="D82" s="115">
        <v>-2.5</v>
      </c>
      <c r="E82" s="115">
        <v>-5.91</v>
      </c>
      <c r="F82" s="115">
        <v>10.37</v>
      </c>
      <c r="G82" s="115">
        <v>0.44</v>
      </c>
      <c r="H82" s="115">
        <v>0.93</v>
      </c>
      <c r="I82" s="115">
        <v>0.05</v>
      </c>
      <c r="J82" s="116">
        <v>42003</v>
      </c>
      <c r="K82" s="132" t="s">
        <v>463</v>
      </c>
      <c r="L82" s="111">
        <f t="shared" si="1"/>
        <v>8.9681774349083906E-2</v>
      </c>
      <c r="M82" s="133"/>
      <c r="N82" s="132"/>
      <c r="O82" s="133"/>
      <c r="P82" s="133"/>
      <c r="Q82" s="104"/>
      <c r="R82" s="132"/>
      <c r="S82" s="105"/>
      <c r="T82" s="133"/>
      <c r="U82" s="104"/>
      <c r="V82" s="104"/>
      <c r="W82" s="132"/>
      <c r="X82" s="133"/>
      <c r="Y82" s="132"/>
    </row>
    <row r="83" spans="1:25" ht="17" customHeight="1" x14ac:dyDescent="0.2">
      <c r="A83" s="115" t="s">
        <v>821</v>
      </c>
      <c r="B83" s="115" t="s">
        <v>56</v>
      </c>
      <c r="C83" s="115">
        <v>4226.17</v>
      </c>
      <c r="D83" s="115">
        <v>-0.21</v>
      </c>
      <c r="E83" s="115">
        <v>10.15</v>
      </c>
      <c r="F83" s="115">
        <v>7.86</v>
      </c>
      <c r="G83" s="115">
        <v>0.35</v>
      </c>
      <c r="H83" s="115">
        <v>1</v>
      </c>
      <c r="I83" s="115">
        <v>0.05</v>
      </c>
      <c r="J83" s="116">
        <v>43577</v>
      </c>
      <c r="K83" s="132" t="s">
        <v>463</v>
      </c>
      <c r="L83" s="111">
        <f t="shared" si="1"/>
        <v>0.1272264631043257</v>
      </c>
      <c r="M83" s="133"/>
      <c r="N83" s="132"/>
      <c r="O83" s="133"/>
      <c r="P83" s="133"/>
      <c r="Q83" s="104"/>
      <c r="R83" s="132"/>
      <c r="S83" s="105"/>
      <c r="T83" s="133"/>
      <c r="U83" s="104"/>
      <c r="V83" s="104"/>
      <c r="W83" s="132"/>
      <c r="X83" s="133"/>
      <c r="Y83" s="132"/>
    </row>
    <row r="84" spans="1:25" ht="17" customHeight="1" x14ac:dyDescent="0.2">
      <c r="A84" s="115" t="s">
        <v>822</v>
      </c>
      <c r="B84" s="115" t="s">
        <v>823</v>
      </c>
      <c r="C84" s="115">
        <v>1052.6500000000001</v>
      </c>
      <c r="D84" s="115">
        <v>-0.06</v>
      </c>
      <c r="E84" s="115">
        <v>12.13</v>
      </c>
      <c r="F84" s="115">
        <v>22.43</v>
      </c>
      <c r="G84" s="115">
        <v>0.21</v>
      </c>
      <c r="H84" s="115">
        <v>1.5</v>
      </c>
      <c r="I84" s="115">
        <v>0.05</v>
      </c>
      <c r="J84" s="116">
        <v>42012</v>
      </c>
      <c r="K84" s="132" t="s">
        <v>463</v>
      </c>
      <c r="L84" s="111">
        <f t="shared" si="1"/>
        <v>6.6874721355327682E-2</v>
      </c>
      <c r="M84" s="133"/>
      <c r="N84" s="132"/>
      <c r="O84" s="133"/>
      <c r="P84" s="133"/>
      <c r="Q84" s="104"/>
      <c r="R84" s="132"/>
      <c r="S84" s="105"/>
      <c r="T84" s="133"/>
      <c r="U84" s="104"/>
      <c r="V84" s="104"/>
      <c r="W84" s="132"/>
      <c r="X84" s="133"/>
      <c r="Y84" s="132"/>
    </row>
    <row r="85" spans="1:25" ht="17" customHeight="1" x14ac:dyDescent="0.2">
      <c r="A85" s="115" t="s">
        <v>824</v>
      </c>
      <c r="B85" s="115" t="s">
        <v>39</v>
      </c>
      <c r="C85" s="115">
        <v>3807.81</v>
      </c>
      <c r="D85" s="115">
        <v>0.91</v>
      </c>
      <c r="E85" s="115">
        <v>27.89</v>
      </c>
      <c r="F85" s="115">
        <v>15.55</v>
      </c>
      <c r="G85" s="115">
        <v>0.09</v>
      </c>
      <c r="H85" s="115">
        <v>1.69</v>
      </c>
      <c r="I85" s="115">
        <v>0.06</v>
      </c>
      <c r="J85" s="116">
        <v>39097</v>
      </c>
      <c r="K85" s="132" t="s">
        <v>463</v>
      </c>
      <c r="L85" s="111">
        <f t="shared" si="1"/>
        <v>0.10868167202572346</v>
      </c>
      <c r="M85" s="133"/>
      <c r="N85" s="132"/>
      <c r="O85" s="133"/>
      <c r="P85" s="133"/>
      <c r="Q85" s="104"/>
      <c r="R85" s="132"/>
      <c r="S85" s="105"/>
      <c r="T85" s="133"/>
      <c r="U85" s="104"/>
      <c r="V85" s="104"/>
      <c r="W85" s="132"/>
      <c r="X85" s="133"/>
      <c r="Y85" s="132"/>
    </row>
    <row r="86" spans="1:25" ht="17" customHeight="1" x14ac:dyDescent="0.2">
      <c r="A86" s="115" t="s">
        <v>503</v>
      </c>
      <c r="B86" s="115" t="s">
        <v>504</v>
      </c>
      <c r="C86" s="115">
        <v>4037.7</v>
      </c>
      <c r="D86" s="115">
        <v>0.76</v>
      </c>
      <c r="E86" s="115">
        <v>15.33</v>
      </c>
      <c r="F86" s="115">
        <v>29.95</v>
      </c>
      <c r="G86" s="115">
        <v>0.16</v>
      </c>
      <c r="H86" s="115">
        <v>2.0299999999999998</v>
      </c>
      <c r="I86" s="115">
        <v>0.06</v>
      </c>
      <c r="J86" s="116">
        <v>36529</v>
      </c>
      <c r="K86" s="132" t="s">
        <v>463</v>
      </c>
      <c r="L86" s="111">
        <f t="shared" si="1"/>
        <v>6.7779632721201993E-2</v>
      </c>
      <c r="M86" s="133"/>
      <c r="N86" s="132"/>
      <c r="O86" s="133"/>
      <c r="P86" s="133"/>
      <c r="Q86" s="104"/>
      <c r="R86" s="132"/>
      <c r="S86" s="105"/>
      <c r="T86" s="133"/>
      <c r="U86" s="104"/>
      <c r="V86" s="104"/>
      <c r="W86" s="132"/>
      <c r="X86" s="133"/>
      <c r="Y86" s="132"/>
    </row>
    <row r="87" spans="1:25" ht="17" customHeight="1" x14ac:dyDescent="0.2">
      <c r="A87" s="115" t="s">
        <v>569</v>
      </c>
      <c r="B87" s="115" t="s">
        <v>570</v>
      </c>
      <c r="C87" s="115">
        <v>7081.94</v>
      </c>
      <c r="D87" s="115">
        <v>-0.47</v>
      </c>
      <c r="E87" s="115">
        <v>16.309999999999999</v>
      </c>
      <c r="F87" s="115">
        <v>60.58</v>
      </c>
      <c r="G87" s="115">
        <v>0.37</v>
      </c>
      <c r="H87" s="115">
        <v>2.59</v>
      </c>
      <c r="I87" s="115">
        <v>0.06</v>
      </c>
      <c r="J87" s="116">
        <v>39265</v>
      </c>
      <c r="K87" s="132" t="s">
        <v>463</v>
      </c>
      <c r="L87" s="111">
        <f t="shared" si="1"/>
        <v>4.2753383955100692E-2</v>
      </c>
      <c r="M87" s="133"/>
      <c r="N87" s="132"/>
      <c r="O87" s="133"/>
      <c r="P87" s="133"/>
      <c r="Q87" s="104"/>
      <c r="R87" s="132"/>
      <c r="S87" s="105"/>
      <c r="T87" s="133"/>
      <c r="U87" s="104"/>
      <c r="V87" s="104"/>
      <c r="W87" s="132"/>
      <c r="X87" s="133"/>
      <c r="Y87" s="132"/>
    </row>
    <row r="88" spans="1:25" ht="17" customHeight="1" x14ac:dyDescent="0.2">
      <c r="A88" s="115" t="s">
        <v>825</v>
      </c>
      <c r="B88" s="115" t="s">
        <v>108</v>
      </c>
      <c r="C88" s="115">
        <v>4231.1400000000003</v>
      </c>
      <c r="D88" s="115">
        <v>0.35</v>
      </c>
      <c r="E88" s="115">
        <v>14.65</v>
      </c>
      <c r="F88" s="115">
        <v>26.48</v>
      </c>
      <c r="G88" s="115">
        <v>0.76</v>
      </c>
      <c r="H88" s="115">
        <v>1.9</v>
      </c>
      <c r="I88" s="115">
        <v>0.06</v>
      </c>
      <c r="J88" s="116">
        <v>40757</v>
      </c>
      <c r="K88" s="132" t="s">
        <v>463</v>
      </c>
      <c r="L88" s="111">
        <f t="shared" si="1"/>
        <v>7.175226586102719E-2</v>
      </c>
      <c r="M88" s="133"/>
      <c r="N88" s="132"/>
      <c r="O88" s="133"/>
      <c r="P88" s="133"/>
      <c r="Q88" s="104"/>
      <c r="R88" s="132"/>
      <c r="S88" s="105"/>
      <c r="T88" s="133"/>
      <c r="U88" s="104"/>
      <c r="V88" s="104"/>
      <c r="W88" s="132"/>
      <c r="X88" s="133"/>
      <c r="Y88" s="132"/>
    </row>
    <row r="89" spans="1:25" ht="17" customHeight="1" x14ac:dyDescent="0.2">
      <c r="A89" s="115" t="s">
        <v>826</v>
      </c>
      <c r="B89" s="115" t="s">
        <v>827</v>
      </c>
      <c r="C89" s="115">
        <v>5416.21</v>
      </c>
      <c r="D89" s="115">
        <v>-0.47</v>
      </c>
      <c r="E89" s="115">
        <v>12.28</v>
      </c>
      <c r="F89" s="115">
        <v>8.8800000000000008</v>
      </c>
      <c r="G89" s="115">
        <v>0.05</v>
      </c>
      <c r="H89" s="115">
        <v>1.36</v>
      </c>
      <c r="I89" s="115">
        <v>0.06</v>
      </c>
      <c r="J89" s="116">
        <v>41470</v>
      </c>
      <c r="K89" s="132" t="s">
        <v>463</v>
      </c>
      <c r="L89" s="111">
        <f t="shared" si="1"/>
        <v>0.15315315315315314</v>
      </c>
      <c r="M89" s="133"/>
      <c r="N89" s="132"/>
      <c r="O89" s="133"/>
      <c r="P89" s="133"/>
      <c r="Q89" s="104"/>
      <c r="R89" s="132"/>
      <c r="S89" s="105"/>
      <c r="T89" s="133"/>
      <c r="U89" s="104"/>
      <c r="V89" s="104"/>
      <c r="W89" s="132"/>
      <c r="X89" s="133"/>
      <c r="Y89" s="132"/>
    </row>
    <row r="90" spans="1:25" ht="17" customHeight="1" x14ac:dyDescent="0.2">
      <c r="A90" s="115" t="s">
        <v>621</v>
      </c>
      <c r="B90" s="115" t="s">
        <v>622</v>
      </c>
      <c r="C90" s="115">
        <v>1947.95</v>
      </c>
      <c r="D90" s="115">
        <v>0.63</v>
      </c>
      <c r="E90" s="115">
        <v>1.94</v>
      </c>
      <c r="F90" s="115">
        <v>18.920000000000002</v>
      </c>
      <c r="G90" s="115">
        <v>0.05</v>
      </c>
      <c r="H90" s="115">
        <v>1.42</v>
      </c>
      <c r="I90" s="115">
        <v>0.06</v>
      </c>
      <c r="J90" s="116">
        <v>36529</v>
      </c>
      <c r="K90" s="132" t="s">
        <v>463</v>
      </c>
      <c r="L90" s="111">
        <f t="shared" si="1"/>
        <v>7.5052854122621554E-2</v>
      </c>
      <c r="M90" s="133"/>
      <c r="N90" s="132"/>
      <c r="O90" s="133"/>
      <c r="P90" s="133"/>
      <c r="Q90" s="104"/>
      <c r="R90" s="132"/>
      <c r="S90" s="105"/>
      <c r="T90" s="133"/>
      <c r="U90" s="104"/>
      <c r="V90" s="104"/>
      <c r="W90" s="132"/>
      <c r="X90" s="133"/>
      <c r="Y90" s="132"/>
    </row>
    <row r="91" spans="1:25" ht="17" customHeight="1" x14ac:dyDescent="0.2">
      <c r="A91" s="115" t="s">
        <v>674</v>
      </c>
      <c r="B91" s="115" t="s">
        <v>675</v>
      </c>
      <c r="C91" s="115">
        <v>4250.1099999999997</v>
      </c>
      <c r="D91" s="115">
        <v>-0.53</v>
      </c>
      <c r="E91" s="115">
        <v>0.6</v>
      </c>
      <c r="F91" s="115">
        <v>29.19</v>
      </c>
      <c r="G91" s="115">
        <v>0.18</v>
      </c>
      <c r="H91" s="115">
        <v>1.67</v>
      </c>
      <c r="I91" s="115">
        <v>0.06</v>
      </c>
      <c r="J91" s="116">
        <v>36529</v>
      </c>
      <c r="K91" s="132" t="s">
        <v>463</v>
      </c>
      <c r="L91" s="111">
        <f t="shared" si="1"/>
        <v>5.7211373758136341E-2</v>
      </c>
      <c r="M91" s="133"/>
      <c r="N91" s="132"/>
      <c r="O91" s="133"/>
      <c r="P91" s="133"/>
      <c r="Q91" s="104"/>
      <c r="R91" s="132"/>
      <c r="S91" s="105"/>
      <c r="T91" s="133"/>
      <c r="U91" s="104"/>
      <c r="V91" s="104"/>
      <c r="W91" s="132"/>
      <c r="X91" s="133"/>
      <c r="Y91" s="132"/>
    </row>
    <row r="92" spans="1:25" ht="17" customHeight="1" x14ac:dyDescent="0.2">
      <c r="A92" s="115" t="s">
        <v>704</v>
      </c>
      <c r="B92" s="115" t="s">
        <v>705</v>
      </c>
      <c r="C92" s="115">
        <v>4242.8</v>
      </c>
      <c r="D92" s="115">
        <v>-0.32</v>
      </c>
      <c r="E92" s="115">
        <v>15.56</v>
      </c>
      <c r="F92" s="115">
        <v>51.52</v>
      </c>
      <c r="G92" s="115">
        <v>0.84</v>
      </c>
      <c r="H92" s="115">
        <v>1.57</v>
      </c>
      <c r="I92" s="115">
        <v>0.06</v>
      </c>
      <c r="J92" s="116">
        <v>37313</v>
      </c>
      <c r="K92" s="132" t="s">
        <v>463</v>
      </c>
      <c r="L92" s="111">
        <f t="shared" si="1"/>
        <v>3.0473602484472048E-2</v>
      </c>
      <c r="M92" s="133"/>
      <c r="N92" s="132"/>
      <c r="O92" s="133"/>
      <c r="P92" s="133"/>
      <c r="Q92" s="104"/>
      <c r="R92" s="132"/>
      <c r="S92" s="105"/>
      <c r="T92" s="133"/>
      <c r="U92" s="104"/>
      <c r="V92" s="104"/>
      <c r="W92" s="132"/>
      <c r="X92" s="133"/>
      <c r="Y92" s="132"/>
    </row>
    <row r="93" spans="1:25" ht="17" customHeight="1" x14ac:dyDescent="0.2">
      <c r="A93" s="115" t="s">
        <v>828</v>
      </c>
      <c r="B93" s="115" t="s">
        <v>829</v>
      </c>
      <c r="C93" s="115">
        <v>1504.95</v>
      </c>
      <c r="D93" s="115">
        <v>0.14000000000000001</v>
      </c>
      <c r="E93" s="115">
        <v>15.13</v>
      </c>
      <c r="F93" s="115">
        <v>11.28</v>
      </c>
      <c r="G93" s="115">
        <v>0.12</v>
      </c>
      <c r="H93" s="115">
        <v>1.27</v>
      </c>
      <c r="I93" s="115">
        <v>0.06</v>
      </c>
      <c r="J93" s="116">
        <v>42501</v>
      </c>
      <c r="K93" s="132" t="s">
        <v>463</v>
      </c>
      <c r="L93" s="111">
        <f t="shared" si="1"/>
        <v>0.11258865248226951</v>
      </c>
      <c r="M93" s="133"/>
      <c r="N93" s="132"/>
      <c r="O93" s="133"/>
      <c r="P93" s="133"/>
      <c r="Q93" s="104"/>
      <c r="R93" s="132"/>
      <c r="S93" s="105"/>
      <c r="T93" s="133"/>
      <c r="U93" s="104"/>
      <c r="V93" s="104"/>
      <c r="W93" s="132"/>
      <c r="X93" s="133"/>
      <c r="Y93" s="132"/>
    </row>
    <row r="94" spans="1:25" ht="17" customHeight="1" x14ac:dyDescent="0.2">
      <c r="A94" s="115" t="s">
        <v>830</v>
      </c>
      <c r="B94" s="115" t="s">
        <v>831</v>
      </c>
      <c r="C94" s="115">
        <v>6681.88</v>
      </c>
      <c r="D94" s="115">
        <v>1.01</v>
      </c>
      <c r="E94" s="115">
        <v>20.76</v>
      </c>
      <c r="F94" s="115">
        <v>18.760000000000002</v>
      </c>
      <c r="G94" s="115">
        <v>0.31</v>
      </c>
      <c r="H94" s="115">
        <v>1.92</v>
      </c>
      <c r="I94" s="115">
        <v>0.06</v>
      </c>
      <c r="J94" s="116">
        <v>40298</v>
      </c>
      <c r="K94" s="132" t="s">
        <v>463</v>
      </c>
      <c r="L94" s="111">
        <f t="shared" si="1"/>
        <v>0.10234541577825158</v>
      </c>
      <c r="M94" s="133"/>
      <c r="N94" s="132"/>
      <c r="O94" s="133"/>
      <c r="P94" s="133"/>
      <c r="Q94" s="104"/>
      <c r="R94" s="132"/>
      <c r="S94" s="105"/>
      <c r="T94" s="133"/>
      <c r="U94" s="104"/>
      <c r="V94" s="104"/>
      <c r="W94" s="132"/>
      <c r="X94" s="133"/>
      <c r="Y94" s="132"/>
    </row>
    <row r="95" spans="1:25" ht="17" customHeight="1" x14ac:dyDescent="0.2">
      <c r="A95" s="115" t="s">
        <v>832</v>
      </c>
      <c r="B95" s="115" t="s">
        <v>833</v>
      </c>
      <c r="C95" s="115">
        <v>4901.83</v>
      </c>
      <c r="D95" s="115">
        <v>-0.06</v>
      </c>
      <c r="E95" s="115">
        <v>10.210000000000001</v>
      </c>
      <c r="F95" s="115">
        <v>10.93</v>
      </c>
      <c r="G95" s="115">
        <v>0.17</v>
      </c>
      <c r="H95" s="115">
        <v>1.28</v>
      </c>
      <c r="I95" s="115">
        <v>0.06</v>
      </c>
      <c r="J95" s="116">
        <v>38716</v>
      </c>
      <c r="K95" s="132" t="s">
        <v>463</v>
      </c>
      <c r="L95" s="111">
        <f t="shared" si="1"/>
        <v>0.1171088746569076</v>
      </c>
      <c r="M95" s="133"/>
      <c r="N95" s="132"/>
      <c r="O95" s="133"/>
      <c r="P95" s="133"/>
      <c r="Q95" s="104"/>
      <c r="R95" s="132"/>
      <c r="S95" s="105"/>
      <c r="T95" s="133"/>
      <c r="U95" s="104"/>
      <c r="V95" s="104"/>
      <c r="W95" s="132"/>
      <c r="X95" s="133"/>
      <c r="Y95" s="132"/>
    </row>
    <row r="96" spans="1:25" ht="17" customHeight="1" x14ac:dyDescent="0.2">
      <c r="A96" s="115" t="s">
        <v>834</v>
      </c>
      <c r="B96" s="115" t="s">
        <v>835</v>
      </c>
      <c r="C96" s="115">
        <v>3331.58</v>
      </c>
      <c r="D96" s="115">
        <v>-0.3</v>
      </c>
      <c r="E96" s="115">
        <v>23.52</v>
      </c>
      <c r="F96" s="115">
        <v>8.58</v>
      </c>
      <c r="G96" s="115">
        <v>0.3</v>
      </c>
      <c r="H96" s="115">
        <v>1.04</v>
      </c>
      <c r="I96" s="115">
        <v>0.06</v>
      </c>
      <c r="J96" s="116">
        <v>40212</v>
      </c>
      <c r="K96" s="132" t="s">
        <v>463</v>
      </c>
      <c r="L96" s="111">
        <f t="shared" si="1"/>
        <v>0.12121212121212122</v>
      </c>
      <c r="M96" s="133"/>
      <c r="N96" s="132"/>
      <c r="O96" s="133"/>
      <c r="P96" s="133"/>
      <c r="Q96" s="104"/>
      <c r="R96" s="132"/>
      <c r="S96" s="105"/>
      <c r="T96" s="133"/>
      <c r="U96" s="104"/>
      <c r="V96" s="104"/>
      <c r="W96" s="132"/>
      <c r="X96" s="133"/>
      <c r="Y96" s="132"/>
    </row>
    <row r="97" spans="1:25" ht="17" customHeight="1" x14ac:dyDescent="0.2">
      <c r="A97" s="115" t="s">
        <v>836</v>
      </c>
      <c r="B97" s="115" t="s">
        <v>837</v>
      </c>
      <c r="C97" s="115">
        <v>3858.07</v>
      </c>
      <c r="D97" s="115">
        <v>-1.38</v>
      </c>
      <c r="E97" s="115">
        <v>18.899999999999999</v>
      </c>
      <c r="F97" s="115">
        <v>16.63</v>
      </c>
      <c r="G97" s="115">
        <v>0.23</v>
      </c>
      <c r="H97" s="115">
        <v>1.61</v>
      </c>
      <c r="I97" s="115">
        <v>0.06</v>
      </c>
      <c r="J97" s="116">
        <v>36529</v>
      </c>
      <c r="K97" s="132" t="s">
        <v>463</v>
      </c>
      <c r="L97" s="111">
        <f t="shared" si="1"/>
        <v>9.6812988574864714E-2</v>
      </c>
      <c r="M97" s="133"/>
      <c r="N97" s="132"/>
      <c r="O97" s="133"/>
      <c r="P97" s="133"/>
      <c r="Q97" s="104"/>
      <c r="R97" s="132"/>
      <c r="S97" s="105"/>
      <c r="T97" s="133"/>
      <c r="U97" s="104"/>
      <c r="V97" s="104"/>
      <c r="W97" s="132"/>
      <c r="X97" s="133"/>
      <c r="Y97" s="132"/>
    </row>
    <row r="98" spans="1:25" ht="17" customHeight="1" x14ac:dyDescent="0.2">
      <c r="A98" s="115" t="s">
        <v>838</v>
      </c>
      <c r="B98" s="115" t="s">
        <v>839</v>
      </c>
      <c r="C98" s="115">
        <v>1411.59</v>
      </c>
      <c r="D98" s="115">
        <v>0.34</v>
      </c>
      <c r="E98" s="115">
        <v>15.92</v>
      </c>
      <c r="F98" s="115">
        <v>43.58</v>
      </c>
      <c r="G98" s="115">
        <v>0.04</v>
      </c>
      <c r="H98" s="115">
        <v>2.86</v>
      </c>
      <c r="I98" s="115">
        <v>0.06</v>
      </c>
      <c r="J98" s="116">
        <v>42599</v>
      </c>
      <c r="K98" s="132" t="s">
        <v>463</v>
      </c>
      <c r="L98" s="111">
        <f t="shared" si="1"/>
        <v>6.5626434144102797E-2</v>
      </c>
      <c r="M98" s="133"/>
      <c r="N98" s="132"/>
      <c r="O98" s="133"/>
      <c r="P98" s="133"/>
      <c r="Q98" s="104"/>
      <c r="R98" s="132"/>
      <c r="S98" s="105"/>
      <c r="T98" s="133"/>
      <c r="U98" s="104"/>
      <c r="V98" s="104"/>
      <c r="W98" s="132"/>
      <c r="X98" s="133"/>
      <c r="Y98" s="132"/>
    </row>
    <row r="99" spans="1:25" ht="17" customHeight="1" x14ac:dyDescent="0.2">
      <c r="A99" s="115" t="s">
        <v>840</v>
      </c>
      <c r="B99" s="115" t="s">
        <v>29</v>
      </c>
      <c r="C99" s="115">
        <v>2946.57</v>
      </c>
      <c r="D99" s="115">
        <v>-0.16</v>
      </c>
      <c r="E99" s="115">
        <v>28.5</v>
      </c>
      <c r="F99" s="115">
        <v>9.5</v>
      </c>
      <c r="G99" s="115">
        <v>0.2</v>
      </c>
      <c r="H99" s="115">
        <v>1.1599999999999999</v>
      </c>
      <c r="I99" s="115">
        <v>7.0000000000000007E-2</v>
      </c>
      <c r="J99" s="116">
        <v>37988</v>
      </c>
      <c r="K99" s="132" t="s">
        <v>463</v>
      </c>
      <c r="L99" s="111">
        <f t="shared" si="1"/>
        <v>0.12210526315789473</v>
      </c>
      <c r="M99" s="133"/>
      <c r="N99" s="132"/>
      <c r="O99" s="133"/>
      <c r="P99" s="133"/>
      <c r="Q99" s="104"/>
      <c r="R99" s="132"/>
      <c r="S99" s="105"/>
      <c r="T99" s="133"/>
      <c r="U99" s="104"/>
      <c r="V99" s="104"/>
      <c r="W99" s="132"/>
      <c r="X99" s="133"/>
      <c r="Y99" s="132"/>
    </row>
    <row r="100" spans="1:25" ht="17" customHeight="1" x14ac:dyDescent="0.2">
      <c r="A100" s="115" t="s">
        <v>509</v>
      </c>
      <c r="B100" s="115" t="s">
        <v>510</v>
      </c>
      <c r="C100" s="115">
        <v>2662.4</v>
      </c>
      <c r="D100" s="115">
        <v>-0.11</v>
      </c>
      <c r="E100" s="115">
        <v>8.91</v>
      </c>
      <c r="F100" s="115">
        <v>33.979999999999997</v>
      </c>
      <c r="G100" s="115">
        <v>0.31</v>
      </c>
      <c r="H100" s="115">
        <v>1.89</v>
      </c>
      <c r="I100" s="115">
        <v>7.0000000000000007E-2</v>
      </c>
      <c r="J100" s="116">
        <v>36529</v>
      </c>
      <c r="K100" s="132" t="s">
        <v>463</v>
      </c>
      <c r="L100" s="111">
        <f t="shared" si="1"/>
        <v>5.562095350206004E-2</v>
      </c>
      <c r="M100" s="133"/>
      <c r="N100" s="132"/>
      <c r="O100" s="133"/>
      <c r="P100" s="133"/>
      <c r="Q100" s="104"/>
      <c r="R100" s="132"/>
      <c r="S100" s="105"/>
      <c r="T100" s="133"/>
      <c r="U100" s="104"/>
      <c r="V100" s="104"/>
      <c r="W100" s="132"/>
      <c r="X100" s="133"/>
      <c r="Y100" s="132"/>
    </row>
    <row r="101" spans="1:25" ht="17" customHeight="1" x14ac:dyDescent="0.2">
      <c r="A101" s="115" t="s">
        <v>513</v>
      </c>
      <c r="B101" s="115" t="s">
        <v>514</v>
      </c>
      <c r="C101" s="115">
        <v>2058.59</v>
      </c>
      <c r="D101" s="115">
        <v>-2.82</v>
      </c>
      <c r="E101" s="115">
        <v>-5.5</v>
      </c>
      <c r="F101" s="115">
        <v>9.39</v>
      </c>
      <c r="G101" s="115">
        <v>0.19</v>
      </c>
      <c r="H101" s="115">
        <v>0.89</v>
      </c>
      <c r="I101" s="115">
        <v>7.0000000000000007E-2</v>
      </c>
      <c r="J101" s="116">
        <v>36529</v>
      </c>
      <c r="K101" s="132" t="s">
        <v>463</v>
      </c>
      <c r="L101" s="111">
        <f t="shared" si="1"/>
        <v>9.4781682641107562E-2</v>
      </c>
      <c r="M101" s="133"/>
      <c r="N101" s="132"/>
      <c r="O101" s="133"/>
      <c r="P101" s="133"/>
      <c r="Q101" s="104"/>
      <c r="R101" s="132"/>
      <c r="S101" s="105"/>
      <c r="T101" s="133"/>
      <c r="U101" s="104"/>
      <c r="V101" s="104"/>
      <c r="W101" s="132"/>
      <c r="X101" s="133"/>
      <c r="Y101" s="132"/>
    </row>
    <row r="102" spans="1:25" ht="17" customHeight="1" x14ac:dyDescent="0.2">
      <c r="A102" s="115" t="s">
        <v>841</v>
      </c>
      <c r="B102" s="115" t="s">
        <v>842</v>
      </c>
      <c r="C102" s="115">
        <v>8964.5400000000009</v>
      </c>
      <c r="D102" s="115">
        <v>0.22</v>
      </c>
      <c r="E102" s="115">
        <v>22.2</v>
      </c>
      <c r="F102" s="115">
        <v>40.29</v>
      </c>
      <c r="G102" s="115">
        <v>0.48</v>
      </c>
      <c r="H102" s="115">
        <v>2.5</v>
      </c>
      <c r="I102" s="115">
        <v>7.0000000000000007E-2</v>
      </c>
      <c r="J102" s="116">
        <v>38687</v>
      </c>
      <c r="K102" s="132" t="s">
        <v>463</v>
      </c>
      <c r="L102" s="111">
        <f t="shared" si="1"/>
        <v>6.2050136510300322E-2</v>
      </c>
      <c r="M102" s="133"/>
      <c r="N102" s="132"/>
      <c r="O102" s="133"/>
      <c r="P102" s="133"/>
      <c r="Q102" s="104"/>
      <c r="R102" s="132"/>
      <c r="S102" s="105"/>
      <c r="T102" s="133"/>
      <c r="U102" s="104"/>
      <c r="V102" s="104"/>
      <c r="W102" s="132"/>
      <c r="X102" s="133"/>
      <c r="Y102" s="132"/>
    </row>
    <row r="103" spans="1:25" ht="17" customHeight="1" x14ac:dyDescent="0.2">
      <c r="A103" s="115" t="s">
        <v>843</v>
      </c>
      <c r="B103" s="115" t="s">
        <v>844</v>
      </c>
      <c r="C103" s="115">
        <v>1172.19</v>
      </c>
      <c r="D103" s="115">
        <v>0.39</v>
      </c>
      <c r="E103" s="115">
        <v>26.27</v>
      </c>
      <c r="F103" s="115">
        <v>27.78</v>
      </c>
      <c r="G103" s="115">
        <v>0.15</v>
      </c>
      <c r="H103" s="115">
        <v>2.8</v>
      </c>
      <c r="I103" s="115">
        <v>7.0000000000000007E-2</v>
      </c>
      <c r="J103" s="116">
        <v>40259</v>
      </c>
      <c r="K103" s="132" t="s">
        <v>463</v>
      </c>
      <c r="L103" s="111">
        <f t="shared" si="1"/>
        <v>0.10079193664506839</v>
      </c>
      <c r="M103" s="133"/>
      <c r="N103" s="132"/>
      <c r="O103" s="133"/>
      <c r="P103" s="133"/>
      <c r="Q103" s="104"/>
      <c r="R103" s="132"/>
      <c r="S103" s="105"/>
      <c r="T103" s="133"/>
      <c r="U103" s="104"/>
      <c r="V103" s="104"/>
      <c r="W103" s="132"/>
      <c r="X103" s="133"/>
      <c r="Y103" s="132"/>
    </row>
    <row r="104" spans="1:25" ht="17" customHeight="1" x14ac:dyDescent="0.2">
      <c r="A104" s="115" t="s">
        <v>845</v>
      </c>
      <c r="B104" s="115" t="s">
        <v>846</v>
      </c>
      <c r="C104" s="115">
        <v>5134.43</v>
      </c>
      <c r="D104" s="115">
        <v>-0.5</v>
      </c>
      <c r="E104" s="115">
        <v>17.41</v>
      </c>
      <c r="F104" s="115">
        <v>21.79</v>
      </c>
      <c r="G104" s="115">
        <v>0.17</v>
      </c>
      <c r="H104" s="115">
        <v>1.68</v>
      </c>
      <c r="I104" s="115">
        <v>7.0000000000000007E-2</v>
      </c>
      <c r="J104" s="116">
        <v>40855</v>
      </c>
      <c r="K104" s="132" t="s">
        <v>463</v>
      </c>
      <c r="L104" s="111">
        <f t="shared" si="1"/>
        <v>7.7099586966498393E-2</v>
      </c>
      <c r="M104" s="133"/>
      <c r="N104" s="132"/>
      <c r="O104" s="133"/>
      <c r="P104" s="133"/>
      <c r="Q104" s="104"/>
      <c r="R104" s="132"/>
      <c r="S104" s="105"/>
      <c r="T104" s="133"/>
      <c r="U104" s="104"/>
      <c r="V104" s="104"/>
      <c r="W104" s="132"/>
      <c r="X104" s="133"/>
      <c r="Y104" s="132"/>
    </row>
    <row r="105" spans="1:25" ht="17" customHeight="1" x14ac:dyDescent="0.2">
      <c r="A105" s="115" t="s">
        <v>847</v>
      </c>
      <c r="B105" s="115" t="s">
        <v>848</v>
      </c>
      <c r="C105" s="115">
        <v>6351.28</v>
      </c>
      <c r="D105" s="115">
        <v>-0.41</v>
      </c>
      <c r="E105" s="115">
        <v>15.6</v>
      </c>
      <c r="F105" s="115">
        <v>7.96</v>
      </c>
      <c r="G105" s="115">
        <v>0.03</v>
      </c>
      <c r="H105" s="115">
        <v>1.41</v>
      </c>
      <c r="I105" s="115">
        <v>7.0000000000000007E-2</v>
      </c>
      <c r="J105" s="116">
        <v>41264</v>
      </c>
      <c r="K105" s="132" t="s">
        <v>463</v>
      </c>
      <c r="L105" s="111">
        <f t="shared" si="1"/>
        <v>0.17713567839195979</v>
      </c>
      <c r="M105" s="133"/>
      <c r="N105" s="132"/>
      <c r="O105" s="133"/>
      <c r="P105" s="133"/>
      <c r="Q105" s="104"/>
      <c r="R105" s="132"/>
      <c r="S105" s="105"/>
      <c r="T105" s="133"/>
      <c r="U105" s="104"/>
      <c r="V105" s="104"/>
      <c r="W105" s="132"/>
      <c r="X105" s="133"/>
      <c r="Y105" s="132"/>
    </row>
    <row r="106" spans="1:25" ht="17" customHeight="1" x14ac:dyDescent="0.2">
      <c r="A106" s="115" t="s">
        <v>849</v>
      </c>
      <c r="B106" s="115" t="s">
        <v>850</v>
      </c>
      <c r="C106" s="115">
        <v>5932.45</v>
      </c>
      <c r="D106" s="115">
        <v>-0.59</v>
      </c>
      <c r="E106" s="115">
        <v>13.29</v>
      </c>
      <c r="F106" s="115">
        <v>8.5299999999999994</v>
      </c>
      <c r="G106" s="115">
        <v>0.05</v>
      </c>
      <c r="H106" s="115">
        <v>1.42</v>
      </c>
      <c r="I106" s="115">
        <v>7.0000000000000007E-2</v>
      </c>
      <c r="J106" s="116">
        <v>41141</v>
      </c>
      <c r="K106" s="132" t="s">
        <v>463</v>
      </c>
      <c r="L106" s="111">
        <f t="shared" si="1"/>
        <v>0.16647127784290738</v>
      </c>
      <c r="M106" s="133"/>
      <c r="N106" s="132"/>
      <c r="O106" s="133"/>
      <c r="P106" s="133"/>
      <c r="Q106" s="104"/>
      <c r="R106" s="132"/>
      <c r="S106" s="105"/>
      <c r="T106" s="133"/>
      <c r="U106" s="104"/>
      <c r="V106" s="104"/>
      <c r="W106" s="132"/>
      <c r="X106" s="133"/>
      <c r="Y106" s="132"/>
    </row>
    <row r="107" spans="1:25" ht="17" customHeight="1" x14ac:dyDescent="0.2">
      <c r="A107" s="115" t="s">
        <v>686</v>
      </c>
      <c r="B107" s="115" t="s">
        <v>687</v>
      </c>
      <c r="C107" s="115">
        <v>3665.68</v>
      </c>
      <c r="D107" s="115">
        <v>-0.28999999999999998</v>
      </c>
      <c r="E107" s="115">
        <v>17.3</v>
      </c>
      <c r="F107" s="115">
        <v>19.670000000000002</v>
      </c>
      <c r="G107" s="115">
        <v>0.13</v>
      </c>
      <c r="H107" s="115">
        <v>1.98</v>
      </c>
      <c r="I107" s="115">
        <v>7.0000000000000007E-2</v>
      </c>
      <c r="J107" s="116">
        <v>36529</v>
      </c>
      <c r="K107" s="132" t="s">
        <v>463</v>
      </c>
      <c r="L107" s="111">
        <f t="shared" si="1"/>
        <v>0.10066090493136756</v>
      </c>
      <c r="M107" s="133"/>
      <c r="N107" s="132"/>
      <c r="O107" s="133"/>
      <c r="P107" s="133"/>
      <c r="Q107" s="104"/>
      <c r="R107" s="132"/>
      <c r="S107" s="105"/>
      <c r="T107" s="133"/>
      <c r="U107" s="104"/>
      <c r="V107" s="104"/>
      <c r="W107" s="132"/>
      <c r="X107" s="133"/>
      <c r="Y107" s="132"/>
    </row>
    <row r="108" spans="1:25" ht="17" customHeight="1" x14ac:dyDescent="0.2">
      <c r="A108" s="115" t="s">
        <v>688</v>
      </c>
      <c r="B108" s="115" t="s">
        <v>689</v>
      </c>
      <c r="C108" s="115">
        <v>1876.26</v>
      </c>
      <c r="D108" s="115">
        <v>-0.4</v>
      </c>
      <c r="E108" s="115">
        <v>7.98</v>
      </c>
      <c r="F108" s="115">
        <v>18.62</v>
      </c>
      <c r="G108" s="115">
        <v>0.13</v>
      </c>
      <c r="H108" s="115">
        <v>1.4</v>
      </c>
      <c r="I108" s="115">
        <v>7.0000000000000007E-2</v>
      </c>
      <c r="J108" s="116">
        <v>36529</v>
      </c>
      <c r="K108" s="132" t="s">
        <v>463</v>
      </c>
      <c r="L108" s="111">
        <f t="shared" si="1"/>
        <v>7.5187969924812026E-2</v>
      </c>
      <c r="M108" s="133"/>
      <c r="N108" s="132"/>
      <c r="O108" s="133"/>
      <c r="P108" s="133"/>
      <c r="Q108" s="104"/>
      <c r="R108" s="132"/>
      <c r="S108" s="105"/>
      <c r="T108" s="133"/>
      <c r="U108" s="104"/>
      <c r="V108" s="104"/>
      <c r="W108" s="132"/>
      <c r="X108" s="133"/>
      <c r="Y108" s="132"/>
    </row>
    <row r="109" spans="1:25" ht="17" customHeight="1" x14ac:dyDescent="0.2">
      <c r="A109" s="115" t="s">
        <v>698</v>
      </c>
      <c r="B109" s="115" t="s">
        <v>699</v>
      </c>
      <c r="C109" s="115">
        <v>3506.77</v>
      </c>
      <c r="D109" s="115">
        <v>-0.55000000000000004</v>
      </c>
      <c r="E109" s="115">
        <v>12.41</v>
      </c>
      <c r="F109" s="115">
        <v>23.48</v>
      </c>
      <c r="G109" s="115">
        <v>0.06</v>
      </c>
      <c r="H109" s="115">
        <v>2.13</v>
      </c>
      <c r="I109" s="115">
        <v>7.0000000000000007E-2</v>
      </c>
      <c r="J109" s="116">
        <v>36529</v>
      </c>
      <c r="K109" s="132" t="s">
        <v>463</v>
      </c>
      <c r="L109" s="111">
        <f t="shared" si="1"/>
        <v>9.0715502555366256E-2</v>
      </c>
      <c r="M109" s="133"/>
      <c r="N109" s="132"/>
      <c r="O109" s="133"/>
      <c r="P109" s="133"/>
      <c r="Q109" s="104"/>
      <c r="R109" s="132"/>
      <c r="S109" s="105"/>
      <c r="T109" s="133"/>
      <c r="U109" s="104"/>
      <c r="V109" s="104"/>
      <c r="W109" s="132"/>
      <c r="X109" s="133"/>
      <c r="Y109" s="132"/>
    </row>
    <row r="110" spans="1:25" ht="17" customHeight="1" x14ac:dyDescent="0.2">
      <c r="A110" s="115" t="s">
        <v>708</v>
      </c>
      <c r="B110" s="115" t="s">
        <v>709</v>
      </c>
      <c r="C110" s="115">
        <v>2224.84</v>
      </c>
      <c r="D110" s="115">
        <v>-2.82</v>
      </c>
      <c r="E110" s="115">
        <v>-5.49</v>
      </c>
      <c r="F110" s="115">
        <v>9.39</v>
      </c>
      <c r="G110" s="115">
        <v>0.2</v>
      </c>
      <c r="H110" s="115">
        <v>0.89</v>
      </c>
      <c r="I110" s="115">
        <v>7.0000000000000007E-2</v>
      </c>
      <c r="J110" s="116">
        <v>36529</v>
      </c>
      <c r="K110" s="132" t="s">
        <v>463</v>
      </c>
      <c r="L110" s="111">
        <f t="shared" si="1"/>
        <v>9.4781682641107562E-2</v>
      </c>
      <c r="M110" s="133"/>
      <c r="N110" s="132"/>
      <c r="O110" s="133"/>
      <c r="P110" s="133"/>
      <c r="Q110" s="104"/>
      <c r="R110" s="132"/>
      <c r="S110" s="105"/>
      <c r="T110" s="133"/>
      <c r="U110" s="104"/>
      <c r="V110" s="104"/>
      <c r="W110" s="132"/>
      <c r="X110" s="133"/>
      <c r="Y110" s="132"/>
    </row>
    <row r="111" spans="1:25" ht="17" customHeight="1" x14ac:dyDescent="0.2">
      <c r="A111" s="115" t="s">
        <v>716</v>
      </c>
      <c r="B111" s="115" t="s">
        <v>717</v>
      </c>
      <c r="C111" s="115">
        <v>1912.28</v>
      </c>
      <c r="D111" s="115">
        <v>0.67</v>
      </c>
      <c r="E111" s="115">
        <v>11.65</v>
      </c>
      <c r="F111" s="115">
        <v>25.48</v>
      </c>
      <c r="G111" s="115">
        <v>0.05</v>
      </c>
      <c r="H111" s="115">
        <v>1.86</v>
      </c>
      <c r="I111" s="115">
        <v>7.0000000000000007E-2</v>
      </c>
      <c r="J111" s="116">
        <v>36529</v>
      </c>
      <c r="K111" s="132" t="s">
        <v>463</v>
      </c>
      <c r="L111" s="111">
        <f t="shared" si="1"/>
        <v>7.299843014128729E-2</v>
      </c>
      <c r="M111" s="133"/>
      <c r="N111" s="132"/>
      <c r="O111" s="133"/>
      <c r="P111" s="133"/>
      <c r="Q111" s="104"/>
      <c r="R111" s="132"/>
      <c r="S111" s="105"/>
      <c r="T111" s="133"/>
      <c r="U111" s="104"/>
      <c r="V111" s="104"/>
      <c r="W111" s="132"/>
      <c r="X111" s="133"/>
      <c r="Y111" s="132"/>
    </row>
    <row r="112" spans="1:25" ht="17" customHeight="1" x14ac:dyDescent="0.2">
      <c r="A112" s="115" t="s">
        <v>851</v>
      </c>
      <c r="B112" s="115" t="s">
        <v>312</v>
      </c>
      <c r="C112" s="115">
        <v>3294.52</v>
      </c>
      <c r="D112" s="115">
        <v>0.02</v>
      </c>
      <c r="E112" s="115">
        <v>6.56</v>
      </c>
      <c r="F112" s="115">
        <v>45.21</v>
      </c>
      <c r="G112" s="115">
        <v>0.36</v>
      </c>
      <c r="H112" s="115">
        <v>2</v>
      </c>
      <c r="I112" s="115">
        <v>7.0000000000000007E-2</v>
      </c>
      <c r="J112" s="116">
        <v>41038</v>
      </c>
      <c r="K112" s="132" t="s">
        <v>463</v>
      </c>
      <c r="L112" s="111">
        <f t="shared" si="1"/>
        <v>4.423800044238E-2</v>
      </c>
      <c r="M112" s="133"/>
      <c r="N112" s="132"/>
      <c r="O112" s="133"/>
      <c r="P112" s="133"/>
      <c r="Q112" s="104"/>
      <c r="R112" s="132"/>
      <c r="S112" s="105"/>
      <c r="T112" s="133"/>
      <c r="U112" s="104"/>
      <c r="V112" s="104"/>
      <c r="W112" s="132"/>
      <c r="X112" s="133"/>
      <c r="Y112" s="132"/>
    </row>
    <row r="113" spans="1:25" ht="17" customHeight="1" x14ac:dyDescent="0.2">
      <c r="A113" s="115" t="s">
        <v>852</v>
      </c>
      <c r="B113" s="115" t="s">
        <v>172</v>
      </c>
      <c r="C113" s="115">
        <v>11777.94</v>
      </c>
      <c r="D113" s="115">
        <v>-0.78</v>
      </c>
      <c r="E113" s="115">
        <v>14.61</v>
      </c>
      <c r="F113" s="115">
        <v>18.329999999999998</v>
      </c>
      <c r="G113" s="115">
        <v>0.12</v>
      </c>
      <c r="H113" s="115">
        <v>1.39</v>
      </c>
      <c r="I113" s="115">
        <v>7.0000000000000007E-2</v>
      </c>
      <c r="J113" s="116">
        <v>42404</v>
      </c>
      <c r="K113" s="132" t="s">
        <v>463</v>
      </c>
      <c r="L113" s="111">
        <f t="shared" si="1"/>
        <v>7.5831969448990733E-2</v>
      </c>
      <c r="M113" s="133"/>
      <c r="N113" s="132"/>
      <c r="O113" s="133"/>
      <c r="P113" s="133"/>
      <c r="Q113" s="104"/>
      <c r="R113" s="132"/>
      <c r="S113" s="105"/>
      <c r="T113" s="133"/>
      <c r="U113" s="104"/>
      <c r="V113" s="104"/>
      <c r="W113" s="132"/>
      <c r="X113" s="133"/>
      <c r="Y113" s="132"/>
    </row>
    <row r="114" spans="1:25" ht="17" customHeight="1" x14ac:dyDescent="0.2">
      <c r="A114" s="115" t="s">
        <v>853</v>
      </c>
      <c r="B114" s="115" t="s">
        <v>854</v>
      </c>
      <c r="C114" s="115">
        <v>1041.93</v>
      </c>
      <c r="D114" s="115">
        <v>-7.0000000000000007E-2</v>
      </c>
      <c r="E114" s="115">
        <v>19.77</v>
      </c>
      <c r="F114" s="115">
        <v>9.6300000000000008</v>
      </c>
      <c r="G114" s="115">
        <v>0.35</v>
      </c>
      <c r="H114" s="115">
        <v>1.1100000000000001</v>
      </c>
      <c r="I114" s="115">
        <v>7.0000000000000007E-2</v>
      </c>
      <c r="J114" s="116">
        <v>40182</v>
      </c>
      <c r="K114" s="132" t="s">
        <v>463</v>
      </c>
      <c r="L114" s="111">
        <f t="shared" si="1"/>
        <v>0.11526479750778816</v>
      </c>
      <c r="M114" s="133"/>
      <c r="N114" s="132"/>
      <c r="O114" s="133"/>
      <c r="P114" s="133"/>
      <c r="Q114" s="104"/>
      <c r="R114" s="132"/>
      <c r="S114" s="105"/>
      <c r="T114" s="133"/>
      <c r="U114" s="104"/>
      <c r="V114" s="104"/>
      <c r="W114" s="132"/>
      <c r="X114" s="133"/>
      <c r="Y114" s="132"/>
    </row>
    <row r="115" spans="1:25" ht="17" customHeight="1" x14ac:dyDescent="0.2">
      <c r="A115" s="115" t="s">
        <v>855</v>
      </c>
      <c r="B115" s="115" t="s">
        <v>856</v>
      </c>
      <c r="C115" s="115">
        <v>5570.49</v>
      </c>
      <c r="D115" s="115">
        <v>-0.34</v>
      </c>
      <c r="E115" s="115">
        <v>15.25</v>
      </c>
      <c r="F115" s="115">
        <v>22.44</v>
      </c>
      <c r="G115" s="115">
        <v>0.15</v>
      </c>
      <c r="H115" s="115">
        <v>1.93</v>
      </c>
      <c r="I115" s="115">
        <v>7.0000000000000007E-2</v>
      </c>
      <c r="J115" s="116">
        <v>40331</v>
      </c>
      <c r="K115" s="132" t="s">
        <v>463</v>
      </c>
      <c r="L115" s="111">
        <f t="shared" si="1"/>
        <v>8.6007130124777176E-2</v>
      </c>
      <c r="M115" s="133"/>
      <c r="N115" s="132"/>
      <c r="O115" s="133"/>
      <c r="P115" s="133"/>
      <c r="Q115" s="104"/>
      <c r="R115" s="132"/>
      <c r="S115" s="105"/>
      <c r="T115" s="133"/>
      <c r="U115" s="104"/>
      <c r="V115" s="104"/>
      <c r="W115" s="132"/>
      <c r="X115" s="133"/>
      <c r="Y115" s="132"/>
    </row>
    <row r="116" spans="1:25" ht="17" customHeight="1" x14ac:dyDescent="0.2">
      <c r="A116" s="115" t="s">
        <v>857</v>
      </c>
      <c r="B116" s="115" t="s">
        <v>858</v>
      </c>
      <c r="C116" s="115">
        <v>3944.67</v>
      </c>
      <c r="D116" s="115">
        <v>1.28</v>
      </c>
      <c r="E116" s="115">
        <v>1.07</v>
      </c>
      <c r="F116" s="115">
        <v>8.25</v>
      </c>
      <c r="G116" s="115">
        <v>0.21</v>
      </c>
      <c r="H116" s="115">
        <v>1.05</v>
      </c>
      <c r="I116" s="115">
        <v>7.0000000000000007E-2</v>
      </c>
      <c r="J116" s="116">
        <v>39870</v>
      </c>
      <c r="K116" s="132" t="s">
        <v>463</v>
      </c>
      <c r="L116" s="111">
        <f t="shared" si="1"/>
        <v>0.12727272727272729</v>
      </c>
      <c r="M116" s="133"/>
      <c r="N116" s="132"/>
      <c r="O116" s="133"/>
      <c r="P116" s="133"/>
      <c r="Q116" s="104"/>
      <c r="R116" s="132"/>
      <c r="S116" s="105"/>
      <c r="T116" s="133"/>
      <c r="U116" s="104"/>
      <c r="V116" s="104"/>
      <c r="W116" s="132"/>
      <c r="X116" s="133"/>
      <c r="Y116" s="132"/>
    </row>
    <row r="117" spans="1:25" ht="17" customHeight="1" x14ac:dyDescent="0.2">
      <c r="A117" s="115" t="s">
        <v>859</v>
      </c>
      <c r="B117" s="115" t="s">
        <v>860</v>
      </c>
      <c r="C117" s="115">
        <v>4077.24</v>
      </c>
      <c r="D117" s="115">
        <v>-1.41</v>
      </c>
      <c r="E117" s="115">
        <v>18.79</v>
      </c>
      <c r="F117" s="115">
        <v>15.65</v>
      </c>
      <c r="G117" s="115">
        <v>0.28999999999999998</v>
      </c>
      <c r="H117" s="115">
        <v>1.58</v>
      </c>
      <c r="I117" s="115">
        <v>7.0000000000000007E-2</v>
      </c>
      <c r="J117" s="116">
        <v>38356</v>
      </c>
      <c r="K117" s="132" t="s">
        <v>463</v>
      </c>
      <c r="L117" s="111">
        <f t="shared" si="1"/>
        <v>0.10095846645367412</v>
      </c>
      <c r="M117" s="133"/>
      <c r="N117" s="132"/>
      <c r="O117" s="133"/>
      <c r="P117" s="133"/>
      <c r="Q117" s="104"/>
      <c r="R117" s="132"/>
      <c r="S117" s="105"/>
      <c r="T117" s="133"/>
      <c r="U117" s="104"/>
      <c r="V117" s="104"/>
      <c r="W117" s="132"/>
      <c r="X117" s="133"/>
      <c r="Y117" s="132"/>
    </row>
    <row r="118" spans="1:25" ht="17" customHeight="1" x14ac:dyDescent="0.2">
      <c r="A118" s="115" t="s">
        <v>861</v>
      </c>
      <c r="B118" s="115" t="s">
        <v>862</v>
      </c>
      <c r="C118" s="115">
        <v>4459.07</v>
      </c>
      <c r="D118" s="115">
        <v>0.01</v>
      </c>
      <c r="E118" s="115">
        <v>7.33</v>
      </c>
      <c r="F118" s="115">
        <v>9.57</v>
      </c>
      <c r="G118" s="115">
        <v>0.18</v>
      </c>
      <c r="H118" s="115">
        <v>0.95</v>
      </c>
      <c r="I118" s="115">
        <v>7.0000000000000007E-2</v>
      </c>
      <c r="J118" s="116">
        <v>38971</v>
      </c>
      <c r="K118" s="132" t="s">
        <v>463</v>
      </c>
      <c r="L118" s="111">
        <f t="shared" si="1"/>
        <v>9.9268547544409599E-2</v>
      </c>
      <c r="M118" s="133"/>
      <c r="N118" s="132"/>
      <c r="O118" s="133"/>
      <c r="P118" s="133"/>
      <c r="Q118" s="104"/>
      <c r="R118" s="132"/>
      <c r="S118" s="105"/>
      <c r="T118" s="133"/>
      <c r="U118" s="104"/>
      <c r="V118" s="104"/>
      <c r="W118" s="132"/>
      <c r="X118" s="133"/>
      <c r="Y118" s="132"/>
    </row>
    <row r="119" spans="1:25" ht="17" customHeight="1" x14ac:dyDescent="0.2">
      <c r="A119" s="115" t="s">
        <v>863</v>
      </c>
      <c r="B119" s="115" t="s">
        <v>864</v>
      </c>
      <c r="C119" s="115">
        <v>1571.93</v>
      </c>
      <c r="D119" s="115">
        <v>0.28999999999999998</v>
      </c>
      <c r="E119" s="115">
        <v>20.84</v>
      </c>
      <c r="F119" s="115">
        <v>42.14</v>
      </c>
      <c r="G119" s="115">
        <v>0.43</v>
      </c>
      <c r="H119" s="115">
        <v>2.52</v>
      </c>
      <c r="I119" s="115">
        <v>0.08</v>
      </c>
      <c r="J119" s="116">
        <v>40770</v>
      </c>
      <c r="K119" s="132" t="s">
        <v>463</v>
      </c>
      <c r="L119" s="111">
        <f t="shared" si="1"/>
        <v>5.9800664451827239E-2</v>
      </c>
      <c r="M119" s="133"/>
      <c r="N119" s="132"/>
      <c r="O119" s="133"/>
      <c r="P119" s="133"/>
      <c r="Q119" s="104"/>
      <c r="R119" s="132"/>
      <c r="S119" s="105"/>
      <c r="T119" s="133"/>
      <c r="U119" s="104"/>
      <c r="V119" s="104"/>
      <c r="W119" s="132"/>
      <c r="X119" s="133"/>
      <c r="Y119" s="132"/>
    </row>
    <row r="120" spans="1:25" ht="17" customHeight="1" x14ac:dyDescent="0.2">
      <c r="A120" s="115" t="s">
        <v>487</v>
      </c>
      <c r="B120" s="115" t="s">
        <v>488</v>
      </c>
      <c r="C120" s="115">
        <v>3637.34</v>
      </c>
      <c r="D120" s="115">
        <v>0.19</v>
      </c>
      <c r="E120" s="115">
        <v>6.51</v>
      </c>
      <c r="F120" s="115">
        <v>18.07</v>
      </c>
      <c r="G120" s="115">
        <v>0.41</v>
      </c>
      <c r="H120" s="115">
        <v>1.48</v>
      </c>
      <c r="I120" s="115">
        <v>0.08</v>
      </c>
      <c r="J120" s="116">
        <v>36529</v>
      </c>
      <c r="K120" s="132" t="s">
        <v>463</v>
      </c>
      <c r="L120" s="111">
        <f t="shared" si="1"/>
        <v>8.1903707802988376E-2</v>
      </c>
      <c r="M120" s="133"/>
      <c r="N120" s="132"/>
      <c r="O120" s="133"/>
      <c r="P120" s="133"/>
      <c r="Q120" s="104"/>
      <c r="R120" s="132"/>
      <c r="S120" s="105"/>
      <c r="T120" s="133"/>
      <c r="U120" s="104"/>
      <c r="V120" s="104"/>
      <c r="W120" s="132"/>
      <c r="X120" s="133"/>
      <c r="Y120" s="132"/>
    </row>
    <row r="121" spans="1:25" ht="17" customHeight="1" x14ac:dyDescent="0.2">
      <c r="A121" s="115" t="s">
        <v>489</v>
      </c>
      <c r="B121" s="115" t="s">
        <v>490</v>
      </c>
      <c r="C121" s="115">
        <v>1775.36</v>
      </c>
      <c r="D121" s="115">
        <v>-0.01</v>
      </c>
      <c r="E121" s="115">
        <v>-0.95</v>
      </c>
      <c r="F121" s="115">
        <v>22.83</v>
      </c>
      <c r="G121" s="115">
        <v>0.19</v>
      </c>
      <c r="H121" s="115">
        <v>1.64</v>
      </c>
      <c r="I121" s="115">
        <v>0.08</v>
      </c>
      <c r="J121" s="116">
        <v>36529</v>
      </c>
      <c r="K121" s="132" t="s">
        <v>463</v>
      </c>
      <c r="L121" s="111">
        <f t="shared" si="1"/>
        <v>7.1835304424003502E-2</v>
      </c>
      <c r="M121" s="133"/>
      <c r="N121" s="132"/>
      <c r="O121" s="133"/>
      <c r="P121" s="133"/>
      <c r="Q121" s="104"/>
      <c r="R121" s="132"/>
      <c r="S121" s="105"/>
      <c r="T121" s="133"/>
      <c r="U121" s="104"/>
      <c r="V121" s="104"/>
      <c r="W121" s="132"/>
      <c r="X121" s="133"/>
      <c r="Y121" s="132"/>
    </row>
    <row r="122" spans="1:25" ht="17" customHeight="1" x14ac:dyDescent="0.2">
      <c r="A122" s="115" t="s">
        <v>497</v>
      </c>
      <c r="B122" s="115" t="s">
        <v>498</v>
      </c>
      <c r="C122" s="115">
        <v>1084.25</v>
      </c>
      <c r="D122" s="115">
        <v>-0.05</v>
      </c>
      <c r="E122" s="115">
        <v>14.58</v>
      </c>
      <c r="F122" s="115">
        <v>24.31</v>
      </c>
      <c r="G122" s="115">
        <v>0.27</v>
      </c>
      <c r="H122" s="115">
        <v>1.9</v>
      </c>
      <c r="I122" s="115">
        <v>0.08</v>
      </c>
      <c r="J122" s="116">
        <v>36529</v>
      </c>
      <c r="K122" s="132" t="s">
        <v>463</v>
      </c>
      <c r="L122" s="111">
        <f t="shared" si="1"/>
        <v>7.8157136980666397E-2</v>
      </c>
      <c r="M122" s="133"/>
      <c r="N122" s="132"/>
      <c r="O122" s="133"/>
      <c r="P122" s="133"/>
      <c r="Q122" s="104"/>
      <c r="R122" s="132"/>
      <c r="S122" s="105"/>
      <c r="T122" s="133"/>
      <c r="U122" s="104"/>
      <c r="V122" s="104"/>
      <c r="W122" s="132"/>
      <c r="X122" s="133"/>
      <c r="Y122" s="132"/>
    </row>
    <row r="123" spans="1:25" ht="17" customHeight="1" x14ac:dyDescent="0.2">
      <c r="A123" s="115" t="s">
        <v>517</v>
      </c>
      <c r="B123" s="115" t="s">
        <v>518</v>
      </c>
      <c r="C123" s="115">
        <v>1970.9</v>
      </c>
      <c r="D123" s="115">
        <v>-0.1</v>
      </c>
      <c r="E123" s="115">
        <v>33.97</v>
      </c>
      <c r="F123" s="115">
        <v>14.6</v>
      </c>
      <c r="G123" s="115">
        <v>0.06</v>
      </c>
      <c r="H123" s="115">
        <v>1.76</v>
      </c>
      <c r="I123" s="115">
        <v>0.08</v>
      </c>
      <c r="J123" s="116">
        <v>36529</v>
      </c>
      <c r="K123" s="132" t="s">
        <v>463</v>
      </c>
      <c r="L123" s="111">
        <f t="shared" si="1"/>
        <v>0.12054794520547946</v>
      </c>
      <c r="M123" s="133"/>
      <c r="N123" s="132"/>
      <c r="O123" s="133"/>
      <c r="P123" s="133"/>
      <c r="Q123" s="104"/>
      <c r="R123" s="132"/>
      <c r="S123" s="105"/>
      <c r="T123" s="133"/>
      <c r="U123" s="104"/>
      <c r="V123" s="104"/>
      <c r="W123" s="132"/>
      <c r="X123" s="133"/>
      <c r="Y123" s="132"/>
    </row>
    <row r="124" spans="1:25" ht="17" customHeight="1" x14ac:dyDescent="0.2">
      <c r="A124" s="115" t="s">
        <v>523</v>
      </c>
      <c r="B124" s="115" t="s">
        <v>524</v>
      </c>
      <c r="C124" s="115">
        <v>886.37</v>
      </c>
      <c r="D124" s="115">
        <v>-0.47</v>
      </c>
      <c r="E124" s="115">
        <v>14.03</v>
      </c>
      <c r="F124" s="115">
        <v>39.71</v>
      </c>
      <c r="G124" s="115">
        <v>0.09</v>
      </c>
      <c r="H124" s="115">
        <v>3.02</v>
      </c>
      <c r="I124" s="115">
        <v>0.08</v>
      </c>
      <c r="J124" s="116">
        <v>36529</v>
      </c>
      <c r="K124" s="132" t="s">
        <v>463</v>
      </c>
      <c r="L124" s="111">
        <f t="shared" si="1"/>
        <v>7.6051372450264415E-2</v>
      </c>
      <c r="M124" s="133"/>
      <c r="N124" s="132"/>
      <c r="O124" s="133"/>
      <c r="P124" s="133"/>
      <c r="Q124" s="104"/>
      <c r="R124" s="132"/>
      <c r="S124" s="105"/>
      <c r="T124" s="133"/>
      <c r="U124" s="104"/>
      <c r="V124" s="104"/>
      <c r="W124" s="132"/>
      <c r="X124" s="133"/>
      <c r="Y124" s="132"/>
    </row>
    <row r="125" spans="1:25" ht="17" customHeight="1" x14ac:dyDescent="0.2">
      <c r="A125" s="115" t="s">
        <v>525</v>
      </c>
      <c r="B125" s="115" t="s">
        <v>526</v>
      </c>
      <c r="C125" s="115">
        <v>2586.59</v>
      </c>
      <c r="D125" s="115">
        <v>-0.56999999999999995</v>
      </c>
      <c r="E125" s="115">
        <v>3.33</v>
      </c>
      <c r="F125" s="115">
        <v>43.41</v>
      </c>
      <c r="G125" s="115">
        <v>0.52</v>
      </c>
      <c r="H125" s="115">
        <v>2.42</v>
      </c>
      <c r="I125" s="115">
        <v>0.08</v>
      </c>
      <c r="J125" s="116">
        <v>40826</v>
      </c>
      <c r="K125" s="132" t="s">
        <v>463</v>
      </c>
      <c r="L125" s="111">
        <f t="shared" si="1"/>
        <v>5.5747523612070957E-2</v>
      </c>
      <c r="M125" s="133"/>
      <c r="N125" s="132"/>
      <c r="O125" s="133"/>
      <c r="P125" s="133"/>
      <c r="Q125" s="104"/>
      <c r="R125" s="132"/>
      <c r="S125" s="105"/>
      <c r="T125" s="133"/>
      <c r="U125" s="104"/>
      <c r="V125" s="104"/>
      <c r="W125" s="132"/>
      <c r="X125" s="133"/>
      <c r="Y125" s="132"/>
    </row>
    <row r="126" spans="1:25" ht="17" customHeight="1" x14ac:dyDescent="0.2">
      <c r="A126" s="115" t="s">
        <v>865</v>
      </c>
      <c r="B126" s="115" t="s">
        <v>62</v>
      </c>
      <c r="C126" s="115">
        <v>5147.7299999999996</v>
      </c>
      <c r="D126" s="115">
        <v>-7.0000000000000007E-2</v>
      </c>
      <c r="E126" s="115">
        <v>16.2</v>
      </c>
      <c r="F126" s="115">
        <v>39.159999999999997</v>
      </c>
      <c r="G126" s="115">
        <v>0.3</v>
      </c>
      <c r="H126" s="115">
        <v>2.06</v>
      </c>
      <c r="I126" s="115">
        <v>0.08</v>
      </c>
      <c r="J126" s="116">
        <v>41929</v>
      </c>
      <c r="K126" s="132" t="s">
        <v>463</v>
      </c>
      <c r="L126" s="111">
        <f t="shared" si="1"/>
        <v>5.2604698672114411E-2</v>
      </c>
      <c r="M126" s="133"/>
      <c r="N126" s="132"/>
      <c r="O126" s="133"/>
      <c r="P126" s="133"/>
      <c r="Q126" s="104"/>
      <c r="R126" s="132"/>
      <c r="S126" s="105"/>
      <c r="T126" s="133"/>
      <c r="U126" s="104"/>
      <c r="V126" s="104"/>
      <c r="W126" s="132"/>
      <c r="X126" s="133"/>
      <c r="Y126" s="132"/>
    </row>
    <row r="127" spans="1:25" ht="17" customHeight="1" x14ac:dyDescent="0.2">
      <c r="A127" s="115" t="s">
        <v>573</v>
      </c>
      <c r="B127" s="115" t="s">
        <v>574</v>
      </c>
      <c r="C127" s="115">
        <v>5443.02</v>
      </c>
      <c r="D127" s="115">
        <v>0.63</v>
      </c>
      <c r="E127" s="115">
        <v>0.48</v>
      </c>
      <c r="F127" s="115">
        <v>24.71</v>
      </c>
      <c r="G127" s="115">
        <v>0.1</v>
      </c>
      <c r="H127" s="115">
        <v>2.2200000000000002</v>
      </c>
      <c r="I127" s="115">
        <v>0.08</v>
      </c>
      <c r="J127" s="116">
        <v>36529</v>
      </c>
      <c r="K127" s="132" t="s">
        <v>463</v>
      </c>
      <c r="L127" s="111">
        <f t="shared" si="1"/>
        <v>8.9842169162282479E-2</v>
      </c>
      <c r="M127" s="133"/>
      <c r="N127" s="132"/>
      <c r="O127" s="133"/>
      <c r="P127" s="133"/>
      <c r="Q127" s="104"/>
      <c r="R127" s="132"/>
      <c r="S127" s="105"/>
      <c r="T127" s="133"/>
      <c r="U127" s="104"/>
      <c r="V127" s="104"/>
      <c r="W127" s="132"/>
      <c r="X127" s="133"/>
      <c r="Y127" s="132"/>
    </row>
    <row r="128" spans="1:25" ht="17" customHeight="1" x14ac:dyDescent="0.2">
      <c r="A128" s="115" t="s">
        <v>658</v>
      </c>
      <c r="B128" s="115" t="s">
        <v>659</v>
      </c>
      <c r="C128" s="115">
        <v>2855.08</v>
      </c>
      <c r="D128" s="115">
        <v>-0.95</v>
      </c>
      <c r="E128" s="115">
        <v>5.83</v>
      </c>
      <c r="F128" s="115">
        <v>24.76</v>
      </c>
      <c r="G128" s="115">
        <v>0.05</v>
      </c>
      <c r="H128" s="115">
        <v>1.89</v>
      </c>
      <c r="I128" s="115">
        <v>0.08</v>
      </c>
      <c r="J128" s="116">
        <v>36529</v>
      </c>
      <c r="K128" s="132" t="s">
        <v>463</v>
      </c>
      <c r="L128" s="111">
        <f t="shared" si="1"/>
        <v>7.6332794830371559E-2</v>
      </c>
      <c r="M128" s="133"/>
      <c r="N128" s="132"/>
      <c r="O128" s="133"/>
      <c r="P128" s="133"/>
      <c r="Q128" s="104"/>
      <c r="R128" s="132"/>
      <c r="S128" s="105"/>
      <c r="T128" s="133"/>
      <c r="U128" s="104"/>
      <c r="V128" s="104"/>
      <c r="W128" s="132"/>
      <c r="X128" s="133"/>
      <c r="Y128" s="132"/>
    </row>
    <row r="129" spans="1:25" ht="17" customHeight="1" x14ac:dyDescent="0.2">
      <c r="A129" s="115" t="s">
        <v>866</v>
      </c>
      <c r="B129" s="115" t="s">
        <v>867</v>
      </c>
      <c r="C129" s="115">
        <v>1584.66</v>
      </c>
      <c r="D129" s="115">
        <v>0.94</v>
      </c>
      <c r="E129" s="115">
        <v>10.71</v>
      </c>
      <c r="F129" s="115">
        <v>23.29</v>
      </c>
      <c r="G129" s="115">
        <v>0.49</v>
      </c>
      <c r="H129" s="115">
        <v>1.84</v>
      </c>
      <c r="I129" s="115">
        <v>0.08</v>
      </c>
      <c r="J129" s="116">
        <v>41775</v>
      </c>
      <c r="K129" s="132" t="s">
        <v>463</v>
      </c>
      <c r="L129" s="111">
        <f t="shared" si="1"/>
        <v>7.9003864319450418E-2</v>
      </c>
      <c r="M129" s="133"/>
      <c r="N129" s="132"/>
      <c r="O129" s="133"/>
      <c r="P129" s="133"/>
      <c r="Q129" s="104"/>
      <c r="R129" s="132"/>
      <c r="S129" s="105"/>
      <c r="T129" s="133"/>
      <c r="U129" s="104"/>
      <c r="V129" s="104"/>
      <c r="W129" s="132"/>
      <c r="X129" s="133"/>
      <c r="Y129" s="132"/>
    </row>
    <row r="130" spans="1:25" ht="17" customHeight="1" x14ac:dyDescent="0.2">
      <c r="A130" s="115" t="s">
        <v>718</v>
      </c>
      <c r="B130" s="115" t="s">
        <v>719</v>
      </c>
      <c r="C130" s="115">
        <v>2052.12</v>
      </c>
      <c r="D130" s="115">
        <v>-1.76</v>
      </c>
      <c r="E130" s="115">
        <v>15.04</v>
      </c>
      <c r="F130" s="115">
        <v>16.84</v>
      </c>
      <c r="G130" s="115">
        <v>0.15</v>
      </c>
      <c r="H130" s="115">
        <v>1.2</v>
      </c>
      <c r="I130" s="115">
        <v>0.08</v>
      </c>
      <c r="J130" s="116">
        <v>36529</v>
      </c>
      <c r="K130" s="132" t="s">
        <v>463</v>
      </c>
      <c r="L130" s="111">
        <f t="shared" ref="L130:L193" si="2">H130/F130</f>
        <v>7.1258907363420429E-2</v>
      </c>
      <c r="M130" s="133"/>
      <c r="N130" s="132"/>
      <c r="O130" s="133"/>
      <c r="P130" s="133"/>
      <c r="Q130" s="104"/>
      <c r="R130" s="132"/>
      <c r="S130" s="105"/>
      <c r="T130" s="133"/>
      <c r="U130" s="104"/>
      <c r="V130" s="104"/>
      <c r="W130" s="132"/>
      <c r="X130" s="133"/>
      <c r="Y130" s="132"/>
    </row>
    <row r="131" spans="1:25" ht="17" customHeight="1" x14ac:dyDescent="0.2">
      <c r="A131" s="115" t="s">
        <v>868</v>
      </c>
      <c r="B131" s="115" t="s">
        <v>75</v>
      </c>
      <c r="C131" s="115">
        <v>6154.78</v>
      </c>
      <c r="D131" s="115">
        <v>0.61</v>
      </c>
      <c r="E131" s="115">
        <v>30.87</v>
      </c>
      <c r="F131" s="115">
        <v>24.94</v>
      </c>
      <c r="G131" s="115">
        <v>0.15</v>
      </c>
      <c r="H131" s="115">
        <v>3.22</v>
      </c>
      <c r="I131" s="115">
        <v>0.09</v>
      </c>
      <c r="J131" s="116">
        <v>39078</v>
      </c>
      <c r="K131" s="132" t="s">
        <v>463</v>
      </c>
      <c r="L131" s="111">
        <f t="shared" si="2"/>
        <v>0.12910986367281477</v>
      </c>
      <c r="M131" s="133"/>
      <c r="N131" s="132"/>
      <c r="O131" s="133"/>
      <c r="P131" s="133"/>
      <c r="Q131" s="104"/>
      <c r="R131" s="132"/>
      <c r="S131" s="105"/>
      <c r="T131" s="133"/>
      <c r="U131" s="104"/>
      <c r="V131" s="104"/>
      <c r="W131" s="132"/>
      <c r="X131" s="133"/>
      <c r="Y131" s="132"/>
    </row>
    <row r="132" spans="1:25" ht="17" customHeight="1" x14ac:dyDescent="0.2">
      <c r="A132" s="115" t="s">
        <v>505</v>
      </c>
      <c r="B132" s="115" t="s">
        <v>506</v>
      </c>
      <c r="C132" s="115">
        <v>1941.67</v>
      </c>
      <c r="D132" s="115">
        <v>-0.6</v>
      </c>
      <c r="E132" s="115">
        <v>15.48</v>
      </c>
      <c r="F132" s="115">
        <v>29.76</v>
      </c>
      <c r="G132" s="115">
        <v>0.12</v>
      </c>
      <c r="H132" s="115">
        <v>1.65</v>
      </c>
      <c r="I132" s="115">
        <v>0.09</v>
      </c>
      <c r="J132" s="116">
        <v>36529</v>
      </c>
      <c r="K132" s="132" t="s">
        <v>463</v>
      </c>
      <c r="L132" s="111">
        <f t="shared" si="2"/>
        <v>5.5443548387096767E-2</v>
      </c>
      <c r="M132" s="133"/>
      <c r="N132" s="132"/>
      <c r="O132" s="133"/>
      <c r="P132" s="133"/>
      <c r="Q132" s="104"/>
      <c r="R132" s="132"/>
      <c r="S132" s="105"/>
      <c r="T132" s="133"/>
      <c r="U132" s="104"/>
      <c r="V132" s="104"/>
      <c r="W132" s="132"/>
      <c r="X132" s="133"/>
      <c r="Y132" s="132"/>
    </row>
    <row r="133" spans="1:25" ht="17" customHeight="1" x14ac:dyDescent="0.2">
      <c r="A133" s="115" t="s">
        <v>869</v>
      </c>
      <c r="B133" s="115" t="s">
        <v>870</v>
      </c>
      <c r="C133" s="115">
        <v>8485.8700000000008</v>
      </c>
      <c r="D133" s="115">
        <v>7.0000000000000007E-2</v>
      </c>
      <c r="E133" s="115">
        <v>24.63</v>
      </c>
      <c r="F133" s="115">
        <v>10.41</v>
      </c>
      <c r="G133" s="115">
        <v>0.22</v>
      </c>
      <c r="H133" s="115">
        <v>1.25</v>
      </c>
      <c r="I133" s="115">
        <v>0.09</v>
      </c>
      <c r="J133" s="116">
        <v>37438</v>
      </c>
      <c r="K133" s="132" t="s">
        <v>463</v>
      </c>
      <c r="L133" s="111">
        <f t="shared" si="2"/>
        <v>0.12007684918347743</v>
      </c>
      <c r="M133" s="133"/>
      <c r="N133" s="132"/>
      <c r="O133" s="133"/>
      <c r="P133" s="133"/>
      <c r="Q133" s="104"/>
      <c r="R133" s="132"/>
      <c r="S133" s="105"/>
      <c r="T133" s="133"/>
      <c r="U133" s="104"/>
      <c r="V133" s="104"/>
      <c r="W133" s="132"/>
      <c r="X133" s="133"/>
      <c r="Y133" s="132"/>
    </row>
    <row r="134" spans="1:25" ht="17" customHeight="1" x14ac:dyDescent="0.2">
      <c r="A134" s="115" t="s">
        <v>871</v>
      </c>
      <c r="B134" s="115" t="s">
        <v>872</v>
      </c>
      <c r="C134" s="115">
        <v>3166.58</v>
      </c>
      <c r="D134" s="115">
        <v>0.4</v>
      </c>
      <c r="E134" s="115">
        <v>26.97</v>
      </c>
      <c r="F134" s="115">
        <v>24.94</v>
      </c>
      <c r="G134" s="115">
        <v>0.15</v>
      </c>
      <c r="H134" s="115">
        <v>3.22</v>
      </c>
      <c r="I134" s="115">
        <v>0.09</v>
      </c>
      <c r="J134" s="116">
        <v>39080</v>
      </c>
      <c r="K134" s="132" t="s">
        <v>463</v>
      </c>
      <c r="L134" s="111">
        <f t="shared" si="2"/>
        <v>0.12910986367281477</v>
      </c>
      <c r="M134" s="133"/>
      <c r="N134" s="132"/>
      <c r="O134" s="133"/>
      <c r="P134" s="133"/>
      <c r="Q134" s="104"/>
      <c r="R134" s="132"/>
      <c r="S134" s="105"/>
      <c r="T134" s="133"/>
      <c r="U134" s="104"/>
      <c r="V134" s="104"/>
      <c r="W134" s="132"/>
      <c r="X134" s="133"/>
      <c r="Y134" s="132"/>
    </row>
    <row r="135" spans="1:25" ht="17" customHeight="1" x14ac:dyDescent="0.2">
      <c r="A135" s="115" t="s">
        <v>555</v>
      </c>
      <c r="B135" s="115" t="s">
        <v>556</v>
      </c>
      <c r="C135" s="115">
        <v>2114.1999999999998</v>
      </c>
      <c r="D135" s="115">
        <v>-0.13</v>
      </c>
      <c r="E135" s="115">
        <v>7.25</v>
      </c>
      <c r="F135" s="115">
        <v>29.69</v>
      </c>
      <c r="G135" s="115">
        <v>0.56999999999999995</v>
      </c>
      <c r="H135" s="115">
        <v>1.08</v>
      </c>
      <c r="I135" s="115">
        <v>0.09</v>
      </c>
      <c r="J135" s="116">
        <v>36529</v>
      </c>
      <c r="K135" s="132" t="s">
        <v>463</v>
      </c>
      <c r="L135" s="111">
        <f t="shared" si="2"/>
        <v>3.6375884136072754E-2</v>
      </c>
      <c r="M135" s="133"/>
      <c r="N135" s="132"/>
      <c r="O135" s="133"/>
      <c r="P135" s="133"/>
      <c r="Q135" s="104"/>
      <c r="R135" s="132"/>
      <c r="S135" s="105"/>
      <c r="T135" s="133"/>
      <c r="U135" s="104"/>
      <c r="V135" s="104"/>
      <c r="W135" s="132"/>
      <c r="X135" s="133"/>
      <c r="Y135" s="132"/>
    </row>
    <row r="136" spans="1:25" ht="17" customHeight="1" x14ac:dyDescent="0.2">
      <c r="A136" s="115" t="s">
        <v>615</v>
      </c>
      <c r="B136" s="115" t="s">
        <v>616</v>
      </c>
      <c r="C136" s="115">
        <v>4170.9399999999996</v>
      </c>
      <c r="D136" s="115">
        <v>-0.19</v>
      </c>
      <c r="E136" s="115">
        <v>10.75</v>
      </c>
      <c r="F136" s="115">
        <v>17.21</v>
      </c>
      <c r="G136" s="115">
        <v>0.2</v>
      </c>
      <c r="H136" s="115">
        <v>1.66</v>
      </c>
      <c r="I136" s="115">
        <v>0.09</v>
      </c>
      <c r="J136" s="116">
        <v>36529</v>
      </c>
      <c r="K136" s="132" t="s">
        <v>463</v>
      </c>
      <c r="L136" s="111">
        <f t="shared" si="2"/>
        <v>9.6455549099360827E-2</v>
      </c>
      <c r="M136" s="133"/>
      <c r="N136" s="132"/>
      <c r="O136" s="133"/>
      <c r="P136" s="133"/>
      <c r="Q136" s="104"/>
      <c r="R136" s="132"/>
      <c r="S136" s="105"/>
      <c r="T136" s="133"/>
      <c r="U136" s="104"/>
      <c r="V136" s="104"/>
      <c r="W136" s="132"/>
      <c r="X136" s="133"/>
      <c r="Y136" s="132"/>
    </row>
    <row r="137" spans="1:25" ht="17" customHeight="1" x14ac:dyDescent="0.2">
      <c r="A137" s="115" t="s">
        <v>873</v>
      </c>
      <c r="B137" s="115" t="s">
        <v>115</v>
      </c>
      <c r="C137" s="115">
        <v>6213.86</v>
      </c>
      <c r="D137" s="115">
        <v>-0.34</v>
      </c>
      <c r="E137" s="115">
        <v>25.01</v>
      </c>
      <c r="F137" s="115">
        <v>8.24</v>
      </c>
      <c r="G137" s="115">
        <v>0.37</v>
      </c>
      <c r="H137" s="115">
        <v>1.05</v>
      </c>
      <c r="I137" s="115">
        <v>0.09</v>
      </c>
      <c r="J137" s="116">
        <v>39997</v>
      </c>
      <c r="K137" s="132" t="s">
        <v>463</v>
      </c>
      <c r="L137" s="111">
        <f t="shared" si="2"/>
        <v>0.12742718446601942</v>
      </c>
      <c r="M137" s="133"/>
      <c r="N137" s="132"/>
      <c r="O137" s="133"/>
      <c r="P137" s="133"/>
      <c r="Q137" s="104"/>
      <c r="R137" s="132"/>
      <c r="S137" s="105"/>
      <c r="T137" s="133"/>
      <c r="U137" s="104"/>
      <c r="V137" s="104"/>
      <c r="W137" s="132"/>
      <c r="X137" s="133"/>
      <c r="Y137" s="132"/>
    </row>
    <row r="138" spans="1:25" ht="17" customHeight="1" x14ac:dyDescent="0.2">
      <c r="A138" s="115" t="s">
        <v>874</v>
      </c>
      <c r="B138" s="115" t="s">
        <v>875</v>
      </c>
      <c r="C138" s="115">
        <v>5392.65</v>
      </c>
      <c r="D138" s="115">
        <v>-0.36</v>
      </c>
      <c r="E138" s="115">
        <v>23.77</v>
      </c>
      <c r="F138" s="115">
        <v>7.65</v>
      </c>
      <c r="G138" s="115">
        <v>0.34</v>
      </c>
      <c r="H138" s="115">
        <v>1</v>
      </c>
      <c r="I138" s="115">
        <v>0.09</v>
      </c>
      <c r="J138" s="116">
        <v>39822</v>
      </c>
      <c r="K138" s="132" t="s">
        <v>463</v>
      </c>
      <c r="L138" s="111">
        <f t="shared" si="2"/>
        <v>0.13071895424836602</v>
      </c>
      <c r="M138" s="133"/>
      <c r="N138" s="132"/>
      <c r="O138" s="133"/>
      <c r="P138" s="133"/>
      <c r="Q138" s="104"/>
      <c r="R138" s="132"/>
      <c r="S138" s="105"/>
      <c r="T138" s="133"/>
      <c r="U138" s="104"/>
      <c r="V138" s="104"/>
      <c r="W138" s="132"/>
      <c r="X138" s="133"/>
      <c r="Y138" s="132"/>
    </row>
    <row r="139" spans="1:25" ht="17" customHeight="1" x14ac:dyDescent="0.2">
      <c r="A139" s="115" t="s">
        <v>876</v>
      </c>
      <c r="B139" s="115" t="s">
        <v>877</v>
      </c>
      <c r="C139" s="115">
        <v>5436.96</v>
      </c>
      <c r="D139" s="115">
        <v>-0.28999999999999998</v>
      </c>
      <c r="E139" s="115">
        <v>23.6</v>
      </c>
      <c r="F139" s="115">
        <v>7.94</v>
      </c>
      <c r="G139" s="115">
        <v>0.42</v>
      </c>
      <c r="H139" s="115">
        <v>1.01</v>
      </c>
      <c r="I139" s="115">
        <v>0.09</v>
      </c>
      <c r="J139" s="116">
        <v>39426</v>
      </c>
      <c r="K139" s="132" t="s">
        <v>463</v>
      </c>
      <c r="L139" s="111">
        <f t="shared" si="2"/>
        <v>0.12720403022670024</v>
      </c>
      <c r="M139" s="133"/>
      <c r="N139" s="132"/>
      <c r="O139" s="133"/>
      <c r="P139" s="133"/>
      <c r="Q139" s="104"/>
      <c r="R139" s="132"/>
      <c r="S139" s="105"/>
      <c r="T139" s="133"/>
      <c r="U139" s="104"/>
      <c r="V139" s="104"/>
      <c r="W139" s="132"/>
      <c r="X139" s="133"/>
      <c r="Y139" s="132"/>
    </row>
    <row r="140" spans="1:25" ht="17" customHeight="1" x14ac:dyDescent="0.2">
      <c r="A140" s="115" t="s">
        <v>878</v>
      </c>
      <c r="B140" s="115" t="s">
        <v>87</v>
      </c>
      <c r="C140" s="115">
        <v>7420.02</v>
      </c>
      <c r="D140" s="115">
        <v>0.38</v>
      </c>
      <c r="E140" s="115">
        <v>16.63</v>
      </c>
      <c r="F140" s="115">
        <v>60.58</v>
      </c>
      <c r="G140" s="115">
        <v>0.19</v>
      </c>
      <c r="H140" s="115">
        <v>2.35</v>
      </c>
      <c r="I140" s="115">
        <v>0.09</v>
      </c>
      <c r="J140" s="116">
        <v>41634</v>
      </c>
      <c r="K140" s="132" t="s">
        <v>463</v>
      </c>
      <c r="L140" s="111">
        <f t="shared" si="2"/>
        <v>3.8791680422581715E-2</v>
      </c>
      <c r="M140" s="133"/>
      <c r="N140" s="132"/>
      <c r="O140" s="133"/>
      <c r="P140" s="133"/>
      <c r="Q140" s="104"/>
      <c r="R140" s="132"/>
      <c r="S140" s="105"/>
      <c r="T140" s="133"/>
      <c r="U140" s="104"/>
      <c r="V140" s="104"/>
      <c r="W140" s="132"/>
      <c r="X140" s="133"/>
      <c r="Y140" s="132"/>
    </row>
    <row r="141" spans="1:25" ht="17" customHeight="1" x14ac:dyDescent="0.2">
      <c r="A141" s="115" t="s">
        <v>678</v>
      </c>
      <c r="B141" s="115" t="s">
        <v>679</v>
      </c>
      <c r="C141" s="115">
        <v>1939.65</v>
      </c>
      <c r="D141" s="115">
        <v>-0.6</v>
      </c>
      <c r="E141" s="115">
        <v>15.49</v>
      </c>
      <c r="F141" s="115">
        <v>29.76</v>
      </c>
      <c r="G141" s="115">
        <v>0.12</v>
      </c>
      <c r="H141" s="115">
        <v>1.65</v>
      </c>
      <c r="I141" s="115">
        <v>0.09</v>
      </c>
      <c r="J141" s="116">
        <v>36529</v>
      </c>
      <c r="K141" s="132" t="s">
        <v>463</v>
      </c>
      <c r="L141" s="111">
        <f t="shared" si="2"/>
        <v>5.5443548387096767E-2</v>
      </c>
      <c r="M141" s="133"/>
      <c r="N141" s="132"/>
      <c r="O141" s="133"/>
      <c r="P141" s="133"/>
      <c r="Q141" s="104"/>
      <c r="R141" s="132"/>
      <c r="S141" s="105"/>
      <c r="T141" s="133"/>
      <c r="U141" s="104"/>
      <c r="V141" s="104"/>
      <c r="W141" s="132"/>
      <c r="X141" s="133"/>
      <c r="Y141" s="132"/>
    </row>
    <row r="142" spans="1:25" ht="17" customHeight="1" x14ac:dyDescent="0.2">
      <c r="A142" s="115" t="s">
        <v>879</v>
      </c>
      <c r="B142" s="115" t="s">
        <v>127</v>
      </c>
      <c r="C142" s="115">
        <v>2500</v>
      </c>
      <c r="D142" s="115">
        <v>-0.64</v>
      </c>
      <c r="E142" s="115">
        <v>11.5</v>
      </c>
      <c r="F142" s="115">
        <v>18.34</v>
      </c>
      <c r="G142" s="115">
        <v>0.17</v>
      </c>
      <c r="H142" s="115">
        <v>1.65</v>
      </c>
      <c r="I142" s="115">
        <v>0.09</v>
      </c>
      <c r="J142" s="116">
        <v>40757</v>
      </c>
      <c r="K142" s="132" t="s">
        <v>463</v>
      </c>
      <c r="L142" s="111">
        <f t="shared" si="2"/>
        <v>8.9967284623773167E-2</v>
      </c>
      <c r="M142" s="133"/>
      <c r="N142" s="132"/>
      <c r="O142" s="133"/>
      <c r="P142" s="133"/>
      <c r="Q142" s="104"/>
      <c r="R142" s="132"/>
      <c r="S142" s="105"/>
      <c r="T142" s="133"/>
      <c r="U142" s="104"/>
      <c r="V142" s="104"/>
      <c r="W142" s="132"/>
      <c r="X142" s="133"/>
      <c r="Y142" s="132"/>
    </row>
    <row r="143" spans="1:25" ht="17" customHeight="1" x14ac:dyDescent="0.2">
      <c r="A143" s="115" t="s">
        <v>880</v>
      </c>
      <c r="B143" s="115" t="s">
        <v>881</v>
      </c>
      <c r="C143" s="115">
        <v>965.32</v>
      </c>
      <c r="D143" s="115">
        <v>-0.8</v>
      </c>
      <c r="E143" s="115">
        <v>-0.02</v>
      </c>
      <c r="F143" s="115">
        <v>8.2100000000000009</v>
      </c>
      <c r="G143" s="115">
        <v>0.3</v>
      </c>
      <c r="H143" s="115">
        <v>1.08</v>
      </c>
      <c r="I143" s="115">
        <v>0.09</v>
      </c>
      <c r="J143" s="116">
        <v>41198</v>
      </c>
      <c r="K143" s="132" t="s">
        <v>463</v>
      </c>
      <c r="L143" s="111">
        <f t="shared" si="2"/>
        <v>0.13154689403166869</v>
      </c>
      <c r="M143" s="133"/>
      <c r="N143" s="132"/>
      <c r="O143" s="133"/>
      <c r="P143" s="133"/>
      <c r="Q143" s="104"/>
      <c r="R143" s="132"/>
      <c r="S143" s="105"/>
      <c r="T143" s="133"/>
      <c r="U143" s="104"/>
      <c r="V143" s="104"/>
      <c r="W143" s="132"/>
      <c r="X143" s="133"/>
      <c r="Y143" s="132"/>
    </row>
    <row r="144" spans="1:25" ht="17" customHeight="1" x14ac:dyDescent="0.2">
      <c r="A144" s="115" t="s">
        <v>882</v>
      </c>
      <c r="B144" s="115" t="s">
        <v>883</v>
      </c>
      <c r="C144" s="115">
        <v>1835.16</v>
      </c>
      <c r="D144" s="115">
        <v>0.36</v>
      </c>
      <c r="E144" s="115">
        <v>-2.41</v>
      </c>
      <c r="F144" s="115">
        <v>10.77</v>
      </c>
      <c r="G144" s="115">
        <v>0.21</v>
      </c>
      <c r="H144" s="115">
        <v>0.88</v>
      </c>
      <c r="I144" s="115">
        <v>0.09</v>
      </c>
      <c r="J144" s="116">
        <v>38971</v>
      </c>
      <c r="K144" s="132" t="s">
        <v>463</v>
      </c>
      <c r="L144" s="111">
        <f t="shared" si="2"/>
        <v>8.1708449396471677E-2</v>
      </c>
      <c r="M144" s="133"/>
      <c r="N144" s="132"/>
      <c r="O144" s="133"/>
      <c r="P144" s="133"/>
      <c r="Q144" s="104"/>
      <c r="R144" s="132"/>
      <c r="S144" s="105"/>
      <c r="T144" s="133"/>
      <c r="U144" s="104"/>
      <c r="V144" s="104"/>
      <c r="W144" s="132"/>
      <c r="X144" s="133"/>
      <c r="Y144" s="132"/>
    </row>
    <row r="145" spans="1:25" ht="17" customHeight="1" x14ac:dyDescent="0.2">
      <c r="A145" s="115" t="s">
        <v>607</v>
      </c>
      <c r="B145" s="115" t="s">
        <v>608</v>
      </c>
      <c r="C145" s="115">
        <v>3632.56</v>
      </c>
      <c r="D145" s="115">
        <v>-0.51</v>
      </c>
      <c r="E145" s="115">
        <v>10.65</v>
      </c>
      <c r="F145" s="115">
        <v>14.88</v>
      </c>
      <c r="G145" s="115">
        <v>0.15</v>
      </c>
      <c r="H145" s="115">
        <v>1.52</v>
      </c>
      <c r="I145" s="115">
        <v>0.1</v>
      </c>
      <c r="J145" s="116">
        <v>36529</v>
      </c>
      <c r="K145" s="132" t="s">
        <v>463</v>
      </c>
      <c r="L145" s="111">
        <f t="shared" si="2"/>
        <v>0.10215053763440859</v>
      </c>
      <c r="M145" s="133"/>
      <c r="N145" s="132"/>
      <c r="O145" s="133"/>
      <c r="P145" s="133"/>
      <c r="Q145" s="104"/>
      <c r="R145" s="132"/>
      <c r="S145" s="107"/>
      <c r="T145" s="108"/>
      <c r="U145" s="106"/>
      <c r="V145" s="106"/>
      <c r="W145" s="132"/>
      <c r="X145" s="133"/>
      <c r="Y145" s="132"/>
    </row>
    <row r="146" spans="1:25" ht="17" customHeight="1" x14ac:dyDescent="0.2">
      <c r="A146" s="115" t="s">
        <v>884</v>
      </c>
      <c r="B146" s="115" t="s">
        <v>885</v>
      </c>
      <c r="C146" s="115">
        <v>6526.84</v>
      </c>
      <c r="D146" s="115">
        <v>-0.27</v>
      </c>
      <c r="E146" s="115">
        <v>26.21</v>
      </c>
      <c r="F146" s="115">
        <v>8.11</v>
      </c>
      <c r="G146" s="115">
        <v>0.33</v>
      </c>
      <c r="H146" s="115">
        <v>1.05</v>
      </c>
      <c r="I146" s="115">
        <v>0.1</v>
      </c>
      <c r="J146" s="116">
        <v>39265</v>
      </c>
      <c r="K146" s="132" t="s">
        <v>463</v>
      </c>
      <c r="L146" s="111">
        <f t="shared" si="2"/>
        <v>0.12946979038224415</v>
      </c>
      <c r="M146" s="133"/>
      <c r="N146" s="132"/>
      <c r="O146" s="133"/>
      <c r="P146" s="133"/>
      <c r="Q146" s="104"/>
      <c r="R146" s="132"/>
      <c r="S146" s="105"/>
      <c r="T146" s="133"/>
      <c r="U146" s="104"/>
      <c r="V146" s="104"/>
      <c r="W146" s="132"/>
      <c r="X146" s="133"/>
      <c r="Y146" s="132"/>
    </row>
    <row r="147" spans="1:25" ht="17" customHeight="1" x14ac:dyDescent="0.2">
      <c r="A147" s="115" t="s">
        <v>648</v>
      </c>
      <c r="B147" s="115" t="s">
        <v>649</v>
      </c>
      <c r="C147" s="115">
        <v>3128.96</v>
      </c>
      <c r="D147" s="115">
        <v>-0.35</v>
      </c>
      <c r="E147" s="115">
        <v>9.1199999999999992</v>
      </c>
      <c r="F147" s="115">
        <v>38.92</v>
      </c>
      <c r="G147" s="115">
        <v>0.33</v>
      </c>
      <c r="H147" s="115">
        <v>2.0099999999999998</v>
      </c>
      <c r="I147" s="115">
        <v>0.1</v>
      </c>
      <c r="J147" s="116">
        <v>36529</v>
      </c>
      <c r="K147" s="132" t="s">
        <v>463</v>
      </c>
      <c r="L147" s="111">
        <f t="shared" si="2"/>
        <v>5.1644398766700919E-2</v>
      </c>
      <c r="M147" s="133"/>
      <c r="N147" s="132"/>
      <c r="O147" s="133"/>
      <c r="P147" s="133"/>
      <c r="Q147" s="104"/>
      <c r="R147" s="132"/>
      <c r="S147" s="107"/>
      <c r="T147" s="108"/>
      <c r="U147" s="106"/>
      <c r="V147" s="106"/>
      <c r="W147" s="132"/>
      <c r="X147" s="133"/>
      <c r="Y147" s="132"/>
    </row>
    <row r="148" spans="1:25" ht="17" customHeight="1" x14ac:dyDescent="0.2">
      <c r="A148" s="115" t="s">
        <v>886</v>
      </c>
      <c r="B148" s="115" t="s">
        <v>887</v>
      </c>
      <c r="C148" s="115">
        <v>4417.07</v>
      </c>
      <c r="D148" s="115">
        <v>0.28999999999999998</v>
      </c>
      <c r="E148" s="115">
        <v>1.17</v>
      </c>
      <c r="F148" s="115">
        <v>18.329999999999998</v>
      </c>
      <c r="G148" s="115">
        <v>0.17</v>
      </c>
      <c r="H148" s="115">
        <v>2.44</v>
      </c>
      <c r="I148" s="115">
        <v>0.1</v>
      </c>
      <c r="J148" s="116">
        <v>40284</v>
      </c>
      <c r="K148" s="132" t="s">
        <v>463</v>
      </c>
      <c r="L148" s="111">
        <f t="shared" si="2"/>
        <v>0.1331151118385161</v>
      </c>
      <c r="M148" s="133"/>
      <c r="N148" s="132"/>
      <c r="O148" s="133"/>
      <c r="P148" s="133"/>
      <c r="Q148" s="104"/>
      <c r="R148" s="132"/>
      <c r="S148" s="105"/>
      <c r="T148" s="133"/>
      <c r="U148" s="104"/>
      <c r="V148" s="104"/>
      <c r="W148" s="132"/>
      <c r="X148" s="133"/>
      <c r="Y148" s="132"/>
    </row>
    <row r="149" spans="1:25" ht="17" customHeight="1" x14ac:dyDescent="0.2">
      <c r="A149" s="115" t="s">
        <v>888</v>
      </c>
      <c r="B149" s="115" t="s">
        <v>740</v>
      </c>
      <c r="C149" s="115">
        <v>7863.73</v>
      </c>
      <c r="D149" s="115">
        <v>0.46</v>
      </c>
      <c r="E149" s="115">
        <v>-0.63</v>
      </c>
      <c r="F149" s="115">
        <v>24.02</v>
      </c>
      <c r="G149" s="115">
        <v>0.19</v>
      </c>
      <c r="H149" s="115">
        <v>2.4</v>
      </c>
      <c r="I149" s="115">
        <v>0.1</v>
      </c>
      <c r="J149" s="116">
        <v>42143</v>
      </c>
      <c r="K149" s="132" t="s">
        <v>463</v>
      </c>
      <c r="L149" s="111">
        <f t="shared" si="2"/>
        <v>9.9916736053288921E-2</v>
      </c>
      <c r="M149" s="133"/>
      <c r="N149" s="132"/>
      <c r="O149" s="133"/>
      <c r="P149" s="133"/>
      <c r="Q149" s="104"/>
      <c r="R149" s="132"/>
      <c r="S149" s="105"/>
      <c r="T149" s="133"/>
      <c r="U149" s="104"/>
      <c r="V149" s="104"/>
      <c r="W149" s="132"/>
      <c r="X149" s="133"/>
      <c r="Y149" s="132"/>
    </row>
    <row r="150" spans="1:25" ht="17" customHeight="1" x14ac:dyDescent="0.2">
      <c r="A150" s="115" t="s">
        <v>473</v>
      </c>
      <c r="B150" s="115" t="s">
        <v>474</v>
      </c>
      <c r="C150" s="115">
        <v>2270.12</v>
      </c>
      <c r="D150" s="115">
        <v>0.19</v>
      </c>
      <c r="E150" s="115">
        <v>11.8</v>
      </c>
      <c r="F150" s="115">
        <v>16.64</v>
      </c>
      <c r="G150" s="115">
        <v>0.21</v>
      </c>
      <c r="H150" s="115">
        <v>1.38</v>
      </c>
      <c r="I150" s="115">
        <v>0.11</v>
      </c>
      <c r="J150" s="116">
        <v>36529</v>
      </c>
      <c r="K150" s="132" t="s">
        <v>463</v>
      </c>
      <c r="L150" s="111">
        <f t="shared" si="2"/>
        <v>8.2932692307692304E-2</v>
      </c>
      <c r="M150" s="133"/>
      <c r="N150" s="132"/>
      <c r="O150" s="133"/>
      <c r="P150" s="133"/>
      <c r="Q150" s="104"/>
      <c r="R150" s="132"/>
      <c r="S150" s="105"/>
      <c r="T150" s="133"/>
      <c r="U150" s="104"/>
      <c r="V150" s="104"/>
      <c r="W150" s="132"/>
      <c r="X150" s="133"/>
      <c r="Y150" s="132"/>
    </row>
    <row r="151" spans="1:25" ht="17" customHeight="1" x14ac:dyDescent="0.2">
      <c r="A151" s="115" t="s">
        <v>889</v>
      </c>
      <c r="B151" s="115" t="s">
        <v>890</v>
      </c>
      <c r="C151" s="115">
        <v>4041.21</v>
      </c>
      <c r="D151" s="115">
        <v>0.18</v>
      </c>
      <c r="E151" s="115">
        <v>26.29</v>
      </c>
      <c r="F151" s="115">
        <v>13.05</v>
      </c>
      <c r="G151" s="115">
        <v>0.31</v>
      </c>
      <c r="H151" s="115">
        <v>1.47</v>
      </c>
      <c r="I151" s="115">
        <v>0.11</v>
      </c>
      <c r="J151" s="116">
        <v>39097</v>
      </c>
      <c r="K151" s="132" t="s">
        <v>463</v>
      </c>
      <c r="L151" s="111">
        <f t="shared" si="2"/>
        <v>0.11264367816091954</v>
      </c>
      <c r="M151" s="133"/>
      <c r="N151" s="132"/>
      <c r="O151" s="133"/>
      <c r="P151" s="133"/>
      <c r="Q151" s="104"/>
      <c r="R151" s="132"/>
      <c r="S151" s="105"/>
      <c r="T151" s="133"/>
      <c r="U151" s="104"/>
      <c r="V151" s="104"/>
      <c r="W151" s="132"/>
      <c r="X151" s="133"/>
      <c r="Y151" s="132"/>
    </row>
    <row r="152" spans="1:25" ht="17" customHeight="1" x14ac:dyDescent="0.2">
      <c r="A152" s="115" t="s">
        <v>493</v>
      </c>
      <c r="B152" s="115" t="s">
        <v>494</v>
      </c>
      <c r="C152" s="115">
        <v>5615.53</v>
      </c>
      <c r="D152" s="115">
        <v>-1.17</v>
      </c>
      <c r="E152" s="115">
        <v>34.22</v>
      </c>
      <c r="F152" s="115">
        <v>11.58</v>
      </c>
      <c r="G152" s="115">
        <v>0.03</v>
      </c>
      <c r="H152" s="115">
        <v>1.71</v>
      </c>
      <c r="I152" s="115">
        <v>0.11</v>
      </c>
      <c r="J152" s="116">
        <v>36529</v>
      </c>
      <c r="K152" s="132" t="s">
        <v>463</v>
      </c>
      <c r="L152" s="111">
        <f t="shared" si="2"/>
        <v>0.14766839378238342</v>
      </c>
      <c r="M152" s="133"/>
      <c r="N152" s="132"/>
      <c r="O152" s="133"/>
      <c r="P152" s="133"/>
      <c r="Q152" s="104"/>
      <c r="R152" s="132"/>
      <c r="S152" s="105"/>
      <c r="T152" s="133"/>
      <c r="U152" s="104"/>
      <c r="V152" s="104"/>
      <c r="W152" s="132"/>
      <c r="X152" s="133"/>
      <c r="Y152" s="132"/>
    </row>
    <row r="153" spans="1:25" ht="17" customHeight="1" x14ac:dyDescent="0.2">
      <c r="A153" s="115" t="s">
        <v>891</v>
      </c>
      <c r="B153" s="115" t="s">
        <v>892</v>
      </c>
      <c r="C153" s="115">
        <v>4928</v>
      </c>
      <c r="D153" s="115">
        <v>-0.02</v>
      </c>
      <c r="E153" s="115">
        <v>18.29</v>
      </c>
      <c r="F153" s="115">
        <v>13.05</v>
      </c>
      <c r="G153" s="115">
        <v>0.31</v>
      </c>
      <c r="H153" s="115">
        <v>1.47</v>
      </c>
      <c r="I153" s="115">
        <v>0.11</v>
      </c>
      <c r="J153" s="116">
        <v>39097</v>
      </c>
      <c r="K153" s="132" t="s">
        <v>463</v>
      </c>
      <c r="L153" s="111">
        <f t="shared" si="2"/>
        <v>0.11264367816091954</v>
      </c>
      <c r="M153" s="133"/>
      <c r="N153" s="132"/>
      <c r="O153" s="133"/>
      <c r="P153" s="133"/>
      <c r="Q153" s="104"/>
      <c r="R153" s="132"/>
      <c r="S153" s="105"/>
      <c r="T153" s="133"/>
      <c r="U153" s="104"/>
      <c r="V153" s="104"/>
      <c r="W153" s="132"/>
      <c r="X153" s="133"/>
      <c r="Y153" s="132"/>
    </row>
    <row r="154" spans="1:25" ht="17" customHeight="1" x14ac:dyDescent="0.2">
      <c r="A154" s="115" t="s">
        <v>893</v>
      </c>
      <c r="B154" s="115" t="s">
        <v>68</v>
      </c>
      <c r="C154" s="115">
        <v>5850.82</v>
      </c>
      <c r="D154" s="115">
        <v>-0.38</v>
      </c>
      <c r="E154" s="115">
        <v>22.68</v>
      </c>
      <c r="F154" s="115">
        <v>8.34</v>
      </c>
      <c r="G154" s="115">
        <v>0.48</v>
      </c>
      <c r="H154" s="115">
        <v>1.06</v>
      </c>
      <c r="I154" s="115">
        <v>0.11</v>
      </c>
      <c r="J154" s="116">
        <v>40757</v>
      </c>
      <c r="K154" s="132" t="s">
        <v>463</v>
      </c>
      <c r="L154" s="111">
        <f t="shared" si="2"/>
        <v>0.12709832134292567</v>
      </c>
      <c r="M154" s="133"/>
      <c r="N154" s="132"/>
      <c r="O154" s="133"/>
      <c r="P154" s="133"/>
      <c r="Q154" s="104"/>
      <c r="R154" s="132"/>
      <c r="S154" s="107"/>
      <c r="T154" s="108"/>
      <c r="U154" s="106"/>
      <c r="V154" s="106"/>
      <c r="W154" s="132"/>
      <c r="X154" s="133"/>
      <c r="Y154" s="132"/>
    </row>
    <row r="155" spans="1:25" ht="17" customHeight="1" x14ac:dyDescent="0.2">
      <c r="A155" s="115" t="s">
        <v>672</v>
      </c>
      <c r="B155" s="115" t="s">
        <v>673</v>
      </c>
      <c r="C155" s="115">
        <v>6440.7</v>
      </c>
      <c r="D155" s="115">
        <v>1.35</v>
      </c>
      <c r="E155" s="115">
        <v>24.16</v>
      </c>
      <c r="F155" s="115">
        <v>31.02</v>
      </c>
      <c r="G155" s="115">
        <v>0.26</v>
      </c>
      <c r="H155" s="115">
        <v>2.19</v>
      </c>
      <c r="I155" s="115">
        <v>0.11</v>
      </c>
      <c r="J155" s="116">
        <v>36529</v>
      </c>
      <c r="K155" s="132" t="s">
        <v>463</v>
      </c>
      <c r="L155" s="111">
        <f t="shared" si="2"/>
        <v>7.0599613152804636E-2</v>
      </c>
      <c r="M155" s="133"/>
      <c r="N155" s="132"/>
      <c r="O155" s="133"/>
      <c r="P155" s="133"/>
      <c r="Q155" s="104"/>
      <c r="R155" s="132"/>
      <c r="S155" s="105"/>
      <c r="T155" s="133"/>
      <c r="U155" s="104"/>
      <c r="V155" s="104"/>
      <c r="W155" s="132"/>
      <c r="X155" s="133"/>
      <c r="Y155" s="132"/>
    </row>
    <row r="156" spans="1:25" ht="17" customHeight="1" x14ac:dyDescent="0.2">
      <c r="A156" s="115" t="s">
        <v>894</v>
      </c>
      <c r="B156" s="115" t="s">
        <v>895</v>
      </c>
      <c r="C156" s="115">
        <v>970.42</v>
      </c>
      <c r="D156" s="115">
        <v>0.83</v>
      </c>
      <c r="E156" s="115">
        <v>1.99</v>
      </c>
      <c r="F156" s="115">
        <v>18.47</v>
      </c>
      <c r="G156" s="115">
        <v>0.01</v>
      </c>
      <c r="H156" s="115">
        <v>2.12</v>
      </c>
      <c r="I156" s="115">
        <v>0.11</v>
      </c>
      <c r="J156" s="116">
        <v>40564</v>
      </c>
      <c r="K156" s="132" t="s">
        <v>463</v>
      </c>
      <c r="L156" s="111">
        <f t="shared" si="2"/>
        <v>0.11478072550081214</v>
      </c>
      <c r="M156" s="133"/>
      <c r="N156" s="132"/>
      <c r="O156" s="133"/>
      <c r="P156" s="133"/>
      <c r="Q156" s="104"/>
      <c r="R156" s="132"/>
      <c r="S156" s="105"/>
      <c r="T156" s="133"/>
      <c r="U156" s="104"/>
      <c r="V156" s="104"/>
      <c r="W156" s="132"/>
      <c r="X156" s="133"/>
      <c r="Y156" s="132"/>
    </row>
    <row r="157" spans="1:25" ht="17" customHeight="1" x14ac:dyDescent="0.2">
      <c r="A157" s="115" t="s">
        <v>682</v>
      </c>
      <c r="B157" s="115" t="s">
        <v>683</v>
      </c>
      <c r="C157" s="115">
        <v>2738.72</v>
      </c>
      <c r="D157" s="115">
        <v>0.36</v>
      </c>
      <c r="E157" s="115">
        <v>-1.99</v>
      </c>
      <c r="F157" s="115">
        <v>38.590000000000003</v>
      </c>
      <c r="G157" s="115">
        <v>0.46</v>
      </c>
      <c r="H157" s="115">
        <v>1.66</v>
      </c>
      <c r="I157" s="115">
        <v>0.11</v>
      </c>
      <c r="J157" s="116">
        <v>36529</v>
      </c>
      <c r="K157" s="132" t="s">
        <v>463</v>
      </c>
      <c r="L157" s="111">
        <f t="shared" si="2"/>
        <v>4.301632547292044E-2</v>
      </c>
      <c r="M157" s="133"/>
      <c r="N157" s="132"/>
      <c r="O157" s="133"/>
      <c r="P157" s="133"/>
      <c r="Q157" s="104"/>
      <c r="R157" s="132"/>
      <c r="S157" s="107"/>
      <c r="T157" s="108"/>
      <c r="U157" s="106"/>
      <c r="V157" s="106"/>
      <c r="W157" s="132"/>
      <c r="X157" s="133"/>
      <c r="Y157" s="132"/>
    </row>
    <row r="158" spans="1:25" ht="17" customHeight="1" x14ac:dyDescent="0.2">
      <c r="A158" s="115" t="s">
        <v>896</v>
      </c>
      <c r="B158" s="115" t="s">
        <v>897</v>
      </c>
      <c r="C158" s="115">
        <v>3371.21</v>
      </c>
      <c r="D158" s="115">
        <v>0.05</v>
      </c>
      <c r="E158" s="115">
        <v>8.42</v>
      </c>
      <c r="F158" s="115">
        <v>41.5</v>
      </c>
      <c r="G158" s="115">
        <v>0.28999999999999998</v>
      </c>
      <c r="H158" s="115">
        <v>1.94</v>
      </c>
      <c r="I158" s="115">
        <v>0.11</v>
      </c>
      <c r="J158" s="116">
        <v>41264</v>
      </c>
      <c r="K158" s="132" t="s">
        <v>463</v>
      </c>
      <c r="L158" s="111">
        <f t="shared" si="2"/>
        <v>4.6746987951807227E-2</v>
      </c>
      <c r="M158" s="133"/>
      <c r="N158" s="132"/>
      <c r="O158" s="133"/>
      <c r="P158" s="133"/>
      <c r="Q158" s="104"/>
      <c r="R158" s="132"/>
      <c r="S158" s="105"/>
      <c r="T158" s="133"/>
      <c r="U158" s="104"/>
      <c r="V158" s="104"/>
      <c r="W158" s="132"/>
      <c r="X158" s="133"/>
      <c r="Y158" s="132"/>
    </row>
    <row r="159" spans="1:25" ht="17" customHeight="1" x14ac:dyDescent="0.2">
      <c r="A159" s="115" t="s">
        <v>898</v>
      </c>
      <c r="B159" s="115" t="s">
        <v>899</v>
      </c>
      <c r="C159" s="115">
        <v>4719.75</v>
      </c>
      <c r="D159" s="115">
        <v>0.09</v>
      </c>
      <c r="E159" s="115">
        <v>12.23</v>
      </c>
      <c r="F159" s="115">
        <v>9.17</v>
      </c>
      <c r="G159" s="115">
        <v>0.26</v>
      </c>
      <c r="H159" s="115">
        <v>1.17</v>
      </c>
      <c r="I159" s="115">
        <v>0.11</v>
      </c>
      <c r="J159" s="116">
        <v>41894</v>
      </c>
      <c r="K159" s="132" t="s">
        <v>463</v>
      </c>
      <c r="L159" s="111">
        <f t="shared" si="2"/>
        <v>0.12758996728462377</v>
      </c>
      <c r="M159" s="133"/>
      <c r="N159" s="132"/>
      <c r="O159" s="133"/>
      <c r="P159" s="133"/>
      <c r="Q159" s="104"/>
      <c r="R159" s="132"/>
      <c r="S159" s="105"/>
      <c r="T159" s="133"/>
      <c r="U159" s="104"/>
      <c r="V159" s="104"/>
      <c r="W159" s="132"/>
      <c r="X159" s="133"/>
      <c r="Y159" s="132"/>
    </row>
    <row r="160" spans="1:25" ht="17" customHeight="1" x14ac:dyDescent="0.2">
      <c r="A160" s="115" t="s">
        <v>900</v>
      </c>
      <c r="B160" s="115" t="s">
        <v>92</v>
      </c>
      <c r="C160" s="115">
        <v>1243.57</v>
      </c>
      <c r="D160" s="115">
        <v>0.04</v>
      </c>
      <c r="E160" s="115">
        <v>14.24</v>
      </c>
      <c r="F160" s="115">
        <v>36.15</v>
      </c>
      <c r="G160" s="115">
        <v>0.38</v>
      </c>
      <c r="H160" s="115">
        <v>2.62</v>
      </c>
      <c r="I160" s="115">
        <v>0.11</v>
      </c>
      <c r="J160" s="116">
        <v>41744</v>
      </c>
      <c r="K160" s="132" t="s">
        <v>463</v>
      </c>
      <c r="L160" s="111">
        <f t="shared" si="2"/>
        <v>7.2475795297372067E-2</v>
      </c>
      <c r="M160" s="133"/>
      <c r="N160" s="132"/>
      <c r="O160" s="133"/>
      <c r="P160" s="133"/>
      <c r="Q160" s="104"/>
      <c r="R160" s="132"/>
      <c r="S160" s="105"/>
      <c r="T160" s="133"/>
      <c r="U160" s="104"/>
      <c r="V160" s="104"/>
      <c r="W160" s="132"/>
      <c r="X160" s="133"/>
      <c r="Y160" s="132"/>
    </row>
    <row r="161" spans="1:25" ht="17" customHeight="1" x14ac:dyDescent="0.2">
      <c r="A161" s="115" t="s">
        <v>901</v>
      </c>
      <c r="B161" s="115" t="s">
        <v>902</v>
      </c>
      <c r="C161" s="115">
        <v>3526.92</v>
      </c>
      <c r="D161" s="115">
        <v>0.96</v>
      </c>
      <c r="E161" s="115">
        <v>1.25</v>
      </c>
      <c r="F161" s="115">
        <v>6.17</v>
      </c>
      <c r="G161" s="115">
        <v>0.19</v>
      </c>
      <c r="H161" s="115">
        <v>0.66</v>
      </c>
      <c r="I161" s="115">
        <v>0.11</v>
      </c>
      <c r="J161" s="116">
        <v>43262</v>
      </c>
      <c r="K161" s="132" t="s">
        <v>463</v>
      </c>
      <c r="L161" s="111">
        <f t="shared" si="2"/>
        <v>0.10696920583468396</v>
      </c>
      <c r="M161" s="133"/>
      <c r="N161" s="132"/>
      <c r="O161" s="133"/>
      <c r="P161" s="133"/>
      <c r="Q161" s="104"/>
      <c r="R161" s="132"/>
      <c r="S161" s="105"/>
      <c r="T161" s="133"/>
      <c r="U161" s="104"/>
      <c r="V161" s="104"/>
      <c r="W161" s="132"/>
      <c r="X161" s="133"/>
      <c r="Y161" s="132"/>
    </row>
    <row r="162" spans="1:25" ht="17" customHeight="1" x14ac:dyDescent="0.2">
      <c r="A162" s="115" t="s">
        <v>515</v>
      </c>
      <c r="B162" s="115" t="s">
        <v>516</v>
      </c>
      <c r="C162" s="115">
        <v>2102.09</v>
      </c>
      <c r="D162" s="115">
        <v>-0.12</v>
      </c>
      <c r="E162" s="115">
        <v>11.38</v>
      </c>
      <c r="F162" s="115">
        <v>22.35</v>
      </c>
      <c r="G162" s="115">
        <v>0.16</v>
      </c>
      <c r="H162" s="115">
        <v>1.63</v>
      </c>
      <c r="I162" s="115">
        <v>0.12</v>
      </c>
      <c r="J162" s="116">
        <v>36529</v>
      </c>
      <c r="K162" s="132" t="s">
        <v>463</v>
      </c>
      <c r="L162" s="111">
        <f t="shared" si="2"/>
        <v>7.2930648769574932E-2</v>
      </c>
      <c r="M162" s="133"/>
      <c r="N162" s="132"/>
      <c r="O162" s="133"/>
      <c r="P162" s="133"/>
      <c r="Q162" s="104"/>
      <c r="R162" s="132"/>
      <c r="S162" s="105"/>
      <c r="T162" s="133"/>
      <c r="U162" s="104"/>
      <c r="V162" s="104"/>
      <c r="W162" s="132"/>
      <c r="X162" s="133"/>
      <c r="Y162" s="132"/>
    </row>
    <row r="163" spans="1:25" ht="17" customHeight="1" x14ac:dyDescent="0.2">
      <c r="A163" s="115" t="s">
        <v>903</v>
      </c>
      <c r="B163" s="115" t="s">
        <v>904</v>
      </c>
      <c r="C163" s="115">
        <v>2303.5700000000002</v>
      </c>
      <c r="D163" s="115">
        <v>-0.05</v>
      </c>
      <c r="E163" s="115">
        <v>18.010000000000002</v>
      </c>
      <c r="F163" s="115">
        <v>9.5</v>
      </c>
      <c r="G163" s="115">
        <v>0.36</v>
      </c>
      <c r="H163" s="115">
        <v>1.1599999999999999</v>
      </c>
      <c r="I163" s="115">
        <v>0.12</v>
      </c>
      <c r="J163" s="116">
        <v>40547</v>
      </c>
      <c r="K163" s="132" t="s">
        <v>463</v>
      </c>
      <c r="L163" s="111">
        <f t="shared" si="2"/>
        <v>0.12210526315789473</v>
      </c>
      <c r="M163" s="133"/>
      <c r="N163" s="132"/>
      <c r="O163" s="133"/>
      <c r="P163" s="133"/>
      <c r="Q163" s="104"/>
      <c r="R163" s="132"/>
      <c r="S163" s="105"/>
      <c r="T163" s="133"/>
      <c r="U163" s="104"/>
      <c r="V163" s="104"/>
      <c r="W163" s="132"/>
      <c r="X163" s="133"/>
      <c r="Y163" s="132"/>
    </row>
    <row r="164" spans="1:25" ht="17" customHeight="1" x14ac:dyDescent="0.2">
      <c r="A164" s="115" t="s">
        <v>619</v>
      </c>
      <c r="B164" s="115" t="s">
        <v>620</v>
      </c>
      <c r="C164" s="115">
        <v>1678.11</v>
      </c>
      <c r="D164" s="115">
        <v>-0.34</v>
      </c>
      <c r="E164" s="115">
        <v>-2.66</v>
      </c>
      <c r="F164" s="115">
        <v>26.04</v>
      </c>
      <c r="G164" s="115">
        <v>0.39</v>
      </c>
      <c r="H164" s="115">
        <v>1.8</v>
      </c>
      <c r="I164" s="115">
        <v>0.12</v>
      </c>
      <c r="J164" s="116">
        <v>36529</v>
      </c>
      <c r="K164" s="132" t="s">
        <v>463</v>
      </c>
      <c r="L164" s="111">
        <f t="shared" si="2"/>
        <v>6.9124423963133647E-2</v>
      </c>
    </row>
    <row r="165" spans="1:25" ht="17" customHeight="1" x14ac:dyDescent="0.2">
      <c r="A165" s="115" t="s">
        <v>905</v>
      </c>
      <c r="B165" s="115" t="s">
        <v>906</v>
      </c>
      <c r="C165" s="115">
        <v>2422.09</v>
      </c>
      <c r="D165" s="115">
        <v>0.22</v>
      </c>
      <c r="E165" s="115">
        <v>13.33</v>
      </c>
      <c r="F165" s="115">
        <v>17.079999999999998</v>
      </c>
      <c r="G165" s="115">
        <v>0.14000000000000001</v>
      </c>
      <c r="H165" s="115">
        <v>1.67</v>
      </c>
      <c r="I165" s="115">
        <v>0.12</v>
      </c>
      <c r="J165" s="116">
        <v>41991</v>
      </c>
      <c r="K165" s="132" t="s">
        <v>463</v>
      </c>
      <c r="L165" s="111">
        <f t="shared" si="2"/>
        <v>9.7775175644028114E-2</v>
      </c>
    </row>
    <row r="166" spans="1:25" ht="17" customHeight="1" x14ac:dyDescent="0.2">
      <c r="A166" s="115" t="s">
        <v>907</v>
      </c>
      <c r="B166" s="115" t="s">
        <v>908</v>
      </c>
      <c r="C166" s="115">
        <v>5394.59</v>
      </c>
      <c r="D166" s="115">
        <v>0.56000000000000005</v>
      </c>
      <c r="E166" s="115">
        <v>19.05</v>
      </c>
      <c r="F166" s="115">
        <v>59.25</v>
      </c>
      <c r="G166" s="115">
        <v>0.44</v>
      </c>
      <c r="H166" s="115">
        <v>2.36</v>
      </c>
      <c r="I166" s="115">
        <v>0.12</v>
      </c>
      <c r="J166" s="116">
        <v>40121</v>
      </c>
      <c r="K166" s="132" t="s">
        <v>463</v>
      </c>
      <c r="L166" s="111">
        <f t="shared" si="2"/>
        <v>3.9831223628691979E-2</v>
      </c>
    </row>
    <row r="167" spans="1:25" ht="17" customHeight="1" x14ac:dyDescent="0.2">
      <c r="A167" s="115" t="s">
        <v>571</v>
      </c>
      <c r="B167" s="115" t="s">
        <v>572</v>
      </c>
      <c r="C167" s="115">
        <v>2364.87</v>
      </c>
      <c r="D167" s="115">
        <v>1.56</v>
      </c>
      <c r="E167" s="115">
        <v>36.6</v>
      </c>
      <c r="F167" s="115">
        <v>107.86</v>
      </c>
      <c r="G167" s="115">
        <v>0.71</v>
      </c>
      <c r="H167" s="115">
        <v>1.66</v>
      </c>
      <c r="I167" s="115">
        <v>0.13</v>
      </c>
      <c r="J167" s="116">
        <v>39265</v>
      </c>
      <c r="K167" s="132" t="s">
        <v>463</v>
      </c>
      <c r="L167" s="111">
        <f t="shared" si="2"/>
        <v>1.5390320786204338E-2</v>
      </c>
    </row>
    <row r="168" spans="1:25" ht="17" customHeight="1" x14ac:dyDescent="0.2">
      <c r="A168" s="115" t="s">
        <v>656</v>
      </c>
      <c r="B168" s="115" t="s">
        <v>657</v>
      </c>
      <c r="C168" s="115">
        <v>8855.5300000000007</v>
      </c>
      <c r="D168" s="115">
        <v>2.5499999999999998</v>
      </c>
      <c r="E168" s="115">
        <v>25.05</v>
      </c>
      <c r="F168" s="115">
        <v>29.71</v>
      </c>
      <c r="G168" s="115">
        <v>0.19</v>
      </c>
      <c r="H168" s="115">
        <v>2.96</v>
      </c>
      <c r="I168" s="115">
        <v>0.13</v>
      </c>
      <c r="J168" s="116">
        <v>36529</v>
      </c>
      <c r="K168" s="132" t="s">
        <v>463</v>
      </c>
      <c r="L168" s="111">
        <f t="shared" si="2"/>
        <v>9.9629754291484351E-2</v>
      </c>
    </row>
    <row r="169" spans="1:25" ht="17" customHeight="1" x14ac:dyDescent="0.2">
      <c r="A169" s="115" t="s">
        <v>909</v>
      </c>
      <c r="B169" s="115" t="s">
        <v>59</v>
      </c>
      <c r="C169" s="115">
        <v>1162.17</v>
      </c>
      <c r="D169" s="115">
        <v>0.64</v>
      </c>
      <c r="E169" s="115">
        <v>9.52</v>
      </c>
      <c r="F169" s="115">
        <v>22.62</v>
      </c>
      <c r="G169" s="115">
        <v>0.15</v>
      </c>
      <c r="H169" s="115">
        <v>2.13</v>
      </c>
      <c r="I169" s="115">
        <v>0.13</v>
      </c>
      <c r="J169" s="116">
        <v>41177</v>
      </c>
      <c r="K169" s="132" t="s">
        <v>463</v>
      </c>
      <c r="L169" s="111">
        <f t="shared" si="2"/>
        <v>9.4164456233421748E-2</v>
      </c>
    </row>
    <row r="170" spans="1:25" ht="17" customHeight="1" x14ac:dyDescent="0.2">
      <c r="A170" s="115" t="s">
        <v>910</v>
      </c>
      <c r="B170" s="115" t="s">
        <v>911</v>
      </c>
      <c r="C170" s="115">
        <v>1658.02</v>
      </c>
      <c r="D170" s="115">
        <v>2.08</v>
      </c>
      <c r="E170" s="115">
        <v>11.3</v>
      </c>
      <c r="F170" s="115">
        <v>28.65</v>
      </c>
      <c r="G170" s="115">
        <v>0.46</v>
      </c>
      <c r="H170" s="115">
        <v>1.95</v>
      </c>
      <c r="I170" s="115">
        <v>0.13</v>
      </c>
      <c r="J170" s="116">
        <v>41906</v>
      </c>
      <c r="K170" s="132" t="s">
        <v>463</v>
      </c>
      <c r="L170" s="111">
        <f t="shared" si="2"/>
        <v>6.8062827225130892E-2</v>
      </c>
    </row>
    <row r="171" spans="1:25" ht="17" customHeight="1" x14ac:dyDescent="0.2">
      <c r="A171" s="115" t="s">
        <v>912</v>
      </c>
      <c r="B171" s="115" t="s">
        <v>913</v>
      </c>
      <c r="C171" s="115">
        <v>9808.0499999999993</v>
      </c>
      <c r="D171" s="115">
        <v>0.64</v>
      </c>
      <c r="E171" s="115">
        <v>28.29</v>
      </c>
      <c r="F171" s="115">
        <v>33.31</v>
      </c>
      <c r="G171" s="115">
        <v>0.55000000000000004</v>
      </c>
      <c r="H171" s="115">
        <v>3.53</v>
      </c>
      <c r="I171" s="115">
        <v>0.13</v>
      </c>
      <c r="J171" s="116">
        <v>41264</v>
      </c>
      <c r="K171" s="132" t="s">
        <v>463</v>
      </c>
      <c r="L171" s="111">
        <f t="shared" si="2"/>
        <v>0.10597418192734913</v>
      </c>
    </row>
    <row r="172" spans="1:25" ht="17" customHeight="1" x14ac:dyDescent="0.2">
      <c r="A172" s="115" t="s">
        <v>680</v>
      </c>
      <c r="B172" s="115" t="s">
        <v>681</v>
      </c>
      <c r="C172" s="115">
        <v>3496.02</v>
      </c>
      <c r="D172" s="115">
        <v>0.52</v>
      </c>
      <c r="E172" s="115">
        <v>22.85</v>
      </c>
      <c r="F172" s="115">
        <v>19.29</v>
      </c>
      <c r="G172" s="115">
        <v>7.0000000000000007E-2</v>
      </c>
      <c r="H172" s="115">
        <v>1.68</v>
      </c>
      <c r="I172" s="115">
        <v>0.14000000000000001</v>
      </c>
      <c r="J172" s="116">
        <v>36529</v>
      </c>
      <c r="K172" s="132" t="s">
        <v>463</v>
      </c>
      <c r="L172" s="111">
        <f t="shared" si="2"/>
        <v>8.7091757387247282E-2</v>
      </c>
    </row>
    <row r="173" spans="1:25" ht="17" customHeight="1" x14ac:dyDescent="0.2">
      <c r="A173" s="115" t="s">
        <v>914</v>
      </c>
      <c r="B173" s="115" t="s">
        <v>915</v>
      </c>
      <c r="C173" s="115">
        <v>1373.74</v>
      </c>
      <c r="D173" s="115">
        <v>1.01</v>
      </c>
      <c r="E173" s="115">
        <v>13.61</v>
      </c>
      <c r="F173" s="115">
        <v>30.68</v>
      </c>
      <c r="G173" s="115">
        <v>0.25</v>
      </c>
      <c r="H173" s="115">
        <v>2.15</v>
      </c>
      <c r="I173" s="115">
        <v>0.14000000000000001</v>
      </c>
      <c r="J173" s="116">
        <v>42045</v>
      </c>
      <c r="K173" s="132" t="s">
        <v>463</v>
      </c>
      <c r="L173" s="111">
        <f t="shared" si="2"/>
        <v>7.0078226857887879E-2</v>
      </c>
    </row>
    <row r="174" spans="1:25" ht="17" customHeight="1" x14ac:dyDescent="0.2">
      <c r="A174" s="115" t="s">
        <v>694</v>
      </c>
      <c r="B174" s="115" t="s">
        <v>695</v>
      </c>
      <c r="C174" s="115">
        <v>6780.16</v>
      </c>
      <c r="D174" s="115">
        <v>0.7</v>
      </c>
      <c r="E174" s="115">
        <v>8.26</v>
      </c>
      <c r="F174" s="115">
        <v>63.35</v>
      </c>
      <c r="G174" s="115">
        <v>0.68</v>
      </c>
      <c r="H174" s="115">
        <v>2.74</v>
      </c>
      <c r="I174" s="115">
        <v>0.14000000000000001</v>
      </c>
      <c r="J174" s="116">
        <v>36529</v>
      </c>
      <c r="K174" s="132" t="s">
        <v>463</v>
      </c>
      <c r="L174" s="111">
        <f t="shared" si="2"/>
        <v>4.3251775848460933E-2</v>
      </c>
    </row>
    <row r="175" spans="1:25" ht="17" customHeight="1" x14ac:dyDescent="0.2">
      <c r="A175" s="115" t="s">
        <v>696</v>
      </c>
      <c r="B175" s="115" t="s">
        <v>697</v>
      </c>
      <c r="C175" s="115">
        <v>6328.08</v>
      </c>
      <c r="D175" s="115">
        <v>0.86</v>
      </c>
      <c r="E175" s="115">
        <v>13.22</v>
      </c>
      <c r="F175" s="115">
        <v>42.75</v>
      </c>
      <c r="G175" s="115">
        <v>0.51</v>
      </c>
      <c r="H175" s="115">
        <v>2.6</v>
      </c>
      <c r="I175" s="115">
        <v>0.14000000000000001</v>
      </c>
      <c r="J175" s="116">
        <v>39265</v>
      </c>
      <c r="K175" s="132" t="s">
        <v>463</v>
      </c>
      <c r="L175" s="111">
        <f t="shared" si="2"/>
        <v>6.0818713450292397E-2</v>
      </c>
    </row>
    <row r="176" spans="1:25" ht="17" customHeight="1" x14ac:dyDescent="0.2">
      <c r="A176" s="115" t="s">
        <v>916</v>
      </c>
      <c r="B176" s="115" t="s">
        <v>917</v>
      </c>
      <c r="C176" s="115">
        <v>3212.68</v>
      </c>
      <c r="D176" s="115">
        <v>0.13</v>
      </c>
      <c r="E176" s="115">
        <v>9.5</v>
      </c>
      <c r="F176" s="115">
        <v>42.07</v>
      </c>
      <c r="G176" s="115">
        <v>0.23</v>
      </c>
      <c r="H176" s="115">
        <v>1.98</v>
      </c>
      <c r="I176" s="115">
        <v>0.14000000000000001</v>
      </c>
      <c r="J176" s="116">
        <v>41211</v>
      </c>
      <c r="K176" s="132" t="s">
        <v>463</v>
      </c>
      <c r="L176" s="111">
        <f t="shared" si="2"/>
        <v>4.7064416448775848E-2</v>
      </c>
    </row>
    <row r="177" spans="1:12" ht="17" customHeight="1" x14ac:dyDescent="0.2">
      <c r="A177" s="115" t="s">
        <v>918</v>
      </c>
      <c r="B177" s="115" t="s">
        <v>919</v>
      </c>
      <c r="C177" s="115">
        <v>2152.2199999999998</v>
      </c>
      <c r="D177" s="115">
        <v>0.24</v>
      </c>
      <c r="E177" s="115">
        <v>18.2</v>
      </c>
      <c r="F177" s="115">
        <v>38.78</v>
      </c>
      <c r="G177" s="115">
        <v>0.33</v>
      </c>
      <c r="H177" s="115">
        <v>3.4</v>
      </c>
      <c r="I177" s="115">
        <v>0.14000000000000001</v>
      </c>
      <c r="J177" s="116">
        <v>41841</v>
      </c>
      <c r="K177" s="132" t="s">
        <v>463</v>
      </c>
      <c r="L177" s="111">
        <f t="shared" si="2"/>
        <v>8.7674058793192358E-2</v>
      </c>
    </row>
    <row r="178" spans="1:12" ht="17" customHeight="1" x14ac:dyDescent="0.2">
      <c r="A178" s="115" t="s">
        <v>920</v>
      </c>
      <c r="B178" s="115" t="s">
        <v>36</v>
      </c>
      <c r="C178" s="115">
        <v>3891.65</v>
      </c>
      <c r="D178" s="115">
        <v>0.35</v>
      </c>
      <c r="E178" s="115">
        <v>29.26</v>
      </c>
      <c r="F178" s="115">
        <v>11.82</v>
      </c>
      <c r="G178" s="115">
        <v>0.28999999999999998</v>
      </c>
      <c r="H178" s="115">
        <v>1.42</v>
      </c>
      <c r="I178" s="115">
        <v>0.15</v>
      </c>
      <c r="J178" s="116">
        <v>38450</v>
      </c>
      <c r="K178" s="132" t="s">
        <v>463</v>
      </c>
      <c r="L178" s="111">
        <f t="shared" si="2"/>
        <v>0.12013536379018612</v>
      </c>
    </row>
    <row r="179" spans="1:12" ht="17" customHeight="1" x14ac:dyDescent="0.2">
      <c r="A179" s="115" t="s">
        <v>921</v>
      </c>
      <c r="B179" s="115" t="s">
        <v>47</v>
      </c>
      <c r="C179" s="115">
        <v>975.99</v>
      </c>
      <c r="D179" s="115">
        <v>0.77</v>
      </c>
      <c r="E179" s="115">
        <v>24.37</v>
      </c>
      <c r="F179" s="115">
        <v>24.47</v>
      </c>
      <c r="G179" s="115">
        <v>0.23</v>
      </c>
      <c r="H179" s="115">
        <v>4.09</v>
      </c>
      <c r="I179" s="115">
        <v>0.15</v>
      </c>
      <c r="J179" s="116">
        <v>40261</v>
      </c>
      <c r="K179" s="132" t="s">
        <v>463</v>
      </c>
      <c r="L179" s="111">
        <f t="shared" si="2"/>
        <v>0.16714344094809971</v>
      </c>
    </row>
    <row r="180" spans="1:12" ht="17" customHeight="1" x14ac:dyDescent="0.2">
      <c r="A180" s="115" t="s">
        <v>601</v>
      </c>
      <c r="B180" s="115" t="s">
        <v>602</v>
      </c>
      <c r="C180" s="115">
        <v>1988.81</v>
      </c>
      <c r="D180" s="115">
        <v>-0.56999999999999995</v>
      </c>
      <c r="E180" s="115">
        <v>5.24</v>
      </c>
      <c r="F180" s="115">
        <v>44.56</v>
      </c>
      <c r="G180" s="115">
        <v>0.26</v>
      </c>
      <c r="H180" s="115">
        <v>2.13</v>
      </c>
      <c r="I180" s="115">
        <v>0.15</v>
      </c>
      <c r="J180" s="116">
        <v>36529</v>
      </c>
      <c r="K180" s="132" t="s">
        <v>463</v>
      </c>
      <c r="L180" s="111">
        <f t="shared" si="2"/>
        <v>4.7800718132854574E-2</v>
      </c>
    </row>
    <row r="181" spans="1:12" ht="17" customHeight="1" x14ac:dyDescent="0.2">
      <c r="A181" s="115" t="s">
        <v>728</v>
      </c>
      <c r="B181" s="115" t="s">
        <v>729</v>
      </c>
      <c r="C181" s="115">
        <v>2851.73</v>
      </c>
      <c r="D181" s="115">
        <v>0.23</v>
      </c>
      <c r="E181" s="115">
        <v>22.3</v>
      </c>
      <c r="F181" s="115">
        <v>37.25</v>
      </c>
      <c r="G181" s="115">
        <v>0.04</v>
      </c>
      <c r="H181" s="115">
        <v>3.02</v>
      </c>
      <c r="I181" s="115">
        <v>0.15</v>
      </c>
      <c r="J181" s="116">
        <v>36529</v>
      </c>
      <c r="K181" s="132" t="s">
        <v>463</v>
      </c>
      <c r="L181" s="111">
        <f t="shared" si="2"/>
        <v>8.1073825503355706E-2</v>
      </c>
    </row>
    <row r="182" spans="1:12" ht="17" customHeight="1" x14ac:dyDescent="0.2">
      <c r="A182" s="115" t="s">
        <v>922</v>
      </c>
      <c r="B182" s="115" t="s">
        <v>923</v>
      </c>
      <c r="C182" s="115">
        <v>1093.92</v>
      </c>
      <c r="D182" s="115">
        <v>0.35</v>
      </c>
      <c r="E182" s="115">
        <v>17.14</v>
      </c>
      <c r="F182" s="115">
        <v>40.07</v>
      </c>
      <c r="G182" s="115">
        <v>0.01</v>
      </c>
      <c r="H182" s="115">
        <v>2.85</v>
      </c>
      <c r="I182" s="115">
        <v>0.15</v>
      </c>
      <c r="J182" s="116">
        <v>41744</v>
      </c>
      <c r="K182" s="132" t="s">
        <v>463</v>
      </c>
      <c r="L182" s="111">
        <f t="shared" si="2"/>
        <v>7.1125530321936609E-2</v>
      </c>
    </row>
    <row r="183" spans="1:12" ht="17" customHeight="1" x14ac:dyDescent="0.2">
      <c r="A183" s="115" t="s">
        <v>924</v>
      </c>
      <c r="B183" s="115" t="s">
        <v>72</v>
      </c>
      <c r="C183" s="115">
        <v>683.3</v>
      </c>
      <c r="D183" s="115">
        <v>0.06</v>
      </c>
      <c r="E183" s="115">
        <v>25.3</v>
      </c>
      <c r="F183" s="115">
        <v>24.93</v>
      </c>
      <c r="G183" s="115">
        <v>0.5</v>
      </c>
      <c r="H183" s="115">
        <v>1.53</v>
      </c>
      <c r="I183" s="115">
        <v>0.15</v>
      </c>
      <c r="J183" s="116">
        <v>41470</v>
      </c>
      <c r="K183" s="132" t="s">
        <v>463</v>
      </c>
      <c r="L183" s="111">
        <f t="shared" si="2"/>
        <v>6.1371841155234662E-2</v>
      </c>
    </row>
    <row r="184" spans="1:12" ht="17" customHeight="1" x14ac:dyDescent="0.2">
      <c r="A184" s="115" t="s">
        <v>529</v>
      </c>
      <c r="B184" s="115" t="s">
        <v>530</v>
      </c>
      <c r="C184" s="115">
        <v>1389.77</v>
      </c>
      <c r="D184" s="115">
        <v>1.55</v>
      </c>
      <c r="E184" s="115">
        <v>29.44</v>
      </c>
      <c r="F184" s="115">
        <v>32.909999999999997</v>
      </c>
      <c r="G184" s="115">
        <v>0.23</v>
      </c>
      <c r="H184" s="115">
        <v>1.8</v>
      </c>
      <c r="I184" s="115">
        <v>0.16</v>
      </c>
      <c r="J184" s="116">
        <v>36529</v>
      </c>
      <c r="K184" s="132" t="s">
        <v>463</v>
      </c>
      <c r="L184" s="111">
        <f t="shared" si="2"/>
        <v>5.4694621695533283E-2</v>
      </c>
    </row>
    <row r="185" spans="1:12" ht="17" customHeight="1" x14ac:dyDescent="0.2">
      <c r="A185" s="115" t="s">
        <v>533</v>
      </c>
      <c r="B185" s="115" t="s">
        <v>534</v>
      </c>
      <c r="C185" s="115">
        <v>4696.2</v>
      </c>
      <c r="D185" s="115">
        <v>1.88</v>
      </c>
      <c r="E185" s="115">
        <v>35.549999999999997</v>
      </c>
      <c r="F185" s="115">
        <v>37.799999999999997</v>
      </c>
      <c r="G185" s="115">
        <v>0.32</v>
      </c>
      <c r="H185" s="115">
        <v>2.97</v>
      </c>
      <c r="I185" s="115">
        <v>0.16</v>
      </c>
      <c r="J185" s="116">
        <v>36529</v>
      </c>
      <c r="K185" s="132" t="s">
        <v>463</v>
      </c>
      <c r="L185" s="111">
        <f t="shared" si="2"/>
        <v>7.8571428571428584E-2</v>
      </c>
    </row>
    <row r="186" spans="1:12" ht="17" customHeight="1" x14ac:dyDescent="0.2">
      <c r="A186" s="115" t="s">
        <v>925</v>
      </c>
      <c r="B186" s="115" t="s">
        <v>926</v>
      </c>
      <c r="C186" s="115">
        <v>2583.17</v>
      </c>
      <c r="D186" s="115">
        <v>-0.35</v>
      </c>
      <c r="E186" s="115">
        <v>26.59</v>
      </c>
      <c r="F186" s="115">
        <v>11.05</v>
      </c>
      <c r="G186" s="115">
        <v>0.04</v>
      </c>
      <c r="H186" s="115">
        <v>1.61</v>
      </c>
      <c r="I186" s="115">
        <v>0.16</v>
      </c>
      <c r="J186" s="116">
        <v>42045</v>
      </c>
      <c r="K186" s="132" t="s">
        <v>463</v>
      </c>
      <c r="L186" s="111">
        <f t="shared" si="2"/>
        <v>0.14570135746606336</v>
      </c>
    </row>
    <row r="187" spans="1:12" ht="17" customHeight="1" x14ac:dyDescent="0.2">
      <c r="A187" s="115" t="s">
        <v>591</v>
      </c>
      <c r="B187" s="115" t="s">
        <v>592</v>
      </c>
      <c r="C187" s="115">
        <v>1772.48</v>
      </c>
      <c r="D187" s="115">
        <v>-0.76</v>
      </c>
      <c r="E187" s="115">
        <v>7.01</v>
      </c>
      <c r="F187" s="115">
        <v>27.41</v>
      </c>
      <c r="G187" s="115">
        <v>0.08</v>
      </c>
      <c r="H187" s="115">
        <v>2.1</v>
      </c>
      <c r="I187" s="115">
        <v>0.16</v>
      </c>
      <c r="J187" s="116">
        <v>36529</v>
      </c>
      <c r="K187" s="132" t="s">
        <v>463</v>
      </c>
      <c r="L187" s="111">
        <f t="shared" si="2"/>
        <v>7.661437431594309E-2</v>
      </c>
    </row>
    <row r="188" spans="1:12" ht="17" customHeight="1" x14ac:dyDescent="0.2">
      <c r="A188" s="115" t="s">
        <v>646</v>
      </c>
      <c r="B188" s="115" t="s">
        <v>647</v>
      </c>
      <c r="C188" s="115">
        <v>5349.04</v>
      </c>
      <c r="D188" s="115">
        <v>0.08</v>
      </c>
      <c r="E188" s="115">
        <v>25.54</v>
      </c>
      <c r="F188" s="115">
        <v>20.98</v>
      </c>
      <c r="G188" s="115">
        <v>0.21</v>
      </c>
      <c r="H188" s="115">
        <v>1.93</v>
      </c>
      <c r="I188" s="115">
        <v>0.16</v>
      </c>
      <c r="J188" s="116">
        <v>36529</v>
      </c>
      <c r="K188" s="132" t="s">
        <v>463</v>
      </c>
      <c r="L188" s="111">
        <f t="shared" si="2"/>
        <v>9.199237368922783E-2</v>
      </c>
    </row>
    <row r="189" spans="1:12" ht="17" customHeight="1" x14ac:dyDescent="0.2">
      <c r="A189" s="115" t="s">
        <v>927</v>
      </c>
      <c r="B189" s="115" t="s">
        <v>737</v>
      </c>
      <c r="C189" s="115">
        <v>1017.75</v>
      </c>
      <c r="D189" s="115">
        <v>0.28000000000000003</v>
      </c>
      <c r="E189" s="115">
        <v>22.4</v>
      </c>
      <c r="F189" s="115">
        <v>63.96</v>
      </c>
      <c r="G189" s="115">
        <v>0.39</v>
      </c>
      <c r="H189" s="115">
        <v>2.4300000000000002</v>
      </c>
      <c r="I189" s="115">
        <v>0.16</v>
      </c>
      <c r="J189" s="116">
        <v>40785</v>
      </c>
      <c r="K189" s="132" t="s">
        <v>463</v>
      </c>
      <c r="L189" s="111">
        <f t="shared" si="2"/>
        <v>3.7992495309568483E-2</v>
      </c>
    </row>
    <row r="190" spans="1:12" ht="17" customHeight="1" x14ac:dyDescent="0.2">
      <c r="A190" s="115" t="s">
        <v>676</v>
      </c>
      <c r="B190" s="115" t="s">
        <v>677</v>
      </c>
      <c r="C190" s="115">
        <v>4105.08</v>
      </c>
      <c r="D190" s="115">
        <v>7.0000000000000007E-2</v>
      </c>
      <c r="E190" s="115">
        <v>19.920000000000002</v>
      </c>
      <c r="F190" s="115">
        <v>33.44</v>
      </c>
      <c r="G190" s="115">
        <v>0.39</v>
      </c>
      <c r="H190" s="115">
        <v>2.35</v>
      </c>
      <c r="I190" s="115">
        <v>0.16</v>
      </c>
      <c r="J190" s="116">
        <v>36529</v>
      </c>
      <c r="K190" s="132" t="s">
        <v>463</v>
      </c>
      <c r="L190" s="111">
        <f t="shared" si="2"/>
        <v>7.0275119617224893E-2</v>
      </c>
    </row>
    <row r="191" spans="1:12" ht="17" customHeight="1" x14ac:dyDescent="0.2">
      <c r="A191" s="115" t="s">
        <v>714</v>
      </c>
      <c r="B191" s="115" t="s">
        <v>715</v>
      </c>
      <c r="C191" s="115">
        <v>2314.33</v>
      </c>
      <c r="D191" s="115">
        <v>-2.0099999999999998</v>
      </c>
      <c r="E191" s="115">
        <v>7.63</v>
      </c>
      <c r="F191" s="115">
        <v>25.78</v>
      </c>
      <c r="G191" s="115">
        <v>0.17</v>
      </c>
      <c r="H191" s="115">
        <v>1.96</v>
      </c>
      <c r="I191" s="115">
        <v>0.16</v>
      </c>
      <c r="J191" s="116">
        <v>36529</v>
      </c>
      <c r="K191" s="132" t="s">
        <v>463</v>
      </c>
      <c r="L191" s="111">
        <f t="shared" si="2"/>
        <v>7.6027928626842503E-2</v>
      </c>
    </row>
    <row r="192" spans="1:12" ht="17" customHeight="1" x14ac:dyDescent="0.2">
      <c r="A192" s="115" t="s">
        <v>928</v>
      </c>
      <c r="B192" s="115" t="s">
        <v>929</v>
      </c>
      <c r="C192" s="115">
        <v>3013.6</v>
      </c>
      <c r="D192" s="115">
        <v>-0.21</v>
      </c>
      <c r="E192" s="115">
        <v>35.869999999999997</v>
      </c>
      <c r="F192" s="115">
        <v>12.81</v>
      </c>
      <c r="G192" s="115">
        <v>0.01</v>
      </c>
      <c r="H192" s="115">
        <v>2.84</v>
      </c>
      <c r="I192" s="115">
        <v>0.16</v>
      </c>
      <c r="J192" s="116">
        <v>42221</v>
      </c>
      <c r="K192" s="132" t="s">
        <v>463</v>
      </c>
      <c r="L192" s="111">
        <f t="shared" si="2"/>
        <v>0.22170179547228724</v>
      </c>
    </row>
    <row r="193" spans="1:12" ht="17" customHeight="1" x14ac:dyDescent="0.2">
      <c r="A193" s="115" t="s">
        <v>930</v>
      </c>
      <c r="B193" s="115" t="s">
        <v>931</v>
      </c>
      <c r="C193" s="115">
        <v>10617.37</v>
      </c>
      <c r="D193" s="115">
        <v>-0.11</v>
      </c>
      <c r="E193" s="115">
        <v>4.87</v>
      </c>
      <c r="F193" s="115">
        <v>8.44</v>
      </c>
      <c r="G193" s="115">
        <v>0.28999999999999998</v>
      </c>
      <c r="H193" s="115">
        <v>0.97</v>
      </c>
      <c r="I193" s="115">
        <v>0.17</v>
      </c>
      <c r="J193" s="116">
        <v>37438</v>
      </c>
      <c r="K193" s="132" t="s">
        <v>463</v>
      </c>
      <c r="L193" s="111">
        <f t="shared" si="2"/>
        <v>0.11492890995260664</v>
      </c>
    </row>
    <row r="194" spans="1:12" ht="17" customHeight="1" x14ac:dyDescent="0.2">
      <c r="A194" s="115" t="s">
        <v>475</v>
      </c>
      <c r="B194" s="115" t="s">
        <v>476</v>
      </c>
      <c r="C194" s="115">
        <v>1068.72</v>
      </c>
      <c r="D194" s="115">
        <v>0.49</v>
      </c>
      <c r="E194" s="115">
        <v>20.67</v>
      </c>
      <c r="F194" s="115">
        <v>54.57</v>
      </c>
      <c r="G194" s="115">
        <v>0.34</v>
      </c>
      <c r="H194" s="115">
        <v>2.27</v>
      </c>
      <c r="I194" s="115">
        <v>0.17</v>
      </c>
      <c r="J194" s="116">
        <v>36529</v>
      </c>
      <c r="K194" s="132" t="s">
        <v>463</v>
      </c>
      <c r="L194" s="111">
        <f t="shared" ref="L194:L257" si="3">H194/F194</f>
        <v>4.1597947590251053E-2</v>
      </c>
    </row>
    <row r="195" spans="1:12" ht="17" customHeight="1" x14ac:dyDescent="0.2">
      <c r="A195" s="115" t="s">
        <v>638</v>
      </c>
      <c r="B195" s="115" t="s">
        <v>639</v>
      </c>
      <c r="C195" s="115">
        <v>7449.79</v>
      </c>
      <c r="D195" s="115">
        <v>-1.88</v>
      </c>
      <c r="E195" s="115">
        <v>41.42</v>
      </c>
      <c r="F195" s="115">
        <v>8.3800000000000008</v>
      </c>
      <c r="G195" s="115">
        <v>0.03</v>
      </c>
      <c r="H195" s="115">
        <v>1.47</v>
      </c>
      <c r="I195" s="115">
        <v>0.17</v>
      </c>
      <c r="J195" s="116">
        <v>36529</v>
      </c>
      <c r="K195" s="132" t="s">
        <v>463</v>
      </c>
      <c r="L195" s="111">
        <f t="shared" si="3"/>
        <v>0.17541766109785201</v>
      </c>
    </row>
    <row r="196" spans="1:12" ht="17" customHeight="1" x14ac:dyDescent="0.2">
      <c r="A196" s="115" t="s">
        <v>932</v>
      </c>
      <c r="B196" s="115" t="s">
        <v>734</v>
      </c>
      <c r="C196" s="115">
        <v>7117.61</v>
      </c>
      <c r="D196" s="115">
        <v>-0.19</v>
      </c>
      <c r="E196" s="115">
        <v>22.59</v>
      </c>
      <c r="F196" s="115">
        <v>7.63</v>
      </c>
      <c r="G196" s="115">
        <v>0.05</v>
      </c>
      <c r="H196" s="115">
        <v>1.56</v>
      </c>
      <c r="I196" s="115">
        <v>0.17</v>
      </c>
      <c r="J196" s="116">
        <v>40114</v>
      </c>
      <c r="K196" s="132" t="s">
        <v>463</v>
      </c>
      <c r="L196" s="111">
        <f t="shared" si="3"/>
        <v>0.20445609436435125</v>
      </c>
    </row>
    <row r="197" spans="1:12" ht="17" customHeight="1" x14ac:dyDescent="0.2">
      <c r="A197" s="115" t="s">
        <v>933</v>
      </c>
      <c r="B197" s="115" t="s">
        <v>934</v>
      </c>
      <c r="C197" s="115">
        <v>7809.71</v>
      </c>
      <c r="D197" s="115">
        <v>0.3</v>
      </c>
      <c r="E197" s="115">
        <v>16.86</v>
      </c>
      <c r="F197" s="115">
        <v>10.41</v>
      </c>
      <c r="G197" s="115">
        <v>0.46</v>
      </c>
      <c r="H197" s="115">
        <v>1.25</v>
      </c>
      <c r="I197" s="115">
        <v>0.18</v>
      </c>
      <c r="J197" s="116">
        <v>40687</v>
      </c>
      <c r="K197" s="132" t="s">
        <v>463</v>
      </c>
      <c r="L197" s="111">
        <f t="shared" si="3"/>
        <v>0.12007684918347743</v>
      </c>
    </row>
    <row r="198" spans="1:12" ht="17" customHeight="1" x14ac:dyDescent="0.2">
      <c r="A198" s="115" t="s">
        <v>567</v>
      </c>
      <c r="B198" s="115" t="s">
        <v>568</v>
      </c>
      <c r="C198" s="115">
        <v>5533.84</v>
      </c>
      <c r="D198" s="115">
        <v>0.76</v>
      </c>
      <c r="E198" s="115">
        <v>13.71</v>
      </c>
      <c r="F198" s="115">
        <v>44.12</v>
      </c>
      <c r="G198" s="115">
        <v>0.05</v>
      </c>
      <c r="H198" s="115">
        <v>2.5099999999999998</v>
      </c>
      <c r="I198" s="115">
        <v>0.18</v>
      </c>
      <c r="J198" s="116">
        <v>36529</v>
      </c>
      <c r="K198" s="132" t="s">
        <v>463</v>
      </c>
      <c r="L198" s="111">
        <f t="shared" si="3"/>
        <v>5.6890299184043515E-2</v>
      </c>
    </row>
    <row r="199" spans="1:12" ht="17" customHeight="1" x14ac:dyDescent="0.2">
      <c r="A199" s="115" t="s">
        <v>609</v>
      </c>
      <c r="B199" s="115" t="s">
        <v>610</v>
      </c>
      <c r="C199" s="115">
        <v>967.41</v>
      </c>
      <c r="D199" s="115">
        <v>0.8</v>
      </c>
      <c r="E199" s="115">
        <v>18.239999999999998</v>
      </c>
      <c r="F199" s="115">
        <v>38.4</v>
      </c>
      <c r="G199" s="115">
        <v>0.5</v>
      </c>
      <c r="H199" s="115">
        <v>1.28</v>
      </c>
      <c r="I199" s="115">
        <v>0.18</v>
      </c>
      <c r="J199" s="116">
        <v>36529</v>
      </c>
      <c r="K199" s="132" t="s">
        <v>463</v>
      </c>
      <c r="L199" s="111">
        <f t="shared" si="3"/>
        <v>3.3333333333333333E-2</v>
      </c>
    </row>
    <row r="200" spans="1:12" ht="17" customHeight="1" x14ac:dyDescent="0.2">
      <c r="A200" s="115" t="s">
        <v>935</v>
      </c>
      <c r="B200" s="115" t="s">
        <v>95</v>
      </c>
      <c r="C200" s="115">
        <v>9988.66</v>
      </c>
      <c r="D200" s="115">
        <v>0.59</v>
      </c>
      <c r="E200" s="115">
        <v>29.77</v>
      </c>
      <c r="F200" s="115">
        <v>35.29</v>
      </c>
      <c r="G200" s="115">
        <v>0.73</v>
      </c>
      <c r="H200" s="115">
        <v>3.81</v>
      </c>
      <c r="I200" s="115">
        <v>0.18</v>
      </c>
      <c r="J200" s="116">
        <v>39997</v>
      </c>
      <c r="K200" s="132" t="s">
        <v>463</v>
      </c>
      <c r="L200" s="111">
        <f t="shared" si="3"/>
        <v>0.10796259563615755</v>
      </c>
    </row>
    <row r="201" spans="1:12" ht="17" customHeight="1" x14ac:dyDescent="0.2">
      <c r="A201" s="115" t="s">
        <v>936</v>
      </c>
      <c r="B201" s="115" t="s">
        <v>937</v>
      </c>
      <c r="C201" s="115">
        <v>4138.13</v>
      </c>
      <c r="D201" s="115">
        <v>0.1</v>
      </c>
      <c r="E201" s="115">
        <v>29.89</v>
      </c>
      <c r="F201" s="115">
        <v>10.8</v>
      </c>
      <c r="G201" s="115">
        <v>0.34</v>
      </c>
      <c r="H201" s="115">
        <v>1.34</v>
      </c>
      <c r="I201" s="115">
        <v>0.19</v>
      </c>
      <c r="J201" s="116">
        <v>38721</v>
      </c>
      <c r="K201" s="132" t="s">
        <v>463</v>
      </c>
      <c r="L201" s="111">
        <f t="shared" si="3"/>
        <v>0.12407407407407407</v>
      </c>
    </row>
    <row r="202" spans="1:12" ht="17" customHeight="1" x14ac:dyDescent="0.2">
      <c r="A202" s="115" t="s">
        <v>938</v>
      </c>
      <c r="B202" s="115" t="s">
        <v>939</v>
      </c>
      <c r="C202" s="115">
        <v>6656.32</v>
      </c>
      <c r="D202" s="115">
        <v>0.73</v>
      </c>
      <c r="E202" s="115">
        <v>0.72</v>
      </c>
      <c r="F202" s="115">
        <v>16.670000000000002</v>
      </c>
      <c r="G202" s="115">
        <v>0.95</v>
      </c>
      <c r="H202" s="115">
        <v>1.32</v>
      </c>
      <c r="I202" s="115">
        <v>0.19</v>
      </c>
      <c r="J202" s="116">
        <v>43483</v>
      </c>
      <c r="K202" s="132" t="s">
        <v>463</v>
      </c>
      <c r="L202" s="111">
        <f t="shared" si="3"/>
        <v>7.9184163167366525E-2</v>
      </c>
    </row>
    <row r="203" spans="1:12" ht="17" customHeight="1" x14ac:dyDescent="0.2">
      <c r="A203" s="115" t="s">
        <v>585</v>
      </c>
      <c r="B203" s="115" t="s">
        <v>586</v>
      </c>
      <c r="C203" s="115">
        <v>2278.5500000000002</v>
      </c>
      <c r="D203" s="115">
        <v>-1.19</v>
      </c>
      <c r="E203" s="115">
        <v>7.88</v>
      </c>
      <c r="F203" s="115">
        <v>19.18</v>
      </c>
      <c r="G203" s="115">
        <v>0.02</v>
      </c>
      <c r="H203" s="115">
        <v>1.86</v>
      </c>
      <c r="I203" s="115">
        <v>0.19</v>
      </c>
      <c r="J203" s="116">
        <v>36529</v>
      </c>
      <c r="K203" s="132" t="s">
        <v>463</v>
      </c>
      <c r="L203" s="111">
        <f t="shared" si="3"/>
        <v>9.6976016684045888E-2</v>
      </c>
    </row>
    <row r="204" spans="1:12" ht="17" customHeight="1" x14ac:dyDescent="0.2">
      <c r="A204" s="115" t="s">
        <v>940</v>
      </c>
      <c r="B204" s="115" t="s">
        <v>941</v>
      </c>
      <c r="C204" s="115">
        <v>6390.59</v>
      </c>
      <c r="D204" s="115">
        <v>-0.34</v>
      </c>
      <c r="E204" s="115">
        <v>25.4</v>
      </c>
      <c r="F204" s="115">
        <v>8.27</v>
      </c>
      <c r="G204" s="115">
        <v>0.59</v>
      </c>
      <c r="H204" s="115">
        <v>1.03</v>
      </c>
      <c r="I204" s="115">
        <v>0.19</v>
      </c>
      <c r="J204" s="116">
        <v>41403</v>
      </c>
      <c r="K204" s="132" t="s">
        <v>463</v>
      </c>
      <c r="L204" s="111">
        <f t="shared" si="3"/>
        <v>0.12454655380894801</v>
      </c>
    </row>
    <row r="205" spans="1:12" ht="17" customHeight="1" x14ac:dyDescent="0.2">
      <c r="A205" s="115" t="s">
        <v>942</v>
      </c>
      <c r="B205" s="115" t="s">
        <v>943</v>
      </c>
      <c r="C205" s="115">
        <v>2389.0100000000002</v>
      </c>
      <c r="D205" s="115">
        <v>-0.92</v>
      </c>
      <c r="E205" s="115">
        <v>34.64</v>
      </c>
      <c r="F205" s="115">
        <v>22.92</v>
      </c>
      <c r="G205" s="115">
        <v>0.43</v>
      </c>
      <c r="H205" s="115">
        <v>2.82</v>
      </c>
      <c r="I205" s="115">
        <v>0.19</v>
      </c>
      <c r="J205" s="116">
        <v>42160</v>
      </c>
      <c r="K205" s="132" t="s">
        <v>463</v>
      </c>
      <c r="L205" s="111">
        <f t="shared" si="3"/>
        <v>0.12303664921465966</v>
      </c>
    </row>
    <row r="206" spans="1:12" ht="17" customHeight="1" x14ac:dyDescent="0.2">
      <c r="A206" s="115" t="s">
        <v>944</v>
      </c>
      <c r="B206" s="115" t="s">
        <v>945</v>
      </c>
      <c r="C206" s="115">
        <v>1399.34</v>
      </c>
      <c r="D206" s="115">
        <v>0.59</v>
      </c>
      <c r="E206" s="115">
        <v>22.8</v>
      </c>
      <c r="F206" s="115">
        <v>30.87</v>
      </c>
      <c r="G206" s="115">
        <v>0.34</v>
      </c>
      <c r="H206" s="115">
        <v>2.2400000000000002</v>
      </c>
      <c r="I206" s="115">
        <v>0.19</v>
      </c>
      <c r="J206" s="116">
        <v>42166</v>
      </c>
      <c r="K206" s="132" t="s">
        <v>463</v>
      </c>
      <c r="L206" s="111">
        <f t="shared" si="3"/>
        <v>7.2562358276643993E-2</v>
      </c>
    </row>
    <row r="207" spans="1:12" ht="17" customHeight="1" x14ac:dyDescent="0.2">
      <c r="A207" s="115" t="s">
        <v>946</v>
      </c>
      <c r="B207" s="115" t="s">
        <v>947</v>
      </c>
      <c r="C207" s="115">
        <v>2553.79</v>
      </c>
      <c r="D207" s="115">
        <v>0.23</v>
      </c>
      <c r="E207" s="115">
        <v>21.39</v>
      </c>
      <c r="F207" s="115">
        <v>28.31</v>
      </c>
      <c r="G207" s="115">
        <v>0.26</v>
      </c>
      <c r="H207" s="115">
        <v>1.9</v>
      </c>
      <c r="I207" s="115">
        <v>0.19</v>
      </c>
      <c r="J207" s="116">
        <v>42725</v>
      </c>
      <c r="K207" s="132" t="s">
        <v>463</v>
      </c>
      <c r="L207" s="111">
        <f t="shared" si="3"/>
        <v>6.7114093959731544E-2</v>
      </c>
    </row>
    <row r="208" spans="1:12" ht="17" customHeight="1" x14ac:dyDescent="0.2">
      <c r="A208" s="115" t="s">
        <v>948</v>
      </c>
      <c r="B208" s="115" t="s">
        <v>949</v>
      </c>
      <c r="C208" s="115">
        <v>1449.89</v>
      </c>
      <c r="D208" s="115">
        <v>-0.36</v>
      </c>
      <c r="E208" s="115">
        <v>21.57</v>
      </c>
      <c r="F208" s="115">
        <v>9.86</v>
      </c>
      <c r="G208" s="115">
        <v>0.2</v>
      </c>
      <c r="H208" s="115">
        <v>1.33</v>
      </c>
      <c r="I208" s="115">
        <v>0.19</v>
      </c>
      <c r="J208" s="116">
        <v>40030</v>
      </c>
      <c r="K208" s="132" t="s">
        <v>463</v>
      </c>
      <c r="L208" s="111">
        <f t="shared" si="3"/>
        <v>0.13488843813387424</v>
      </c>
    </row>
    <row r="209" spans="1:12" ht="17" customHeight="1" x14ac:dyDescent="0.2">
      <c r="A209" s="115" t="s">
        <v>950</v>
      </c>
      <c r="B209" s="115" t="s">
        <v>951</v>
      </c>
      <c r="C209" s="115">
        <v>2476.96</v>
      </c>
      <c r="D209" s="115">
        <v>0.6</v>
      </c>
      <c r="E209" s="115">
        <v>38.409999999999997</v>
      </c>
      <c r="F209" s="115">
        <v>25.64</v>
      </c>
      <c r="G209" s="115">
        <v>0.16</v>
      </c>
      <c r="H209" s="115">
        <v>3.19</v>
      </c>
      <c r="I209" s="115">
        <v>0.19</v>
      </c>
      <c r="J209" s="116">
        <v>41899</v>
      </c>
      <c r="K209" s="132" t="s">
        <v>463</v>
      </c>
      <c r="L209" s="111">
        <f t="shared" si="3"/>
        <v>0.12441497659906396</v>
      </c>
    </row>
    <row r="210" spans="1:12" ht="17" customHeight="1" x14ac:dyDescent="0.2">
      <c r="A210" s="115" t="s">
        <v>952</v>
      </c>
      <c r="B210" s="115" t="s">
        <v>953</v>
      </c>
      <c r="C210" s="115">
        <v>2637.06</v>
      </c>
      <c r="D210" s="115">
        <v>-2.0099999999999998</v>
      </c>
      <c r="E210" s="115">
        <v>15.55</v>
      </c>
      <c r="F210" s="115">
        <v>39.619999999999997</v>
      </c>
      <c r="G210" s="115">
        <v>0.52</v>
      </c>
      <c r="H210" s="115">
        <v>2.0699999999999998</v>
      </c>
      <c r="I210" s="115">
        <v>0.19</v>
      </c>
      <c r="J210" s="116">
        <v>42219</v>
      </c>
      <c r="K210" s="132" t="s">
        <v>463</v>
      </c>
      <c r="L210" s="111">
        <f t="shared" si="3"/>
        <v>5.2246340232205958E-2</v>
      </c>
    </row>
    <row r="211" spans="1:12" ht="17" customHeight="1" x14ac:dyDescent="0.2">
      <c r="A211" s="115" t="s">
        <v>954</v>
      </c>
      <c r="B211" s="115" t="s">
        <v>955</v>
      </c>
      <c r="C211" s="115">
        <v>1229.06</v>
      </c>
      <c r="D211" s="115">
        <v>0.5</v>
      </c>
      <c r="E211" s="115">
        <v>8.74</v>
      </c>
      <c r="F211" s="115">
        <v>76.05</v>
      </c>
      <c r="G211" s="115">
        <v>0.95</v>
      </c>
      <c r="H211" s="115">
        <v>2.0499999999999998</v>
      </c>
      <c r="I211" s="115">
        <v>0.19</v>
      </c>
      <c r="J211" s="116">
        <v>42451</v>
      </c>
      <c r="K211" s="132" t="s">
        <v>463</v>
      </c>
      <c r="L211" s="111">
        <f t="shared" si="3"/>
        <v>2.695595003287311E-2</v>
      </c>
    </row>
    <row r="212" spans="1:12" ht="17" customHeight="1" x14ac:dyDescent="0.2">
      <c r="A212" s="115" t="s">
        <v>956</v>
      </c>
      <c r="B212" s="115" t="s">
        <v>957</v>
      </c>
      <c r="C212" s="115">
        <v>3278.77</v>
      </c>
      <c r="D212" s="115">
        <v>-2.02</v>
      </c>
      <c r="E212" s="115">
        <v>2.2200000000000002</v>
      </c>
      <c r="F212" s="115">
        <v>848.26</v>
      </c>
      <c r="G212" s="115">
        <v>0.94</v>
      </c>
      <c r="H212" s="115">
        <v>2.42</v>
      </c>
      <c r="I212" s="115">
        <v>0.2</v>
      </c>
      <c r="J212" s="116">
        <v>42160</v>
      </c>
      <c r="K212" s="132" t="s">
        <v>463</v>
      </c>
      <c r="L212" s="111">
        <f t="shared" si="3"/>
        <v>2.8528988753448235E-3</v>
      </c>
    </row>
    <row r="213" spans="1:12" ht="17" customHeight="1" x14ac:dyDescent="0.2">
      <c r="A213" s="115" t="s">
        <v>958</v>
      </c>
      <c r="B213" s="115" t="s">
        <v>959</v>
      </c>
      <c r="C213" s="115">
        <v>1816.22</v>
      </c>
      <c r="D213" s="115">
        <v>-1.45</v>
      </c>
      <c r="E213" s="115">
        <v>14.07</v>
      </c>
      <c r="F213" s="115">
        <v>14.22</v>
      </c>
      <c r="G213" s="115">
        <v>0.74</v>
      </c>
      <c r="H213" s="115">
        <v>1.58</v>
      </c>
      <c r="I213" s="115">
        <v>0.2</v>
      </c>
      <c r="J213" s="116">
        <v>43179</v>
      </c>
      <c r="K213" s="132" t="s">
        <v>463</v>
      </c>
      <c r="L213" s="111">
        <f t="shared" si="3"/>
        <v>0.1111111111111111</v>
      </c>
    </row>
    <row r="214" spans="1:12" ht="17" customHeight="1" x14ac:dyDescent="0.2">
      <c r="A214" s="115" t="s">
        <v>557</v>
      </c>
      <c r="B214" s="115" t="s">
        <v>558</v>
      </c>
      <c r="C214" s="115">
        <v>1371.97</v>
      </c>
      <c r="D214" s="115">
        <v>-0.35</v>
      </c>
      <c r="E214" s="115">
        <v>26.93</v>
      </c>
      <c r="F214" s="115">
        <v>27.83</v>
      </c>
      <c r="G214" s="115">
        <v>0.26</v>
      </c>
      <c r="H214" s="115">
        <v>1.56</v>
      </c>
      <c r="I214" s="115">
        <v>0.21</v>
      </c>
      <c r="J214" s="116">
        <v>36529</v>
      </c>
      <c r="K214" s="132" t="s">
        <v>463</v>
      </c>
      <c r="L214" s="111">
        <f t="shared" si="3"/>
        <v>5.6054617319439462E-2</v>
      </c>
    </row>
    <row r="215" spans="1:12" ht="17" customHeight="1" x14ac:dyDescent="0.2">
      <c r="A215" s="115" t="s">
        <v>644</v>
      </c>
      <c r="B215" s="115" t="s">
        <v>645</v>
      </c>
      <c r="C215" s="115">
        <v>3336.77</v>
      </c>
      <c r="D215" s="115">
        <v>-0.32</v>
      </c>
      <c r="E215" s="115">
        <v>-2.37</v>
      </c>
      <c r="F215" s="115">
        <v>6.71</v>
      </c>
      <c r="G215" s="115">
        <v>0.19</v>
      </c>
      <c r="H215" s="115">
        <v>1.03</v>
      </c>
      <c r="I215" s="115">
        <v>0.21</v>
      </c>
      <c r="J215" s="116">
        <v>40826</v>
      </c>
      <c r="K215" s="132" t="s">
        <v>463</v>
      </c>
      <c r="L215" s="111">
        <f t="shared" si="3"/>
        <v>0.15350223546944858</v>
      </c>
    </row>
    <row r="216" spans="1:12" ht="17" customHeight="1" x14ac:dyDescent="0.2">
      <c r="A216" s="115" t="s">
        <v>960</v>
      </c>
      <c r="B216" s="115" t="s">
        <v>961</v>
      </c>
      <c r="C216" s="115">
        <v>2694.92</v>
      </c>
      <c r="D216" s="115">
        <v>0.35</v>
      </c>
      <c r="E216" s="115">
        <v>42.04</v>
      </c>
      <c r="F216" s="115">
        <v>45.29</v>
      </c>
      <c r="G216" s="115">
        <v>0.26</v>
      </c>
      <c r="H216" s="115">
        <v>3.97</v>
      </c>
      <c r="I216" s="115">
        <v>0.21</v>
      </c>
      <c r="J216" s="116">
        <v>42216</v>
      </c>
      <c r="K216" s="132" t="s">
        <v>463</v>
      </c>
      <c r="L216" s="111">
        <f t="shared" si="3"/>
        <v>8.7657319496577624E-2</v>
      </c>
    </row>
    <row r="217" spans="1:12" ht="17" customHeight="1" x14ac:dyDescent="0.2">
      <c r="A217" s="115" t="s">
        <v>962</v>
      </c>
      <c r="B217" s="115" t="s">
        <v>963</v>
      </c>
      <c r="C217" s="115">
        <v>4690.66</v>
      </c>
      <c r="D217" s="115">
        <v>0.19</v>
      </c>
      <c r="E217" s="115">
        <v>32.46</v>
      </c>
      <c r="F217" s="115">
        <v>10.65</v>
      </c>
      <c r="G217" s="115">
        <v>0.34</v>
      </c>
      <c r="H217" s="115">
        <v>1.34</v>
      </c>
      <c r="I217" s="115">
        <v>0.22</v>
      </c>
      <c r="J217" s="116">
        <v>38356</v>
      </c>
      <c r="K217" s="132" t="s">
        <v>463</v>
      </c>
      <c r="L217" s="111">
        <f t="shared" si="3"/>
        <v>0.12582159624413145</v>
      </c>
    </row>
    <row r="218" spans="1:12" ht="17" customHeight="1" x14ac:dyDescent="0.2">
      <c r="A218" s="115" t="s">
        <v>964</v>
      </c>
      <c r="B218" s="115" t="s">
        <v>965</v>
      </c>
      <c r="C218" s="115">
        <v>4523.5</v>
      </c>
      <c r="D218" s="115">
        <v>-0.22</v>
      </c>
      <c r="E218" s="115">
        <v>17.25</v>
      </c>
      <c r="F218" s="115">
        <v>17.93</v>
      </c>
      <c r="G218" s="115">
        <v>0.09</v>
      </c>
      <c r="H218" s="115">
        <v>1.85</v>
      </c>
      <c r="I218" s="115">
        <v>0.22</v>
      </c>
      <c r="J218" s="116">
        <v>40511</v>
      </c>
      <c r="K218" s="132" t="s">
        <v>463</v>
      </c>
      <c r="L218" s="111">
        <f t="shared" si="3"/>
        <v>0.10317902955939766</v>
      </c>
    </row>
    <row r="219" spans="1:12" ht="17" customHeight="1" x14ac:dyDescent="0.2">
      <c r="A219" s="115" t="s">
        <v>660</v>
      </c>
      <c r="B219" s="115" t="s">
        <v>661</v>
      </c>
      <c r="C219" s="115">
        <v>682.34</v>
      </c>
      <c r="D219" s="115">
        <v>-0.78</v>
      </c>
      <c r="E219" s="115">
        <v>-14.27</v>
      </c>
      <c r="F219" s="115">
        <v>900.58</v>
      </c>
      <c r="G219" s="115">
        <v>1</v>
      </c>
      <c r="H219" s="115">
        <v>3.53</v>
      </c>
      <c r="I219" s="115">
        <v>0.22</v>
      </c>
      <c r="J219" s="116">
        <v>36529</v>
      </c>
      <c r="K219" s="132" t="s">
        <v>463</v>
      </c>
      <c r="L219" s="111">
        <f t="shared" si="3"/>
        <v>3.919696195784938E-3</v>
      </c>
    </row>
    <row r="220" spans="1:12" ht="17" customHeight="1" x14ac:dyDescent="0.2">
      <c r="A220" s="115" t="s">
        <v>966</v>
      </c>
      <c r="B220" s="115" t="s">
        <v>53</v>
      </c>
      <c r="C220" s="115">
        <v>9855.35</v>
      </c>
      <c r="D220" s="115">
        <v>0.56000000000000005</v>
      </c>
      <c r="E220" s="115">
        <v>32.61</v>
      </c>
      <c r="F220" s="115">
        <v>37.5</v>
      </c>
      <c r="G220" s="115">
        <v>0.56000000000000005</v>
      </c>
      <c r="H220" s="115">
        <v>3.77</v>
      </c>
      <c r="I220" s="115">
        <v>0.22</v>
      </c>
      <c r="J220" s="116">
        <v>40757</v>
      </c>
      <c r="K220" s="132" t="s">
        <v>463</v>
      </c>
      <c r="L220" s="111">
        <f t="shared" si="3"/>
        <v>0.10053333333333334</v>
      </c>
    </row>
    <row r="221" spans="1:12" ht="17" customHeight="1" x14ac:dyDescent="0.2">
      <c r="A221" s="115" t="s">
        <v>967</v>
      </c>
      <c r="B221" s="115" t="s">
        <v>968</v>
      </c>
      <c r="C221" s="115">
        <v>6988.21</v>
      </c>
      <c r="D221" s="115">
        <v>-0.28000000000000003</v>
      </c>
      <c r="E221" s="115">
        <v>28.65</v>
      </c>
      <c r="F221" s="115">
        <v>13.53</v>
      </c>
      <c r="G221" s="115">
        <v>0</v>
      </c>
      <c r="H221" s="115">
        <v>2.41</v>
      </c>
      <c r="I221" s="115">
        <v>0.23</v>
      </c>
      <c r="J221" s="116">
        <v>42226</v>
      </c>
      <c r="K221" s="132" t="s">
        <v>463</v>
      </c>
      <c r="L221" s="111">
        <f t="shared" si="3"/>
        <v>0.17812269031781228</v>
      </c>
    </row>
    <row r="222" spans="1:12" ht="17" customHeight="1" x14ac:dyDescent="0.2">
      <c r="A222" s="115" t="s">
        <v>969</v>
      </c>
      <c r="B222" s="115" t="s">
        <v>970</v>
      </c>
      <c r="C222" s="115">
        <v>4227.8900000000003</v>
      </c>
      <c r="D222" s="115">
        <v>-1.96</v>
      </c>
      <c r="E222" s="115">
        <v>2.48</v>
      </c>
      <c r="F222" s="115">
        <v>31.75</v>
      </c>
      <c r="G222" s="115">
        <v>0.23</v>
      </c>
      <c r="H222" s="115">
        <v>2.5499999999999998</v>
      </c>
      <c r="I222" s="115">
        <v>0.23</v>
      </c>
      <c r="J222" s="116">
        <v>42065</v>
      </c>
      <c r="K222" s="132" t="s">
        <v>463</v>
      </c>
      <c r="L222" s="111">
        <f t="shared" si="3"/>
        <v>8.0314960629921259E-2</v>
      </c>
    </row>
    <row r="223" spans="1:12" ht="17" customHeight="1" x14ac:dyDescent="0.2">
      <c r="A223" s="115" t="s">
        <v>971</v>
      </c>
      <c r="B223" s="115" t="s">
        <v>156</v>
      </c>
      <c r="C223" s="115">
        <v>1479.5</v>
      </c>
      <c r="D223" s="115">
        <v>0.22</v>
      </c>
      <c r="E223" s="115">
        <v>23.94</v>
      </c>
      <c r="F223" s="115">
        <v>10.23</v>
      </c>
      <c r="G223" s="115">
        <v>0.19</v>
      </c>
      <c r="H223" s="115">
        <v>1.32</v>
      </c>
      <c r="I223" s="115">
        <v>0.23</v>
      </c>
      <c r="J223" s="116">
        <v>41858</v>
      </c>
      <c r="K223" s="132" t="s">
        <v>463</v>
      </c>
      <c r="L223" s="111">
        <f t="shared" si="3"/>
        <v>0.12903225806451613</v>
      </c>
    </row>
    <row r="224" spans="1:12" ht="17" customHeight="1" x14ac:dyDescent="0.2">
      <c r="A224" s="115" t="s">
        <v>972</v>
      </c>
      <c r="B224" s="115" t="s">
        <v>973</v>
      </c>
      <c r="C224" s="115">
        <v>5612.63</v>
      </c>
      <c r="D224" s="115">
        <v>0.13</v>
      </c>
      <c r="E224" s="115">
        <v>25.93</v>
      </c>
      <c r="F224" s="115">
        <v>25.13</v>
      </c>
      <c r="G224" s="115">
        <v>0.71</v>
      </c>
      <c r="H224" s="115">
        <v>1.56</v>
      </c>
      <c r="I224" s="115">
        <v>0.23</v>
      </c>
      <c r="J224" s="116">
        <v>42110</v>
      </c>
      <c r="K224" s="132" t="s">
        <v>463</v>
      </c>
      <c r="L224" s="111">
        <f t="shared" si="3"/>
        <v>6.2077198567449268E-2</v>
      </c>
    </row>
    <row r="225" spans="1:12" ht="17" customHeight="1" x14ac:dyDescent="0.2">
      <c r="A225" s="115" t="s">
        <v>477</v>
      </c>
      <c r="B225" s="115" t="s">
        <v>478</v>
      </c>
      <c r="C225" s="115">
        <v>7859.91</v>
      </c>
      <c r="D225" s="115">
        <v>0.56000000000000005</v>
      </c>
      <c r="E225" s="115">
        <v>34.57</v>
      </c>
      <c r="F225" s="115">
        <v>35.67</v>
      </c>
      <c r="G225" s="115">
        <v>0.32</v>
      </c>
      <c r="H225" s="115">
        <v>3.38</v>
      </c>
      <c r="I225" s="115">
        <v>0.25</v>
      </c>
      <c r="J225" s="116">
        <v>36529</v>
      </c>
      <c r="K225" s="132" t="s">
        <v>463</v>
      </c>
      <c r="L225" s="111">
        <f t="shared" si="3"/>
        <v>9.475749929913091E-2</v>
      </c>
    </row>
    <row r="226" spans="1:12" ht="17" customHeight="1" x14ac:dyDescent="0.2">
      <c r="A226" s="115" t="s">
        <v>543</v>
      </c>
      <c r="B226" s="115" t="s">
        <v>544</v>
      </c>
      <c r="C226" s="115">
        <v>2018.62</v>
      </c>
      <c r="D226" s="115">
        <v>0.11</v>
      </c>
      <c r="E226" s="115">
        <v>10.23</v>
      </c>
      <c r="F226" s="115">
        <v>34.28</v>
      </c>
      <c r="G226" s="115">
        <v>0.27</v>
      </c>
      <c r="H226" s="115">
        <v>2.76</v>
      </c>
      <c r="I226" s="115">
        <v>0.25</v>
      </c>
      <c r="J226" s="116">
        <v>36529</v>
      </c>
      <c r="K226" s="132" t="s">
        <v>463</v>
      </c>
      <c r="L226" s="111">
        <f t="shared" si="3"/>
        <v>8.0513418903150516E-2</v>
      </c>
    </row>
    <row r="227" spans="1:12" ht="17" customHeight="1" x14ac:dyDescent="0.2">
      <c r="A227" s="115" t="s">
        <v>595</v>
      </c>
      <c r="B227" s="115" t="s">
        <v>596</v>
      </c>
      <c r="C227" s="115">
        <v>1150.27</v>
      </c>
      <c r="D227" s="115">
        <v>-0.6</v>
      </c>
      <c r="E227" s="115">
        <v>-0.19</v>
      </c>
      <c r="F227" s="115">
        <v>316.79000000000002</v>
      </c>
      <c r="G227" s="115">
        <v>0.89</v>
      </c>
      <c r="H227" s="115">
        <v>2.39</v>
      </c>
      <c r="I227" s="115">
        <v>0.25</v>
      </c>
      <c r="J227" s="116">
        <v>36529</v>
      </c>
      <c r="K227" s="132" t="s">
        <v>463</v>
      </c>
      <c r="L227" s="111">
        <f t="shared" si="3"/>
        <v>7.5444300640803057E-3</v>
      </c>
    </row>
    <row r="228" spans="1:12" ht="17" customHeight="1" x14ac:dyDescent="0.2">
      <c r="A228" s="115" t="s">
        <v>974</v>
      </c>
      <c r="B228" s="115" t="s">
        <v>975</v>
      </c>
      <c r="C228" s="115">
        <v>5070.83</v>
      </c>
      <c r="D228" s="115">
        <v>-0.51</v>
      </c>
      <c r="E228" s="115">
        <v>7.0000000000000007E-2</v>
      </c>
      <c r="F228" s="115">
        <v>8.01</v>
      </c>
      <c r="G228" s="115">
        <v>0.1</v>
      </c>
      <c r="H228" s="115">
        <v>1.4</v>
      </c>
      <c r="I228" s="115">
        <v>0.25</v>
      </c>
      <c r="J228" s="116">
        <v>43179</v>
      </c>
      <c r="K228" s="132" t="s">
        <v>463</v>
      </c>
      <c r="L228" s="111">
        <f t="shared" si="3"/>
        <v>0.17478152309612982</v>
      </c>
    </row>
    <row r="229" spans="1:12" ht="17" customHeight="1" x14ac:dyDescent="0.2">
      <c r="A229" s="115" t="s">
        <v>976</v>
      </c>
      <c r="B229" s="115" t="s">
        <v>977</v>
      </c>
      <c r="C229" s="115">
        <v>1537.74</v>
      </c>
      <c r="D229" s="115">
        <v>-2.09</v>
      </c>
      <c r="E229" s="115">
        <v>1.25</v>
      </c>
      <c r="F229" s="115">
        <v>16.940000000000001</v>
      </c>
      <c r="G229" s="115">
        <v>0.25</v>
      </c>
      <c r="H229" s="115">
        <v>1.51</v>
      </c>
      <c r="I229" s="115">
        <v>0.25</v>
      </c>
      <c r="J229" s="116">
        <v>41470</v>
      </c>
      <c r="K229" s="132" t="s">
        <v>463</v>
      </c>
      <c r="L229" s="111">
        <f t="shared" si="3"/>
        <v>8.9138134592680038E-2</v>
      </c>
    </row>
    <row r="230" spans="1:12" ht="17" customHeight="1" x14ac:dyDescent="0.2">
      <c r="A230" s="115" t="s">
        <v>978</v>
      </c>
      <c r="B230" s="115" t="s">
        <v>979</v>
      </c>
      <c r="C230" s="115">
        <v>947.53</v>
      </c>
      <c r="D230" s="115">
        <v>-0.01</v>
      </c>
      <c r="E230" s="115">
        <v>28.99</v>
      </c>
      <c r="F230" s="115">
        <v>15.5</v>
      </c>
      <c r="G230" s="115">
        <v>0.23</v>
      </c>
      <c r="H230" s="115">
        <v>1.88</v>
      </c>
      <c r="I230" s="115">
        <v>0.25</v>
      </c>
      <c r="J230" s="116">
        <v>42037</v>
      </c>
      <c r="K230" s="132" t="s">
        <v>463</v>
      </c>
      <c r="L230" s="111">
        <f t="shared" si="3"/>
        <v>0.12129032258064515</v>
      </c>
    </row>
    <row r="231" spans="1:12" ht="17" customHeight="1" x14ac:dyDescent="0.2">
      <c r="A231" s="115" t="s">
        <v>980</v>
      </c>
      <c r="B231" s="115" t="s">
        <v>981</v>
      </c>
      <c r="C231" s="115">
        <v>2817.25</v>
      </c>
      <c r="D231" s="115">
        <v>7.0000000000000007E-2</v>
      </c>
      <c r="E231" s="115">
        <v>5.3</v>
      </c>
      <c r="F231" s="115">
        <v>9.8000000000000007</v>
      </c>
      <c r="G231" s="115">
        <v>0.26</v>
      </c>
      <c r="H231" s="115">
        <v>0.93</v>
      </c>
      <c r="I231" s="115">
        <v>0.25</v>
      </c>
      <c r="J231" s="116">
        <v>43495</v>
      </c>
      <c r="K231" s="132" t="s">
        <v>463</v>
      </c>
      <c r="L231" s="111">
        <f t="shared" si="3"/>
        <v>9.4897959183673469E-2</v>
      </c>
    </row>
    <row r="232" spans="1:12" ht="17" customHeight="1" x14ac:dyDescent="0.2">
      <c r="A232" s="115" t="s">
        <v>589</v>
      </c>
      <c r="B232" s="115" t="s">
        <v>590</v>
      </c>
      <c r="C232" s="115">
        <v>1835.18</v>
      </c>
      <c r="D232" s="115">
        <v>-0.39</v>
      </c>
      <c r="E232" s="115">
        <v>23.13</v>
      </c>
      <c r="F232" s="115">
        <v>32.130000000000003</v>
      </c>
      <c r="G232" s="115">
        <v>0.12</v>
      </c>
      <c r="H232" s="115">
        <v>2.81</v>
      </c>
      <c r="I232" s="115">
        <v>0.26</v>
      </c>
      <c r="J232" s="116">
        <v>36529</v>
      </c>
      <c r="K232" s="132" t="s">
        <v>463</v>
      </c>
      <c r="L232" s="111">
        <f t="shared" si="3"/>
        <v>8.7457205104263927E-2</v>
      </c>
    </row>
    <row r="233" spans="1:12" ht="17" customHeight="1" x14ac:dyDescent="0.2">
      <c r="A233" s="115" t="s">
        <v>690</v>
      </c>
      <c r="B233" s="115" t="s">
        <v>691</v>
      </c>
      <c r="C233" s="115">
        <v>2994.31</v>
      </c>
      <c r="D233" s="115">
        <v>1.0900000000000001</v>
      </c>
      <c r="E233" s="115">
        <v>23.96</v>
      </c>
      <c r="F233" s="115">
        <v>20.55</v>
      </c>
      <c r="G233" s="115">
        <v>0.03</v>
      </c>
      <c r="H233" s="115">
        <v>2.08</v>
      </c>
      <c r="I233" s="115">
        <v>0.26</v>
      </c>
      <c r="J233" s="116">
        <v>36529</v>
      </c>
      <c r="K233" s="132" t="s">
        <v>463</v>
      </c>
      <c r="L233" s="111">
        <f t="shared" si="3"/>
        <v>0.10121654501216545</v>
      </c>
    </row>
    <row r="234" spans="1:12" ht="17" customHeight="1" x14ac:dyDescent="0.2">
      <c r="A234" s="115" t="s">
        <v>982</v>
      </c>
      <c r="B234" s="115" t="s">
        <v>983</v>
      </c>
      <c r="C234" s="115">
        <v>2417.87</v>
      </c>
      <c r="D234" s="115">
        <v>-0.01</v>
      </c>
      <c r="E234" s="115">
        <v>20.239999999999998</v>
      </c>
      <c r="F234" s="115">
        <v>10.82</v>
      </c>
      <c r="G234" s="115">
        <v>0.37</v>
      </c>
      <c r="H234" s="115">
        <v>1.35</v>
      </c>
      <c r="I234" s="115">
        <v>0.27</v>
      </c>
      <c r="J234" s="116">
        <v>39926</v>
      </c>
      <c r="K234" s="132" t="s">
        <v>463</v>
      </c>
      <c r="L234" s="111">
        <f t="shared" si="3"/>
        <v>0.12476894639556378</v>
      </c>
    </row>
    <row r="235" spans="1:12" ht="17" customHeight="1" x14ac:dyDescent="0.2">
      <c r="A235" s="115" t="s">
        <v>984</v>
      </c>
      <c r="B235" s="115" t="s">
        <v>985</v>
      </c>
      <c r="C235" s="115">
        <v>3477.64</v>
      </c>
      <c r="D235" s="115">
        <v>0.18</v>
      </c>
      <c r="E235" s="115">
        <v>16.38</v>
      </c>
      <c r="F235" s="115">
        <v>17.34</v>
      </c>
      <c r="G235" s="115">
        <v>0.42</v>
      </c>
      <c r="H235" s="115">
        <v>1.61</v>
      </c>
      <c r="I235" s="115">
        <v>0.27</v>
      </c>
      <c r="J235" s="116">
        <v>39997</v>
      </c>
      <c r="K235" s="132" t="s">
        <v>463</v>
      </c>
      <c r="L235" s="111">
        <f t="shared" si="3"/>
        <v>9.2848904267589391E-2</v>
      </c>
    </row>
    <row r="236" spans="1:12" ht="17" customHeight="1" x14ac:dyDescent="0.2">
      <c r="A236" s="115" t="s">
        <v>625</v>
      </c>
      <c r="B236" s="115" t="s">
        <v>626</v>
      </c>
      <c r="C236" s="115" t="s">
        <v>627</v>
      </c>
      <c r="D236" s="115" t="s">
        <v>627</v>
      </c>
      <c r="E236" s="115" t="s">
        <v>627</v>
      </c>
      <c r="F236" s="115">
        <v>50.65</v>
      </c>
      <c r="G236" s="115">
        <v>0.76</v>
      </c>
      <c r="H236" s="115">
        <v>2.13</v>
      </c>
      <c r="I236" s="115">
        <v>0.27</v>
      </c>
      <c r="J236" s="116">
        <v>36529</v>
      </c>
      <c r="K236" s="132" t="s">
        <v>463</v>
      </c>
      <c r="L236" s="111">
        <f t="shared" si="3"/>
        <v>4.2053307008884502E-2</v>
      </c>
    </row>
    <row r="237" spans="1:12" ht="17" customHeight="1" x14ac:dyDescent="0.2">
      <c r="A237" s="115" t="s">
        <v>642</v>
      </c>
      <c r="B237" s="115" t="s">
        <v>643</v>
      </c>
      <c r="C237" s="115">
        <v>4965.83</v>
      </c>
      <c r="D237" s="115">
        <v>-0.08</v>
      </c>
      <c r="E237" s="115">
        <v>27.25</v>
      </c>
      <c r="F237" s="115">
        <v>25.99</v>
      </c>
      <c r="G237" s="115">
        <v>0.18</v>
      </c>
      <c r="H237" s="115">
        <v>2.44</v>
      </c>
      <c r="I237" s="115">
        <v>0.27</v>
      </c>
      <c r="J237" s="116">
        <v>36529</v>
      </c>
      <c r="K237" s="132" t="s">
        <v>463</v>
      </c>
      <c r="L237" s="111">
        <f t="shared" si="3"/>
        <v>9.3882262408618702E-2</v>
      </c>
    </row>
    <row r="238" spans="1:12" ht="17" customHeight="1" x14ac:dyDescent="0.2">
      <c r="A238" s="115" t="s">
        <v>986</v>
      </c>
      <c r="B238" s="115" t="s">
        <v>987</v>
      </c>
      <c r="C238" s="115">
        <v>3353.59</v>
      </c>
      <c r="D238" s="115">
        <v>0.48</v>
      </c>
      <c r="E238" s="115">
        <v>1.65</v>
      </c>
      <c r="F238" s="115">
        <v>16.63</v>
      </c>
      <c r="G238" s="115">
        <v>0.17</v>
      </c>
      <c r="H238" s="115">
        <v>2.2200000000000002</v>
      </c>
      <c r="I238" s="115">
        <v>0.27</v>
      </c>
      <c r="J238" s="116">
        <v>40326</v>
      </c>
      <c r="K238" s="132" t="s">
        <v>463</v>
      </c>
      <c r="L238" s="111">
        <f t="shared" si="3"/>
        <v>0.13349368610944079</v>
      </c>
    </row>
    <row r="239" spans="1:12" ht="17" customHeight="1" x14ac:dyDescent="0.2">
      <c r="A239" s="115" t="s">
        <v>541</v>
      </c>
      <c r="B239" s="115" t="s">
        <v>542</v>
      </c>
      <c r="C239" s="115">
        <v>2448.8200000000002</v>
      </c>
      <c r="D239" s="115">
        <v>0.89</v>
      </c>
      <c r="E239" s="115">
        <v>14.33</v>
      </c>
      <c r="F239" s="115">
        <v>38.71</v>
      </c>
      <c r="G239" s="115">
        <v>0.5</v>
      </c>
      <c r="H239" s="115">
        <v>1.39</v>
      </c>
      <c r="I239" s="115">
        <v>0.28000000000000003</v>
      </c>
      <c r="J239" s="116">
        <v>36529</v>
      </c>
      <c r="K239" s="132" t="s">
        <v>463</v>
      </c>
      <c r="L239" s="111">
        <f t="shared" si="3"/>
        <v>3.5908034099715831E-2</v>
      </c>
    </row>
    <row r="240" spans="1:12" ht="17" customHeight="1" x14ac:dyDescent="0.2">
      <c r="A240" s="115" t="s">
        <v>988</v>
      </c>
      <c r="B240" s="115" t="s">
        <v>989</v>
      </c>
      <c r="C240" s="115">
        <v>1682.73</v>
      </c>
      <c r="D240" s="115">
        <v>0.95</v>
      </c>
      <c r="E240" s="115">
        <v>37.93</v>
      </c>
      <c r="F240" s="115">
        <v>34.729999999999997</v>
      </c>
      <c r="G240" s="115">
        <v>0.17</v>
      </c>
      <c r="H240" s="115">
        <v>3.17</v>
      </c>
      <c r="I240" s="115">
        <v>0.28000000000000003</v>
      </c>
      <c r="J240" s="116">
        <v>41744</v>
      </c>
      <c r="K240" s="132" t="s">
        <v>463</v>
      </c>
      <c r="L240" s="111">
        <f t="shared" si="3"/>
        <v>9.1275554275842219E-2</v>
      </c>
    </row>
    <row r="241" spans="1:12" ht="17" customHeight="1" x14ac:dyDescent="0.2">
      <c r="A241" s="115" t="s">
        <v>565</v>
      </c>
      <c r="B241" s="115" t="s">
        <v>566</v>
      </c>
      <c r="C241" s="115">
        <v>11521.39</v>
      </c>
      <c r="D241" s="115">
        <v>-0.6</v>
      </c>
      <c r="E241" s="115">
        <v>19.27</v>
      </c>
      <c r="F241" s="115">
        <v>45.63</v>
      </c>
      <c r="G241" s="115">
        <v>0.03</v>
      </c>
      <c r="H241" s="115">
        <v>2.62</v>
      </c>
      <c r="I241" s="115">
        <v>0.28000000000000003</v>
      </c>
      <c r="J241" s="116">
        <v>36529</v>
      </c>
      <c r="K241" s="132" t="s">
        <v>463</v>
      </c>
      <c r="L241" s="111">
        <f t="shared" si="3"/>
        <v>5.7418365110672803E-2</v>
      </c>
    </row>
    <row r="242" spans="1:12" ht="17" customHeight="1" x14ac:dyDescent="0.2">
      <c r="A242" s="115" t="s">
        <v>990</v>
      </c>
      <c r="B242" s="115" t="s">
        <v>991</v>
      </c>
      <c r="C242" s="115">
        <v>5034.7</v>
      </c>
      <c r="D242" s="115">
        <v>0.72</v>
      </c>
      <c r="E242" s="115">
        <v>30.3</v>
      </c>
      <c r="F242" s="115">
        <v>36.85</v>
      </c>
      <c r="G242" s="115">
        <v>0.56000000000000005</v>
      </c>
      <c r="H242" s="115">
        <v>2.71</v>
      </c>
      <c r="I242" s="115">
        <v>0.28999999999999998</v>
      </c>
      <c r="J242" s="116">
        <v>42501</v>
      </c>
      <c r="K242" s="132" t="s">
        <v>463</v>
      </c>
      <c r="L242" s="111">
        <f t="shared" si="3"/>
        <v>7.3541383989145184E-2</v>
      </c>
    </row>
    <row r="243" spans="1:12" ht="17" customHeight="1" x14ac:dyDescent="0.2">
      <c r="A243" s="115" t="s">
        <v>992</v>
      </c>
      <c r="B243" s="115" t="s">
        <v>993</v>
      </c>
      <c r="C243" s="115">
        <v>2731.94</v>
      </c>
      <c r="D243" s="115">
        <v>0.34</v>
      </c>
      <c r="E243" s="115">
        <v>26.24</v>
      </c>
      <c r="F243" s="115">
        <v>10.58</v>
      </c>
      <c r="G243" s="115">
        <v>0.46</v>
      </c>
      <c r="H243" s="115">
        <v>1.33</v>
      </c>
      <c r="I243" s="115">
        <v>0.28999999999999998</v>
      </c>
      <c r="J243" s="116">
        <v>40514</v>
      </c>
      <c r="K243" s="132" t="s">
        <v>463</v>
      </c>
      <c r="L243" s="111">
        <f t="shared" si="3"/>
        <v>0.12570888468809074</v>
      </c>
    </row>
    <row r="244" spans="1:12" ht="17" customHeight="1" x14ac:dyDescent="0.2">
      <c r="A244" s="115" t="s">
        <v>994</v>
      </c>
      <c r="B244" s="115" t="s">
        <v>995</v>
      </c>
      <c r="C244" s="115">
        <v>4541.3999999999996</v>
      </c>
      <c r="D244" s="115">
        <v>-1.99</v>
      </c>
      <c r="E244" s="115">
        <v>12.43</v>
      </c>
      <c r="F244" s="115">
        <v>9.16</v>
      </c>
      <c r="G244" s="115">
        <v>0.31</v>
      </c>
      <c r="H244" s="115">
        <v>1.54</v>
      </c>
      <c r="I244" s="115">
        <v>0.28999999999999998</v>
      </c>
      <c r="J244" s="116">
        <v>43179</v>
      </c>
      <c r="K244" s="132" t="s">
        <v>463</v>
      </c>
      <c r="L244" s="111">
        <f t="shared" si="3"/>
        <v>0.16812227074235808</v>
      </c>
    </row>
    <row r="245" spans="1:12" ht="17" customHeight="1" x14ac:dyDescent="0.2">
      <c r="A245" s="115" t="s">
        <v>996</v>
      </c>
      <c r="B245" s="115" t="s">
        <v>997</v>
      </c>
      <c r="C245" s="115">
        <v>1612.18</v>
      </c>
      <c r="D245" s="115">
        <v>0.39</v>
      </c>
      <c r="E245" s="115">
        <v>16.77</v>
      </c>
      <c r="F245" s="115">
        <v>24.26</v>
      </c>
      <c r="G245" s="115">
        <v>0.25</v>
      </c>
      <c r="H245" s="115">
        <v>2.2999999999999998</v>
      </c>
      <c r="I245" s="115">
        <v>0.28999999999999998</v>
      </c>
      <c r="J245" s="116">
        <v>42383</v>
      </c>
      <c r="K245" s="132" t="s">
        <v>463</v>
      </c>
      <c r="L245" s="111">
        <f t="shared" si="3"/>
        <v>9.4806265457543268E-2</v>
      </c>
    </row>
    <row r="246" spans="1:12" ht="17" customHeight="1" x14ac:dyDescent="0.2">
      <c r="A246" s="115" t="s">
        <v>998</v>
      </c>
      <c r="B246" s="115" t="s">
        <v>999</v>
      </c>
      <c r="C246" s="115">
        <v>3499.68</v>
      </c>
      <c r="D246" s="115">
        <v>1.07</v>
      </c>
      <c r="E246" s="115">
        <v>12.96</v>
      </c>
      <c r="F246" s="115">
        <v>9.32</v>
      </c>
      <c r="G246" s="115">
        <v>0.54</v>
      </c>
      <c r="H246" s="115">
        <v>1.02</v>
      </c>
      <c r="I246" s="115">
        <v>0.28999999999999998</v>
      </c>
      <c r="J246" s="116">
        <v>43214</v>
      </c>
      <c r="K246" s="132" t="s">
        <v>463</v>
      </c>
      <c r="L246" s="111">
        <f t="shared" si="3"/>
        <v>0.10944206008583691</v>
      </c>
    </row>
    <row r="247" spans="1:12" ht="17" customHeight="1" x14ac:dyDescent="0.2">
      <c r="A247" s="115" t="s">
        <v>1000</v>
      </c>
      <c r="B247" s="115" t="s">
        <v>1001</v>
      </c>
      <c r="C247" s="115">
        <v>1736.8</v>
      </c>
      <c r="D247" s="115">
        <v>0.84</v>
      </c>
      <c r="E247" s="115">
        <v>35.729999999999997</v>
      </c>
      <c r="F247" s="115">
        <v>28.33</v>
      </c>
      <c r="G247" s="115">
        <v>0.3</v>
      </c>
      <c r="H247" s="115">
        <v>3.82</v>
      </c>
      <c r="I247" s="115">
        <v>0.3</v>
      </c>
      <c r="J247" s="116">
        <v>40602</v>
      </c>
      <c r="K247" s="132" t="s">
        <v>463</v>
      </c>
      <c r="L247" s="111">
        <f t="shared" si="3"/>
        <v>0.13483939286974939</v>
      </c>
    </row>
    <row r="248" spans="1:12" ht="17" customHeight="1" x14ac:dyDescent="0.2">
      <c r="A248" s="115" t="s">
        <v>499</v>
      </c>
      <c r="B248" s="115" t="s">
        <v>500</v>
      </c>
      <c r="C248" s="115">
        <v>5744.56</v>
      </c>
      <c r="D248" s="115">
        <v>1.31</v>
      </c>
      <c r="E248" s="115">
        <v>19.07</v>
      </c>
      <c r="F248" s="115">
        <v>31.99</v>
      </c>
      <c r="G248" s="115">
        <v>0.13</v>
      </c>
      <c r="H248" s="115">
        <v>3.44</v>
      </c>
      <c r="I248" s="115">
        <v>0.3</v>
      </c>
      <c r="J248" s="116">
        <v>36529</v>
      </c>
      <c r="K248" s="132" t="s">
        <v>463</v>
      </c>
      <c r="L248" s="111">
        <f t="shared" si="3"/>
        <v>0.10753360425132855</v>
      </c>
    </row>
    <row r="249" spans="1:12" ht="17" customHeight="1" x14ac:dyDescent="0.2">
      <c r="A249" s="115" t="s">
        <v>539</v>
      </c>
      <c r="B249" s="115" t="s">
        <v>540</v>
      </c>
      <c r="C249" s="115">
        <v>2860.7</v>
      </c>
      <c r="D249" s="115">
        <v>-0.21</v>
      </c>
      <c r="E249" s="115">
        <v>32.35</v>
      </c>
      <c r="F249" s="115">
        <v>51.58</v>
      </c>
      <c r="G249" s="115">
        <v>0.5</v>
      </c>
      <c r="H249" s="115">
        <v>3.01</v>
      </c>
      <c r="I249" s="115">
        <v>0.3</v>
      </c>
      <c r="J249" s="116">
        <v>36529</v>
      </c>
      <c r="K249" s="132" t="s">
        <v>463</v>
      </c>
      <c r="L249" s="111">
        <f t="shared" si="3"/>
        <v>5.835595191934858E-2</v>
      </c>
    </row>
    <row r="250" spans="1:12" ht="17" customHeight="1" x14ac:dyDescent="0.2">
      <c r="A250" s="115" t="s">
        <v>1002</v>
      </c>
      <c r="B250" s="115" t="s">
        <v>1003</v>
      </c>
      <c r="C250" s="115">
        <v>4378.8</v>
      </c>
      <c r="D250" s="115">
        <v>0.49</v>
      </c>
      <c r="E250" s="115">
        <v>15.5</v>
      </c>
      <c r="F250" s="115">
        <v>12.9</v>
      </c>
      <c r="G250" s="115">
        <v>0.51</v>
      </c>
      <c r="H250" s="115">
        <v>1.68</v>
      </c>
      <c r="I250" s="115">
        <v>0.3</v>
      </c>
      <c r="J250" s="116">
        <v>43157</v>
      </c>
      <c r="K250" s="132" t="s">
        <v>463</v>
      </c>
      <c r="L250" s="111">
        <f t="shared" si="3"/>
        <v>0.13023255813953488</v>
      </c>
    </row>
    <row r="251" spans="1:12" ht="17" customHeight="1" x14ac:dyDescent="0.2">
      <c r="A251" s="115" t="s">
        <v>1004</v>
      </c>
      <c r="B251" s="115" t="s">
        <v>1005</v>
      </c>
      <c r="C251" s="115">
        <v>10475.08</v>
      </c>
      <c r="D251" s="115">
        <v>0.59</v>
      </c>
      <c r="E251" s="115">
        <v>33.49</v>
      </c>
      <c r="F251" s="115">
        <v>37.4</v>
      </c>
      <c r="G251" s="115">
        <v>0.56999999999999995</v>
      </c>
      <c r="H251" s="115">
        <v>3.89</v>
      </c>
      <c r="I251" s="115">
        <v>0.3</v>
      </c>
      <c r="J251" s="116">
        <v>42451</v>
      </c>
      <c r="K251" s="132" t="s">
        <v>463</v>
      </c>
      <c r="L251" s="111">
        <f t="shared" si="3"/>
        <v>0.10401069518716578</v>
      </c>
    </row>
    <row r="252" spans="1:12" ht="17" customHeight="1" x14ac:dyDescent="0.2">
      <c r="A252" s="115" t="s">
        <v>1006</v>
      </c>
      <c r="B252" s="115" t="s">
        <v>1007</v>
      </c>
      <c r="C252" s="115">
        <v>9677.23</v>
      </c>
      <c r="D252" s="115">
        <v>0.53</v>
      </c>
      <c r="E252" s="115">
        <v>33.67</v>
      </c>
      <c r="F252" s="115">
        <v>23.43</v>
      </c>
      <c r="G252" s="115">
        <v>0.51</v>
      </c>
      <c r="H252" s="115">
        <v>2.4700000000000002</v>
      </c>
      <c r="I252" s="115">
        <v>0.31</v>
      </c>
      <c r="J252" s="116">
        <v>36529</v>
      </c>
      <c r="K252" s="132" t="s">
        <v>463</v>
      </c>
      <c r="L252" s="111">
        <f t="shared" si="3"/>
        <v>0.1054204011950491</v>
      </c>
    </row>
    <row r="253" spans="1:12" ht="17" customHeight="1" x14ac:dyDescent="0.2">
      <c r="A253" s="115" t="s">
        <v>1008</v>
      </c>
      <c r="B253" s="115" t="s">
        <v>1009</v>
      </c>
      <c r="C253" s="115">
        <v>1775.59</v>
      </c>
      <c r="D253" s="115">
        <v>-0.27</v>
      </c>
      <c r="E253" s="115">
        <v>17.05</v>
      </c>
      <c r="F253" s="115">
        <v>112.87</v>
      </c>
      <c r="G253" s="115">
        <v>0.9</v>
      </c>
      <c r="H253" s="115">
        <v>3.59</v>
      </c>
      <c r="I253" s="115">
        <v>0.31</v>
      </c>
      <c r="J253" s="116">
        <v>40410</v>
      </c>
      <c r="K253" s="132" t="s">
        <v>463</v>
      </c>
      <c r="L253" s="111">
        <f t="shared" si="3"/>
        <v>3.1806503056613804E-2</v>
      </c>
    </row>
    <row r="254" spans="1:12" ht="17" customHeight="1" x14ac:dyDescent="0.2">
      <c r="A254" s="115" t="s">
        <v>712</v>
      </c>
      <c r="B254" s="115" t="s">
        <v>713</v>
      </c>
      <c r="C254" s="115" t="s">
        <v>627</v>
      </c>
      <c r="D254" s="115">
        <v>0</v>
      </c>
      <c r="E254" s="115">
        <v>0</v>
      </c>
      <c r="F254" s="115">
        <v>59.66</v>
      </c>
      <c r="G254" s="115">
        <v>0.63</v>
      </c>
      <c r="H254" s="115">
        <v>3.42</v>
      </c>
      <c r="I254" s="115">
        <v>0.32</v>
      </c>
      <c r="J254" s="116">
        <v>43216</v>
      </c>
      <c r="K254" s="132" t="s">
        <v>463</v>
      </c>
      <c r="L254" s="111">
        <f t="shared" si="3"/>
        <v>5.7324840764331211E-2</v>
      </c>
    </row>
    <row r="255" spans="1:12" ht="17" customHeight="1" x14ac:dyDescent="0.2">
      <c r="A255" s="115" t="s">
        <v>1010</v>
      </c>
      <c r="B255" s="115" t="s">
        <v>1011</v>
      </c>
      <c r="C255" s="115">
        <v>6148.9</v>
      </c>
      <c r="D255" s="115">
        <v>0.42</v>
      </c>
      <c r="E255" s="115">
        <v>40.97</v>
      </c>
      <c r="F255" s="115">
        <v>13.94</v>
      </c>
      <c r="G255" s="115">
        <v>0.31</v>
      </c>
      <c r="H255" s="115">
        <v>1.79</v>
      </c>
      <c r="I255" s="115">
        <v>0.32</v>
      </c>
      <c r="J255" s="116">
        <v>40121</v>
      </c>
      <c r="K255" s="132" t="s">
        <v>463</v>
      </c>
      <c r="L255" s="111">
        <f t="shared" si="3"/>
        <v>0.1284074605451937</v>
      </c>
    </row>
    <row r="256" spans="1:12" ht="17" customHeight="1" x14ac:dyDescent="0.2">
      <c r="A256" s="115" t="s">
        <v>469</v>
      </c>
      <c r="B256" s="115" t="s">
        <v>470</v>
      </c>
      <c r="C256" s="115">
        <v>4343.78</v>
      </c>
      <c r="D256" s="115">
        <v>0.12</v>
      </c>
      <c r="E256" s="115">
        <v>37.659999999999997</v>
      </c>
      <c r="F256" s="115">
        <v>54.11</v>
      </c>
      <c r="G256" s="115">
        <v>0.65</v>
      </c>
      <c r="H256" s="115">
        <v>3.58</v>
      </c>
      <c r="I256" s="115">
        <v>0.33</v>
      </c>
      <c r="J256" s="116">
        <v>36529</v>
      </c>
      <c r="K256" s="132" t="s">
        <v>463</v>
      </c>
      <c r="L256" s="111">
        <f t="shared" si="3"/>
        <v>6.6161522823877286E-2</v>
      </c>
    </row>
    <row r="257" spans="1:12" ht="17" customHeight="1" x14ac:dyDescent="0.2">
      <c r="A257" s="115" t="s">
        <v>1012</v>
      </c>
      <c r="B257" s="115" t="s">
        <v>1013</v>
      </c>
      <c r="C257" s="115">
        <v>4163.67</v>
      </c>
      <c r="D257" s="115">
        <v>0.65</v>
      </c>
      <c r="E257" s="115">
        <v>37.090000000000003</v>
      </c>
      <c r="F257" s="115">
        <v>21.86</v>
      </c>
      <c r="G257" s="115">
        <v>0.33</v>
      </c>
      <c r="H257" s="115">
        <v>2.56</v>
      </c>
      <c r="I257" s="115">
        <v>0.33</v>
      </c>
      <c r="J257" s="116">
        <v>40121</v>
      </c>
      <c r="K257" s="132" t="s">
        <v>463</v>
      </c>
      <c r="L257" s="111">
        <f t="shared" si="3"/>
        <v>0.1171088746569076</v>
      </c>
    </row>
    <row r="258" spans="1:12" ht="17" customHeight="1" x14ac:dyDescent="0.2">
      <c r="A258" s="115" t="s">
        <v>1014</v>
      </c>
      <c r="B258" s="115" t="s">
        <v>1015</v>
      </c>
      <c r="C258" s="115">
        <v>5465.73</v>
      </c>
      <c r="D258" s="115">
        <v>1.51</v>
      </c>
      <c r="E258" s="115">
        <v>49.31</v>
      </c>
      <c r="F258" s="115">
        <v>48.32</v>
      </c>
      <c r="G258" s="115">
        <v>0.77</v>
      </c>
      <c r="H258" s="115">
        <v>3.36</v>
      </c>
      <c r="I258" s="115">
        <v>0.33</v>
      </c>
      <c r="J258" s="116">
        <v>42160</v>
      </c>
      <c r="K258" s="132" t="s">
        <v>463</v>
      </c>
      <c r="L258" s="111">
        <f t="shared" ref="L258:L321" si="4">H258/F258</f>
        <v>6.9536423841059597E-2</v>
      </c>
    </row>
    <row r="259" spans="1:12" ht="17" customHeight="1" x14ac:dyDescent="0.2">
      <c r="A259" s="115" t="s">
        <v>583</v>
      </c>
      <c r="B259" s="115" t="s">
        <v>584</v>
      </c>
      <c r="C259" s="115">
        <v>9755.06</v>
      </c>
      <c r="D259" s="115">
        <v>0.54</v>
      </c>
      <c r="E259" s="115">
        <v>48.42</v>
      </c>
      <c r="F259" s="115">
        <v>36.950000000000003</v>
      </c>
      <c r="G259" s="115">
        <v>0.46</v>
      </c>
      <c r="H259" s="115">
        <v>3.34</v>
      </c>
      <c r="I259" s="115">
        <v>0.33</v>
      </c>
      <c r="J259" s="116">
        <v>36529</v>
      </c>
      <c r="K259" s="132" t="s">
        <v>463</v>
      </c>
      <c r="L259" s="111">
        <f t="shared" si="4"/>
        <v>9.0392422192151545E-2</v>
      </c>
    </row>
    <row r="260" spans="1:12" ht="17" customHeight="1" x14ac:dyDescent="0.2">
      <c r="A260" s="115" t="s">
        <v>1016</v>
      </c>
      <c r="B260" s="115" t="s">
        <v>1017</v>
      </c>
      <c r="C260" s="115">
        <v>5776.94</v>
      </c>
      <c r="D260" s="115">
        <v>0.03</v>
      </c>
      <c r="E260" s="115">
        <v>28.02</v>
      </c>
      <c r="F260" s="115">
        <v>15.38</v>
      </c>
      <c r="G260" s="115">
        <v>0.15</v>
      </c>
      <c r="H260" s="115">
        <v>1.86</v>
      </c>
      <c r="I260" s="115">
        <v>0.33</v>
      </c>
      <c r="J260" s="116">
        <v>41264</v>
      </c>
      <c r="K260" s="132" t="s">
        <v>463</v>
      </c>
      <c r="L260" s="111">
        <f t="shared" si="4"/>
        <v>0.12093628088426528</v>
      </c>
    </row>
    <row r="261" spans="1:12" ht="17" customHeight="1" x14ac:dyDescent="0.2">
      <c r="A261" s="115" t="s">
        <v>1018</v>
      </c>
      <c r="B261" s="115" t="s">
        <v>1019</v>
      </c>
      <c r="C261" s="115">
        <v>9841.9500000000007</v>
      </c>
      <c r="D261" s="115">
        <v>0.93</v>
      </c>
      <c r="E261" s="115">
        <v>31.12</v>
      </c>
      <c r="F261" s="115">
        <v>32.92</v>
      </c>
      <c r="G261" s="115">
        <v>0.46</v>
      </c>
      <c r="H261" s="115">
        <v>4.18</v>
      </c>
      <c r="I261" s="115">
        <v>0.33</v>
      </c>
      <c r="J261" s="116">
        <v>41010</v>
      </c>
      <c r="K261" s="132" t="s">
        <v>463</v>
      </c>
      <c r="L261" s="111">
        <f t="shared" si="4"/>
        <v>0.1269744835965978</v>
      </c>
    </row>
    <row r="262" spans="1:12" ht="17" customHeight="1" x14ac:dyDescent="0.2">
      <c r="A262" s="115" t="s">
        <v>1020</v>
      </c>
      <c r="B262" s="115" t="s">
        <v>1021</v>
      </c>
      <c r="C262" s="115">
        <v>3229.52</v>
      </c>
      <c r="D262" s="115">
        <v>0.54</v>
      </c>
      <c r="E262" s="115">
        <v>17.46</v>
      </c>
      <c r="F262" s="115">
        <v>14.45</v>
      </c>
      <c r="G262" s="115">
        <v>0.53</v>
      </c>
      <c r="H262" s="115">
        <v>1.58</v>
      </c>
      <c r="I262" s="115">
        <v>0.34</v>
      </c>
      <c r="J262" s="116">
        <v>39997</v>
      </c>
      <c r="K262" s="132" t="s">
        <v>463</v>
      </c>
      <c r="L262" s="111">
        <f t="shared" si="4"/>
        <v>0.10934256055363323</v>
      </c>
    </row>
    <row r="263" spans="1:12" ht="17" customHeight="1" x14ac:dyDescent="0.2">
      <c r="A263" s="115" t="s">
        <v>1022</v>
      </c>
      <c r="B263" s="115" t="s">
        <v>70</v>
      </c>
      <c r="C263" s="115">
        <v>5299.59</v>
      </c>
      <c r="D263" s="115">
        <v>0.72</v>
      </c>
      <c r="E263" s="115">
        <v>41.53</v>
      </c>
      <c r="F263" s="115">
        <v>73.930000000000007</v>
      </c>
      <c r="G263" s="115">
        <v>0.88</v>
      </c>
      <c r="H263" s="115">
        <v>3.62</v>
      </c>
      <c r="I263" s="115">
        <v>0.34</v>
      </c>
      <c r="J263" s="116">
        <v>40757</v>
      </c>
      <c r="K263" s="132" t="s">
        <v>463</v>
      </c>
      <c r="L263" s="111">
        <f t="shared" si="4"/>
        <v>4.896523738671716E-2</v>
      </c>
    </row>
    <row r="264" spans="1:12" ht="17" customHeight="1" x14ac:dyDescent="0.2">
      <c r="A264" s="115" t="s">
        <v>1023</v>
      </c>
      <c r="B264" s="115" t="s">
        <v>159</v>
      </c>
      <c r="C264" s="115">
        <v>2322.87</v>
      </c>
      <c r="D264" s="115">
        <v>-0.22</v>
      </c>
      <c r="E264" s="115">
        <v>28.47</v>
      </c>
      <c r="F264" s="115">
        <v>12.49</v>
      </c>
      <c r="G264" s="115">
        <v>0.37</v>
      </c>
      <c r="H264" s="115">
        <v>1.4</v>
      </c>
      <c r="I264" s="115">
        <v>0.34</v>
      </c>
      <c r="J264" s="116">
        <v>42048</v>
      </c>
      <c r="K264" s="132" t="s">
        <v>463</v>
      </c>
      <c r="L264" s="111">
        <f t="shared" si="4"/>
        <v>0.1120896717373899</v>
      </c>
    </row>
    <row r="265" spans="1:12" ht="17" customHeight="1" x14ac:dyDescent="0.2">
      <c r="A265" s="115" t="s">
        <v>1024</v>
      </c>
      <c r="B265" s="115" t="s">
        <v>1025</v>
      </c>
      <c r="C265" s="115">
        <v>1083.45</v>
      </c>
      <c r="D265" s="115">
        <v>0.48</v>
      </c>
      <c r="E265" s="115">
        <v>26.82</v>
      </c>
      <c r="F265" s="115">
        <v>11.82</v>
      </c>
      <c r="G265" s="115">
        <v>0.39</v>
      </c>
      <c r="H265" s="115">
        <v>1.42</v>
      </c>
      <c r="I265" s="115">
        <v>0.34</v>
      </c>
      <c r="J265" s="116">
        <v>41456</v>
      </c>
      <c r="K265" s="132" t="s">
        <v>463</v>
      </c>
      <c r="L265" s="111">
        <f t="shared" si="4"/>
        <v>0.12013536379018612</v>
      </c>
    </row>
    <row r="266" spans="1:12" ht="17" customHeight="1" x14ac:dyDescent="0.2">
      <c r="A266" s="115" t="s">
        <v>1026</v>
      </c>
      <c r="B266" s="115" t="s">
        <v>352</v>
      </c>
      <c r="C266" s="115">
        <v>8969.92</v>
      </c>
      <c r="D266" s="115">
        <v>-0.31</v>
      </c>
      <c r="E266" s="115">
        <v>30.21</v>
      </c>
      <c r="F266" s="115">
        <v>17.010000000000002</v>
      </c>
      <c r="G266" s="115">
        <v>0.33</v>
      </c>
      <c r="H266" s="115">
        <v>3.33</v>
      </c>
      <c r="I266" s="115">
        <v>0.34</v>
      </c>
      <c r="J266" s="116">
        <v>42192</v>
      </c>
      <c r="K266" s="132" t="s">
        <v>463</v>
      </c>
      <c r="L266" s="111">
        <f t="shared" si="4"/>
        <v>0.19576719576719576</v>
      </c>
    </row>
    <row r="267" spans="1:12" ht="17" customHeight="1" x14ac:dyDescent="0.2">
      <c r="A267" s="115" t="s">
        <v>467</v>
      </c>
      <c r="B267" s="115" t="s">
        <v>468</v>
      </c>
      <c r="C267" s="115">
        <v>3072.61</v>
      </c>
      <c r="D267" s="115">
        <v>1.41</v>
      </c>
      <c r="E267" s="115">
        <v>53.43</v>
      </c>
      <c r="F267" s="115">
        <v>37.89</v>
      </c>
      <c r="G267" s="115">
        <v>0.27</v>
      </c>
      <c r="H267" s="115">
        <v>3.05</v>
      </c>
      <c r="I267" s="115">
        <v>0.35</v>
      </c>
      <c r="J267" s="116">
        <v>36529</v>
      </c>
      <c r="K267" s="132" t="s">
        <v>463</v>
      </c>
      <c r="L267" s="111">
        <f t="shared" si="4"/>
        <v>8.0496173132752702E-2</v>
      </c>
    </row>
    <row r="268" spans="1:12" ht="17" customHeight="1" x14ac:dyDescent="0.2">
      <c r="A268" s="115" t="s">
        <v>537</v>
      </c>
      <c r="B268" s="115" t="s">
        <v>538</v>
      </c>
      <c r="C268" s="115">
        <v>4598.55</v>
      </c>
      <c r="D268" s="115">
        <v>0.2</v>
      </c>
      <c r="E268" s="115">
        <v>39.28</v>
      </c>
      <c r="F268" s="115">
        <v>54.7</v>
      </c>
      <c r="G268" s="115">
        <v>0.57999999999999996</v>
      </c>
      <c r="H268" s="115">
        <v>3.74</v>
      </c>
      <c r="I268" s="115">
        <v>0.35</v>
      </c>
      <c r="J268" s="116">
        <v>36529</v>
      </c>
      <c r="K268" s="132" t="s">
        <v>463</v>
      </c>
      <c r="L268" s="111">
        <f t="shared" si="4"/>
        <v>6.8372943327239491E-2</v>
      </c>
    </row>
    <row r="269" spans="1:12" ht="17" customHeight="1" x14ac:dyDescent="0.2">
      <c r="A269" s="115" t="s">
        <v>581</v>
      </c>
      <c r="B269" s="115" t="s">
        <v>582</v>
      </c>
      <c r="C269" s="115">
        <v>8649.4</v>
      </c>
      <c r="D269" s="115">
        <v>0.93</v>
      </c>
      <c r="E269" s="115">
        <v>39.78</v>
      </c>
      <c r="F269" s="115">
        <v>42.21</v>
      </c>
      <c r="G269" s="115">
        <v>0.3</v>
      </c>
      <c r="H269" s="115">
        <v>4.42</v>
      </c>
      <c r="I269" s="115">
        <v>0.35</v>
      </c>
      <c r="J269" s="116">
        <v>36529</v>
      </c>
      <c r="K269" s="132" t="s">
        <v>463</v>
      </c>
      <c r="L269" s="111">
        <f t="shared" si="4"/>
        <v>0.10471452262497039</v>
      </c>
    </row>
    <row r="270" spans="1:12" ht="17" customHeight="1" x14ac:dyDescent="0.2">
      <c r="A270" s="115" t="s">
        <v>1027</v>
      </c>
      <c r="B270" s="115" t="s">
        <v>1028</v>
      </c>
      <c r="C270" s="115">
        <v>10346.790000000001</v>
      </c>
      <c r="D270" s="115">
        <v>7.0000000000000007E-2</v>
      </c>
      <c r="E270" s="115">
        <v>35.81</v>
      </c>
      <c r="F270" s="115">
        <v>14.99</v>
      </c>
      <c r="G270" s="115">
        <v>0.14000000000000001</v>
      </c>
      <c r="H270" s="115">
        <v>1.88</v>
      </c>
      <c r="I270" s="115">
        <v>0.36</v>
      </c>
      <c r="J270" s="116">
        <v>41264</v>
      </c>
      <c r="K270" s="132" t="s">
        <v>463</v>
      </c>
      <c r="L270" s="111">
        <f t="shared" si="4"/>
        <v>0.12541694462975317</v>
      </c>
    </row>
    <row r="271" spans="1:12" ht="17" customHeight="1" x14ac:dyDescent="0.2">
      <c r="A271" s="115" t="s">
        <v>1029</v>
      </c>
      <c r="B271" s="115" t="s">
        <v>1030</v>
      </c>
      <c r="C271" s="115">
        <v>6541.15</v>
      </c>
      <c r="D271" s="115">
        <v>0.17</v>
      </c>
      <c r="E271" s="115">
        <v>33.409999999999997</v>
      </c>
      <c r="F271" s="115">
        <v>18.350000000000001</v>
      </c>
      <c r="G271" s="115">
        <v>0.26</v>
      </c>
      <c r="H271" s="115">
        <v>2.2200000000000002</v>
      </c>
      <c r="I271" s="115">
        <v>0.38</v>
      </c>
      <c r="J271" s="116">
        <v>40308</v>
      </c>
      <c r="K271" s="132" t="s">
        <v>463</v>
      </c>
      <c r="L271" s="111">
        <f t="shared" si="4"/>
        <v>0.12098092643051771</v>
      </c>
    </row>
    <row r="272" spans="1:12" ht="17" customHeight="1" x14ac:dyDescent="0.2">
      <c r="A272" s="115" t="s">
        <v>1031</v>
      </c>
      <c r="B272" s="115" t="s">
        <v>1032</v>
      </c>
      <c r="C272" s="115">
        <v>3054.44</v>
      </c>
      <c r="D272" s="115">
        <v>0.5</v>
      </c>
      <c r="E272" s="115">
        <v>19.29</v>
      </c>
      <c r="F272" s="115">
        <v>11.55</v>
      </c>
      <c r="G272" s="115">
        <v>0.52</v>
      </c>
      <c r="H272" s="115">
        <v>1.42</v>
      </c>
      <c r="I272" s="115">
        <v>0.39</v>
      </c>
      <c r="J272" s="116">
        <v>40218</v>
      </c>
      <c r="K272" s="132" t="s">
        <v>463</v>
      </c>
      <c r="L272" s="111">
        <f t="shared" si="4"/>
        <v>0.12294372294372292</v>
      </c>
    </row>
    <row r="273" spans="1:12" ht="17" customHeight="1" x14ac:dyDescent="0.2">
      <c r="A273" s="115" t="s">
        <v>527</v>
      </c>
      <c r="B273" s="115" t="s">
        <v>528</v>
      </c>
      <c r="C273" s="115">
        <v>5017.3900000000003</v>
      </c>
      <c r="D273" s="115">
        <v>1.47</v>
      </c>
      <c r="E273" s="115">
        <v>75.42</v>
      </c>
      <c r="F273" s="115">
        <v>35.729999999999997</v>
      </c>
      <c r="G273" s="115">
        <v>0.2</v>
      </c>
      <c r="H273" s="115">
        <v>4.88</v>
      </c>
      <c r="I273" s="115">
        <v>0.39</v>
      </c>
      <c r="J273" s="116">
        <v>36529</v>
      </c>
      <c r="K273" s="132" t="s">
        <v>463</v>
      </c>
      <c r="L273" s="111">
        <f t="shared" si="4"/>
        <v>0.13657990484186958</v>
      </c>
    </row>
    <row r="274" spans="1:12" ht="17" customHeight="1" x14ac:dyDescent="0.2">
      <c r="A274" s="115" t="s">
        <v>1033</v>
      </c>
      <c r="B274" s="115" t="s">
        <v>1034</v>
      </c>
      <c r="C274" s="115">
        <v>1593.25</v>
      </c>
      <c r="D274" s="115">
        <v>0.23</v>
      </c>
      <c r="E274" s="115">
        <v>38.14</v>
      </c>
      <c r="F274" s="115">
        <v>65.05</v>
      </c>
      <c r="G274" s="115">
        <v>0.46</v>
      </c>
      <c r="H274" s="115">
        <v>3.91</v>
      </c>
      <c r="I274" s="115">
        <v>0.39</v>
      </c>
      <c r="J274" s="116">
        <v>42075</v>
      </c>
      <c r="K274" s="132" t="s">
        <v>463</v>
      </c>
      <c r="L274" s="111">
        <f t="shared" si="4"/>
        <v>6.0107609531129903E-2</v>
      </c>
    </row>
    <row r="275" spans="1:12" ht="17" customHeight="1" x14ac:dyDescent="0.2">
      <c r="A275" s="115" t="s">
        <v>652</v>
      </c>
      <c r="B275" s="115" t="s">
        <v>653</v>
      </c>
      <c r="C275" s="115" t="s">
        <v>627</v>
      </c>
      <c r="D275" s="115">
        <v>0</v>
      </c>
      <c r="E275" s="115">
        <v>0</v>
      </c>
      <c r="F275" s="115">
        <v>34.71</v>
      </c>
      <c r="G275" s="115">
        <v>0.31</v>
      </c>
      <c r="H275" s="115">
        <v>3.88</v>
      </c>
      <c r="I275" s="115">
        <v>0.39</v>
      </c>
      <c r="J275" s="116">
        <v>42901</v>
      </c>
      <c r="K275" s="132" t="s">
        <v>463</v>
      </c>
      <c r="L275" s="111">
        <f t="shared" si="4"/>
        <v>0.11178334773840391</v>
      </c>
    </row>
    <row r="276" spans="1:12" ht="17" customHeight="1" x14ac:dyDescent="0.2">
      <c r="A276" s="115" t="s">
        <v>1035</v>
      </c>
      <c r="B276" s="115" t="s">
        <v>1036</v>
      </c>
      <c r="C276" s="115">
        <v>6418.79</v>
      </c>
      <c r="D276" s="115">
        <v>0.53</v>
      </c>
      <c r="E276" s="115">
        <v>23.96</v>
      </c>
      <c r="F276" s="115">
        <v>35.200000000000003</v>
      </c>
      <c r="G276" s="115">
        <v>0.77</v>
      </c>
      <c r="H276" s="115">
        <v>3.99</v>
      </c>
      <c r="I276" s="115">
        <v>0.4</v>
      </c>
      <c r="J276" s="116">
        <v>39822</v>
      </c>
      <c r="K276" s="132" t="s">
        <v>463</v>
      </c>
      <c r="L276" s="111">
        <f t="shared" si="4"/>
        <v>0.11335227272727272</v>
      </c>
    </row>
    <row r="277" spans="1:12" ht="17" customHeight="1" x14ac:dyDescent="0.2">
      <c r="A277" s="115" t="s">
        <v>1037</v>
      </c>
      <c r="B277" s="115" t="s">
        <v>1038</v>
      </c>
      <c r="C277" s="115">
        <v>1841.67</v>
      </c>
      <c r="D277" s="115">
        <v>0.87</v>
      </c>
      <c r="E277" s="115">
        <v>41.28</v>
      </c>
      <c r="F277" s="115">
        <v>32.909999999999997</v>
      </c>
      <c r="G277" s="115">
        <v>0.13</v>
      </c>
      <c r="H277" s="115">
        <v>3.18</v>
      </c>
      <c r="I277" s="115">
        <v>0.41</v>
      </c>
      <c r="J277" s="116">
        <v>40855</v>
      </c>
      <c r="K277" s="132" t="s">
        <v>463</v>
      </c>
      <c r="L277" s="111">
        <f t="shared" si="4"/>
        <v>9.6627164995442133E-2</v>
      </c>
    </row>
    <row r="278" spans="1:12" ht="17" customHeight="1" x14ac:dyDescent="0.2">
      <c r="A278" s="115" t="s">
        <v>1039</v>
      </c>
      <c r="B278" s="115" t="s">
        <v>1040</v>
      </c>
      <c r="C278" s="115">
        <v>7232.45</v>
      </c>
      <c r="D278" s="115">
        <v>0.33</v>
      </c>
      <c r="E278" s="115">
        <v>40.32</v>
      </c>
      <c r="F278" s="115">
        <v>62.3</v>
      </c>
      <c r="G278" s="115">
        <v>0.55000000000000004</v>
      </c>
      <c r="H278" s="115">
        <v>4.18</v>
      </c>
      <c r="I278" s="115">
        <v>0.41</v>
      </c>
      <c r="J278" s="116">
        <v>42160</v>
      </c>
      <c r="K278" s="132" t="s">
        <v>463</v>
      </c>
      <c r="L278" s="111">
        <f t="shared" si="4"/>
        <v>6.709470304975923E-2</v>
      </c>
    </row>
    <row r="279" spans="1:12" ht="17" customHeight="1" x14ac:dyDescent="0.2">
      <c r="A279" s="115" t="s">
        <v>471</v>
      </c>
      <c r="B279" s="115" t="s">
        <v>472</v>
      </c>
      <c r="C279" s="115">
        <v>2127</v>
      </c>
      <c r="D279" s="115">
        <v>0.2</v>
      </c>
      <c r="E279" s="115">
        <v>10.67</v>
      </c>
      <c r="F279" s="115">
        <v>34.770000000000003</v>
      </c>
      <c r="G279" s="115">
        <v>0.3</v>
      </c>
      <c r="H279" s="115">
        <v>2.46</v>
      </c>
      <c r="I279" s="115">
        <v>0.42</v>
      </c>
      <c r="J279" s="116">
        <v>36529</v>
      </c>
      <c r="K279" s="132" t="s">
        <v>463</v>
      </c>
      <c r="L279" s="111">
        <f t="shared" si="4"/>
        <v>7.0750647109577208E-2</v>
      </c>
    </row>
    <row r="280" spans="1:12" ht="17" customHeight="1" x14ac:dyDescent="0.2">
      <c r="A280" s="115" t="s">
        <v>1041</v>
      </c>
      <c r="B280" s="115" t="s">
        <v>44</v>
      </c>
      <c r="C280" s="115">
        <v>7692.24</v>
      </c>
      <c r="D280" s="115">
        <v>2.17</v>
      </c>
      <c r="E280" s="115">
        <v>2.4700000000000002</v>
      </c>
      <c r="F280" s="115">
        <v>7.59</v>
      </c>
      <c r="G280" s="115">
        <v>0.16</v>
      </c>
      <c r="H280" s="115">
        <v>1.52</v>
      </c>
      <c r="I280" s="115">
        <v>0.42</v>
      </c>
      <c r="J280" s="116">
        <v>43179</v>
      </c>
      <c r="K280" s="132" t="s">
        <v>463</v>
      </c>
      <c r="L280" s="111">
        <f t="shared" si="4"/>
        <v>0.20026350461133072</v>
      </c>
    </row>
    <row r="281" spans="1:12" ht="17" customHeight="1" x14ac:dyDescent="0.2">
      <c r="A281" s="115" t="s">
        <v>720</v>
      </c>
      <c r="B281" s="115" t="s">
        <v>721</v>
      </c>
      <c r="C281" s="115">
        <v>1695.6</v>
      </c>
      <c r="D281" s="115">
        <v>-0.13</v>
      </c>
      <c r="E281" s="115">
        <v>46.61</v>
      </c>
      <c r="F281" s="115">
        <v>10.41</v>
      </c>
      <c r="G281" s="115">
        <v>0</v>
      </c>
      <c r="H281" s="115">
        <v>2.31</v>
      </c>
      <c r="I281" s="115">
        <v>0.42</v>
      </c>
      <c r="J281" s="116">
        <v>39099</v>
      </c>
      <c r="K281" s="132" t="s">
        <v>463</v>
      </c>
      <c r="L281" s="111">
        <f t="shared" si="4"/>
        <v>0.22190201729106629</v>
      </c>
    </row>
    <row r="282" spans="1:12" ht="17" customHeight="1" x14ac:dyDescent="0.2">
      <c r="A282" s="115" t="s">
        <v>1042</v>
      </c>
      <c r="B282" s="115" t="s">
        <v>1043</v>
      </c>
      <c r="C282" s="115">
        <v>13220.81</v>
      </c>
      <c r="D282" s="115">
        <v>-0.19</v>
      </c>
      <c r="E282" s="115">
        <v>25.21</v>
      </c>
      <c r="F282" s="115">
        <v>24.53</v>
      </c>
      <c r="G282" s="115">
        <v>1</v>
      </c>
      <c r="H282" s="115">
        <v>1.65</v>
      </c>
      <c r="I282" s="115">
        <v>0.42</v>
      </c>
      <c r="J282" s="116">
        <v>42258</v>
      </c>
      <c r="K282" s="132" t="s">
        <v>463</v>
      </c>
      <c r="L282" s="111">
        <f t="shared" si="4"/>
        <v>6.726457399103139E-2</v>
      </c>
    </row>
    <row r="283" spans="1:12" ht="17" customHeight="1" x14ac:dyDescent="0.2">
      <c r="A283" s="115" t="s">
        <v>1044</v>
      </c>
      <c r="B283" s="115" t="s">
        <v>1045</v>
      </c>
      <c r="C283" s="115">
        <v>4073.76</v>
      </c>
      <c r="D283" s="115">
        <v>1.02</v>
      </c>
      <c r="E283" s="115">
        <v>38.770000000000003</v>
      </c>
      <c r="F283" s="115">
        <v>27.01</v>
      </c>
      <c r="G283" s="115">
        <v>0.25</v>
      </c>
      <c r="H283" s="115">
        <v>3.85</v>
      </c>
      <c r="I283" s="115">
        <v>0.43</v>
      </c>
      <c r="J283" s="116">
        <v>40028</v>
      </c>
      <c r="K283" s="132" t="s">
        <v>463</v>
      </c>
      <c r="L283" s="111">
        <f t="shared" si="4"/>
        <v>0.14253980007404665</v>
      </c>
    </row>
    <row r="284" spans="1:12" ht="17" customHeight="1" x14ac:dyDescent="0.2">
      <c r="A284" s="115" t="s">
        <v>1046</v>
      </c>
      <c r="B284" s="115" t="s">
        <v>1047</v>
      </c>
      <c r="C284" s="115">
        <v>6934.34</v>
      </c>
      <c r="D284" s="115">
        <v>0.26</v>
      </c>
      <c r="E284" s="115">
        <v>36.14</v>
      </c>
      <c r="F284" s="115">
        <v>17.25</v>
      </c>
      <c r="G284" s="115">
        <v>0.28000000000000003</v>
      </c>
      <c r="H284" s="115">
        <v>2.1800000000000002</v>
      </c>
      <c r="I284" s="115">
        <v>0.44</v>
      </c>
      <c r="J284" s="116">
        <v>40308</v>
      </c>
      <c r="K284" s="132" t="s">
        <v>463</v>
      </c>
      <c r="L284" s="111">
        <f t="shared" si="4"/>
        <v>0.12637681159420291</v>
      </c>
    </row>
    <row r="285" spans="1:12" ht="17" customHeight="1" x14ac:dyDescent="0.2">
      <c r="A285" s="115" t="s">
        <v>593</v>
      </c>
      <c r="B285" s="115" t="s">
        <v>594</v>
      </c>
      <c r="C285" s="115">
        <v>5976.92</v>
      </c>
      <c r="D285" s="115">
        <v>-0.57999999999999996</v>
      </c>
      <c r="E285" s="115">
        <v>23.54</v>
      </c>
      <c r="F285" s="115">
        <v>45.75</v>
      </c>
      <c r="G285" s="115">
        <v>0.73</v>
      </c>
      <c r="H285" s="115">
        <v>3.51</v>
      </c>
      <c r="I285" s="115">
        <v>0.44</v>
      </c>
      <c r="J285" s="116">
        <v>36529</v>
      </c>
      <c r="K285" s="132" t="s">
        <v>463</v>
      </c>
      <c r="L285" s="111">
        <f t="shared" si="4"/>
        <v>7.6721311475409837E-2</v>
      </c>
    </row>
    <row r="286" spans="1:12" ht="17" customHeight="1" x14ac:dyDescent="0.2">
      <c r="A286" s="115" t="s">
        <v>1048</v>
      </c>
      <c r="B286" s="115" t="s">
        <v>106</v>
      </c>
      <c r="C286" s="115">
        <v>4228.28</v>
      </c>
      <c r="D286" s="115">
        <v>1.28</v>
      </c>
      <c r="E286" s="115">
        <v>48.59</v>
      </c>
      <c r="F286" s="115">
        <v>53.02</v>
      </c>
      <c r="G286" s="115">
        <v>0.68</v>
      </c>
      <c r="H286" s="115">
        <v>3.92</v>
      </c>
      <c r="I286" s="115">
        <v>0.45</v>
      </c>
      <c r="J286" s="116">
        <v>39997</v>
      </c>
      <c r="K286" s="132" t="s">
        <v>463</v>
      </c>
      <c r="L286" s="111">
        <f t="shared" si="4"/>
        <v>7.3934364390795926E-2</v>
      </c>
    </row>
    <row r="287" spans="1:12" ht="17" customHeight="1" x14ac:dyDescent="0.2">
      <c r="A287" s="115" t="s">
        <v>1049</v>
      </c>
      <c r="B287" s="115" t="s">
        <v>1050</v>
      </c>
      <c r="C287" s="115">
        <v>7506.07</v>
      </c>
      <c r="D287" s="115">
        <v>-1.23</v>
      </c>
      <c r="E287" s="115">
        <v>34.56</v>
      </c>
      <c r="F287" s="115">
        <v>9.8000000000000007</v>
      </c>
      <c r="G287" s="115">
        <v>0.13</v>
      </c>
      <c r="H287" s="115">
        <v>1.75</v>
      </c>
      <c r="I287" s="115">
        <v>0.45</v>
      </c>
      <c r="J287" s="116">
        <v>41470</v>
      </c>
      <c r="K287" s="132" t="s">
        <v>463</v>
      </c>
      <c r="L287" s="111">
        <f t="shared" si="4"/>
        <v>0.17857142857142855</v>
      </c>
    </row>
    <row r="288" spans="1:12" ht="17" customHeight="1" x14ac:dyDescent="0.2">
      <c r="A288" s="115" t="s">
        <v>1051</v>
      </c>
      <c r="B288" s="115" t="s">
        <v>178</v>
      </c>
      <c r="C288" s="115">
        <v>5875.85</v>
      </c>
      <c r="D288" s="115">
        <v>2.2999999999999998</v>
      </c>
      <c r="E288" s="115">
        <v>23.56</v>
      </c>
      <c r="F288" s="115">
        <v>34.49</v>
      </c>
      <c r="G288" s="115">
        <v>0.3</v>
      </c>
      <c r="H288" s="115">
        <v>4.8899999999999997</v>
      </c>
      <c r="I288" s="115">
        <v>0.46</v>
      </c>
      <c r="J288" s="116">
        <v>42982</v>
      </c>
      <c r="K288" s="132" t="s">
        <v>463</v>
      </c>
      <c r="L288" s="111">
        <f t="shared" si="4"/>
        <v>0.14178022615250796</v>
      </c>
    </row>
    <row r="289" spans="1:12" ht="17" customHeight="1" x14ac:dyDescent="0.2">
      <c r="A289" s="115" t="s">
        <v>1052</v>
      </c>
      <c r="B289" s="115"/>
      <c r="C289" s="115">
        <v>1383.68</v>
      </c>
      <c r="D289" s="115">
        <v>1.1499999999999999</v>
      </c>
      <c r="E289" s="115">
        <v>38.14</v>
      </c>
      <c r="F289" s="115">
        <v>57.77</v>
      </c>
      <c r="G289" s="115">
        <v>0.71</v>
      </c>
      <c r="H289" s="115">
        <v>5.17</v>
      </c>
      <c r="I289" s="115">
        <v>0.47</v>
      </c>
      <c r="J289" s="116">
        <v>41808</v>
      </c>
      <c r="K289" s="132" t="s">
        <v>463</v>
      </c>
      <c r="L289" s="111">
        <f t="shared" si="4"/>
        <v>8.9492816340661238E-2</v>
      </c>
    </row>
    <row r="290" spans="1:12" ht="17" customHeight="1" x14ac:dyDescent="0.2">
      <c r="A290" s="115" t="s">
        <v>1053</v>
      </c>
      <c r="B290" s="115" t="s">
        <v>1054</v>
      </c>
      <c r="C290" s="115">
        <v>1625.44</v>
      </c>
      <c r="D290" s="115">
        <v>0.55000000000000004</v>
      </c>
      <c r="E290" s="115">
        <v>40.06</v>
      </c>
      <c r="F290" s="115">
        <v>26.27</v>
      </c>
      <c r="G290" s="115">
        <v>0.22</v>
      </c>
      <c r="H290" s="115">
        <v>3.77</v>
      </c>
      <c r="I290" s="115">
        <v>0.47</v>
      </c>
      <c r="J290" s="116">
        <v>42044</v>
      </c>
      <c r="K290" s="132" t="s">
        <v>463</v>
      </c>
      <c r="L290" s="111">
        <f t="shared" si="4"/>
        <v>0.14350970688998857</v>
      </c>
    </row>
    <row r="291" spans="1:12" ht="17" customHeight="1" x14ac:dyDescent="0.2">
      <c r="A291" s="115" t="s">
        <v>545</v>
      </c>
      <c r="B291" s="115" t="s">
        <v>546</v>
      </c>
      <c r="C291" s="115">
        <v>1185.3699999999999</v>
      </c>
      <c r="D291" s="115">
        <v>0.06</v>
      </c>
      <c r="E291" s="115">
        <v>15.93</v>
      </c>
      <c r="F291" s="115">
        <v>44.67</v>
      </c>
      <c r="G291" s="115">
        <v>0.35</v>
      </c>
      <c r="H291" s="115">
        <v>3.49</v>
      </c>
      <c r="I291" s="115">
        <v>0.48</v>
      </c>
      <c r="J291" s="116">
        <v>36529</v>
      </c>
      <c r="K291" s="132" t="s">
        <v>463</v>
      </c>
      <c r="L291" s="111">
        <f t="shared" si="4"/>
        <v>7.812849787329304E-2</v>
      </c>
    </row>
    <row r="292" spans="1:12" ht="17" customHeight="1" x14ac:dyDescent="0.2">
      <c r="A292" s="115" t="s">
        <v>1055</v>
      </c>
      <c r="B292" s="115" t="s">
        <v>78</v>
      </c>
      <c r="C292" s="115">
        <v>1679.08</v>
      </c>
      <c r="D292" s="115">
        <v>1.04</v>
      </c>
      <c r="E292" s="115">
        <v>34.270000000000003</v>
      </c>
      <c r="F292" s="115">
        <v>51.26</v>
      </c>
      <c r="G292" s="115">
        <v>0.53</v>
      </c>
      <c r="H292" s="115">
        <v>4.67</v>
      </c>
      <c r="I292" s="115">
        <v>0.49</v>
      </c>
      <c r="J292" s="116">
        <v>40330</v>
      </c>
      <c r="K292" s="132" t="s">
        <v>463</v>
      </c>
      <c r="L292" s="111">
        <f t="shared" si="4"/>
        <v>9.1104174795161919E-2</v>
      </c>
    </row>
    <row r="293" spans="1:12" ht="17" customHeight="1" x14ac:dyDescent="0.2">
      <c r="A293" s="115" t="s">
        <v>1056</v>
      </c>
      <c r="B293" s="115" t="s">
        <v>84</v>
      </c>
      <c r="C293" s="115">
        <v>7169.92</v>
      </c>
      <c r="D293" s="115">
        <v>0.67</v>
      </c>
      <c r="E293" s="115">
        <v>17.13</v>
      </c>
      <c r="F293" s="115">
        <v>18.16</v>
      </c>
      <c r="G293" s="115">
        <v>0.02</v>
      </c>
      <c r="H293" s="115">
        <v>3.01</v>
      </c>
      <c r="I293" s="115">
        <v>0.49</v>
      </c>
      <c r="J293" s="116">
        <v>41796</v>
      </c>
      <c r="K293" s="132" t="s">
        <v>463</v>
      </c>
      <c r="L293" s="111">
        <f t="shared" si="4"/>
        <v>0.16574889867841408</v>
      </c>
    </row>
    <row r="294" spans="1:12" ht="17" customHeight="1" x14ac:dyDescent="0.2">
      <c r="A294" s="115" t="s">
        <v>535</v>
      </c>
      <c r="B294" s="115" t="s">
        <v>536</v>
      </c>
      <c r="C294" s="115">
        <v>2509.37</v>
      </c>
      <c r="D294" s="115">
        <v>1.56</v>
      </c>
      <c r="E294" s="115">
        <v>84.13</v>
      </c>
      <c r="F294" s="115">
        <v>92.08</v>
      </c>
      <c r="G294" s="115">
        <v>0.71</v>
      </c>
      <c r="H294" s="115">
        <v>3.82</v>
      </c>
      <c r="I294" s="115">
        <v>0.5</v>
      </c>
      <c r="J294" s="116">
        <v>36529</v>
      </c>
      <c r="K294" s="132" t="s">
        <v>463</v>
      </c>
      <c r="L294" s="111">
        <f t="shared" si="4"/>
        <v>4.1485664639443962E-2</v>
      </c>
    </row>
    <row r="295" spans="1:12" ht="17" customHeight="1" x14ac:dyDescent="0.2">
      <c r="A295" s="115" t="s">
        <v>1057</v>
      </c>
      <c r="B295" s="115" t="s">
        <v>1058</v>
      </c>
      <c r="C295" s="115">
        <v>4968.49</v>
      </c>
      <c r="D295" s="115">
        <v>1.23</v>
      </c>
      <c r="E295" s="115">
        <v>48.53</v>
      </c>
      <c r="F295" s="115">
        <v>37.78</v>
      </c>
      <c r="G295" s="115">
        <v>0.56999999999999995</v>
      </c>
      <c r="H295" s="115">
        <v>3.91</v>
      </c>
      <c r="I295" s="115">
        <v>0.5</v>
      </c>
      <c r="J295" s="116">
        <v>40490</v>
      </c>
      <c r="K295" s="132" t="s">
        <v>463</v>
      </c>
      <c r="L295" s="111">
        <f t="shared" si="4"/>
        <v>0.10349391212281631</v>
      </c>
    </row>
    <row r="296" spans="1:12" ht="17" customHeight="1" x14ac:dyDescent="0.2">
      <c r="A296" s="115" t="s">
        <v>481</v>
      </c>
      <c r="B296" s="115" t="s">
        <v>482</v>
      </c>
      <c r="C296" s="115">
        <v>3295.91</v>
      </c>
      <c r="D296" s="115">
        <v>0.85</v>
      </c>
      <c r="E296" s="115">
        <v>44.91</v>
      </c>
      <c r="F296" s="115">
        <v>31.84</v>
      </c>
      <c r="G296" s="115">
        <v>0.2</v>
      </c>
      <c r="H296" s="115">
        <v>3.53</v>
      </c>
      <c r="I296" s="115">
        <v>0.51</v>
      </c>
      <c r="J296" s="116">
        <v>36529</v>
      </c>
      <c r="K296" s="132" t="s">
        <v>463</v>
      </c>
      <c r="L296" s="111">
        <f t="shared" si="4"/>
        <v>0.11086683417085427</v>
      </c>
    </row>
    <row r="297" spans="1:12" ht="17" customHeight="1" x14ac:dyDescent="0.2">
      <c r="A297" s="115" t="s">
        <v>1059</v>
      </c>
      <c r="B297" s="115" t="s">
        <v>1060</v>
      </c>
      <c r="C297" s="115">
        <v>3077.54</v>
      </c>
      <c r="D297" s="115">
        <v>0.89</v>
      </c>
      <c r="E297" s="115">
        <v>50.76</v>
      </c>
      <c r="F297" s="115">
        <v>50.28</v>
      </c>
      <c r="G297" s="115">
        <v>0.24</v>
      </c>
      <c r="H297" s="115">
        <v>6.95</v>
      </c>
      <c r="I297" s="115">
        <v>0.51</v>
      </c>
      <c r="J297" s="116">
        <v>42024</v>
      </c>
      <c r="K297" s="132" t="s">
        <v>463</v>
      </c>
      <c r="L297" s="111">
        <f t="shared" si="4"/>
        <v>0.13822593476531425</v>
      </c>
    </row>
    <row r="298" spans="1:12" ht="17" customHeight="1" x14ac:dyDescent="0.2">
      <c r="A298" s="115" t="s">
        <v>1061</v>
      </c>
      <c r="B298" s="115" t="s">
        <v>1062</v>
      </c>
      <c r="C298" s="115">
        <v>5705.49</v>
      </c>
      <c r="D298" s="115">
        <v>0.56999999999999995</v>
      </c>
      <c r="E298" s="115">
        <v>29.58</v>
      </c>
      <c r="F298" s="115">
        <v>15.26</v>
      </c>
      <c r="G298" s="115">
        <v>0.4</v>
      </c>
      <c r="H298" s="115">
        <v>2.0299999999999998</v>
      </c>
      <c r="I298" s="115">
        <v>0.52</v>
      </c>
      <c r="J298" s="116">
        <v>42240</v>
      </c>
      <c r="K298" s="132" t="s">
        <v>463</v>
      </c>
      <c r="L298" s="111">
        <f t="shared" si="4"/>
        <v>0.1330275229357798</v>
      </c>
    </row>
    <row r="299" spans="1:12" ht="17" customHeight="1" x14ac:dyDescent="0.2">
      <c r="A299" s="115" t="s">
        <v>1063</v>
      </c>
      <c r="B299" s="115" t="s">
        <v>1064</v>
      </c>
      <c r="C299" s="115">
        <v>4553.04</v>
      </c>
      <c r="D299" s="115">
        <v>0.34</v>
      </c>
      <c r="E299" s="115">
        <v>26.2</v>
      </c>
      <c r="F299" s="115">
        <v>63.52</v>
      </c>
      <c r="G299" s="115">
        <v>0.38</v>
      </c>
      <c r="H299" s="115">
        <v>3.19</v>
      </c>
      <c r="I299" s="115">
        <v>0.52</v>
      </c>
      <c r="J299" s="116">
        <v>43179</v>
      </c>
      <c r="K299" s="132" t="s">
        <v>463</v>
      </c>
      <c r="L299" s="111">
        <f t="shared" si="4"/>
        <v>5.0220403022670022E-2</v>
      </c>
    </row>
    <row r="300" spans="1:12" ht="17" customHeight="1" x14ac:dyDescent="0.2">
      <c r="A300" s="115" t="s">
        <v>575</v>
      </c>
      <c r="B300" s="115" t="s">
        <v>576</v>
      </c>
      <c r="C300" s="115">
        <v>6698.78</v>
      </c>
      <c r="D300" s="115">
        <v>1.18</v>
      </c>
      <c r="E300" s="115">
        <v>64.5</v>
      </c>
      <c r="F300" s="115">
        <v>97.16</v>
      </c>
      <c r="G300" s="115">
        <v>0.65</v>
      </c>
      <c r="H300" s="115">
        <v>7.38</v>
      </c>
      <c r="I300" s="115">
        <v>0.54</v>
      </c>
      <c r="J300" s="116">
        <v>39265</v>
      </c>
      <c r="K300" s="132" t="s">
        <v>463</v>
      </c>
      <c r="L300" s="111">
        <f t="shared" si="4"/>
        <v>7.5957184026348296E-2</v>
      </c>
    </row>
    <row r="301" spans="1:12" ht="17" customHeight="1" x14ac:dyDescent="0.2">
      <c r="A301" s="115" t="s">
        <v>1065</v>
      </c>
      <c r="B301" s="115" t="s">
        <v>1066</v>
      </c>
      <c r="C301" s="115">
        <v>4443.46</v>
      </c>
      <c r="D301" s="115">
        <v>1.35</v>
      </c>
      <c r="E301" s="115">
        <v>45.77</v>
      </c>
      <c r="F301" s="115">
        <v>29.41</v>
      </c>
      <c r="G301" s="115">
        <v>0.77</v>
      </c>
      <c r="H301" s="115">
        <v>4.13</v>
      </c>
      <c r="I301" s="115">
        <v>0.54</v>
      </c>
      <c r="J301" s="116">
        <v>37621</v>
      </c>
      <c r="K301" s="132" t="s">
        <v>463</v>
      </c>
      <c r="L301" s="111">
        <f t="shared" si="4"/>
        <v>0.14042842570554231</v>
      </c>
    </row>
    <row r="302" spans="1:12" ht="17" customHeight="1" x14ac:dyDescent="0.2">
      <c r="A302" s="115" t="s">
        <v>1067</v>
      </c>
      <c r="B302" s="115" t="s">
        <v>1068</v>
      </c>
      <c r="C302" s="115">
        <v>7800.86</v>
      </c>
      <c r="D302" s="115">
        <v>0.3</v>
      </c>
      <c r="E302" s="115">
        <v>40.46</v>
      </c>
      <c r="F302" s="115">
        <v>15.93</v>
      </c>
      <c r="G302" s="115">
        <v>0.28000000000000003</v>
      </c>
      <c r="H302" s="115">
        <v>2.1800000000000002</v>
      </c>
      <c r="I302" s="115">
        <v>0.55000000000000004</v>
      </c>
      <c r="J302" s="116">
        <v>40308</v>
      </c>
      <c r="K302" s="132" t="s">
        <v>463</v>
      </c>
      <c r="L302" s="111">
        <f t="shared" si="4"/>
        <v>0.13684871311989957</v>
      </c>
    </row>
    <row r="303" spans="1:12" ht="17" customHeight="1" x14ac:dyDescent="0.2">
      <c r="A303" s="115" t="s">
        <v>1069</v>
      </c>
      <c r="B303" s="115" t="s">
        <v>1070</v>
      </c>
      <c r="C303" s="115">
        <v>2708.34</v>
      </c>
      <c r="D303" s="115">
        <v>1.76</v>
      </c>
      <c r="E303" s="115">
        <v>55.31</v>
      </c>
      <c r="F303" s="115">
        <v>39.840000000000003</v>
      </c>
      <c r="G303" s="115">
        <v>0.39</v>
      </c>
      <c r="H303" s="115">
        <v>3.68</v>
      </c>
      <c r="I303" s="115">
        <v>0.55000000000000004</v>
      </c>
      <c r="J303" s="116">
        <v>42219</v>
      </c>
      <c r="K303" s="132" t="s">
        <v>463</v>
      </c>
      <c r="L303" s="111">
        <f t="shared" si="4"/>
        <v>9.2369477911646583E-2</v>
      </c>
    </row>
    <row r="304" spans="1:12" ht="17" customHeight="1" x14ac:dyDescent="0.2">
      <c r="A304" s="115" t="s">
        <v>1071</v>
      </c>
      <c r="B304" s="115" t="s">
        <v>147</v>
      </c>
      <c r="C304" s="115">
        <v>1706.44</v>
      </c>
      <c r="D304" s="115">
        <v>2.4900000000000002</v>
      </c>
      <c r="E304" s="115">
        <v>22.59</v>
      </c>
      <c r="F304" s="115">
        <v>38.56</v>
      </c>
      <c r="G304" s="115">
        <v>0.46</v>
      </c>
      <c r="H304" s="115">
        <v>3.76</v>
      </c>
      <c r="I304" s="115">
        <v>0.56000000000000005</v>
      </c>
      <c r="J304" s="116">
        <v>41971</v>
      </c>
      <c r="K304" s="132" t="s">
        <v>463</v>
      </c>
      <c r="L304" s="111">
        <f t="shared" si="4"/>
        <v>9.7510373443983389E-2</v>
      </c>
    </row>
    <row r="305" spans="1:12" ht="17" customHeight="1" x14ac:dyDescent="0.2">
      <c r="A305" s="115" t="s">
        <v>1072</v>
      </c>
      <c r="B305" s="115" t="s">
        <v>1073</v>
      </c>
      <c r="C305" s="115">
        <v>7063.87</v>
      </c>
      <c r="D305" s="115">
        <v>0.27</v>
      </c>
      <c r="E305" s="115">
        <v>32.61</v>
      </c>
      <c r="F305" s="115">
        <v>9.57</v>
      </c>
      <c r="G305" s="115">
        <v>0.76</v>
      </c>
      <c r="H305" s="115">
        <v>1.4</v>
      </c>
      <c r="I305" s="115">
        <v>0.56999999999999995</v>
      </c>
      <c r="J305" s="116">
        <v>41066</v>
      </c>
      <c r="K305" s="132" t="s">
        <v>463</v>
      </c>
      <c r="L305" s="111">
        <f t="shared" si="4"/>
        <v>0.14629049111807732</v>
      </c>
    </row>
    <row r="306" spans="1:12" ht="17" customHeight="1" x14ac:dyDescent="0.2">
      <c r="A306" s="115" t="s">
        <v>1074</v>
      </c>
      <c r="B306" s="115" t="s">
        <v>97</v>
      </c>
      <c r="C306" s="115">
        <v>9253.1</v>
      </c>
      <c r="D306" s="115">
        <v>0.32</v>
      </c>
      <c r="E306" s="115">
        <v>51.09</v>
      </c>
      <c r="F306" s="115">
        <v>50.04</v>
      </c>
      <c r="G306" s="115">
        <v>0.22</v>
      </c>
      <c r="H306" s="115">
        <v>6.28</v>
      </c>
      <c r="I306" s="115">
        <v>0.56999999999999995</v>
      </c>
      <c r="J306" s="116">
        <v>41943</v>
      </c>
      <c r="K306" s="132" t="s">
        <v>463</v>
      </c>
      <c r="L306" s="111">
        <f t="shared" si="4"/>
        <v>0.12549960031974422</v>
      </c>
    </row>
    <row r="307" spans="1:12" ht="17" customHeight="1" x14ac:dyDescent="0.2">
      <c r="A307" s="115" t="s">
        <v>611</v>
      </c>
      <c r="B307" s="115" t="s">
        <v>612</v>
      </c>
      <c r="C307" s="115">
        <v>15945.39</v>
      </c>
      <c r="D307" s="115">
        <v>0.31</v>
      </c>
      <c r="E307" s="115">
        <v>47.04</v>
      </c>
      <c r="F307" s="115">
        <v>15.33</v>
      </c>
      <c r="G307" s="115">
        <v>0.3</v>
      </c>
      <c r="H307" s="115">
        <v>3.4</v>
      </c>
      <c r="I307" s="115">
        <v>0.57999999999999996</v>
      </c>
      <c r="J307" s="116">
        <v>36529</v>
      </c>
      <c r="K307" s="132" t="s">
        <v>463</v>
      </c>
      <c r="L307" s="111">
        <f t="shared" si="4"/>
        <v>0.2217873450750163</v>
      </c>
    </row>
    <row r="308" spans="1:12" ht="17" customHeight="1" x14ac:dyDescent="0.2">
      <c r="A308" s="115" t="s">
        <v>654</v>
      </c>
      <c r="B308" s="115" t="s">
        <v>655</v>
      </c>
      <c r="C308" s="115">
        <v>6279.64</v>
      </c>
      <c r="D308" s="115">
        <v>1.43</v>
      </c>
      <c r="E308" s="115">
        <v>23.62</v>
      </c>
      <c r="F308" s="115">
        <v>32.99</v>
      </c>
      <c r="G308" s="115">
        <v>0.12</v>
      </c>
      <c r="H308" s="115">
        <v>4.3</v>
      </c>
      <c r="I308" s="115">
        <v>0.57999999999999996</v>
      </c>
      <c r="J308" s="116">
        <v>36529</v>
      </c>
      <c r="K308" s="132" t="s">
        <v>463</v>
      </c>
      <c r="L308" s="111">
        <f t="shared" si="4"/>
        <v>0.13034252803879962</v>
      </c>
    </row>
    <row r="309" spans="1:12" ht="17" customHeight="1" x14ac:dyDescent="0.2">
      <c r="A309" s="115" t="s">
        <v>1075</v>
      </c>
      <c r="B309" s="115" t="s">
        <v>1076</v>
      </c>
      <c r="C309" s="115">
        <v>11008.46</v>
      </c>
      <c r="D309" s="115">
        <v>1.06</v>
      </c>
      <c r="E309" s="115">
        <v>39.68</v>
      </c>
      <c r="F309" s="115">
        <v>36.01</v>
      </c>
      <c r="G309" s="115">
        <v>0.83</v>
      </c>
      <c r="H309" s="115">
        <v>4.8</v>
      </c>
      <c r="I309" s="115">
        <v>0.57999999999999996</v>
      </c>
      <c r="J309" s="116">
        <v>39265</v>
      </c>
      <c r="K309" s="132" t="s">
        <v>463</v>
      </c>
      <c r="L309" s="111">
        <f t="shared" si="4"/>
        <v>0.13329630658150515</v>
      </c>
    </row>
    <row r="310" spans="1:12" ht="17" customHeight="1" x14ac:dyDescent="0.2">
      <c r="A310" s="115" t="s">
        <v>1077</v>
      </c>
      <c r="B310" s="115" t="s">
        <v>1078</v>
      </c>
      <c r="C310" s="115">
        <v>2915.98</v>
      </c>
      <c r="D310" s="115">
        <v>0.56999999999999995</v>
      </c>
      <c r="E310" s="115">
        <v>27.84</v>
      </c>
      <c r="F310" s="115">
        <v>18.84</v>
      </c>
      <c r="G310" s="115">
        <v>0.5</v>
      </c>
      <c r="H310" s="115">
        <v>2.35</v>
      </c>
      <c r="I310" s="115">
        <v>0.57999999999999996</v>
      </c>
      <c r="J310" s="116">
        <v>40212</v>
      </c>
      <c r="K310" s="132" t="s">
        <v>463</v>
      </c>
      <c r="L310" s="111">
        <f t="shared" si="4"/>
        <v>0.12473460721868365</v>
      </c>
    </row>
    <row r="311" spans="1:12" ht="17" customHeight="1" x14ac:dyDescent="0.2">
      <c r="A311" s="115" t="s">
        <v>1079</v>
      </c>
      <c r="B311" s="115" t="s">
        <v>1080</v>
      </c>
      <c r="C311" s="115">
        <v>4128.03</v>
      </c>
      <c r="D311" s="115">
        <v>-0.26</v>
      </c>
      <c r="E311" s="115">
        <v>5.85</v>
      </c>
      <c r="F311" s="115">
        <v>12.9</v>
      </c>
      <c r="G311" s="115">
        <v>0.69</v>
      </c>
      <c r="H311" s="115">
        <v>1.48</v>
      </c>
      <c r="I311" s="115">
        <v>0.59</v>
      </c>
      <c r="J311" s="116">
        <v>42221</v>
      </c>
      <c r="K311" s="132" t="s">
        <v>463</v>
      </c>
      <c r="L311" s="111">
        <f t="shared" si="4"/>
        <v>0.11472868217054263</v>
      </c>
    </row>
    <row r="312" spans="1:12" ht="17" customHeight="1" x14ac:dyDescent="0.2">
      <c r="A312" s="115" t="s">
        <v>1081</v>
      </c>
      <c r="B312" s="115" t="s">
        <v>1082</v>
      </c>
      <c r="C312" s="115">
        <v>2990.96</v>
      </c>
      <c r="D312" s="115">
        <v>1.1200000000000001</v>
      </c>
      <c r="E312" s="115">
        <v>53.57</v>
      </c>
      <c r="F312" s="115">
        <v>50.69</v>
      </c>
      <c r="G312" s="115">
        <v>0.16</v>
      </c>
      <c r="H312" s="115">
        <v>7.09</v>
      </c>
      <c r="I312" s="115">
        <v>0.6</v>
      </c>
      <c r="J312" s="116">
        <v>42132</v>
      </c>
      <c r="K312" s="132" t="s">
        <v>463</v>
      </c>
      <c r="L312" s="111">
        <f t="shared" si="4"/>
        <v>0.13986979680410339</v>
      </c>
    </row>
    <row r="313" spans="1:12" ht="17" customHeight="1" x14ac:dyDescent="0.2">
      <c r="A313" s="115" t="s">
        <v>1083</v>
      </c>
      <c r="B313" s="115" t="s">
        <v>1084</v>
      </c>
      <c r="C313" s="115">
        <v>4377.26</v>
      </c>
      <c r="D313" s="115">
        <v>0.97</v>
      </c>
      <c r="E313" s="115">
        <v>45.82</v>
      </c>
      <c r="F313" s="115">
        <v>21.44</v>
      </c>
      <c r="G313" s="115">
        <v>0.51</v>
      </c>
      <c r="H313" s="115">
        <v>2.89</v>
      </c>
      <c r="I313" s="115">
        <v>0.61</v>
      </c>
      <c r="J313" s="116">
        <v>37623</v>
      </c>
      <c r="K313" s="132" t="s">
        <v>463</v>
      </c>
      <c r="L313" s="111">
        <f t="shared" si="4"/>
        <v>0.13479477611940299</v>
      </c>
    </row>
    <row r="314" spans="1:12" ht="17" customHeight="1" x14ac:dyDescent="0.2">
      <c r="A314" s="115" t="s">
        <v>1085</v>
      </c>
      <c r="B314" s="115" t="s">
        <v>1086</v>
      </c>
      <c r="C314" s="115">
        <v>5617.75</v>
      </c>
      <c r="D314" s="115">
        <v>0.97</v>
      </c>
      <c r="E314" s="115">
        <v>48.34</v>
      </c>
      <c r="F314" s="115">
        <v>21.44</v>
      </c>
      <c r="G314" s="115">
        <v>0.51</v>
      </c>
      <c r="H314" s="115">
        <v>2.89</v>
      </c>
      <c r="I314" s="115">
        <v>0.61</v>
      </c>
      <c r="J314" s="116">
        <v>37623</v>
      </c>
      <c r="K314" s="132" t="s">
        <v>463</v>
      </c>
      <c r="L314" s="111">
        <f t="shared" si="4"/>
        <v>0.13479477611940299</v>
      </c>
    </row>
    <row r="315" spans="1:12" ht="17" customHeight="1" x14ac:dyDescent="0.2">
      <c r="A315" s="115" t="s">
        <v>603</v>
      </c>
      <c r="B315" s="115" t="s">
        <v>604</v>
      </c>
      <c r="C315" s="115">
        <v>5578.15</v>
      </c>
      <c r="D315" s="115">
        <v>0.97</v>
      </c>
      <c r="E315" s="115">
        <v>88.66</v>
      </c>
      <c r="F315" s="115">
        <v>40.200000000000003</v>
      </c>
      <c r="G315" s="115">
        <v>0.46</v>
      </c>
      <c r="H315" s="115">
        <v>3.74</v>
      </c>
      <c r="I315" s="115">
        <v>0.61</v>
      </c>
      <c r="J315" s="116">
        <v>36529</v>
      </c>
      <c r="K315" s="132" t="s">
        <v>463</v>
      </c>
      <c r="L315" s="111">
        <f t="shared" si="4"/>
        <v>9.3034825870646765E-2</v>
      </c>
    </row>
    <row r="316" spans="1:12" ht="17" customHeight="1" x14ac:dyDescent="0.2">
      <c r="A316" s="115" t="s">
        <v>630</v>
      </c>
      <c r="B316" s="115" t="s">
        <v>631</v>
      </c>
      <c r="C316" s="115">
        <v>15410.6</v>
      </c>
      <c r="D316" s="115">
        <v>0.72</v>
      </c>
      <c r="E316" s="115">
        <v>33.39</v>
      </c>
      <c r="F316" s="115">
        <v>28.66</v>
      </c>
      <c r="G316" s="115">
        <v>0.22</v>
      </c>
      <c r="H316" s="115">
        <v>4.7699999999999996</v>
      </c>
      <c r="I316" s="115">
        <v>0.61</v>
      </c>
      <c r="J316" s="116">
        <v>36529</v>
      </c>
      <c r="K316" s="132" t="s">
        <v>463</v>
      </c>
      <c r="L316" s="111">
        <f t="shared" si="4"/>
        <v>0.16643405443126308</v>
      </c>
    </row>
    <row r="317" spans="1:12" ht="17" customHeight="1" x14ac:dyDescent="0.2">
      <c r="A317" s="115" t="s">
        <v>1087</v>
      </c>
      <c r="B317" s="115" t="s">
        <v>167</v>
      </c>
      <c r="C317" s="115">
        <v>9620.76</v>
      </c>
      <c r="D317" s="115">
        <v>0.51</v>
      </c>
      <c r="E317" s="115">
        <v>48.56</v>
      </c>
      <c r="F317" s="115">
        <v>15.87</v>
      </c>
      <c r="G317" s="115">
        <v>0.47</v>
      </c>
      <c r="H317" s="115">
        <v>2.37</v>
      </c>
      <c r="I317" s="115">
        <v>0.61</v>
      </c>
      <c r="J317" s="116">
        <v>37621</v>
      </c>
      <c r="K317" s="132" t="s">
        <v>463</v>
      </c>
      <c r="L317" s="111">
        <f t="shared" si="4"/>
        <v>0.14933837429111532</v>
      </c>
    </row>
    <row r="318" spans="1:12" ht="17" customHeight="1" x14ac:dyDescent="0.2">
      <c r="A318" s="115" t="s">
        <v>485</v>
      </c>
      <c r="B318" s="115" t="s">
        <v>486</v>
      </c>
      <c r="C318" s="115">
        <v>7192</v>
      </c>
      <c r="D318" s="115">
        <v>0.34</v>
      </c>
      <c r="E318" s="115">
        <v>45.13</v>
      </c>
      <c r="F318" s="115">
        <v>15.83</v>
      </c>
      <c r="G318" s="115">
        <v>0.25</v>
      </c>
      <c r="H318" s="115">
        <v>3.13</v>
      </c>
      <c r="I318" s="115">
        <v>0.62</v>
      </c>
      <c r="J318" s="116">
        <v>36529</v>
      </c>
      <c r="K318" s="132" t="s">
        <v>463</v>
      </c>
      <c r="L318" s="111">
        <f t="shared" si="4"/>
        <v>0.19772583701831964</v>
      </c>
    </row>
    <row r="319" spans="1:12" ht="17" customHeight="1" x14ac:dyDescent="0.2">
      <c r="A319" s="115" t="s">
        <v>531</v>
      </c>
      <c r="B319" s="115" t="s">
        <v>532</v>
      </c>
      <c r="C319" s="115">
        <v>4050.75</v>
      </c>
      <c r="D319" s="115">
        <v>0.55000000000000004</v>
      </c>
      <c r="E319" s="115">
        <v>44.44</v>
      </c>
      <c r="F319" s="115">
        <v>35.630000000000003</v>
      </c>
      <c r="G319" s="115">
        <v>0.26</v>
      </c>
      <c r="H319" s="115">
        <v>3.68</v>
      </c>
      <c r="I319" s="115">
        <v>0.63</v>
      </c>
      <c r="J319" s="116">
        <v>36529</v>
      </c>
      <c r="K319" s="132" t="s">
        <v>463</v>
      </c>
      <c r="L319" s="111">
        <f t="shared" si="4"/>
        <v>0.10328374964917204</v>
      </c>
    </row>
    <row r="320" spans="1:12" ht="17" customHeight="1" x14ac:dyDescent="0.2">
      <c r="A320" s="115" t="s">
        <v>1088</v>
      </c>
      <c r="B320" s="115" t="s">
        <v>1089</v>
      </c>
      <c r="C320" s="115">
        <v>1516.34</v>
      </c>
      <c r="D320" s="115">
        <v>0.72</v>
      </c>
      <c r="E320" s="115">
        <v>15.81</v>
      </c>
      <c r="F320" s="115">
        <v>34.07</v>
      </c>
      <c r="G320" s="115">
        <v>0.68</v>
      </c>
      <c r="H320" s="115">
        <v>4.29</v>
      </c>
      <c r="I320" s="115">
        <v>0.64</v>
      </c>
      <c r="J320" s="116">
        <v>41796</v>
      </c>
      <c r="K320" s="132" t="s">
        <v>463</v>
      </c>
      <c r="L320" s="111">
        <f t="shared" si="4"/>
        <v>0.12591722923393014</v>
      </c>
    </row>
    <row r="321" spans="1:12" ht="17" customHeight="1" x14ac:dyDescent="0.2">
      <c r="A321" s="115" t="s">
        <v>1090</v>
      </c>
      <c r="B321" s="115" t="s">
        <v>164</v>
      </c>
      <c r="C321" s="115">
        <v>10498.59</v>
      </c>
      <c r="D321" s="115">
        <v>0.79</v>
      </c>
      <c r="E321" s="115">
        <v>41.71</v>
      </c>
      <c r="F321" s="115">
        <v>36.78</v>
      </c>
      <c r="G321" s="115">
        <v>0.65</v>
      </c>
      <c r="H321" s="115">
        <v>4.7300000000000004</v>
      </c>
      <c r="I321" s="115">
        <v>0.67</v>
      </c>
      <c r="J321" s="116">
        <v>41211</v>
      </c>
      <c r="K321" s="132" t="s">
        <v>463</v>
      </c>
      <c r="L321" s="111">
        <f t="shared" si="4"/>
        <v>0.12860250135943449</v>
      </c>
    </row>
    <row r="322" spans="1:12" ht="17" customHeight="1" x14ac:dyDescent="0.2">
      <c r="A322" s="115" t="s">
        <v>1091</v>
      </c>
      <c r="B322" s="115" t="s">
        <v>143</v>
      </c>
      <c r="C322" s="115">
        <v>10142.41</v>
      </c>
      <c r="D322" s="115">
        <v>0.68</v>
      </c>
      <c r="E322" s="115">
        <v>35.39</v>
      </c>
      <c r="F322" s="115">
        <v>37.659999999999997</v>
      </c>
      <c r="G322" s="115">
        <v>0.82</v>
      </c>
      <c r="H322" s="115">
        <v>4.45</v>
      </c>
      <c r="I322" s="115">
        <v>0.68</v>
      </c>
      <c r="J322" s="116">
        <v>40956</v>
      </c>
      <c r="K322" s="132" t="s">
        <v>463</v>
      </c>
      <c r="L322" s="111">
        <f t="shared" ref="L322:L358" si="5">H322/F322</f>
        <v>0.11816250663834309</v>
      </c>
    </row>
    <row r="323" spans="1:12" ht="17" customHeight="1" x14ac:dyDescent="0.2">
      <c r="A323" s="115" t="s">
        <v>1092</v>
      </c>
      <c r="B323" s="115" t="s">
        <v>1093</v>
      </c>
      <c r="C323" s="115">
        <v>6562.35</v>
      </c>
      <c r="D323" s="115">
        <v>0.67</v>
      </c>
      <c r="E323" s="115">
        <v>25.37</v>
      </c>
      <c r="F323" s="115">
        <v>41.61</v>
      </c>
      <c r="G323" s="115">
        <v>0.69</v>
      </c>
      <c r="H323" s="115">
        <v>5.07</v>
      </c>
      <c r="I323" s="115">
        <v>0.7</v>
      </c>
      <c r="J323" s="116">
        <v>42132</v>
      </c>
      <c r="K323" s="132" t="s">
        <v>463</v>
      </c>
      <c r="L323" s="111">
        <f t="shared" si="5"/>
        <v>0.12184571016582553</v>
      </c>
    </row>
    <row r="324" spans="1:12" ht="17" customHeight="1" x14ac:dyDescent="0.2">
      <c r="A324" s="115" t="s">
        <v>1094</v>
      </c>
      <c r="B324" s="115" t="s">
        <v>1095</v>
      </c>
      <c r="C324" s="115">
        <v>2688.72</v>
      </c>
      <c r="D324" s="115">
        <v>0.61</v>
      </c>
      <c r="E324" s="115">
        <v>33.799999999999997</v>
      </c>
      <c r="F324" s="115">
        <v>20.95</v>
      </c>
      <c r="G324" s="115">
        <v>0.43</v>
      </c>
      <c r="H324" s="115">
        <v>2.87</v>
      </c>
      <c r="I324" s="115">
        <v>0.71</v>
      </c>
      <c r="J324" s="116">
        <v>42016</v>
      </c>
      <c r="K324" s="132" t="s">
        <v>463</v>
      </c>
      <c r="L324" s="111">
        <f t="shared" si="5"/>
        <v>0.13699284009546539</v>
      </c>
    </row>
    <row r="325" spans="1:12" ht="17" customHeight="1" x14ac:dyDescent="0.2">
      <c r="A325" s="115" t="s">
        <v>1096</v>
      </c>
      <c r="B325" s="115" t="s">
        <v>1097</v>
      </c>
      <c r="C325" s="115">
        <v>1752.84</v>
      </c>
      <c r="D325" s="115">
        <v>0.75</v>
      </c>
      <c r="E325" s="115">
        <v>36.93</v>
      </c>
      <c r="F325" s="115">
        <v>22.18</v>
      </c>
      <c r="G325" s="115">
        <v>0.82</v>
      </c>
      <c r="H325" s="115">
        <v>3.15</v>
      </c>
      <c r="I325" s="115">
        <v>0.73</v>
      </c>
      <c r="J325" s="116">
        <v>40050</v>
      </c>
      <c r="K325" s="132" t="s">
        <v>463</v>
      </c>
      <c r="L325" s="111">
        <f t="shared" si="5"/>
        <v>0.14201983769161405</v>
      </c>
    </row>
    <row r="326" spans="1:12" ht="17" customHeight="1" x14ac:dyDescent="0.2">
      <c r="A326" s="115" t="s">
        <v>577</v>
      </c>
      <c r="B326" s="115" t="s">
        <v>578</v>
      </c>
      <c r="C326" s="115">
        <v>5824.52</v>
      </c>
      <c r="D326" s="115">
        <v>-0.15</v>
      </c>
      <c r="E326" s="115">
        <v>42.95</v>
      </c>
      <c r="F326" s="115">
        <v>44.76</v>
      </c>
      <c r="G326" s="115">
        <v>0.35</v>
      </c>
      <c r="H326" s="115">
        <v>5.23</v>
      </c>
      <c r="I326" s="115">
        <v>0.74</v>
      </c>
      <c r="J326" s="116">
        <v>36529</v>
      </c>
      <c r="K326" s="132" t="s">
        <v>463</v>
      </c>
      <c r="L326" s="111">
        <f t="shared" si="5"/>
        <v>0.11684539767649689</v>
      </c>
    </row>
    <row r="327" spans="1:12" ht="17" customHeight="1" x14ac:dyDescent="0.2">
      <c r="A327" s="115" t="s">
        <v>1098</v>
      </c>
      <c r="B327" s="115" t="s">
        <v>1099</v>
      </c>
      <c r="C327" s="115">
        <v>1210.27</v>
      </c>
      <c r="D327" s="115">
        <v>0.54</v>
      </c>
      <c r="E327" s="115">
        <v>35.49</v>
      </c>
      <c r="F327" s="115">
        <v>30.68</v>
      </c>
      <c r="G327" s="115">
        <v>0.28999999999999998</v>
      </c>
      <c r="H327" s="115">
        <v>3.8</v>
      </c>
      <c r="I327" s="115">
        <v>0.74</v>
      </c>
      <c r="J327" s="116">
        <v>41842</v>
      </c>
      <c r="K327" s="132" t="s">
        <v>463</v>
      </c>
      <c r="L327" s="111">
        <f t="shared" si="5"/>
        <v>0.12385919165580182</v>
      </c>
    </row>
    <row r="328" spans="1:12" ht="17" customHeight="1" x14ac:dyDescent="0.2">
      <c r="A328" s="115" t="s">
        <v>1100</v>
      </c>
      <c r="B328" s="115" t="s">
        <v>1101</v>
      </c>
      <c r="C328" s="115">
        <v>4871.5200000000004</v>
      </c>
      <c r="D328" s="115">
        <v>0.59</v>
      </c>
      <c r="E328" s="115">
        <v>33.270000000000003</v>
      </c>
      <c r="F328" s="115">
        <v>25.05</v>
      </c>
      <c r="G328" s="115">
        <v>0.84</v>
      </c>
      <c r="H328" s="115">
        <v>3.6</v>
      </c>
      <c r="I328" s="115">
        <v>0.77</v>
      </c>
      <c r="J328" s="116">
        <v>40326</v>
      </c>
      <c r="K328" s="132" t="s">
        <v>463</v>
      </c>
      <c r="L328" s="111">
        <f t="shared" si="5"/>
        <v>0.1437125748502994</v>
      </c>
    </row>
    <row r="329" spans="1:12" ht="17" customHeight="1" x14ac:dyDescent="0.2">
      <c r="A329" s="115" t="s">
        <v>1102</v>
      </c>
      <c r="B329" s="115" t="s">
        <v>1103</v>
      </c>
      <c r="C329" s="115">
        <v>3740.39</v>
      </c>
      <c r="D329" s="115">
        <v>0.06</v>
      </c>
      <c r="E329" s="115">
        <v>40.619999999999997</v>
      </c>
      <c r="F329" s="115">
        <v>13.21</v>
      </c>
      <c r="G329" s="115">
        <v>0.73</v>
      </c>
      <c r="H329" s="115">
        <v>2.36</v>
      </c>
      <c r="I329" s="115">
        <v>0.77</v>
      </c>
      <c r="J329" s="116">
        <v>39822</v>
      </c>
      <c r="K329" s="132" t="s">
        <v>463</v>
      </c>
      <c r="L329" s="111">
        <f t="shared" si="5"/>
        <v>0.17865253595760786</v>
      </c>
    </row>
    <row r="330" spans="1:12" ht="17" customHeight="1" x14ac:dyDescent="0.2">
      <c r="A330" s="115" t="s">
        <v>1104</v>
      </c>
      <c r="B330" s="115" t="s">
        <v>1105</v>
      </c>
      <c r="C330" s="115">
        <v>3675.74</v>
      </c>
      <c r="D330" s="115">
        <v>0.91</v>
      </c>
      <c r="E330" s="115">
        <v>52.17</v>
      </c>
      <c r="F330" s="115">
        <v>51.45</v>
      </c>
      <c r="G330" s="115">
        <v>0.42</v>
      </c>
      <c r="H330" s="115">
        <v>7.3</v>
      </c>
      <c r="I330" s="115">
        <v>0.78</v>
      </c>
      <c r="J330" s="116">
        <v>42242</v>
      </c>
      <c r="K330" s="132" t="s">
        <v>463</v>
      </c>
      <c r="L330" s="111">
        <f t="shared" si="5"/>
        <v>0.14188532555879493</v>
      </c>
    </row>
    <row r="331" spans="1:12" ht="17" customHeight="1" x14ac:dyDescent="0.2">
      <c r="A331" s="115" t="s">
        <v>491</v>
      </c>
      <c r="B331" s="115" t="s">
        <v>492</v>
      </c>
      <c r="C331" s="115">
        <v>15340.67</v>
      </c>
      <c r="D331" s="115">
        <v>0.72</v>
      </c>
      <c r="E331" s="115">
        <v>70.48</v>
      </c>
      <c r="F331" s="115">
        <v>32.06</v>
      </c>
      <c r="G331" s="115">
        <v>0.46</v>
      </c>
      <c r="H331" s="115">
        <v>6.53</v>
      </c>
      <c r="I331" s="115">
        <v>0.8</v>
      </c>
      <c r="J331" s="116">
        <v>36529</v>
      </c>
      <c r="K331" s="132" t="s">
        <v>463</v>
      </c>
      <c r="L331" s="111">
        <f t="shared" si="5"/>
        <v>0.20368059887710543</v>
      </c>
    </row>
    <row r="332" spans="1:12" ht="17" customHeight="1" x14ac:dyDescent="0.2">
      <c r="A332" s="115" t="s">
        <v>1106</v>
      </c>
      <c r="B332" s="115" t="s">
        <v>1107</v>
      </c>
      <c r="C332" s="115">
        <v>4206.72</v>
      </c>
      <c r="D332" s="115">
        <v>1.03</v>
      </c>
      <c r="E332" s="115">
        <v>40.18</v>
      </c>
      <c r="F332" s="115">
        <v>21.44</v>
      </c>
      <c r="G332" s="115">
        <v>0.67</v>
      </c>
      <c r="H332" s="115">
        <v>2.89</v>
      </c>
      <c r="I332" s="115">
        <v>0.8</v>
      </c>
      <c r="J332" s="116">
        <v>43179</v>
      </c>
      <c r="K332" s="132" t="s">
        <v>463</v>
      </c>
      <c r="L332" s="111">
        <f t="shared" si="5"/>
        <v>0.13479477611940299</v>
      </c>
    </row>
    <row r="333" spans="1:12" ht="17" customHeight="1" x14ac:dyDescent="0.2">
      <c r="A333" s="115" t="s">
        <v>1108</v>
      </c>
      <c r="B333" s="115" t="s">
        <v>120</v>
      </c>
      <c r="C333" s="115">
        <v>2411.87</v>
      </c>
      <c r="D333" s="115">
        <v>1.04</v>
      </c>
      <c r="E333" s="115">
        <v>44.89</v>
      </c>
      <c r="F333" s="115">
        <v>39.89</v>
      </c>
      <c r="G333" s="115">
        <v>0.44</v>
      </c>
      <c r="H333" s="115">
        <v>5.47</v>
      </c>
      <c r="I333" s="115">
        <v>0.8</v>
      </c>
      <c r="J333" s="116">
        <v>41764</v>
      </c>
      <c r="K333" s="132" t="s">
        <v>463</v>
      </c>
      <c r="L333" s="111">
        <f t="shared" si="5"/>
        <v>0.13712709952369015</v>
      </c>
    </row>
    <row r="334" spans="1:12" ht="17" customHeight="1" x14ac:dyDescent="0.2">
      <c r="A334" s="115" t="s">
        <v>1109</v>
      </c>
      <c r="B334" s="115" t="s">
        <v>153</v>
      </c>
      <c r="C334" s="115">
        <v>9785.6</v>
      </c>
      <c r="D334" s="115">
        <v>-0.24</v>
      </c>
      <c r="E334" s="115">
        <v>-2.76</v>
      </c>
      <c r="F334" s="115">
        <v>37.700000000000003</v>
      </c>
      <c r="G334" s="115">
        <v>0.73</v>
      </c>
      <c r="H334" s="115">
        <v>4.41</v>
      </c>
      <c r="I334" s="115">
        <v>0.81</v>
      </c>
      <c r="J334" s="116">
        <v>43572</v>
      </c>
      <c r="K334" s="132" t="s">
        <v>463</v>
      </c>
      <c r="L334" s="111">
        <f t="shared" si="5"/>
        <v>0.1169761273209549</v>
      </c>
    </row>
    <row r="335" spans="1:12" ht="17" customHeight="1" x14ac:dyDescent="0.2">
      <c r="A335" s="115" t="s">
        <v>1110</v>
      </c>
      <c r="B335" s="115" t="s">
        <v>1111</v>
      </c>
      <c r="C335" s="115">
        <v>3116.64</v>
      </c>
      <c r="D335" s="115">
        <v>-0.04</v>
      </c>
      <c r="E335" s="115">
        <v>19.309999999999999</v>
      </c>
      <c r="F335" s="115">
        <v>12.38</v>
      </c>
      <c r="G335" s="115">
        <v>0.86</v>
      </c>
      <c r="H335" s="115">
        <v>1.35</v>
      </c>
      <c r="I335" s="115">
        <v>0.82</v>
      </c>
      <c r="J335" s="116">
        <v>43678</v>
      </c>
      <c r="K335" s="132" t="s">
        <v>463</v>
      </c>
      <c r="L335" s="111">
        <f t="shared" si="5"/>
        <v>0.10904684975767366</v>
      </c>
    </row>
    <row r="336" spans="1:12" ht="17" customHeight="1" x14ac:dyDescent="0.2">
      <c r="A336" s="115" t="s">
        <v>1112</v>
      </c>
      <c r="B336" s="115" t="s">
        <v>1113</v>
      </c>
      <c r="C336" s="115">
        <v>4865.5</v>
      </c>
      <c r="D336" s="115">
        <v>0.52</v>
      </c>
      <c r="E336" s="115">
        <v>47.61</v>
      </c>
      <c r="F336" s="115">
        <v>16.97</v>
      </c>
      <c r="G336" s="115">
        <v>0.79</v>
      </c>
      <c r="H336" s="115">
        <v>3.27</v>
      </c>
      <c r="I336" s="115">
        <v>0.83</v>
      </c>
      <c r="J336" s="116">
        <v>39468</v>
      </c>
      <c r="K336" s="132" t="s">
        <v>463</v>
      </c>
      <c r="L336" s="111">
        <f t="shared" si="5"/>
        <v>0.192692987625221</v>
      </c>
    </row>
    <row r="337" spans="1:12" ht="17" customHeight="1" x14ac:dyDescent="0.2">
      <c r="A337" s="115" t="s">
        <v>549</v>
      </c>
      <c r="B337" s="115" t="s">
        <v>550</v>
      </c>
      <c r="C337" s="115">
        <v>8465.31</v>
      </c>
      <c r="D337" s="115">
        <v>1.1000000000000001</v>
      </c>
      <c r="E337" s="115">
        <v>47.67</v>
      </c>
      <c r="F337" s="115">
        <v>30.15</v>
      </c>
      <c r="G337" s="115">
        <v>0.82</v>
      </c>
      <c r="H337" s="115">
        <v>3.35</v>
      </c>
      <c r="I337" s="115">
        <v>0.83</v>
      </c>
      <c r="J337" s="116">
        <v>36529</v>
      </c>
      <c r="K337" s="132" t="s">
        <v>463</v>
      </c>
      <c r="L337" s="111">
        <f t="shared" si="5"/>
        <v>0.11111111111111112</v>
      </c>
    </row>
    <row r="338" spans="1:12" ht="17" customHeight="1" x14ac:dyDescent="0.2">
      <c r="A338" s="115" t="s">
        <v>623</v>
      </c>
      <c r="B338" s="115" t="s">
        <v>624</v>
      </c>
      <c r="C338" s="115">
        <v>20456.12</v>
      </c>
      <c r="D338" s="115">
        <v>0.73</v>
      </c>
      <c r="E338" s="115">
        <v>91.26</v>
      </c>
      <c r="F338" s="115">
        <v>33.229999999999997</v>
      </c>
      <c r="G338" s="115">
        <v>0.48</v>
      </c>
      <c r="H338" s="115">
        <v>7.33</v>
      </c>
      <c r="I338" s="115">
        <v>0.83</v>
      </c>
      <c r="J338" s="116">
        <v>36529</v>
      </c>
      <c r="K338" s="132" t="s">
        <v>463</v>
      </c>
      <c r="L338" s="111">
        <f t="shared" si="5"/>
        <v>0.22058380981041231</v>
      </c>
    </row>
    <row r="339" spans="1:12" ht="17" customHeight="1" x14ac:dyDescent="0.2">
      <c r="A339" s="115" t="s">
        <v>1114</v>
      </c>
      <c r="B339" s="115" t="s">
        <v>1115</v>
      </c>
      <c r="C339" s="115">
        <v>2605.89</v>
      </c>
      <c r="D339" s="115">
        <v>0.6</v>
      </c>
      <c r="E339" s="115">
        <v>36.6</v>
      </c>
      <c r="F339" s="115">
        <v>15.13</v>
      </c>
      <c r="G339" s="115">
        <v>0.39</v>
      </c>
      <c r="H339" s="115">
        <v>2.2799999999999998</v>
      </c>
      <c r="I339" s="115">
        <v>0.86</v>
      </c>
      <c r="J339" s="116">
        <v>41127</v>
      </c>
      <c r="K339" s="132" t="s">
        <v>463</v>
      </c>
      <c r="L339" s="111">
        <f t="shared" si="5"/>
        <v>0.15069398545935225</v>
      </c>
    </row>
    <row r="340" spans="1:12" ht="17" customHeight="1" x14ac:dyDescent="0.2">
      <c r="A340" s="115" t="s">
        <v>1116</v>
      </c>
      <c r="B340" s="115" t="s">
        <v>1117</v>
      </c>
      <c r="C340" s="115">
        <v>2476.61</v>
      </c>
      <c r="D340" s="115">
        <v>1.4</v>
      </c>
      <c r="E340" s="115">
        <v>54.57</v>
      </c>
      <c r="F340" s="115">
        <v>31.59</v>
      </c>
      <c r="G340" s="115">
        <v>0.15</v>
      </c>
      <c r="H340" s="115">
        <v>5.54</v>
      </c>
      <c r="I340" s="115">
        <v>0.86</v>
      </c>
      <c r="J340" s="116">
        <v>42073</v>
      </c>
      <c r="K340" s="132" t="s">
        <v>463</v>
      </c>
      <c r="L340" s="111">
        <f t="shared" si="5"/>
        <v>0.17537195314973092</v>
      </c>
    </row>
    <row r="341" spans="1:12" ht="17" customHeight="1" x14ac:dyDescent="0.2">
      <c r="A341" s="115" t="s">
        <v>599</v>
      </c>
      <c r="B341" s="115" t="s">
        <v>600</v>
      </c>
      <c r="C341" s="115">
        <v>4575.2700000000004</v>
      </c>
      <c r="D341" s="115">
        <v>1.73</v>
      </c>
      <c r="E341" s="115">
        <v>59.93</v>
      </c>
      <c r="F341" s="115">
        <v>26.4</v>
      </c>
      <c r="G341" s="115">
        <v>0.13</v>
      </c>
      <c r="H341" s="115">
        <v>5.25</v>
      </c>
      <c r="I341" s="115">
        <v>0.87</v>
      </c>
      <c r="J341" s="116">
        <v>36529</v>
      </c>
      <c r="K341" s="132" t="s">
        <v>463</v>
      </c>
      <c r="L341" s="111">
        <f t="shared" si="5"/>
        <v>0.19886363636363638</v>
      </c>
    </row>
    <row r="342" spans="1:12" ht="17" customHeight="1" x14ac:dyDescent="0.2">
      <c r="A342" s="115" t="s">
        <v>1118</v>
      </c>
      <c r="B342" s="115" t="s">
        <v>1119</v>
      </c>
      <c r="C342" s="115">
        <v>3603.96</v>
      </c>
      <c r="D342" s="115">
        <v>0.59</v>
      </c>
      <c r="E342" s="115">
        <v>61.93</v>
      </c>
      <c r="F342" s="115">
        <v>38.74</v>
      </c>
      <c r="G342" s="115">
        <v>0.59</v>
      </c>
      <c r="H342" s="115">
        <v>4.97</v>
      </c>
      <c r="I342" s="115">
        <v>0.89</v>
      </c>
      <c r="J342" s="116">
        <v>42221</v>
      </c>
      <c r="K342" s="132" t="s">
        <v>463</v>
      </c>
      <c r="L342" s="111">
        <f t="shared" si="5"/>
        <v>0.12829117191533299</v>
      </c>
    </row>
    <row r="343" spans="1:12" ht="17" customHeight="1" x14ac:dyDescent="0.2">
      <c r="A343" s="115" t="s">
        <v>1120</v>
      </c>
      <c r="B343" s="115" t="s">
        <v>65</v>
      </c>
      <c r="C343" s="115">
        <v>16030.46</v>
      </c>
      <c r="D343" s="115">
        <v>0.94</v>
      </c>
      <c r="E343" s="115">
        <v>63.77</v>
      </c>
      <c r="F343" s="115">
        <v>32.409999999999997</v>
      </c>
      <c r="G343" s="115">
        <v>0.67</v>
      </c>
      <c r="H343" s="115">
        <v>6.61</v>
      </c>
      <c r="I343" s="115">
        <v>0.9</v>
      </c>
      <c r="J343" s="116">
        <v>39997</v>
      </c>
      <c r="K343" s="132" t="s">
        <v>463</v>
      </c>
      <c r="L343" s="111">
        <f t="shared" si="5"/>
        <v>0.20394939833384762</v>
      </c>
    </row>
    <row r="344" spans="1:12" ht="17" customHeight="1" x14ac:dyDescent="0.2">
      <c r="A344" s="115" t="s">
        <v>1121</v>
      </c>
      <c r="B344" s="115" t="s">
        <v>1122</v>
      </c>
      <c r="C344" s="115">
        <v>3134.57</v>
      </c>
      <c r="D344" s="115">
        <v>1.35</v>
      </c>
      <c r="E344" s="115">
        <v>59.72</v>
      </c>
      <c r="F344" s="115">
        <v>56.15</v>
      </c>
      <c r="G344" s="115">
        <v>0.72</v>
      </c>
      <c r="H344" s="115">
        <v>8.49</v>
      </c>
      <c r="I344" s="115">
        <v>0.91</v>
      </c>
      <c r="J344" s="116">
        <v>42221</v>
      </c>
      <c r="K344" s="132" t="s">
        <v>463</v>
      </c>
      <c r="L344" s="111">
        <f t="shared" si="5"/>
        <v>0.15120213713268033</v>
      </c>
    </row>
    <row r="345" spans="1:12" ht="17" customHeight="1" x14ac:dyDescent="0.2">
      <c r="A345" s="115" t="s">
        <v>1123</v>
      </c>
      <c r="B345" s="115" t="s">
        <v>145</v>
      </c>
      <c r="C345" s="115">
        <v>13949.49</v>
      </c>
      <c r="D345" s="115">
        <v>0.87</v>
      </c>
      <c r="E345" s="115">
        <v>57.49</v>
      </c>
      <c r="F345" s="115">
        <v>31.9</v>
      </c>
      <c r="G345" s="115">
        <v>0.68</v>
      </c>
      <c r="H345" s="115">
        <v>5.53</v>
      </c>
      <c r="I345" s="115">
        <v>0.93</v>
      </c>
      <c r="J345" s="116">
        <v>40757</v>
      </c>
      <c r="K345" s="132" t="s">
        <v>463</v>
      </c>
      <c r="L345" s="111">
        <f t="shared" si="5"/>
        <v>0.17335423197492164</v>
      </c>
    </row>
    <row r="346" spans="1:12" ht="17" customHeight="1" x14ac:dyDescent="0.2">
      <c r="A346" s="115" t="s">
        <v>1124</v>
      </c>
      <c r="B346" s="115" t="s">
        <v>110</v>
      </c>
      <c r="C346" s="115">
        <v>8184.31</v>
      </c>
      <c r="D346" s="115">
        <v>1.03</v>
      </c>
      <c r="E346" s="115">
        <v>86.91</v>
      </c>
      <c r="F346" s="115">
        <v>32.090000000000003</v>
      </c>
      <c r="G346" s="115">
        <v>0.85</v>
      </c>
      <c r="H346" s="115">
        <v>8.42</v>
      </c>
      <c r="I346" s="115">
        <v>0.93</v>
      </c>
      <c r="J346" s="116">
        <v>42025</v>
      </c>
      <c r="K346" s="132" t="s">
        <v>463</v>
      </c>
      <c r="L346" s="111">
        <f t="shared" si="5"/>
        <v>0.26238703645995637</v>
      </c>
    </row>
    <row r="347" spans="1:12" ht="17" customHeight="1" x14ac:dyDescent="0.2">
      <c r="A347" s="115" t="s">
        <v>1125</v>
      </c>
      <c r="B347" s="115" t="s">
        <v>1126</v>
      </c>
      <c r="C347" s="115">
        <v>8632.49</v>
      </c>
      <c r="D347" s="115">
        <v>1.32</v>
      </c>
      <c r="E347" s="115">
        <v>30.1</v>
      </c>
      <c r="F347" s="115">
        <v>31.82</v>
      </c>
      <c r="G347" s="115">
        <v>0.47</v>
      </c>
      <c r="H347" s="115">
        <v>4.6399999999999997</v>
      </c>
      <c r="I347" s="115">
        <v>0.93</v>
      </c>
      <c r="J347" s="116">
        <v>42258</v>
      </c>
      <c r="K347" s="132" t="s">
        <v>463</v>
      </c>
      <c r="L347" s="111">
        <f t="shared" si="5"/>
        <v>0.14582023884349465</v>
      </c>
    </row>
    <row r="348" spans="1:12" ht="17" customHeight="1" x14ac:dyDescent="0.2">
      <c r="A348" s="115" t="s">
        <v>1127</v>
      </c>
      <c r="B348" s="115" t="s">
        <v>1128</v>
      </c>
      <c r="C348" s="115">
        <v>14938.52</v>
      </c>
      <c r="D348" s="115">
        <v>0.87</v>
      </c>
      <c r="E348" s="115">
        <v>56.73</v>
      </c>
      <c r="F348" s="115">
        <v>32.159999999999997</v>
      </c>
      <c r="G348" s="115">
        <v>0.68</v>
      </c>
      <c r="H348" s="115">
        <v>6.75</v>
      </c>
      <c r="I348" s="115">
        <v>0.94</v>
      </c>
      <c r="J348" s="116">
        <v>42160</v>
      </c>
      <c r="K348" s="132" t="s">
        <v>463</v>
      </c>
      <c r="L348" s="111">
        <f t="shared" si="5"/>
        <v>0.20988805970149255</v>
      </c>
    </row>
    <row r="349" spans="1:12" ht="17" customHeight="1" x14ac:dyDescent="0.2">
      <c r="A349" s="115" t="s">
        <v>1129</v>
      </c>
      <c r="B349" s="115" t="s">
        <v>1130</v>
      </c>
      <c r="C349" s="115">
        <v>4561.63</v>
      </c>
      <c r="D349" s="115">
        <v>0.9</v>
      </c>
      <c r="E349" s="115">
        <v>77.569999999999993</v>
      </c>
      <c r="F349" s="115">
        <v>32.31</v>
      </c>
      <c r="G349" s="115">
        <v>0.81</v>
      </c>
      <c r="H349" s="115">
        <v>7.48</v>
      </c>
      <c r="I349" s="115">
        <v>0.94</v>
      </c>
      <c r="J349" s="116">
        <v>41983</v>
      </c>
      <c r="K349" s="132" t="s">
        <v>463</v>
      </c>
      <c r="L349" s="111">
        <f t="shared" si="5"/>
        <v>0.23150727329000309</v>
      </c>
    </row>
    <row r="350" spans="1:12" ht="17" customHeight="1" x14ac:dyDescent="0.2">
      <c r="A350" s="115" t="s">
        <v>1131</v>
      </c>
      <c r="B350" s="115" t="s">
        <v>1132</v>
      </c>
      <c r="C350" s="115">
        <v>16144.4</v>
      </c>
      <c r="D350" s="115">
        <v>0.99</v>
      </c>
      <c r="E350" s="115">
        <v>67.36</v>
      </c>
      <c r="F350" s="115">
        <v>32.200000000000003</v>
      </c>
      <c r="G350" s="115">
        <v>0.87</v>
      </c>
      <c r="H350" s="115">
        <v>6.96</v>
      </c>
      <c r="I350" s="115">
        <v>0.96</v>
      </c>
      <c r="J350" s="116">
        <v>41264</v>
      </c>
      <c r="K350" s="132" t="s">
        <v>463</v>
      </c>
      <c r="L350" s="111">
        <f t="shared" si="5"/>
        <v>0.21614906832298134</v>
      </c>
    </row>
    <row r="351" spans="1:12" ht="17" customHeight="1" x14ac:dyDescent="0.2">
      <c r="A351" s="115" t="s">
        <v>1133</v>
      </c>
      <c r="B351" s="115" t="s">
        <v>1134</v>
      </c>
      <c r="C351" s="115">
        <v>18009.27</v>
      </c>
      <c r="D351" s="115">
        <v>0.87</v>
      </c>
      <c r="E351" s="115">
        <v>65.400000000000006</v>
      </c>
      <c r="F351" s="115">
        <v>31.55</v>
      </c>
      <c r="G351" s="115">
        <v>0.86</v>
      </c>
      <c r="H351" s="115">
        <v>7.21</v>
      </c>
      <c r="I351" s="115">
        <v>0.96</v>
      </c>
      <c r="J351" s="116">
        <v>41211</v>
      </c>
      <c r="K351" s="132" t="s">
        <v>463</v>
      </c>
      <c r="L351" s="111">
        <f t="shared" si="5"/>
        <v>0.22852614896988907</v>
      </c>
    </row>
    <row r="352" spans="1:12" ht="17" customHeight="1" x14ac:dyDescent="0.2">
      <c r="A352" s="115" t="s">
        <v>1135</v>
      </c>
      <c r="B352" s="115" t="s">
        <v>1136</v>
      </c>
      <c r="C352" s="115">
        <v>2690.73</v>
      </c>
      <c r="D352" s="115">
        <v>-1.66</v>
      </c>
      <c r="E352" s="115">
        <v>0.64</v>
      </c>
      <c r="F352" s="115">
        <v>23.25</v>
      </c>
      <c r="G352" s="115">
        <v>0.97</v>
      </c>
      <c r="H352" s="115">
        <v>3.42</v>
      </c>
      <c r="I352" s="115">
        <v>0.96</v>
      </c>
      <c r="J352" s="116">
        <v>43682</v>
      </c>
      <c r="K352" s="132" t="s">
        <v>463</v>
      </c>
      <c r="L352" s="111">
        <f t="shared" si="5"/>
        <v>0.14709677419354839</v>
      </c>
    </row>
    <row r="353" spans="1:12" ht="17" customHeight="1" x14ac:dyDescent="0.2">
      <c r="A353" s="115" t="s">
        <v>1137</v>
      </c>
      <c r="B353" s="115" t="s">
        <v>1138</v>
      </c>
      <c r="C353" s="115">
        <v>8179.02</v>
      </c>
      <c r="D353" s="115">
        <v>0.35</v>
      </c>
      <c r="E353" s="115">
        <v>24.56</v>
      </c>
      <c r="F353" s="115">
        <v>23.25</v>
      </c>
      <c r="G353" s="115">
        <v>0.97</v>
      </c>
      <c r="H353" s="115">
        <v>3.42</v>
      </c>
      <c r="I353" s="115">
        <v>0.96</v>
      </c>
      <c r="J353" s="116">
        <v>43682</v>
      </c>
      <c r="K353" s="132" t="s">
        <v>463</v>
      </c>
      <c r="L353" s="111">
        <f t="shared" si="5"/>
        <v>0.14709677419354839</v>
      </c>
    </row>
    <row r="354" spans="1:12" ht="17" customHeight="1" x14ac:dyDescent="0.2">
      <c r="A354" s="115" t="s">
        <v>1139</v>
      </c>
      <c r="B354" s="115" t="s">
        <v>207</v>
      </c>
      <c r="C354" s="115">
        <v>3133.64</v>
      </c>
      <c r="D354" s="115">
        <v>0.75</v>
      </c>
      <c r="E354" s="115">
        <v>25</v>
      </c>
      <c r="F354" s="115">
        <v>23.25</v>
      </c>
      <c r="G354" s="115">
        <v>0.79</v>
      </c>
      <c r="H354" s="115">
        <v>3.42</v>
      </c>
      <c r="I354" s="115">
        <v>0.98</v>
      </c>
      <c r="J354" s="116">
        <v>40634</v>
      </c>
      <c r="K354" s="132" t="s">
        <v>463</v>
      </c>
      <c r="L354" s="111">
        <f t="shared" si="5"/>
        <v>0.14709677419354839</v>
      </c>
    </row>
    <row r="355" spans="1:12" ht="17" customHeight="1" x14ac:dyDescent="0.2">
      <c r="A355" s="115" t="s">
        <v>1140</v>
      </c>
      <c r="B355" s="115" t="s">
        <v>1141</v>
      </c>
      <c r="C355" s="115">
        <v>3176.09</v>
      </c>
      <c r="D355" s="115">
        <v>0.2</v>
      </c>
      <c r="E355" s="115">
        <v>29.09</v>
      </c>
      <c r="F355" s="115">
        <v>27.94</v>
      </c>
      <c r="G355" s="115">
        <v>0.98</v>
      </c>
      <c r="H355" s="115">
        <v>2.56</v>
      </c>
      <c r="I355" s="115">
        <v>0.98</v>
      </c>
      <c r="J355" s="116">
        <v>43476</v>
      </c>
      <c r="K355" s="132" t="s">
        <v>463</v>
      </c>
      <c r="L355" s="111">
        <f t="shared" si="5"/>
        <v>9.1624910522548314E-2</v>
      </c>
    </row>
    <row r="356" spans="1:12" ht="17" customHeight="1" x14ac:dyDescent="0.2">
      <c r="A356" s="115" t="s">
        <v>1142</v>
      </c>
      <c r="B356" s="115" t="s">
        <v>1143</v>
      </c>
      <c r="C356" s="115">
        <v>10848.97</v>
      </c>
      <c r="D356" s="115">
        <v>0.49</v>
      </c>
      <c r="E356" s="115">
        <v>47.62</v>
      </c>
      <c r="F356" s="115">
        <v>33.97</v>
      </c>
      <c r="G356" s="115">
        <v>0.69</v>
      </c>
      <c r="H356" s="115">
        <v>7.29</v>
      </c>
      <c r="I356" s="115">
        <v>0.98</v>
      </c>
      <c r="J356" s="116">
        <v>39822</v>
      </c>
      <c r="K356" s="132" t="s">
        <v>463</v>
      </c>
      <c r="L356" s="111">
        <f t="shared" si="5"/>
        <v>0.2146011186340889</v>
      </c>
    </row>
    <row r="357" spans="1:12" ht="17" customHeight="1" x14ac:dyDescent="0.2">
      <c r="A357" s="115" t="s">
        <v>1144</v>
      </c>
      <c r="B357" s="115" t="s">
        <v>1145</v>
      </c>
      <c r="C357" s="115">
        <v>25967.33</v>
      </c>
      <c r="D357" s="115">
        <v>0.01</v>
      </c>
      <c r="E357" s="115">
        <v>11.32</v>
      </c>
      <c r="F357" s="115">
        <v>21.17</v>
      </c>
      <c r="G357" s="115">
        <v>0.86</v>
      </c>
      <c r="H357" s="115">
        <v>4.72</v>
      </c>
      <c r="I357" s="115">
        <v>0.99</v>
      </c>
      <c r="J357" s="116">
        <v>40634</v>
      </c>
      <c r="K357" s="132" t="s">
        <v>463</v>
      </c>
      <c r="L357" s="111">
        <f t="shared" si="5"/>
        <v>0.22295701464336323</v>
      </c>
    </row>
    <row r="358" spans="1:12" ht="17" customHeight="1" x14ac:dyDescent="0.2">
      <c r="A358" s="115" t="s">
        <v>1146</v>
      </c>
      <c r="B358" s="115" t="s">
        <v>1147</v>
      </c>
      <c r="C358" s="115">
        <v>8371.93</v>
      </c>
      <c r="D358" s="115">
        <v>1.21</v>
      </c>
      <c r="E358" s="115">
        <v>32.26</v>
      </c>
      <c r="F358" s="115">
        <v>27.77</v>
      </c>
      <c r="G358" s="115">
        <v>0.86</v>
      </c>
      <c r="H358" s="115">
        <v>6.2</v>
      </c>
      <c r="I358" s="115">
        <v>1</v>
      </c>
      <c r="J358" s="116">
        <v>40634</v>
      </c>
      <c r="K358" s="132" t="s">
        <v>463</v>
      </c>
      <c r="L358" s="111">
        <f t="shared" si="5"/>
        <v>0.22326251350378107</v>
      </c>
    </row>
  </sheetData>
  <autoFilter ref="A1:L358" xr:uid="{00000000-0009-0000-0000-000008000000}">
    <sortState xmlns:xlrd2="http://schemas.microsoft.com/office/spreadsheetml/2017/richdata2" ref="A2:L358">
      <sortCondition ref="I1:I358"/>
    </sortState>
  </autoFilter>
  <conditionalFormatting sqref="E1:E104857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59:E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G104857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59:G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:I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59:I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K2" r:id="rId1" display="http://discuss.jiucaishuo.com/?/invest/showData/search_gu-si801720" xr:uid="{00000000-0004-0000-0800-000000000000}"/>
    <hyperlink ref="K3" r:id="rId2" display="http://discuss.jiucaishuo.com/?/invest/showData/search_gu-si801160" xr:uid="{00000000-0004-0000-0800-000001000000}"/>
    <hyperlink ref="K4" r:id="rId3" display="http://discuss.jiucaishuo.com/?/invest/showData/search_gu-si801020" xr:uid="{00000000-0004-0000-0800-000002000000}"/>
    <hyperlink ref="K5" r:id="rId4" display="http://discuss.jiucaishuo.com/?/invest/showData/search_gu-si801177" xr:uid="{00000000-0004-0000-0800-000003000000}"/>
    <hyperlink ref="K6" r:id="rId5" display="http://discuss.jiucaishuo.com/?/invest/showData/search_gu-si801203" xr:uid="{00000000-0004-0000-0800-000004000000}"/>
    <hyperlink ref="K7" r:id="rId6" display="http://discuss.jiucaishuo.com/?/invest/showData/search_gu-si801725" xr:uid="{00000000-0004-0000-0800-000005000000}"/>
    <hyperlink ref="K8" r:id="rId7" display="http://discuss.jiucaishuo.com/?/invest/showData/search_gu-si801164" xr:uid="{00000000-0004-0000-0800-000006000000}"/>
    <hyperlink ref="K9" r:id="rId8" display="http://discuss.jiucaishuo.com/?/invest/showData/search_gu-si801163" xr:uid="{00000000-0004-0000-0800-000007000000}"/>
    <hyperlink ref="K10" r:id="rId9" display="http://discuss.jiucaishuo.com/?/invest/showData/search_gu-si801035" xr:uid="{00000000-0004-0000-0800-000008000000}"/>
    <hyperlink ref="K11" r:id="rId10" display="http://discuss.jiucaishuo.com/?/invest/showData/search_gu-si801023" xr:uid="{00000000-0004-0000-0800-000009000000}"/>
    <hyperlink ref="K12" r:id="rId11" display="http://discuss.jiucaishuo.com/?/invest/showData/search_gu-sh000066" xr:uid="{00000000-0004-0000-0800-00000A000000}"/>
    <hyperlink ref="K13" r:id="rId12" display="http://discuss.jiucaishuo.com/?/invest/showData/search_gu-sh000986" xr:uid="{00000000-0004-0000-0800-00000B000000}"/>
    <hyperlink ref="K14" r:id="rId13" display="http://discuss.jiucaishuo.com/?/invest/showData/search_gu-sh000944" xr:uid="{00000000-0004-0000-0800-00000C000000}"/>
    <hyperlink ref="K15" r:id="rId14" display="http://discuss.jiucaishuo.com/?/invest/showData/search_gu-cicspsadrp" xr:uid="{00000000-0004-0000-0800-00000D000000}"/>
    <hyperlink ref="K16" r:id="rId15" display="http://discuss.jiucaishuo.com/?/invest/showData/search_gu-sh000068" xr:uid="{00000000-0004-0000-0800-00000E000000}"/>
    <hyperlink ref="K17" r:id="rId16" display="http://discuss.jiucaishuo.com/?/invest/showData/search_gu-sh000928" xr:uid="{00000000-0004-0000-0800-00000F000000}"/>
    <hyperlink ref="K18" r:id="rId17" display="http://discuss.jiucaishuo.com/?/invest/showData/search_gu-si801180" xr:uid="{00000000-0004-0000-0800-000010000000}"/>
    <hyperlink ref="K19" r:id="rId18" display="http://discuss.jiucaishuo.com/?/invest/showData/search_gu-si801200" xr:uid="{00000000-0004-0000-0800-000011000000}"/>
    <hyperlink ref="K20" r:id="rId19" display="http://discuss.jiucaishuo.com/?/invest/showData/search_gu-si801780" xr:uid="{00000000-0004-0000-0800-000012000000}"/>
    <hyperlink ref="K21" r:id="rId20" display="http://discuss.jiucaishuo.com/?/invest/showData/search_gu-si801172" xr:uid="{00000000-0004-0000-0800-000013000000}"/>
    <hyperlink ref="K22" r:id="rId21" display="http://discuss.jiucaishuo.com/?/invest/showData/search_gu-si801171" xr:uid="{00000000-0004-0000-0800-000014000000}"/>
    <hyperlink ref="K23" r:id="rId22" display="http://discuss.jiucaishuo.com/?/invest/showData/search_gu-si801076" xr:uid="{00000000-0004-0000-0800-000015000000}"/>
    <hyperlink ref="K24" r:id="rId23" display="http://discuss.jiucaishuo.com/?/invest/showData/search_gu-si801154" xr:uid="{00000000-0004-0000-0800-000016000000}"/>
    <hyperlink ref="K25" r:id="rId24" display="http://discuss.jiucaishuo.com/?/invest/showData/search_gu-si801181" xr:uid="{00000000-0004-0000-0800-000017000000}"/>
    <hyperlink ref="K26" r:id="rId25" display="http://discuss.jiucaishuo.com/?/invest/showData/search_gu-si801092" xr:uid="{00000000-0004-0000-0800-000018000000}"/>
    <hyperlink ref="K27" r:id="rId26" display="http://discuss.jiucaishuo.com/?/invest/showData/search_gu-si801724" xr:uid="{00000000-0004-0000-0800-000019000000}"/>
    <hyperlink ref="K28" r:id="rId27" display="http://discuss.jiucaishuo.com/?/invest/showData/search_gu-si801723" xr:uid="{00000000-0004-0000-0800-00001A000000}"/>
    <hyperlink ref="K29" r:id="rId28" display="http://discuss.jiucaishuo.com/?/invest/showData/search_gu-si801722" xr:uid="{00000000-0004-0000-0800-00001B000000}"/>
    <hyperlink ref="K30" r:id="rId29" display="http://discuss.jiucaishuo.com/?/invest/showData/search_gu-si801162" xr:uid="{00000000-0004-0000-0800-00001C000000}"/>
    <hyperlink ref="K31" r:id="rId30" display="http://discuss.jiucaishuo.com/?/invest/showData/search_gu-sz399806" xr:uid="{00000000-0004-0000-0800-00001D000000}"/>
    <hyperlink ref="K32" r:id="rId31" display="http://discuss.jiucaishuo.com/?/invest/showData/search_gu-si801055" xr:uid="{00000000-0004-0000-0800-00001E000000}"/>
    <hyperlink ref="K33" r:id="rId32" display="http://discuss.jiucaishuo.com/?/invest/showData/search_gu-si801021" xr:uid="{00000000-0004-0000-0800-00001F000000}"/>
    <hyperlink ref="K34" r:id="rId33" display="http://discuss.jiucaishuo.com/?/invest/showData/search_gu-sh000979" xr:uid="{00000000-0004-0000-0800-000020000000}"/>
    <hyperlink ref="K35" r:id="rId34" display="http://discuss.jiucaishuo.com/?/invest/showData/search_gu-si801192" xr:uid="{00000000-0004-0000-0800-000021000000}"/>
    <hyperlink ref="K36" r:id="rId35" display="http://discuss.jiucaishuo.com/?/invest/showData/search_gu-si801191" xr:uid="{00000000-0004-0000-0800-000022000000}"/>
    <hyperlink ref="K37" r:id="rId36" display="http://discuss.jiucaishuo.com/?/invest/showData/search_gu-sz399998" xr:uid="{00000000-0004-0000-0800-000023000000}"/>
    <hyperlink ref="K38" r:id="rId37" display="http://discuss.jiucaishuo.com/?/invest/showData/search_gu-sz399990" xr:uid="{00000000-0004-0000-0800-000024000000}"/>
    <hyperlink ref="K39" r:id="rId38" display="http://discuss.jiucaishuo.com/?/invest/showData/search_gu-sh950090" xr:uid="{00000000-0004-0000-0800-000025000000}"/>
    <hyperlink ref="K40" r:id="rId39" display="http://discuss.jiucaishuo.com/?/invest/showData/search_gu-sh000805" xr:uid="{00000000-0004-0000-0800-000026000000}"/>
    <hyperlink ref="K41" r:id="rId40" display="http://discuss.jiucaishuo.com/?/invest/showData/search_gu-sh000042" xr:uid="{00000000-0004-0000-0800-000027000000}"/>
    <hyperlink ref="K42" r:id="rId41" display="http://discuss.jiucaishuo.com/?/invest/showData/search_gu-sh000015" xr:uid="{00000000-0004-0000-0800-000028000000}"/>
    <hyperlink ref="K43" r:id="rId42" display="http://discuss.jiucaishuo.com/?/invest/showData/search_gu-csih30263" xr:uid="{00000000-0004-0000-0800-000029000000}"/>
    <hyperlink ref="K44" r:id="rId43" display="http://discuss.jiucaishuo.com/?/invest/showData/search_gu-sh000919" xr:uid="{00000000-0004-0000-0800-00002A000000}"/>
    <hyperlink ref="K45" r:id="rId44" display="http://discuss.jiucaishuo.com/?/invest/showData/search_gu-sh000961" xr:uid="{00000000-0004-0000-0800-00002B000000}"/>
    <hyperlink ref="K46" r:id="rId45" display="http://discuss.jiucaishuo.com/?/invest/showData/search_gu-sh000964" xr:uid="{00000000-0004-0000-0800-00002C000000}"/>
    <hyperlink ref="K47" r:id="rId46" display="http://discuss.jiucaishuo.com/?/invest/showData/search_gu-csi930620" xr:uid="{00000000-0004-0000-0800-00002D000000}"/>
    <hyperlink ref="K48" r:id="rId47" display="http://discuss.jiucaishuo.com/?/invest/showData/search_gu-sz399991" xr:uid="{00000000-0004-0000-0800-00002E000000}"/>
    <hyperlink ref="K49" r:id="rId48" display="http://discuss.jiucaishuo.com/?/invest/showData/search_gu-csi931008" xr:uid="{00000000-0004-0000-0800-00002F000000}"/>
    <hyperlink ref="K50" r:id="rId49" display="http://discuss.jiucaishuo.com/?/invest/showData/search_gu-sz399986" xr:uid="{00000000-0004-0000-0800-000030000000}"/>
    <hyperlink ref="K51" r:id="rId50" display="http://discuss.jiucaishuo.com/?/invest/showData/search_gu-sh000940" xr:uid="{00000000-0004-0000-0800-000031000000}"/>
    <hyperlink ref="K52" r:id="rId51" display="http://discuss.jiucaishuo.com/?/invest/showData/search_gu-si801761" xr:uid="{00000000-0004-0000-0800-000032000000}"/>
    <hyperlink ref="K53" r:id="rId52" display="http://discuss.jiucaishuo.com/?/invest/showData/search_gu-si801205" xr:uid="{00000000-0004-0000-0800-000033000000}"/>
    <hyperlink ref="K54" r:id="rId53" display="http://discuss.jiucaishuo.com/?/invest/showData/search_gu-sz399995" xr:uid="{00000000-0004-0000-0800-000034000000}"/>
    <hyperlink ref="K55" r:id="rId54" display="http://discuss.jiucaishuo.com/?/invest/showData/search_gu-si801161" xr:uid="{00000000-0004-0000-0800-000035000000}"/>
    <hyperlink ref="K56" r:id="rId55" display="http://discuss.jiucaishuo.com/?/invest/showData/search_gu-si801734" xr:uid="{00000000-0004-0000-0800-000036000000}"/>
    <hyperlink ref="K57" r:id="rId56" display="http://discuss.jiucaishuo.com/?/invest/showData/search_gu-si801075" xr:uid="{00000000-0004-0000-0800-000037000000}"/>
    <hyperlink ref="K58" r:id="rId57" display="http://discuss.jiucaishuo.com/?/invest/showData/search_gu-sz399992" xr:uid="{00000000-0004-0000-0800-000038000000}"/>
    <hyperlink ref="K59" r:id="rId58" display="http://discuss.jiucaishuo.com/?/invest/showData/search_gu-sh000806" xr:uid="{00000000-0004-0000-0800-000039000000}"/>
    <hyperlink ref="K60" r:id="rId59" display="http://discuss.jiucaishuo.com/?/invest/showData/search_gu-si801094" xr:uid="{00000000-0004-0000-0800-00003A000000}"/>
    <hyperlink ref="K61" r:id="rId60" display="http://discuss.jiucaishuo.com/?/invest/showData/search_gu-sh000032" xr:uid="{00000000-0004-0000-0800-00003B000000}"/>
    <hyperlink ref="K62" r:id="rId61" display="http://discuss.jiucaishuo.com/?/invest/showData/search_gu-sz399416" xr:uid="{00000000-0004-0000-0800-00003C000000}"/>
    <hyperlink ref="K63" r:id="rId62" display="http://discuss.jiucaishuo.com/?/invest/showData/search_gu-sh000029" xr:uid="{00000000-0004-0000-0800-00003D000000}"/>
    <hyperlink ref="K64" r:id="rId63" display="http://discuss.jiucaishuo.com/?/invest/showData/search_gu-sh000021" xr:uid="{00000000-0004-0000-0800-00003E000000}"/>
    <hyperlink ref="K65" r:id="rId64" display="http://discuss.jiucaishuo.com/?/invest/showData/search_gu-sh000905" xr:uid="{00000000-0004-0000-0800-00003F000000}"/>
    <hyperlink ref="K66" r:id="rId65" display="http://discuss.jiucaishuo.com/?/invest/showData/search_gu-si801760" xr:uid="{00000000-0004-0000-0800-000040000000}"/>
    <hyperlink ref="K67" r:id="rId66" display="http://discuss.jiucaishuo.com/?/invest/showData/search_gu-si801178" xr:uid="{00000000-0004-0000-0800-000041000000}"/>
    <hyperlink ref="K68" r:id="rId67" display="http://discuss.jiucaishuo.com/?/invest/showData/search_gu-sz399807" xr:uid="{00000000-0004-0000-0800-000042000000}"/>
    <hyperlink ref="K69" r:id="rId68" display="http://discuss.jiucaishuo.com/?/invest/showData/search_gu-si801712" xr:uid="{00000000-0004-0000-0800-000043000000}"/>
    <hyperlink ref="K70" r:id="rId69" display="http://discuss.jiucaishuo.com/?/invest/showData/search_gu-si801022" xr:uid="{00000000-0004-0000-0800-000044000000}"/>
    <hyperlink ref="K71" r:id="rId70" display="http://discuss.jiucaishuo.com/?/invest/showData/search_gu-si801193" xr:uid="{00000000-0004-0000-0800-000045000000}"/>
    <hyperlink ref="K72" r:id="rId71" display="http://discuss.jiucaishuo.com/?/invest/showData/search_gu-hihsml25" xr:uid="{00000000-0004-0000-0800-000046000000}"/>
    <hyperlink ref="K73" r:id="rId72" display="http://discuss.jiucaishuo.com/?/invest/showData/search_gu-sh000854" xr:uid="{00000000-0004-0000-0800-000047000000}"/>
    <hyperlink ref="K74" r:id="rId73" display="http://discuss.jiucaishuo.com/?/invest/showData/search_gu-sh000001" xr:uid="{00000000-0004-0000-0800-000048000000}"/>
    <hyperlink ref="K75" r:id="rId74" display="http://discuss.jiucaishuo.com/?/invest/showData/search_gu-hihsi" xr:uid="{00000000-0004-0000-0800-000049000000}"/>
    <hyperlink ref="K76" r:id="rId75" display="http://discuss.jiucaishuo.com/?/invest/showData/search_gu-sh000984" xr:uid="{00000000-0004-0000-0800-00004A000000}"/>
    <hyperlink ref="K77" r:id="rId76" display="http://discuss.jiucaishuo.com/?/invest/showData/search_gu-si801030" xr:uid="{00000000-0004-0000-0800-00004B000000}"/>
    <hyperlink ref="K78" r:id="rId77" display="http://discuss.jiucaishuo.com/?/invest/showData/search_gu-sz399802" xr:uid="{00000000-0004-0000-0800-00004C000000}"/>
    <hyperlink ref="K79" r:id="rId78" display="http://discuss.jiucaishuo.com/?/invest/showData/search_gu-sh000982" xr:uid="{00000000-0004-0000-0800-00004D000000}"/>
    <hyperlink ref="K80" r:id="rId79" display="http://discuss.jiucaishuo.com/?/invest/showData/search_gu-si801175" xr:uid="{00000000-0004-0000-0800-00004E000000}"/>
    <hyperlink ref="K81" r:id="rId80" display="http://discuss.jiucaishuo.com/?/invest/showData/search_gu-si801015" xr:uid="{00000000-0004-0000-0800-00004F000000}"/>
    <hyperlink ref="K82" r:id="rId81" display="http://discuss.jiucaishuo.com/?/invest/showData/search_gu-sz399440" xr:uid="{00000000-0004-0000-0800-000050000000}"/>
    <hyperlink ref="K83" r:id="rId82" display="http://discuss.jiucaishuo.com/?/invest/showData/search_gu-csi000922" xr:uid="{00000000-0004-0000-0800-000051000000}"/>
    <hyperlink ref="K84" r:id="rId83" display="http://discuss.jiucaishuo.com/?/invest/showData/search_gu-sz399429" xr:uid="{00000000-0004-0000-0800-000052000000}"/>
    <hyperlink ref="K85" r:id="rId84" display="http://discuss.jiucaishuo.com/?/invest/showData/search_gu-sh000904" xr:uid="{00000000-0004-0000-0800-000053000000}"/>
    <hyperlink ref="K86" r:id="rId85" display="http://discuss.jiucaishuo.com/?/invest/showData/search_gu-si801730" xr:uid="{00000000-0004-0000-0800-000054000000}"/>
    <hyperlink ref="K87" r:id="rId86" display="http://discuss.jiucaishuo.com/?/invest/showData/search_gu-si801741" xr:uid="{00000000-0004-0000-0800-000055000000}"/>
    <hyperlink ref="K88" r:id="rId87" display="http://discuss.jiucaishuo.com/?/invest/showData/search_gu-sh000989" xr:uid="{00000000-0004-0000-0800-000056000000}"/>
    <hyperlink ref="K89" r:id="rId88" display="http://discuss.jiucaishuo.com/?/invest/showData/search_gu-csih30165" xr:uid="{00000000-0004-0000-0800-000057000000}"/>
    <hyperlink ref="K90" r:id="rId89" display="http://discuss.jiucaishuo.com/?/invest/showData/search_gu-si801131" xr:uid="{00000000-0004-0000-0800-000058000000}"/>
    <hyperlink ref="K91" r:id="rId90" display="http://discuss.jiucaishuo.com/?/invest/showData/search_gu-si801731" xr:uid="{00000000-0004-0000-0800-000059000000}"/>
    <hyperlink ref="K92" r:id="rId91" display="http://discuss.jiucaishuo.com/?/invest/showData/search_gu-si801024" xr:uid="{00000000-0004-0000-0800-00005A000000}"/>
    <hyperlink ref="K93" r:id="rId92" display="http://discuss.jiucaishuo.com/?/invest/showData/search_gu-csi950096" xr:uid="{00000000-0004-0000-0800-00005B000000}"/>
    <hyperlink ref="K94" r:id="rId93" display="http://discuss.jiucaishuo.com/?/invest/showData/search_gu-sh000067" xr:uid="{00000000-0004-0000-0800-00005C000000}"/>
    <hyperlink ref="K95" r:id="rId94" display="http://discuss.jiucaishuo.com/?/invest/showData/search_gu-sh000901" xr:uid="{00000000-0004-0000-0800-00005D000000}"/>
    <hyperlink ref="K96" r:id="rId95" display="http://discuss.jiucaishuo.com/?/invest/showData/search_gu-sh000063" xr:uid="{00000000-0004-0000-0800-00005E000000}"/>
    <hyperlink ref="K97" r:id="rId96" display="http://discuss.jiucaishuo.com/?/invest/showData/search_gu-wi881001" xr:uid="{00000000-0004-0000-0800-00005F000000}"/>
    <hyperlink ref="K98" r:id="rId97" display="http://discuss.jiucaishuo.com/?/invest/showData/search_gu-csi930875" xr:uid="{00000000-0004-0000-0800-000060000000}"/>
    <hyperlink ref="K99" r:id="rId98" display="http://discuss.jiucaishuo.com/?/invest/showData/search_gu-sh000016" xr:uid="{00000000-0004-0000-0800-000061000000}"/>
    <hyperlink ref="K100" r:id="rId99" display="http://discuss.jiucaishuo.com/?/invest/showData/search_gu-si801050" xr:uid="{00000000-0004-0000-0800-000062000000}"/>
    <hyperlink ref="K101" r:id="rId100" display="http://discuss.jiucaishuo.com/?/invest/showData/search_gu-si801040" xr:uid="{00000000-0004-0000-0800-000063000000}"/>
    <hyperlink ref="K102" r:id="rId101" display="http://discuss.jiucaishuo.com/?/invest/showData/search_gu-sz399101" xr:uid="{00000000-0004-0000-0800-000064000000}"/>
    <hyperlink ref="K103" r:id="rId102" display="http://discuss.jiucaishuo.com/?/invest/showData/search_gu-sz399008" xr:uid="{00000000-0004-0000-0800-000065000000}"/>
    <hyperlink ref="K104" r:id="rId103" display="http://discuss.jiucaishuo.com/?/invest/showData/search_gu-sh000802" xr:uid="{00000000-0004-0000-0800-000066000000}"/>
    <hyperlink ref="K105" r:id="rId104" display="http://discuss.jiucaishuo.com/?/invest/showData/search_gu-sz399965" xr:uid="{00000000-0004-0000-0800-000067000000}"/>
    <hyperlink ref="K106" r:id="rId105" display="http://discuss.jiucaishuo.com/?/invest/showData/search_gu-sz399393" xr:uid="{00000000-0004-0000-0800-000068000000}"/>
    <hyperlink ref="K107" r:id="rId106" display="http://discuss.jiucaishuo.com/?/invest/showData/search_gu-si801034" xr:uid="{00000000-0004-0000-0800-000069000000}"/>
    <hyperlink ref="K108" r:id="rId107" display="http://discuss.jiucaishuo.com/?/invest/showData/search_gu-si801033" xr:uid="{00000000-0004-0000-0800-00006A000000}"/>
    <hyperlink ref="K109" r:id="rId108" display="http://discuss.jiucaishuo.com/?/invest/showData/search_gu-si801051" xr:uid="{00000000-0004-0000-0800-00006B000000}"/>
    <hyperlink ref="K110" r:id="rId109" display="http://discuss.jiucaishuo.com/?/invest/showData/search_gu-si801041" xr:uid="{00000000-0004-0000-0800-00006C000000}"/>
    <hyperlink ref="K111" r:id="rId110" display="http://discuss.jiucaishuo.com/?/invest/showData/search_gu-si801142" xr:uid="{00000000-0004-0000-0800-00006D000000}"/>
    <hyperlink ref="K112" r:id="rId111" display="http://discuss.jiucaishuo.com/?/invest/showData/search_gu-sh000819" xr:uid="{00000000-0004-0000-0800-00006E000000}"/>
    <hyperlink ref="K113" r:id="rId112" display="http://discuss.jiucaishuo.com/?/invest/showData/search_gu-csi930782" xr:uid="{00000000-0004-0000-0800-00006F000000}"/>
    <hyperlink ref="K114" r:id="rId113" display="http://discuss.jiucaishuo.com/?/invest/showData/search_gu-sh000056" xr:uid="{00000000-0004-0000-0800-000070000000}"/>
    <hyperlink ref="K115" r:id="rId114" display="http://discuss.jiucaishuo.com/?/invest/showData/search_gu-sh000966" xr:uid="{00000000-0004-0000-0800-000071000000}"/>
    <hyperlink ref="K116" r:id="rId115" display="http://discuss.jiucaishuo.com/?/invest/showData/search_gu-sh000925" xr:uid="{00000000-0004-0000-0800-000072000000}"/>
    <hyperlink ref="K117" r:id="rId116" display="http://discuss.jiucaishuo.com/?/invest/showData/search_gu-csi000985" xr:uid="{00000000-0004-0000-0800-000073000000}"/>
    <hyperlink ref="K118" r:id="rId117" display="http://discuss.jiucaishuo.com/?/invest/showData/search_gu-hihshkmi" xr:uid="{00000000-0004-0000-0800-000074000000}"/>
    <hyperlink ref="K119" r:id="rId118" display="http://discuss.jiucaishuo.com/?/invest/showData/search_gu-sz399624" xr:uid="{00000000-0004-0000-0800-000075000000}"/>
    <hyperlink ref="K120" r:id="rId119" display="http://discuss.jiucaishuo.com/?/invest/showData/search_gu-si801880" xr:uid="{00000000-0004-0000-0800-000076000000}"/>
    <hyperlink ref="K121" r:id="rId120" display="http://discuss.jiucaishuo.com/?/invest/showData/search_gu-si801130" xr:uid="{00000000-0004-0000-0800-000077000000}"/>
    <hyperlink ref="K122" r:id="rId121" display="http://discuss.jiucaishuo.com/?/invest/showData/search_gu-si801890" xr:uid="{00000000-0004-0000-0800-000078000000}"/>
    <hyperlink ref="K123" r:id="rId122" display="http://discuss.jiucaishuo.com/?/invest/showData/search_gu-si801790" xr:uid="{00000000-0004-0000-0800-000079000000}"/>
    <hyperlink ref="K124" r:id="rId123" display="http://discuss.jiucaishuo.com/?/invest/showData/search_gu-si801752" xr:uid="{00000000-0004-0000-0800-00007A000000}"/>
    <hyperlink ref="K125" r:id="rId124" display="http://discuss.jiucaishuo.com/?/invest/showData/search_gu-si801751" xr:uid="{00000000-0004-0000-0800-00007B000000}"/>
    <hyperlink ref="K126" r:id="rId125" display="http://discuss.jiucaishuo.com/?/invest/showData/search_gu-sh000852" xr:uid="{00000000-0004-0000-0800-00007C000000}"/>
    <hyperlink ref="K127" r:id="rId126" display="http://discuss.jiucaishuo.com/?/invest/showData/search_gu-si801155" xr:uid="{00000000-0004-0000-0800-00007D000000}"/>
    <hyperlink ref="K128" r:id="rId127" display="http://discuss.jiucaishuo.com/?/invest/showData/search_gu-si801213" xr:uid="{00000000-0004-0000-0800-00007E000000}"/>
    <hyperlink ref="K129" r:id="rId128" display="http://discuss.jiucaishuo.com/?/invest/showData/search_gu-sz399412" xr:uid="{00000000-0004-0000-0800-00007F000000}"/>
    <hyperlink ref="K130" r:id="rId129" display="http://discuss.jiucaishuo.com/?/invest/showData/search_gu-si801143" xr:uid="{00000000-0004-0000-0800-000080000000}"/>
    <hyperlink ref="K131" r:id="rId130" display="http://discuss.jiucaishuo.com/?/invest/showData/search_gu-sz399005" xr:uid="{00000000-0004-0000-0800-000081000000}"/>
    <hyperlink ref="K132" r:id="rId131" display="http://discuss.jiucaishuo.com/?/invest/showData/search_gu-si801230" xr:uid="{00000000-0004-0000-0800-000082000000}"/>
    <hyperlink ref="K133" r:id="rId132" display="http://discuss.jiucaishuo.com/?/invest/showData/search_gu-sh000010" xr:uid="{00000000-0004-0000-0800-000083000000}"/>
    <hyperlink ref="K134" r:id="rId133" display="http://discuss.jiucaishuo.com/?/invest/showData/search_gu-sz399634" xr:uid="{00000000-0004-0000-0800-000084000000}"/>
    <hyperlink ref="K135" r:id="rId134" display="http://discuss.jiucaishuo.com/?/invest/showData/search_gu-si801173" xr:uid="{00000000-0004-0000-0800-000085000000}"/>
    <hyperlink ref="K136" r:id="rId135" display="http://discuss.jiucaishuo.com/?/invest/showData/search_gu-si801093" xr:uid="{00000000-0004-0000-0800-000086000000}"/>
    <hyperlink ref="K137" r:id="rId136" display="http://discuss.jiucaishuo.com/?/invest/showData/search_gu-sh000934" xr:uid="{00000000-0004-0000-0800-000087000000}"/>
    <hyperlink ref="K138" r:id="rId137" display="http://discuss.jiucaishuo.com/?/invest/showData/search_gu-sh000038" xr:uid="{00000000-0004-0000-0800-000088000000}"/>
    <hyperlink ref="K139" r:id="rId138" display="http://discuss.jiucaishuo.com/?/invest/showData/search_gu-sh000018" xr:uid="{00000000-0004-0000-0800-000089000000}"/>
    <hyperlink ref="K140" r:id="rId139" display="http://discuss.jiucaishuo.com/?/invest/showData/search_gu-sz399967" xr:uid="{00000000-0004-0000-0800-00008A000000}"/>
    <hyperlink ref="K141" r:id="rId140" display="http://discuss.jiucaishuo.com/?/invest/showData/search_gu-si801231" xr:uid="{00000000-0004-0000-0800-00008B000000}"/>
    <hyperlink ref="K142" r:id="rId141" display="http://discuss.jiucaishuo.com/?/invest/showData/search_gu-sh000987" xr:uid="{00000000-0004-0000-0800-00008C000000}"/>
    <hyperlink ref="K143" r:id="rId142" display="http://discuss.jiucaishuo.com/?/invest/showData/search_gu-sh000846" xr:uid="{00000000-0004-0000-0800-00008D000000}"/>
    <hyperlink ref="K144" r:id="rId143" display="http://discuss.jiucaishuo.com/?/invest/showData/search_gu-hihshksi" xr:uid="{00000000-0004-0000-0800-00008E000000}"/>
    <hyperlink ref="K145" r:id="rId144" display="http://discuss.jiucaishuo.com/?/invest/showData/search_gu-si801202" xr:uid="{00000000-0004-0000-0800-00008F000000}"/>
    <hyperlink ref="K146" r:id="rId145" display="http://discuss.jiucaishuo.com/?/invest/showData/search_gu-sh000914" xr:uid="{00000000-0004-0000-0800-000090000000}"/>
    <hyperlink ref="K147" r:id="rId146" display="http://discuss.jiucaishuo.com/?/invest/showData/search_gu-si801072" xr:uid="{00000000-0004-0000-0800-000091000000}"/>
    <hyperlink ref="K148" r:id="rId147" display="http://discuss.jiucaishuo.com/?/invest/showData/search_gu-sh000963" xr:uid="{00000000-0004-0000-0800-000092000000}"/>
    <hyperlink ref="K149" r:id="rId148" display="http://discuss.jiucaishuo.com/?/invest/showData/search_gu-csi930641" xr:uid="{00000000-0004-0000-0800-000093000000}"/>
    <hyperlink ref="K150" r:id="rId149" display="http://discuss.jiucaishuo.com/?/invest/showData/search_gu-si801170" xr:uid="{00000000-0004-0000-0800-000094000000}"/>
    <hyperlink ref="K151" r:id="rId150" display="http://discuss.jiucaishuo.com/?/invest/showData/search_gu-sh000906" xr:uid="{00000000-0004-0000-0800-000095000000}"/>
    <hyperlink ref="K152" r:id="rId151" display="http://discuss.jiucaishuo.com/?/invest/showData/search_gu-si801710" xr:uid="{00000000-0004-0000-0800-000096000000}"/>
    <hyperlink ref="K153" r:id="rId152" display="http://discuss.jiucaishuo.com/?/invest/showData/search_gu-sh000842" xr:uid="{00000000-0004-0000-0800-000097000000}"/>
    <hyperlink ref="K154" r:id="rId153" display="http://discuss.jiucaishuo.com/?/invest/showData/search_gu-sh000992" xr:uid="{00000000-0004-0000-0800-000098000000}"/>
    <hyperlink ref="K155" r:id="rId154" display="http://discuss.jiucaishuo.com/?/invest/showData/search_gu-si801733" xr:uid="{00000000-0004-0000-0800-000099000000}"/>
    <hyperlink ref="K156" r:id="rId155" display="http://discuss.jiucaishuo.com/?/invest/showData/search_gu-sh000977" xr:uid="{00000000-0004-0000-0800-00009A000000}"/>
    <hyperlink ref="K157" r:id="rId156" display="http://discuss.jiucaishuo.com/?/invest/showData/search_gu-si801036" xr:uid="{00000000-0004-0000-0800-00009B000000}"/>
    <hyperlink ref="K158" r:id="rId157" display="http://discuss.jiucaishuo.com/?/invest/showData/search_gu-sh000823" xr:uid="{00000000-0004-0000-0800-00009C000000}"/>
    <hyperlink ref="K159" r:id="rId158" display="http://discuss.jiucaishuo.com/?/invest/showData/search_gu-sz399415" xr:uid="{00000000-0004-0000-0800-00009D000000}"/>
    <hyperlink ref="K160" r:id="rId159" display="http://discuss.jiucaishuo.com/?/invest/showData/search_gu-sz399971" xr:uid="{00000000-0004-0000-0800-00009E000000}"/>
    <hyperlink ref="K161" r:id="rId160" display="http://discuss.jiucaishuo.com/?/invest/showData/search_gu-csi930793" xr:uid="{00000000-0004-0000-0800-00009F000000}"/>
    <hyperlink ref="K162" r:id="rId161" display="http://discuss.jiucaishuo.com/?/invest/showData/search_gu-si801140" xr:uid="{00000000-0004-0000-0800-0000A0000000}"/>
    <hyperlink ref="K163" r:id="rId162" display="http://discuss.jiucaishuo.com/?/invest/showData/search_gu-sh000050" xr:uid="{00000000-0004-0000-0800-0000A1000000}"/>
    <hyperlink ref="K164" r:id="rId163" display="http://discuss.jiucaishuo.com/?/invest/showData/search_gu-si801132" xr:uid="{00000000-0004-0000-0800-0000A2000000}"/>
    <hyperlink ref="K165" r:id="rId164" display="http://discuss.jiucaishuo.com/?/invest/showData/search_gu-csih30531" xr:uid="{00000000-0004-0000-0800-0000A3000000}"/>
    <hyperlink ref="K166" r:id="rId165" display="http://discuss.jiucaishuo.com/?/invest/showData/search_gu-sz399368" xr:uid="{00000000-0004-0000-0800-0000A4000000}"/>
    <hyperlink ref="K167" r:id="rId166" display="http://discuss.jiucaishuo.com/?/invest/showData/search_gu-si801744" xr:uid="{00000000-0004-0000-0800-0000A5000000}"/>
    <hyperlink ref="K168" r:id="rId167" display="http://discuss.jiucaishuo.com/?/invest/showData/search_gu-si801212" xr:uid="{00000000-0004-0000-0800-0000A6000000}"/>
    <hyperlink ref="K169" r:id="rId168" display="http://discuss.jiucaishuo.com/?/invest/showData/search_gu-sh000827" xr:uid="{00000000-0004-0000-0800-0000A7000000}"/>
    <hyperlink ref="K170" r:id="rId169" display="http://discuss.jiucaishuo.com/?/invest/showData/search_gu-sz399417" xr:uid="{00000000-0004-0000-0800-0000A8000000}"/>
    <hyperlink ref="K171" r:id="rId170" display="http://discuss.jiucaishuo.com/?/invest/showData/search_gu-sh000841" xr:uid="{00000000-0004-0000-0800-0000A9000000}"/>
    <hyperlink ref="K172" r:id="rId171" display="http://discuss.jiucaishuo.com/?/invest/showData/search_gu-si801037" xr:uid="{00000000-0004-0000-0800-0000AA000000}"/>
    <hyperlink ref="K173" r:id="rId172" display="http://discuss.jiucaishuo.com/?/invest/showData/search_gu-sz399808" xr:uid="{00000000-0004-0000-0800-0000AB000000}"/>
    <hyperlink ref="K174" r:id="rId173" display="http://discuss.jiucaishuo.com/?/invest/showData/search_gu-si801054" xr:uid="{00000000-0004-0000-0800-0000AC000000}"/>
    <hyperlink ref="K175" r:id="rId174" display="http://discuss.jiucaishuo.com/?/invest/showData/search_gu-si801053" xr:uid="{00000000-0004-0000-0800-0000AD000000}"/>
    <hyperlink ref="K176" r:id="rId175" display="http://discuss.jiucaishuo.com/?/invest/showData/search_gu-sz399395" xr:uid="{00000000-0004-0000-0800-0000AE000000}"/>
    <hyperlink ref="K177" r:id="rId176" display="http://discuss.jiucaishuo.com/?/invest/showData/search_gu-csih30372" xr:uid="{00000000-0004-0000-0800-0000AF000000}"/>
    <hyperlink ref="K178" r:id="rId177" display="http://discuss.jiucaishuo.com/?/invest/showData/search_gu-sh000300" xr:uid="{00000000-0004-0000-0800-0000B0000000}"/>
    <hyperlink ref="K179" r:id="rId178" display="http://discuss.jiucaishuo.com/?/invest/showData/search_gu-sh000958" xr:uid="{00000000-0004-0000-0800-0000B1000000}"/>
    <hyperlink ref="K180" r:id="rId179" display="http://discuss.jiucaishuo.com/?/invest/showData/search_gu-si801016" xr:uid="{00000000-0004-0000-0800-0000B2000000}"/>
    <hyperlink ref="K181" r:id="rId180" display="http://discuss.jiucaishuo.com/?/invest/showData/search_gu-si801073" xr:uid="{00000000-0004-0000-0800-0000B3000000}"/>
    <hyperlink ref="K182" r:id="rId181" display="http://discuss.jiucaishuo.com/?/invest/showData/search_gu-sz399973" xr:uid="{00000000-0004-0000-0800-0000B4000000}"/>
    <hyperlink ref="K183" r:id="rId182" display="http://discuss.jiucaishuo.com/?/invest/showData/search_gu-sz399975" xr:uid="{00000000-0004-0000-0800-0000B5000000}"/>
    <hyperlink ref="K184" r:id="rId183" display="http://discuss.jiucaishuo.com/?/invest/showData/search_gu-si801084" xr:uid="{00000000-0004-0000-0800-0000B6000000}"/>
    <hyperlink ref="K185" r:id="rId184" display="http://discuss.jiucaishuo.com/?/invest/showData/search_gu-si801082" xr:uid="{00000000-0004-0000-0800-0000B7000000}"/>
    <hyperlink ref="K186" r:id="rId185" display="http://discuss.jiucaishuo.com/?/invest/showData/search_gu-sz399805" xr:uid="{00000000-0004-0000-0800-0000B8000000}"/>
    <hyperlink ref="K187" r:id="rId186" display="http://discuss.jiucaishuo.com/?/invest/showData/search_gu-si801012" xr:uid="{00000000-0004-0000-0800-0000B9000000}"/>
    <hyperlink ref="K188" r:id="rId187" display="http://discuss.jiucaishuo.com/?/invest/showData/search_gu-si801074" xr:uid="{00000000-0004-0000-0800-0000BA000000}"/>
    <hyperlink ref="K189" r:id="rId188" display="http://discuss.jiucaishuo.com/?/invest/showData/search_gu-sz399959" xr:uid="{00000000-0004-0000-0800-0000BB000000}"/>
    <hyperlink ref="K190" r:id="rId189" display="http://discuss.jiucaishuo.com/?/invest/showData/search_gu-si801732" xr:uid="{00000000-0004-0000-0800-0000BC000000}"/>
    <hyperlink ref="K191" r:id="rId190" display="http://discuss.jiucaishuo.com/?/invest/showData/search_gu-si801141" xr:uid="{00000000-0004-0000-0800-0000BD000000}"/>
    <hyperlink ref="K192" r:id="rId191" display="http://discuss.jiucaishuo.com/?/invest/showData/search_gu-csi930720" xr:uid="{00000000-0004-0000-0800-0000BE000000}"/>
    <hyperlink ref="K193" r:id="rId192" display="http://discuss.jiucaishuo.com/?/invest/showData/search_gu-hihscei" xr:uid="{00000000-0004-0000-0800-0000BF000000}"/>
    <hyperlink ref="K194" r:id="rId193" display="http://discuss.jiucaishuo.com/?/invest/showData/search_gu-si801740" xr:uid="{00000000-0004-0000-0800-0000C0000000}"/>
    <hyperlink ref="K195" r:id="rId194" display="http://discuss.jiucaishuo.com/?/invest/showData/search_gu-si801711" xr:uid="{00000000-0004-0000-0800-0000C1000000}"/>
    <hyperlink ref="K196" r:id="rId195" display="http://discuss.jiucaishuo.com/?/invest/showData/search_gu-sz399983" xr:uid="{00000000-0004-0000-0800-0000C2000000}"/>
    <hyperlink ref="K197" r:id="rId196" display="http://discuss.jiucaishuo.com/?/invest/showData/search_gu-sh000051" xr:uid="{00000000-0004-0000-0800-0000C3000000}"/>
    <hyperlink ref="K198" r:id="rId197" display="http://discuss.jiucaishuo.com/?/invest/showData/search_gu-si801742" xr:uid="{00000000-0004-0000-0800-0000C4000000}"/>
    <hyperlink ref="K199" r:id="rId198" display="http://discuss.jiucaishuo.com/?/invest/showData/search_gu-si801112" xr:uid="{00000000-0004-0000-0800-0000C5000000}"/>
    <hyperlink ref="K200" r:id="rId199" display="http://discuss.jiucaishuo.com/?/invest/showData/search_gu-sh000933" xr:uid="{00000000-0004-0000-0800-0000C6000000}"/>
    <hyperlink ref="K201" r:id="rId200" display="http://discuss.jiucaishuo.com/?/invest/showData/search_gu-sh000903" xr:uid="{00000000-0004-0000-0800-0000C7000000}"/>
    <hyperlink ref="K202" r:id="rId201" display="http://discuss.jiucaishuo.com/?/invest/showData/search_gu-gidjsoep" xr:uid="{00000000-0004-0000-0800-0000C8000000}"/>
    <hyperlink ref="K203" r:id="rId202" display="http://discuss.jiucaishuo.com/?/invest/showData/search_gu-si801182" xr:uid="{00000000-0004-0000-0800-0000C9000000}"/>
    <hyperlink ref="K204" r:id="rId203" display="http://discuss.jiucaishuo.com/?/invest/showData/search_gu-sh000974" xr:uid="{00000000-0004-0000-0800-0000CA000000}"/>
    <hyperlink ref="K205" r:id="rId204" display="http://discuss.jiucaishuo.com/?/invest/showData/search_gu-csi930648" xr:uid="{00000000-0004-0000-0800-0000CB000000}"/>
    <hyperlink ref="K206" r:id="rId205" display="http://discuss.jiucaishuo.com/?/invest/showData/search_gu-csi930659" xr:uid="{00000000-0004-0000-0800-0000CC000000}"/>
    <hyperlink ref="K207" r:id="rId206" display="http://discuss.jiucaishuo.com/?/invest/showData/search_gu-sz399422" xr:uid="{00000000-0004-0000-0800-0000CD000000}"/>
    <hyperlink ref="K208" r:id="rId207" display="http://discuss.jiucaishuo.com/?/invest/showData/search_gu-sh000048" xr:uid="{00000000-0004-0000-0800-0000CE000000}"/>
    <hyperlink ref="K209" r:id="rId208" display="http://discuss.jiucaishuo.com/?/invest/showData/search_gu-sz399996" xr:uid="{00000000-0004-0000-0800-0000CF000000}"/>
    <hyperlink ref="K210" r:id="rId209" display="http://discuss.jiucaishuo.com/?/invest/showData/search_gu-sz399810" xr:uid="{00000000-0004-0000-0800-0000D0000000}"/>
    <hyperlink ref="K211" r:id="rId210" display="http://discuss.jiucaishuo.com/?/invest/showData/search_gu-csi930790" xr:uid="{00000000-0004-0000-0800-0000D1000000}"/>
    <hyperlink ref="K212" r:id="rId211" display="http://discuss.jiucaishuo.com/?/invest/showData/search_gu-csi930654" xr:uid="{00000000-0004-0000-0800-0000D2000000}"/>
    <hyperlink ref="K213" r:id="rId212" display="http://discuss.jiucaishuo.com/?/invest/showData/search_gu-sh000033" xr:uid="{00000000-0004-0000-0800-0000D3000000}"/>
    <hyperlink ref="K214" r:id="rId213" display="http://discuss.jiucaishuo.com/?/invest/showData/search_gu-si801176" xr:uid="{00000000-0004-0000-0800-0000D4000000}"/>
    <hyperlink ref="K215" r:id="rId214" display="http://discuss.jiucaishuo.com/?/invest/showData/search_gu-si801721" xr:uid="{00000000-0004-0000-0800-0000D5000000}"/>
    <hyperlink ref="K216" r:id="rId215" display="http://discuss.jiucaishuo.com/?/invest/showData/search_gu-csi930713" xr:uid="{00000000-0004-0000-0800-0000D6000000}"/>
    <hyperlink ref="K217" r:id="rId216" display="http://discuss.jiucaishuo.com/?/invest/showData/search_gu-sz399313" xr:uid="{00000000-0004-0000-0800-0000D7000000}"/>
    <hyperlink ref="K218" r:id="rId217" display="http://discuss.jiucaishuo.com/?/invest/showData/search_gu-sh000009" xr:uid="{00000000-0004-0000-0800-0000D8000000}"/>
    <hyperlink ref="K219" r:id="rId218" display="http://discuss.jiucaishuo.com/?/invest/showData/search_gu-si801211" xr:uid="{00000000-0004-0000-0800-0000D9000000}"/>
    <hyperlink ref="K220" r:id="rId219" display="http://discuss.jiucaishuo.com/?/invest/showData/search_gu-sh000991" xr:uid="{00000000-0004-0000-0800-0000DA000000}"/>
    <hyperlink ref="K221" r:id="rId220" display="http://discuss.jiucaishuo.com/?/invest/showData/search_gu-csi930734" xr:uid="{00000000-0004-0000-0800-0000DB000000}"/>
    <hyperlink ref="K222" r:id="rId221" display="http://discuss.jiucaishuo.com/?/invest/showData/search_gu-csi930599" xr:uid="{00000000-0004-0000-0800-0000DC000000}"/>
    <hyperlink ref="K223" r:id="rId222" display="http://discuss.jiucaishuo.com/?/invest/showData/search_gu-sz399974" xr:uid="{00000000-0004-0000-0800-0000DD000000}"/>
    <hyperlink ref="K224" r:id="rId223" display="http://discuss.jiucaishuo.com/?/invest/showData/search_gu-sz399707" xr:uid="{00000000-0004-0000-0800-0000DE000000}"/>
    <hyperlink ref="K225" r:id="rId224" display="http://discuss.jiucaishuo.com/?/invest/showData/search_gu-si801150" xr:uid="{00000000-0004-0000-0800-0000DF000000}"/>
    <hyperlink ref="K226" r:id="rId225" display="http://discuss.jiucaishuo.com/?/invest/showData/search_gu-si801102" xr:uid="{00000000-0004-0000-0800-0000E0000000}"/>
    <hyperlink ref="K227" r:id="rId226" display="http://discuss.jiucaishuo.com/?/invest/showData/search_gu-si801011" xr:uid="{00000000-0004-0000-0800-0000E1000000}"/>
    <hyperlink ref="K228" r:id="rId227" display="http://discuss.jiucaishuo.com/?/invest/showData/search_gu-sh000816" xr:uid="{00000000-0004-0000-0800-0000E2000000}"/>
    <hyperlink ref="K229" r:id="rId228" display="http://discuss.jiucaishuo.com/?/invest/showData/search_gu-csih30171" xr:uid="{00000000-0004-0000-0800-0000E3000000}"/>
    <hyperlink ref="K230" r:id="rId229" display="http://discuss.jiucaishuo.com/?/invest/showData/search_gu-csih30588" xr:uid="{00000000-0004-0000-0800-0000E4000000}"/>
    <hyperlink ref="K231" r:id="rId230" display="http://discuss.jiucaishuo.com/?/invest/showData/search_gu-hihsmsi" xr:uid="{00000000-0004-0000-0800-0000E5000000}"/>
    <hyperlink ref="K232" r:id="rId231" display="http://discuss.jiucaishuo.com/?/invest/showData/search_gu-si801013" xr:uid="{00000000-0004-0000-0800-0000E6000000}"/>
    <hyperlink ref="K233" r:id="rId232" display="http://discuss.jiucaishuo.com/?/invest/showData/search_gu-si801032" xr:uid="{00000000-0004-0000-0800-0000E7000000}"/>
    <hyperlink ref="K234" r:id="rId233" display="http://discuss.jiucaishuo.com/?/invest/showData/search_gu-sh000043" xr:uid="{00000000-0004-0000-0800-0000E8000000}"/>
    <hyperlink ref="K235" r:id="rId234" display="http://discuss.jiucaishuo.com/?/invest/showData/search_gu-sh000046" xr:uid="{00000000-0004-0000-0800-0000E9000000}"/>
    <hyperlink ref="K236" r:id="rId235" display="http://discuss.jiucaishuo.com/?/invest/showData/search_gu-si801204" xr:uid="{00000000-0004-0000-0800-0000EA000000}"/>
    <hyperlink ref="K237" r:id="rId236" display="http://discuss.jiucaishuo.com/?/invest/showData/search_gu-si801713" xr:uid="{00000000-0004-0000-0800-0000EB000000}"/>
    <hyperlink ref="K238" r:id="rId237" display="http://discuss.jiucaishuo.com/?/invest/showData/search_gu-sh000969" xr:uid="{00000000-0004-0000-0800-0000EC000000}"/>
    <hyperlink ref="K239" r:id="rId238" display="http://discuss.jiucaishuo.com/?/invest/showData/search_gu-si801223" xr:uid="{00000000-0004-0000-0800-0000ED000000}"/>
    <hyperlink ref="K240" r:id="rId239" display="http://discuss.jiucaishuo.com/?/invest/showData/search_gu-csih30318" xr:uid="{00000000-0004-0000-0800-0000EE000000}"/>
    <hyperlink ref="K241" r:id="rId240" display="http://discuss.jiucaishuo.com/?/invest/showData/search_gu-si801743" xr:uid="{00000000-0004-0000-0800-0000EF000000}"/>
    <hyperlink ref="K242" r:id="rId241" display="http://discuss.jiucaishuo.com/?/invest/showData/search_gu-csi930820" xr:uid="{00000000-0004-0000-0800-0000F0000000}"/>
    <hyperlink ref="K243" r:id="rId242" display="http://discuss.jiucaishuo.com/?/invest/showData/search_gu-sh000971" xr:uid="{00000000-0004-0000-0800-0000F1000000}"/>
    <hyperlink ref="K244" r:id="rId243" display="http://discuss.jiucaishuo.com/?/invest/showData/search_gu-sz399637" xr:uid="{00000000-0004-0000-0800-0000F2000000}"/>
    <hyperlink ref="K245" r:id="rId244" display="http://discuss.jiucaishuo.com/?/invest/showData/search_gu-csi930777" xr:uid="{00000000-0004-0000-0800-0000F3000000}"/>
    <hyperlink ref="K246" r:id="rId245" display="http://discuss.jiucaishuo.com/?/invest/showData/search_gu-csih20839" xr:uid="{00000000-0004-0000-0800-0000F4000000}"/>
    <hyperlink ref="K247" r:id="rId246" display="http://discuss.jiucaishuo.com/?/invest/showData/search_gu-sz399612" xr:uid="{00000000-0004-0000-0800-0000F5000000}"/>
    <hyperlink ref="K248" r:id="rId247" display="http://discuss.jiucaishuo.com/?/invest/showData/search_gu-si801210" xr:uid="{00000000-0004-0000-0800-0000F6000000}"/>
    <hyperlink ref="K249" r:id="rId248" display="http://discuss.jiucaishuo.com/?/invest/showData/search_gu-si801101" xr:uid="{00000000-0004-0000-0800-0000F7000000}"/>
    <hyperlink ref="K250" r:id="rId249" display="http://discuss.jiucaishuo.com/?/invest/showData/search_gu-csi930836" xr:uid="{00000000-0004-0000-0800-0000F8000000}"/>
    <hyperlink ref="K251" r:id="rId250" display="http://discuss.jiucaishuo.com/?/invest/showData/search_gu-csi930791" xr:uid="{00000000-0004-0000-0800-0000F9000000}"/>
    <hyperlink ref="K252" r:id="rId251" display="http://discuss.jiucaishuo.com/?/invest/showData/search_gu-sz399001" xr:uid="{00000000-0004-0000-0800-0000FA000000}"/>
    <hyperlink ref="K253" r:id="rId252" display="http://discuss.jiucaishuo.com/?/invest/showData/search_gu-sz399102" xr:uid="{00000000-0004-0000-0800-0000FB000000}"/>
    <hyperlink ref="K254" r:id="rId253" display="http://discuss.jiucaishuo.com/?/invest/showData/search_gu-si801144" xr:uid="{00000000-0004-0000-0800-0000FC000000}"/>
    <hyperlink ref="K255" r:id="rId254" display="http://discuss.jiucaishuo.com/?/invest/showData/search_gu-sz399348" xr:uid="{00000000-0004-0000-0800-0000FD000000}"/>
    <hyperlink ref="K256" r:id="rId255" display="http://discuss.jiucaishuo.com/?/invest/showData/search_gu-si801750" xr:uid="{00000000-0004-0000-0800-0000FE000000}"/>
    <hyperlink ref="K257" r:id="rId256" display="http://discuss.jiucaishuo.com/?/invest/showData/search_gu-sz399007" xr:uid="{00000000-0004-0000-0800-0000FF000000}"/>
    <hyperlink ref="K258" r:id="rId257" display="http://discuss.jiucaishuo.com/?/invest/showData/search_gu-csi930652" xr:uid="{00000000-0004-0000-0800-000000010000}"/>
    <hyperlink ref="K259" r:id="rId258" display="http://discuss.jiucaishuo.com/?/invest/showData/search_gu-si801151" xr:uid="{00000000-0004-0000-0800-000001010000}"/>
    <hyperlink ref="K260" r:id="rId259" display="http://discuss.jiucaishuo.com/?/invest/showData/search_gu-sz399966" xr:uid="{00000000-0004-0000-0800-000002010000}"/>
    <hyperlink ref="K261" r:id="rId260" display="http://discuss.jiucaishuo.com/?/invest/showData/search_gu-sh000814" xr:uid="{00000000-0004-0000-0800-000003010000}"/>
    <hyperlink ref="K262" r:id="rId261" display="http://discuss.jiucaishuo.com/?/invest/showData/search_gu-sh000044" xr:uid="{00000000-0004-0000-0800-000004010000}"/>
    <hyperlink ref="K263" r:id="rId262" display="http://discuss.jiucaishuo.com/?/invest/showData/search_gu-sh000993" xr:uid="{00000000-0004-0000-0800-000005010000}"/>
    <hyperlink ref="K264" r:id="rId263" display="http://discuss.jiucaishuo.com/?/invest/showData/search_gu-sz399809" xr:uid="{00000000-0004-0000-0800-000006010000}"/>
    <hyperlink ref="K265" r:id="rId264" display="http://discuss.jiucaishuo.com/?/invest/showData/search_gu-csih30124" xr:uid="{00000000-0004-0000-0800-000007010000}"/>
    <hyperlink ref="K266" r:id="rId265" display="http://discuss.jiucaishuo.com/?/invest/showData/search_gu-csi930697" xr:uid="{00000000-0004-0000-0800-000008010000}"/>
    <hyperlink ref="K267" r:id="rId266" display="http://discuss.jiucaishuo.com/?/invest/showData/search_gu-si801080" xr:uid="{00000000-0004-0000-0800-000009010000}"/>
    <hyperlink ref="K268" r:id="rId267" display="http://discuss.jiucaishuo.com/?/invest/showData/search_gu-si801222" xr:uid="{00000000-0004-0000-0800-00000A010000}"/>
    <hyperlink ref="K269" r:id="rId268" display="http://discuss.jiucaishuo.com/?/invest/showData/search_gu-si801152" xr:uid="{00000000-0004-0000-0800-00000B010000}"/>
    <hyperlink ref="K270" r:id="rId269" display="http://discuss.jiucaishuo.com/?/invest/showData/search_gu-csih30035" xr:uid="{00000000-0004-0000-0800-00000C010000}"/>
    <hyperlink ref="K271" r:id="rId270" display="http://discuss.jiucaishuo.com/?/invest/showData/search_gu-sz399703" xr:uid="{00000000-0004-0000-0800-00000D010000}"/>
    <hyperlink ref="K272" r:id="rId271" display="http://discuss.jiucaishuo.com/?/invest/showData/search_gu-sh000065" xr:uid="{00000000-0004-0000-0800-00000E010000}"/>
    <hyperlink ref="K273" r:id="rId272" display="http://discuss.jiucaishuo.com/?/invest/showData/search_gu-si801085" xr:uid="{00000000-0004-0000-0800-00000F010000}"/>
    <hyperlink ref="K274" r:id="rId273" display="http://discuss.jiucaishuo.com/?/invest/showData/search_gu-sz399994" xr:uid="{00000000-0004-0000-0800-000010010000}"/>
    <hyperlink ref="K275" r:id="rId274" display="http://discuss.jiucaishuo.com/?/invest/showData/search_gu-si801215" xr:uid="{00000000-0004-0000-0800-000011010000}"/>
    <hyperlink ref="K276" r:id="rId275" display="http://discuss.jiucaishuo.com/?/invest/showData/search_gu-sh000037" xr:uid="{00000000-0004-0000-0800-000012010000}"/>
    <hyperlink ref="K277" r:id="rId276" display="http://discuss.jiucaishuo.com/?/invest/showData/search_gu-sh000998" xr:uid="{00000000-0004-0000-0800-000013010000}"/>
    <hyperlink ref="K278" r:id="rId277" display="http://discuss.jiucaishuo.com/?/invest/showData/search_gu-csi930651" xr:uid="{00000000-0004-0000-0800-000014010000}"/>
    <hyperlink ref="K279" r:id="rId278" display="http://discuss.jiucaishuo.com/?/invest/showData/search_gu-si801770" xr:uid="{00000000-0004-0000-0800-000015010000}"/>
    <hyperlink ref="K280" r:id="rId279" display="http://discuss.jiucaishuo.com/?/invest/showData/search_gu-sh000952" xr:uid="{00000000-0004-0000-0800-000016010000}"/>
    <hyperlink ref="K281" r:id="rId280" display="http://discuss.jiucaishuo.com/?/invest/showData/search_gu-si801194" xr:uid="{00000000-0004-0000-0800-000017010000}"/>
    <hyperlink ref="K282" r:id="rId281" display="http://discuss.jiucaishuo.com/?/invest/showData/search_gu-gigdaxi" xr:uid="{00000000-0004-0000-0800-000018010000}"/>
    <hyperlink ref="K283" r:id="rId282" display="http://discuss.jiucaishuo.com/?/invest/showData/search_gu-sz399337" xr:uid="{00000000-0004-0000-0800-000019010000}"/>
    <hyperlink ref="K284" r:id="rId283" display="http://discuss.jiucaishuo.com/?/invest/showData/search_gu-sz399702" xr:uid="{00000000-0004-0000-0800-00001A010000}"/>
    <hyperlink ref="K285" r:id="rId284" display="http://discuss.jiucaishuo.com/?/invest/showData/search_gu-si801018" xr:uid="{00000000-0004-0000-0800-00001B010000}"/>
    <hyperlink ref="K286" r:id="rId285" display="http://discuss.jiucaishuo.com/?/invest/showData/search_gu-sh000935" xr:uid="{00000000-0004-0000-0800-00001C010000}"/>
    <hyperlink ref="K287" r:id="rId286" display="http://discuss.jiucaishuo.com/?/invest/showData/search_gu-csi931009" xr:uid="{00000000-0004-0000-0800-00001D010000}"/>
    <hyperlink ref="K288" r:id="rId287" display="http://discuss.jiucaishuo.com/?/invest/showData/search_gu-csih11136" xr:uid="{00000000-0004-0000-0800-00001E010000}"/>
    <hyperlink ref="K289" r:id="rId288" display="http://discuss.jiucaishuo.com/?/invest/showData/search_gu-sz399673" xr:uid="{00000000-0004-0000-0800-00001F010000}"/>
    <hyperlink ref="K290" r:id="rId289" display="http://discuss.jiucaishuo.com/?/invest/showData/search_gu-sz399804" xr:uid="{00000000-0004-0000-0800-000020010000}"/>
    <hyperlink ref="K291" r:id="rId290" display="http://discuss.jiucaishuo.com/?/invest/showData/search_gu-si801881" xr:uid="{00000000-0004-0000-0800-000021010000}"/>
    <hyperlink ref="K292" r:id="rId291" display="http://discuss.jiucaishuo.com/?/invest/showData/search_gu-sz399006" xr:uid="{00000000-0004-0000-0800-000022010000}"/>
    <hyperlink ref="K293" r:id="rId292" display="http://discuss.jiucaishuo.com/?/invest/showData/search_gu-sz399812" xr:uid="{00000000-0004-0000-0800-000023010000}"/>
    <hyperlink ref="K294" r:id="rId293" display="http://discuss.jiucaishuo.com/?/invest/showData/search_gu-si801081" xr:uid="{00000000-0004-0000-0800-000024010000}"/>
    <hyperlink ref="K295" r:id="rId294" display="http://discuss.jiucaishuo.com/?/invest/showData/search_gu-sz399610" xr:uid="{00000000-0004-0000-0800-000025010000}"/>
    <hyperlink ref="K296" r:id="rId295" display="http://discuss.jiucaishuo.com/?/invest/showData/search_gu-si801010" xr:uid="{00000000-0004-0000-0800-000026010000}"/>
    <hyperlink ref="K297" r:id="rId296" display="http://discuss.jiucaishuo.com/?/invest/showData/search_gu-sz399441" xr:uid="{00000000-0004-0000-0800-000027010000}"/>
    <hyperlink ref="K298" r:id="rId297" display="http://discuss.jiucaishuo.com/?/invest/showData/search_gu-csi930729" xr:uid="{00000000-0004-0000-0800-000028010000}"/>
    <hyperlink ref="K299" r:id="rId298" display="http://discuss.jiucaishuo.com/?/invest/showData/search_gu-sz399813" xr:uid="{00000000-0004-0000-0800-000029010000}"/>
    <hyperlink ref="K300" r:id="rId299" display="http://discuss.jiucaishuo.com/?/invest/showData/search_gu-si801156" xr:uid="{00000000-0004-0000-0800-00002A010000}"/>
    <hyperlink ref="K301" r:id="rId300" display="http://discuss.jiucaishuo.com/?/invest/showData/search_gu-sz399326" xr:uid="{00000000-0004-0000-0800-00002B010000}"/>
    <hyperlink ref="K302" r:id="rId301" display="http://discuss.jiucaishuo.com/?/invest/showData/search_gu-sz399701" xr:uid="{00000000-0004-0000-0800-00002C010000}"/>
    <hyperlink ref="K303" r:id="rId302" display="http://discuss.jiucaishuo.com/?/invest/showData/search_gu-sz399811" xr:uid="{00000000-0004-0000-0800-00002D010000}"/>
    <hyperlink ref="K304" r:id="rId303" display="http://discuss.jiucaishuo.com/?/invest/showData/search_gu-sz399976" xr:uid="{00000000-0004-0000-0800-00002E010000}"/>
    <hyperlink ref="K305" r:id="rId304" display="http://discuss.jiucaishuo.com/?/invest/showData/search_gu-sz399550" xr:uid="{00000000-0004-0000-0800-00002F010000}"/>
    <hyperlink ref="K306" r:id="rId305" display="http://discuss.jiucaishuo.com/?/invest/showData/search_gu-sz399989" xr:uid="{00000000-0004-0000-0800-000030010000}"/>
    <hyperlink ref="K307" r:id="rId306" display="http://discuss.jiucaishuo.com/?/invest/showData/search_gu-si801111" xr:uid="{00000000-0004-0000-0800-000031010000}"/>
    <hyperlink ref="K308" r:id="rId307" display="http://discuss.jiucaishuo.com/?/invest/showData/search_gu-si801214" xr:uid="{00000000-0004-0000-0800-000032010000}"/>
    <hyperlink ref="K309" r:id="rId308" display="http://discuss.jiucaishuo.com/?/invest/showData/search_gu-sh000913" xr:uid="{00000000-0004-0000-0800-000033010000}"/>
    <hyperlink ref="K310" r:id="rId309" display="http://discuss.jiucaishuo.com/?/invest/showData/search_gu-sh000064" xr:uid="{00000000-0004-0000-0800-000034010000}"/>
    <hyperlink ref="K311" r:id="rId310" display="http://discuss.jiucaishuo.com/?/invest/showData/search_gu-csi930723" xr:uid="{00000000-0004-0000-0800-000035010000}"/>
    <hyperlink ref="K312" r:id="rId311" display="http://discuss.jiucaishuo.com/?/invest/showData/search_gu-sz399993" xr:uid="{00000000-0004-0000-0800-000036010000}"/>
    <hyperlink ref="K313" r:id="rId312" display="http://discuss.jiucaishuo.com/?/invest/showData/search_gu-sz399330" xr:uid="{00000000-0004-0000-0800-000037010000}"/>
    <hyperlink ref="K314" r:id="rId313" display="http://discuss.jiucaishuo.com/?/invest/showData/search_gu-sz399004" xr:uid="{00000000-0004-0000-0800-000038010000}"/>
    <hyperlink ref="K315" r:id="rId314" display="http://discuss.jiucaishuo.com/?/invest/showData/search_gu-si801014" xr:uid="{00000000-0004-0000-0800-000039010000}"/>
    <hyperlink ref="K316" r:id="rId315" display="http://discuss.jiucaishuo.com/?/invest/showData/search_gu-si801124" xr:uid="{00000000-0004-0000-0800-00003A010000}"/>
    <hyperlink ref="K317" r:id="rId316" display="http://discuss.jiucaishuo.com/?/invest/showData/search_gu-sz399324" xr:uid="{00000000-0004-0000-0800-00003B010000}"/>
    <hyperlink ref="K318" r:id="rId317" display="http://discuss.jiucaishuo.com/?/invest/showData/search_gu-si801110" xr:uid="{00000000-0004-0000-0800-00003C010000}"/>
    <hyperlink ref="K319" r:id="rId318" display="http://discuss.jiucaishuo.com/?/invest/showData/search_gu-si801083" xr:uid="{00000000-0004-0000-0800-00003D010000}"/>
    <hyperlink ref="K320" r:id="rId319" display="http://discuss.jiucaishuo.com/?/invest/showData/search_gu-csih30344" xr:uid="{00000000-0004-0000-0800-00003E010000}"/>
    <hyperlink ref="K321" r:id="rId320" display="http://discuss.jiucaishuo.com/?/invest/showData/search_gu-sz399394" xr:uid="{00000000-0004-0000-0800-00003F010000}"/>
    <hyperlink ref="K322" r:id="rId321" display="http://discuss.jiucaishuo.com/?/invest/showData/search_gu-sh000808" xr:uid="{00000000-0004-0000-0800-000040010000}"/>
    <hyperlink ref="K323" r:id="rId322" display="http://discuss.jiucaishuo.com/?/invest/showData/search_gu-csi930629" xr:uid="{00000000-0004-0000-0800-000041010000}"/>
    <hyperlink ref="K324" r:id="rId323" display="http://discuss.jiucaishuo.com/?/invest/showData/search_gu-csih30535" xr:uid="{00000000-0004-0000-0800-000042010000}"/>
    <hyperlink ref="K325" r:id="rId324" display="http://discuss.jiucaishuo.com/?/invest/showData/search_gu-sh000049" xr:uid="{00000000-0004-0000-0800-000043010000}"/>
    <hyperlink ref="K326" r:id="rId325" display="http://discuss.jiucaishuo.com/?/invest/showData/search_gu-si801153" xr:uid="{00000000-0004-0000-0800-000044010000}"/>
    <hyperlink ref="K327" r:id="rId326" display="http://discuss.jiucaishuo.com/?/invest/showData/search_gu-sz399814" xr:uid="{00000000-0004-0000-0800-000045010000}"/>
    <hyperlink ref="K328" r:id="rId327" display="http://discuss.jiucaishuo.com/?/invest/showData/search_gu-sh000069" xr:uid="{00000000-0004-0000-0800-000046010000}"/>
    <hyperlink ref="K329" r:id="rId328" display="http://discuss.jiucaishuo.com/?/invest/showData/search_gu-sh000028" xr:uid="{00000000-0004-0000-0800-000047010000}"/>
    <hyperlink ref="K330" r:id="rId329" display="http://discuss.jiucaishuo.com/?/invest/showData/search_gu-csi930743" xr:uid="{00000000-0004-0000-0800-000048010000}"/>
    <hyperlink ref="K331" r:id="rId330" display="http://discuss.jiucaishuo.com/?/invest/showData/search_gu-si801120" xr:uid="{00000000-0004-0000-0800-000049010000}"/>
    <hyperlink ref="K332" r:id="rId331" display="http://discuss.jiucaishuo.com/?/invest/showData/search_gu-sz399632" xr:uid="{00000000-0004-0000-0800-00004A010000}"/>
    <hyperlink ref="K333" r:id="rId332" display="http://discuss.jiucaishuo.com/?/invest/showData/search_gu-sz399970" xr:uid="{00000000-0004-0000-0800-00004B010000}"/>
    <hyperlink ref="K334" r:id="rId333" display="http://discuss.jiucaishuo.com/?/invest/showData/search_gu-csi000978" xr:uid="{00000000-0004-0000-0800-00004C010000}"/>
    <hyperlink ref="K335" r:id="rId334" display="http://discuss.jiucaishuo.com/?/invest/showData/search_gu-spisphcmshp" xr:uid="{00000000-0004-0000-0800-00004D010000}"/>
    <hyperlink ref="K336" r:id="rId335" display="http://discuss.jiucaishuo.com/?/invest/showData/search_gu-sh000918" xr:uid="{00000000-0004-0000-0800-00004E010000}"/>
    <hyperlink ref="K337" r:id="rId336" display="http://discuss.jiucaishuo.com/?/invest/showData/search_gu-si801174" xr:uid="{00000000-0004-0000-0800-00004F010000}"/>
    <hyperlink ref="K338" r:id="rId337" display="http://discuss.jiucaishuo.com/?/invest/showData/search_gu-si801123" xr:uid="{00000000-0004-0000-0800-000050010000}"/>
    <hyperlink ref="K339" r:id="rId338" display="http://discuss.jiucaishuo.com/?/invest/showData/search_gu-sh000828" xr:uid="{00000000-0004-0000-0800-000051010000}"/>
    <hyperlink ref="K340" r:id="rId339" display="http://discuss.jiucaishuo.com/?/invest/showData/search_gu-sz399803" xr:uid="{00000000-0004-0000-0800-000052010000}"/>
    <hyperlink ref="K341" r:id="rId340" display="http://discuss.jiucaishuo.com/?/invest/showData/search_gu-si801017" xr:uid="{00000000-0004-0000-0800-000053010000}"/>
    <hyperlink ref="K342" r:id="rId341" display="http://discuss.jiucaishuo.com/?/invest/showData/search_gu-csi930721" xr:uid="{00000000-0004-0000-0800-000054010000}"/>
    <hyperlink ref="K343" r:id="rId342" display="http://discuss.jiucaishuo.com/?/invest/showData/search_gu-sh000932" xr:uid="{00000000-0004-0000-0800-000055010000}"/>
    <hyperlink ref="K344" r:id="rId343" display="http://discuss.jiucaishuo.com/?/invest/showData/search_gu-csi930719" xr:uid="{00000000-0004-0000-0800-000056010000}"/>
    <hyperlink ref="K345" r:id="rId344" display="http://discuss.jiucaishuo.com/?/invest/showData/search_gu-sh000990" xr:uid="{00000000-0004-0000-0800-000057010000}"/>
    <hyperlink ref="K346" r:id="rId345" display="http://discuss.jiucaishuo.com/?/invest/showData/search_gu-sz399997" xr:uid="{00000000-0004-0000-0800-000058010000}"/>
    <hyperlink ref="K347" r:id="rId346" display="http://discuss.jiucaishuo.com/?/invest/showData/search_gu-giixic" xr:uid="{00000000-0004-0000-0800-000059010000}"/>
    <hyperlink ref="K348" r:id="rId347" display="http://discuss.jiucaishuo.com/?/invest/showData/search_gu-csi930653" xr:uid="{00000000-0004-0000-0800-00005A010000}"/>
    <hyperlink ref="K349" r:id="rId348" display="http://discuss.jiucaishuo.com/?/invest/showData/search_gu-sz399987" xr:uid="{00000000-0004-0000-0800-00005B010000}"/>
    <hyperlink ref="K350" r:id="rId349" display="http://discuss.jiucaishuo.com/?/invest/showData/search_gu-csih30021" xr:uid="{00000000-0004-0000-0800-00005C010000}"/>
    <hyperlink ref="K351" r:id="rId350" display="http://discuss.jiucaishuo.com/?/invest/showData/search_gu-sz399396" xr:uid="{00000000-0004-0000-0800-00005D010000}"/>
    <hyperlink ref="K352" r:id="rId351" display="http://discuss.jiucaishuo.com/?/invest/showData/search_gu-spisp500" xr:uid="{00000000-0004-0000-0800-00005E010000}"/>
    <hyperlink ref="K353" r:id="rId352" display="http://discuss.jiucaishuo.com/?/invest/showData/search_gu-spispxewtr" xr:uid="{00000000-0004-0000-0800-00005F010000}"/>
    <hyperlink ref="K354" r:id="rId353" display="http://discuss.jiucaishuo.com/?/invest/showData/search_gu-gispx" xr:uid="{00000000-0004-0000-0800-000060010000}"/>
    <hyperlink ref="K355" r:id="rId354" display="http://discuss.jiucaishuo.com/?/invest/showData/search_gu-csi133333" xr:uid="{00000000-0004-0000-0800-000061010000}"/>
    <hyperlink ref="K356" r:id="rId355" display="http://discuss.jiucaishuo.com/?/invest/showData/search_gu-sh000036" xr:uid="{00000000-0004-0000-0800-000062010000}"/>
    <hyperlink ref="K357" r:id="rId356" display="http://discuss.jiucaishuo.com/?/invest/showData/search_gu-gidji" xr:uid="{00000000-0004-0000-0800-000063010000}"/>
    <hyperlink ref="K358" r:id="rId357" display="http://discuss.jiucaishuo.com/?/invest/showData/search_gu-gindx" xr:uid="{00000000-0004-0000-0800-000064010000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O60"/>
  <sheetViews>
    <sheetView tabSelected="1" topLeftCell="A10" zoomScale="158" workbookViewId="0">
      <selection activeCell="G74" sqref="G74"/>
    </sheetView>
  </sheetViews>
  <sheetFormatPr baseColWidth="10" defaultRowHeight="16" x14ac:dyDescent="0.2"/>
  <cols>
    <col min="2" max="2" width="10.83203125" customWidth="1"/>
    <col min="4" max="4" width="11.33203125" customWidth="1"/>
    <col min="10" max="10" width="10.83203125" customWidth="1"/>
    <col min="15" max="15" width="21" bestFit="1" customWidth="1"/>
  </cols>
  <sheetData>
    <row r="1" spans="1:12" x14ac:dyDescent="0.2">
      <c r="B1" t="s">
        <v>1148</v>
      </c>
      <c r="C1" t="s">
        <v>56</v>
      </c>
      <c r="D1" t="s">
        <v>1149</v>
      </c>
      <c r="E1" t="s">
        <v>1150</v>
      </c>
      <c r="F1" t="s">
        <v>1151</v>
      </c>
    </row>
    <row r="2" spans="1:12" x14ac:dyDescent="0.2">
      <c r="B2" t="s">
        <v>1152</v>
      </c>
      <c r="C2" t="s">
        <v>1153</v>
      </c>
      <c r="D2" t="s">
        <v>1154</v>
      </c>
      <c r="E2" t="s">
        <v>1152</v>
      </c>
      <c r="F2" t="s">
        <v>1155</v>
      </c>
    </row>
    <row r="3" spans="1:12" x14ac:dyDescent="0.2">
      <c r="B3" t="s">
        <v>1156</v>
      </c>
      <c r="C3" s="110" t="s">
        <v>1157</v>
      </c>
      <c r="D3" t="s">
        <v>1158</v>
      </c>
      <c r="E3" t="s">
        <v>1156</v>
      </c>
      <c r="F3" t="s">
        <v>1155</v>
      </c>
    </row>
    <row r="5" spans="1:12" x14ac:dyDescent="0.2">
      <c r="B5">
        <f>$G5*B6</f>
        <v>7.5</v>
      </c>
      <c r="C5">
        <f>$G5*C6</f>
        <v>15</v>
      </c>
      <c r="D5">
        <f>$G5*D6</f>
        <v>22.5</v>
      </c>
      <c r="E5">
        <f>$G5*E6</f>
        <v>15</v>
      </c>
      <c r="F5">
        <f>$G5*F6</f>
        <v>15</v>
      </c>
      <c r="G5">
        <v>75</v>
      </c>
    </row>
    <row r="6" spans="1:12" x14ac:dyDescent="0.2">
      <c r="B6" s="113">
        <v>0.1</v>
      </c>
      <c r="C6" s="113">
        <v>0.2</v>
      </c>
      <c r="D6" s="113">
        <v>0.3</v>
      </c>
      <c r="E6" s="113">
        <v>0.2</v>
      </c>
      <c r="F6" s="113">
        <v>0.2</v>
      </c>
      <c r="G6" s="113">
        <f>SUM(B6:F6)</f>
        <v>1</v>
      </c>
    </row>
    <row r="7" spans="1:12" x14ac:dyDescent="0.2">
      <c r="B7" s="113"/>
      <c r="C7" s="113"/>
      <c r="D7" s="113"/>
      <c r="E7" s="113"/>
      <c r="F7" s="113"/>
      <c r="G7" s="113"/>
    </row>
    <row r="8" spans="1:12" x14ac:dyDescent="0.2">
      <c r="A8" s="127" t="s">
        <v>1159</v>
      </c>
      <c r="B8">
        <v>0.2</v>
      </c>
      <c r="C8">
        <v>0.3</v>
      </c>
      <c r="D8">
        <v>0.35</v>
      </c>
      <c r="E8">
        <v>0.3</v>
      </c>
      <c r="F8">
        <v>0.26</v>
      </c>
      <c r="G8" s="113"/>
    </row>
    <row r="9" spans="1:12" x14ac:dyDescent="0.2">
      <c r="A9" s="127" t="s">
        <v>1160</v>
      </c>
      <c r="B9">
        <v>0.1</v>
      </c>
      <c r="C9">
        <v>0.1</v>
      </c>
      <c r="D9">
        <v>0.15</v>
      </c>
      <c r="E9">
        <v>0.18</v>
      </c>
      <c r="F9">
        <v>0.2</v>
      </c>
      <c r="G9" s="113"/>
    </row>
    <row r="10" spans="1:12" x14ac:dyDescent="0.2">
      <c r="A10" s="127" t="s">
        <v>1161</v>
      </c>
      <c r="B10">
        <v>0.06</v>
      </c>
      <c r="C10">
        <v>0.08</v>
      </c>
      <c r="D10">
        <v>0.12</v>
      </c>
      <c r="E10">
        <v>0.15</v>
      </c>
      <c r="F10">
        <v>0.12</v>
      </c>
      <c r="G10" s="113"/>
    </row>
    <row r="11" spans="1:12" x14ac:dyDescent="0.2">
      <c r="A11" s="127" t="s">
        <v>1162</v>
      </c>
      <c r="B11">
        <f>B8+B10</f>
        <v>0.26</v>
      </c>
      <c r="C11">
        <f>C8+C10</f>
        <v>0.38</v>
      </c>
      <c r="D11">
        <f>D8+D10</f>
        <v>0.47</v>
      </c>
      <c r="E11">
        <f>E8+E10</f>
        <v>0.44999999999999996</v>
      </c>
      <c r="F11">
        <f>F8+F10</f>
        <v>0.38</v>
      </c>
    </row>
    <row r="12" spans="1:12" x14ac:dyDescent="0.2">
      <c r="A12" s="127" t="s">
        <v>1163</v>
      </c>
      <c r="B12">
        <f>B9-B10</f>
        <v>4.0000000000000008E-2</v>
      </c>
      <c r="C12">
        <f>C9-C10</f>
        <v>2.0000000000000004E-2</v>
      </c>
      <c r="D12">
        <f>D9-D10</f>
        <v>0.03</v>
      </c>
      <c r="E12">
        <f>E9-E10</f>
        <v>0.03</v>
      </c>
      <c r="F12">
        <f>F9-F10</f>
        <v>8.0000000000000016E-2</v>
      </c>
    </row>
    <row r="13" spans="1:12" x14ac:dyDescent="0.2">
      <c r="A13" s="127" t="s">
        <v>1164</v>
      </c>
      <c r="B13">
        <f>B11/(B11+B12)</f>
        <v>0.86666666666666659</v>
      </c>
      <c r="C13">
        <f>C11/(C11+C12)</f>
        <v>0.95</v>
      </c>
      <c r="D13">
        <f>D11/(D11+D12)</f>
        <v>0.94</v>
      </c>
      <c r="E13">
        <f>E11/(E11+E12)</f>
        <v>0.93749999999999989</v>
      </c>
      <c r="F13">
        <f>F11/(F11+F12)</f>
        <v>0.82608695652173914</v>
      </c>
      <c r="H13" s="113"/>
      <c r="I13" s="113"/>
      <c r="J13" s="113"/>
      <c r="K13" s="113"/>
      <c r="L13" s="113"/>
    </row>
    <row r="14" spans="1:12" x14ac:dyDescent="0.2">
      <c r="A14" s="125" t="s">
        <v>1165</v>
      </c>
      <c r="B14" s="113">
        <f>B13/B12-(1-B13)/B11</f>
        <v>21.153846153846146</v>
      </c>
      <c r="C14" s="113">
        <f>C13/C12-(1-C13)/C11</f>
        <v>47.368421052631568</v>
      </c>
      <c r="D14" s="113">
        <f>D13/D12-(1-D13)/D11</f>
        <v>31.205673758865245</v>
      </c>
      <c r="E14" s="113">
        <f>E13/E12-(1-E13)/E11</f>
        <v>31.111111111111107</v>
      </c>
      <c r="F14" s="113">
        <f>F13/F12-(1-F13)/F11</f>
        <v>9.868421052631577</v>
      </c>
    </row>
    <row r="15" spans="1:12" x14ac:dyDescent="0.2">
      <c r="A15" s="125" t="s">
        <v>1166</v>
      </c>
      <c r="B15" s="113">
        <f>B13*B11-(1-B13)*B12</f>
        <v>0.22</v>
      </c>
      <c r="C15" s="113">
        <f>C13*C11-(1-C13)*C12</f>
        <v>0.36</v>
      </c>
      <c r="D15" s="113">
        <f>D13*D11-(1-D13)*D12</f>
        <v>0.43999999999999995</v>
      </c>
      <c r="E15" s="113">
        <f>E13*E11-(1-E13)*E12</f>
        <v>0.41999999999999987</v>
      </c>
      <c r="F15" s="113">
        <f>F13*F11-(1-F13)*F12</f>
        <v>0.3</v>
      </c>
    </row>
    <row r="17" spans="1:15" x14ac:dyDescent="0.2">
      <c r="A17">
        <v>2018</v>
      </c>
      <c r="C17">
        <v>1</v>
      </c>
      <c r="D17">
        <v>2</v>
      </c>
      <c r="E17">
        <v>3</v>
      </c>
      <c r="F17">
        <v>4</v>
      </c>
      <c r="G17">
        <v>5</v>
      </c>
      <c r="H17">
        <v>6</v>
      </c>
      <c r="I17">
        <v>7</v>
      </c>
      <c r="J17">
        <v>8</v>
      </c>
      <c r="K17">
        <v>9</v>
      </c>
      <c r="L17">
        <v>10</v>
      </c>
      <c r="M17">
        <v>11</v>
      </c>
      <c r="N17">
        <v>12</v>
      </c>
    </row>
    <row r="18" spans="1:15" s="134" customFormat="1" x14ac:dyDescent="0.2">
      <c r="C18" s="134">
        <v>1.7600000000000001E-2</v>
      </c>
      <c r="D18" s="134">
        <v>-3.0099999999999998E-2</v>
      </c>
      <c r="E18" s="134">
        <v>-2.5100000000000001E-2</v>
      </c>
      <c r="F18" s="134">
        <v>-7.7999999999999996E-3</v>
      </c>
      <c r="G18" s="134">
        <v>4.4699999999999997E-2</v>
      </c>
      <c r="H18" s="134">
        <v>-4.8899999999999999E-2</v>
      </c>
      <c r="I18" s="134">
        <v>1.2200000000000001E-2</v>
      </c>
      <c r="J18" s="134">
        <v>-3.1800000000000002E-2</v>
      </c>
      <c r="K18" s="134">
        <v>-2.4E-2</v>
      </c>
      <c r="L18" s="134">
        <v>-1.1000000000000001E-3</v>
      </c>
      <c r="M18" s="134">
        <v>2.1299999999999999E-2</v>
      </c>
      <c r="N18" s="134">
        <v>-5.9299999999999999E-2</v>
      </c>
    </row>
    <row r="19" spans="1:15" x14ac:dyDescent="0.2">
      <c r="C19" s="99">
        <f t="shared" ref="C19:N19" si="0">1+C18</f>
        <v>1.0176000000000001</v>
      </c>
      <c r="D19" s="99">
        <f t="shared" si="0"/>
        <v>0.96989999999999998</v>
      </c>
      <c r="E19" s="99">
        <f t="shared" si="0"/>
        <v>0.97489999999999999</v>
      </c>
      <c r="F19" s="99">
        <f t="shared" si="0"/>
        <v>0.99219999999999997</v>
      </c>
      <c r="G19" s="99">
        <f t="shared" si="0"/>
        <v>1.0447</v>
      </c>
      <c r="H19" s="99">
        <f t="shared" si="0"/>
        <v>0.95110000000000006</v>
      </c>
      <c r="I19" s="99">
        <f t="shared" si="0"/>
        <v>1.0122</v>
      </c>
      <c r="J19" s="99">
        <f t="shared" si="0"/>
        <v>0.96819999999999995</v>
      </c>
      <c r="K19" s="99">
        <f t="shared" si="0"/>
        <v>0.97599999999999998</v>
      </c>
      <c r="L19" s="99">
        <f t="shared" si="0"/>
        <v>0.99890000000000001</v>
      </c>
      <c r="M19" s="99">
        <f t="shared" si="0"/>
        <v>1.0213000000000001</v>
      </c>
      <c r="N19" s="99">
        <f t="shared" si="0"/>
        <v>0.94069999999999998</v>
      </c>
    </row>
    <row r="20" spans="1:15" x14ac:dyDescent="0.2">
      <c r="C20" s="99">
        <f>PRODUCT(C19)*1-100%</f>
        <v>1.760000000000006E-2</v>
      </c>
      <c r="D20" s="99">
        <f t="shared" ref="D20:N20" si="1">(1+C20)*D19-1</f>
        <v>-1.3029760000000001E-2</v>
      </c>
      <c r="E20" s="99">
        <f t="shared" si="1"/>
        <v>-3.7802713024000067E-2</v>
      </c>
      <c r="F20" s="99">
        <f t="shared" si="1"/>
        <v>-4.5307851862412929E-2</v>
      </c>
      <c r="G20" s="99">
        <f t="shared" si="1"/>
        <v>-2.6331128406628102E-3</v>
      </c>
      <c r="H20" s="99">
        <f t="shared" si="1"/>
        <v>-5.1404353622754306E-2</v>
      </c>
      <c r="I20" s="99">
        <f t="shared" si="1"/>
        <v>-3.9831486736951915E-2</v>
      </c>
      <c r="J20" s="99">
        <f t="shared" si="1"/>
        <v>-7.0364845458716907E-2</v>
      </c>
      <c r="K20" s="99">
        <f t="shared" si="1"/>
        <v>-9.2676089167707754E-2</v>
      </c>
      <c r="L20" s="99">
        <f t="shared" si="1"/>
        <v>-9.3674145469623271E-2</v>
      </c>
      <c r="M20" s="99">
        <f t="shared" si="1"/>
        <v>-7.4369404768126146E-2</v>
      </c>
      <c r="N20" s="99">
        <f t="shared" si="1"/>
        <v>-0.12925929906537625</v>
      </c>
      <c r="O20" s="123">
        <f>(1+N20)*1</f>
        <v>0.87074070093462375</v>
      </c>
    </row>
    <row r="22" spans="1:15" x14ac:dyDescent="0.2">
      <c r="A22">
        <v>2019</v>
      </c>
      <c r="C22">
        <v>1</v>
      </c>
      <c r="D22">
        <v>2</v>
      </c>
      <c r="E22">
        <v>3</v>
      </c>
      <c r="F22">
        <v>4</v>
      </c>
      <c r="G22">
        <v>5</v>
      </c>
      <c r="H22">
        <v>6</v>
      </c>
      <c r="I22">
        <v>7</v>
      </c>
      <c r="J22">
        <v>8</v>
      </c>
      <c r="K22">
        <v>9</v>
      </c>
      <c r="L22">
        <v>10</v>
      </c>
      <c r="M22">
        <v>11</v>
      </c>
      <c r="N22">
        <v>12</v>
      </c>
    </row>
    <row r="23" spans="1:15" s="134" customFormat="1" x14ac:dyDescent="0.2">
      <c r="C23" s="134">
        <v>4.5400000000000003E-2</v>
      </c>
      <c r="D23" s="134">
        <v>0.19889999999999999</v>
      </c>
      <c r="E23" s="134">
        <v>5.4300000000000001E-2</v>
      </c>
      <c r="F23" s="134">
        <v>-1.9099999999999999E-2</v>
      </c>
      <c r="G23" s="134">
        <v>-6.59E-2</v>
      </c>
      <c r="H23" s="134">
        <v>3.8199999999999998E-2</v>
      </c>
      <c r="I23" s="134">
        <v>-1.8E-3</v>
      </c>
      <c r="J23" s="134">
        <v>-2.7400000000000001E-2</v>
      </c>
      <c r="K23" s="134">
        <v>7.3000000000000001E-3</v>
      </c>
      <c r="L23" s="134">
        <v>1.8700000000000001E-2</v>
      </c>
      <c r="M23" s="134">
        <v>1.8E-3</v>
      </c>
      <c r="N23" s="134">
        <v>7.6499999999999999E-2</v>
      </c>
    </row>
    <row r="24" spans="1:15" x14ac:dyDescent="0.2">
      <c r="C24" s="99">
        <f t="shared" ref="C24:N24" si="2">1+C23</f>
        <v>1.0454000000000001</v>
      </c>
      <c r="D24" s="99">
        <f t="shared" si="2"/>
        <v>1.1989000000000001</v>
      </c>
      <c r="E24" s="99">
        <f t="shared" si="2"/>
        <v>1.0543</v>
      </c>
      <c r="F24" s="99">
        <f t="shared" si="2"/>
        <v>0.98089999999999999</v>
      </c>
      <c r="G24" s="99">
        <f t="shared" si="2"/>
        <v>0.93410000000000004</v>
      </c>
      <c r="H24" s="99">
        <f t="shared" si="2"/>
        <v>1.0382</v>
      </c>
      <c r="I24" s="99">
        <f t="shared" si="2"/>
        <v>0.99819999999999998</v>
      </c>
      <c r="J24" s="99">
        <f t="shared" si="2"/>
        <v>0.97260000000000002</v>
      </c>
      <c r="K24" s="99">
        <f t="shared" si="2"/>
        <v>1.0073000000000001</v>
      </c>
      <c r="L24" s="99">
        <f t="shared" si="2"/>
        <v>1.0186999999999999</v>
      </c>
      <c r="M24" s="99">
        <f t="shared" si="2"/>
        <v>1.0018</v>
      </c>
      <c r="N24" s="99">
        <f t="shared" si="2"/>
        <v>1.0765</v>
      </c>
    </row>
    <row r="25" spans="1:15" x14ac:dyDescent="0.2">
      <c r="C25" s="99">
        <f>PRODUCT(C24)*1-100%</f>
        <v>4.5400000000000107E-2</v>
      </c>
      <c r="D25" s="99">
        <f t="shared" ref="D25:N25" si="3">(1+C25)*D24-1</f>
        <v>0.25333006000000013</v>
      </c>
      <c r="E25" s="99">
        <f t="shared" si="3"/>
        <v>0.32138588225800024</v>
      </c>
      <c r="F25" s="99">
        <f t="shared" si="3"/>
        <v>0.29614741190687233</v>
      </c>
      <c r="G25" s="99">
        <f t="shared" si="3"/>
        <v>0.21073129746220953</v>
      </c>
      <c r="H25" s="99">
        <f t="shared" si="3"/>
        <v>0.25698123302526588</v>
      </c>
      <c r="I25" s="99">
        <f t="shared" si="3"/>
        <v>0.25471866680582034</v>
      </c>
      <c r="J25" s="99">
        <f t="shared" si="3"/>
        <v>0.22033937533534087</v>
      </c>
      <c r="K25" s="99">
        <f t="shared" si="3"/>
        <v>0.22924785277528903</v>
      </c>
      <c r="L25" s="99">
        <f t="shared" si="3"/>
        <v>0.25223478762218687</v>
      </c>
      <c r="M25" s="99">
        <f t="shared" si="3"/>
        <v>0.25448881023990677</v>
      </c>
      <c r="N25" s="99">
        <f t="shared" si="3"/>
        <v>0.35045720422325966</v>
      </c>
      <c r="O25" s="123">
        <f>(1+N25)*O20</f>
        <v>1.1758980525875735</v>
      </c>
    </row>
    <row r="27" spans="1:15" x14ac:dyDescent="0.2">
      <c r="A27">
        <v>2020</v>
      </c>
      <c r="C27">
        <v>1</v>
      </c>
      <c r="D27">
        <v>2</v>
      </c>
    </row>
    <row r="28" spans="1:15" x14ac:dyDescent="0.2">
      <c r="A28" s="134"/>
      <c r="B28" s="134"/>
      <c r="C28" s="134">
        <v>-2.0899999999999998E-2</v>
      </c>
      <c r="D28" s="134">
        <v>0</v>
      </c>
    </row>
    <row r="29" spans="1:15" x14ac:dyDescent="0.2">
      <c r="C29" s="99">
        <f>1+C28</f>
        <v>0.97909999999999997</v>
      </c>
      <c r="D29" s="99">
        <f>1+D28</f>
        <v>1</v>
      </c>
    </row>
    <row r="30" spans="1:15" x14ac:dyDescent="0.2">
      <c r="C30" s="99">
        <f>PRODUCT(C29)*1-100%</f>
        <v>-2.090000000000003E-2</v>
      </c>
      <c r="D30" s="99">
        <v>0</v>
      </c>
      <c r="O30" s="123">
        <f>(1+D30)*O25</f>
        <v>1.1758980525875735</v>
      </c>
    </row>
    <row r="33" spans="1:8" x14ac:dyDescent="0.2">
      <c r="A33" t="s">
        <v>1167</v>
      </c>
      <c r="C33">
        <f>C35+C34</f>
        <v>229.5</v>
      </c>
      <c r="D33">
        <f>D35+D34</f>
        <v>264</v>
      </c>
      <c r="E33" s="99">
        <f>D33/C33-1</f>
        <v>0.15032679738562083</v>
      </c>
    </row>
    <row r="34" spans="1:8" x14ac:dyDescent="0.2">
      <c r="A34" t="s">
        <v>1168</v>
      </c>
      <c r="C34">
        <v>64.5</v>
      </c>
      <c r="D34">
        <v>74</v>
      </c>
      <c r="E34" s="99">
        <f>D34/C34-1</f>
        <v>0.1472868217054264</v>
      </c>
    </row>
    <row r="35" spans="1:8" x14ac:dyDescent="0.2">
      <c r="A35" t="s">
        <v>1169</v>
      </c>
      <c r="C35">
        <v>165</v>
      </c>
      <c r="D35">
        <v>190</v>
      </c>
      <c r="E35" s="99">
        <f>D35/C35-1</f>
        <v>0.1515151515151516</v>
      </c>
    </row>
    <row r="36" spans="1:8" x14ac:dyDescent="0.2">
      <c r="E36" s="99"/>
    </row>
    <row r="38" spans="1:8" x14ac:dyDescent="0.2">
      <c r="C38">
        <v>205</v>
      </c>
      <c r="D38">
        <f>74+182+20</f>
        <v>276</v>
      </c>
      <c r="E38">
        <f>D33+20</f>
        <v>284</v>
      </c>
    </row>
    <row r="39" spans="1:8" ht="20" customHeight="1" x14ac:dyDescent="0.2">
      <c r="A39" s="66"/>
      <c r="B39" s="66"/>
      <c r="C39" s="119" t="s">
        <v>1170</v>
      </c>
      <c r="D39" s="119" t="s">
        <v>1171</v>
      </c>
    </row>
    <row r="43" spans="1:8" x14ac:dyDescent="0.2">
      <c r="C43" t="s">
        <v>1172</v>
      </c>
      <c r="D43" t="s">
        <v>1173</v>
      </c>
      <c r="E43" t="s">
        <v>1161</v>
      </c>
      <c r="F43" t="s">
        <v>1174</v>
      </c>
    </row>
    <row r="44" spans="1:8" x14ac:dyDescent="0.2">
      <c r="A44" t="s">
        <v>1150</v>
      </c>
      <c r="B44" t="s">
        <v>1175</v>
      </c>
      <c r="C44">
        <v>19</v>
      </c>
      <c r="D44">
        <v>41</v>
      </c>
      <c r="E44">
        <v>15</v>
      </c>
      <c r="F44">
        <v>3</v>
      </c>
    </row>
    <row r="45" spans="1:8" x14ac:dyDescent="0.2">
      <c r="C45" s="128">
        <f>C44+E44+F44</f>
        <v>37</v>
      </c>
      <c r="D45" s="128">
        <f>D44+E44+F44</f>
        <v>59</v>
      </c>
      <c r="G45">
        <f>(C45+C47)/2</f>
        <v>53</v>
      </c>
      <c r="H45">
        <f>(D45+D47)/2</f>
        <v>81</v>
      </c>
    </row>
    <row r="46" spans="1:8" x14ac:dyDescent="0.2">
      <c r="B46" t="s">
        <v>1176</v>
      </c>
      <c r="C46">
        <v>51</v>
      </c>
      <c r="D46">
        <v>85</v>
      </c>
    </row>
    <row r="47" spans="1:8" x14ac:dyDescent="0.2">
      <c r="C47">
        <f>C46+E44+F44</f>
        <v>69</v>
      </c>
      <c r="D47">
        <f>D46+E44+F44</f>
        <v>103</v>
      </c>
    </row>
    <row r="48" spans="1:8" x14ac:dyDescent="0.2">
      <c r="A48" t="s">
        <v>1149</v>
      </c>
      <c r="B48" t="s">
        <v>1175</v>
      </c>
      <c r="C48">
        <v>32</v>
      </c>
      <c r="D48">
        <v>44</v>
      </c>
      <c r="E48">
        <v>15</v>
      </c>
      <c r="F48">
        <v>2</v>
      </c>
    </row>
    <row r="49" spans="1:8" x14ac:dyDescent="0.2">
      <c r="C49" s="128">
        <f>C48+E48+F48</f>
        <v>49</v>
      </c>
      <c r="D49" s="128">
        <f>D48+E48+F48</f>
        <v>61</v>
      </c>
      <c r="G49">
        <f>(C49+C51)/2</f>
        <v>55</v>
      </c>
      <c r="H49">
        <f>(D49+D51)/2</f>
        <v>67</v>
      </c>
    </row>
    <row r="50" spans="1:8" x14ac:dyDescent="0.2">
      <c r="B50" t="s">
        <v>1176</v>
      </c>
      <c r="C50">
        <v>44</v>
      </c>
      <c r="D50">
        <v>56</v>
      </c>
    </row>
    <row r="51" spans="1:8" x14ac:dyDescent="0.2">
      <c r="C51">
        <f>C50+E48+F48</f>
        <v>61</v>
      </c>
      <c r="D51">
        <f>D50+E48+F48</f>
        <v>73</v>
      </c>
    </row>
    <row r="52" spans="1:8" x14ac:dyDescent="0.2">
      <c r="A52" t="s">
        <v>186</v>
      </c>
      <c r="B52" t="s">
        <v>1175</v>
      </c>
      <c r="C52">
        <v>30</v>
      </c>
      <c r="D52">
        <v>40</v>
      </c>
      <c r="E52">
        <v>12</v>
      </c>
      <c r="F52">
        <v>5</v>
      </c>
    </row>
    <row r="53" spans="1:8" x14ac:dyDescent="0.2">
      <c r="C53">
        <f>C52+E52+F52</f>
        <v>47</v>
      </c>
      <c r="D53">
        <f>D52+E52+F52</f>
        <v>57</v>
      </c>
      <c r="G53">
        <f>(C53+C55)/2</f>
        <v>41.5</v>
      </c>
      <c r="H53">
        <f>(D53+D55)/2</f>
        <v>53</v>
      </c>
    </row>
    <row r="54" spans="1:8" x14ac:dyDescent="0.2">
      <c r="B54" t="s">
        <v>1176</v>
      </c>
      <c r="C54">
        <v>19</v>
      </c>
      <c r="D54">
        <v>32</v>
      </c>
    </row>
    <row r="55" spans="1:8" x14ac:dyDescent="0.2">
      <c r="C55" s="128">
        <f>C54+E52+F52</f>
        <v>36</v>
      </c>
      <c r="D55" s="128">
        <f>D54+E52+F52</f>
        <v>49</v>
      </c>
    </row>
    <row r="59" spans="1:8" x14ac:dyDescent="0.2">
      <c r="A59" t="s">
        <v>1177</v>
      </c>
      <c r="E59" t="s">
        <v>1164</v>
      </c>
      <c r="F59" t="s">
        <v>1178</v>
      </c>
      <c r="G59" t="s">
        <v>1179</v>
      </c>
      <c r="H59" t="s">
        <v>1180</v>
      </c>
    </row>
    <row r="60" spans="1:8" x14ac:dyDescent="0.2">
      <c r="E60" s="113">
        <v>0.4</v>
      </c>
      <c r="F60" s="134">
        <v>0.05</v>
      </c>
      <c r="G60" s="134">
        <v>0.1</v>
      </c>
      <c r="H60" s="99">
        <f>(E60/F60)-(1-E60)/G60</f>
        <v>2.0000000000000009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25"/>
  <sheetViews>
    <sheetView zoomScale="125" workbookViewId="0">
      <selection activeCell="L20" sqref="L20"/>
    </sheetView>
  </sheetViews>
  <sheetFormatPr baseColWidth="10" defaultRowHeight="16" x14ac:dyDescent="0.2"/>
  <cols>
    <col min="1" max="1" width="15.1640625" customWidth="1"/>
    <col min="12" max="12" width="15.33203125" customWidth="1"/>
  </cols>
  <sheetData>
    <row r="1" spans="1:5" x14ac:dyDescent="0.2">
      <c r="A1" t="s">
        <v>1181</v>
      </c>
      <c r="B1">
        <v>1900</v>
      </c>
      <c r="C1">
        <v>5700</v>
      </c>
      <c r="D1">
        <v>5600</v>
      </c>
      <c r="E1">
        <f t="shared" ref="E1:E9" si="0">SUM(B1:D1)</f>
        <v>13200</v>
      </c>
    </row>
    <row r="2" spans="1:5" x14ac:dyDescent="0.2">
      <c r="A2" t="s">
        <v>1182</v>
      </c>
      <c r="B2">
        <v>5000</v>
      </c>
      <c r="C2">
        <v>5100</v>
      </c>
      <c r="D2">
        <v>6000</v>
      </c>
      <c r="E2">
        <f t="shared" si="0"/>
        <v>16100</v>
      </c>
    </row>
    <row r="3" spans="1:5" x14ac:dyDescent="0.2">
      <c r="A3" t="s">
        <v>1183</v>
      </c>
      <c r="B3">
        <v>2020</v>
      </c>
      <c r="E3">
        <f t="shared" si="0"/>
        <v>2020</v>
      </c>
    </row>
    <row r="4" spans="1:5" x14ac:dyDescent="0.2">
      <c r="A4" t="s">
        <v>1184</v>
      </c>
      <c r="B4">
        <v>1900</v>
      </c>
      <c r="E4">
        <f t="shared" si="0"/>
        <v>1900</v>
      </c>
    </row>
    <row r="5" spans="1:5" x14ac:dyDescent="0.2">
      <c r="A5" t="s">
        <v>1185</v>
      </c>
      <c r="B5">
        <v>1000</v>
      </c>
      <c r="E5">
        <f t="shared" si="0"/>
        <v>1000</v>
      </c>
    </row>
    <row r="6" spans="1:5" x14ac:dyDescent="0.2">
      <c r="A6" t="s">
        <v>1186</v>
      </c>
      <c r="B6">
        <v>6600</v>
      </c>
      <c r="E6">
        <f t="shared" si="0"/>
        <v>6600</v>
      </c>
    </row>
    <row r="7" spans="1:5" x14ac:dyDescent="0.2">
      <c r="A7" t="s">
        <v>1187</v>
      </c>
      <c r="B7">
        <v>2800</v>
      </c>
      <c r="E7">
        <f t="shared" si="0"/>
        <v>2800</v>
      </c>
    </row>
    <row r="8" spans="1:5" x14ac:dyDescent="0.2">
      <c r="A8" t="s">
        <v>1188</v>
      </c>
      <c r="B8">
        <v>1000</v>
      </c>
      <c r="E8">
        <f t="shared" si="0"/>
        <v>1000</v>
      </c>
    </row>
    <row r="9" spans="1:5" x14ac:dyDescent="0.2">
      <c r="A9" t="s">
        <v>1188</v>
      </c>
      <c r="B9">
        <v>1000</v>
      </c>
      <c r="E9">
        <f t="shared" si="0"/>
        <v>1000</v>
      </c>
    </row>
    <row r="11" spans="1:5" x14ac:dyDescent="0.2">
      <c r="A11" t="s">
        <v>1189</v>
      </c>
      <c r="B11">
        <v>2000</v>
      </c>
      <c r="E11">
        <f t="shared" ref="E11:E24" si="1">SUM(B11:D11)</f>
        <v>2000</v>
      </c>
    </row>
    <row r="12" spans="1:5" x14ac:dyDescent="0.2">
      <c r="A12" t="s">
        <v>1190</v>
      </c>
      <c r="B12">
        <v>2000</v>
      </c>
      <c r="E12">
        <f t="shared" si="1"/>
        <v>2000</v>
      </c>
    </row>
    <row r="13" spans="1:5" x14ac:dyDescent="0.2">
      <c r="A13" t="s">
        <v>1191</v>
      </c>
      <c r="B13">
        <v>2800</v>
      </c>
      <c r="E13">
        <f t="shared" si="1"/>
        <v>2800</v>
      </c>
    </row>
    <row r="14" spans="1:5" x14ac:dyDescent="0.2">
      <c r="A14" t="s">
        <v>1192</v>
      </c>
      <c r="B14">
        <v>1000</v>
      </c>
      <c r="E14">
        <f t="shared" si="1"/>
        <v>1000</v>
      </c>
    </row>
    <row r="15" spans="1:5" x14ac:dyDescent="0.2">
      <c r="A15" t="s">
        <v>1193</v>
      </c>
      <c r="B15">
        <v>2800</v>
      </c>
      <c r="E15">
        <f t="shared" si="1"/>
        <v>2800</v>
      </c>
    </row>
    <row r="16" spans="1:5" x14ac:dyDescent="0.2">
      <c r="A16" t="s">
        <v>1194</v>
      </c>
      <c r="B16">
        <v>2000</v>
      </c>
      <c r="E16">
        <f t="shared" si="1"/>
        <v>2000</v>
      </c>
    </row>
    <row r="17" spans="1:5" x14ac:dyDescent="0.2">
      <c r="A17" t="s">
        <v>1195</v>
      </c>
      <c r="B17">
        <v>2000</v>
      </c>
      <c r="E17">
        <f t="shared" si="1"/>
        <v>2000</v>
      </c>
    </row>
    <row r="18" spans="1:5" x14ac:dyDescent="0.2">
      <c r="A18" t="s">
        <v>1196</v>
      </c>
      <c r="B18">
        <v>2000</v>
      </c>
      <c r="E18">
        <f t="shared" si="1"/>
        <v>2000</v>
      </c>
    </row>
    <row r="19" spans="1:5" x14ac:dyDescent="0.2">
      <c r="A19" t="s">
        <v>1197</v>
      </c>
      <c r="B19">
        <v>2000</v>
      </c>
      <c r="E19">
        <f t="shared" si="1"/>
        <v>2000</v>
      </c>
    </row>
    <row r="20" spans="1:5" x14ac:dyDescent="0.2">
      <c r="A20" t="s">
        <v>1198</v>
      </c>
      <c r="B20">
        <v>2000</v>
      </c>
      <c r="E20">
        <f t="shared" si="1"/>
        <v>2000</v>
      </c>
    </row>
    <row r="21" spans="1:5" x14ac:dyDescent="0.2">
      <c r="A21" t="s">
        <v>1199</v>
      </c>
      <c r="B21">
        <v>1000</v>
      </c>
      <c r="E21">
        <f t="shared" si="1"/>
        <v>1000</v>
      </c>
    </row>
    <row r="22" spans="1:5" x14ac:dyDescent="0.2">
      <c r="A22" t="s">
        <v>1200</v>
      </c>
      <c r="B22">
        <v>2000</v>
      </c>
      <c r="E22">
        <f t="shared" si="1"/>
        <v>2000</v>
      </c>
    </row>
    <row r="23" spans="1:5" x14ac:dyDescent="0.2">
      <c r="A23" t="s">
        <v>1201</v>
      </c>
      <c r="B23">
        <v>1000</v>
      </c>
      <c r="E23">
        <f t="shared" si="1"/>
        <v>1000</v>
      </c>
    </row>
    <row r="24" spans="1:5" x14ac:dyDescent="0.2">
      <c r="A24" t="s">
        <v>1202</v>
      </c>
      <c r="B24">
        <v>1000</v>
      </c>
      <c r="E24">
        <f t="shared" si="1"/>
        <v>1000</v>
      </c>
    </row>
    <row r="25" spans="1:5" x14ac:dyDescent="0.2">
      <c r="E25">
        <f>SUM(E1:E24)</f>
        <v>71220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marked</vt:lpstr>
      <vt:lpstr>港股指数</vt:lpstr>
      <vt:lpstr>国证C1</vt:lpstr>
      <vt:lpstr>国证C2</vt:lpstr>
      <vt:lpstr>国证C3</vt:lpstr>
      <vt:lpstr>申万一级</vt:lpstr>
      <vt:lpstr>申万二级</vt:lpstr>
      <vt:lpstr>指数净资产增幅</vt:lpstr>
      <vt:lpstr>全指数估值</vt:lpstr>
      <vt:lpstr>portfolio</vt:lpstr>
      <vt:lpstr>结婚红包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Ren</dc:creator>
  <cp:lastModifiedBy>Ren, Brett</cp:lastModifiedBy>
  <dcterms:created xsi:type="dcterms:W3CDTF">2018-09-12T12:02:31Z</dcterms:created>
  <dcterms:modified xsi:type="dcterms:W3CDTF">2024-12-11T15:20:26Z</dcterms:modified>
</cp:coreProperties>
</file>