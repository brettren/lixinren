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drawing+xml" PartName="/xl/drawings/drawing1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11" autoFilterDateGrouping="1" firstSheet="0" minimized="0" showHorizontalScroll="1" showSheetTabs="1" showVerticalScroll="1" tabRatio="600" visibility="visible" windowHeight="19240" windowWidth="38400" xWindow="7460" yWindow="500"/>
  </bookViews>
  <sheets>
    <sheet name="marked" sheetId="1" state="visible" r:id="rId1"/>
    <sheet name="港股指数" sheetId="2" state="visible" r:id="rId2"/>
    <sheet name="国证C1" sheetId="3" state="visible" r:id="rId3"/>
    <sheet name="国证C2" sheetId="4" state="visible" r:id="rId4"/>
    <sheet name="国证C3" sheetId="5" state="visible" r:id="rId5"/>
    <sheet name="申万一级" sheetId="6" state="visible" r:id="rId6"/>
    <sheet name="申万二级" sheetId="7" state="visible" r:id="rId7"/>
    <sheet name="指数净资产增幅" sheetId="8" state="visible" r:id="rId8"/>
    <sheet name="全指数估值" sheetId="9" state="visible" r:id="rId9"/>
    <sheet name="可转债双低" sheetId="10" state="visible" r:id="rId10"/>
    <sheet name="portfolio" sheetId="11" state="visible" r:id="rId11"/>
    <sheet name="Sheet1" sheetId="12" state="visible" r:id="rId12"/>
  </sheets>
  <definedNames>
    <definedName hidden="1" localSheetId="2" name="_xlnm._FilterDatabase">'国证C1'!$Q$1:$Q$313</definedName>
    <definedName hidden="1" localSheetId="5" name="_xlnm._FilterDatabase">'申万一级'!$B$2:$Q$30</definedName>
    <definedName hidden="1" localSheetId="6" name="_xlnm._FilterDatabase">'申万二级'!$J$1:$J$105</definedName>
    <definedName hidden="1" localSheetId="8" name="_xlnm._FilterDatabase">'全指数估值'!$A$1:$L$358</definedName>
  </definedNames>
  <calcPr calcId="191029" fullCalcOnLoad="1"/>
</workbook>
</file>

<file path=xl/styles.xml><?xml version="1.0" encoding="utf-8"?>
<styleSheet xmlns="http://schemas.openxmlformats.org/spreadsheetml/2006/main">
  <numFmts count="3">
    <numFmt formatCode="0.000" numFmtId="164"/>
    <numFmt formatCode="0.0000" numFmtId="165"/>
    <numFmt formatCode="0.0%" numFmtId="166"/>
  </numFmts>
  <fonts count="58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4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color rgb="FFFFFFFF"/>
      <sz val="12"/>
    </font>
    <font>
      <name val="Menlo"/>
      <family val="2"/>
      <color rgb="FF333333"/>
      <sz val="13"/>
    </font>
    <font>
      <name val="Calibri"/>
      <family val="2"/>
      <color theme="1"/>
      <sz val="12"/>
    </font>
    <font>
      <name val="Arial"/>
      <family val="2"/>
      <color rgb="FF666666"/>
      <sz val="12"/>
    </font>
    <font>
      <name val="Calibri"/>
      <family val="2"/>
      <color rgb="FF008000"/>
      <sz val="12"/>
    </font>
    <font>
      <name val="Helvetica Neue"/>
      <family val="2"/>
      <color rgb="FF333333"/>
      <sz val="14"/>
    </font>
    <font>
      <name val="Arial"/>
      <family val="2"/>
      <b val="1"/>
      <color rgb="FF797979"/>
      <sz val="13"/>
    </font>
    <font>
      <name val="Arial"/>
      <family val="2"/>
      <color rgb="FF797979"/>
      <sz val="13"/>
    </font>
    <font>
      <name val="Calibri"/>
      <family val="2"/>
      <color theme="10"/>
      <sz val="12"/>
      <u val="single"/>
      <scheme val="minor"/>
    </font>
    <font>
      <name val="Calibri"/>
      <family val="2"/>
      <color rgb="FF008000"/>
      <sz val="12"/>
    </font>
    <font>
      <name val="Calibri"/>
      <family val="2"/>
      <color rgb="FF00FF00"/>
      <sz val="12"/>
    </font>
    <font>
      <name val="Calibri"/>
      <family val="2"/>
      <color rgb="FFFF0000"/>
      <sz val="12"/>
    </font>
    <font>
      <name val="Calibri"/>
      <family val="2"/>
      <color rgb="FF800000"/>
      <sz val="12"/>
    </font>
    <font>
      <name val="Calibri"/>
      <family val="2"/>
      <color rgb="FF00FF00"/>
      <sz val="12"/>
    </font>
    <font>
      <name val="Calibri"/>
      <family val="2"/>
      <color rgb="FF008000"/>
      <sz val="12"/>
    </font>
    <font>
      <name val="Calibri"/>
      <family val="2"/>
      <color rgb="FF800000"/>
      <sz val="12"/>
    </font>
    <font>
      <name val="Calibri"/>
      <family val="2"/>
      <color rgb="FFFF0000"/>
      <sz val="12"/>
    </font>
    <font>
      <name val="Helvetica"/>
      <family val="2"/>
      <color rgb="FF222222"/>
      <sz val="20"/>
    </font>
    <font>
      <name val="Calibri"/>
      <family val="2"/>
      <color rgb="FF00FF00"/>
      <sz val="12"/>
    </font>
    <font>
      <name val="Calibri"/>
      <family val="2"/>
      <color rgb="FF008000"/>
      <sz val="12"/>
    </font>
    <font>
      <name val="Calibri"/>
      <family val="2"/>
      <color rgb="FFFF0000"/>
      <sz val="12"/>
      <scheme val="minor"/>
    </font>
    <font>
      <name val="Helvetica Neue"/>
      <family val="2"/>
      <color rgb="FF777777"/>
      <sz val="14"/>
    </font>
    <font>
      <name val="Helvetica Neue"/>
      <family val="2"/>
      <color rgb="FF33353C"/>
      <sz val="16"/>
    </font>
    <font>
      <name val="Calibri"/>
      <family val="2"/>
      <sz val="12"/>
    </font>
    <font>
      <name val="Calibri"/>
      <family val="2"/>
      <color rgb="FF800000"/>
      <sz val="12"/>
    </font>
    <font>
      <name val="Calibri"/>
      <family val="2"/>
      <color rgb="FF00FF00"/>
      <sz val="12"/>
    </font>
    <font>
      <name val="Calibri"/>
      <family val="2"/>
      <color rgb="FF008000"/>
      <sz val="12"/>
    </font>
    <font>
      <name val="Calibri"/>
      <family val="2"/>
      <color rgb="FF00FF00"/>
      <sz val="12"/>
    </font>
    <font>
      <name val="Calibri"/>
      <family val="2"/>
      <color rgb="FF800000"/>
      <sz val="12"/>
    </font>
    <font>
      <name val="Calibri"/>
      <family val="2"/>
      <color rgb="FF008000"/>
      <sz val="12"/>
    </font>
    <font>
      <name val="Calibri"/>
      <family val="2"/>
      <color rgb="FF00FF00"/>
      <sz val="12"/>
    </font>
    <font>
      <name val="Calibri"/>
      <family val="2"/>
      <color rgb="FF00FF00"/>
      <sz val="12"/>
    </font>
    <font>
      <name val="Arial"/>
      <family val="2"/>
      <color rgb="FF3D3D3D"/>
      <sz val="13"/>
    </font>
    <font>
      <name val="Arial"/>
      <family val="2"/>
      <i val="1"/>
      <color rgb="FFAAAAAA"/>
      <sz val="13"/>
    </font>
    <font>
      <name val="Helvetica Neue"/>
      <family val="2"/>
      <color rgb="FF444444"/>
      <sz val="13"/>
    </font>
    <font>
      <name val="Arial"/>
      <family val="2"/>
      <color rgb="FF333333"/>
      <sz val="10.8"/>
    </font>
    <font>
      <name val="Calibri"/>
      <family val="2"/>
      <color rgb="FF800000"/>
      <sz val="12"/>
    </font>
    <font>
      <name val="Calibri"/>
      <family val="2"/>
      <color rgb="FF008000"/>
      <sz val="12"/>
    </font>
    <font>
      <name val="Calibri"/>
      <family val="2"/>
      <color rgb="FFFF0000"/>
      <sz val="12"/>
    </font>
    <font>
      <name val="Calibri"/>
      <family val="2"/>
      <color rgb="FF00FF00"/>
      <sz val="12"/>
    </font>
    <font>
      <name val="Helvetica Neue"/>
      <family val="2"/>
      <color rgb="FF000000"/>
      <sz val="14"/>
    </font>
    <font>
      <name val="Calibri"/>
      <family val="2"/>
      <color rgb="FFFF0000"/>
      <sz val="12"/>
    </font>
    <font>
      <name val="Calibri"/>
      <family val="2"/>
      <color rgb="FF800000"/>
      <sz val="12"/>
    </font>
    <font>
      <name val="Calibri"/>
      <family val="2"/>
      <color rgb="FFFF0000"/>
      <sz val="12"/>
    </font>
    <font>
      <name val="Calibri"/>
      <family val="2"/>
      <color rgb="FF800000"/>
      <sz val="12"/>
    </font>
    <font>
      <name val="Calibri"/>
      <family val="2"/>
      <color rgb="FF008000"/>
      <sz val="12"/>
    </font>
    <font>
      <name val="Calibri"/>
      <family val="2"/>
      <color rgb="FF00FF00"/>
      <sz val="12"/>
    </font>
    <font>
      <name val="Arial"/>
      <family val="2"/>
      <color rgb="FF008011"/>
      <sz val="13"/>
    </font>
    <font>
      <name val="Arial"/>
      <family val="2"/>
      <color rgb="FFDD1817"/>
      <sz val="13"/>
    </font>
    <font>
      <color rgb="00FF0000"/>
    </font>
    <font>
      <color rgb="00800000"/>
    </font>
    <font>
      <color rgb="00008000"/>
    </font>
    <font>
      <color rgb="0000FF00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5">
    <xf borderId="0" fillId="0" fontId="1" numFmtId="0"/>
    <xf borderId="0" fillId="0" fontId="1" numFmtId="0"/>
    <xf borderId="0" fillId="0" fontId="13" numFmtId="0"/>
    <xf borderId="0" fillId="0" fontId="13" numFmtId="0"/>
    <xf borderId="0" fillId="0" fontId="1" numFmtId="0"/>
  </cellStyleXfs>
  <cellXfs count="172">
    <xf borderId="0" fillId="0" fontId="0" numFmtId="0" pivotButton="0" quotePrefix="0" xfId="0"/>
    <xf borderId="0" fillId="0" fontId="0" numFmtId="164" pivotButton="0" quotePrefix="0" xfId="0"/>
    <xf borderId="0" fillId="0" fontId="2" numFmtId="0" pivotButton="0" quotePrefix="0" xfId="0"/>
    <xf borderId="0" fillId="0" fontId="2" numFmtId="2" pivotButton="0" quotePrefix="0" xfId="1"/>
    <xf applyAlignment="1" borderId="0" fillId="0" fontId="2" numFmtId="0" pivotButton="0" quotePrefix="0" xfId="0">
      <alignment horizontal="right"/>
    </xf>
    <xf applyAlignment="1" borderId="0" fillId="0" fontId="2" numFmtId="9" pivotButton="0" quotePrefix="0" xfId="1">
      <alignment horizontal="right"/>
    </xf>
    <xf applyAlignment="1" borderId="0" fillId="0" fontId="2" numFmtId="2" pivotButton="0" quotePrefix="0" xfId="0">
      <alignment horizontal="right"/>
    </xf>
    <xf borderId="0" fillId="0" fontId="3" numFmtId="2" pivotButton="0" quotePrefix="0" xfId="0"/>
    <xf applyAlignment="1" borderId="0" fillId="0" fontId="3" numFmtId="0" pivotButton="0" quotePrefix="0" xfId="0">
      <alignment horizontal="right"/>
    </xf>
    <xf applyAlignment="1" borderId="0" fillId="0" fontId="3" numFmtId="9" pivotButton="0" quotePrefix="0" xfId="1">
      <alignment horizontal="right"/>
    </xf>
    <xf applyAlignment="1" borderId="0" fillId="0" fontId="3" numFmtId="2" pivotButton="0" quotePrefix="0" xfId="0">
      <alignment horizontal="right"/>
    </xf>
    <xf borderId="0" fillId="0" fontId="6" numFmtId="0" pivotButton="0" quotePrefix="0" xfId="0"/>
    <xf borderId="0" fillId="0" fontId="2" numFmtId="10" pivotButton="0" quotePrefix="0" xfId="0"/>
    <xf applyAlignment="1" borderId="0" fillId="0" fontId="2" numFmtId="10" pivotButton="0" quotePrefix="0" xfId="0">
      <alignment horizontal="right"/>
    </xf>
    <xf borderId="0" fillId="0" fontId="3" numFmtId="10" pivotButton="0" quotePrefix="0" xfId="0"/>
    <xf applyAlignment="1" borderId="0" fillId="0" fontId="3" numFmtId="10" pivotButton="0" quotePrefix="0" xfId="0">
      <alignment horizontal="right"/>
    </xf>
    <xf borderId="0" fillId="0" fontId="2" numFmtId="10" pivotButton="0" quotePrefix="0" xfId="1"/>
    <xf borderId="0" fillId="0" fontId="8" numFmtId="14" pivotButton="0" quotePrefix="0" xfId="0"/>
    <xf borderId="0" fillId="2" fontId="6" numFmtId="0" pivotButton="0" quotePrefix="0" xfId="0"/>
    <xf borderId="0" fillId="2" fontId="2" numFmtId="164" pivotButton="0" quotePrefix="0" xfId="0"/>
    <xf borderId="0" fillId="2" fontId="2" numFmtId="2" pivotButton="0" quotePrefix="0" xfId="0"/>
    <xf borderId="0" fillId="2" fontId="2" numFmtId="9" pivotButton="0" quotePrefix="0" xfId="0"/>
    <xf borderId="0" fillId="2" fontId="3" numFmtId="164" pivotButton="0" quotePrefix="0" xfId="0"/>
    <xf borderId="0" fillId="2" fontId="3" numFmtId="2" pivotButton="0" quotePrefix="0" xfId="1"/>
    <xf borderId="0" fillId="2" fontId="3" numFmtId="9" pivotButton="0" quotePrefix="0" xfId="0"/>
    <xf borderId="0" fillId="2" fontId="3" numFmtId="165" pivotButton="0" quotePrefix="0" xfId="0"/>
    <xf borderId="0" fillId="2" fontId="1" numFmtId="10" pivotButton="0" quotePrefix="0" xfId="1"/>
    <xf borderId="0" fillId="2" fontId="0" numFmtId="10" pivotButton="0" quotePrefix="0" xfId="0"/>
    <xf applyAlignment="1" borderId="0" fillId="0" fontId="2" numFmtId="166" pivotButton="0" quotePrefix="0" xfId="1">
      <alignment horizontal="right"/>
    </xf>
    <xf borderId="0" fillId="2" fontId="2" numFmtId="166" pivotButton="0" quotePrefix="0" xfId="1"/>
    <xf borderId="0" fillId="0" fontId="3" numFmtId="166" pivotButton="0" quotePrefix="0" xfId="0"/>
    <xf applyAlignment="1" borderId="0" fillId="0" fontId="3" numFmtId="166" pivotButton="0" quotePrefix="0" xfId="1">
      <alignment horizontal="right"/>
    </xf>
    <xf borderId="0" fillId="2" fontId="3" numFmtId="166" pivotButton="0" quotePrefix="0" xfId="1"/>
    <xf borderId="0" fillId="2" fontId="3" numFmtId="0" pivotButton="0" quotePrefix="0" xfId="0"/>
    <xf borderId="0" fillId="2" fontId="3" numFmtId="2" pivotButton="0" quotePrefix="0" xfId="0"/>
    <xf borderId="0" fillId="2" fontId="7" numFmtId="10" pivotButton="0" quotePrefix="0" xfId="1"/>
    <xf borderId="0" fillId="2" fontId="7" numFmtId="10" pivotButton="0" quotePrefix="0" xfId="0"/>
    <xf borderId="0" fillId="2" fontId="5" numFmtId="0" pivotButton="0" quotePrefix="0" xfId="0"/>
    <xf borderId="0" fillId="0" fontId="10" numFmtId="0" pivotButton="0" quotePrefix="0" xfId="0"/>
    <xf applyAlignment="1" borderId="0" fillId="2" fontId="2" numFmtId="9" pivotButton="0" quotePrefix="0" xfId="0">
      <alignment horizontal="right"/>
    </xf>
    <xf borderId="0" fillId="2" fontId="14" numFmtId="164" pivotButton="0" quotePrefix="0" xfId="0"/>
    <xf borderId="0" fillId="2" fontId="15" numFmtId="164" pivotButton="0" quotePrefix="0" xfId="0"/>
    <xf borderId="0" fillId="0" fontId="14" numFmtId="164" pivotButton="0" quotePrefix="0" xfId="0"/>
    <xf borderId="0" fillId="0" fontId="16" numFmtId="164" pivotButton="0" quotePrefix="0" xfId="0"/>
    <xf borderId="0" fillId="0" fontId="17" numFmtId="164" pivotButton="0" quotePrefix="0" xfId="0"/>
    <xf borderId="0" fillId="2" fontId="17" numFmtId="164" pivotButton="0" quotePrefix="0" xfId="0"/>
    <xf borderId="0" fillId="2" fontId="16" numFmtId="164" pivotButton="0" quotePrefix="0" xfId="0"/>
    <xf borderId="0" fillId="2" fontId="18" numFmtId="164" pivotButton="0" quotePrefix="0" xfId="0"/>
    <xf borderId="0" fillId="2" fontId="19" numFmtId="164" pivotButton="0" quotePrefix="0" xfId="0"/>
    <xf borderId="0" fillId="0" fontId="20" numFmtId="164" pivotButton="0" quotePrefix="0" xfId="0"/>
    <xf borderId="0" fillId="0" fontId="21" numFmtId="164" pivotButton="0" quotePrefix="0" xfId="0"/>
    <xf borderId="0" fillId="0" fontId="18" numFmtId="164" pivotButton="0" quotePrefix="0" xfId="0"/>
    <xf borderId="0" fillId="2" fontId="21" numFmtId="164" pivotButton="0" quotePrefix="0" xfId="0"/>
    <xf borderId="0" fillId="2" fontId="20" numFmtId="164" pivotButton="0" quotePrefix="0" xfId="0"/>
    <xf borderId="0" fillId="0" fontId="19" numFmtId="164" pivotButton="0" quotePrefix="0" xfId="0"/>
    <xf borderId="0" fillId="0" fontId="1" numFmtId="0" pivotButton="0" quotePrefix="0" xfId="1"/>
    <xf borderId="0" fillId="0" fontId="22" numFmtId="0" pivotButton="0" quotePrefix="0" xfId="0"/>
    <xf borderId="0" fillId="0" fontId="9" numFmtId="164" pivotButton="0" quotePrefix="0" xfId="0"/>
    <xf borderId="0" fillId="2" fontId="0" numFmtId="2" pivotButton="0" quotePrefix="0" xfId="0"/>
    <xf borderId="0" fillId="2" fontId="2" numFmtId="10" pivotButton="0" quotePrefix="0" xfId="0"/>
    <xf borderId="0" fillId="2" fontId="23" numFmtId="164" pivotButton="0" quotePrefix="0" xfId="0"/>
    <xf borderId="0" fillId="2" fontId="9" numFmtId="164" pivotButton="0" quotePrefix="0" xfId="0"/>
    <xf borderId="0" fillId="2" fontId="24" numFmtId="164" pivotButton="0" quotePrefix="0" xfId="0"/>
    <xf borderId="0" fillId="0" fontId="24" numFmtId="164" pivotButton="0" quotePrefix="0" xfId="0"/>
    <xf borderId="0" fillId="0" fontId="25" numFmtId="0" pivotButton="0" quotePrefix="0" xfId="0"/>
    <xf applyAlignment="1" borderId="0" fillId="0" fontId="0" numFmtId="0" pivotButton="0" quotePrefix="0" xfId="0">
      <alignment horizontal="left"/>
    </xf>
    <xf borderId="0" fillId="0" fontId="27" numFmtId="0" pivotButton="0" quotePrefix="0" xfId="0"/>
    <xf borderId="0" fillId="0" fontId="2" numFmtId="0" pivotButton="0" quotePrefix="0" xfId="1"/>
    <xf borderId="0" fillId="0" fontId="4" numFmtId="0" pivotButton="0" quotePrefix="0" xfId="0"/>
    <xf applyAlignment="1" borderId="0" fillId="0" fontId="0" numFmtId="10" pivotButton="0" quotePrefix="0" xfId="0">
      <alignment horizontal="right"/>
    </xf>
    <xf borderId="0" fillId="0" fontId="5" numFmtId="0" pivotButton="0" quotePrefix="0" xfId="0"/>
    <xf applyAlignment="1" borderId="0" fillId="0" fontId="0" numFmtId="2" pivotButton="0" quotePrefix="0" xfId="0">
      <alignment horizontal="right"/>
    </xf>
    <xf borderId="0" fillId="2" fontId="16" numFmtId="10" pivotButton="0" quotePrefix="0" xfId="0"/>
    <xf borderId="0" fillId="0" fontId="30" numFmtId="164" pivotButton="0" quotePrefix="0" xfId="0"/>
    <xf borderId="0" fillId="0" fontId="29" numFmtId="164" pivotButton="0" quotePrefix="0" xfId="0"/>
    <xf borderId="0" fillId="2" fontId="7" numFmtId="0" pivotButton="0" quotePrefix="0" xfId="0"/>
    <xf borderId="0" fillId="0" fontId="7" numFmtId="2" pivotButton="0" quotePrefix="0" xfId="0"/>
    <xf borderId="0" fillId="0" fontId="28" numFmtId="10" pivotButton="0" quotePrefix="0" xfId="0"/>
    <xf borderId="0" fillId="0" fontId="3" numFmtId="0" pivotButton="0" quotePrefix="0" xfId="0"/>
    <xf borderId="0" fillId="0" fontId="26" numFmtId="0" pivotButton="0" quotePrefix="0" xfId="0"/>
    <xf borderId="0" fillId="3" fontId="0" numFmtId="0" pivotButton="0" quotePrefix="0" xfId="0"/>
    <xf borderId="0" fillId="3" fontId="3" numFmtId="0" pivotButton="0" quotePrefix="0" xfId="0"/>
    <xf borderId="0" fillId="0" fontId="31" numFmtId="164" pivotButton="0" quotePrefix="0" xfId="0"/>
    <xf borderId="0" fillId="0" fontId="32" numFmtId="164" pivotButton="0" quotePrefix="0" xfId="0"/>
    <xf borderId="0" fillId="0" fontId="33" numFmtId="164" pivotButton="0" quotePrefix="0" xfId="0"/>
    <xf borderId="0" fillId="0" fontId="34" numFmtId="164" pivotButton="0" quotePrefix="0" xfId="0"/>
    <xf borderId="0" fillId="0" fontId="15" numFmtId="164" pivotButton="0" quotePrefix="0" xfId="0"/>
    <xf borderId="0" fillId="0" fontId="35" numFmtId="164" pivotButton="0" quotePrefix="0" xfId="0"/>
    <xf borderId="0" fillId="0" fontId="2" numFmtId="164" pivotButton="0" quotePrefix="0" xfId="0"/>
    <xf borderId="0" fillId="0" fontId="2" numFmtId="166" pivotButton="0" quotePrefix="0" xfId="1"/>
    <xf borderId="0" fillId="0" fontId="2" numFmtId="2" pivotButton="0" quotePrefix="0" xfId="0"/>
    <xf applyAlignment="1" borderId="0" fillId="0" fontId="2" numFmtId="9" pivotButton="0" quotePrefix="0" xfId="0">
      <alignment horizontal="right"/>
    </xf>
    <xf borderId="0" fillId="0" fontId="2" numFmtId="9" pivotButton="0" quotePrefix="0" xfId="0"/>
    <xf borderId="0" fillId="0" fontId="3" numFmtId="164" pivotButton="0" quotePrefix="0" xfId="0"/>
    <xf borderId="0" fillId="0" fontId="3" numFmtId="166" pivotButton="0" quotePrefix="0" xfId="1"/>
    <xf borderId="0" fillId="0" fontId="3" numFmtId="2" pivotButton="0" quotePrefix="0" xfId="1"/>
    <xf borderId="0" fillId="0" fontId="3" numFmtId="9" pivotButton="0" quotePrefix="0" xfId="0"/>
    <xf borderId="0" fillId="0" fontId="3" numFmtId="165" pivotButton="0" quotePrefix="0" xfId="0"/>
    <xf borderId="0" fillId="0" fontId="1" numFmtId="10" pivotButton="0" quotePrefix="0" xfId="1"/>
    <xf borderId="0" fillId="0" fontId="0" numFmtId="10" pivotButton="0" quotePrefix="0" xfId="0"/>
    <xf borderId="0" fillId="0" fontId="7" numFmtId="0" pivotButton="0" quotePrefix="0" xfId="0"/>
    <xf borderId="0" fillId="0" fontId="0" numFmtId="2" pivotButton="0" quotePrefix="0" xfId="0"/>
    <xf borderId="0" fillId="0" fontId="16" numFmtId="10" pivotButton="0" quotePrefix="0" xfId="0"/>
    <xf borderId="0" fillId="0" fontId="36" numFmtId="164" pivotButton="0" quotePrefix="0" xfId="0"/>
    <xf borderId="0" fillId="0" fontId="37" numFmtId="10" pivotButton="0" quotePrefix="0" xfId="0"/>
    <xf borderId="0" fillId="0" fontId="37" numFmtId="14" pivotButton="0" quotePrefix="0" xfId="0"/>
    <xf borderId="0" fillId="0" fontId="38" numFmtId="10" pivotButton="0" quotePrefix="0" xfId="0"/>
    <xf borderId="0" fillId="0" fontId="38" numFmtId="14" pivotButton="0" quotePrefix="0" xfId="0"/>
    <xf borderId="0" fillId="0" fontId="38" numFmtId="0" pivotButton="0" quotePrefix="0" xfId="0"/>
    <xf borderId="0" fillId="0" fontId="39" numFmtId="0" pivotButton="0" quotePrefix="0" xfId="0"/>
    <xf borderId="0" fillId="0" fontId="0" numFmtId="49" pivotButton="0" quotePrefix="0" xfId="0"/>
    <xf borderId="0" fillId="0" fontId="39" numFmtId="10" pivotButton="0" quotePrefix="0" xfId="0"/>
    <xf borderId="0" fillId="0" fontId="0" numFmtId="14" pivotButton="0" quotePrefix="0" xfId="0"/>
    <xf borderId="0" fillId="0" fontId="0" numFmtId="9" pivotButton="0" quotePrefix="0" xfId="0"/>
    <xf borderId="0" fillId="0" fontId="11" numFmtId="0" pivotButton="0" quotePrefix="0" xfId="0"/>
    <xf borderId="0" fillId="0" fontId="12" numFmtId="0" pivotButton="0" quotePrefix="0" xfId="0"/>
    <xf borderId="0" fillId="0" fontId="12" numFmtId="14" pivotButton="0" quotePrefix="0" xfId="0"/>
    <xf borderId="0" fillId="0" fontId="7" numFmtId="10" pivotButton="0" quotePrefix="0" xfId="0"/>
    <xf borderId="0" fillId="0" fontId="12" numFmtId="10" pivotButton="0" quotePrefix="0" xfId="0"/>
    <xf applyAlignment="1" borderId="0" fillId="0" fontId="0" numFmtId="49" pivotButton="0" quotePrefix="0" xfId="0">
      <alignment horizontal="right"/>
    </xf>
    <xf borderId="0" fillId="0" fontId="41" numFmtId="2" pivotButton="0" quotePrefix="0" xfId="0"/>
    <xf borderId="0" fillId="0" fontId="42" numFmtId="2" pivotButton="0" quotePrefix="0" xfId="0"/>
    <xf borderId="0" fillId="0" fontId="43" numFmtId="2" pivotButton="0" quotePrefix="0" xfId="0"/>
    <xf borderId="0" fillId="0" fontId="0" numFmtId="165" pivotButton="0" quotePrefix="0" xfId="0"/>
    <xf borderId="0" fillId="0" fontId="44" numFmtId="164" pivotButton="0" quotePrefix="0" xfId="0"/>
    <xf applyAlignment="1" borderId="0" fillId="0" fontId="0" numFmtId="9" pivotButton="0" quotePrefix="0" xfId="0">
      <alignment horizontal="right"/>
    </xf>
    <xf borderId="0" fillId="0" fontId="45" numFmtId="0" pivotButton="0" quotePrefix="0" xfId="0"/>
    <xf applyAlignment="1" borderId="0" fillId="0" fontId="0" numFmtId="0" pivotButton="0" quotePrefix="0" xfId="0">
      <alignment horizontal="right"/>
    </xf>
    <xf borderId="0" fillId="2" fontId="0" numFmtId="0" pivotButton="0" quotePrefix="0" xfId="0"/>
    <xf borderId="0" fillId="4" fontId="0" numFmtId="0" pivotButton="0" quotePrefix="0" xfId="0"/>
    <xf borderId="0" fillId="0" fontId="46" numFmtId="164" pivotButton="0" quotePrefix="0" xfId="0"/>
    <xf borderId="0" fillId="0" fontId="47" numFmtId="164" pivotButton="0" quotePrefix="0" xfId="0"/>
    <xf borderId="0" fillId="0" fontId="13" numFmtId="0" pivotButton="0" quotePrefix="0" xfId="2"/>
    <xf borderId="0" fillId="0" fontId="40" numFmtId="0" pivotButton="0" quotePrefix="0" xfId="0"/>
    <xf borderId="0" fillId="0" fontId="37" numFmtId="0" pivotButton="0" quotePrefix="0" xfId="0"/>
    <xf borderId="0" fillId="2" fontId="48" numFmtId="164" pivotButton="0" quotePrefix="0" xfId="0"/>
    <xf borderId="0" fillId="2" fontId="49" numFmtId="164" pivotButton="0" quotePrefix="0" xfId="0"/>
    <xf borderId="0" fillId="2" fontId="50" numFmtId="164" pivotButton="0" quotePrefix="0" xfId="0"/>
    <xf borderId="0" fillId="2" fontId="51" numFmtId="164" pivotButton="0" quotePrefix="0" xfId="0"/>
    <xf borderId="0" fillId="0" fontId="48" numFmtId="164" pivotButton="0" quotePrefix="0" xfId="0"/>
    <xf borderId="0" fillId="0" fontId="50" numFmtId="164" pivotButton="0" quotePrefix="0" xfId="0"/>
    <xf borderId="0" fillId="0" fontId="49" numFmtId="164" pivotButton="0" quotePrefix="0" xfId="0"/>
    <xf borderId="0" fillId="0" fontId="51" numFmtId="164" pivotButton="0" quotePrefix="0" xfId="0"/>
    <xf borderId="0" fillId="0" fontId="49" numFmtId="2" pivotButton="0" quotePrefix="0" xfId="0"/>
    <xf borderId="0" fillId="0" fontId="48" numFmtId="2" pivotButton="0" quotePrefix="0" xfId="0"/>
    <xf borderId="0" fillId="0" fontId="51" numFmtId="2" pivotButton="0" quotePrefix="0" xfId="0"/>
    <xf borderId="0" fillId="0" fontId="50" numFmtId="2" pivotButton="0" quotePrefix="0" xfId="0"/>
    <xf borderId="0" fillId="0" fontId="49" numFmtId="0" pivotButton="0" quotePrefix="0" xfId="0"/>
    <xf borderId="0" fillId="0" fontId="51" numFmtId="0" pivotButton="0" quotePrefix="0" xfId="0"/>
    <xf borderId="0" fillId="0" fontId="50" numFmtId="0" pivotButton="0" quotePrefix="0" xfId="0"/>
    <xf borderId="0" fillId="0" fontId="52" numFmtId="0" pivotButton="0" quotePrefix="0" xfId="0"/>
    <xf borderId="0" fillId="0" fontId="52" numFmtId="10" pivotButton="0" quotePrefix="0" xfId="0"/>
    <xf borderId="0" fillId="0" fontId="53" numFmtId="0" pivotButton="0" quotePrefix="0" xfId="0"/>
    <xf borderId="0" fillId="0" fontId="53" numFmtId="10" pivotButton="0" quotePrefix="0" xfId="0"/>
    <xf borderId="0" fillId="0" fontId="40" numFmtId="0" pivotButton="0" quotePrefix="0" xfId="0"/>
    <xf borderId="0" fillId="0" fontId="0" numFmtId="0" pivotButton="0" quotePrefix="0" xfId="0"/>
    <xf borderId="0" fillId="0" fontId="1" numFmtId="10" pivotButton="0" quotePrefix="0" xfId="4"/>
    <xf borderId="0" fillId="2" fontId="54" numFmtId="164" pivotButton="0" quotePrefix="0" xfId="0"/>
    <xf borderId="0" fillId="2" fontId="55" numFmtId="164" pivotButton="0" quotePrefix="0" xfId="0"/>
    <xf borderId="0" fillId="2" fontId="56" numFmtId="164" pivotButton="0" quotePrefix="0" xfId="0"/>
    <xf borderId="0" fillId="2" fontId="57" numFmtId="164" pivotButton="0" quotePrefix="0" xfId="0"/>
    <xf borderId="0" fillId="0" fontId="54" numFmtId="164" pivotButton="0" quotePrefix="0" xfId="0"/>
    <xf borderId="0" fillId="0" fontId="56" numFmtId="164" pivotButton="0" quotePrefix="0" xfId="0"/>
    <xf borderId="0" fillId="0" fontId="55" numFmtId="164" pivotButton="0" quotePrefix="0" xfId="0"/>
    <xf borderId="0" fillId="0" fontId="57" numFmtId="164" pivotButton="0" quotePrefix="0" xfId="0"/>
    <xf borderId="0" fillId="0" fontId="56" numFmtId="2" pivotButton="0" quotePrefix="0" xfId="0"/>
    <xf borderId="0" fillId="0" fontId="54" numFmtId="2" pivotButton="0" quotePrefix="0" xfId="0"/>
    <xf borderId="0" fillId="0" fontId="57" numFmtId="2" pivotButton="0" quotePrefix="0" xfId="0"/>
    <xf borderId="0" fillId="0" fontId="55" numFmtId="2" pivotButton="0" quotePrefix="0" xfId="0"/>
    <xf borderId="0" fillId="0" fontId="55" numFmtId="0" pivotButton="0" quotePrefix="0" xfId="0"/>
    <xf borderId="0" fillId="0" fontId="56" numFmtId="0" pivotButton="0" quotePrefix="0" xfId="0"/>
    <xf borderId="0" fillId="0" fontId="57" numFmtId="0" pivotButton="0" quotePrefix="0" xfId="0"/>
  </cellXfs>
  <cellStyles count="5">
    <cellStyle builtinId="0" name="Normal" xfId="0"/>
    <cellStyle builtinId="5" name="Percent" xfId="1"/>
    <cellStyle builtinId="8" name="Hyperlink" xfId="2"/>
    <cellStyle name="Hyperlink 2" xfId="3"/>
    <cellStyle name="Percent 2" xfId="4"/>
  </cellStyles>
  <dxfs count="7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lang="en-US"/>
              <a:t>None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可转债双低!$E$1:$E$2</f>
              <strCache>
                <ptCount val="2"/>
                <pt idx="0">
                  <v>平均价格</v>
                </pt>
                <pt idx="1">
                  <v>(元)</v>
                </pt>
              </strCache>
            </strRef>
          </tx>
          <spPr>
            <a:ln cap="rnd" w="28575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可转债双低!$A$3:$A$1137</f>
              <numCache>
                <formatCode>m/d/yy</formatCode>
                <ptCount val="1135"/>
                <pt idx="0">
                  <v>43098</v>
                </pt>
                <pt idx="1">
                  <v>43102</v>
                </pt>
                <pt idx="2">
                  <v>43103</v>
                </pt>
                <pt idx="3">
                  <v>43104</v>
                </pt>
                <pt idx="4">
                  <v>43105</v>
                </pt>
                <pt idx="5">
                  <v>43108</v>
                </pt>
                <pt idx="6">
                  <v>43109</v>
                </pt>
                <pt idx="7">
                  <v>43110</v>
                </pt>
                <pt idx="8">
                  <v>43111</v>
                </pt>
                <pt idx="9">
                  <v>43112</v>
                </pt>
                <pt idx="10">
                  <v>43115</v>
                </pt>
                <pt idx="11">
                  <v>43116</v>
                </pt>
                <pt idx="12">
                  <v>43117</v>
                </pt>
                <pt idx="13">
                  <v>43118</v>
                </pt>
                <pt idx="14">
                  <v>43119</v>
                </pt>
                <pt idx="15">
                  <v>43122</v>
                </pt>
                <pt idx="16">
                  <v>43123</v>
                </pt>
                <pt idx="17">
                  <v>43124</v>
                </pt>
                <pt idx="18">
                  <v>43125</v>
                </pt>
                <pt idx="19">
                  <v>43126</v>
                </pt>
                <pt idx="20">
                  <v>43129</v>
                </pt>
                <pt idx="21">
                  <v>43130</v>
                </pt>
                <pt idx="22">
                  <v>43131</v>
                </pt>
                <pt idx="23">
                  <v>43132</v>
                </pt>
                <pt idx="24">
                  <v>43133</v>
                </pt>
                <pt idx="25">
                  <v>43136</v>
                </pt>
                <pt idx="26">
                  <v>43137</v>
                </pt>
                <pt idx="27">
                  <v>43138</v>
                </pt>
                <pt idx="28">
                  <v>43139</v>
                </pt>
                <pt idx="29">
                  <v>43140</v>
                </pt>
                <pt idx="30">
                  <v>43143</v>
                </pt>
                <pt idx="31">
                  <v>43144</v>
                </pt>
                <pt idx="32">
                  <v>43145</v>
                </pt>
                <pt idx="33">
                  <v>43153</v>
                </pt>
                <pt idx="34">
                  <v>43154</v>
                </pt>
                <pt idx="35">
                  <v>43157</v>
                </pt>
                <pt idx="36">
                  <v>43158</v>
                </pt>
                <pt idx="37">
                  <v>43159</v>
                </pt>
                <pt idx="38">
                  <v>43160</v>
                </pt>
                <pt idx="39">
                  <v>43161</v>
                </pt>
                <pt idx="40">
                  <v>43164</v>
                </pt>
                <pt idx="41">
                  <v>43165</v>
                </pt>
                <pt idx="42">
                  <v>43166</v>
                </pt>
                <pt idx="43">
                  <v>43167</v>
                </pt>
                <pt idx="44">
                  <v>43168</v>
                </pt>
                <pt idx="45">
                  <v>43171</v>
                </pt>
                <pt idx="46">
                  <v>43172</v>
                </pt>
                <pt idx="47">
                  <v>43173</v>
                </pt>
                <pt idx="48">
                  <v>43174</v>
                </pt>
                <pt idx="49">
                  <v>43175</v>
                </pt>
                <pt idx="50">
                  <v>43178</v>
                </pt>
                <pt idx="51">
                  <v>43179</v>
                </pt>
                <pt idx="52">
                  <v>43180</v>
                </pt>
                <pt idx="53">
                  <v>43181</v>
                </pt>
                <pt idx="54">
                  <v>43182</v>
                </pt>
                <pt idx="55">
                  <v>43185</v>
                </pt>
                <pt idx="56">
                  <v>43186</v>
                </pt>
                <pt idx="57">
                  <v>43187</v>
                </pt>
                <pt idx="58">
                  <v>43188</v>
                </pt>
                <pt idx="59">
                  <v>43189</v>
                </pt>
                <pt idx="60">
                  <v>43192</v>
                </pt>
                <pt idx="61">
                  <v>43193</v>
                </pt>
                <pt idx="62">
                  <v>43194</v>
                </pt>
                <pt idx="63">
                  <v>43199</v>
                </pt>
                <pt idx="64">
                  <v>43200</v>
                </pt>
                <pt idx="65">
                  <v>43201</v>
                </pt>
                <pt idx="66">
                  <v>43202</v>
                </pt>
                <pt idx="67">
                  <v>43203</v>
                </pt>
                <pt idx="68">
                  <v>43206</v>
                </pt>
                <pt idx="69">
                  <v>43207</v>
                </pt>
                <pt idx="70">
                  <v>43208</v>
                </pt>
                <pt idx="71">
                  <v>43209</v>
                </pt>
                <pt idx="72">
                  <v>43210</v>
                </pt>
                <pt idx="73">
                  <v>43213</v>
                </pt>
                <pt idx="74">
                  <v>43214</v>
                </pt>
                <pt idx="75">
                  <v>43215</v>
                </pt>
                <pt idx="76">
                  <v>43216</v>
                </pt>
                <pt idx="77">
                  <v>43217</v>
                </pt>
                <pt idx="78">
                  <v>43222</v>
                </pt>
                <pt idx="79">
                  <v>43223</v>
                </pt>
                <pt idx="80">
                  <v>43224</v>
                </pt>
                <pt idx="81">
                  <v>43227</v>
                </pt>
                <pt idx="82">
                  <v>43228</v>
                </pt>
                <pt idx="83">
                  <v>43229</v>
                </pt>
                <pt idx="84">
                  <v>43230</v>
                </pt>
                <pt idx="85">
                  <v>43231</v>
                </pt>
                <pt idx="86">
                  <v>43234</v>
                </pt>
                <pt idx="87">
                  <v>43235</v>
                </pt>
                <pt idx="88">
                  <v>43236</v>
                </pt>
                <pt idx="89">
                  <v>43237</v>
                </pt>
                <pt idx="90">
                  <v>43238</v>
                </pt>
                <pt idx="91">
                  <v>43241</v>
                </pt>
                <pt idx="92">
                  <v>43242</v>
                </pt>
                <pt idx="93">
                  <v>43243</v>
                </pt>
                <pt idx="94">
                  <v>43244</v>
                </pt>
                <pt idx="95">
                  <v>43245</v>
                </pt>
                <pt idx="96">
                  <v>43248</v>
                </pt>
                <pt idx="97">
                  <v>43249</v>
                </pt>
                <pt idx="98">
                  <v>43250</v>
                </pt>
                <pt idx="99">
                  <v>43251</v>
                </pt>
                <pt idx="100">
                  <v>43252</v>
                </pt>
                <pt idx="101">
                  <v>43255</v>
                </pt>
                <pt idx="102">
                  <v>43256</v>
                </pt>
                <pt idx="103">
                  <v>43257</v>
                </pt>
                <pt idx="104">
                  <v>43258</v>
                </pt>
                <pt idx="105">
                  <v>43259</v>
                </pt>
                <pt idx="106">
                  <v>43262</v>
                </pt>
                <pt idx="107">
                  <v>43263</v>
                </pt>
                <pt idx="108">
                  <v>43264</v>
                </pt>
                <pt idx="109">
                  <v>43265</v>
                </pt>
                <pt idx="110">
                  <v>43266</v>
                </pt>
                <pt idx="111">
                  <v>43270</v>
                </pt>
                <pt idx="112">
                  <v>43271</v>
                </pt>
                <pt idx="113">
                  <v>43272</v>
                </pt>
                <pt idx="114">
                  <v>43273</v>
                </pt>
                <pt idx="115">
                  <v>43276</v>
                </pt>
                <pt idx="116">
                  <v>43277</v>
                </pt>
                <pt idx="117">
                  <v>43278</v>
                </pt>
                <pt idx="118">
                  <v>43279</v>
                </pt>
                <pt idx="119">
                  <v>43280</v>
                </pt>
                <pt idx="120">
                  <v>43283</v>
                </pt>
                <pt idx="121">
                  <v>43284</v>
                </pt>
                <pt idx="122">
                  <v>43285</v>
                </pt>
                <pt idx="123">
                  <v>43286</v>
                </pt>
                <pt idx="124">
                  <v>43287</v>
                </pt>
                <pt idx="125">
                  <v>43290</v>
                </pt>
                <pt idx="126">
                  <v>43291</v>
                </pt>
                <pt idx="127">
                  <v>43292</v>
                </pt>
                <pt idx="128">
                  <v>43293</v>
                </pt>
                <pt idx="129">
                  <v>43294</v>
                </pt>
                <pt idx="130">
                  <v>43297</v>
                </pt>
                <pt idx="131">
                  <v>43298</v>
                </pt>
                <pt idx="132">
                  <v>43299</v>
                </pt>
                <pt idx="133">
                  <v>43300</v>
                </pt>
                <pt idx="134">
                  <v>43301</v>
                </pt>
                <pt idx="135">
                  <v>43304</v>
                </pt>
                <pt idx="136">
                  <v>43305</v>
                </pt>
                <pt idx="137">
                  <v>43306</v>
                </pt>
                <pt idx="138">
                  <v>43307</v>
                </pt>
                <pt idx="139">
                  <v>43308</v>
                </pt>
                <pt idx="140">
                  <v>43311</v>
                </pt>
                <pt idx="141">
                  <v>43312</v>
                </pt>
                <pt idx="142">
                  <v>43313</v>
                </pt>
                <pt idx="143">
                  <v>43314</v>
                </pt>
                <pt idx="144">
                  <v>43315</v>
                </pt>
                <pt idx="145">
                  <v>43318</v>
                </pt>
                <pt idx="146">
                  <v>43319</v>
                </pt>
                <pt idx="147">
                  <v>43320</v>
                </pt>
                <pt idx="148">
                  <v>43321</v>
                </pt>
                <pt idx="149">
                  <v>43322</v>
                </pt>
                <pt idx="150">
                  <v>43325</v>
                </pt>
                <pt idx="151">
                  <v>43326</v>
                </pt>
                <pt idx="152">
                  <v>43327</v>
                </pt>
                <pt idx="153">
                  <v>43328</v>
                </pt>
                <pt idx="154">
                  <v>43329</v>
                </pt>
                <pt idx="155">
                  <v>43332</v>
                </pt>
                <pt idx="156">
                  <v>43333</v>
                </pt>
                <pt idx="157">
                  <v>43334</v>
                </pt>
                <pt idx="158">
                  <v>43335</v>
                </pt>
                <pt idx="159">
                  <v>43336</v>
                </pt>
                <pt idx="160">
                  <v>43339</v>
                </pt>
                <pt idx="161">
                  <v>43340</v>
                </pt>
                <pt idx="162">
                  <v>43341</v>
                </pt>
                <pt idx="163">
                  <v>43342</v>
                </pt>
                <pt idx="164">
                  <v>43343</v>
                </pt>
                <pt idx="165">
                  <v>43346</v>
                </pt>
                <pt idx="166">
                  <v>43347</v>
                </pt>
                <pt idx="167">
                  <v>43348</v>
                </pt>
                <pt idx="168">
                  <v>43349</v>
                </pt>
                <pt idx="169">
                  <v>43350</v>
                </pt>
                <pt idx="170">
                  <v>43353</v>
                </pt>
                <pt idx="171">
                  <v>43354</v>
                </pt>
                <pt idx="172">
                  <v>43355</v>
                </pt>
                <pt idx="173">
                  <v>43356</v>
                </pt>
                <pt idx="174">
                  <v>43357</v>
                </pt>
                <pt idx="175">
                  <v>43360</v>
                </pt>
                <pt idx="176">
                  <v>43361</v>
                </pt>
                <pt idx="177">
                  <v>43362</v>
                </pt>
                <pt idx="178">
                  <v>43363</v>
                </pt>
                <pt idx="179">
                  <v>43364</v>
                </pt>
                <pt idx="180">
                  <v>43368</v>
                </pt>
                <pt idx="181">
                  <v>43369</v>
                </pt>
                <pt idx="182">
                  <v>43370</v>
                </pt>
                <pt idx="183">
                  <v>43371</v>
                </pt>
                <pt idx="184">
                  <v>43381</v>
                </pt>
                <pt idx="185">
                  <v>43382</v>
                </pt>
                <pt idx="186">
                  <v>43383</v>
                </pt>
                <pt idx="187">
                  <v>43384</v>
                </pt>
                <pt idx="188">
                  <v>43385</v>
                </pt>
                <pt idx="189">
                  <v>43388</v>
                </pt>
                <pt idx="190">
                  <v>43389</v>
                </pt>
                <pt idx="191">
                  <v>43390</v>
                </pt>
                <pt idx="192">
                  <v>43391</v>
                </pt>
                <pt idx="193">
                  <v>43392</v>
                </pt>
                <pt idx="194">
                  <v>43395</v>
                </pt>
                <pt idx="195">
                  <v>43396</v>
                </pt>
                <pt idx="196">
                  <v>43397</v>
                </pt>
                <pt idx="197">
                  <v>43398</v>
                </pt>
                <pt idx="198">
                  <v>43399</v>
                </pt>
                <pt idx="199">
                  <v>43402</v>
                </pt>
                <pt idx="200">
                  <v>43403</v>
                </pt>
                <pt idx="201">
                  <v>43404</v>
                </pt>
                <pt idx="202">
                  <v>43405</v>
                </pt>
                <pt idx="203">
                  <v>43406</v>
                </pt>
                <pt idx="204">
                  <v>43409</v>
                </pt>
                <pt idx="205">
                  <v>43410</v>
                </pt>
                <pt idx="206">
                  <v>43411</v>
                </pt>
                <pt idx="207">
                  <v>43412</v>
                </pt>
                <pt idx="208">
                  <v>43413</v>
                </pt>
                <pt idx="209">
                  <v>43416</v>
                </pt>
                <pt idx="210">
                  <v>43417</v>
                </pt>
                <pt idx="211">
                  <v>43418</v>
                </pt>
                <pt idx="212">
                  <v>43419</v>
                </pt>
                <pt idx="213">
                  <v>43420</v>
                </pt>
                <pt idx="214">
                  <v>43423</v>
                </pt>
                <pt idx="215">
                  <v>43424</v>
                </pt>
                <pt idx="216">
                  <v>43425</v>
                </pt>
                <pt idx="217">
                  <v>43426</v>
                </pt>
                <pt idx="218">
                  <v>43427</v>
                </pt>
                <pt idx="219">
                  <v>43430</v>
                </pt>
                <pt idx="220">
                  <v>43431</v>
                </pt>
                <pt idx="221">
                  <v>43432</v>
                </pt>
                <pt idx="222">
                  <v>43433</v>
                </pt>
                <pt idx="223">
                  <v>43434</v>
                </pt>
                <pt idx="224">
                  <v>43437</v>
                </pt>
                <pt idx="225">
                  <v>43438</v>
                </pt>
                <pt idx="226">
                  <v>43439</v>
                </pt>
                <pt idx="227">
                  <v>43440</v>
                </pt>
                <pt idx="228">
                  <v>43441</v>
                </pt>
                <pt idx="229">
                  <v>43444</v>
                </pt>
                <pt idx="230">
                  <v>43445</v>
                </pt>
                <pt idx="231">
                  <v>43446</v>
                </pt>
                <pt idx="232">
                  <v>43447</v>
                </pt>
                <pt idx="233">
                  <v>43448</v>
                </pt>
                <pt idx="234">
                  <v>43451</v>
                </pt>
                <pt idx="235">
                  <v>43452</v>
                </pt>
                <pt idx="236">
                  <v>43453</v>
                </pt>
                <pt idx="237">
                  <v>43454</v>
                </pt>
                <pt idx="238">
                  <v>43455</v>
                </pt>
                <pt idx="239">
                  <v>43458</v>
                </pt>
                <pt idx="240">
                  <v>43459</v>
                </pt>
                <pt idx="241">
                  <v>43460</v>
                </pt>
                <pt idx="242">
                  <v>43461</v>
                </pt>
                <pt idx="243">
                  <v>43462</v>
                </pt>
                <pt idx="244">
                  <v>43467</v>
                </pt>
                <pt idx="245">
                  <v>43468</v>
                </pt>
                <pt idx="246">
                  <v>43469</v>
                </pt>
                <pt idx="247">
                  <v>43472</v>
                </pt>
                <pt idx="248">
                  <v>43473</v>
                </pt>
                <pt idx="249">
                  <v>43474</v>
                </pt>
                <pt idx="250">
                  <v>43475</v>
                </pt>
                <pt idx="251">
                  <v>43476</v>
                </pt>
                <pt idx="252">
                  <v>43479</v>
                </pt>
                <pt idx="253">
                  <v>43480</v>
                </pt>
                <pt idx="254">
                  <v>43481</v>
                </pt>
                <pt idx="255">
                  <v>43482</v>
                </pt>
                <pt idx="256">
                  <v>43483</v>
                </pt>
                <pt idx="257">
                  <v>43486</v>
                </pt>
                <pt idx="258">
                  <v>43487</v>
                </pt>
                <pt idx="259">
                  <v>43488</v>
                </pt>
                <pt idx="260">
                  <v>43489</v>
                </pt>
                <pt idx="261">
                  <v>43490</v>
                </pt>
                <pt idx="262">
                  <v>43493</v>
                </pt>
                <pt idx="263">
                  <v>43494</v>
                </pt>
                <pt idx="264">
                  <v>43495</v>
                </pt>
                <pt idx="265">
                  <v>43496</v>
                </pt>
                <pt idx="266">
                  <v>43497</v>
                </pt>
                <pt idx="267">
                  <v>43507</v>
                </pt>
                <pt idx="268">
                  <v>43508</v>
                </pt>
                <pt idx="269">
                  <v>43509</v>
                </pt>
                <pt idx="270">
                  <v>43510</v>
                </pt>
                <pt idx="271">
                  <v>43511</v>
                </pt>
                <pt idx="272">
                  <v>43514</v>
                </pt>
                <pt idx="273">
                  <v>43515</v>
                </pt>
                <pt idx="274">
                  <v>43516</v>
                </pt>
                <pt idx="275">
                  <v>43517</v>
                </pt>
                <pt idx="276">
                  <v>43518</v>
                </pt>
                <pt idx="277">
                  <v>43521</v>
                </pt>
                <pt idx="278">
                  <v>43522</v>
                </pt>
                <pt idx="279">
                  <v>43523</v>
                </pt>
                <pt idx="280">
                  <v>43524</v>
                </pt>
                <pt idx="281">
                  <v>43525</v>
                </pt>
                <pt idx="282">
                  <v>43528</v>
                </pt>
                <pt idx="283">
                  <v>43529</v>
                </pt>
                <pt idx="284">
                  <v>43530</v>
                </pt>
                <pt idx="285">
                  <v>43531</v>
                </pt>
                <pt idx="286">
                  <v>43532</v>
                </pt>
                <pt idx="287">
                  <v>43535</v>
                </pt>
                <pt idx="288">
                  <v>43536</v>
                </pt>
                <pt idx="289">
                  <v>43537</v>
                </pt>
                <pt idx="290">
                  <v>43538</v>
                </pt>
                <pt idx="291">
                  <v>43539</v>
                </pt>
                <pt idx="292">
                  <v>43542</v>
                </pt>
                <pt idx="293">
                  <v>43543</v>
                </pt>
                <pt idx="294">
                  <v>43544</v>
                </pt>
                <pt idx="295">
                  <v>43545</v>
                </pt>
                <pt idx="296">
                  <v>43546</v>
                </pt>
                <pt idx="297">
                  <v>43549</v>
                </pt>
                <pt idx="298">
                  <v>43550</v>
                </pt>
                <pt idx="299">
                  <v>43551</v>
                </pt>
                <pt idx="300">
                  <v>43552</v>
                </pt>
                <pt idx="301">
                  <v>43553</v>
                </pt>
                <pt idx="302">
                  <v>43556</v>
                </pt>
                <pt idx="303">
                  <v>43557</v>
                </pt>
                <pt idx="304">
                  <v>43558</v>
                </pt>
                <pt idx="305">
                  <v>43559</v>
                </pt>
                <pt idx="306">
                  <v>43563</v>
                </pt>
                <pt idx="307">
                  <v>43564</v>
                </pt>
                <pt idx="308">
                  <v>43565</v>
                </pt>
                <pt idx="309">
                  <v>43566</v>
                </pt>
                <pt idx="310">
                  <v>43567</v>
                </pt>
                <pt idx="311">
                  <v>43570</v>
                </pt>
                <pt idx="312">
                  <v>43571</v>
                </pt>
                <pt idx="313">
                  <v>43572</v>
                </pt>
                <pt idx="314">
                  <v>43573</v>
                </pt>
                <pt idx="315">
                  <v>43574</v>
                </pt>
                <pt idx="316">
                  <v>43577</v>
                </pt>
                <pt idx="317">
                  <v>43578</v>
                </pt>
                <pt idx="318">
                  <v>43579</v>
                </pt>
                <pt idx="319">
                  <v>43580</v>
                </pt>
                <pt idx="320">
                  <v>43581</v>
                </pt>
                <pt idx="321">
                  <v>43584</v>
                </pt>
                <pt idx="322">
                  <v>43585</v>
                </pt>
                <pt idx="323">
                  <v>43591</v>
                </pt>
                <pt idx="324">
                  <v>43592</v>
                </pt>
                <pt idx="325">
                  <v>43593</v>
                </pt>
                <pt idx="326">
                  <v>43594</v>
                </pt>
                <pt idx="327">
                  <v>43595</v>
                </pt>
                <pt idx="328">
                  <v>43598</v>
                </pt>
                <pt idx="329">
                  <v>43599</v>
                </pt>
                <pt idx="330">
                  <v>43600</v>
                </pt>
                <pt idx="331">
                  <v>43601</v>
                </pt>
                <pt idx="332">
                  <v>43602</v>
                </pt>
                <pt idx="333">
                  <v>43605</v>
                </pt>
                <pt idx="334">
                  <v>43606</v>
                </pt>
                <pt idx="335">
                  <v>43607</v>
                </pt>
                <pt idx="336">
                  <v>43608</v>
                </pt>
                <pt idx="337">
                  <v>43609</v>
                </pt>
                <pt idx="338">
                  <v>43612</v>
                </pt>
                <pt idx="339">
                  <v>43613</v>
                </pt>
                <pt idx="340">
                  <v>43614</v>
                </pt>
                <pt idx="341">
                  <v>43615</v>
                </pt>
                <pt idx="342">
                  <v>43616</v>
                </pt>
                <pt idx="343">
                  <v>43619</v>
                </pt>
                <pt idx="344">
                  <v>43620</v>
                </pt>
                <pt idx="345">
                  <v>43621</v>
                </pt>
                <pt idx="346">
                  <v>43622</v>
                </pt>
                <pt idx="347">
                  <v>43626</v>
                </pt>
                <pt idx="348">
                  <v>43627</v>
                </pt>
                <pt idx="349">
                  <v>43628</v>
                </pt>
                <pt idx="350">
                  <v>43629</v>
                </pt>
                <pt idx="351">
                  <v>43630</v>
                </pt>
                <pt idx="352">
                  <v>43633</v>
                </pt>
                <pt idx="353">
                  <v>43634</v>
                </pt>
                <pt idx="354">
                  <v>43635</v>
                </pt>
                <pt idx="355">
                  <v>43636</v>
                </pt>
                <pt idx="356">
                  <v>43637</v>
                </pt>
                <pt idx="357">
                  <v>43640</v>
                </pt>
                <pt idx="358">
                  <v>43641</v>
                </pt>
                <pt idx="359">
                  <v>43642</v>
                </pt>
                <pt idx="360">
                  <v>43643</v>
                </pt>
                <pt idx="361">
                  <v>43644</v>
                </pt>
                <pt idx="362">
                  <v>43647</v>
                </pt>
                <pt idx="363">
                  <v>43648</v>
                </pt>
                <pt idx="364">
                  <v>43649</v>
                </pt>
                <pt idx="365">
                  <v>43650</v>
                </pt>
                <pt idx="366">
                  <v>43651</v>
                </pt>
                <pt idx="367">
                  <v>43654</v>
                </pt>
                <pt idx="368">
                  <v>43655</v>
                </pt>
                <pt idx="369">
                  <v>43656</v>
                </pt>
                <pt idx="370">
                  <v>43657</v>
                </pt>
                <pt idx="371">
                  <v>43658</v>
                </pt>
                <pt idx="372">
                  <v>43661</v>
                </pt>
                <pt idx="373">
                  <v>43662</v>
                </pt>
                <pt idx="374">
                  <v>43663</v>
                </pt>
                <pt idx="375">
                  <v>43664</v>
                </pt>
                <pt idx="376">
                  <v>43665</v>
                </pt>
                <pt idx="377">
                  <v>43668</v>
                </pt>
                <pt idx="378">
                  <v>43669</v>
                </pt>
                <pt idx="379">
                  <v>43670</v>
                </pt>
                <pt idx="380">
                  <v>43671</v>
                </pt>
                <pt idx="381">
                  <v>43672</v>
                </pt>
                <pt idx="382">
                  <v>43675</v>
                </pt>
                <pt idx="383">
                  <v>43676</v>
                </pt>
                <pt idx="384">
                  <v>43677</v>
                </pt>
                <pt idx="385">
                  <v>43678</v>
                </pt>
                <pt idx="386">
                  <v>43679</v>
                </pt>
                <pt idx="387">
                  <v>43682</v>
                </pt>
                <pt idx="388">
                  <v>43683</v>
                </pt>
                <pt idx="389">
                  <v>43684</v>
                </pt>
                <pt idx="390">
                  <v>43685</v>
                </pt>
                <pt idx="391">
                  <v>43686</v>
                </pt>
                <pt idx="392">
                  <v>43689</v>
                </pt>
                <pt idx="393">
                  <v>43690</v>
                </pt>
                <pt idx="394">
                  <v>43691</v>
                </pt>
                <pt idx="395">
                  <v>43692</v>
                </pt>
                <pt idx="396">
                  <v>43693</v>
                </pt>
                <pt idx="397">
                  <v>43696</v>
                </pt>
                <pt idx="398">
                  <v>43697</v>
                </pt>
                <pt idx="399">
                  <v>43698</v>
                </pt>
                <pt idx="400">
                  <v>43699</v>
                </pt>
                <pt idx="401">
                  <v>43700</v>
                </pt>
                <pt idx="402">
                  <v>43703</v>
                </pt>
                <pt idx="403">
                  <v>43704</v>
                </pt>
                <pt idx="404">
                  <v>43705</v>
                </pt>
                <pt idx="405">
                  <v>43706</v>
                </pt>
                <pt idx="406">
                  <v>43707</v>
                </pt>
                <pt idx="407">
                  <v>43710</v>
                </pt>
                <pt idx="408">
                  <v>43711</v>
                </pt>
                <pt idx="409">
                  <v>43712</v>
                </pt>
                <pt idx="410">
                  <v>43713</v>
                </pt>
                <pt idx="411">
                  <v>43714</v>
                </pt>
                <pt idx="412">
                  <v>43717</v>
                </pt>
                <pt idx="413">
                  <v>43718</v>
                </pt>
                <pt idx="414">
                  <v>43719</v>
                </pt>
                <pt idx="415">
                  <v>43720</v>
                </pt>
                <pt idx="416">
                  <v>43724</v>
                </pt>
                <pt idx="417">
                  <v>43725</v>
                </pt>
                <pt idx="418">
                  <v>43726</v>
                </pt>
                <pt idx="419">
                  <v>43727</v>
                </pt>
                <pt idx="420">
                  <v>43728</v>
                </pt>
                <pt idx="421">
                  <v>43731</v>
                </pt>
                <pt idx="422">
                  <v>43732</v>
                </pt>
                <pt idx="423">
                  <v>43733</v>
                </pt>
                <pt idx="424">
                  <v>43734</v>
                </pt>
                <pt idx="425">
                  <v>43735</v>
                </pt>
                <pt idx="426">
                  <v>43738</v>
                </pt>
                <pt idx="427">
                  <v>43746</v>
                </pt>
                <pt idx="428">
                  <v>43747</v>
                </pt>
                <pt idx="429">
                  <v>43748</v>
                </pt>
                <pt idx="430">
                  <v>43749</v>
                </pt>
                <pt idx="431">
                  <v>43752</v>
                </pt>
                <pt idx="432">
                  <v>43753</v>
                </pt>
                <pt idx="433">
                  <v>43754</v>
                </pt>
                <pt idx="434">
                  <v>43755</v>
                </pt>
                <pt idx="435">
                  <v>43756</v>
                </pt>
                <pt idx="436">
                  <v>43759</v>
                </pt>
                <pt idx="437">
                  <v>43760</v>
                </pt>
                <pt idx="438">
                  <v>43761</v>
                </pt>
                <pt idx="439">
                  <v>43762</v>
                </pt>
                <pt idx="440">
                  <v>43763</v>
                </pt>
                <pt idx="441">
                  <v>43766</v>
                </pt>
                <pt idx="442">
                  <v>43767</v>
                </pt>
                <pt idx="443">
                  <v>43768</v>
                </pt>
                <pt idx="444">
                  <v>43769</v>
                </pt>
                <pt idx="445">
                  <v>43770</v>
                </pt>
                <pt idx="446">
                  <v>43773</v>
                </pt>
                <pt idx="447">
                  <v>43774</v>
                </pt>
                <pt idx="448">
                  <v>43775</v>
                </pt>
                <pt idx="449">
                  <v>43776</v>
                </pt>
                <pt idx="450">
                  <v>43777</v>
                </pt>
                <pt idx="451">
                  <v>43780</v>
                </pt>
                <pt idx="452">
                  <v>43781</v>
                </pt>
                <pt idx="453">
                  <v>43782</v>
                </pt>
                <pt idx="454">
                  <v>43783</v>
                </pt>
                <pt idx="455">
                  <v>43784</v>
                </pt>
                <pt idx="456">
                  <v>43787</v>
                </pt>
                <pt idx="457">
                  <v>43788</v>
                </pt>
                <pt idx="458">
                  <v>43789</v>
                </pt>
                <pt idx="459">
                  <v>43790</v>
                </pt>
                <pt idx="460">
                  <v>43791</v>
                </pt>
                <pt idx="461">
                  <v>43794</v>
                </pt>
                <pt idx="462">
                  <v>43795</v>
                </pt>
                <pt idx="463">
                  <v>43796</v>
                </pt>
                <pt idx="464">
                  <v>43797</v>
                </pt>
                <pt idx="465">
                  <v>43798</v>
                </pt>
                <pt idx="466">
                  <v>43801</v>
                </pt>
                <pt idx="467">
                  <v>43802</v>
                </pt>
                <pt idx="468">
                  <v>43803</v>
                </pt>
                <pt idx="469">
                  <v>43804</v>
                </pt>
                <pt idx="470">
                  <v>43805</v>
                </pt>
                <pt idx="471">
                  <v>43808</v>
                </pt>
                <pt idx="472">
                  <v>43809</v>
                </pt>
                <pt idx="473">
                  <v>43810</v>
                </pt>
                <pt idx="474">
                  <v>43811</v>
                </pt>
                <pt idx="475">
                  <v>43812</v>
                </pt>
                <pt idx="476">
                  <v>43815</v>
                </pt>
                <pt idx="477">
                  <v>43816</v>
                </pt>
                <pt idx="478">
                  <v>43817</v>
                </pt>
                <pt idx="479">
                  <v>43818</v>
                </pt>
                <pt idx="480">
                  <v>43819</v>
                </pt>
                <pt idx="481">
                  <v>43822</v>
                </pt>
                <pt idx="482">
                  <v>43823</v>
                </pt>
                <pt idx="483">
                  <v>43824</v>
                </pt>
                <pt idx="484">
                  <v>43825</v>
                </pt>
                <pt idx="485">
                  <v>43826</v>
                </pt>
                <pt idx="486">
                  <v>43829</v>
                </pt>
                <pt idx="487">
                  <v>43830</v>
                </pt>
                <pt idx="488">
                  <v>43832</v>
                </pt>
                <pt idx="489">
                  <v>43833</v>
                </pt>
                <pt idx="490">
                  <v>43836</v>
                </pt>
                <pt idx="491">
                  <v>43837</v>
                </pt>
                <pt idx="492">
                  <v>43838</v>
                </pt>
                <pt idx="493">
                  <v>43839</v>
                </pt>
                <pt idx="494">
                  <v>43840</v>
                </pt>
                <pt idx="495">
                  <v>43843</v>
                </pt>
                <pt idx="496">
                  <v>43844</v>
                </pt>
                <pt idx="497">
                  <v>43845</v>
                </pt>
                <pt idx="498">
                  <v>43846</v>
                </pt>
                <pt idx="499">
                  <v>43847</v>
                </pt>
                <pt idx="500">
                  <v>43850</v>
                </pt>
                <pt idx="501">
                  <v>43851</v>
                </pt>
                <pt idx="502">
                  <v>43852</v>
                </pt>
                <pt idx="503">
                  <v>43853</v>
                </pt>
                <pt idx="504">
                  <v>43864</v>
                </pt>
                <pt idx="505">
                  <v>43865</v>
                </pt>
                <pt idx="506">
                  <v>43866</v>
                </pt>
                <pt idx="507">
                  <v>43867</v>
                </pt>
                <pt idx="508">
                  <v>43868</v>
                </pt>
                <pt idx="509">
                  <v>43871</v>
                </pt>
                <pt idx="510">
                  <v>43872</v>
                </pt>
                <pt idx="511">
                  <v>43873</v>
                </pt>
                <pt idx="512">
                  <v>43874</v>
                </pt>
                <pt idx="513">
                  <v>43875</v>
                </pt>
                <pt idx="514">
                  <v>43878</v>
                </pt>
                <pt idx="515">
                  <v>43879</v>
                </pt>
                <pt idx="516">
                  <v>43880</v>
                </pt>
                <pt idx="517">
                  <v>43881</v>
                </pt>
                <pt idx="518">
                  <v>43882</v>
                </pt>
                <pt idx="519">
                  <v>43885</v>
                </pt>
                <pt idx="520">
                  <v>43886</v>
                </pt>
                <pt idx="521">
                  <v>43887</v>
                </pt>
                <pt idx="522">
                  <v>43888</v>
                </pt>
                <pt idx="523">
                  <v>43889</v>
                </pt>
                <pt idx="524">
                  <v>43892</v>
                </pt>
                <pt idx="525">
                  <v>43893</v>
                </pt>
                <pt idx="526">
                  <v>43894</v>
                </pt>
                <pt idx="527">
                  <v>43895</v>
                </pt>
                <pt idx="528">
                  <v>43896</v>
                </pt>
                <pt idx="529">
                  <v>43899</v>
                </pt>
                <pt idx="530">
                  <v>43900</v>
                </pt>
                <pt idx="531">
                  <v>43901</v>
                </pt>
                <pt idx="532">
                  <v>43902</v>
                </pt>
                <pt idx="533">
                  <v>43903</v>
                </pt>
                <pt idx="534">
                  <v>43906</v>
                </pt>
                <pt idx="535">
                  <v>43907</v>
                </pt>
                <pt idx="536">
                  <v>43908</v>
                </pt>
                <pt idx="537">
                  <v>43909</v>
                </pt>
                <pt idx="538">
                  <v>43910</v>
                </pt>
                <pt idx="539">
                  <v>43913</v>
                </pt>
                <pt idx="540">
                  <v>43914</v>
                </pt>
                <pt idx="541">
                  <v>43915</v>
                </pt>
                <pt idx="542">
                  <v>43916</v>
                </pt>
                <pt idx="543">
                  <v>43917</v>
                </pt>
                <pt idx="544">
                  <v>43920</v>
                </pt>
                <pt idx="545">
                  <v>43921</v>
                </pt>
                <pt idx="546">
                  <v>43922</v>
                </pt>
                <pt idx="547">
                  <v>43923</v>
                </pt>
                <pt idx="548">
                  <v>43924</v>
                </pt>
                <pt idx="549">
                  <v>43928</v>
                </pt>
                <pt idx="550">
                  <v>43929</v>
                </pt>
                <pt idx="551">
                  <v>43930</v>
                </pt>
                <pt idx="552">
                  <v>43931</v>
                </pt>
                <pt idx="553">
                  <v>43934</v>
                </pt>
                <pt idx="554">
                  <v>43935</v>
                </pt>
                <pt idx="555">
                  <v>43936</v>
                </pt>
                <pt idx="556">
                  <v>43937</v>
                </pt>
                <pt idx="557">
                  <v>43938</v>
                </pt>
                <pt idx="558">
                  <v>43941</v>
                </pt>
                <pt idx="559">
                  <v>43942</v>
                </pt>
                <pt idx="560">
                  <v>43943</v>
                </pt>
                <pt idx="561">
                  <v>43944</v>
                </pt>
                <pt idx="562">
                  <v>43945</v>
                </pt>
                <pt idx="563">
                  <v>43948</v>
                </pt>
                <pt idx="564">
                  <v>43949</v>
                </pt>
                <pt idx="565">
                  <v>43950</v>
                </pt>
                <pt idx="566">
                  <v>43951</v>
                </pt>
                <pt idx="567">
                  <v>43957</v>
                </pt>
                <pt idx="568">
                  <v>43958</v>
                </pt>
                <pt idx="569">
                  <v>43959</v>
                </pt>
                <pt idx="570">
                  <v>43962</v>
                </pt>
                <pt idx="571">
                  <v>43963</v>
                </pt>
                <pt idx="572">
                  <v>43964</v>
                </pt>
                <pt idx="573">
                  <v>43965</v>
                </pt>
                <pt idx="574">
                  <v>43966</v>
                </pt>
                <pt idx="575">
                  <v>43969</v>
                </pt>
                <pt idx="576">
                  <v>43970</v>
                </pt>
                <pt idx="577">
                  <v>43971</v>
                </pt>
                <pt idx="578">
                  <v>43972</v>
                </pt>
                <pt idx="579">
                  <v>43973</v>
                </pt>
                <pt idx="580">
                  <v>43976</v>
                </pt>
                <pt idx="581">
                  <v>43977</v>
                </pt>
                <pt idx="582">
                  <v>43978</v>
                </pt>
                <pt idx="583">
                  <v>43979</v>
                </pt>
                <pt idx="584">
                  <v>43980</v>
                </pt>
                <pt idx="585">
                  <v>43983</v>
                </pt>
                <pt idx="586">
                  <v>43984</v>
                </pt>
                <pt idx="587">
                  <v>43985</v>
                </pt>
                <pt idx="588">
                  <v>43986</v>
                </pt>
                <pt idx="589">
                  <v>43987</v>
                </pt>
                <pt idx="590">
                  <v>43990</v>
                </pt>
                <pt idx="591">
                  <v>43991</v>
                </pt>
                <pt idx="592">
                  <v>43992</v>
                </pt>
                <pt idx="593">
                  <v>43993</v>
                </pt>
                <pt idx="594">
                  <v>43994</v>
                </pt>
                <pt idx="595">
                  <v>43997</v>
                </pt>
                <pt idx="596">
                  <v>43998</v>
                </pt>
                <pt idx="597">
                  <v>43999</v>
                </pt>
                <pt idx="598">
                  <v>44000</v>
                </pt>
                <pt idx="599">
                  <v>44001</v>
                </pt>
                <pt idx="600">
                  <v>44004</v>
                </pt>
                <pt idx="601">
                  <v>44005</v>
                </pt>
                <pt idx="602">
                  <v>44006</v>
                </pt>
                <pt idx="603">
                  <v>44011</v>
                </pt>
                <pt idx="604">
                  <v>44012</v>
                </pt>
                <pt idx="605">
                  <v>44013</v>
                </pt>
                <pt idx="606">
                  <v>44014</v>
                </pt>
                <pt idx="607">
                  <v>44015</v>
                </pt>
                <pt idx="608">
                  <v>44018</v>
                </pt>
                <pt idx="609">
                  <v>44019</v>
                </pt>
                <pt idx="610">
                  <v>44020</v>
                </pt>
                <pt idx="611">
                  <v>44021</v>
                </pt>
                <pt idx="612">
                  <v>44022</v>
                </pt>
                <pt idx="613">
                  <v>44025</v>
                </pt>
                <pt idx="614">
                  <v>44026</v>
                </pt>
                <pt idx="615">
                  <v>44027</v>
                </pt>
                <pt idx="616">
                  <v>44028</v>
                </pt>
                <pt idx="617">
                  <v>44029</v>
                </pt>
                <pt idx="618">
                  <v>44032</v>
                </pt>
                <pt idx="619">
                  <v>44033</v>
                </pt>
                <pt idx="620">
                  <v>44034</v>
                </pt>
                <pt idx="621">
                  <v>44035</v>
                </pt>
                <pt idx="622">
                  <v>44036</v>
                </pt>
                <pt idx="623">
                  <v>44039</v>
                </pt>
                <pt idx="624">
                  <v>44040</v>
                </pt>
                <pt idx="625">
                  <v>44041</v>
                </pt>
                <pt idx="626">
                  <v>44042</v>
                </pt>
                <pt idx="627">
                  <v>44043</v>
                </pt>
                <pt idx="628">
                  <v>44046</v>
                </pt>
                <pt idx="629">
                  <v>44047</v>
                </pt>
                <pt idx="630">
                  <v>44048</v>
                </pt>
                <pt idx="631">
                  <v>44049</v>
                </pt>
                <pt idx="632">
                  <v>44050</v>
                </pt>
                <pt idx="633">
                  <v>44053</v>
                </pt>
                <pt idx="634">
                  <v>44054</v>
                </pt>
                <pt idx="635">
                  <v>44055</v>
                </pt>
                <pt idx="636">
                  <v>44056</v>
                </pt>
                <pt idx="637">
                  <v>44057</v>
                </pt>
                <pt idx="638">
                  <v>44060</v>
                </pt>
                <pt idx="639">
                  <v>44061</v>
                </pt>
                <pt idx="640">
                  <v>44062</v>
                </pt>
                <pt idx="641">
                  <v>44063</v>
                </pt>
                <pt idx="642">
                  <v>44064</v>
                </pt>
                <pt idx="643">
                  <v>44067</v>
                </pt>
                <pt idx="644">
                  <v>44068</v>
                </pt>
                <pt idx="645">
                  <v>44069</v>
                </pt>
                <pt idx="646">
                  <v>44070</v>
                </pt>
                <pt idx="647">
                  <v>44071</v>
                </pt>
                <pt idx="648">
                  <v>44074</v>
                </pt>
                <pt idx="649">
                  <v>44075</v>
                </pt>
                <pt idx="650">
                  <v>44076</v>
                </pt>
                <pt idx="651">
                  <v>44077</v>
                </pt>
                <pt idx="652">
                  <v>44078</v>
                </pt>
                <pt idx="653">
                  <v>44081</v>
                </pt>
                <pt idx="654">
                  <v>44082</v>
                </pt>
                <pt idx="655">
                  <v>44083</v>
                </pt>
                <pt idx="656">
                  <v>44084</v>
                </pt>
                <pt idx="657">
                  <v>44085</v>
                </pt>
                <pt idx="658">
                  <v>44088</v>
                </pt>
                <pt idx="659">
                  <v>44089</v>
                </pt>
                <pt idx="660">
                  <v>44090</v>
                </pt>
                <pt idx="661">
                  <v>44091</v>
                </pt>
                <pt idx="662">
                  <v>44092</v>
                </pt>
                <pt idx="663">
                  <v>44095</v>
                </pt>
                <pt idx="664">
                  <v>44096</v>
                </pt>
                <pt idx="665">
                  <v>44097</v>
                </pt>
                <pt idx="666">
                  <v>44098</v>
                </pt>
                <pt idx="667">
                  <v>44099</v>
                </pt>
                <pt idx="668">
                  <v>44102</v>
                </pt>
                <pt idx="669">
                  <v>44103</v>
                </pt>
                <pt idx="670">
                  <v>44104</v>
                </pt>
                <pt idx="671">
                  <v>44113</v>
                </pt>
                <pt idx="672">
                  <v>44116</v>
                </pt>
                <pt idx="673">
                  <v>44117</v>
                </pt>
                <pt idx="674">
                  <v>44118</v>
                </pt>
                <pt idx="675">
                  <v>44119</v>
                </pt>
                <pt idx="676">
                  <v>44120</v>
                </pt>
                <pt idx="677">
                  <v>44123</v>
                </pt>
                <pt idx="678">
                  <v>44124</v>
                </pt>
                <pt idx="679">
                  <v>44125</v>
                </pt>
                <pt idx="680">
                  <v>44126</v>
                </pt>
                <pt idx="681">
                  <v>44127</v>
                </pt>
                <pt idx="682">
                  <v>44130</v>
                </pt>
                <pt idx="683">
                  <v>44131</v>
                </pt>
                <pt idx="684">
                  <v>44132</v>
                </pt>
                <pt idx="685">
                  <v>44133</v>
                </pt>
                <pt idx="686">
                  <v>44134</v>
                </pt>
                <pt idx="687">
                  <v>44137</v>
                </pt>
                <pt idx="688">
                  <v>44138</v>
                </pt>
                <pt idx="689">
                  <v>44139</v>
                </pt>
                <pt idx="690">
                  <v>44140</v>
                </pt>
                <pt idx="691">
                  <v>44141</v>
                </pt>
                <pt idx="692">
                  <v>44144</v>
                </pt>
                <pt idx="693">
                  <v>44145</v>
                </pt>
                <pt idx="694">
                  <v>44146</v>
                </pt>
                <pt idx="695">
                  <v>44147</v>
                </pt>
                <pt idx="696">
                  <v>44148</v>
                </pt>
                <pt idx="697">
                  <v>44151</v>
                </pt>
                <pt idx="698">
                  <v>44152</v>
                </pt>
                <pt idx="699">
                  <v>44153</v>
                </pt>
                <pt idx="700">
                  <v>44154</v>
                </pt>
                <pt idx="701">
                  <v>44155</v>
                </pt>
                <pt idx="702">
                  <v>44158</v>
                </pt>
                <pt idx="703">
                  <v>44159</v>
                </pt>
                <pt idx="704">
                  <v>44160</v>
                </pt>
                <pt idx="705">
                  <v>44161</v>
                </pt>
                <pt idx="706">
                  <v>44162</v>
                </pt>
                <pt idx="707">
                  <v>44165</v>
                </pt>
                <pt idx="708">
                  <v>44166</v>
                </pt>
                <pt idx="709">
                  <v>44167</v>
                </pt>
                <pt idx="710">
                  <v>44168</v>
                </pt>
                <pt idx="711">
                  <v>44169</v>
                </pt>
                <pt idx="712">
                  <v>44172</v>
                </pt>
                <pt idx="713">
                  <v>44173</v>
                </pt>
                <pt idx="714">
                  <v>44174</v>
                </pt>
                <pt idx="715">
                  <v>44175</v>
                </pt>
                <pt idx="716">
                  <v>44176</v>
                </pt>
                <pt idx="717">
                  <v>44179</v>
                </pt>
                <pt idx="718">
                  <v>44180</v>
                </pt>
                <pt idx="719">
                  <v>44181</v>
                </pt>
                <pt idx="720">
                  <v>44182</v>
                </pt>
                <pt idx="721">
                  <v>44183</v>
                </pt>
                <pt idx="722">
                  <v>44186</v>
                </pt>
                <pt idx="723">
                  <v>44187</v>
                </pt>
                <pt idx="724">
                  <v>44188</v>
                </pt>
                <pt idx="725">
                  <v>44189</v>
                </pt>
                <pt idx="726">
                  <v>44190</v>
                </pt>
                <pt idx="727">
                  <v>44193</v>
                </pt>
                <pt idx="728">
                  <v>44194</v>
                </pt>
                <pt idx="729">
                  <v>44195</v>
                </pt>
                <pt idx="730">
                  <v>44196</v>
                </pt>
                <pt idx="731">
                  <v>44200</v>
                </pt>
                <pt idx="732">
                  <v>44201</v>
                </pt>
                <pt idx="733">
                  <v>44202</v>
                </pt>
                <pt idx="734">
                  <v>44203</v>
                </pt>
                <pt idx="735">
                  <v>44204</v>
                </pt>
                <pt idx="736">
                  <v>44207</v>
                </pt>
                <pt idx="737">
                  <v>44208</v>
                </pt>
                <pt idx="738">
                  <v>44209</v>
                </pt>
                <pt idx="739">
                  <v>44210</v>
                </pt>
                <pt idx="740">
                  <v>44211</v>
                </pt>
                <pt idx="741">
                  <v>44214</v>
                </pt>
                <pt idx="742">
                  <v>44215</v>
                </pt>
                <pt idx="743">
                  <v>44216</v>
                </pt>
                <pt idx="744">
                  <v>44217</v>
                </pt>
                <pt idx="745">
                  <v>44218</v>
                </pt>
                <pt idx="746">
                  <v>44221</v>
                </pt>
                <pt idx="747">
                  <v>44222</v>
                </pt>
                <pt idx="748">
                  <v>44223</v>
                </pt>
                <pt idx="749">
                  <v>44224</v>
                </pt>
                <pt idx="750">
                  <v>44225</v>
                </pt>
                <pt idx="751">
                  <v>44228</v>
                </pt>
                <pt idx="752">
                  <v>44229</v>
                </pt>
                <pt idx="753">
                  <v>44230</v>
                </pt>
                <pt idx="754">
                  <v>44231</v>
                </pt>
                <pt idx="755">
                  <v>44232</v>
                </pt>
                <pt idx="756">
                  <v>44235</v>
                </pt>
                <pt idx="757">
                  <v>44236</v>
                </pt>
                <pt idx="758">
                  <v>44237</v>
                </pt>
                <pt idx="759">
                  <v>44245</v>
                </pt>
                <pt idx="760">
                  <v>44246</v>
                </pt>
                <pt idx="761">
                  <v>44249</v>
                </pt>
                <pt idx="762">
                  <v>44250</v>
                </pt>
                <pt idx="763">
                  <v>44251</v>
                </pt>
                <pt idx="764">
                  <v>44252</v>
                </pt>
                <pt idx="765">
                  <v>44253</v>
                </pt>
                <pt idx="766">
                  <v>44256</v>
                </pt>
                <pt idx="767">
                  <v>44257</v>
                </pt>
                <pt idx="768">
                  <v>44258</v>
                </pt>
                <pt idx="769">
                  <v>44259</v>
                </pt>
                <pt idx="770">
                  <v>44260</v>
                </pt>
                <pt idx="771">
                  <v>44263</v>
                </pt>
                <pt idx="772">
                  <v>44264</v>
                </pt>
                <pt idx="773">
                  <v>44265</v>
                </pt>
                <pt idx="774">
                  <v>44266</v>
                </pt>
                <pt idx="775">
                  <v>44267</v>
                </pt>
                <pt idx="776">
                  <v>44270</v>
                </pt>
                <pt idx="777">
                  <v>44271</v>
                </pt>
                <pt idx="778">
                  <v>44272</v>
                </pt>
                <pt idx="779">
                  <v>44273</v>
                </pt>
                <pt idx="780">
                  <v>44274</v>
                </pt>
                <pt idx="781">
                  <v>44277</v>
                </pt>
                <pt idx="782">
                  <v>44278</v>
                </pt>
                <pt idx="783">
                  <v>44279</v>
                </pt>
                <pt idx="784">
                  <v>44280</v>
                </pt>
                <pt idx="785">
                  <v>44281</v>
                </pt>
                <pt idx="786">
                  <v>44284</v>
                </pt>
                <pt idx="787">
                  <v>44285</v>
                </pt>
                <pt idx="788">
                  <v>44286</v>
                </pt>
                <pt idx="789">
                  <v>44287</v>
                </pt>
                <pt idx="790">
                  <v>44288</v>
                </pt>
                <pt idx="791">
                  <v>44292</v>
                </pt>
                <pt idx="792">
                  <v>44293</v>
                </pt>
                <pt idx="793">
                  <v>44294</v>
                </pt>
                <pt idx="794">
                  <v>44295</v>
                </pt>
                <pt idx="795">
                  <v>44298</v>
                </pt>
                <pt idx="796">
                  <v>44299</v>
                </pt>
                <pt idx="797">
                  <v>44300</v>
                </pt>
                <pt idx="798">
                  <v>44301</v>
                </pt>
                <pt idx="799">
                  <v>44302</v>
                </pt>
                <pt idx="800">
                  <v>44305</v>
                </pt>
                <pt idx="801">
                  <v>44306</v>
                </pt>
                <pt idx="802">
                  <v>44307</v>
                </pt>
                <pt idx="803">
                  <v>44308</v>
                </pt>
                <pt idx="804">
                  <v>44309</v>
                </pt>
                <pt idx="805">
                  <v>44312</v>
                </pt>
                <pt idx="806">
                  <v>44313</v>
                </pt>
                <pt idx="807">
                  <v>44314</v>
                </pt>
                <pt idx="808">
                  <v>44315</v>
                </pt>
                <pt idx="809">
                  <v>44316</v>
                </pt>
                <pt idx="810">
                  <v>44322</v>
                </pt>
                <pt idx="811">
                  <v>44323</v>
                </pt>
                <pt idx="812">
                  <v>44326</v>
                </pt>
                <pt idx="813">
                  <v>44327</v>
                </pt>
                <pt idx="814">
                  <v>44328</v>
                </pt>
                <pt idx="815">
                  <v>44329</v>
                </pt>
                <pt idx="816">
                  <v>44330</v>
                </pt>
                <pt idx="817">
                  <v>44333</v>
                </pt>
                <pt idx="818">
                  <v>44334</v>
                </pt>
                <pt idx="819">
                  <v>44335</v>
                </pt>
                <pt idx="820">
                  <v>44336</v>
                </pt>
                <pt idx="821">
                  <v>44337</v>
                </pt>
                <pt idx="822">
                  <v>44340</v>
                </pt>
                <pt idx="823">
                  <v>44341</v>
                </pt>
                <pt idx="824">
                  <v>44342</v>
                </pt>
                <pt idx="825">
                  <v>44343</v>
                </pt>
                <pt idx="826">
                  <v>44344</v>
                </pt>
                <pt idx="827">
                  <v>44347</v>
                </pt>
                <pt idx="828">
                  <v>44348</v>
                </pt>
                <pt idx="829">
                  <v>44349</v>
                </pt>
                <pt idx="830">
                  <v>44350</v>
                </pt>
                <pt idx="831">
                  <v>44351</v>
                </pt>
                <pt idx="832">
                  <v>44354</v>
                </pt>
                <pt idx="833">
                  <v>44355</v>
                </pt>
                <pt idx="834">
                  <v>44356</v>
                </pt>
                <pt idx="835">
                  <v>44357</v>
                </pt>
                <pt idx="836">
                  <v>44358</v>
                </pt>
                <pt idx="837">
                  <v>44362</v>
                </pt>
                <pt idx="838">
                  <v>44363</v>
                </pt>
                <pt idx="839">
                  <v>44364</v>
                </pt>
                <pt idx="840">
                  <v>44365</v>
                </pt>
                <pt idx="841">
                  <v>44368</v>
                </pt>
                <pt idx="842">
                  <v>44369</v>
                </pt>
                <pt idx="843">
                  <v>44370</v>
                </pt>
                <pt idx="844">
                  <v>44371</v>
                </pt>
                <pt idx="845">
                  <v>44372</v>
                </pt>
                <pt idx="846">
                  <v>44375</v>
                </pt>
                <pt idx="847">
                  <v>44376</v>
                </pt>
                <pt idx="848">
                  <v>44377</v>
                </pt>
                <pt idx="849">
                  <v>44378</v>
                </pt>
                <pt idx="850">
                  <v>44379</v>
                </pt>
                <pt idx="851">
                  <v>44382</v>
                </pt>
                <pt idx="852">
                  <v>44383</v>
                </pt>
                <pt idx="853">
                  <v>44384</v>
                </pt>
                <pt idx="854">
                  <v>44385</v>
                </pt>
                <pt idx="855">
                  <v>44386</v>
                </pt>
                <pt idx="856">
                  <v>44389</v>
                </pt>
                <pt idx="857">
                  <v>44390</v>
                </pt>
                <pt idx="858">
                  <v>44391</v>
                </pt>
                <pt idx="859">
                  <v>44392</v>
                </pt>
                <pt idx="860">
                  <v>44393</v>
                </pt>
                <pt idx="861">
                  <v>44396</v>
                </pt>
                <pt idx="862">
                  <v>44397</v>
                </pt>
                <pt idx="863">
                  <v>44398</v>
                </pt>
                <pt idx="864">
                  <v>44399</v>
                </pt>
                <pt idx="865">
                  <v>44400</v>
                </pt>
                <pt idx="866">
                  <v>44403</v>
                </pt>
                <pt idx="867">
                  <v>44404</v>
                </pt>
                <pt idx="868">
                  <v>44405</v>
                </pt>
                <pt idx="869">
                  <v>44406</v>
                </pt>
                <pt idx="870">
                  <v>44407</v>
                </pt>
                <pt idx="871">
                  <v>44410</v>
                </pt>
                <pt idx="872">
                  <v>44411</v>
                </pt>
                <pt idx="873">
                  <v>44412</v>
                </pt>
                <pt idx="874">
                  <v>44413</v>
                </pt>
                <pt idx="875">
                  <v>44414</v>
                </pt>
                <pt idx="876">
                  <v>44417</v>
                </pt>
                <pt idx="877">
                  <v>44418</v>
                </pt>
                <pt idx="878">
                  <v>44419</v>
                </pt>
                <pt idx="879">
                  <v>44420</v>
                </pt>
                <pt idx="880">
                  <v>44421</v>
                </pt>
                <pt idx="881">
                  <v>44424</v>
                </pt>
                <pt idx="882">
                  <v>44425</v>
                </pt>
                <pt idx="883">
                  <v>44426</v>
                </pt>
                <pt idx="884">
                  <v>44427</v>
                </pt>
                <pt idx="885">
                  <v>44428</v>
                </pt>
                <pt idx="886">
                  <v>44431</v>
                </pt>
                <pt idx="887">
                  <v>44432</v>
                </pt>
                <pt idx="888">
                  <v>44433</v>
                </pt>
                <pt idx="889">
                  <v>44434</v>
                </pt>
                <pt idx="890">
                  <v>44435</v>
                </pt>
                <pt idx="891">
                  <v>44438</v>
                </pt>
                <pt idx="892">
                  <v>44439</v>
                </pt>
                <pt idx="893">
                  <v>44440</v>
                </pt>
                <pt idx="894">
                  <v>44441</v>
                </pt>
                <pt idx="895">
                  <v>44442</v>
                </pt>
                <pt idx="896">
                  <v>44445</v>
                </pt>
                <pt idx="897">
                  <v>44446</v>
                </pt>
                <pt idx="898">
                  <v>44447</v>
                </pt>
                <pt idx="899">
                  <v>44448</v>
                </pt>
                <pt idx="900">
                  <v>44449</v>
                </pt>
                <pt idx="901">
                  <v>44452</v>
                </pt>
                <pt idx="902">
                  <v>44453</v>
                </pt>
                <pt idx="903">
                  <v>44454</v>
                </pt>
                <pt idx="904">
                  <v>44455</v>
                </pt>
                <pt idx="905">
                  <v>44456</v>
                </pt>
                <pt idx="906">
                  <v>44461</v>
                </pt>
                <pt idx="907">
                  <v>44462</v>
                </pt>
                <pt idx="908">
                  <v>44463</v>
                </pt>
                <pt idx="909">
                  <v>44466</v>
                </pt>
                <pt idx="910">
                  <v>44467</v>
                </pt>
                <pt idx="911">
                  <v>44468</v>
                </pt>
                <pt idx="912">
                  <v>44469</v>
                </pt>
                <pt idx="913">
                  <v>44477</v>
                </pt>
                <pt idx="914">
                  <v>44480</v>
                </pt>
                <pt idx="915">
                  <v>44481</v>
                </pt>
                <pt idx="916">
                  <v>44482</v>
                </pt>
                <pt idx="917">
                  <v>44483</v>
                </pt>
                <pt idx="918">
                  <v>44484</v>
                </pt>
                <pt idx="919">
                  <v>44487</v>
                </pt>
                <pt idx="920">
                  <v>44488</v>
                </pt>
                <pt idx="921">
                  <v>44489</v>
                </pt>
                <pt idx="922">
                  <v>44490</v>
                </pt>
                <pt idx="923">
                  <v>44491</v>
                </pt>
                <pt idx="924">
                  <v>44494</v>
                </pt>
                <pt idx="925">
                  <v>44495</v>
                </pt>
                <pt idx="926">
                  <v>44496</v>
                </pt>
                <pt idx="927">
                  <v>44497</v>
                </pt>
                <pt idx="928">
                  <v>44498</v>
                </pt>
                <pt idx="929">
                  <v>44501</v>
                </pt>
                <pt idx="930">
                  <v>44502</v>
                </pt>
                <pt idx="931">
                  <v>44503</v>
                </pt>
                <pt idx="932">
                  <v>44504</v>
                </pt>
                <pt idx="933">
                  <v>44505</v>
                </pt>
                <pt idx="934">
                  <v>44508</v>
                </pt>
                <pt idx="935">
                  <v>44509</v>
                </pt>
                <pt idx="936">
                  <v>44510</v>
                </pt>
                <pt idx="937">
                  <v>44511</v>
                </pt>
                <pt idx="938">
                  <v>44512</v>
                </pt>
                <pt idx="939">
                  <v>44515</v>
                </pt>
                <pt idx="940">
                  <v>44516</v>
                </pt>
                <pt idx="941">
                  <v>44517</v>
                </pt>
                <pt idx="942">
                  <v>44518</v>
                </pt>
                <pt idx="943">
                  <v>44519</v>
                </pt>
                <pt idx="944">
                  <v>44522</v>
                </pt>
                <pt idx="945">
                  <v>44523</v>
                </pt>
                <pt idx="946">
                  <v>44524</v>
                </pt>
                <pt idx="947">
                  <v>44525</v>
                </pt>
                <pt idx="948">
                  <v>44526</v>
                </pt>
                <pt idx="949">
                  <v>44529</v>
                </pt>
                <pt idx="950">
                  <v>44530</v>
                </pt>
                <pt idx="951">
                  <v>44531</v>
                </pt>
                <pt idx="952">
                  <v>44532</v>
                </pt>
                <pt idx="953">
                  <v>44533</v>
                </pt>
                <pt idx="954">
                  <v>44536</v>
                </pt>
                <pt idx="955">
                  <v>44537</v>
                </pt>
                <pt idx="956">
                  <v>44538</v>
                </pt>
                <pt idx="957">
                  <v>44539</v>
                </pt>
                <pt idx="958">
                  <v>44540</v>
                </pt>
                <pt idx="959">
                  <v>44543</v>
                </pt>
                <pt idx="960">
                  <v>44544</v>
                </pt>
                <pt idx="961">
                  <v>44545</v>
                </pt>
                <pt idx="962">
                  <v>44546</v>
                </pt>
                <pt idx="963">
                  <v>44547</v>
                </pt>
                <pt idx="964">
                  <v>44550</v>
                </pt>
                <pt idx="965">
                  <v>44551</v>
                </pt>
                <pt idx="966">
                  <v>44552</v>
                </pt>
                <pt idx="967">
                  <v>44553</v>
                </pt>
                <pt idx="968">
                  <v>44554</v>
                </pt>
                <pt idx="969">
                  <v>44557</v>
                </pt>
                <pt idx="970">
                  <v>44558</v>
                </pt>
                <pt idx="971">
                  <v>44559</v>
                </pt>
                <pt idx="972">
                  <v>44560</v>
                </pt>
                <pt idx="973">
                  <v>44561</v>
                </pt>
                <pt idx="974">
                  <v>44565</v>
                </pt>
                <pt idx="975">
                  <v>44566</v>
                </pt>
                <pt idx="976">
                  <v>44567</v>
                </pt>
                <pt idx="977">
                  <v>44568</v>
                </pt>
                <pt idx="978">
                  <v>44571</v>
                </pt>
                <pt idx="979">
                  <v>44572</v>
                </pt>
                <pt idx="980">
                  <v>44573</v>
                </pt>
                <pt idx="981">
                  <v>44574</v>
                </pt>
                <pt idx="982">
                  <v>44575</v>
                </pt>
                <pt idx="983">
                  <v>44578</v>
                </pt>
                <pt idx="984">
                  <v>44579</v>
                </pt>
                <pt idx="985">
                  <v>44580</v>
                </pt>
                <pt idx="986">
                  <v>44581</v>
                </pt>
                <pt idx="987">
                  <v>44582</v>
                </pt>
                <pt idx="988">
                  <v>44585</v>
                </pt>
                <pt idx="989">
                  <v>44586</v>
                </pt>
                <pt idx="990">
                  <v>44587</v>
                </pt>
                <pt idx="991">
                  <v>44588</v>
                </pt>
                <pt idx="992">
                  <v>44589</v>
                </pt>
                <pt idx="993">
                  <v>44599</v>
                </pt>
                <pt idx="994">
                  <v>44600</v>
                </pt>
                <pt idx="995">
                  <v>44601</v>
                </pt>
                <pt idx="996">
                  <v>44602</v>
                </pt>
                <pt idx="997">
                  <v>44603</v>
                </pt>
                <pt idx="998">
                  <v>44606</v>
                </pt>
                <pt idx="999">
                  <v>44607</v>
                </pt>
                <pt idx="1000">
                  <v>44608</v>
                </pt>
                <pt idx="1001">
                  <v>44609</v>
                </pt>
                <pt idx="1002">
                  <v>44610</v>
                </pt>
                <pt idx="1003">
                  <v>44613</v>
                </pt>
                <pt idx="1004">
                  <v>44614</v>
                </pt>
                <pt idx="1005">
                  <v>44615</v>
                </pt>
                <pt idx="1006">
                  <v>44616</v>
                </pt>
                <pt idx="1007">
                  <v>44617</v>
                </pt>
                <pt idx="1008">
                  <v>44620</v>
                </pt>
                <pt idx="1009">
                  <v>44621</v>
                </pt>
                <pt idx="1010">
                  <v>44622</v>
                </pt>
                <pt idx="1011">
                  <v>44623</v>
                </pt>
                <pt idx="1012">
                  <v>44624</v>
                </pt>
                <pt idx="1013">
                  <v>44627</v>
                </pt>
                <pt idx="1014">
                  <v>44628</v>
                </pt>
                <pt idx="1015">
                  <v>44629</v>
                </pt>
                <pt idx="1016">
                  <v>44630</v>
                </pt>
                <pt idx="1017">
                  <v>44631</v>
                </pt>
                <pt idx="1018">
                  <v>44634</v>
                </pt>
                <pt idx="1019">
                  <v>44635</v>
                </pt>
                <pt idx="1020">
                  <v>44636</v>
                </pt>
                <pt idx="1021">
                  <v>44637</v>
                </pt>
                <pt idx="1022">
                  <v>44638</v>
                </pt>
                <pt idx="1023">
                  <v>44641</v>
                </pt>
                <pt idx="1024">
                  <v>44642</v>
                </pt>
                <pt idx="1025">
                  <v>44643</v>
                </pt>
                <pt idx="1026">
                  <v>44644</v>
                </pt>
                <pt idx="1027">
                  <v>44645</v>
                </pt>
                <pt idx="1028">
                  <v>44648</v>
                </pt>
                <pt idx="1029">
                  <v>44649</v>
                </pt>
                <pt idx="1030">
                  <v>44650</v>
                </pt>
                <pt idx="1031">
                  <v>44651</v>
                </pt>
                <pt idx="1032">
                  <v>44652</v>
                </pt>
                <pt idx="1033">
                  <v>44657</v>
                </pt>
                <pt idx="1034">
                  <v>44658</v>
                </pt>
                <pt idx="1035">
                  <v>44659</v>
                </pt>
                <pt idx="1036">
                  <v>44662</v>
                </pt>
                <pt idx="1037">
                  <v>44663</v>
                </pt>
                <pt idx="1038">
                  <v>44664</v>
                </pt>
                <pt idx="1039">
                  <v>44665</v>
                </pt>
                <pt idx="1040">
                  <v>44666</v>
                </pt>
                <pt idx="1041">
                  <v>44669</v>
                </pt>
                <pt idx="1042">
                  <v>44670</v>
                </pt>
                <pt idx="1043">
                  <v>44671</v>
                </pt>
                <pt idx="1044">
                  <v>44672</v>
                </pt>
                <pt idx="1045">
                  <v>44673</v>
                </pt>
                <pt idx="1046">
                  <v>44676</v>
                </pt>
                <pt idx="1047">
                  <v>44677</v>
                </pt>
                <pt idx="1048">
                  <v>44678</v>
                </pt>
                <pt idx="1049">
                  <v>44679</v>
                </pt>
                <pt idx="1050">
                  <v>44680</v>
                </pt>
                <pt idx="1051">
                  <v>44686</v>
                </pt>
                <pt idx="1052">
                  <v>44687</v>
                </pt>
                <pt idx="1053">
                  <v>44690</v>
                </pt>
                <pt idx="1054">
                  <v>44691</v>
                </pt>
                <pt idx="1055">
                  <v>44692</v>
                </pt>
                <pt idx="1056">
                  <v>44693</v>
                </pt>
                <pt idx="1057">
                  <v>44694</v>
                </pt>
                <pt idx="1058">
                  <v>44697</v>
                </pt>
                <pt idx="1059">
                  <v>44698</v>
                </pt>
                <pt idx="1060">
                  <v>44699</v>
                </pt>
                <pt idx="1061">
                  <v>44700</v>
                </pt>
                <pt idx="1062">
                  <v>44701</v>
                </pt>
                <pt idx="1063">
                  <v>44704</v>
                </pt>
                <pt idx="1064">
                  <v>44705</v>
                </pt>
                <pt idx="1065">
                  <v>44706</v>
                </pt>
                <pt idx="1066">
                  <v>44707</v>
                </pt>
                <pt idx="1067">
                  <v>44708</v>
                </pt>
                <pt idx="1068">
                  <v>44711</v>
                </pt>
                <pt idx="1069">
                  <v>44712</v>
                </pt>
                <pt idx="1070">
                  <v>44713</v>
                </pt>
                <pt idx="1071">
                  <v>44714</v>
                </pt>
                <pt idx="1072">
                  <v>44718</v>
                </pt>
                <pt idx="1073">
                  <v>44719</v>
                </pt>
                <pt idx="1074">
                  <v>44720</v>
                </pt>
                <pt idx="1075">
                  <v>44721</v>
                </pt>
                <pt idx="1076">
                  <v>44722</v>
                </pt>
                <pt idx="1077">
                  <v>44725</v>
                </pt>
                <pt idx="1078">
                  <v>44726</v>
                </pt>
                <pt idx="1079">
                  <v>44727</v>
                </pt>
                <pt idx="1080">
                  <v>44728</v>
                </pt>
                <pt idx="1081">
                  <v>44729</v>
                </pt>
                <pt idx="1082">
                  <v>44732</v>
                </pt>
                <pt idx="1083">
                  <v>44733</v>
                </pt>
                <pt idx="1084">
                  <v>44734</v>
                </pt>
                <pt idx="1085">
                  <v>44735</v>
                </pt>
                <pt idx="1086">
                  <v>44736</v>
                </pt>
                <pt idx="1087">
                  <v>44739</v>
                </pt>
                <pt idx="1088">
                  <v>44740</v>
                </pt>
                <pt idx="1089">
                  <v>44741</v>
                </pt>
                <pt idx="1090">
                  <v>44742</v>
                </pt>
                <pt idx="1091">
                  <v>44743</v>
                </pt>
                <pt idx="1092">
                  <v>44746</v>
                </pt>
                <pt idx="1093">
                  <v>44747</v>
                </pt>
                <pt idx="1094">
                  <v>44748</v>
                </pt>
                <pt idx="1095">
                  <v>44749</v>
                </pt>
                <pt idx="1096">
                  <v>44750</v>
                </pt>
                <pt idx="1097">
                  <v>44753</v>
                </pt>
                <pt idx="1098">
                  <v>44754</v>
                </pt>
                <pt idx="1099">
                  <v>44755</v>
                </pt>
                <pt idx="1100">
                  <v>44756</v>
                </pt>
                <pt idx="1101">
                  <v>44757</v>
                </pt>
                <pt idx="1102">
                  <v>44760</v>
                </pt>
                <pt idx="1103">
                  <v>44761</v>
                </pt>
                <pt idx="1104">
                  <v>44762</v>
                </pt>
                <pt idx="1105">
                  <v>44763</v>
                </pt>
                <pt idx="1106">
                  <v>44764</v>
                </pt>
                <pt idx="1107">
                  <v>44767</v>
                </pt>
                <pt idx="1108">
                  <v>44768</v>
                </pt>
                <pt idx="1109">
                  <v>44769</v>
                </pt>
                <pt idx="1110">
                  <v>44770</v>
                </pt>
                <pt idx="1111">
                  <v>44771</v>
                </pt>
                <pt idx="1112">
                  <v>44774</v>
                </pt>
                <pt idx="1113">
                  <v>44775</v>
                </pt>
                <pt idx="1114">
                  <v>44776</v>
                </pt>
                <pt idx="1115">
                  <v>44777</v>
                </pt>
                <pt idx="1116">
                  <v>44778</v>
                </pt>
                <pt idx="1117">
                  <v>44781</v>
                </pt>
                <pt idx="1118">
                  <v>44782</v>
                </pt>
                <pt idx="1119">
                  <v>44783</v>
                </pt>
                <pt idx="1120">
                  <v>44784</v>
                </pt>
                <pt idx="1121">
                  <v>44785</v>
                </pt>
                <pt idx="1122">
                  <v>44788</v>
                </pt>
                <pt idx="1123">
                  <v>44789</v>
                </pt>
                <pt idx="1124">
                  <v>44790</v>
                </pt>
                <pt idx="1125">
                  <v>44791</v>
                </pt>
                <pt idx="1126">
                  <v>44792</v>
                </pt>
                <pt idx="1127">
                  <v>44795</v>
                </pt>
                <pt idx="1128">
                  <v>44796</v>
                </pt>
                <pt idx="1129">
                  <v>44797</v>
                </pt>
                <pt idx="1130">
                  <v>44798</v>
                </pt>
                <pt idx="1131">
                  <v>44799</v>
                </pt>
                <pt idx="1132">
                  <v>44802</v>
                </pt>
                <pt idx="1133">
                  <v>44803</v>
                </pt>
                <pt idx="1134">
                  <v>44804</v>
                </pt>
              </numCache>
            </numRef>
          </cat>
          <val>
            <numRef>
              <f>可转债双低!$E$3:$E$1137</f>
              <numCache>
                <formatCode>General</formatCode>
                <ptCount val="1135"/>
                <pt idx="0">
                  <v>103.956</v>
                </pt>
                <pt idx="1">
                  <v>104.907</v>
                </pt>
                <pt idx="2">
                  <v>105.903</v>
                </pt>
                <pt idx="3">
                  <v>106.295</v>
                </pt>
                <pt idx="4">
                  <v>107.336</v>
                </pt>
                <pt idx="5">
                  <v>107.667</v>
                </pt>
                <pt idx="6">
                  <v>107.069</v>
                </pt>
                <pt idx="7">
                  <v>106.516</v>
                </pt>
                <pt idx="8">
                  <v>106.631</v>
                </pt>
                <pt idx="9">
                  <v>106.542</v>
                </pt>
                <pt idx="10">
                  <v>105.417</v>
                </pt>
                <pt idx="11">
                  <v>105.394</v>
                </pt>
                <pt idx="12">
                  <v>105.796</v>
                </pt>
                <pt idx="13">
                  <v>106.301</v>
                </pt>
                <pt idx="14">
                  <v>106.914</v>
                </pt>
                <pt idx="15">
                  <v>108.014</v>
                </pt>
                <pt idx="16">
                  <v>108.589</v>
                </pt>
                <pt idx="17">
                  <v>109.634</v>
                </pt>
                <pt idx="18">
                  <v>110.325</v>
                </pt>
                <pt idx="19">
                  <v>109.996</v>
                </pt>
                <pt idx="20">
                  <v>107.95</v>
                </pt>
                <pt idx="21">
                  <v>107.666</v>
                </pt>
                <pt idx="22">
                  <v>107.148</v>
                </pt>
                <pt idx="23">
                  <v>105.812</v>
                </pt>
                <pt idx="24">
                  <v>106.474</v>
                </pt>
                <pt idx="25">
                  <v>106.976</v>
                </pt>
                <pt idx="26">
                  <v>105.427</v>
                </pt>
                <pt idx="27">
                  <v>105.415</v>
                </pt>
                <pt idx="28">
                  <v>105.315</v>
                </pt>
                <pt idx="29">
                  <v>102.918</v>
                </pt>
                <pt idx="30">
                  <v>104.839</v>
                </pt>
                <pt idx="31">
                  <v>105.597</v>
                </pt>
                <pt idx="32">
                  <v>105.893</v>
                </pt>
                <pt idx="33">
                  <v>106.637</v>
                </pt>
                <pt idx="34">
                  <v>106.527</v>
                </pt>
                <pt idx="35">
                  <v>107.724</v>
                </pt>
                <pt idx="36">
                  <v>107.431</v>
                </pt>
                <pt idx="37">
                  <v>107.16</v>
                </pt>
                <pt idx="38">
                  <v>107.374</v>
                </pt>
                <pt idx="39">
                  <v>106.694</v>
                </pt>
                <pt idx="40">
                  <v>106.625</v>
                </pt>
                <pt idx="41">
                  <v>107.117</v>
                </pt>
                <pt idx="42">
                  <v>106.919</v>
                </pt>
                <pt idx="43">
                  <v>107.031</v>
                </pt>
                <pt idx="44">
                  <v>107.58</v>
                </pt>
                <pt idx="45">
                  <v>108.758</v>
                </pt>
                <pt idx="46">
                  <v>108.676</v>
                </pt>
                <pt idx="47">
                  <v>108.129</v>
                </pt>
                <pt idx="48">
                  <v>107.789</v>
                </pt>
                <pt idx="49">
                  <v>107.761</v>
                </pt>
                <pt idx="50">
                  <v>107.88</v>
                </pt>
                <pt idx="51">
                  <v>107.965</v>
                </pt>
                <pt idx="52">
                  <v>107.796</v>
                </pt>
                <pt idx="53">
                  <v>107.578</v>
                </pt>
                <pt idx="54">
                  <v>105.748</v>
                </pt>
                <pt idx="55">
                  <v>106.504</v>
                </pt>
                <pt idx="56">
                  <v>107.414</v>
                </pt>
                <pt idx="57">
                  <v>106.957</v>
                </pt>
                <pt idx="58">
                  <v>107.061</v>
                </pt>
                <pt idx="59">
                  <v>107.919</v>
                </pt>
                <pt idx="60">
                  <v>108.675</v>
                </pt>
                <pt idx="61">
                  <v>108.459</v>
                </pt>
                <pt idx="62">
                  <v>108.394</v>
                </pt>
                <pt idx="63">
                  <v>108.523</v>
                </pt>
                <pt idx="64">
                  <v>108.323</v>
                </pt>
                <pt idx="65">
                  <v>108.757</v>
                </pt>
                <pt idx="66">
                  <v>108.378</v>
                </pt>
                <pt idx="67">
                  <v>108.081</v>
                </pt>
                <pt idx="68">
                  <v>107.761</v>
                </pt>
                <pt idx="69">
                  <v>107.17</v>
                </pt>
                <pt idx="70">
                  <v>107.857</v>
                </pt>
                <pt idx="71">
                  <v>108.09</v>
                </pt>
                <pt idx="72">
                  <v>107.162</v>
                </pt>
                <pt idx="73">
                  <v>105.643</v>
                </pt>
                <pt idx="74">
                  <v>107.04</v>
                </pt>
                <pt idx="75">
                  <v>107.035</v>
                </pt>
                <pt idx="76">
                  <v>106.128</v>
                </pt>
                <pt idx="77">
                  <v>106.318</v>
                </pt>
                <pt idx="78">
                  <v>106.099</v>
                </pt>
                <pt idx="79">
                  <v>106.6</v>
                </pt>
                <pt idx="80">
                  <v>106.944</v>
                </pt>
                <pt idx="81">
                  <v>108.196</v>
                </pt>
                <pt idx="82">
                  <v>108.593</v>
                </pt>
                <pt idx="83">
                  <v>108.606</v>
                </pt>
                <pt idx="84">
                  <v>108.742</v>
                </pt>
                <pt idx="85">
                  <v>108.227</v>
                </pt>
                <pt idx="86">
                  <v>107.655</v>
                </pt>
                <pt idx="87">
                  <v>108.391</v>
                </pt>
                <pt idx="88">
                  <v>108.021</v>
                </pt>
                <pt idx="89">
                  <v>107.712</v>
                </pt>
                <pt idx="90">
                  <v>107.925</v>
                </pt>
                <pt idx="91">
                  <v>108.572</v>
                </pt>
                <pt idx="92">
                  <v>108.858</v>
                </pt>
                <pt idx="93">
                  <v>108.126</v>
                </pt>
                <pt idx="94">
                  <v>107.891</v>
                </pt>
                <pt idx="95">
                  <v>107.151</v>
                </pt>
                <pt idx="96">
                  <v>106.794</v>
                </pt>
                <pt idx="97">
                  <v>105.647</v>
                </pt>
                <pt idx="98">
                  <v>104.154</v>
                </pt>
                <pt idx="99">
                  <v>104.665</v>
                </pt>
                <pt idx="100">
                  <v>104.173</v>
                </pt>
                <pt idx="101">
                  <v>103.216</v>
                </pt>
                <pt idx="102">
                  <v>104.322</v>
                </pt>
                <pt idx="103">
                  <v>104.878</v>
                </pt>
                <pt idx="104">
                  <v>105.153</v>
                </pt>
                <pt idx="105">
                  <v>104.609</v>
                </pt>
                <pt idx="106">
                  <v>104.42</v>
                </pt>
                <pt idx="107">
                  <v>104.899</v>
                </pt>
                <pt idx="108">
                  <v>104.54</v>
                </pt>
                <pt idx="109">
                  <v>104.067</v>
                </pt>
                <pt idx="110">
                  <v>102.725</v>
                </pt>
                <pt idx="111">
                  <v>99.20099999999999</v>
                </pt>
                <pt idx="112">
                  <v>99.682</v>
                </pt>
                <pt idx="113">
                  <v>99.288</v>
                </pt>
                <pt idx="114">
                  <v>99.878</v>
                </pt>
                <pt idx="115">
                  <v>100.087</v>
                </pt>
                <pt idx="116">
                  <v>100.252</v>
                </pt>
                <pt idx="117">
                  <v>99.544</v>
                </pt>
                <pt idx="118">
                  <v>99.584</v>
                </pt>
                <pt idx="119">
                  <v>101.359</v>
                </pt>
                <pt idx="120">
                  <v>100.467</v>
                </pt>
                <pt idx="121">
                  <v>101.102</v>
                </pt>
                <pt idx="122">
                  <v>100.808</v>
                </pt>
                <pt idx="123">
                  <v>100.611</v>
                </pt>
                <pt idx="124">
                  <v>100.624</v>
                </pt>
                <pt idx="125">
                  <v>100.939</v>
                </pt>
                <pt idx="126">
                  <v>101.263</v>
                </pt>
                <pt idx="127">
                  <v>100.717</v>
                </pt>
                <pt idx="128">
                  <v>102.149</v>
                </pt>
                <pt idx="129">
                  <v>102.384</v>
                </pt>
                <pt idx="130">
                  <v>101.965</v>
                </pt>
                <pt idx="131">
                  <v>102.228</v>
                </pt>
                <pt idx="132">
                  <v>102.494</v>
                </pt>
                <pt idx="133">
                  <v>102.535</v>
                </pt>
                <pt idx="134">
                  <v>103.411</v>
                </pt>
                <pt idx="135">
                  <v>103.303</v>
                </pt>
                <pt idx="136">
                  <v>103.732</v>
                </pt>
                <pt idx="137">
                  <v>103.745</v>
                </pt>
                <pt idx="138">
                  <v>102.954</v>
                </pt>
                <pt idx="139">
                  <v>102.596</v>
                </pt>
                <pt idx="140">
                  <v>101.99</v>
                </pt>
                <pt idx="141">
                  <v>102.017</v>
                </pt>
                <pt idx="142">
                  <v>101.671</v>
                </pt>
                <pt idx="143">
                  <v>100.877</v>
                </pt>
                <pt idx="144">
                  <v>100.581</v>
                </pt>
                <pt idx="145">
                  <v>99.65000000000001</v>
                </pt>
                <pt idx="146">
                  <v>100.604</v>
                </pt>
                <pt idx="147">
                  <v>100.084</v>
                </pt>
                <pt idx="148">
                  <v>101.139</v>
                </pt>
                <pt idx="149">
                  <v>101.306</v>
                </pt>
                <pt idx="150">
                  <v>101.705</v>
                </pt>
                <pt idx="151">
                  <v>100.883</v>
                </pt>
                <pt idx="152">
                  <v>99.52500000000001</v>
                </pt>
                <pt idx="153">
                  <v>99.367</v>
                </pt>
                <pt idx="154">
                  <v>98.953</v>
                </pt>
                <pt idx="155">
                  <v>98.80500000000001</v>
                </pt>
                <pt idx="156">
                  <v>99.325</v>
                </pt>
                <pt idx="157">
                  <v>98.93000000000001</v>
                </pt>
                <pt idx="158">
                  <v>99.113</v>
                </pt>
                <pt idx="159">
                  <v>99.354</v>
                </pt>
                <pt idx="160">
                  <v>100.091</v>
                </pt>
                <pt idx="161">
                  <v>100.428</v>
                </pt>
                <pt idx="162">
                  <v>100.146</v>
                </pt>
                <pt idx="163">
                  <v>99.586</v>
                </pt>
                <pt idx="164">
                  <v>99.465</v>
                </pt>
                <pt idx="165">
                  <v>99.375</v>
                </pt>
                <pt idx="166">
                  <v>99.596</v>
                </pt>
                <pt idx="167">
                  <v>99.173</v>
                </pt>
                <pt idx="168">
                  <v>99.098</v>
                </pt>
                <pt idx="169">
                  <v>99.08</v>
                </pt>
                <pt idx="170">
                  <v>98.599</v>
                </pt>
                <pt idx="171">
                  <v>98.592</v>
                </pt>
                <pt idx="172">
                  <v>98.449</v>
                </pt>
                <pt idx="173">
                  <v>98.45099999999999</v>
                </pt>
                <pt idx="174">
                  <v>98.29300000000001</v>
                </pt>
                <pt idx="175">
                  <v>97.922</v>
                </pt>
                <pt idx="176">
                  <v>98.16200000000001</v>
                </pt>
                <pt idx="177">
                  <v>98.65300000000001</v>
                </pt>
                <pt idx="178">
                  <v>98.506</v>
                </pt>
                <pt idx="179">
                  <v>99.2</v>
                </pt>
                <pt idx="180">
                  <v>99.137</v>
                </pt>
                <pt idx="181">
                  <v>99.3</v>
                </pt>
                <pt idx="182">
                  <v>98.871</v>
                </pt>
                <pt idx="183">
                  <v>99.083</v>
                </pt>
                <pt idx="184">
                  <v>97.92400000000001</v>
                </pt>
                <pt idx="185">
                  <v>97.651</v>
                </pt>
                <pt idx="186">
                  <v>97.61499999999999</v>
                </pt>
                <pt idx="187">
                  <v>96.038</v>
                </pt>
                <pt idx="188">
                  <v>96.215</v>
                </pt>
                <pt idx="189">
                  <v>95.98</v>
                </pt>
                <pt idx="190">
                  <v>95.499</v>
                </pt>
                <pt idx="191">
                  <v>95.396</v>
                </pt>
                <pt idx="192">
                  <v>94.741</v>
                </pt>
                <pt idx="193">
                  <v>95.54300000000001</v>
                </pt>
                <pt idx="194">
                  <v>96.706</v>
                </pt>
                <pt idx="195">
                  <v>96.37</v>
                </pt>
                <pt idx="196">
                  <v>96.45699999999999</v>
                </pt>
                <pt idx="197">
                  <v>96.3</v>
                </pt>
                <pt idx="198">
                  <v>96.56699999999999</v>
                </pt>
                <pt idx="199">
                  <v>96.223</v>
                </pt>
                <pt idx="200">
                  <v>96.375</v>
                </pt>
                <pt idx="201">
                  <v>96.732</v>
                </pt>
                <pt idx="202">
                  <v>97.05200000000001</v>
                </pt>
                <pt idx="203">
                  <v>98.313</v>
                </pt>
                <pt idx="204">
                  <v>98.587</v>
                </pt>
                <pt idx="205">
                  <v>98.261</v>
                </pt>
                <pt idx="206">
                  <v>98.26300000000001</v>
                </pt>
                <pt idx="207">
                  <v>98.15000000000001</v>
                </pt>
                <pt idx="208">
                  <v>97.73399999999999</v>
                </pt>
                <pt idx="209">
                  <v>98.36799999999999</v>
                </pt>
                <pt idx="210">
                  <v>98.89</v>
                </pt>
                <pt idx="211">
                  <v>99.205</v>
                </pt>
                <pt idx="212">
                  <v>100.021</v>
                </pt>
                <pt idx="213">
                  <v>100.5</v>
                </pt>
                <pt idx="214">
                  <v>100.587</v>
                </pt>
                <pt idx="215">
                  <v>99.464</v>
                </pt>
                <pt idx="216">
                  <v>99.544</v>
                </pt>
                <pt idx="217">
                  <v>99.511</v>
                </pt>
                <pt idx="218">
                  <v>98.96599999999999</v>
                </pt>
                <pt idx="219">
                  <v>98.925</v>
                </pt>
                <pt idx="220">
                  <v>99.123</v>
                </pt>
                <pt idx="221">
                  <v>99.59999999999999</v>
                </pt>
                <pt idx="222">
                  <v>99.199</v>
                </pt>
                <pt idx="223">
                  <v>99.31100000000001</v>
                </pt>
                <pt idx="224">
                  <v>100.344</v>
                </pt>
                <pt idx="225">
                  <v>100.456</v>
                </pt>
                <pt idx="226">
                  <v>100.489</v>
                </pt>
                <pt idx="227">
                  <v>100.206</v>
                </pt>
                <pt idx="228">
                  <v>100.178</v>
                </pt>
                <pt idx="229">
                  <v>99.831</v>
                </pt>
                <pt idx="230">
                  <v>99.782</v>
                </pt>
                <pt idx="231">
                  <v>99.878</v>
                </pt>
                <pt idx="232">
                  <v>100.396</v>
                </pt>
                <pt idx="233">
                  <v>100.016</v>
                </pt>
                <pt idx="234">
                  <v>99.79900000000001</v>
                </pt>
                <pt idx="235">
                  <v>99.387</v>
                </pt>
                <pt idx="236">
                  <v>98.991</v>
                </pt>
                <pt idx="237">
                  <v>98.658</v>
                </pt>
                <pt idx="238">
                  <v>98.015</v>
                </pt>
                <pt idx="239">
                  <v>98.11499999999999</v>
                </pt>
                <pt idx="240">
                  <v>97.771</v>
                </pt>
                <pt idx="241">
                  <v>97.733</v>
                </pt>
                <pt idx="242">
                  <v>97.7</v>
                </pt>
                <pt idx="243">
                  <v>97.79600000000001</v>
                </pt>
                <pt idx="244">
                  <v>97.598</v>
                </pt>
                <pt idx="245">
                  <v>97.78</v>
                </pt>
                <pt idx="246">
                  <v>98.631</v>
                </pt>
                <pt idx="247">
                  <v>99.84699999999999</v>
                </pt>
                <pt idx="248">
                  <v>100.036</v>
                </pt>
                <pt idx="249">
                  <v>100.651</v>
                </pt>
                <pt idx="250">
                  <v>100.884</v>
                </pt>
                <pt idx="251">
                  <v>101.256</v>
                </pt>
                <pt idx="252">
                  <v>100.952</v>
                </pt>
                <pt idx="253">
                  <v>101.473</v>
                </pt>
                <pt idx="254">
                  <v>101.623</v>
                </pt>
                <pt idx="255">
                  <v>101.302</v>
                </pt>
                <pt idx="256">
                  <v>101.497</v>
                </pt>
                <pt idx="257">
                  <v>101.883</v>
                </pt>
                <pt idx="258">
                  <v>101.599</v>
                </pt>
                <pt idx="259">
                  <v>101.734</v>
                </pt>
                <pt idx="260">
                  <v>102.256</v>
                </pt>
                <pt idx="261">
                  <v>102.745</v>
                </pt>
                <pt idx="262">
                  <v>102.325</v>
                </pt>
                <pt idx="263">
                  <v>101.873</v>
                </pt>
                <pt idx="264">
                  <v>101.739</v>
                </pt>
                <pt idx="265">
                  <v>101.695</v>
                </pt>
                <pt idx="266">
                  <v>102.897</v>
                </pt>
                <pt idx="267">
                  <v>103.856</v>
                </pt>
                <pt idx="268">
                  <v>104.486</v>
                </pt>
                <pt idx="269">
                  <v>105.452</v>
                </pt>
                <pt idx="270">
                  <v>105.917</v>
                </pt>
                <pt idx="271">
                  <v>105.566</v>
                </pt>
                <pt idx="272">
                  <v>107.303</v>
                </pt>
                <pt idx="273">
                  <v>106.838</v>
                </pt>
                <pt idx="274">
                  <v>107.164</v>
                </pt>
                <pt idx="275">
                  <v>107.661</v>
                </pt>
                <pt idx="276">
                  <v>109.184</v>
                </pt>
                <pt idx="277">
                  <v>112.438</v>
                </pt>
                <pt idx="278">
                  <v>111.438</v>
                </pt>
                <pt idx="279">
                  <v>111.07</v>
                </pt>
                <pt idx="280">
                  <v>111.266</v>
                </pt>
                <pt idx="281">
                  <v>111.633</v>
                </pt>
                <pt idx="282">
                  <v>113.003</v>
                </pt>
                <pt idx="283">
                  <v>114.987</v>
                </pt>
                <pt idx="284">
                  <v>116.232</v>
                </pt>
                <pt idx="285">
                  <v>116.258</v>
                </pt>
                <pt idx="286">
                  <v>113.704</v>
                </pt>
                <pt idx="287">
                  <v>116.286</v>
                </pt>
                <pt idx="288">
                  <v>117.772</v>
                </pt>
                <pt idx="289">
                  <v>116.483</v>
                </pt>
                <pt idx="290">
                  <v>114.106</v>
                </pt>
                <pt idx="291">
                  <v>115.396</v>
                </pt>
                <pt idx="292">
                  <v>117.58</v>
                </pt>
                <pt idx="293">
                  <v>118.522</v>
                </pt>
                <pt idx="294">
                  <v>117.719</v>
                </pt>
                <pt idx="295">
                  <v>119.098</v>
                </pt>
                <pt idx="296">
                  <v>119.003</v>
                </pt>
                <pt idx="297">
                  <v>117.619</v>
                </pt>
                <pt idx="298">
                  <v>114.987</v>
                </pt>
                <pt idx="299">
                  <v>115.402</v>
                </pt>
                <pt idx="300">
                  <v>114.864</v>
                </pt>
                <pt idx="301">
                  <v>116.889</v>
                </pt>
                <pt idx="302">
                  <v>120.167</v>
                </pt>
                <pt idx="303">
                  <v>120.549</v>
                </pt>
                <pt idx="304">
                  <v>121.06</v>
                </pt>
                <pt idx="305">
                  <v>121.741</v>
                </pt>
                <pt idx="306">
                  <v>121.532</v>
                </pt>
                <pt idx="307">
                  <v>120.515</v>
                </pt>
                <pt idx="308">
                  <v>119.82</v>
                </pt>
                <pt idx="309">
                  <v>117.992</v>
                </pt>
                <pt idx="310">
                  <v>118.256</v>
                </pt>
                <pt idx="311">
                  <v>117.438</v>
                </pt>
                <pt idx="312">
                  <v>118.212</v>
                </pt>
                <pt idx="313">
                  <v>118.867</v>
                </pt>
                <pt idx="314">
                  <v>118.66</v>
                </pt>
                <pt idx="315">
                  <v>118.876</v>
                </pt>
                <pt idx="316">
                  <v>118.353</v>
                </pt>
                <pt idx="317">
                  <v>116.436</v>
                </pt>
                <pt idx="318">
                  <v>116.196</v>
                </pt>
                <pt idx="319">
                  <v>113.875</v>
                </pt>
                <pt idx="320">
                  <v>113.113</v>
                </pt>
                <pt idx="321">
                  <v>110.79</v>
                </pt>
                <pt idx="322">
                  <v>111.675</v>
                </pt>
                <pt idx="323">
                  <v>107.657</v>
                </pt>
                <pt idx="324">
                  <v>108.208</v>
                </pt>
                <pt idx="325">
                  <v>108.445</v>
                </pt>
                <pt idx="326">
                  <v>108.328</v>
                </pt>
                <pt idx="327">
                  <v>110.498</v>
                </pt>
                <pt idx="328">
                  <v>109.738</v>
                </pt>
                <pt idx="329">
                  <v>109.982</v>
                </pt>
                <pt idx="330">
                  <v>111.394</v>
                </pt>
                <pt idx="331">
                  <v>111.606</v>
                </pt>
                <pt idx="332">
                  <v>109.584</v>
                </pt>
                <pt idx="333">
                  <v>108.904</v>
                </pt>
                <pt idx="334">
                  <v>109.675</v>
                </pt>
                <pt idx="335">
                  <v>109.608</v>
                </pt>
                <pt idx="336">
                  <v>108.548</v>
                </pt>
                <pt idx="337">
                  <v>108.315</v>
                </pt>
                <pt idx="338">
                  <v>108.934</v>
                </pt>
                <pt idx="339">
                  <v>109.146</v>
                </pt>
                <pt idx="340">
                  <v>109.242</v>
                </pt>
                <pt idx="341">
                  <v>108.412</v>
                </pt>
                <pt idx="342">
                  <v>108.204</v>
                </pt>
                <pt idx="343">
                  <v>107.398</v>
                </pt>
                <pt idx="344">
                  <v>106.347</v>
                </pt>
                <pt idx="345">
                  <v>106.295</v>
                </pt>
                <pt idx="346">
                  <v>105.161</v>
                </pt>
                <pt idx="347">
                  <v>105.737</v>
                </pt>
                <pt idx="348">
                  <v>107.713</v>
                </pt>
                <pt idx="349">
                  <v>107.323</v>
                </pt>
                <pt idx="350">
                  <v>107.399</v>
                </pt>
                <pt idx="351">
                  <v>106.543</v>
                </pt>
                <pt idx="352">
                  <v>106.388</v>
                </pt>
                <pt idx="353">
                  <v>106.295</v>
                </pt>
                <pt idx="354">
                  <v>107.019</v>
                </pt>
                <pt idx="355">
                  <v>108.281</v>
                </pt>
                <pt idx="356">
                  <v>109.306</v>
                </pt>
                <pt idx="357">
                  <v>109.135</v>
                </pt>
                <pt idx="358">
                  <v>108.543</v>
                </pt>
                <pt idx="359">
                  <v>108.892</v>
                </pt>
                <pt idx="360">
                  <v>109.64</v>
                </pt>
                <pt idx="361">
                  <v>109.609</v>
                </pt>
                <pt idx="362">
                  <v>111.503</v>
                </pt>
                <pt idx="363">
                  <v>111.212</v>
                </pt>
                <pt idx="364">
                  <v>110.645</v>
                </pt>
                <pt idx="365">
                  <v>110.565</v>
                </pt>
                <pt idx="366">
                  <v>110.292</v>
                </pt>
                <pt idx="367">
                  <v>108.856</v>
                </pt>
                <pt idx="368">
                  <v>108.81</v>
                </pt>
                <pt idx="369">
                  <v>108.479</v>
                </pt>
                <pt idx="370">
                  <v>108.41</v>
                </pt>
                <pt idx="371">
                  <v>108.574</v>
                </pt>
                <pt idx="372">
                  <v>108.811</v>
                </pt>
                <pt idx="373">
                  <v>108.907</v>
                </pt>
                <pt idx="374">
                  <v>109.204</v>
                </pt>
                <pt idx="375">
                  <v>108.512</v>
                </pt>
                <pt idx="376">
                  <v>108.718</v>
                </pt>
                <pt idx="377">
                  <v>107.768</v>
                </pt>
                <pt idx="378">
                  <v>108.044</v>
                </pt>
                <pt idx="379">
                  <v>108.353</v>
                </pt>
                <pt idx="380">
                  <v>108.882</v>
                </pt>
                <pt idx="381">
                  <v>109.4</v>
                </pt>
                <pt idx="382">
                  <v>109.635</v>
                </pt>
                <pt idx="383">
                  <v>110.153</v>
                </pt>
                <pt idx="384">
                  <v>110.207</v>
                </pt>
                <pt idx="385">
                  <v>109.602</v>
                </pt>
                <pt idx="386">
                  <v>109.123</v>
                </pt>
                <pt idx="387">
                  <v>108.476</v>
                </pt>
                <pt idx="388">
                  <v>107.531</v>
                </pt>
                <pt idx="389">
                  <v>107.991</v>
                </pt>
                <pt idx="390">
                  <v>108.305</v>
                </pt>
                <pt idx="391">
                  <v>108.165</v>
                </pt>
                <pt idx="392">
                  <v>108.692</v>
                </pt>
                <pt idx="393">
                  <v>108.638</v>
                </pt>
                <pt idx="394">
                  <v>108.775</v>
                </pt>
                <pt idx="395">
                  <v>108.962</v>
                </pt>
                <pt idx="396">
                  <v>109.466</v>
                </pt>
                <pt idx="397">
                  <v>111.009</v>
                </pt>
                <pt idx="398">
                  <v>111.094</v>
                </pt>
                <pt idx="399">
                  <v>111.068</v>
                </pt>
                <pt idx="400">
                  <v>110.971</v>
                </pt>
                <pt idx="401">
                  <v>111.204</v>
                </pt>
                <pt idx="402">
                  <v>111.029</v>
                </pt>
                <pt idx="403">
                  <v>111.883</v>
                </pt>
                <pt idx="404">
                  <v>112.084</v>
                </pt>
                <pt idx="405">
                  <v>112.055</v>
                </pt>
                <pt idx="406">
                  <v>111.692</v>
                </pt>
                <pt idx="407">
                  <v>112.517</v>
                </pt>
                <pt idx="408">
                  <v>112.933</v>
                </pt>
                <pt idx="409">
                  <v>112.918</v>
                </pt>
                <pt idx="410">
                  <v>113.937</v>
                </pt>
                <pt idx="411">
                  <v>114.533</v>
                </pt>
                <pt idx="412">
                  <v>115.793</v>
                </pt>
                <pt idx="413">
                  <v>115.933</v>
                </pt>
                <pt idx="414">
                  <v>115.404</v>
                </pt>
                <pt idx="415">
                  <v>115.523</v>
                </pt>
                <pt idx="416">
                  <v>115.44</v>
                </pt>
                <pt idx="417">
                  <v>113.917</v>
                </pt>
                <pt idx="418">
                  <v>113.892</v>
                </pt>
                <pt idx="419">
                  <v>114.359</v>
                </pt>
                <pt idx="420">
                  <v>114.799</v>
                </pt>
                <pt idx="421">
                  <v>114.228</v>
                </pt>
                <pt idx="422">
                  <v>114.428</v>
                </pt>
                <pt idx="423">
                  <v>113.622</v>
                </pt>
                <pt idx="424">
                  <v>112.497</v>
                </pt>
                <pt idx="425">
                  <v>112.759</v>
                </pt>
                <pt idx="426">
                  <v>112.552</v>
                </pt>
                <pt idx="427">
                  <v>112.557</v>
                </pt>
                <pt idx="428">
                  <v>112.749</v>
                </pt>
                <pt idx="429">
                  <v>113.486</v>
                </pt>
                <pt idx="430">
                  <v>113.696</v>
                </pt>
                <pt idx="431">
                  <v>114.459</v>
                </pt>
                <pt idx="432">
                  <v>113.787</v>
                </pt>
                <pt idx="433">
                  <v>113.474</v>
                </pt>
                <pt idx="434">
                  <v>113.43</v>
                </pt>
                <pt idx="435">
                  <v>112.932</v>
                </pt>
                <pt idx="436">
                  <v>112.362</v>
                </pt>
                <pt idx="437">
                  <v>112.676</v>
                </pt>
                <pt idx="438">
                  <v>112.481</v>
                </pt>
                <pt idx="439">
                  <v>112.153</v>
                </pt>
                <pt idx="440">
                  <v>112.708</v>
                </pt>
                <pt idx="441">
                  <v>113.805</v>
                </pt>
                <pt idx="442">
                  <v>113.391</v>
                </pt>
                <pt idx="443">
                  <v>112.307</v>
                </pt>
                <pt idx="444">
                  <v>111.791</v>
                </pt>
                <pt idx="445">
                  <v>112.118</v>
                </pt>
                <pt idx="446">
                  <v>112.535</v>
                </pt>
                <pt idx="447">
                  <v>112.908</v>
                </pt>
                <pt idx="448">
                  <v>112.69</v>
                </pt>
                <pt idx="449">
                  <v>113.24</v>
                </pt>
                <pt idx="450">
                  <v>113.071</v>
                </pt>
                <pt idx="451">
                  <v>112.135</v>
                </pt>
                <pt idx="452">
                  <v>112.039</v>
                </pt>
                <pt idx="453">
                  <v>111.832</v>
                </pt>
                <pt idx="454">
                  <v>112.027</v>
                </pt>
                <pt idx="455">
                  <v>111.546</v>
                </pt>
                <pt idx="456">
                  <v>111.763</v>
                </pt>
                <pt idx="457">
                  <v>112.465</v>
                </pt>
                <pt idx="458">
                  <v>112.356</v>
                </pt>
                <pt idx="459">
                  <v>112.056</v>
                </pt>
                <pt idx="460">
                  <v>111.26</v>
                </pt>
                <pt idx="461">
                  <v>111.058</v>
                </pt>
                <pt idx="462">
                  <v>111.153</v>
                </pt>
                <pt idx="463">
                  <v>111.094</v>
                </pt>
                <pt idx="464">
                  <v>110.821</v>
                </pt>
                <pt idx="465">
                  <v>110.656</v>
                </pt>
                <pt idx="466">
                  <v>110.551</v>
                </pt>
                <pt idx="467">
                  <v>110.759</v>
                </pt>
                <pt idx="468">
                  <v>110.926</v>
                </pt>
                <pt idx="469">
                  <v>111.479</v>
                </pt>
                <pt idx="470">
                  <v>111.894</v>
                </pt>
                <pt idx="471">
                  <v>112.08</v>
                </pt>
                <pt idx="472">
                  <v>112.615</v>
                </pt>
                <pt idx="473">
                  <v>112.972</v>
                </pt>
                <pt idx="474">
                  <v>113.025</v>
                </pt>
                <pt idx="475">
                  <v>113.595</v>
                </pt>
                <pt idx="476">
                  <v>114.868</v>
                </pt>
                <pt idx="477">
                  <v>114.969</v>
                </pt>
                <pt idx="478">
                  <v>116.128</v>
                </pt>
                <pt idx="479">
                  <v>116.011</v>
                </pt>
                <pt idx="480">
                  <v>115.872</v>
                </pt>
                <pt idx="481">
                  <v>114.984</v>
                </pt>
                <pt idx="482">
                  <v>116.068</v>
                </pt>
                <pt idx="483">
                  <v>116.248</v>
                </pt>
                <pt idx="484">
                  <v>117.02</v>
                </pt>
                <pt idx="485">
                  <v>116.717</v>
                </pt>
                <pt idx="486">
                  <v>117.112</v>
                </pt>
                <pt idx="487">
                  <v>117.83</v>
                </pt>
                <pt idx="488">
                  <v>119.364</v>
                </pt>
                <pt idx="489">
                  <v>119.544</v>
                </pt>
                <pt idx="490">
                  <v>120.295</v>
                </pt>
                <pt idx="491">
                  <v>121.154</v>
                </pt>
                <pt idx="492">
                  <v>120.42</v>
                </pt>
                <pt idx="493">
                  <v>121.676</v>
                </pt>
                <pt idx="494">
                  <v>121.367</v>
                </pt>
                <pt idx="495">
                  <v>122.317</v>
                </pt>
                <pt idx="496">
                  <v>122.657</v>
                </pt>
                <pt idx="497">
                  <v>122.018</v>
                </pt>
                <pt idx="498">
                  <v>121.657</v>
                </pt>
                <pt idx="499">
                  <v>121.469</v>
                </pt>
                <pt idx="500">
                  <v>122.895</v>
                </pt>
                <pt idx="501">
                  <v>122.574</v>
                </pt>
                <pt idx="502">
                  <v>123.263</v>
                </pt>
                <pt idx="503">
                  <v>120.715</v>
                </pt>
                <pt idx="504">
                  <v>114.271</v>
                </pt>
                <pt idx="505">
                  <v>117.706</v>
                </pt>
                <pt idx="506">
                  <v>120.012</v>
                </pt>
                <pt idx="507">
                  <v>121.749</v>
                </pt>
                <pt idx="508">
                  <v>121.532</v>
                </pt>
                <pt idx="509">
                  <v>122.234</v>
                </pt>
                <pt idx="510">
                  <v>122.08</v>
                </pt>
                <pt idx="511">
                  <v>123.951</v>
                </pt>
                <pt idx="512">
                  <v>123.449</v>
                </pt>
                <pt idx="513">
                  <v>123.566</v>
                </pt>
                <pt idx="514">
                  <v>125.894</v>
                </pt>
                <pt idx="515">
                  <v>127.089</v>
                </pt>
                <pt idx="516">
                  <v>127.132</v>
                </pt>
                <pt idx="517">
                  <v>128.404</v>
                </pt>
                <pt idx="518">
                  <v>129.718</v>
                </pt>
                <pt idx="519">
                  <v>131.046</v>
                </pt>
                <pt idx="520">
                  <v>130.898</v>
                </pt>
                <pt idx="521">
                  <v>128.183</v>
                </pt>
                <pt idx="522">
                  <v>128.024</v>
                </pt>
                <pt idx="523">
                  <v>124.743</v>
                </pt>
                <pt idx="524">
                  <v>126.353</v>
                </pt>
                <pt idx="525">
                  <v>127.405</v>
                </pt>
                <pt idx="526">
                  <v>127.357</v>
                </pt>
                <pt idx="527">
                  <v>128.902</v>
                </pt>
                <pt idx="528">
                  <v>129.232</v>
                </pt>
                <pt idx="529">
                  <v>127.747</v>
                </pt>
                <pt idx="530">
                  <v>127.286</v>
                </pt>
                <pt idx="531">
                  <v>127.406</v>
                </pt>
                <pt idx="532">
                  <v>126.683</v>
                </pt>
                <pt idx="533">
                  <v>126.046</v>
                </pt>
                <pt idx="534">
                  <v>123.548</v>
                </pt>
                <pt idx="535">
                  <v>123.494</v>
                </pt>
                <pt idx="536">
                  <v>124.52</v>
                </pt>
                <pt idx="537">
                  <v>126.938</v>
                </pt>
                <pt idx="538">
                  <v>128.508</v>
                </pt>
                <pt idx="539">
                  <v>121.467</v>
                </pt>
                <pt idx="540">
                  <v>124.05</v>
                </pt>
                <pt idx="541">
                  <v>128.019</v>
                </pt>
                <pt idx="542">
                  <v>127.689</v>
                </pt>
                <pt idx="543">
                  <v>126.745</v>
                </pt>
                <pt idx="544">
                  <v>127.208</v>
                </pt>
                <pt idx="545">
                  <v>128.57</v>
                </pt>
                <pt idx="546">
                  <v>129.197</v>
                </pt>
                <pt idx="547">
                  <v>127.059</v>
                </pt>
                <pt idx="548">
                  <v>124.985</v>
                </pt>
                <pt idx="549">
                  <v>126.65</v>
                </pt>
                <pt idx="550">
                  <v>125.776</v>
                </pt>
                <pt idx="551">
                  <v>125.437</v>
                </pt>
                <pt idx="552">
                  <v>122.427</v>
                </pt>
                <pt idx="553">
                  <v>120.708</v>
                </pt>
                <pt idx="554">
                  <v>122.942</v>
                </pt>
                <pt idx="555">
                  <v>124.655</v>
                </pt>
                <pt idx="556">
                  <v>125.766</v>
                </pt>
                <pt idx="557">
                  <v>125.913</v>
                </pt>
                <pt idx="558">
                  <v>127.957</v>
                </pt>
                <pt idx="559">
                  <v>127.643</v>
                </pt>
                <pt idx="560">
                  <v>129.931</v>
                </pt>
                <pt idx="561">
                  <v>130.491</v>
                </pt>
                <pt idx="562">
                  <v>128.209</v>
                </pt>
                <pt idx="563">
                  <v>129.737</v>
                </pt>
                <pt idx="564">
                  <v>129.939</v>
                </pt>
                <pt idx="565">
                  <v>128.921</v>
                </pt>
                <pt idx="566">
                  <v>129.416</v>
                </pt>
                <pt idx="567">
                  <v>130.388</v>
                </pt>
                <pt idx="568">
                  <v>125.935</v>
                </pt>
                <pt idx="569">
                  <v>126.738</v>
                </pt>
                <pt idx="570">
                  <v>127.432</v>
                </pt>
                <pt idx="571">
                  <v>127.619</v>
                </pt>
                <pt idx="572">
                  <v>127.376</v>
                </pt>
                <pt idx="573">
                  <v>125.901</v>
                </pt>
                <pt idx="574">
                  <v>125.375</v>
                </pt>
                <pt idx="575">
                  <v>123.956</v>
                </pt>
                <pt idx="576">
                  <v>124.089</v>
                </pt>
                <pt idx="577">
                  <v>122.919</v>
                </pt>
                <pt idx="578">
                  <v>122.611</v>
                </pt>
                <pt idx="579">
                  <v>121.05</v>
                </pt>
                <pt idx="580">
                  <v>120.232</v>
                </pt>
                <pt idx="581">
                  <v>121.951</v>
                </pt>
                <pt idx="582">
                  <v>122.022</v>
                </pt>
                <pt idx="583">
                  <v>121.355</v>
                </pt>
                <pt idx="584">
                  <v>122.498</v>
                </pt>
                <pt idx="585">
                  <v>124.528</v>
                </pt>
                <pt idx="586">
                  <v>124.411</v>
                </pt>
                <pt idx="587">
                  <v>124.439</v>
                </pt>
                <pt idx="588">
                  <v>124.373</v>
                </pt>
                <pt idx="589">
                  <v>124.09</v>
                </pt>
                <pt idx="590">
                  <v>124.185</v>
                </pt>
                <pt idx="591">
                  <v>124.317</v>
                </pt>
                <pt idx="592">
                  <v>124.133</v>
                </pt>
                <pt idx="593">
                  <v>123.972</v>
                </pt>
                <pt idx="594">
                  <v>123.999</v>
                </pt>
                <pt idx="595">
                  <v>124.464</v>
                </pt>
                <pt idx="596">
                  <v>125.718</v>
                </pt>
                <pt idx="597">
                  <v>125.884</v>
                </pt>
                <pt idx="598">
                  <v>125.659</v>
                </pt>
                <pt idx="599">
                  <v>126.044</v>
                </pt>
                <pt idx="600">
                  <v>125.979</v>
                </pt>
                <pt idx="601">
                  <v>125.18</v>
                </pt>
                <pt idx="602">
                  <v>124.901</v>
                </pt>
                <pt idx="603">
                  <v>124.569</v>
                </pt>
                <pt idx="604">
                  <v>125.417</v>
                </pt>
                <pt idx="605">
                  <v>125.359</v>
                </pt>
                <pt idx="606">
                  <v>126.889</v>
                </pt>
                <pt idx="607">
                  <v>128.336</v>
                </pt>
                <pt idx="608">
                  <v>132.277</v>
                </pt>
                <pt idx="609">
                  <v>133.61</v>
                </pt>
                <pt idx="610">
                  <v>135.356</v>
                </pt>
                <pt idx="611">
                  <v>137.077</v>
                </pt>
                <pt idx="612">
                  <v>135.769</v>
                </pt>
                <pt idx="613">
                  <v>140.242</v>
                </pt>
                <pt idx="614">
                  <v>138.628</v>
                </pt>
                <pt idx="615">
                  <v>135.966</v>
                </pt>
                <pt idx="616">
                  <v>130.298</v>
                </pt>
                <pt idx="617">
                  <v>130.632</v>
                </pt>
                <pt idx="618">
                  <v>133.359</v>
                </pt>
                <pt idx="619">
                  <v>134.015</v>
                </pt>
                <pt idx="620">
                  <v>134.894</v>
                </pt>
                <pt idx="621">
                  <v>134.874</v>
                </pt>
                <pt idx="622">
                  <v>130.627</v>
                </pt>
                <pt idx="623">
                  <v>130.188</v>
                </pt>
                <pt idx="624">
                  <v>132.029</v>
                </pt>
                <pt idx="625">
                  <v>133.994</v>
                </pt>
                <pt idx="626">
                  <v>134.11</v>
                </pt>
                <pt idx="627">
                  <v>135.164</v>
                </pt>
                <pt idx="628">
                  <v>137.891</v>
                </pt>
                <pt idx="629">
                  <v>136.978</v>
                </pt>
                <pt idx="630">
                  <v>138.305</v>
                </pt>
                <pt idx="631">
                  <v>137.696</v>
                </pt>
                <pt idx="632">
                  <v>137.103</v>
                </pt>
                <pt idx="633">
                  <v>139.437</v>
                </pt>
                <pt idx="634">
                  <v>137.757</v>
                </pt>
                <pt idx="635">
                  <v>137.544</v>
                </pt>
                <pt idx="636">
                  <v>138.919</v>
                </pt>
                <pt idx="637">
                  <v>137.852</v>
                </pt>
                <pt idx="638">
                  <v>139.564</v>
                </pt>
                <pt idx="639">
                  <v>139.536</v>
                </pt>
                <pt idx="640">
                  <v>138.564</v>
                </pt>
                <pt idx="641">
                  <v>138.042</v>
                </pt>
                <pt idx="642">
                  <v>137.981</v>
                </pt>
                <pt idx="643">
                  <v>137.794</v>
                </pt>
                <pt idx="644">
                  <v>137.795</v>
                </pt>
                <pt idx="645">
                  <v>136.197</v>
                </pt>
                <pt idx="646">
                  <v>137.123</v>
                </pt>
                <pt idx="647">
                  <v>136.758</v>
                </pt>
                <pt idx="648">
                  <v>137.432</v>
                </pt>
                <pt idx="649">
                  <v>137.878</v>
                </pt>
                <pt idx="650">
                  <v>138.171</v>
                </pt>
                <pt idx="651">
                  <v>137.855</v>
                </pt>
                <pt idx="652">
                  <v>137.087</v>
                </pt>
                <pt idx="653">
                  <v>135.072</v>
                </pt>
                <pt idx="654">
                  <v>134.389</v>
                </pt>
                <pt idx="655">
                  <v>131.573</v>
                </pt>
                <pt idx="656">
                  <v>129.656</v>
                </pt>
                <pt idx="657">
                  <v>130.344</v>
                </pt>
                <pt idx="658">
                  <v>130.898</v>
                </pt>
                <pt idx="659">
                  <v>131.453</v>
                </pt>
                <pt idx="660">
                  <v>130.927</v>
                </pt>
                <pt idx="661">
                  <v>131.105</v>
                </pt>
                <pt idx="662">
                  <v>131.867</v>
                </pt>
                <pt idx="663">
                  <v>131.588</v>
                </pt>
                <pt idx="664">
                  <v>130.924</v>
                </pt>
                <pt idx="665">
                  <v>130.742</v>
                </pt>
                <pt idx="666">
                  <v>128.426</v>
                </pt>
                <pt idx="667">
                  <v>127.895</v>
                </pt>
                <pt idx="668">
                  <v>126.822</v>
                </pt>
                <pt idx="669">
                  <v>127.712</v>
                </pt>
                <pt idx="670">
                  <v>128.054</v>
                </pt>
                <pt idx="671">
                  <v>130.289</v>
                </pt>
                <pt idx="672">
                  <v>132.677</v>
                </pt>
                <pt idx="673">
                  <v>133.533</v>
                </pt>
                <pt idx="674">
                  <v>133.463</v>
                </pt>
                <pt idx="675">
                  <v>133.118</v>
                </pt>
                <pt idx="676">
                  <v>132.854</v>
                </pt>
                <pt idx="677">
                  <v>133.256</v>
                </pt>
                <pt idx="678">
                  <v>135.765</v>
                </pt>
                <pt idx="679">
                  <v>135.93</v>
                </pt>
                <pt idx="680">
                  <v>138.557</v>
                </pt>
                <pt idx="681">
                  <v>133.648</v>
                </pt>
                <pt idx="682">
                  <v>137.489</v>
                </pt>
                <pt idx="683">
                  <v>138.625</v>
                </pt>
                <pt idx="684">
                  <v>137.429</v>
                </pt>
                <pt idx="685">
                  <v>137.845</v>
                </pt>
                <pt idx="686">
                  <v>135.302</v>
                </pt>
                <pt idx="687">
                  <v>132.55</v>
                </pt>
                <pt idx="688">
                  <v>131.481</v>
                </pt>
                <pt idx="689">
                  <v>131.911</v>
                </pt>
                <pt idx="690">
                  <v>133.325</v>
                </pt>
                <pt idx="691">
                  <v>132.218</v>
                </pt>
                <pt idx="692">
                  <v>134.586</v>
                </pt>
                <pt idx="693">
                  <v>132.973</v>
                </pt>
                <pt idx="694">
                  <v>132.032</v>
                </pt>
                <pt idx="695">
                  <v>133.067</v>
                </pt>
                <pt idx="696">
                  <v>134.498</v>
                </pt>
                <pt idx="697">
                  <v>134.06</v>
                </pt>
                <pt idx="698">
                  <v>132.385</v>
                </pt>
                <pt idx="699">
                  <v>132.075</v>
                </pt>
                <pt idx="700">
                  <v>131.772</v>
                </pt>
                <pt idx="701">
                  <v>132</v>
                </pt>
                <pt idx="702">
                  <v>132.635</v>
                </pt>
                <pt idx="703">
                  <v>133.525</v>
                </pt>
                <pt idx="704">
                  <v>133.067</v>
                </pt>
                <pt idx="705">
                  <v>132.302</v>
                </pt>
                <pt idx="706">
                  <v>131.527</v>
                </pt>
                <pt idx="707">
                  <v>131.388</v>
                </pt>
                <pt idx="708">
                  <v>132.089</v>
                </pt>
                <pt idx="709">
                  <v>131.93</v>
                </pt>
                <pt idx="710">
                  <v>131.159</v>
                </pt>
                <pt idx="711">
                  <v>130.783</v>
                </pt>
                <pt idx="712">
                  <v>131.186</v>
                </pt>
                <pt idx="713">
                  <v>131.017</v>
                </pt>
                <pt idx="714">
                  <v>130.979</v>
                </pt>
                <pt idx="715">
                  <v>131.244</v>
                </pt>
                <pt idx="716">
                  <v>129.118</v>
                </pt>
                <pt idx="717">
                  <v>129.596</v>
                </pt>
                <pt idx="718">
                  <v>129.249</v>
                </pt>
                <pt idx="719">
                  <v>128.993</v>
                </pt>
                <pt idx="720">
                  <v>129.393</v>
                </pt>
                <pt idx="721">
                  <v>129.518</v>
                </pt>
                <pt idx="722">
                  <v>131.693</v>
                </pt>
                <pt idx="723">
                  <v>132.145</v>
                </pt>
                <pt idx="724">
                  <v>131.507</v>
                </pt>
                <pt idx="725">
                  <v>129.686</v>
                </pt>
                <pt idx="726">
                  <v>130.115</v>
                </pt>
                <pt idx="727">
                  <v>129.998</v>
                </pt>
                <pt idx="728">
                  <v>129.355</v>
                </pt>
                <pt idx="729">
                  <v>130.563</v>
                </pt>
                <pt idx="730">
                  <v>131.798</v>
                </pt>
                <pt idx="731">
                  <v>133.839</v>
                </pt>
                <pt idx="732">
                  <v>135.258</v>
                </pt>
                <pt idx="733">
                  <v>135.217</v>
                </pt>
                <pt idx="734">
                  <v>133.903</v>
                </pt>
                <pt idx="735">
                  <v>133.116</v>
                </pt>
                <pt idx="736">
                  <v>133.134</v>
                </pt>
                <pt idx="737">
                  <v>134.22</v>
                </pt>
                <pt idx="738">
                  <v>133.591</v>
                </pt>
                <pt idx="739">
                  <v>133.206</v>
                </pt>
                <pt idx="740">
                  <v>133.236</v>
                </pt>
                <pt idx="741">
                  <v>134.689</v>
                </pt>
                <pt idx="742">
                  <v>133.769</v>
                </pt>
                <pt idx="743">
                  <v>133.728</v>
                </pt>
                <pt idx="744">
                  <v>134.703</v>
                </pt>
                <pt idx="745">
                  <v>135.538</v>
                </pt>
                <pt idx="746">
                  <v>135.107</v>
                </pt>
                <pt idx="747">
                  <v>133.631</v>
                </pt>
                <pt idx="748">
                  <v>131.297</v>
                </pt>
                <pt idx="749">
                  <v>128.388</v>
                </pt>
                <pt idx="750">
                  <v>124.917</v>
                </pt>
                <pt idx="751">
                  <v>124.985</v>
                </pt>
                <pt idx="752">
                  <v>125.545</v>
                </pt>
                <pt idx="753">
                  <v>124.825</v>
                </pt>
                <pt idx="754">
                  <v>122.019</v>
                </pt>
                <pt idx="755">
                  <v>119.388</v>
                </pt>
                <pt idx="756">
                  <v>119.954</v>
                </pt>
                <pt idx="757">
                  <v>122.4</v>
                </pt>
                <pt idx="758">
                  <v>123.08</v>
                </pt>
                <pt idx="759">
                  <v>123.848</v>
                </pt>
                <pt idx="760">
                  <v>125.422</v>
                </pt>
                <pt idx="761">
                  <v>126.736</v>
                </pt>
                <pt idx="762">
                  <v>125.336</v>
                </pt>
                <pt idx="763">
                  <v>123.274</v>
                </pt>
                <pt idx="764">
                  <v>122.511</v>
                </pt>
                <pt idx="765">
                  <v>122.215</v>
                </pt>
                <pt idx="766">
                  <v>124.135</v>
                </pt>
                <pt idx="767">
                  <v>124.242</v>
                </pt>
                <pt idx="768">
                  <v>125.372</v>
                </pt>
                <pt idx="769">
                  <v>123.772</v>
                </pt>
                <pt idx="770">
                  <v>123.927</v>
                </pt>
                <pt idx="771">
                  <v>122.488</v>
                </pt>
                <pt idx="772">
                  <v>122.019</v>
                </pt>
                <pt idx="773">
                  <v>123.755</v>
                </pt>
                <pt idx="774">
                  <v>124.113</v>
                </pt>
                <pt idx="775">
                  <v>124.365</v>
                </pt>
                <pt idx="776">
                  <v>123.983</v>
                </pt>
                <pt idx="777">
                  <v>122.663</v>
                </pt>
                <pt idx="778">
                  <v>123.03</v>
                </pt>
                <pt idx="779">
                  <v>122.78</v>
                </pt>
                <pt idx="780">
                  <v>122.904</v>
                </pt>
                <pt idx="781">
                  <v>123.836</v>
                </pt>
                <pt idx="782">
                  <v>122.997</v>
                </pt>
                <pt idx="783">
                  <v>121.262</v>
                </pt>
                <pt idx="784">
                  <v>120.572</v>
                </pt>
                <pt idx="785">
                  <v>121.608</v>
                </pt>
                <pt idx="786">
                  <v>122.155</v>
                </pt>
                <pt idx="787">
                  <v>121.724</v>
                </pt>
                <pt idx="788">
                  <v>121.4</v>
                </pt>
                <pt idx="789">
                  <v>121.676</v>
                </pt>
                <pt idx="790">
                  <v>121.774</v>
                </pt>
                <pt idx="791">
                  <v>122.175</v>
                </pt>
                <pt idx="792">
                  <v>122.246</v>
                </pt>
                <pt idx="793">
                  <v>122.527</v>
                </pt>
                <pt idx="794">
                  <v>122.512</v>
                </pt>
                <pt idx="795">
                  <v>120.635</v>
                </pt>
                <pt idx="796">
                  <v>120.588</v>
                </pt>
                <pt idx="797">
                  <v>121.008</v>
                </pt>
                <pt idx="798">
                  <v>120.867</v>
                </pt>
                <pt idx="799">
                  <v>121.219</v>
                </pt>
                <pt idx="800">
                  <v>123.055</v>
                </pt>
                <pt idx="801">
                  <v>123.367</v>
                </pt>
                <pt idx="802">
                  <v>123.274</v>
                </pt>
                <pt idx="803">
                  <v>123.3</v>
                </pt>
                <pt idx="804">
                  <v>123.642</v>
                </pt>
                <pt idx="805">
                  <v>123.611</v>
                </pt>
                <pt idx="806">
                  <v>123.083</v>
                </pt>
                <pt idx="807">
                  <v>123.126</v>
                </pt>
                <pt idx="808">
                  <v>123.318</v>
                </pt>
                <pt idx="809">
                  <v>123.223</v>
                </pt>
                <pt idx="810">
                  <v>123.876</v>
                </pt>
                <pt idx="811">
                  <v>123.461</v>
                </pt>
                <pt idx="812">
                  <v>125.667</v>
                </pt>
                <pt idx="813">
                  <v>125.97</v>
                </pt>
                <pt idx="814">
                  <v>126.319</v>
                </pt>
                <pt idx="815">
                  <v>125.506</v>
                </pt>
                <pt idx="816">
                  <v>125.913</v>
                </pt>
                <pt idx="817">
                  <v>125.695</v>
                </pt>
                <pt idx="818">
                  <v>126.19</v>
                </pt>
                <pt idx="819">
                  <v>126.367</v>
                </pt>
                <pt idx="820">
                  <v>125.707</v>
                </pt>
                <pt idx="821">
                  <v>125.945</v>
                </pt>
                <pt idx="822">
                  <v>126.373</v>
                </pt>
                <pt idx="823">
                  <v>126.693</v>
                </pt>
                <pt idx="824">
                  <v>127.408</v>
                </pt>
                <pt idx="825">
                  <v>128.082</v>
                </pt>
                <pt idx="826">
                  <v>127.859</v>
                </pt>
                <pt idx="827">
                  <v>128.78</v>
                </pt>
                <pt idx="828">
                  <v>128.984</v>
                </pt>
                <pt idx="829">
                  <v>127.465</v>
                </pt>
                <pt idx="830">
                  <v>127.318</v>
                </pt>
                <pt idx="831">
                  <v>127.27</v>
                </pt>
                <pt idx="832">
                  <v>127.402</v>
                </pt>
                <pt idx="833">
                  <v>126.99</v>
                </pt>
                <pt idx="834">
                  <v>126.849</v>
                </pt>
                <pt idx="835">
                  <v>127.403</v>
                </pt>
                <pt idx="836">
                  <v>127.397</v>
                </pt>
                <pt idx="837">
                  <v>126.455</v>
                </pt>
                <pt idx="838">
                  <v>124.35</v>
                </pt>
                <pt idx="839">
                  <v>124.278</v>
                </pt>
                <pt idx="840">
                  <v>124.962</v>
                </pt>
                <pt idx="841">
                  <v>126.087</v>
                </pt>
                <pt idx="842">
                  <v>126.935</v>
                </pt>
                <pt idx="843">
                  <v>128.369</v>
                </pt>
                <pt idx="844">
                  <v>128.559</v>
                </pt>
                <pt idx="845">
                  <v>128.859</v>
                </pt>
                <pt idx="846">
                  <v>129.8</v>
                </pt>
                <pt idx="847">
                  <v>125.725</v>
                </pt>
                <pt idx="848">
                  <v>125.98</v>
                </pt>
                <pt idx="849">
                  <v>125.449</v>
                </pt>
                <pt idx="850">
                  <v>124.877</v>
                </pt>
                <pt idx="851">
                  <v>125.781</v>
                </pt>
                <pt idx="852">
                  <v>125.752</v>
                </pt>
                <pt idx="853">
                  <v>127.418</v>
                </pt>
                <pt idx="854">
                  <v>127.921</v>
                </pt>
                <pt idx="855">
                  <v>128.905</v>
                </pt>
                <pt idx="856">
                  <v>130.749</v>
                </pt>
                <pt idx="857">
                  <v>132.07</v>
                </pt>
                <pt idx="858">
                  <v>132.282</v>
                </pt>
                <pt idx="859">
                  <v>131.414</v>
                </pt>
                <pt idx="860">
                  <v>131.384</v>
                </pt>
                <pt idx="861">
                  <v>131.037</v>
                </pt>
                <pt idx="862">
                  <v>131.101</v>
                </pt>
                <pt idx="863">
                  <v>133.522</v>
                </pt>
                <pt idx="864">
                  <v>134.69</v>
                </pt>
                <pt idx="865">
                  <v>134.253</v>
                </pt>
                <pt idx="866">
                  <v>133.375</v>
                </pt>
                <pt idx="867">
                  <v>131.424</v>
                </pt>
                <pt idx="868">
                  <v>129.676</v>
                </pt>
                <pt idx="869">
                  <v>132.82</v>
                </pt>
                <pt idx="870">
                  <v>133.782</v>
                </pt>
                <pt idx="871">
                  <v>135.561</v>
                </pt>
                <pt idx="872">
                  <v>134.228</v>
                </pt>
                <pt idx="873">
                  <v>136.657</v>
                </pt>
                <pt idx="874">
                  <v>136.234</v>
                </pt>
                <pt idx="875">
                  <v>136.778</v>
                </pt>
                <pt idx="876">
                  <v>136.636</v>
                </pt>
                <pt idx="877">
                  <v>137.042</v>
                </pt>
                <pt idx="878">
                  <v>138.205</v>
                </pt>
                <pt idx="879">
                  <v>138.992</v>
                </pt>
                <pt idx="880">
                  <v>139.085</v>
                </pt>
                <pt idx="881">
                  <v>138.494</v>
                </pt>
                <pt idx="882">
                  <v>135.947</v>
                </pt>
                <pt idx="883">
                  <v>135.802</v>
                </pt>
                <pt idx="884">
                  <v>136.171</v>
                </pt>
                <pt idx="885">
                  <v>135.774</v>
                </pt>
                <pt idx="886">
                  <v>138.196</v>
                </pt>
                <pt idx="887">
                  <v>139.251</v>
                </pt>
                <pt idx="888">
                  <v>140.429</v>
                </pt>
                <pt idx="889">
                  <v>140.185</v>
                </pt>
                <pt idx="890">
                  <v>140.547</v>
                </pt>
                <pt idx="891">
                  <v>141.796</v>
                </pt>
                <pt idx="892">
                  <v>141.567</v>
                </pt>
                <pt idx="893">
                  <v>140.569</v>
                </pt>
                <pt idx="894">
                  <v>142.9</v>
                </pt>
                <pt idx="895">
                  <v>142.487</v>
                </pt>
                <pt idx="896">
                  <v>143.478</v>
                </pt>
                <pt idx="897">
                  <v>145.096</v>
                </pt>
                <pt idx="898">
                  <v>145.398</v>
                </pt>
                <pt idx="899">
                  <v>144.81</v>
                </pt>
                <pt idx="900">
                  <v>144.496</v>
                </pt>
                <pt idx="901">
                  <v>145.171</v>
                </pt>
                <pt idx="902">
                  <v>144.871</v>
                </pt>
                <pt idx="903">
                  <v>144.935</v>
                </pt>
                <pt idx="904">
                  <v>141.298</v>
                </pt>
                <pt idx="905">
                  <v>140.307</v>
                </pt>
                <pt idx="906">
                  <v>140.794</v>
                </pt>
                <pt idx="907">
                  <v>141.345</v>
                </pt>
                <pt idx="908">
                  <v>139.966</v>
                </pt>
                <pt idx="909">
                  <v>136.222</v>
                </pt>
                <pt idx="910">
                  <v>136.511</v>
                </pt>
                <pt idx="911">
                  <v>133.519</v>
                </pt>
                <pt idx="912">
                  <v>136.032</v>
                </pt>
                <pt idx="913">
                  <v>136.232</v>
                </pt>
                <pt idx="914">
                  <v>136.017</v>
                </pt>
                <pt idx="915">
                  <v>133.341</v>
                </pt>
                <pt idx="916">
                  <v>133.304</v>
                </pt>
                <pt idx="917">
                  <v>134.342</v>
                </pt>
                <pt idx="918">
                  <v>134.89</v>
                </pt>
                <pt idx="919">
                  <v>136.298</v>
                </pt>
                <pt idx="920">
                  <v>137.579</v>
                </pt>
                <pt idx="921">
                  <v>138.246</v>
                </pt>
                <pt idx="922">
                  <v>137.894</v>
                </pt>
                <pt idx="923">
                  <v>136.915</v>
                </pt>
                <pt idx="924">
                  <v>138.188</v>
                </pt>
                <pt idx="925">
                  <v>138.647</v>
                </pt>
                <pt idx="926">
                  <v>138.311</v>
                </pt>
                <pt idx="927">
                  <v>136.673</v>
                </pt>
                <pt idx="928">
                  <v>137.565</v>
                </pt>
                <pt idx="929">
                  <v>139.253</v>
                </pt>
                <pt idx="930">
                  <v>138.426</v>
                </pt>
                <pt idx="931">
                  <v>138.627</v>
                </pt>
                <pt idx="932">
                  <v>140.794</v>
                </pt>
                <pt idx="933">
                  <v>139.864</v>
                </pt>
                <pt idx="934">
                  <v>140.738</v>
                </pt>
                <pt idx="935">
                  <v>142.126</v>
                </pt>
                <pt idx="936">
                  <v>142.482</v>
                </pt>
                <pt idx="937">
                  <v>143.851</v>
                </pt>
                <pt idx="938">
                  <v>145.285</v>
                </pt>
                <pt idx="939">
                  <v>145.73</v>
                </pt>
                <pt idx="940">
                  <v>144.469</v>
                </pt>
                <pt idx="941">
                  <v>145.85</v>
                </pt>
                <pt idx="942">
                  <v>145.879</v>
                </pt>
                <pt idx="943">
                  <v>147.169</v>
                </pt>
                <pt idx="944">
                  <v>149.422</v>
                </pt>
                <pt idx="945">
                  <v>149.418</v>
                </pt>
                <pt idx="946">
                  <v>149.524</v>
                </pt>
                <pt idx="947">
                  <v>148.893</v>
                </pt>
                <pt idx="948">
                  <v>149.393</v>
                </pt>
                <pt idx="949">
                  <v>150.728</v>
                </pt>
                <pt idx="950">
                  <v>150.729</v>
                </pt>
                <pt idx="951">
                  <v>151.728</v>
                </pt>
                <pt idx="952">
                  <v>151.7</v>
                </pt>
                <pt idx="953">
                  <v>152.232</v>
                </pt>
                <pt idx="954">
                  <v>149.643</v>
                </pt>
                <pt idx="955">
                  <v>145.191</v>
                </pt>
                <pt idx="956">
                  <v>147.114</v>
                </pt>
                <pt idx="957">
                  <v>147.997</v>
                </pt>
                <pt idx="958">
                  <v>149.019</v>
                </pt>
                <pt idx="959">
                  <v>149.453</v>
                </pt>
                <pt idx="960">
                  <v>148.636</v>
                </pt>
                <pt idx="961">
                  <v>148.646</v>
                </pt>
                <pt idx="962">
                  <v>149.181</v>
                </pt>
                <pt idx="963">
                  <v>148.642</v>
                </pt>
                <pt idx="964">
                  <v>147.17</v>
                </pt>
                <pt idx="965">
                  <v>148.32</v>
                </pt>
                <pt idx="966">
                  <v>149.363</v>
                </pt>
                <pt idx="967">
                  <v>150.443</v>
                </pt>
                <pt idx="968">
                  <v>148.863</v>
                </pt>
                <pt idx="969">
                  <v>148.218</v>
                </pt>
                <pt idx="970">
                  <v>148.479</v>
                </pt>
                <pt idx="971">
                  <v>148.032</v>
                </pt>
                <pt idx="972">
                  <v>148.539</v>
                </pt>
                <pt idx="973">
                  <v>150.155</v>
                </pt>
                <pt idx="974">
                  <v>151.029</v>
                </pt>
                <pt idx="975">
                  <v>148.994</v>
                </pt>
                <pt idx="976">
                  <v>149.627</v>
                </pt>
                <pt idx="977">
                  <v>148.135</v>
                </pt>
                <pt idx="978">
                  <v>149.013</v>
                </pt>
                <pt idx="979">
                  <v>147.52</v>
                </pt>
                <pt idx="980">
                  <v>149.253</v>
                </pt>
                <pt idx="981">
                  <v>148.064</v>
                </pt>
                <pt idx="982">
                  <v>147.008</v>
                </pt>
                <pt idx="983">
                  <v>148.797</v>
                </pt>
                <pt idx="984">
                  <v>148.615</v>
                </pt>
                <pt idx="985">
                  <v>148.006</v>
                </pt>
                <pt idx="986">
                  <v>146.717</v>
                </pt>
                <pt idx="987">
                  <v>145.885</v>
                </pt>
                <pt idx="988">
                  <v>146.798</v>
                </pt>
                <pt idx="989">
                  <v>144.315</v>
                </pt>
                <pt idx="990">
                  <v>144.98</v>
                </pt>
                <pt idx="991">
                  <v>142.182</v>
                </pt>
                <pt idx="992">
                  <v>142.125</v>
                </pt>
                <pt idx="993">
                  <v>143.751</v>
                </pt>
                <pt idx="994">
                  <v>143.498</v>
                </pt>
                <pt idx="995">
                  <v>145.614</v>
                </pt>
                <pt idx="996">
                  <v>145.807</v>
                </pt>
                <pt idx="997">
                  <v>144.242</v>
                </pt>
                <pt idx="998">
                  <v>139.583</v>
                </pt>
                <pt idx="999">
                  <v>137.553</v>
                </pt>
                <pt idx="1000">
                  <v>138.356</v>
                </pt>
                <pt idx="1001">
                  <v>138.968</v>
                </pt>
                <pt idx="1002">
                  <v>139.805</v>
                </pt>
                <pt idx="1003">
                  <v>141.518</v>
                </pt>
                <pt idx="1004">
                  <v>140.893</v>
                </pt>
                <pt idx="1005">
                  <v>143.459</v>
                </pt>
                <pt idx="1006">
                  <v>141.933</v>
                </pt>
                <pt idx="1007">
                  <v>143.134</v>
                </pt>
                <pt idx="1008">
                  <v>144.074</v>
                </pt>
                <pt idx="1009">
                  <v>144.371</v>
                </pt>
                <pt idx="1010">
                  <v>143.763</v>
                </pt>
                <pt idx="1011">
                  <v>141.995</v>
                </pt>
                <pt idx="1012">
                  <v>139.508</v>
                </pt>
                <pt idx="1013">
                  <v>135.934</v>
                </pt>
                <pt idx="1014">
                  <v>131.832</v>
                </pt>
                <pt idx="1015">
                  <v>130.653</v>
                </pt>
                <pt idx="1016">
                  <v>133.333</v>
                </pt>
                <pt idx="1017">
                  <v>133.094</v>
                </pt>
                <pt idx="1018">
                  <v>131.99</v>
                </pt>
                <pt idx="1019">
                  <v>129.409</v>
                </pt>
                <pt idx="1020">
                  <v>131.856</v>
                </pt>
                <pt idx="1021">
                  <v>134.119</v>
                </pt>
                <pt idx="1022">
                  <v>134.949</v>
                </pt>
                <pt idx="1023">
                  <v>135.719</v>
                </pt>
                <pt idx="1024">
                  <v>135.089</v>
                </pt>
                <pt idx="1025">
                  <v>134.773</v>
                </pt>
                <pt idx="1026">
                  <v>132.724</v>
                </pt>
                <pt idx="1027">
                  <v>131.206</v>
                </pt>
                <pt idx="1028">
                  <v>130.188</v>
                </pt>
                <pt idx="1029">
                  <v>129.887</v>
                </pt>
                <pt idx="1030">
                  <v>131.97</v>
                </pt>
                <pt idx="1031">
                  <v>131.655</v>
                </pt>
                <pt idx="1032">
                  <v>132.645</v>
                </pt>
                <pt idx="1033">
                  <v>132.774</v>
                </pt>
                <pt idx="1034">
                  <v>131.494</v>
                </pt>
                <pt idx="1035">
                  <v>130.927</v>
                </pt>
                <pt idx="1036">
                  <v>128.682</v>
                </pt>
                <pt idx="1037">
                  <v>128.857</v>
                </pt>
                <pt idx="1038">
                  <v>128.088</v>
                </pt>
                <pt idx="1039">
                  <v>128.777</v>
                </pt>
                <pt idx="1040">
                  <v>128.444</v>
                </pt>
                <pt idx="1041">
                  <v>129.796</v>
                </pt>
                <pt idx="1042">
                  <v>131.212</v>
                </pt>
                <pt idx="1043">
                  <v>130.77</v>
                </pt>
                <pt idx="1044">
                  <v>128.636</v>
                </pt>
                <pt idx="1045">
                  <v>126.796</v>
                </pt>
                <pt idx="1046">
                  <v>122.762</v>
                </pt>
                <pt idx="1047">
                  <v>122.062</v>
                </pt>
                <pt idx="1048">
                  <v>124.545</v>
                </pt>
                <pt idx="1049">
                  <v>124.425</v>
                </pt>
                <pt idx="1050">
                  <v>127.3</v>
                </pt>
                <pt idx="1051">
                  <v>129.031</v>
                </pt>
                <pt idx="1052">
                  <v>128.4</v>
                </pt>
                <pt idx="1053">
                  <v>129.412</v>
                </pt>
                <pt idx="1054">
                  <v>130.684</v>
                </pt>
                <pt idx="1055">
                  <v>132.555</v>
                </pt>
                <pt idx="1056">
                  <v>132.843</v>
                </pt>
                <pt idx="1057">
                  <v>133.878</v>
                </pt>
                <pt idx="1058">
                  <v>135.064</v>
                </pt>
                <pt idx="1059">
                  <v>135.632</v>
                </pt>
                <pt idx="1060">
                  <v>136.453</v>
                </pt>
                <pt idx="1061">
                  <v>136.215</v>
                </pt>
                <pt idx="1062">
                  <v>136.581</v>
                </pt>
                <pt idx="1063">
                  <v>137.307</v>
                </pt>
                <pt idx="1064">
                  <v>134.298</v>
                </pt>
                <pt idx="1065">
                  <v>134.91</v>
                </pt>
                <pt idx="1066">
                  <v>135.818</v>
                </pt>
                <pt idx="1067">
                  <v>135.583</v>
                </pt>
                <pt idx="1068">
                  <v>135.778</v>
                </pt>
                <pt idx="1069">
                  <v>135.705</v>
                </pt>
                <pt idx="1070">
                  <v>136.45</v>
                </pt>
                <pt idx="1071">
                  <v>137.699</v>
                </pt>
                <pt idx="1072">
                  <v>139.965</v>
                </pt>
                <pt idx="1073">
                  <v>140.018</v>
                </pt>
                <pt idx="1074">
                  <v>140.46</v>
                </pt>
                <pt idx="1075">
                  <v>139.899</v>
                </pt>
                <pt idx="1076">
                  <v>141.317</v>
                </pt>
                <pt idx="1077">
                  <v>141.894</v>
                </pt>
                <pt idx="1078">
                  <v>141.289</v>
                </pt>
                <pt idx="1079">
                  <v>142.198</v>
                </pt>
                <pt idx="1080">
                  <v>143.405</v>
                </pt>
                <pt idx="1081">
                  <v>144.016</v>
                </pt>
                <pt idx="1082">
                  <v>141.814</v>
                </pt>
                <pt idx="1083">
                  <v>142.16</v>
                </pt>
                <pt idx="1084">
                  <v>142.579</v>
                </pt>
                <pt idx="1085">
                  <v>143.747</v>
                </pt>
                <pt idx="1086">
                  <v>144.833</v>
                </pt>
                <pt idx="1087">
                  <v>146.509</v>
                </pt>
                <pt idx="1088">
                  <v>147.992</v>
                </pt>
                <pt idx="1089">
                  <v>145.467</v>
                </pt>
                <pt idx="1090">
                  <v>146.601</v>
                </pt>
                <pt idx="1091">
                  <v>146.636</v>
                </pt>
                <pt idx="1092">
                  <v>147.983</v>
                </pt>
                <pt idx="1093">
                  <v>147.712</v>
                </pt>
                <pt idx="1094">
                  <v>146.756</v>
                </pt>
                <pt idx="1095">
                  <v>147.664</v>
                </pt>
                <pt idx="1096">
                  <v>146.589</v>
                </pt>
                <pt idx="1097">
                  <v>145.074</v>
                </pt>
                <pt idx="1098">
                  <v>143.328</v>
                </pt>
                <pt idx="1099">
                  <v>144.202</v>
                </pt>
                <pt idx="1100">
                  <v>145.293</v>
                </pt>
                <pt idx="1101">
                  <v>144.987</v>
                </pt>
                <pt idx="1102">
                  <v>146.669</v>
                </pt>
                <pt idx="1103">
                  <v>147.173</v>
                </pt>
                <pt idx="1104">
                  <v>148.259</v>
                </pt>
                <pt idx="1105">
                  <v>147.581</v>
                </pt>
                <pt idx="1106">
                  <v>146.791</v>
                </pt>
                <pt idx="1107">
                  <v>146.019</v>
                </pt>
                <pt idx="1108">
                  <v>147.168</v>
                </pt>
                <pt idx="1109">
                  <v>148.598</v>
                </pt>
                <pt idx="1110">
                  <v>149.798</v>
                </pt>
                <pt idx="1111">
                  <v>149.057</v>
                </pt>
                <pt idx="1112">
                  <v>150.187</v>
                </pt>
                <pt idx="1113">
                  <v>148.009</v>
                </pt>
                <pt idx="1114">
                  <v>147.112</v>
                </pt>
                <pt idx="1115">
                  <v>147.452</v>
                </pt>
                <pt idx="1116">
                  <v>147.463</v>
                </pt>
                <pt idx="1117">
                  <v>149.256</v>
                </pt>
                <pt idx="1118">
                  <v>149.689</v>
                </pt>
                <pt idx="1119">
                  <v>147.792</v>
                </pt>
                <pt idx="1120">
                  <v>148.388</v>
                </pt>
                <pt idx="1121">
                  <v>148.005</v>
                </pt>
                <pt idx="1122">
                  <v>148.75</v>
                </pt>
                <pt idx="1123">
                  <v>149.527</v>
                </pt>
                <pt idx="1124">
                  <v>149.499</v>
                </pt>
                <pt idx="1125">
                  <v>148.394</v>
                </pt>
                <pt idx="1126">
                  <v>145.406</v>
                </pt>
                <pt idx="1127">
                  <v>145.935</v>
                </pt>
                <pt idx="1128">
                  <v>146.258</v>
                </pt>
                <pt idx="1129">
                  <v>142.31</v>
                </pt>
                <pt idx="1130">
                  <v>140.162</v>
                </pt>
                <pt idx="1131">
                  <v>139.878</v>
                </pt>
                <pt idx="1132">
                  <v>139.529</v>
                </pt>
                <pt idx="1133">
                  <v>138.983</v>
                </pt>
                <pt idx="1134">
                  <v>135.771</v>
                </pt>
              </numCache>
            </numRef>
          </val>
          <smooth val="0"/>
        </ser>
        <ser>
          <idx val="1"/>
          <order val="1"/>
          <tx>
            <strRef>
              <f>可转债双低!$H$1:$H$2</f>
              <strCache>
                <ptCount val="2"/>
                <pt idx="0">
                  <v>平均</v>
                </pt>
                <pt idx="1">
                  <v>双低</v>
                </pt>
              </strCache>
            </strRef>
          </tx>
          <spPr>
            <a:ln cap="rnd" w="28575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可转债双低!$A$3:$A$1137</f>
              <numCache>
                <formatCode>m/d/yy</formatCode>
                <ptCount val="1135"/>
                <pt idx="0">
                  <v>43098</v>
                </pt>
                <pt idx="1">
                  <v>43102</v>
                </pt>
                <pt idx="2">
                  <v>43103</v>
                </pt>
                <pt idx="3">
                  <v>43104</v>
                </pt>
                <pt idx="4">
                  <v>43105</v>
                </pt>
                <pt idx="5">
                  <v>43108</v>
                </pt>
                <pt idx="6">
                  <v>43109</v>
                </pt>
                <pt idx="7">
                  <v>43110</v>
                </pt>
                <pt idx="8">
                  <v>43111</v>
                </pt>
                <pt idx="9">
                  <v>43112</v>
                </pt>
                <pt idx="10">
                  <v>43115</v>
                </pt>
                <pt idx="11">
                  <v>43116</v>
                </pt>
                <pt idx="12">
                  <v>43117</v>
                </pt>
                <pt idx="13">
                  <v>43118</v>
                </pt>
                <pt idx="14">
                  <v>43119</v>
                </pt>
                <pt idx="15">
                  <v>43122</v>
                </pt>
                <pt idx="16">
                  <v>43123</v>
                </pt>
                <pt idx="17">
                  <v>43124</v>
                </pt>
                <pt idx="18">
                  <v>43125</v>
                </pt>
                <pt idx="19">
                  <v>43126</v>
                </pt>
                <pt idx="20">
                  <v>43129</v>
                </pt>
                <pt idx="21">
                  <v>43130</v>
                </pt>
                <pt idx="22">
                  <v>43131</v>
                </pt>
                <pt idx="23">
                  <v>43132</v>
                </pt>
                <pt idx="24">
                  <v>43133</v>
                </pt>
                <pt idx="25">
                  <v>43136</v>
                </pt>
                <pt idx="26">
                  <v>43137</v>
                </pt>
                <pt idx="27">
                  <v>43138</v>
                </pt>
                <pt idx="28">
                  <v>43139</v>
                </pt>
                <pt idx="29">
                  <v>43140</v>
                </pt>
                <pt idx="30">
                  <v>43143</v>
                </pt>
                <pt idx="31">
                  <v>43144</v>
                </pt>
                <pt idx="32">
                  <v>43145</v>
                </pt>
                <pt idx="33">
                  <v>43153</v>
                </pt>
                <pt idx="34">
                  <v>43154</v>
                </pt>
                <pt idx="35">
                  <v>43157</v>
                </pt>
                <pt idx="36">
                  <v>43158</v>
                </pt>
                <pt idx="37">
                  <v>43159</v>
                </pt>
                <pt idx="38">
                  <v>43160</v>
                </pt>
                <pt idx="39">
                  <v>43161</v>
                </pt>
                <pt idx="40">
                  <v>43164</v>
                </pt>
                <pt idx="41">
                  <v>43165</v>
                </pt>
                <pt idx="42">
                  <v>43166</v>
                </pt>
                <pt idx="43">
                  <v>43167</v>
                </pt>
                <pt idx="44">
                  <v>43168</v>
                </pt>
                <pt idx="45">
                  <v>43171</v>
                </pt>
                <pt idx="46">
                  <v>43172</v>
                </pt>
                <pt idx="47">
                  <v>43173</v>
                </pt>
                <pt idx="48">
                  <v>43174</v>
                </pt>
                <pt idx="49">
                  <v>43175</v>
                </pt>
                <pt idx="50">
                  <v>43178</v>
                </pt>
                <pt idx="51">
                  <v>43179</v>
                </pt>
                <pt idx="52">
                  <v>43180</v>
                </pt>
                <pt idx="53">
                  <v>43181</v>
                </pt>
                <pt idx="54">
                  <v>43182</v>
                </pt>
                <pt idx="55">
                  <v>43185</v>
                </pt>
                <pt idx="56">
                  <v>43186</v>
                </pt>
                <pt idx="57">
                  <v>43187</v>
                </pt>
                <pt idx="58">
                  <v>43188</v>
                </pt>
                <pt idx="59">
                  <v>43189</v>
                </pt>
                <pt idx="60">
                  <v>43192</v>
                </pt>
                <pt idx="61">
                  <v>43193</v>
                </pt>
                <pt idx="62">
                  <v>43194</v>
                </pt>
                <pt idx="63">
                  <v>43199</v>
                </pt>
                <pt idx="64">
                  <v>43200</v>
                </pt>
                <pt idx="65">
                  <v>43201</v>
                </pt>
                <pt idx="66">
                  <v>43202</v>
                </pt>
                <pt idx="67">
                  <v>43203</v>
                </pt>
                <pt idx="68">
                  <v>43206</v>
                </pt>
                <pt idx="69">
                  <v>43207</v>
                </pt>
                <pt idx="70">
                  <v>43208</v>
                </pt>
                <pt idx="71">
                  <v>43209</v>
                </pt>
                <pt idx="72">
                  <v>43210</v>
                </pt>
                <pt idx="73">
                  <v>43213</v>
                </pt>
                <pt idx="74">
                  <v>43214</v>
                </pt>
                <pt idx="75">
                  <v>43215</v>
                </pt>
                <pt idx="76">
                  <v>43216</v>
                </pt>
                <pt idx="77">
                  <v>43217</v>
                </pt>
                <pt idx="78">
                  <v>43222</v>
                </pt>
                <pt idx="79">
                  <v>43223</v>
                </pt>
                <pt idx="80">
                  <v>43224</v>
                </pt>
                <pt idx="81">
                  <v>43227</v>
                </pt>
                <pt idx="82">
                  <v>43228</v>
                </pt>
                <pt idx="83">
                  <v>43229</v>
                </pt>
                <pt idx="84">
                  <v>43230</v>
                </pt>
                <pt idx="85">
                  <v>43231</v>
                </pt>
                <pt idx="86">
                  <v>43234</v>
                </pt>
                <pt idx="87">
                  <v>43235</v>
                </pt>
                <pt idx="88">
                  <v>43236</v>
                </pt>
                <pt idx="89">
                  <v>43237</v>
                </pt>
                <pt idx="90">
                  <v>43238</v>
                </pt>
                <pt idx="91">
                  <v>43241</v>
                </pt>
                <pt idx="92">
                  <v>43242</v>
                </pt>
                <pt idx="93">
                  <v>43243</v>
                </pt>
                <pt idx="94">
                  <v>43244</v>
                </pt>
                <pt idx="95">
                  <v>43245</v>
                </pt>
                <pt idx="96">
                  <v>43248</v>
                </pt>
                <pt idx="97">
                  <v>43249</v>
                </pt>
                <pt idx="98">
                  <v>43250</v>
                </pt>
                <pt idx="99">
                  <v>43251</v>
                </pt>
                <pt idx="100">
                  <v>43252</v>
                </pt>
                <pt idx="101">
                  <v>43255</v>
                </pt>
                <pt idx="102">
                  <v>43256</v>
                </pt>
                <pt idx="103">
                  <v>43257</v>
                </pt>
                <pt idx="104">
                  <v>43258</v>
                </pt>
                <pt idx="105">
                  <v>43259</v>
                </pt>
                <pt idx="106">
                  <v>43262</v>
                </pt>
                <pt idx="107">
                  <v>43263</v>
                </pt>
                <pt idx="108">
                  <v>43264</v>
                </pt>
                <pt idx="109">
                  <v>43265</v>
                </pt>
                <pt idx="110">
                  <v>43266</v>
                </pt>
                <pt idx="111">
                  <v>43270</v>
                </pt>
                <pt idx="112">
                  <v>43271</v>
                </pt>
                <pt idx="113">
                  <v>43272</v>
                </pt>
                <pt idx="114">
                  <v>43273</v>
                </pt>
                <pt idx="115">
                  <v>43276</v>
                </pt>
                <pt idx="116">
                  <v>43277</v>
                </pt>
                <pt idx="117">
                  <v>43278</v>
                </pt>
                <pt idx="118">
                  <v>43279</v>
                </pt>
                <pt idx="119">
                  <v>43280</v>
                </pt>
                <pt idx="120">
                  <v>43283</v>
                </pt>
                <pt idx="121">
                  <v>43284</v>
                </pt>
                <pt idx="122">
                  <v>43285</v>
                </pt>
                <pt idx="123">
                  <v>43286</v>
                </pt>
                <pt idx="124">
                  <v>43287</v>
                </pt>
                <pt idx="125">
                  <v>43290</v>
                </pt>
                <pt idx="126">
                  <v>43291</v>
                </pt>
                <pt idx="127">
                  <v>43292</v>
                </pt>
                <pt idx="128">
                  <v>43293</v>
                </pt>
                <pt idx="129">
                  <v>43294</v>
                </pt>
                <pt idx="130">
                  <v>43297</v>
                </pt>
                <pt idx="131">
                  <v>43298</v>
                </pt>
                <pt idx="132">
                  <v>43299</v>
                </pt>
                <pt idx="133">
                  <v>43300</v>
                </pt>
                <pt idx="134">
                  <v>43301</v>
                </pt>
                <pt idx="135">
                  <v>43304</v>
                </pt>
                <pt idx="136">
                  <v>43305</v>
                </pt>
                <pt idx="137">
                  <v>43306</v>
                </pt>
                <pt idx="138">
                  <v>43307</v>
                </pt>
                <pt idx="139">
                  <v>43308</v>
                </pt>
                <pt idx="140">
                  <v>43311</v>
                </pt>
                <pt idx="141">
                  <v>43312</v>
                </pt>
                <pt idx="142">
                  <v>43313</v>
                </pt>
                <pt idx="143">
                  <v>43314</v>
                </pt>
                <pt idx="144">
                  <v>43315</v>
                </pt>
                <pt idx="145">
                  <v>43318</v>
                </pt>
                <pt idx="146">
                  <v>43319</v>
                </pt>
                <pt idx="147">
                  <v>43320</v>
                </pt>
                <pt idx="148">
                  <v>43321</v>
                </pt>
                <pt idx="149">
                  <v>43322</v>
                </pt>
                <pt idx="150">
                  <v>43325</v>
                </pt>
                <pt idx="151">
                  <v>43326</v>
                </pt>
                <pt idx="152">
                  <v>43327</v>
                </pt>
                <pt idx="153">
                  <v>43328</v>
                </pt>
                <pt idx="154">
                  <v>43329</v>
                </pt>
                <pt idx="155">
                  <v>43332</v>
                </pt>
                <pt idx="156">
                  <v>43333</v>
                </pt>
                <pt idx="157">
                  <v>43334</v>
                </pt>
                <pt idx="158">
                  <v>43335</v>
                </pt>
                <pt idx="159">
                  <v>43336</v>
                </pt>
                <pt idx="160">
                  <v>43339</v>
                </pt>
                <pt idx="161">
                  <v>43340</v>
                </pt>
                <pt idx="162">
                  <v>43341</v>
                </pt>
                <pt idx="163">
                  <v>43342</v>
                </pt>
                <pt idx="164">
                  <v>43343</v>
                </pt>
                <pt idx="165">
                  <v>43346</v>
                </pt>
                <pt idx="166">
                  <v>43347</v>
                </pt>
                <pt idx="167">
                  <v>43348</v>
                </pt>
                <pt idx="168">
                  <v>43349</v>
                </pt>
                <pt idx="169">
                  <v>43350</v>
                </pt>
                <pt idx="170">
                  <v>43353</v>
                </pt>
                <pt idx="171">
                  <v>43354</v>
                </pt>
                <pt idx="172">
                  <v>43355</v>
                </pt>
                <pt idx="173">
                  <v>43356</v>
                </pt>
                <pt idx="174">
                  <v>43357</v>
                </pt>
                <pt idx="175">
                  <v>43360</v>
                </pt>
                <pt idx="176">
                  <v>43361</v>
                </pt>
                <pt idx="177">
                  <v>43362</v>
                </pt>
                <pt idx="178">
                  <v>43363</v>
                </pt>
                <pt idx="179">
                  <v>43364</v>
                </pt>
                <pt idx="180">
                  <v>43368</v>
                </pt>
                <pt idx="181">
                  <v>43369</v>
                </pt>
                <pt idx="182">
                  <v>43370</v>
                </pt>
                <pt idx="183">
                  <v>43371</v>
                </pt>
                <pt idx="184">
                  <v>43381</v>
                </pt>
                <pt idx="185">
                  <v>43382</v>
                </pt>
                <pt idx="186">
                  <v>43383</v>
                </pt>
                <pt idx="187">
                  <v>43384</v>
                </pt>
                <pt idx="188">
                  <v>43385</v>
                </pt>
                <pt idx="189">
                  <v>43388</v>
                </pt>
                <pt idx="190">
                  <v>43389</v>
                </pt>
                <pt idx="191">
                  <v>43390</v>
                </pt>
                <pt idx="192">
                  <v>43391</v>
                </pt>
                <pt idx="193">
                  <v>43392</v>
                </pt>
                <pt idx="194">
                  <v>43395</v>
                </pt>
                <pt idx="195">
                  <v>43396</v>
                </pt>
                <pt idx="196">
                  <v>43397</v>
                </pt>
                <pt idx="197">
                  <v>43398</v>
                </pt>
                <pt idx="198">
                  <v>43399</v>
                </pt>
                <pt idx="199">
                  <v>43402</v>
                </pt>
                <pt idx="200">
                  <v>43403</v>
                </pt>
                <pt idx="201">
                  <v>43404</v>
                </pt>
                <pt idx="202">
                  <v>43405</v>
                </pt>
                <pt idx="203">
                  <v>43406</v>
                </pt>
                <pt idx="204">
                  <v>43409</v>
                </pt>
                <pt idx="205">
                  <v>43410</v>
                </pt>
                <pt idx="206">
                  <v>43411</v>
                </pt>
                <pt idx="207">
                  <v>43412</v>
                </pt>
                <pt idx="208">
                  <v>43413</v>
                </pt>
                <pt idx="209">
                  <v>43416</v>
                </pt>
                <pt idx="210">
                  <v>43417</v>
                </pt>
                <pt idx="211">
                  <v>43418</v>
                </pt>
                <pt idx="212">
                  <v>43419</v>
                </pt>
                <pt idx="213">
                  <v>43420</v>
                </pt>
                <pt idx="214">
                  <v>43423</v>
                </pt>
                <pt idx="215">
                  <v>43424</v>
                </pt>
                <pt idx="216">
                  <v>43425</v>
                </pt>
                <pt idx="217">
                  <v>43426</v>
                </pt>
                <pt idx="218">
                  <v>43427</v>
                </pt>
                <pt idx="219">
                  <v>43430</v>
                </pt>
                <pt idx="220">
                  <v>43431</v>
                </pt>
                <pt idx="221">
                  <v>43432</v>
                </pt>
                <pt idx="222">
                  <v>43433</v>
                </pt>
                <pt idx="223">
                  <v>43434</v>
                </pt>
                <pt idx="224">
                  <v>43437</v>
                </pt>
                <pt idx="225">
                  <v>43438</v>
                </pt>
                <pt idx="226">
                  <v>43439</v>
                </pt>
                <pt idx="227">
                  <v>43440</v>
                </pt>
                <pt idx="228">
                  <v>43441</v>
                </pt>
                <pt idx="229">
                  <v>43444</v>
                </pt>
                <pt idx="230">
                  <v>43445</v>
                </pt>
                <pt idx="231">
                  <v>43446</v>
                </pt>
                <pt idx="232">
                  <v>43447</v>
                </pt>
                <pt idx="233">
                  <v>43448</v>
                </pt>
                <pt idx="234">
                  <v>43451</v>
                </pt>
                <pt idx="235">
                  <v>43452</v>
                </pt>
                <pt idx="236">
                  <v>43453</v>
                </pt>
                <pt idx="237">
                  <v>43454</v>
                </pt>
                <pt idx="238">
                  <v>43455</v>
                </pt>
                <pt idx="239">
                  <v>43458</v>
                </pt>
                <pt idx="240">
                  <v>43459</v>
                </pt>
                <pt idx="241">
                  <v>43460</v>
                </pt>
                <pt idx="242">
                  <v>43461</v>
                </pt>
                <pt idx="243">
                  <v>43462</v>
                </pt>
                <pt idx="244">
                  <v>43467</v>
                </pt>
                <pt idx="245">
                  <v>43468</v>
                </pt>
                <pt idx="246">
                  <v>43469</v>
                </pt>
                <pt idx="247">
                  <v>43472</v>
                </pt>
                <pt idx="248">
                  <v>43473</v>
                </pt>
                <pt idx="249">
                  <v>43474</v>
                </pt>
                <pt idx="250">
                  <v>43475</v>
                </pt>
                <pt idx="251">
                  <v>43476</v>
                </pt>
                <pt idx="252">
                  <v>43479</v>
                </pt>
                <pt idx="253">
                  <v>43480</v>
                </pt>
                <pt idx="254">
                  <v>43481</v>
                </pt>
                <pt idx="255">
                  <v>43482</v>
                </pt>
                <pt idx="256">
                  <v>43483</v>
                </pt>
                <pt idx="257">
                  <v>43486</v>
                </pt>
                <pt idx="258">
                  <v>43487</v>
                </pt>
                <pt idx="259">
                  <v>43488</v>
                </pt>
                <pt idx="260">
                  <v>43489</v>
                </pt>
                <pt idx="261">
                  <v>43490</v>
                </pt>
                <pt idx="262">
                  <v>43493</v>
                </pt>
                <pt idx="263">
                  <v>43494</v>
                </pt>
                <pt idx="264">
                  <v>43495</v>
                </pt>
                <pt idx="265">
                  <v>43496</v>
                </pt>
                <pt idx="266">
                  <v>43497</v>
                </pt>
                <pt idx="267">
                  <v>43507</v>
                </pt>
                <pt idx="268">
                  <v>43508</v>
                </pt>
                <pt idx="269">
                  <v>43509</v>
                </pt>
                <pt idx="270">
                  <v>43510</v>
                </pt>
                <pt idx="271">
                  <v>43511</v>
                </pt>
                <pt idx="272">
                  <v>43514</v>
                </pt>
                <pt idx="273">
                  <v>43515</v>
                </pt>
                <pt idx="274">
                  <v>43516</v>
                </pt>
                <pt idx="275">
                  <v>43517</v>
                </pt>
                <pt idx="276">
                  <v>43518</v>
                </pt>
                <pt idx="277">
                  <v>43521</v>
                </pt>
                <pt idx="278">
                  <v>43522</v>
                </pt>
                <pt idx="279">
                  <v>43523</v>
                </pt>
                <pt idx="280">
                  <v>43524</v>
                </pt>
                <pt idx="281">
                  <v>43525</v>
                </pt>
                <pt idx="282">
                  <v>43528</v>
                </pt>
                <pt idx="283">
                  <v>43529</v>
                </pt>
                <pt idx="284">
                  <v>43530</v>
                </pt>
                <pt idx="285">
                  <v>43531</v>
                </pt>
                <pt idx="286">
                  <v>43532</v>
                </pt>
                <pt idx="287">
                  <v>43535</v>
                </pt>
                <pt idx="288">
                  <v>43536</v>
                </pt>
                <pt idx="289">
                  <v>43537</v>
                </pt>
                <pt idx="290">
                  <v>43538</v>
                </pt>
                <pt idx="291">
                  <v>43539</v>
                </pt>
                <pt idx="292">
                  <v>43542</v>
                </pt>
                <pt idx="293">
                  <v>43543</v>
                </pt>
                <pt idx="294">
                  <v>43544</v>
                </pt>
                <pt idx="295">
                  <v>43545</v>
                </pt>
                <pt idx="296">
                  <v>43546</v>
                </pt>
                <pt idx="297">
                  <v>43549</v>
                </pt>
                <pt idx="298">
                  <v>43550</v>
                </pt>
                <pt idx="299">
                  <v>43551</v>
                </pt>
                <pt idx="300">
                  <v>43552</v>
                </pt>
                <pt idx="301">
                  <v>43553</v>
                </pt>
                <pt idx="302">
                  <v>43556</v>
                </pt>
                <pt idx="303">
                  <v>43557</v>
                </pt>
                <pt idx="304">
                  <v>43558</v>
                </pt>
                <pt idx="305">
                  <v>43559</v>
                </pt>
                <pt idx="306">
                  <v>43563</v>
                </pt>
                <pt idx="307">
                  <v>43564</v>
                </pt>
                <pt idx="308">
                  <v>43565</v>
                </pt>
                <pt idx="309">
                  <v>43566</v>
                </pt>
                <pt idx="310">
                  <v>43567</v>
                </pt>
                <pt idx="311">
                  <v>43570</v>
                </pt>
                <pt idx="312">
                  <v>43571</v>
                </pt>
                <pt idx="313">
                  <v>43572</v>
                </pt>
                <pt idx="314">
                  <v>43573</v>
                </pt>
                <pt idx="315">
                  <v>43574</v>
                </pt>
                <pt idx="316">
                  <v>43577</v>
                </pt>
                <pt idx="317">
                  <v>43578</v>
                </pt>
                <pt idx="318">
                  <v>43579</v>
                </pt>
                <pt idx="319">
                  <v>43580</v>
                </pt>
                <pt idx="320">
                  <v>43581</v>
                </pt>
                <pt idx="321">
                  <v>43584</v>
                </pt>
                <pt idx="322">
                  <v>43585</v>
                </pt>
                <pt idx="323">
                  <v>43591</v>
                </pt>
                <pt idx="324">
                  <v>43592</v>
                </pt>
                <pt idx="325">
                  <v>43593</v>
                </pt>
                <pt idx="326">
                  <v>43594</v>
                </pt>
                <pt idx="327">
                  <v>43595</v>
                </pt>
                <pt idx="328">
                  <v>43598</v>
                </pt>
                <pt idx="329">
                  <v>43599</v>
                </pt>
                <pt idx="330">
                  <v>43600</v>
                </pt>
                <pt idx="331">
                  <v>43601</v>
                </pt>
                <pt idx="332">
                  <v>43602</v>
                </pt>
                <pt idx="333">
                  <v>43605</v>
                </pt>
                <pt idx="334">
                  <v>43606</v>
                </pt>
                <pt idx="335">
                  <v>43607</v>
                </pt>
                <pt idx="336">
                  <v>43608</v>
                </pt>
                <pt idx="337">
                  <v>43609</v>
                </pt>
                <pt idx="338">
                  <v>43612</v>
                </pt>
                <pt idx="339">
                  <v>43613</v>
                </pt>
                <pt idx="340">
                  <v>43614</v>
                </pt>
                <pt idx="341">
                  <v>43615</v>
                </pt>
                <pt idx="342">
                  <v>43616</v>
                </pt>
                <pt idx="343">
                  <v>43619</v>
                </pt>
                <pt idx="344">
                  <v>43620</v>
                </pt>
                <pt idx="345">
                  <v>43621</v>
                </pt>
                <pt idx="346">
                  <v>43622</v>
                </pt>
                <pt idx="347">
                  <v>43626</v>
                </pt>
                <pt idx="348">
                  <v>43627</v>
                </pt>
                <pt idx="349">
                  <v>43628</v>
                </pt>
                <pt idx="350">
                  <v>43629</v>
                </pt>
                <pt idx="351">
                  <v>43630</v>
                </pt>
                <pt idx="352">
                  <v>43633</v>
                </pt>
                <pt idx="353">
                  <v>43634</v>
                </pt>
                <pt idx="354">
                  <v>43635</v>
                </pt>
                <pt idx="355">
                  <v>43636</v>
                </pt>
                <pt idx="356">
                  <v>43637</v>
                </pt>
                <pt idx="357">
                  <v>43640</v>
                </pt>
                <pt idx="358">
                  <v>43641</v>
                </pt>
                <pt idx="359">
                  <v>43642</v>
                </pt>
                <pt idx="360">
                  <v>43643</v>
                </pt>
                <pt idx="361">
                  <v>43644</v>
                </pt>
                <pt idx="362">
                  <v>43647</v>
                </pt>
                <pt idx="363">
                  <v>43648</v>
                </pt>
                <pt idx="364">
                  <v>43649</v>
                </pt>
                <pt idx="365">
                  <v>43650</v>
                </pt>
                <pt idx="366">
                  <v>43651</v>
                </pt>
                <pt idx="367">
                  <v>43654</v>
                </pt>
                <pt idx="368">
                  <v>43655</v>
                </pt>
                <pt idx="369">
                  <v>43656</v>
                </pt>
                <pt idx="370">
                  <v>43657</v>
                </pt>
                <pt idx="371">
                  <v>43658</v>
                </pt>
                <pt idx="372">
                  <v>43661</v>
                </pt>
                <pt idx="373">
                  <v>43662</v>
                </pt>
                <pt idx="374">
                  <v>43663</v>
                </pt>
                <pt idx="375">
                  <v>43664</v>
                </pt>
                <pt idx="376">
                  <v>43665</v>
                </pt>
                <pt idx="377">
                  <v>43668</v>
                </pt>
                <pt idx="378">
                  <v>43669</v>
                </pt>
                <pt idx="379">
                  <v>43670</v>
                </pt>
                <pt idx="380">
                  <v>43671</v>
                </pt>
                <pt idx="381">
                  <v>43672</v>
                </pt>
                <pt idx="382">
                  <v>43675</v>
                </pt>
                <pt idx="383">
                  <v>43676</v>
                </pt>
                <pt idx="384">
                  <v>43677</v>
                </pt>
                <pt idx="385">
                  <v>43678</v>
                </pt>
                <pt idx="386">
                  <v>43679</v>
                </pt>
                <pt idx="387">
                  <v>43682</v>
                </pt>
                <pt idx="388">
                  <v>43683</v>
                </pt>
                <pt idx="389">
                  <v>43684</v>
                </pt>
                <pt idx="390">
                  <v>43685</v>
                </pt>
                <pt idx="391">
                  <v>43686</v>
                </pt>
                <pt idx="392">
                  <v>43689</v>
                </pt>
                <pt idx="393">
                  <v>43690</v>
                </pt>
                <pt idx="394">
                  <v>43691</v>
                </pt>
                <pt idx="395">
                  <v>43692</v>
                </pt>
                <pt idx="396">
                  <v>43693</v>
                </pt>
                <pt idx="397">
                  <v>43696</v>
                </pt>
                <pt idx="398">
                  <v>43697</v>
                </pt>
                <pt idx="399">
                  <v>43698</v>
                </pt>
                <pt idx="400">
                  <v>43699</v>
                </pt>
                <pt idx="401">
                  <v>43700</v>
                </pt>
                <pt idx="402">
                  <v>43703</v>
                </pt>
                <pt idx="403">
                  <v>43704</v>
                </pt>
                <pt idx="404">
                  <v>43705</v>
                </pt>
                <pt idx="405">
                  <v>43706</v>
                </pt>
                <pt idx="406">
                  <v>43707</v>
                </pt>
                <pt idx="407">
                  <v>43710</v>
                </pt>
                <pt idx="408">
                  <v>43711</v>
                </pt>
                <pt idx="409">
                  <v>43712</v>
                </pt>
                <pt idx="410">
                  <v>43713</v>
                </pt>
                <pt idx="411">
                  <v>43714</v>
                </pt>
                <pt idx="412">
                  <v>43717</v>
                </pt>
                <pt idx="413">
                  <v>43718</v>
                </pt>
                <pt idx="414">
                  <v>43719</v>
                </pt>
                <pt idx="415">
                  <v>43720</v>
                </pt>
                <pt idx="416">
                  <v>43724</v>
                </pt>
                <pt idx="417">
                  <v>43725</v>
                </pt>
                <pt idx="418">
                  <v>43726</v>
                </pt>
                <pt idx="419">
                  <v>43727</v>
                </pt>
                <pt idx="420">
                  <v>43728</v>
                </pt>
                <pt idx="421">
                  <v>43731</v>
                </pt>
                <pt idx="422">
                  <v>43732</v>
                </pt>
                <pt idx="423">
                  <v>43733</v>
                </pt>
                <pt idx="424">
                  <v>43734</v>
                </pt>
                <pt idx="425">
                  <v>43735</v>
                </pt>
                <pt idx="426">
                  <v>43738</v>
                </pt>
                <pt idx="427">
                  <v>43746</v>
                </pt>
                <pt idx="428">
                  <v>43747</v>
                </pt>
                <pt idx="429">
                  <v>43748</v>
                </pt>
                <pt idx="430">
                  <v>43749</v>
                </pt>
                <pt idx="431">
                  <v>43752</v>
                </pt>
                <pt idx="432">
                  <v>43753</v>
                </pt>
                <pt idx="433">
                  <v>43754</v>
                </pt>
                <pt idx="434">
                  <v>43755</v>
                </pt>
                <pt idx="435">
                  <v>43756</v>
                </pt>
                <pt idx="436">
                  <v>43759</v>
                </pt>
                <pt idx="437">
                  <v>43760</v>
                </pt>
                <pt idx="438">
                  <v>43761</v>
                </pt>
                <pt idx="439">
                  <v>43762</v>
                </pt>
                <pt idx="440">
                  <v>43763</v>
                </pt>
                <pt idx="441">
                  <v>43766</v>
                </pt>
                <pt idx="442">
                  <v>43767</v>
                </pt>
                <pt idx="443">
                  <v>43768</v>
                </pt>
                <pt idx="444">
                  <v>43769</v>
                </pt>
                <pt idx="445">
                  <v>43770</v>
                </pt>
                <pt idx="446">
                  <v>43773</v>
                </pt>
                <pt idx="447">
                  <v>43774</v>
                </pt>
                <pt idx="448">
                  <v>43775</v>
                </pt>
                <pt idx="449">
                  <v>43776</v>
                </pt>
                <pt idx="450">
                  <v>43777</v>
                </pt>
                <pt idx="451">
                  <v>43780</v>
                </pt>
                <pt idx="452">
                  <v>43781</v>
                </pt>
                <pt idx="453">
                  <v>43782</v>
                </pt>
                <pt idx="454">
                  <v>43783</v>
                </pt>
                <pt idx="455">
                  <v>43784</v>
                </pt>
                <pt idx="456">
                  <v>43787</v>
                </pt>
                <pt idx="457">
                  <v>43788</v>
                </pt>
                <pt idx="458">
                  <v>43789</v>
                </pt>
                <pt idx="459">
                  <v>43790</v>
                </pt>
                <pt idx="460">
                  <v>43791</v>
                </pt>
                <pt idx="461">
                  <v>43794</v>
                </pt>
                <pt idx="462">
                  <v>43795</v>
                </pt>
                <pt idx="463">
                  <v>43796</v>
                </pt>
                <pt idx="464">
                  <v>43797</v>
                </pt>
                <pt idx="465">
                  <v>43798</v>
                </pt>
                <pt idx="466">
                  <v>43801</v>
                </pt>
                <pt idx="467">
                  <v>43802</v>
                </pt>
                <pt idx="468">
                  <v>43803</v>
                </pt>
                <pt idx="469">
                  <v>43804</v>
                </pt>
                <pt idx="470">
                  <v>43805</v>
                </pt>
                <pt idx="471">
                  <v>43808</v>
                </pt>
                <pt idx="472">
                  <v>43809</v>
                </pt>
                <pt idx="473">
                  <v>43810</v>
                </pt>
                <pt idx="474">
                  <v>43811</v>
                </pt>
                <pt idx="475">
                  <v>43812</v>
                </pt>
                <pt idx="476">
                  <v>43815</v>
                </pt>
                <pt idx="477">
                  <v>43816</v>
                </pt>
                <pt idx="478">
                  <v>43817</v>
                </pt>
                <pt idx="479">
                  <v>43818</v>
                </pt>
                <pt idx="480">
                  <v>43819</v>
                </pt>
                <pt idx="481">
                  <v>43822</v>
                </pt>
                <pt idx="482">
                  <v>43823</v>
                </pt>
                <pt idx="483">
                  <v>43824</v>
                </pt>
                <pt idx="484">
                  <v>43825</v>
                </pt>
                <pt idx="485">
                  <v>43826</v>
                </pt>
                <pt idx="486">
                  <v>43829</v>
                </pt>
                <pt idx="487">
                  <v>43830</v>
                </pt>
                <pt idx="488">
                  <v>43832</v>
                </pt>
                <pt idx="489">
                  <v>43833</v>
                </pt>
                <pt idx="490">
                  <v>43836</v>
                </pt>
                <pt idx="491">
                  <v>43837</v>
                </pt>
                <pt idx="492">
                  <v>43838</v>
                </pt>
                <pt idx="493">
                  <v>43839</v>
                </pt>
                <pt idx="494">
                  <v>43840</v>
                </pt>
                <pt idx="495">
                  <v>43843</v>
                </pt>
                <pt idx="496">
                  <v>43844</v>
                </pt>
                <pt idx="497">
                  <v>43845</v>
                </pt>
                <pt idx="498">
                  <v>43846</v>
                </pt>
                <pt idx="499">
                  <v>43847</v>
                </pt>
                <pt idx="500">
                  <v>43850</v>
                </pt>
                <pt idx="501">
                  <v>43851</v>
                </pt>
                <pt idx="502">
                  <v>43852</v>
                </pt>
                <pt idx="503">
                  <v>43853</v>
                </pt>
                <pt idx="504">
                  <v>43864</v>
                </pt>
                <pt idx="505">
                  <v>43865</v>
                </pt>
                <pt idx="506">
                  <v>43866</v>
                </pt>
                <pt idx="507">
                  <v>43867</v>
                </pt>
                <pt idx="508">
                  <v>43868</v>
                </pt>
                <pt idx="509">
                  <v>43871</v>
                </pt>
                <pt idx="510">
                  <v>43872</v>
                </pt>
                <pt idx="511">
                  <v>43873</v>
                </pt>
                <pt idx="512">
                  <v>43874</v>
                </pt>
                <pt idx="513">
                  <v>43875</v>
                </pt>
                <pt idx="514">
                  <v>43878</v>
                </pt>
                <pt idx="515">
                  <v>43879</v>
                </pt>
                <pt idx="516">
                  <v>43880</v>
                </pt>
                <pt idx="517">
                  <v>43881</v>
                </pt>
                <pt idx="518">
                  <v>43882</v>
                </pt>
                <pt idx="519">
                  <v>43885</v>
                </pt>
                <pt idx="520">
                  <v>43886</v>
                </pt>
                <pt idx="521">
                  <v>43887</v>
                </pt>
                <pt idx="522">
                  <v>43888</v>
                </pt>
                <pt idx="523">
                  <v>43889</v>
                </pt>
                <pt idx="524">
                  <v>43892</v>
                </pt>
                <pt idx="525">
                  <v>43893</v>
                </pt>
                <pt idx="526">
                  <v>43894</v>
                </pt>
                <pt idx="527">
                  <v>43895</v>
                </pt>
                <pt idx="528">
                  <v>43896</v>
                </pt>
                <pt idx="529">
                  <v>43899</v>
                </pt>
                <pt idx="530">
                  <v>43900</v>
                </pt>
                <pt idx="531">
                  <v>43901</v>
                </pt>
                <pt idx="532">
                  <v>43902</v>
                </pt>
                <pt idx="533">
                  <v>43903</v>
                </pt>
                <pt idx="534">
                  <v>43906</v>
                </pt>
                <pt idx="535">
                  <v>43907</v>
                </pt>
                <pt idx="536">
                  <v>43908</v>
                </pt>
                <pt idx="537">
                  <v>43909</v>
                </pt>
                <pt idx="538">
                  <v>43910</v>
                </pt>
                <pt idx="539">
                  <v>43913</v>
                </pt>
                <pt idx="540">
                  <v>43914</v>
                </pt>
                <pt idx="541">
                  <v>43915</v>
                </pt>
                <pt idx="542">
                  <v>43916</v>
                </pt>
                <pt idx="543">
                  <v>43917</v>
                </pt>
                <pt idx="544">
                  <v>43920</v>
                </pt>
                <pt idx="545">
                  <v>43921</v>
                </pt>
                <pt idx="546">
                  <v>43922</v>
                </pt>
                <pt idx="547">
                  <v>43923</v>
                </pt>
                <pt idx="548">
                  <v>43924</v>
                </pt>
                <pt idx="549">
                  <v>43928</v>
                </pt>
                <pt idx="550">
                  <v>43929</v>
                </pt>
                <pt idx="551">
                  <v>43930</v>
                </pt>
                <pt idx="552">
                  <v>43931</v>
                </pt>
                <pt idx="553">
                  <v>43934</v>
                </pt>
                <pt idx="554">
                  <v>43935</v>
                </pt>
                <pt idx="555">
                  <v>43936</v>
                </pt>
                <pt idx="556">
                  <v>43937</v>
                </pt>
                <pt idx="557">
                  <v>43938</v>
                </pt>
                <pt idx="558">
                  <v>43941</v>
                </pt>
                <pt idx="559">
                  <v>43942</v>
                </pt>
                <pt idx="560">
                  <v>43943</v>
                </pt>
                <pt idx="561">
                  <v>43944</v>
                </pt>
                <pt idx="562">
                  <v>43945</v>
                </pt>
                <pt idx="563">
                  <v>43948</v>
                </pt>
                <pt idx="564">
                  <v>43949</v>
                </pt>
                <pt idx="565">
                  <v>43950</v>
                </pt>
                <pt idx="566">
                  <v>43951</v>
                </pt>
                <pt idx="567">
                  <v>43957</v>
                </pt>
                <pt idx="568">
                  <v>43958</v>
                </pt>
                <pt idx="569">
                  <v>43959</v>
                </pt>
                <pt idx="570">
                  <v>43962</v>
                </pt>
                <pt idx="571">
                  <v>43963</v>
                </pt>
                <pt idx="572">
                  <v>43964</v>
                </pt>
                <pt idx="573">
                  <v>43965</v>
                </pt>
                <pt idx="574">
                  <v>43966</v>
                </pt>
                <pt idx="575">
                  <v>43969</v>
                </pt>
                <pt idx="576">
                  <v>43970</v>
                </pt>
                <pt idx="577">
                  <v>43971</v>
                </pt>
                <pt idx="578">
                  <v>43972</v>
                </pt>
                <pt idx="579">
                  <v>43973</v>
                </pt>
                <pt idx="580">
                  <v>43976</v>
                </pt>
                <pt idx="581">
                  <v>43977</v>
                </pt>
                <pt idx="582">
                  <v>43978</v>
                </pt>
                <pt idx="583">
                  <v>43979</v>
                </pt>
                <pt idx="584">
                  <v>43980</v>
                </pt>
                <pt idx="585">
                  <v>43983</v>
                </pt>
                <pt idx="586">
                  <v>43984</v>
                </pt>
                <pt idx="587">
                  <v>43985</v>
                </pt>
                <pt idx="588">
                  <v>43986</v>
                </pt>
                <pt idx="589">
                  <v>43987</v>
                </pt>
                <pt idx="590">
                  <v>43990</v>
                </pt>
                <pt idx="591">
                  <v>43991</v>
                </pt>
                <pt idx="592">
                  <v>43992</v>
                </pt>
                <pt idx="593">
                  <v>43993</v>
                </pt>
                <pt idx="594">
                  <v>43994</v>
                </pt>
                <pt idx="595">
                  <v>43997</v>
                </pt>
                <pt idx="596">
                  <v>43998</v>
                </pt>
                <pt idx="597">
                  <v>43999</v>
                </pt>
                <pt idx="598">
                  <v>44000</v>
                </pt>
                <pt idx="599">
                  <v>44001</v>
                </pt>
                <pt idx="600">
                  <v>44004</v>
                </pt>
                <pt idx="601">
                  <v>44005</v>
                </pt>
                <pt idx="602">
                  <v>44006</v>
                </pt>
                <pt idx="603">
                  <v>44011</v>
                </pt>
                <pt idx="604">
                  <v>44012</v>
                </pt>
                <pt idx="605">
                  <v>44013</v>
                </pt>
                <pt idx="606">
                  <v>44014</v>
                </pt>
                <pt idx="607">
                  <v>44015</v>
                </pt>
                <pt idx="608">
                  <v>44018</v>
                </pt>
                <pt idx="609">
                  <v>44019</v>
                </pt>
                <pt idx="610">
                  <v>44020</v>
                </pt>
                <pt idx="611">
                  <v>44021</v>
                </pt>
                <pt idx="612">
                  <v>44022</v>
                </pt>
                <pt idx="613">
                  <v>44025</v>
                </pt>
                <pt idx="614">
                  <v>44026</v>
                </pt>
                <pt idx="615">
                  <v>44027</v>
                </pt>
                <pt idx="616">
                  <v>44028</v>
                </pt>
                <pt idx="617">
                  <v>44029</v>
                </pt>
                <pt idx="618">
                  <v>44032</v>
                </pt>
                <pt idx="619">
                  <v>44033</v>
                </pt>
                <pt idx="620">
                  <v>44034</v>
                </pt>
                <pt idx="621">
                  <v>44035</v>
                </pt>
                <pt idx="622">
                  <v>44036</v>
                </pt>
                <pt idx="623">
                  <v>44039</v>
                </pt>
                <pt idx="624">
                  <v>44040</v>
                </pt>
                <pt idx="625">
                  <v>44041</v>
                </pt>
                <pt idx="626">
                  <v>44042</v>
                </pt>
                <pt idx="627">
                  <v>44043</v>
                </pt>
                <pt idx="628">
                  <v>44046</v>
                </pt>
                <pt idx="629">
                  <v>44047</v>
                </pt>
                <pt idx="630">
                  <v>44048</v>
                </pt>
                <pt idx="631">
                  <v>44049</v>
                </pt>
                <pt idx="632">
                  <v>44050</v>
                </pt>
                <pt idx="633">
                  <v>44053</v>
                </pt>
                <pt idx="634">
                  <v>44054</v>
                </pt>
                <pt idx="635">
                  <v>44055</v>
                </pt>
                <pt idx="636">
                  <v>44056</v>
                </pt>
                <pt idx="637">
                  <v>44057</v>
                </pt>
                <pt idx="638">
                  <v>44060</v>
                </pt>
                <pt idx="639">
                  <v>44061</v>
                </pt>
                <pt idx="640">
                  <v>44062</v>
                </pt>
                <pt idx="641">
                  <v>44063</v>
                </pt>
                <pt idx="642">
                  <v>44064</v>
                </pt>
                <pt idx="643">
                  <v>44067</v>
                </pt>
                <pt idx="644">
                  <v>44068</v>
                </pt>
                <pt idx="645">
                  <v>44069</v>
                </pt>
                <pt idx="646">
                  <v>44070</v>
                </pt>
                <pt idx="647">
                  <v>44071</v>
                </pt>
                <pt idx="648">
                  <v>44074</v>
                </pt>
                <pt idx="649">
                  <v>44075</v>
                </pt>
                <pt idx="650">
                  <v>44076</v>
                </pt>
                <pt idx="651">
                  <v>44077</v>
                </pt>
                <pt idx="652">
                  <v>44078</v>
                </pt>
                <pt idx="653">
                  <v>44081</v>
                </pt>
                <pt idx="654">
                  <v>44082</v>
                </pt>
                <pt idx="655">
                  <v>44083</v>
                </pt>
                <pt idx="656">
                  <v>44084</v>
                </pt>
                <pt idx="657">
                  <v>44085</v>
                </pt>
                <pt idx="658">
                  <v>44088</v>
                </pt>
                <pt idx="659">
                  <v>44089</v>
                </pt>
                <pt idx="660">
                  <v>44090</v>
                </pt>
                <pt idx="661">
                  <v>44091</v>
                </pt>
                <pt idx="662">
                  <v>44092</v>
                </pt>
                <pt idx="663">
                  <v>44095</v>
                </pt>
                <pt idx="664">
                  <v>44096</v>
                </pt>
                <pt idx="665">
                  <v>44097</v>
                </pt>
                <pt idx="666">
                  <v>44098</v>
                </pt>
                <pt idx="667">
                  <v>44099</v>
                </pt>
                <pt idx="668">
                  <v>44102</v>
                </pt>
                <pt idx="669">
                  <v>44103</v>
                </pt>
                <pt idx="670">
                  <v>44104</v>
                </pt>
                <pt idx="671">
                  <v>44113</v>
                </pt>
                <pt idx="672">
                  <v>44116</v>
                </pt>
                <pt idx="673">
                  <v>44117</v>
                </pt>
                <pt idx="674">
                  <v>44118</v>
                </pt>
                <pt idx="675">
                  <v>44119</v>
                </pt>
                <pt idx="676">
                  <v>44120</v>
                </pt>
                <pt idx="677">
                  <v>44123</v>
                </pt>
                <pt idx="678">
                  <v>44124</v>
                </pt>
                <pt idx="679">
                  <v>44125</v>
                </pt>
                <pt idx="680">
                  <v>44126</v>
                </pt>
                <pt idx="681">
                  <v>44127</v>
                </pt>
                <pt idx="682">
                  <v>44130</v>
                </pt>
                <pt idx="683">
                  <v>44131</v>
                </pt>
                <pt idx="684">
                  <v>44132</v>
                </pt>
                <pt idx="685">
                  <v>44133</v>
                </pt>
                <pt idx="686">
                  <v>44134</v>
                </pt>
                <pt idx="687">
                  <v>44137</v>
                </pt>
                <pt idx="688">
                  <v>44138</v>
                </pt>
                <pt idx="689">
                  <v>44139</v>
                </pt>
                <pt idx="690">
                  <v>44140</v>
                </pt>
                <pt idx="691">
                  <v>44141</v>
                </pt>
                <pt idx="692">
                  <v>44144</v>
                </pt>
                <pt idx="693">
                  <v>44145</v>
                </pt>
                <pt idx="694">
                  <v>44146</v>
                </pt>
                <pt idx="695">
                  <v>44147</v>
                </pt>
                <pt idx="696">
                  <v>44148</v>
                </pt>
                <pt idx="697">
                  <v>44151</v>
                </pt>
                <pt idx="698">
                  <v>44152</v>
                </pt>
                <pt idx="699">
                  <v>44153</v>
                </pt>
                <pt idx="700">
                  <v>44154</v>
                </pt>
                <pt idx="701">
                  <v>44155</v>
                </pt>
                <pt idx="702">
                  <v>44158</v>
                </pt>
                <pt idx="703">
                  <v>44159</v>
                </pt>
                <pt idx="704">
                  <v>44160</v>
                </pt>
                <pt idx="705">
                  <v>44161</v>
                </pt>
                <pt idx="706">
                  <v>44162</v>
                </pt>
                <pt idx="707">
                  <v>44165</v>
                </pt>
                <pt idx="708">
                  <v>44166</v>
                </pt>
                <pt idx="709">
                  <v>44167</v>
                </pt>
                <pt idx="710">
                  <v>44168</v>
                </pt>
                <pt idx="711">
                  <v>44169</v>
                </pt>
                <pt idx="712">
                  <v>44172</v>
                </pt>
                <pt idx="713">
                  <v>44173</v>
                </pt>
                <pt idx="714">
                  <v>44174</v>
                </pt>
                <pt idx="715">
                  <v>44175</v>
                </pt>
                <pt idx="716">
                  <v>44176</v>
                </pt>
                <pt idx="717">
                  <v>44179</v>
                </pt>
                <pt idx="718">
                  <v>44180</v>
                </pt>
                <pt idx="719">
                  <v>44181</v>
                </pt>
                <pt idx="720">
                  <v>44182</v>
                </pt>
                <pt idx="721">
                  <v>44183</v>
                </pt>
                <pt idx="722">
                  <v>44186</v>
                </pt>
                <pt idx="723">
                  <v>44187</v>
                </pt>
                <pt idx="724">
                  <v>44188</v>
                </pt>
                <pt idx="725">
                  <v>44189</v>
                </pt>
                <pt idx="726">
                  <v>44190</v>
                </pt>
                <pt idx="727">
                  <v>44193</v>
                </pt>
                <pt idx="728">
                  <v>44194</v>
                </pt>
                <pt idx="729">
                  <v>44195</v>
                </pt>
                <pt idx="730">
                  <v>44196</v>
                </pt>
                <pt idx="731">
                  <v>44200</v>
                </pt>
                <pt idx="732">
                  <v>44201</v>
                </pt>
                <pt idx="733">
                  <v>44202</v>
                </pt>
                <pt idx="734">
                  <v>44203</v>
                </pt>
                <pt idx="735">
                  <v>44204</v>
                </pt>
                <pt idx="736">
                  <v>44207</v>
                </pt>
                <pt idx="737">
                  <v>44208</v>
                </pt>
                <pt idx="738">
                  <v>44209</v>
                </pt>
                <pt idx="739">
                  <v>44210</v>
                </pt>
                <pt idx="740">
                  <v>44211</v>
                </pt>
                <pt idx="741">
                  <v>44214</v>
                </pt>
                <pt idx="742">
                  <v>44215</v>
                </pt>
                <pt idx="743">
                  <v>44216</v>
                </pt>
                <pt idx="744">
                  <v>44217</v>
                </pt>
                <pt idx="745">
                  <v>44218</v>
                </pt>
                <pt idx="746">
                  <v>44221</v>
                </pt>
                <pt idx="747">
                  <v>44222</v>
                </pt>
                <pt idx="748">
                  <v>44223</v>
                </pt>
                <pt idx="749">
                  <v>44224</v>
                </pt>
                <pt idx="750">
                  <v>44225</v>
                </pt>
                <pt idx="751">
                  <v>44228</v>
                </pt>
                <pt idx="752">
                  <v>44229</v>
                </pt>
                <pt idx="753">
                  <v>44230</v>
                </pt>
                <pt idx="754">
                  <v>44231</v>
                </pt>
                <pt idx="755">
                  <v>44232</v>
                </pt>
                <pt idx="756">
                  <v>44235</v>
                </pt>
                <pt idx="757">
                  <v>44236</v>
                </pt>
                <pt idx="758">
                  <v>44237</v>
                </pt>
                <pt idx="759">
                  <v>44245</v>
                </pt>
                <pt idx="760">
                  <v>44246</v>
                </pt>
                <pt idx="761">
                  <v>44249</v>
                </pt>
                <pt idx="762">
                  <v>44250</v>
                </pt>
                <pt idx="763">
                  <v>44251</v>
                </pt>
                <pt idx="764">
                  <v>44252</v>
                </pt>
                <pt idx="765">
                  <v>44253</v>
                </pt>
                <pt idx="766">
                  <v>44256</v>
                </pt>
                <pt idx="767">
                  <v>44257</v>
                </pt>
                <pt idx="768">
                  <v>44258</v>
                </pt>
                <pt idx="769">
                  <v>44259</v>
                </pt>
                <pt idx="770">
                  <v>44260</v>
                </pt>
                <pt idx="771">
                  <v>44263</v>
                </pt>
                <pt idx="772">
                  <v>44264</v>
                </pt>
                <pt idx="773">
                  <v>44265</v>
                </pt>
                <pt idx="774">
                  <v>44266</v>
                </pt>
                <pt idx="775">
                  <v>44267</v>
                </pt>
                <pt idx="776">
                  <v>44270</v>
                </pt>
                <pt idx="777">
                  <v>44271</v>
                </pt>
                <pt idx="778">
                  <v>44272</v>
                </pt>
                <pt idx="779">
                  <v>44273</v>
                </pt>
                <pt idx="780">
                  <v>44274</v>
                </pt>
                <pt idx="781">
                  <v>44277</v>
                </pt>
                <pt idx="782">
                  <v>44278</v>
                </pt>
                <pt idx="783">
                  <v>44279</v>
                </pt>
                <pt idx="784">
                  <v>44280</v>
                </pt>
                <pt idx="785">
                  <v>44281</v>
                </pt>
                <pt idx="786">
                  <v>44284</v>
                </pt>
                <pt idx="787">
                  <v>44285</v>
                </pt>
                <pt idx="788">
                  <v>44286</v>
                </pt>
                <pt idx="789">
                  <v>44287</v>
                </pt>
                <pt idx="790">
                  <v>44288</v>
                </pt>
                <pt idx="791">
                  <v>44292</v>
                </pt>
                <pt idx="792">
                  <v>44293</v>
                </pt>
                <pt idx="793">
                  <v>44294</v>
                </pt>
                <pt idx="794">
                  <v>44295</v>
                </pt>
                <pt idx="795">
                  <v>44298</v>
                </pt>
                <pt idx="796">
                  <v>44299</v>
                </pt>
                <pt idx="797">
                  <v>44300</v>
                </pt>
                <pt idx="798">
                  <v>44301</v>
                </pt>
                <pt idx="799">
                  <v>44302</v>
                </pt>
                <pt idx="800">
                  <v>44305</v>
                </pt>
                <pt idx="801">
                  <v>44306</v>
                </pt>
                <pt idx="802">
                  <v>44307</v>
                </pt>
                <pt idx="803">
                  <v>44308</v>
                </pt>
                <pt idx="804">
                  <v>44309</v>
                </pt>
                <pt idx="805">
                  <v>44312</v>
                </pt>
                <pt idx="806">
                  <v>44313</v>
                </pt>
                <pt idx="807">
                  <v>44314</v>
                </pt>
                <pt idx="808">
                  <v>44315</v>
                </pt>
                <pt idx="809">
                  <v>44316</v>
                </pt>
                <pt idx="810">
                  <v>44322</v>
                </pt>
                <pt idx="811">
                  <v>44323</v>
                </pt>
                <pt idx="812">
                  <v>44326</v>
                </pt>
                <pt idx="813">
                  <v>44327</v>
                </pt>
                <pt idx="814">
                  <v>44328</v>
                </pt>
                <pt idx="815">
                  <v>44329</v>
                </pt>
                <pt idx="816">
                  <v>44330</v>
                </pt>
                <pt idx="817">
                  <v>44333</v>
                </pt>
                <pt idx="818">
                  <v>44334</v>
                </pt>
                <pt idx="819">
                  <v>44335</v>
                </pt>
                <pt idx="820">
                  <v>44336</v>
                </pt>
                <pt idx="821">
                  <v>44337</v>
                </pt>
                <pt idx="822">
                  <v>44340</v>
                </pt>
                <pt idx="823">
                  <v>44341</v>
                </pt>
                <pt idx="824">
                  <v>44342</v>
                </pt>
                <pt idx="825">
                  <v>44343</v>
                </pt>
                <pt idx="826">
                  <v>44344</v>
                </pt>
                <pt idx="827">
                  <v>44347</v>
                </pt>
                <pt idx="828">
                  <v>44348</v>
                </pt>
                <pt idx="829">
                  <v>44349</v>
                </pt>
                <pt idx="830">
                  <v>44350</v>
                </pt>
                <pt idx="831">
                  <v>44351</v>
                </pt>
                <pt idx="832">
                  <v>44354</v>
                </pt>
                <pt idx="833">
                  <v>44355</v>
                </pt>
                <pt idx="834">
                  <v>44356</v>
                </pt>
                <pt idx="835">
                  <v>44357</v>
                </pt>
                <pt idx="836">
                  <v>44358</v>
                </pt>
                <pt idx="837">
                  <v>44362</v>
                </pt>
                <pt idx="838">
                  <v>44363</v>
                </pt>
                <pt idx="839">
                  <v>44364</v>
                </pt>
                <pt idx="840">
                  <v>44365</v>
                </pt>
                <pt idx="841">
                  <v>44368</v>
                </pt>
                <pt idx="842">
                  <v>44369</v>
                </pt>
                <pt idx="843">
                  <v>44370</v>
                </pt>
                <pt idx="844">
                  <v>44371</v>
                </pt>
                <pt idx="845">
                  <v>44372</v>
                </pt>
                <pt idx="846">
                  <v>44375</v>
                </pt>
                <pt idx="847">
                  <v>44376</v>
                </pt>
                <pt idx="848">
                  <v>44377</v>
                </pt>
                <pt idx="849">
                  <v>44378</v>
                </pt>
                <pt idx="850">
                  <v>44379</v>
                </pt>
                <pt idx="851">
                  <v>44382</v>
                </pt>
                <pt idx="852">
                  <v>44383</v>
                </pt>
                <pt idx="853">
                  <v>44384</v>
                </pt>
                <pt idx="854">
                  <v>44385</v>
                </pt>
                <pt idx="855">
                  <v>44386</v>
                </pt>
                <pt idx="856">
                  <v>44389</v>
                </pt>
                <pt idx="857">
                  <v>44390</v>
                </pt>
                <pt idx="858">
                  <v>44391</v>
                </pt>
                <pt idx="859">
                  <v>44392</v>
                </pt>
                <pt idx="860">
                  <v>44393</v>
                </pt>
                <pt idx="861">
                  <v>44396</v>
                </pt>
                <pt idx="862">
                  <v>44397</v>
                </pt>
                <pt idx="863">
                  <v>44398</v>
                </pt>
                <pt idx="864">
                  <v>44399</v>
                </pt>
                <pt idx="865">
                  <v>44400</v>
                </pt>
                <pt idx="866">
                  <v>44403</v>
                </pt>
                <pt idx="867">
                  <v>44404</v>
                </pt>
                <pt idx="868">
                  <v>44405</v>
                </pt>
                <pt idx="869">
                  <v>44406</v>
                </pt>
                <pt idx="870">
                  <v>44407</v>
                </pt>
                <pt idx="871">
                  <v>44410</v>
                </pt>
                <pt idx="872">
                  <v>44411</v>
                </pt>
                <pt idx="873">
                  <v>44412</v>
                </pt>
                <pt idx="874">
                  <v>44413</v>
                </pt>
                <pt idx="875">
                  <v>44414</v>
                </pt>
                <pt idx="876">
                  <v>44417</v>
                </pt>
                <pt idx="877">
                  <v>44418</v>
                </pt>
                <pt idx="878">
                  <v>44419</v>
                </pt>
                <pt idx="879">
                  <v>44420</v>
                </pt>
                <pt idx="880">
                  <v>44421</v>
                </pt>
                <pt idx="881">
                  <v>44424</v>
                </pt>
                <pt idx="882">
                  <v>44425</v>
                </pt>
                <pt idx="883">
                  <v>44426</v>
                </pt>
                <pt idx="884">
                  <v>44427</v>
                </pt>
                <pt idx="885">
                  <v>44428</v>
                </pt>
                <pt idx="886">
                  <v>44431</v>
                </pt>
                <pt idx="887">
                  <v>44432</v>
                </pt>
                <pt idx="888">
                  <v>44433</v>
                </pt>
                <pt idx="889">
                  <v>44434</v>
                </pt>
                <pt idx="890">
                  <v>44435</v>
                </pt>
                <pt idx="891">
                  <v>44438</v>
                </pt>
                <pt idx="892">
                  <v>44439</v>
                </pt>
                <pt idx="893">
                  <v>44440</v>
                </pt>
                <pt idx="894">
                  <v>44441</v>
                </pt>
                <pt idx="895">
                  <v>44442</v>
                </pt>
                <pt idx="896">
                  <v>44445</v>
                </pt>
                <pt idx="897">
                  <v>44446</v>
                </pt>
                <pt idx="898">
                  <v>44447</v>
                </pt>
                <pt idx="899">
                  <v>44448</v>
                </pt>
                <pt idx="900">
                  <v>44449</v>
                </pt>
                <pt idx="901">
                  <v>44452</v>
                </pt>
                <pt idx="902">
                  <v>44453</v>
                </pt>
                <pt idx="903">
                  <v>44454</v>
                </pt>
                <pt idx="904">
                  <v>44455</v>
                </pt>
                <pt idx="905">
                  <v>44456</v>
                </pt>
                <pt idx="906">
                  <v>44461</v>
                </pt>
                <pt idx="907">
                  <v>44462</v>
                </pt>
                <pt idx="908">
                  <v>44463</v>
                </pt>
                <pt idx="909">
                  <v>44466</v>
                </pt>
                <pt idx="910">
                  <v>44467</v>
                </pt>
                <pt idx="911">
                  <v>44468</v>
                </pt>
                <pt idx="912">
                  <v>44469</v>
                </pt>
                <pt idx="913">
                  <v>44477</v>
                </pt>
                <pt idx="914">
                  <v>44480</v>
                </pt>
                <pt idx="915">
                  <v>44481</v>
                </pt>
                <pt idx="916">
                  <v>44482</v>
                </pt>
                <pt idx="917">
                  <v>44483</v>
                </pt>
                <pt idx="918">
                  <v>44484</v>
                </pt>
                <pt idx="919">
                  <v>44487</v>
                </pt>
                <pt idx="920">
                  <v>44488</v>
                </pt>
                <pt idx="921">
                  <v>44489</v>
                </pt>
                <pt idx="922">
                  <v>44490</v>
                </pt>
                <pt idx="923">
                  <v>44491</v>
                </pt>
                <pt idx="924">
                  <v>44494</v>
                </pt>
                <pt idx="925">
                  <v>44495</v>
                </pt>
                <pt idx="926">
                  <v>44496</v>
                </pt>
                <pt idx="927">
                  <v>44497</v>
                </pt>
                <pt idx="928">
                  <v>44498</v>
                </pt>
                <pt idx="929">
                  <v>44501</v>
                </pt>
                <pt idx="930">
                  <v>44502</v>
                </pt>
                <pt idx="931">
                  <v>44503</v>
                </pt>
                <pt idx="932">
                  <v>44504</v>
                </pt>
                <pt idx="933">
                  <v>44505</v>
                </pt>
                <pt idx="934">
                  <v>44508</v>
                </pt>
                <pt idx="935">
                  <v>44509</v>
                </pt>
                <pt idx="936">
                  <v>44510</v>
                </pt>
                <pt idx="937">
                  <v>44511</v>
                </pt>
                <pt idx="938">
                  <v>44512</v>
                </pt>
                <pt idx="939">
                  <v>44515</v>
                </pt>
                <pt idx="940">
                  <v>44516</v>
                </pt>
                <pt idx="941">
                  <v>44517</v>
                </pt>
                <pt idx="942">
                  <v>44518</v>
                </pt>
                <pt idx="943">
                  <v>44519</v>
                </pt>
                <pt idx="944">
                  <v>44522</v>
                </pt>
                <pt idx="945">
                  <v>44523</v>
                </pt>
                <pt idx="946">
                  <v>44524</v>
                </pt>
                <pt idx="947">
                  <v>44525</v>
                </pt>
                <pt idx="948">
                  <v>44526</v>
                </pt>
                <pt idx="949">
                  <v>44529</v>
                </pt>
                <pt idx="950">
                  <v>44530</v>
                </pt>
                <pt idx="951">
                  <v>44531</v>
                </pt>
                <pt idx="952">
                  <v>44532</v>
                </pt>
                <pt idx="953">
                  <v>44533</v>
                </pt>
                <pt idx="954">
                  <v>44536</v>
                </pt>
                <pt idx="955">
                  <v>44537</v>
                </pt>
                <pt idx="956">
                  <v>44538</v>
                </pt>
                <pt idx="957">
                  <v>44539</v>
                </pt>
                <pt idx="958">
                  <v>44540</v>
                </pt>
                <pt idx="959">
                  <v>44543</v>
                </pt>
                <pt idx="960">
                  <v>44544</v>
                </pt>
                <pt idx="961">
                  <v>44545</v>
                </pt>
                <pt idx="962">
                  <v>44546</v>
                </pt>
                <pt idx="963">
                  <v>44547</v>
                </pt>
                <pt idx="964">
                  <v>44550</v>
                </pt>
                <pt idx="965">
                  <v>44551</v>
                </pt>
                <pt idx="966">
                  <v>44552</v>
                </pt>
                <pt idx="967">
                  <v>44553</v>
                </pt>
                <pt idx="968">
                  <v>44554</v>
                </pt>
                <pt idx="969">
                  <v>44557</v>
                </pt>
                <pt idx="970">
                  <v>44558</v>
                </pt>
                <pt idx="971">
                  <v>44559</v>
                </pt>
                <pt idx="972">
                  <v>44560</v>
                </pt>
                <pt idx="973">
                  <v>44561</v>
                </pt>
                <pt idx="974">
                  <v>44565</v>
                </pt>
                <pt idx="975">
                  <v>44566</v>
                </pt>
                <pt idx="976">
                  <v>44567</v>
                </pt>
                <pt idx="977">
                  <v>44568</v>
                </pt>
                <pt idx="978">
                  <v>44571</v>
                </pt>
                <pt idx="979">
                  <v>44572</v>
                </pt>
                <pt idx="980">
                  <v>44573</v>
                </pt>
                <pt idx="981">
                  <v>44574</v>
                </pt>
                <pt idx="982">
                  <v>44575</v>
                </pt>
                <pt idx="983">
                  <v>44578</v>
                </pt>
                <pt idx="984">
                  <v>44579</v>
                </pt>
                <pt idx="985">
                  <v>44580</v>
                </pt>
                <pt idx="986">
                  <v>44581</v>
                </pt>
                <pt idx="987">
                  <v>44582</v>
                </pt>
                <pt idx="988">
                  <v>44585</v>
                </pt>
                <pt idx="989">
                  <v>44586</v>
                </pt>
                <pt idx="990">
                  <v>44587</v>
                </pt>
                <pt idx="991">
                  <v>44588</v>
                </pt>
                <pt idx="992">
                  <v>44589</v>
                </pt>
                <pt idx="993">
                  <v>44599</v>
                </pt>
                <pt idx="994">
                  <v>44600</v>
                </pt>
                <pt idx="995">
                  <v>44601</v>
                </pt>
                <pt idx="996">
                  <v>44602</v>
                </pt>
                <pt idx="997">
                  <v>44603</v>
                </pt>
                <pt idx="998">
                  <v>44606</v>
                </pt>
                <pt idx="999">
                  <v>44607</v>
                </pt>
                <pt idx="1000">
                  <v>44608</v>
                </pt>
                <pt idx="1001">
                  <v>44609</v>
                </pt>
                <pt idx="1002">
                  <v>44610</v>
                </pt>
                <pt idx="1003">
                  <v>44613</v>
                </pt>
                <pt idx="1004">
                  <v>44614</v>
                </pt>
                <pt idx="1005">
                  <v>44615</v>
                </pt>
                <pt idx="1006">
                  <v>44616</v>
                </pt>
                <pt idx="1007">
                  <v>44617</v>
                </pt>
                <pt idx="1008">
                  <v>44620</v>
                </pt>
                <pt idx="1009">
                  <v>44621</v>
                </pt>
                <pt idx="1010">
                  <v>44622</v>
                </pt>
                <pt idx="1011">
                  <v>44623</v>
                </pt>
                <pt idx="1012">
                  <v>44624</v>
                </pt>
                <pt idx="1013">
                  <v>44627</v>
                </pt>
                <pt idx="1014">
                  <v>44628</v>
                </pt>
                <pt idx="1015">
                  <v>44629</v>
                </pt>
                <pt idx="1016">
                  <v>44630</v>
                </pt>
                <pt idx="1017">
                  <v>44631</v>
                </pt>
                <pt idx="1018">
                  <v>44634</v>
                </pt>
                <pt idx="1019">
                  <v>44635</v>
                </pt>
                <pt idx="1020">
                  <v>44636</v>
                </pt>
                <pt idx="1021">
                  <v>44637</v>
                </pt>
                <pt idx="1022">
                  <v>44638</v>
                </pt>
                <pt idx="1023">
                  <v>44641</v>
                </pt>
                <pt idx="1024">
                  <v>44642</v>
                </pt>
                <pt idx="1025">
                  <v>44643</v>
                </pt>
                <pt idx="1026">
                  <v>44644</v>
                </pt>
                <pt idx="1027">
                  <v>44645</v>
                </pt>
                <pt idx="1028">
                  <v>44648</v>
                </pt>
                <pt idx="1029">
                  <v>44649</v>
                </pt>
                <pt idx="1030">
                  <v>44650</v>
                </pt>
                <pt idx="1031">
                  <v>44651</v>
                </pt>
                <pt idx="1032">
                  <v>44652</v>
                </pt>
                <pt idx="1033">
                  <v>44657</v>
                </pt>
                <pt idx="1034">
                  <v>44658</v>
                </pt>
                <pt idx="1035">
                  <v>44659</v>
                </pt>
                <pt idx="1036">
                  <v>44662</v>
                </pt>
                <pt idx="1037">
                  <v>44663</v>
                </pt>
                <pt idx="1038">
                  <v>44664</v>
                </pt>
                <pt idx="1039">
                  <v>44665</v>
                </pt>
                <pt idx="1040">
                  <v>44666</v>
                </pt>
                <pt idx="1041">
                  <v>44669</v>
                </pt>
                <pt idx="1042">
                  <v>44670</v>
                </pt>
                <pt idx="1043">
                  <v>44671</v>
                </pt>
                <pt idx="1044">
                  <v>44672</v>
                </pt>
                <pt idx="1045">
                  <v>44673</v>
                </pt>
                <pt idx="1046">
                  <v>44676</v>
                </pt>
                <pt idx="1047">
                  <v>44677</v>
                </pt>
                <pt idx="1048">
                  <v>44678</v>
                </pt>
                <pt idx="1049">
                  <v>44679</v>
                </pt>
                <pt idx="1050">
                  <v>44680</v>
                </pt>
                <pt idx="1051">
                  <v>44686</v>
                </pt>
                <pt idx="1052">
                  <v>44687</v>
                </pt>
                <pt idx="1053">
                  <v>44690</v>
                </pt>
                <pt idx="1054">
                  <v>44691</v>
                </pt>
                <pt idx="1055">
                  <v>44692</v>
                </pt>
                <pt idx="1056">
                  <v>44693</v>
                </pt>
                <pt idx="1057">
                  <v>44694</v>
                </pt>
                <pt idx="1058">
                  <v>44697</v>
                </pt>
                <pt idx="1059">
                  <v>44698</v>
                </pt>
                <pt idx="1060">
                  <v>44699</v>
                </pt>
                <pt idx="1061">
                  <v>44700</v>
                </pt>
                <pt idx="1062">
                  <v>44701</v>
                </pt>
                <pt idx="1063">
                  <v>44704</v>
                </pt>
                <pt idx="1064">
                  <v>44705</v>
                </pt>
                <pt idx="1065">
                  <v>44706</v>
                </pt>
                <pt idx="1066">
                  <v>44707</v>
                </pt>
                <pt idx="1067">
                  <v>44708</v>
                </pt>
                <pt idx="1068">
                  <v>44711</v>
                </pt>
                <pt idx="1069">
                  <v>44712</v>
                </pt>
                <pt idx="1070">
                  <v>44713</v>
                </pt>
                <pt idx="1071">
                  <v>44714</v>
                </pt>
                <pt idx="1072">
                  <v>44718</v>
                </pt>
                <pt idx="1073">
                  <v>44719</v>
                </pt>
                <pt idx="1074">
                  <v>44720</v>
                </pt>
                <pt idx="1075">
                  <v>44721</v>
                </pt>
                <pt idx="1076">
                  <v>44722</v>
                </pt>
                <pt idx="1077">
                  <v>44725</v>
                </pt>
                <pt idx="1078">
                  <v>44726</v>
                </pt>
                <pt idx="1079">
                  <v>44727</v>
                </pt>
                <pt idx="1080">
                  <v>44728</v>
                </pt>
                <pt idx="1081">
                  <v>44729</v>
                </pt>
                <pt idx="1082">
                  <v>44732</v>
                </pt>
                <pt idx="1083">
                  <v>44733</v>
                </pt>
                <pt idx="1084">
                  <v>44734</v>
                </pt>
                <pt idx="1085">
                  <v>44735</v>
                </pt>
                <pt idx="1086">
                  <v>44736</v>
                </pt>
                <pt idx="1087">
                  <v>44739</v>
                </pt>
                <pt idx="1088">
                  <v>44740</v>
                </pt>
                <pt idx="1089">
                  <v>44741</v>
                </pt>
                <pt idx="1090">
                  <v>44742</v>
                </pt>
                <pt idx="1091">
                  <v>44743</v>
                </pt>
                <pt idx="1092">
                  <v>44746</v>
                </pt>
                <pt idx="1093">
                  <v>44747</v>
                </pt>
                <pt idx="1094">
                  <v>44748</v>
                </pt>
                <pt idx="1095">
                  <v>44749</v>
                </pt>
                <pt idx="1096">
                  <v>44750</v>
                </pt>
                <pt idx="1097">
                  <v>44753</v>
                </pt>
                <pt idx="1098">
                  <v>44754</v>
                </pt>
                <pt idx="1099">
                  <v>44755</v>
                </pt>
                <pt idx="1100">
                  <v>44756</v>
                </pt>
                <pt idx="1101">
                  <v>44757</v>
                </pt>
                <pt idx="1102">
                  <v>44760</v>
                </pt>
                <pt idx="1103">
                  <v>44761</v>
                </pt>
                <pt idx="1104">
                  <v>44762</v>
                </pt>
                <pt idx="1105">
                  <v>44763</v>
                </pt>
                <pt idx="1106">
                  <v>44764</v>
                </pt>
                <pt idx="1107">
                  <v>44767</v>
                </pt>
                <pt idx="1108">
                  <v>44768</v>
                </pt>
                <pt idx="1109">
                  <v>44769</v>
                </pt>
                <pt idx="1110">
                  <v>44770</v>
                </pt>
                <pt idx="1111">
                  <v>44771</v>
                </pt>
                <pt idx="1112">
                  <v>44774</v>
                </pt>
                <pt idx="1113">
                  <v>44775</v>
                </pt>
                <pt idx="1114">
                  <v>44776</v>
                </pt>
                <pt idx="1115">
                  <v>44777</v>
                </pt>
                <pt idx="1116">
                  <v>44778</v>
                </pt>
                <pt idx="1117">
                  <v>44781</v>
                </pt>
                <pt idx="1118">
                  <v>44782</v>
                </pt>
                <pt idx="1119">
                  <v>44783</v>
                </pt>
                <pt idx="1120">
                  <v>44784</v>
                </pt>
                <pt idx="1121">
                  <v>44785</v>
                </pt>
                <pt idx="1122">
                  <v>44788</v>
                </pt>
                <pt idx="1123">
                  <v>44789</v>
                </pt>
                <pt idx="1124">
                  <v>44790</v>
                </pt>
                <pt idx="1125">
                  <v>44791</v>
                </pt>
                <pt idx="1126">
                  <v>44792</v>
                </pt>
                <pt idx="1127">
                  <v>44795</v>
                </pt>
                <pt idx="1128">
                  <v>44796</v>
                </pt>
                <pt idx="1129">
                  <v>44797</v>
                </pt>
                <pt idx="1130">
                  <v>44798</v>
                </pt>
                <pt idx="1131">
                  <v>44799</v>
                </pt>
                <pt idx="1132">
                  <v>44802</v>
                </pt>
                <pt idx="1133">
                  <v>44803</v>
                </pt>
                <pt idx="1134">
                  <v>44804</v>
                </pt>
              </numCache>
            </numRef>
          </cat>
          <val>
            <numRef>
              <f>可转债双低!$H$3:$H$1137</f>
              <numCache>
                <formatCode>General</formatCode>
                <ptCount val="1135"/>
                <pt idx="0">
                  <v>126.75</v>
                </pt>
                <pt idx="1">
                  <v>126.96</v>
                </pt>
                <pt idx="2">
                  <v>127.43</v>
                </pt>
                <pt idx="3">
                  <v>127.74</v>
                </pt>
                <pt idx="4">
                  <v>129.61</v>
                </pt>
                <pt idx="5">
                  <v>129.83</v>
                </pt>
                <pt idx="6">
                  <v>128.74</v>
                </pt>
                <pt idx="7">
                  <v>128.34</v>
                </pt>
                <pt idx="8">
                  <v>127.73</v>
                </pt>
                <pt idx="9">
                  <v>128.51</v>
                </pt>
                <pt idx="10">
                  <v>129.1</v>
                </pt>
                <pt idx="11">
                  <v>127.48</v>
                </pt>
                <pt idx="12">
                  <v>127.63</v>
                </pt>
                <pt idx="13">
                  <v>128.37</v>
                </pt>
                <pt idx="14">
                  <v>129.57</v>
                </pt>
                <pt idx="15">
                  <v>130.52</v>
                </pt>
                <pt idx="16">
                  <v>131.15</v>
                </pt>
                <pt idx="17">
                  <v>132.09</v>
                </pt>
                <pt idx="18">
                  <v>133.18</v>
                </pt>
                <pt idx="19">
                  <v>132.47</v>
                </pt>
                <pt idx="20">
                  <v>129.62</v>
                </pt>
                <pt idx="21">
                  <v>127.83</v>
                </pt>
                <pt idx="22">
                  <v>128.46</v>
                </pt>
                <pt idx="23">
                  <v>130.67</v>
                </pt>
                <pt idx="24">
                  <v>132.03</v>
                </pt>
                <pt idx="25">
                  <v>133.01</v>
                </pt>
                <pt idx="26">
                  <v>136.04</v>
                </pt>
                <pt idx="27">
                  <v>134.79</v>
                </pt>
                <pt idx="28">
                  <v>133.44</v>
                </pt>
                <pt idx="29">
                  <v>134.05</v>
                </pt>
                <pt idx="30">
                  <v>133.88</v>
                </pt>
                <pt idx="31">
                  <v>134.56</v>
                </pt>
                <pt idx="32">
                  <v>134.74</v>
                </pt>
                <pt idx="33">
                  <v>133.82</v>
                </pt>
                <pt idx="34">
                  <v>133.18</v>
                </pt>
                <pt idx="35">
                  <v>132.44</v>
                </pt>
                <pt idx="36">
                  <v>131.8</v>
                </pt>
                <pt idx="37">
                  <v>131.23</v>
                </pt>
                <pt idx="38">
                  <v>130.29</v>
                </pt>
                <pt idx="39">
                  <v>130.03</v>
                </pt>
                <pt idx="40">
                  <v>129.04</v>
                </pt>
                <pt idx="41">
                  <v>128.64</v>
                </pt>
                <pt idx="42">
                  <v>128.91</v>
                </pt>
                <pt idx="43">
                  <v>128.7</v>
                </pt>
                <pt idx="44">
                  <v>127.87</v>
                </pt>
                <pt idx="45">
                  <v>128.32</v>
                </pt>
                <pt idx="46">
                  <v>128.89</v>
                </pt>
                <pt idx="47">
                  <v>128.89</v>
                </pt>
                <pt idx="48">
                  <v>128.59</v>
                </pt>
                <pt idx="49">
                  <v>129.08</v>
                </pt>
                <pt idx="50">
                  <v>129.03</v>
                </pt>
                <pt idx="51">
                  <v>128.76</v>
                </pt>
                <pt idx="52">
                  <v>129.43</v>
                </pt>
                <pt idx="53">
                  <v>128.96</v>
                </pt>
                <pt idx="54">
                  <v>131.52</v>
                </pt>
                <pt idx="55">
                  <v>130.65</v>
                </pt>
                <pt idx="56">
                  <v>129.5</v>
                </pt>
                <pt idx="57">
                  <v>129.07</v>
                </pt>
                <pt idx="58">
                  <v>128.31</v>
                </pt>
                <pt idx="59">
                  <v>128.26</v>
                </pt>
                <pt idx="60">
                  <v>129.12</v>
                </pt>
                <pt idx="61">
                  <v>129.74</v>
                </pt>
                <pt idx="62">
                  <v>131.09</v>
                </pt>
                <pt idx="63">
                  <v>131.13</v>
                </pt>
                <pt idx="64">
                  <v>130.7</v>
                </pt>
                <pt idx="65">
                  <v>130.5</v>
                </pt>
                <pt idx="66">
                  <v>130.6</v>
                </pt>
                <pt idx="67">
                  <v>130.27</v>
                </pt>
                <pt idx="68">
                  <v>130.26</v>
                </pt>
                <pt idx="69">
                  <v>131.68</v>
                </pt>
                <pt idx="70">
                  <v>131.63</v>
                </pt>
                <pt idx="71">
                  <v>131.91</v>
                </pt>
                <pt idx="72">
                  <v>132.56</v>
                </pt>
                <pt idx="73">
                  <v>130.45</v>
                </pt>
                <pt idx="74">
                  <v>129.94</v>
                </pt>
                <pt idx="75">
                  <v>130</v>
                </pt>
                <pt idx="76">
                  <v>130.34</v>
                </pt>
                <pt idx="77">
                  <v>130.75</v>
                </pt>
                <pt idx="78">
                  <v>130.14</v>
                </pt>
                <pt idx="79">
                  <v>129.34</v>
                </pt>
                <pt idx="80">
                  <v>130.71</v>
                </pt>
                <pt idx="81">
                  <v>130.49</v>
                </pt>
                <pt idx="82">
                  <v>130.05</v>
                </pt>
                <pt idx="83">
                  <v>129.85</v>
                </pt>
                <pt idx="84">
                  <v>129.72</v>
                </pt>
                <pt idx="85">
                  <v>129.6</v>
                </pt>
                <pt idx="86">
                  <v>129.12</v>
                </pt>
                <pt idx="87">
                  <v>128.4</v>
                </pt>
                <pt idx="88">
                  <v>128.45</v>
                </pt>
                <pt idx="89">
                  <v>128.14</v>
                </pt>
                <pt idx="90">
                  <v>127.94</v>
                </pt>
                <pt idx="91">
                  <v>127.1</v>
                </pt>
                <pt idx="92">
                  <v>127.05</v>
                </pt>
                <pt idx="93">
                  <v>127.2</v>
                </pt>
                <pt idx="94">
                  <v>127.2</v>
                </pt>
                <pt idx="95">
                  <v>127.08</v>
                </pt>
                <pt idx="96">
                  <v>126.58</v>
                </pt>
                <pt idx="97">
                  <v>125.82</v>
                </pt>
                <pt idx="98">
                  <v>127</v>
                </pt>
                <pt idx="99">
                  <v>126.19</v>
                </pt>
                <pt idx="100">
                  <v>126.06</v>
                </pt>
                <pt idx="101">
                  <v>124.37</v>
                </pt>
                <pt idx="102">
                  <v>124.29</v>
                </pt>
                <pt idx="103">
                  <v>124.48</v>
                </pt>
                <pt idx="104">
                  <v>125.79</v>
                </pt>
                <pt idx="105">
                  <v>126.2</v>
                </pt>
                <pt idx="106">
                  <v>126.86</v>
                </pt>
                <pt idx="107">
                  <v>126.66</v>
                </pt>
                <pt idx="108">
                  <v>127.85</v>
                </pt>
                <pt idx="109">
                  <v>127.53</v>
                </pt>
                <pt idx="110">
                  <v>128.07</v>
                </pt>
                <pt idx="111">
                  <v>129.39</v>
                </pt>
                <pt idx="112">
                  <v>129.34</v>
                </pt>
                <pt idx="113">
                  <v>131.33</v>
                </pt>
                <pt idx="114">
                  <v>129.76</v>
                </pt>
                <pt idx="115">
                  <v>130.41</v>
                </pt>
                <pt idx="116">
                  <v>129.7</v>
                </pt>
                <pt idx="117">
                  <v>128.51</v>
                </pt>
                <pt idx="118">
                  <v>129.57</v>
                </pt>
                <pt idx="119">
                  <v>128.76</v>
                </pt>
                <pt idx="120">
                  <v>128.96</v>
                </pt>
                <pt idx="121">
                  <v>128.51</v>
                </pt>
                <pt idx="122">
                  <v>130.54</v>
                </pt>
                <pt idx="123">
                  <v>133.75</v>
                </pt>
                <pt idx="124">
                  <v>133.26</v>
                </pt>
                <pt idx="125">
                  <v>132.27</v>
                </pt>
                <pt idx="126">
                  <v>132.14</v>
                </pt>
                <pt idx="127">
                  <v>134.05</v>
                </pt>
                <pt idx="128">
                  <v>133.32</v>
                </pt>
                <pt idx="129">
                  <v>132.96</v>
                </pt>
                <pt idx="130">
                  <v>132.35</v>
                </pt>
                <pt idx="131">
                  <v>132.53</v>
                </pt>
                <pt idx="132">
                  <v>133.89</v>
                </pt>
                <pt idx="133">
                  <v>135.41</v>
                </pt>
                <pt idx="134">
                  <v>135.53</v>
                </pt>
                <pt idx="135">
                  <v>134.56</v>
                </pt>
                <pt idx="136">
                  <v>132.98</v>
                </pt>
                <pt idx="137">
                  <v>132.54</v>
                </pt>
                <pt idx="138">
                  <v>131.64</v>
                </pt>
                <pt idx="139">
                  <v>132.2</v>
                </pt>
                <pt idx="140">
                  <v>131.94</v>
                </pt>
                <pt idx="141">
                  <v>131.94</v>
                </pt>
                <pt idx="142">
                  <v>132.53</v>
                </pt>
                <pt idx="143">
                  <v>133.96</v>
                </pt>
                <pt idx="144">
                  <v>134.82</v>
                </pt>
                <pt idx="145">
                  <v>136.13</v>
                </pt>
                <pt idx="146">
                  <v>135.3</v>
                </pt>
                <pt idx="147">
                  <v>136.54</v>
                </pt>
                <pt idx="148">
                  <v>135.67</v>
                </pt>
                <pt idx="149">
                  <v>134.3</v>
                </pt>
                <pt idx="150">
                  <v>131.93</v>
                </pt>
                <pt idx="151">
                  <v>132.25</v>
                </pt>
                <pt idx="152">
                  <v>131.5</v>
                </pt>
                <pt idx="153">
                  <v>132.2</v>
                </pt>
                <pt idx="154">
                  <v>133.67</v>
                </pt>
                <pt idx="155">
                  <v>132.53</v>
                </pt>
                <pt idx="156">
                  <v>131.63</v>
                </pt>
                <pt idx="157">
                  <v>132.04</v>
                </pt>
                <pt idx="158">
                  <v>131.76</v>
                </pt>
                <pt idx="159">
                  <v>132.13</v>
                </pt>
                <pt idx="160">
                  <v>130.59</v>
                </pt>
                <pt idx="161">
                  <v>130.21</v>
                </pt>
                <pt idx="162">
                  <v>130.27</v>
                </pt>
                <pt idx="163">
                  <v>130.78</v>
                </pt>
                <pt idx="164">
                  <v>131.39</v>
                </pt>
                <pt idx="165">
                  <v>131.5</v>
                </pt>
                <pt idx="166">
                  <v>130.39</v>
                </pt>
                <pt idx="167">
                  <v>131.18</v>
                </pt>
                <pt idx="168">
                  <v>131.71</v>
                </pt>
                <pt idx="169">
                  <v>131.36</v>
                </pt>
                <pt idx="170">
                  <v>133.07</v>
                </pt>
                <pt idx="171">
                  <v>132.05</v>
                </pt>
                <pt idx="172">
                  <v>131.4</v>
                </pt>
                <pt idx="173">
                  <v>130.44</v>
                </pt>
                <pt idx="174">
                  <v>131.24</v>
                </pt>
                <pt idx="175">
                  <v>132.22</v>
                </pt>
                <pt idx="176">
                  <v>130.52</v>
                </pt>
                <pt idx="177">
                  <v>130.14</v>
                </pt>
                <pt idx="178">
                  <v>130.38</v>
                </pt>
                <pt idx="179">
                  <v>128.55</v>
                </pt>
                <pt idx="180">
                  <v>128.87</v>
                </pt>
                <pt idx="181">
                  <v>128.66</v>
                </pt>
                <pt idx="182">
                  <v>129.73</v>
                </pt>
                <pt idx="183">
                  <v>128.84</v>
                </pt>
                <pt idx="184">
                  <v>130.67</v>
                </pt>
                <pt idx="185">
                  <v>130.44</v>
                </pt>
                <pt idx="186">
                  <v>130.1</v>
                </pt>
                <pt idx="187">
                  <v>136.92</v>
                </pt>
                <pt idx="188">
                  <v>138.13</v>
                </pt>
                <pt idx="189">
                  <v>139.3</v>
                </pt>
                <pt idx="190">
                  <v>141.28</v>
                </pt>
                <pt idx="191">
                  <v>140.08</v>
                </pt>
                <pt idx="192">
                  <v>141.74</v>
                </pt>
                <pt idx="193">
                  <v>139.17</v>
                </pt>
                <pt idx="194">
                  <v>134.86</v>
                </pt>
                <pt idx="195">
                  <v>136.23</v>
                </pt>
                <pt idx="196">
                  <v>136.52</v>
                </pt>
                <pt idx="197">
                  <v>136.91</v>
                </pt>
                <pt idx="198">
                  <v>137.45</v>
                </pt>
                <pt idx="199">
                  <v>139.55</v>
                </pt>
                <pt idx="200">
                  <v>138.25</v>
                </pt>
                <pt idx="201">
                  <v>137.08</v>
                </pt>
                <pt idx="202">
                  <v>136.94</v>
                </pt>
                <pt idx="203">
                  <v>135.24</v>
                </pt>
                <pt idx="204">
                  <v>135.26</v>
                </pt>
                <pt idx="205">
                  <v>134.17</v>
                </pt>
                <pt idx="206">
                  <v>134.67</v>
                </pt>
                <pt idx="207">
                  <v>135.07</v>
                </pt>
                <pt idx="208">
                  <v>134.87</v>
                </pt>
                <pt idx="209">
                  <v>132.07</v>
                </pt>
                <pt idx="210">
                  <v>131.03</v>
                </pt>
                <pt idx="211">
                  <v>131.96</v>
                </pt>
                <pt idx="212">
                  <v>131.35</v>
                </pt>
                <pt idx="213">
                  <v>130.89</v>
                </pt>
                <pt idx="214">
                  <v>130.56</v>
                </pt>
                <pt idx="215">
                  <v>132.31</v>
                </pt>
                <pt idx="216">
                  <v>131.64</v>
                </pt>
                <pt idx="217">
                  <v>131.11</v>
                </pt>
                <pt idx="218">
                  <v>135.04</v>
                </pt>
                <pt idx="219">
                  <v>135</v>
                </pt>
                <pt idx="220">
                  <v>134.19</v>
                </pt>
                <pt idx="221">
                  <v>133.13</v>
                </pt>
                <pt idx="222">
                  <v>135.33</v>
                </pt>
                <pt idx="223">
                  <v>134.14</v>
                </pt>
                <pt idx="224">
                  <v>131.58</v>
                </pt>
                <pt idx="225">
                  <v>131.03</v>
                </pt>
                <pt idx="226">
                  <v>132.08</v>
                </pt>
                <pt idx="227">
                  <v>133.92</v>
                </pt>
                <pt idx="228">
                  <v>133.42</v>
                </pt>
                <pt idx="229">
                  <v>134.13</v>
                </pt>
                <pt idx="230">
                  <v>132.55</v>
                </pt>
                <pt idx="231">
                  <v>131.15</v>
                </pt>
                <pt idx="232">
                  <v>130.71</v>
                </pt>
                <pt idx="233">
                  <v>133.18</v>
                </pt>
                <pt idx="234">
                  <v>133.07</v>
                </pt>
                <pt idx="235">
                  <v>133.35</v>
                </pt>
                <pt idx="236">
                  <v>133.81</v>
                </pt>
                <pt idx="237">
                  <v>132.64</v>
                </pt>
                <pt idx="238">
                  <v>132.31</v>
                </pt>
                <pt idx="239">
                  <v>130.69</v>
                </pt>
                <pt idx="240">
                  <v>131.14</v>
                </pt>
                <pt idx="241">
                  <v>130.95</v>
                </pt>
                <pt idx="242">
                  <v>132.64</v>
                </pt>
                <pt idx="243">
                  <v>132.55</v>
                </pt>
                <pt idx="244">
                  <v>132.1</v>
                </pt>
                <pt idx="245">
                  <v>133.47</v>
                </pt>
                <pt idx="246">
                  <v>131.7</v>
                </pt>
                <pt idx="247">
                  <v>132.14</v>
                </pt>
                <pt idx="248">
                  <v>132.55</v>
                </pt>
                <pt idx="249">
                  <v>133.38</v>
                </pt>
                <pt idx="250">
                  <v>133.96</v>
                </pt>
                <pt idx="251">
                  <v>133.79</v>
                </pt>
                <pt idx="252">
                  <v>133.85</v>
                </pt>
                <pt idx="253">
                  <v>133.54</v>
                </pt>
                <pt idx="254">
                  <v>134.38</v>
                </pt>
                <pt idx="255">
                  <v>135.23</v>
                </pt>
                <pt idx="256">
                  <v>134.64</v>
                </pt>
                <pt idx="257">
                  <v>133.38</v>
                </pt>
                <pt idx="258">
                  <v>133.94</v>
                </pt>
                <pt idx="259">
                  <v>133.78</v>
                </pt>
                <pt idx="260">
                  <v>134.11</v>
                </pt>
                <pt idx="261">
                  <v>135.78</v>
                </pt>
                <pt idx="262">
                  <v>135.48</v>
                </pt>
                <pt idx="263">
                  <v>136.19</v>
                </pt>
                <pt idx="264">
                  <v>137.53</v>
                </pt>
                <pt idx="265">
                  <v>138.56</v>
                </pt>
                <pt idx="266">
                  <v>135.94</v>
                </pt>
                <pt idx="267">
                  <v>135.62</v>
                </pt>
                <pt idx="268">
                  <v>134.92</v>
                </pt>
                <pt idx="269">
                  <v>134.58</v>
                </pt>
                <pt idx="270">
                  <v>135.09</v>
                </pt>
                <pt idx="271">
                  <v>135.08</v>
                </pt>
                <pt idx="272">
                  <v>134.33</v>
                </pt>
                <pt idx="273">
                  <v>133.32</v>
                </pt>
                <pt idx="274">
                  <v>133.41</v>
                </pt>
                <pt idx="275">
                  <v>134.43</v>
                </pt>
                <pt idx="276">
                  <v>133.82</v>
                </pt>
                <pt idx="277">
                  <v>133.65</v>
                </pt>
                <pt idx="278">
                  <v>132.26</v>
                </pt>
                <pt idx="279">
                  <v>131.96</v>
                </pt>
                <pt idx="280">
                  <v>132.25</v>
                </pt>
                <pt idx="281">
                  <v>132.34</v>
                </pt>
                <pt idx="282">
                  <v>132.73</v>
                </pt>
                <pt idx="283">
                  <v>134.1</v>
                </pt>
                <pt idx="284">
                  <v>134.89</v>
                </pt>
                <pt idx="285">
                  <v>133.71</v>
                </pt>
                <pt idx="286">
                  <v>133.99</v>
                </pt>
                <pt idx="287">
                  <v>133.94</v>
                </pt>
                <pt idx="288">
                  <v>134.56</v>
                </pt>
                <pt idx="289">
                  <v>134.63</v>
                </pt>
                <pt idx="290">
                  <v>133.63</v>
                </pt>
                <pt idx="291">
                  <v>134.34</v>
                </pt>
                <pt idx="292">
                  <v>135.65</v>
                </pt>
                <pt idx="293">
                  <v>136.89</v>
                </pt>
                <pt idx="294">
                  <v>136.47</v>
                </pt>
                <pt idx="295">
                  <v>137.85</v>
                </pt>
                <pt idx="296">
                  <v>137.39</v>
                </pt>
                <pt idx="297">
                  <v>136.13</v>
                </pt>
                <pt idx="298">
                  <v>134.3</v>
                </pt>
                <pt idx="299">
                  <v>134.35</v>
                </pt>
                <pt idx="300">
                  <v>134.51</v>
                </pt>
                <pt idx="301">
                  <v>135.04</v>
                </pt>
                <pt idx="302">
                  <v>135.92</v>
                </pt>
                <pt idx="303">
                  <v>136.53</v>
                </pt>
                <pt idx="304">
                  <v>136.24</v>
                </pt>
                <pt idx="305">
                  <v>136.49</v>
                </pt>
                <pt idx="306">
                  <v>136.59</v>
                </pt>
                <pt idx="307">
                  <v>134.65</v>
                </pt>
                <pt idx="308">
                  <v>133.7</v>
                </pt>
                <pt idx="309">
                  <v>132.45</v>
                </pt>
                <pt idx="310">
                  <v>132.63</v>
                </pt>
                <pt idx="311">
                  <v>132.18</v>
                </pt>
                <pt idx="312">
                  <v>130.93</v>
                </pt>
                <pt idx="313">
                  <v>130.81</v>
                </pt>
                <pt idx="314">
                  <v>130.66</v>
                </pt>
                <pt idx="315">
                  <v>130.39</v>
                </pt>
                <pt idx="316">
                  <v>130.66</v>
                </pt>
                <pt idx="317">
                  <v>128.88</v>
                </pt>
                <pt idx="318">
                  <v>127.54</v>
                </pt>
                <pt idx="319">
                  <v>127.15</v>
                </pt>
                <pt idx="320">
                  <v>127.01</v>
                </pt>
                <pt idx="321">
                  <v>126.85</v>
                </pt>
                <pt idx="322">
                  <v>127.26</v>
                </pt>
                <pt idx="323">
                  <v>128.37</v>
                </pt>
                <pt idx="324">
                  <v>127.92</v>
                </pt>
                <pt idx="325">
                  <v>129.15</v>
                </pt>
                <pt idx="326">
                  <v>130.13</v>
                </pt>
                <pt idx="327">
                  <v>130.29</v>
                </pt>
                <pt idx="328">
                  <v>130.2</v>
                </pt>
                <pt idx="329">
                  <v>131.5</v>
                </pt>
                <pt idx="330">
                  <v>131.68</v>
                </pt>
                <pt idx="331">
                  <v>131.5</v>
                </pt>
                <pt idx="332">
                  <v>132.03</v>
                </pt>
                <pt idx="333">
                  <v>131.53</v>
                </pt>
                <pt idx="334">
                  <v>130.94</v>
                </pt>
                <pt idx="335">
                  <v>131.61</v>
                </pt>
                <pt idx="336">
                  <v>132.68</v>
                </pt>
                <pt idx="337">
                  <v>132.97</v>
                </pt>
                <pt idx="338">
                  <v>130.96</v>
                </pt>
                <pt idx="339">
                  <v>131.06</v>
                </pt>
                <pt idx="340">
                  <v>130.86</v>
                </pt>
                <pt idx="341">
                  <v>130.15</v>
                </pt>
                <pt idx="342">
                  <v>129.69</v>
                </pt>
                <pt idx="343">
                  <v>129.07</v>
                </pt>
                <pt idx="344">
                  <v>128.96</v>
                </pt>
                <pt idx="345">
                  <v>128.52</v>
                </pt>
                <pt idx="346">
                  <v>129.18</v>
                </pt>
                <pt idx="347">
                  <v>128.71</v>
                </pt>
                <pt idx="348">
                  <v>128.59</v>
                </pt>
                <pt idx="349">
                  <v>128.55</v>
                </pt>
                <pt idx="350">
                  <v>127.87</v>
                </pt>
                <pt idx="351">
                  <v>128.6</v>
                </pt>
                <pt idx="352">
                  <v>128.3</v>
                </pt>
                <pt idx="353">
                  <v>128.19</v>
                </pt>
                <pt idx="354">
                  <v>127.84</v>
                </pt>
                <pt idx="355">
                  <v>128.11</v>
                </pt>
                <pt idx="356">
                  <v>128.4</v>
                </pt>
                <pt idx="357">
                  <v>128.14</v>
                </pt>
                <pt idx="358">
                  <v>128.22</v>
                </pt>
                <pt idx="359">
                  <v>129.11</v>
                </pt>
                <pt idx="360">
                  <v>129.46</v>
                </pt>
                <pt idx="361">
                  <v>130.84</v>
                </pt>
                <pt idx="362">
                  <v>130.89</v>
                </pt>
                <pt idx="363">
                  <v>130.2</v>
                </pt>
                <pt idx="364">
                  <v>130.38</v>
                </pt>
                <pt idx="365">
                  <v>130.28</v>
                </pt>
                <pt idx="366">
                  <v>129.8</v>
                </pt>
                <pt idx="367">
                  <v>130.84</v>
                </pt>
                <pt idx="368">
                  <v>130.37</v>
                </pt>
                <pt idx="369">
                  <v>130.54</v>
                </pt>
                <pt idx="370">
                  <v>130.34</v>
                </pt>
                <pt idx="371">
                  <v>130.24</v>
                </pt>
                <pt idx="372">
                  <v>130.13</v>
                </pt>
                <pt idx="373">
                  <v>129.9</v>
                </pt>
                <pt idx="374">
                  <v>130.09</v>
                </pt>
                <pt idx="375">
                  <v>130.99</v>
                </pt>
                <pt idx="376">
                  <v>130.94</v>
                </pt>
                <pt idx="377">
                  <v>132.46</v>
                </pt>
                <pt idx="378">
                  <v>131.47</v>
                </pt>
                <pt idx="379">
                  <v>130.69</v>
                </pt>
                <pt idx="380">
                  <v>131.36</v>
                </pt>
                <pt idx="381">
                  <v>131.89</v>
                </pt>
                <pt idx="382">
                  <v>132.05</v>
                </pt>
                <pt idx="383">
                  <v>132.68</v>
                </pt>
                <pt idx="384">
                  <v>133.56</v>
                </pt>
                <pt idx="385">
                  <v>133.29</v>
                </pt>
                <pt idx="386">
                  <v>134.45</v>
                </pt>
                <pt idx="387">
                  <v>134.92</v>
                </pt>
                <pt idx="388">
                  <v>137.11</v>
                </pt>
                <pt idx="389">
                  <v>138.02</v>
                </pt>
                <pt idx="390">
                  <v>137.98</v>
                </pt>
                <pt idx="391">
                  <v>138.99</v>
                </pt>
                <pt idx="392">
                  <v>137.97</v>
                </pt>
                <pt idx="393">
                  <v>138.53</v>
                </pt>
                <pt idx="394">
                  <v>138.08</v>
                </pt>
                <pt idx="395">
                  <v>137.98</v>
                </pt>
                <pt idx="396">
                  <v>138.41</v>
                </pt>
                <pt idx="397">
                  <v>137.53</v>
                </pt>
                <pt idx="398">
                  <v>137.74</v>
                </pt>
                <pt idx="399">
                  <v>137.65</v>
                </pt>
                <pt idx="400">
                  <v>137.42</v>
                </pt>
                <pt idx="401">
                  <v>138.07</v>
                </pt>
                <pt idx="402">
                  <v>138.54</v>
                </pt>
                <pt idx="403">
                  <v>137.77</v>
                </pt>
                <pt idx="404">
                  <v>138.05</v>
                </pt>
                <pt idx="405">
                  <v>138.18</v>
                </pt>
                <pt idx="406">
                  <v>139.27</v>
                </pt>
                <pt idx="407">
                  <v>138.16</v>
                </pt>
                <pt idx="408">
                  <v>138.28</v>
                </pt>
                <pt idx="409">
                  <v>137.64</v>
                </pt>
                <pt idx="410">
                  <v>138.37</v>
                </pt>
                <pt idx="411">
                  <v>138.65</v>
                </pt>
                <pt idx="412">
                  <v>138.67</v>
                </pt>
                <pt idx="413">
                  <v>138.81</v>
                </pt>
                <pt idx="414">
                  <v>138.57</v>
                </pt>
                <pt idx="415">
                  <v>138.04</v>
                </pt>
                <pt idx="416">
                  <v>137.41</v>
                </pt>
                <pt idx="417">
                  <v>137.07</v>
                </pt>
                <pt idx="418">
                  <v>136.97</v>
                </pt>
                <pt idx="419">
                  <v>136.7</v>
                </pt>
                <pt idx="420">
                  <v>137.2</v>
                </pt>
                <pt idx="421">
                  <v>137.07</v>
                </pt>
                <pt idx="422">
                  <v>136.81</v>
                </pt>
                <pt idx="423">
                  <v>137.48</v>
                </pt>
                <pt idx="424">
                  <v>138.05</v>
                </pt>
                <pt idx="425">
                  <v>137.56</v>
                </pt>
                <pt idx="426">
                  <v>138.56</v>
                </pt>
                <pt idx="427">
                  <v>138.17</v>
                </pt>
                <pt idx="428">
                  <v>137.41</v>
                </pt>
                <pt idx="429">
                  <v>137.61</v>
                </pt>
                <pt idx="430">
                  <v>138.36</v>
                </pt>
                <pt idx="431">
                  <v>137.65</v>
                </pt>
                <pt idx="432">
                  <v>138.04</v>
                </pt>
                <pt idx="433">
                  <v>138.52</v>
                </pt>
                <pt idx="434">
                  <v>138.55</v>
                </pt>
                <pt idx="435">
                  <v>139.19</v>
                </pt>
                <pt idx="436">
                  <v>138.72</v>
                </pt>
                <pt idx="437">
                  <v>138.08</v>
                </pt>
                <pt idx="438">
                  <v>138.4</v>
                </pt>
                <pt idx="439">
                  <v>137.75</v>
                </pt>
                <pt idx="440">
                  <v>137.89</v>
                </pt>
                <pt idx="441">
                  <v>137.5</v>
                </pt>
                <pt idx="442">
                  <v>138.46</v>
                </pt>
                <pt idx="443">
                  <v>138.14</v>
                </pt>
                <pt idx="444">
                  <v>138.23</v>
                </pt>
                <pt idx="445">
                  <v>137.69</v>
                </pt>
                <pt idx="446">
                  <v>137.95</v>
                </pt>
                <pt idx="447">
                  <v>138.32</v>
                </pt>
                <pt idx="448">
                  <v>138.98</v>
                </pt>
                <pt idx="449">
                  <v>139.31</v>
                </pt>
                <pt idx="450">
                  <v>139.14</v>
                </pt>
                <pt idx="451">
                  <v>140.51</v>
                </pt>
                <pt idx="452">
                  <v>140.21</v>
                </pt>
                <pt idx="453">
                  <v>140.5</v>
                </pt>
                <pt idx="454">
                  <v>140.42</v>
                </pt>
                <pt idx="455">
                  <v>141.14</v>
                </pt>
                <pt idx="456">
                  <v>140.51</v>
                </pt>
                <pt idx="457">
                  <v>139.77</v>
                </pt>
                <pt idx="458">
                  <v>140.54</v>
                </pt>
                <pt idx="459">
                  <v>139.87</v>
                </pt>
                <pt idx="460">
                  <v>139.64</v>
                </pt>
                <pt idx="461">
                  <v>138.87</v>
                </pt>
                <pt idx="462">
                  <v>138.82</v>
                </pt>
                <pt idx="463">
                  <v>138.97</v>
                </pt>
                <pt idx="464">
                  <v>138.95</v>
                </pt>
                <pt idx="465">
                  <v>138.29</v>
                </pt>
                <pt idx="466">
                  <v>138.2</v>
                </pt>
                <pt idx="467">
                  <v>137.76</v>
                </pt>
                <pt idx="468">
                  <v>137.58</v>
                </pt>
                <pt idx="469">
                  <v>137.46</v>
                </pt>
                <pt idx="470">
                  <v>137.38</v>
                </pt>
                <pt idx="471">
                  <v>137.61</v>
                </pt>
                <pt idx="472">
                  <v>137.92</v>
                </pt>
                <pt idx="473">
                  <v>138.78</v>
                </pt>
                <pt idx="474">
                  <v>139.14</v>
                </pt>
                <pt idx="475">
                  <v>138.67</v>
                </pt>
                <pt idx="476">
                  <v>139.08</v>
                </pt>
                <pt idx="477">
                  <v>138.73</v>
                </pt>
                <pt idx="478">
                  <v>139.56</v>
                </pt>
                <pt idx="479">
                  <v>138.57</v>
                </pt>
                <pt idx="480">
                  <v>139.19</v>
                </pt>
                <pt idx="481">
                  <v>139.74</v>
                </pt>
                <pt idx="482">
                  <v>139.44</v>
                </pt>
                <pt idx="483">
                  <v>139.53</v>
                </pt>
                <pt idx="484">
                  <v>139.9</v>
                </pt>
                <pt idx="485">
                  <v>139.71</v>
                </pt>
                <pt idx="486">
                  <v>139.6</v>
                </pt>
                <pt idx="487">
                  <v>140.44</v>
                </pt>
                <pt idx="488">
                  <v>141.35</v>
                </pt>
                <pt idx="489">
                  <v>141.28</v>
                </pt>
                <pt idx="490">
                  <v>141.49</v>
                </pt>
                <pt idx="491">
                  <v>141.47</v>
                </pt>
                <pt idx="492">
                  <v>141.5</v>
                </pt>
                <pt idx="493">
                  <v>141.74</v>
                </pt>
                <pt idx="494">
                  <v>141.32</v>
                </pt>
                <pt idx="495">
                  <v>141.23</v>
                </pt>
                <pt idx="496">
                  <v>141.78</v>
                </pt>
                <pt idx="497">
                  <v>141.03</v>
                </pt>
                <pt idx="498">
                  <v>140.81</v>
                </pt>
                <pt idx="499">
                  <v>140.9</v>
                </pt>
                <pt idx="500">
                  <v>141.89</v>
                </pt>
                <pt idx="501">
                  <v>142.69</v>
                </pt>
                <pt idx="502">
                  <v>143.41</v>
                </pt>
                <pt idx="503">
                  <v>142.8</v>
                </pt>
                <pt idx="504">
                  <v>141.98</v>
                </pt>
                <pt idx="505">
                  <v>148.62</v>
                </pt>
                <pt idx="506">
                  <v>149.38</v>
                </pt>
                <pt idx="507">
                  <v>149.85</v>
                </pt>
                <pt idx="508">
                  <v>148.43</v>
                </pt>
                <pt idx="509">
                  <v>148.1</v>
                </pt>
                <pt idx="510">
                  <v>148.59</v>
                </pt>
                <pt idx="511">
                  <v>149.88</v>
                </pt>
                <pt idx="512">
                  <v>150.3</v>
                </pt>
                <pt idx="513">
                  <v>150.46</v>
                </pt>
                <pt idx="514">
                  <v>150.76</v>
                </pt>
                <pt idx="515">
                  <v>151.33</v>
                </pt>
                <pt idx="516">
                  <v>152.06</v>
                </pt>
                <pt idx="517">
                  <v>152.6</v>
                </pt>
                <pt idx="518">
                  <v>153.37</v>
                </pt>
                <pt idx="519">
                  <v>154.46</v>
                </pt>
                <pt idx="520">
                  <v>154.41</v>
                </pt>
                <pt idx="521">
                  <v>152.02</v>
                </pt>
                <pt idx="522">
                  <v>151.48</v>
                </pt>
                <pt idx="523">
                  <v>152.65</v>
                </pt>
                <pt idx="524">
                  <v>150.9</v>
                </pt>
                <pt idx="525">
                  <v>151.53</v>
                </pt>
                <pt idx="526">
                  <v>150.3</v>
                </pt>
                <pt idx="527">
                  <v>150.89</v>
                </pt>
                <pt idx="528">
                  <v>151.8</v>
                </pt>
                <pt idx="529">
                  <v>152.83</v>
                </pt>
                <pt idx="530">
                  <v>149.95</v>
                </pt>
                <pt idx="531">
                  <v>151.57</v>
                </pt>
                <pt idx="532">
                  <v>152.28</v>
                </pt>
                <pt idx="533">
                  <v>152.65</v>
                </pt>
                <pt idx="534">
                  <v>153.17</v>
                </pt>
                <pt idx="535">
                  <v>153.9</v>
                </pt>
                <pt idx="536">
                  <v>157.6</v>
                </pt>
                <pt idx="537">
                  <v>160.76</v>
                </pt>
                <pt idx="538">
                  <v>163.16</v>
                </pt>
                <pt idx="539">
                  <v>155.94</v>
                </pt>
                <pt idx="540">
                  <v>158.57</v>
                </pt>
                <pt idx="541">
                  <v>162.94</v>
                </pt>
                <pt idx="542">
                  <v>163.76</v>
                </pt>
                <pt idx="543">
                  <v>162.55</v>
                </pt>
                <pt idx="544">
                  <v>166.41</v>
                </pt>
                <pt idx="545">
                  <v>169.14</v>
                </pt>
                <pt idx="546">
                  <v>170.82</v>
                </pt>
                <pt idx="547">
                  <v>163.96</v>
                </pt>
                <pt idx="548">
                  <v>160.85</v>
                </pt>
                <pt idx="549">
                  <v>160.02</v>
                </pt>
                <pt idx="550">
                  <v>158.39</v>
                </pt>
                <pt idx="551">
                  <v>157.25</v>
                </pt>
                <pt idx="552">
                  <v>154.9</v>
                </pt>
                <pt idx="553">
                  <v>152.62</v>
                </pt>
                <pt idx="554">
                  <v>155.09</v>
                </pt>
                <pt idx="555">
                  <v>159.05</v>
                </pt>
                <pt idx="556">
                  <v>160.7</v>
                </pt>
                <pt idx="557">
                  <v>161.12</v>
                </pt>
                <pt idx="558">
                  <v>163.79</v>
                </pt>
                <pt idx="559">
                  <v>163.32</v>
                </pt>
                <pt idx="560">
                  <v>166.72</v>
                </pt>
                <pt idx="561">
                  <v>168.61</v>
                </pt>
                <pt idx="562">
                  <v>166.79</v>
                </pt>
                <pt idx="563">
                  <v>170.41</v>
                </pt>
                <pt idx="564">
                  <v>173.51</v>
                </pt>
                <pt idx="565">
                  <v>170.89</v>
                </pt>
                <pt idx="566">
                  <v>168.98</v>
                </pt>
                <pt idx="567">
                  <v>168.65</v>
                </pt>
                <pt idx="568">
                  <v>160.82</v>
                </pt>
                <pt idx="569">
                  <v>161.16</v>
                </pt>
                <pt idx="570">
                  <v>162.3</v>
                </pt>
                <pt idx="571">
                  <v>162.64</v>
                </pt>
                <pt idx="572">
                  <v>161.31</v>
                </pt>
                <pt idx="573">
                  <v>160.13</v>
                </pt>
                <pt idx="574">
                  <v>158.69</v>
                </pt>
                <pt idx="575">
                  <v>156.07</v>
                </pt>
                <pt idx="576">
                  <v>154.83</v>
                </pt>
                <pt idx="577">
                  <v>153.84</v>
                </pt>
                <pt idx="578">
                  <v>154.24</v>
                </pt>
                <pt idx="579">
                  <v>153.16</v>
                </pt>
                <pt idx="580">
                  <v>152.06</v>
                </pt>
                <pt idx="581">
                  <v>152.74</v>
                </pt>
                <pt idx="582">
                  <v>152.91</v>
                </pt>
                <pt idx="583">
                  <v>152.27</v>
                </pt>
                <pt idx="584">
                  <v>153.29</v>
                </pt>
                <pt idx="585">
                  <v>153.87</v>
                </pt>
                <pt idx="586">
                  <v>153.19</v>
                </pt>
                <pt idx="587">
                  <v>153.12</v>
                </pt>
                <pt idx="588">
                  <v>152.85</v>
                </pt>
                <pt idx="589">
                  <v>152.2</v>
                </pt>
                <pt idx="590">
                  <v>152.16</v>
                </pt>
                <pt idx="591">
                  <v>152.02</v>
                </pt>
                <pt idx="592">
                  <v>152.03</v>
                </pt>
                <pt idx="593">
                  <v>152.19</v>
                </pt>
                <pt idx="594">
                  <v>152.29</v>
                </pt>
                <pt idx="595">
                  <v>153.06</v>
                </pt>
                <pt idx="596">
                  <v>153.11</v>
                </pt>
                <pt idx="597">
                  <v>152.84</v>
                </pt>
                <pt idx="598">
                  <v>152.65</v>
                </pt>
                <pt idx="599">
                  <v>152.66</v>
                </pt>
                <pt idx="600">
                  <v>152.18</v>
                </pt>
                <pt idx="601">
                  <v>150.98</v>
                </pt>
                <pt idx="602">
                  <v>150.64</v>
                </pt>
                <pt idx="603">
                  <v>150.2</v>
                </pt>
                <pt idx="604">
                  <v>149.33</v>
                </pt>
                <pt idx="605">
                  <v>148.73</v>
                </pt>
                <pt idx="606">
                  <v>149.43</v>
                </pt>
                <pt idx="607">
                  <v>150.39</v>
                </pt>
                <pt idx="608">
                  <v>152.78</v>
                </pt>
                <pt idx="609">
                  <v>153.66</v>
                </pt>
                <pt idx="610">
                  <v>153.75</v>
                </pt>
                <pt idx="611">
                  <v>154.05</v>
                </pt>
                <pt idx="612">
                  <v>153.22</v>
                </pt>
                <pt idx="613">
                  <v>156.21</v>
                </pt>
                <pt idx="614">
                  <v>154.28</v>
                </pt>
                <pt idx="615">
                  <v>152.65</v>
                </pt>
                <pt idx="616">
                  <v>148.47</v>
                </pt>
                <pt idx="617">
                  <v>148.7</v>
                </pt>
                <pt idx="618">
                  <v>150.19</v>
                </pt>
                <pt idx="619">
                  <v>150.86</v>
                </pt>
                <pt idx="620">
                  <v>151.85</v>
                </pt>
                <pt idx="621">
                  <v>152.12</v>
                </pt>
                <pt idx="622">
                  <v>150.43</v>
                </pt>
                <pt idx="623">
                  <v>149.33</v>
                </pt>
                <pt idx="624">
                  <v>150.2</v>
                </pt>
                <pt idx="625">
                  <v>151.27</v>
                </pt>
                <pt idx="626">
                  <v>151.72</v>
                </pt>
                <pt idx="627">
                  <v>152.32</v>
                </pt>
                <pt idx="628">
                  <v>153.46</v>
                </pt>
                <pt idx="629">
                  <v>152.64</v>
                </pt>
                <pt idx="630">
                  <v>153.66</v>
                </pt>
                <pt idx="631">
                  <v>153.02</v>
                </pt>
                <pt idx="632">
                  <v>154.19</v>
                </pt>
                <pt idx="633">
                  <v>157.41</v>
                </pt>
                <pt idx="634">
                  <v>156.92</v>
                </pt>
                <pt idx="635">
                  <v>157</v>
                </pt>
                <pt idx="636">
                  <v>158.82</v>
                </pt>
                <pt idx="637">
                  <v>156.07</v>
                </pt>
                <pt idx="638">
                  <v>156.96</v>
                </pt>
                <pt idx="639">
                  <v>156.65</v>
                </pt>
                <pt idx="640">
                  <v>157.16</v>
                </pt>
                <pt idx="641">
                  <v>157.6</v>
                </pt>
                <pt idx="642">
                  <v>156.6</v>
                </pt>
                <pt idx="643">
                  <v>155.45</v>
                </pt>
                <pt idx="644">
                  <v>155.57</v>
                </pt>
                <pt idx="645">
                  <v>155.29</v>
                </pt>
                <pt idx="646">
                  <v>155.58</v>
                </pt>
                <pt idx="647">
                  <v>154.57</v>
                </pt>
                <pt idx="648">
                  <v>155.88</v>
                </pt>
                <pt idx="649">
                  <v>155.9</v>
                </pt>
                <pt idx="650">
                  <v>155.89</v>
                </pt>
                <pt idx="651">
                  <v>156.39</v>
                </pt>
                <pt idx="652">
                  <v>155.56</v>
                </pt>
                <pt idx="653">
                  <v>153.97</v>
                </pt>
                <pt idx="654">
                  <v>151.8</v>
                </pt>
                <pt idx="655">
                  <v>150.2</v>
                </pt>
                <pt idx="656">
                  <v>150.42</v>
                </pt>
                <pt idx="657">
                  <v>150.33</v>
                </pt>
                <pt idx="658">
                  <v>149.69</v>
                </pt>
                <pt idx="659">
                  <v>150.18</v>
                </pt>
                <pt idx="660">
                  <v>150.19</v>
                </pt>
                <pt idx="661">
                  <v>149.95</v>
                </pt>
                <pt idx="662">
                  <v>149.93</v>
                </pt>
                <pt idx="663">
                  <v>149.69</v>
                </pt>
                <pt idx="664">
                  <v>150.14</v>
                </pt>
                <pt idx="665">
                  <v>149.31</v>
                </pt>
                <pt idx="666">
                  <v>148.47</v>
                </pt>
                <pt idx="667">
                  <v>147.8</v>
                </pt>
                <pt idx="668">
                  <v>147.44</v>
                </pt>
                <pt idx="669">
                  <v>148.16</v>
                </pt>
                <pt idx="670">
                  <v>149.24</v>
                </pt>
                <pt idx="671">
                  <v>149.72</v>
                </pt>
                <pt idx="672">
                  <v>150.66</v>
                </pt>
                <pt idx="673">
                  <v>151.61</v>
                </pt>
                <pt idx="674">
                  <v>151.94</v>
                </pt>
                <pt idx="675">
                  <v>152.13</v>
                </pt>
                <pt idx="676">
                  <v>151.71</v>
                </pt>
                <pt idx="677">
                  <v>153.57</v>
                </pt>
                <pt idx="678">
                  <v>156.94</v>
                </pt>
                <pt idx="679">
                  <v>158.49</v>
                </pt>
                <pt idx="680">
                  <v>163.89</v>
                </pt>
                <pt idx="681">
                  <v>157.11</v>
                </pt>
                <pt idx="682">
                  <v>163.48</v>
                </pt>
                <pt idx="683">
                  <v>165.49</v>
                </pt>
                <pt idx="684">
                  <v>163.14</v>
                </pt>
                <pt idx="685">
                  <v>163.57</v>
                </pt>
                <pt idx="686">
                  <v>162.28</v>
                </pt>
                <pt idx="687">
                  <v>156.86</v>
                </pt>
                <pt idx="688">
                  <v>153.39</v>
                </pt>
                <pt idx="689">
                  <v>154.77</v>
                </pt>
                <pt idx="690">
                  <v>154.84</v>
                </pt>
                <pt idx="691">
                  <v>153.93</v>
                </pt>
                <pt idx="692">
                  <v>155.28</v>
                </pt>
                <pt idx="693">
                  <v>154.3</v>
                </pt>
                <pt idx="694">
                  <v>154.57</v>
                </pt>
                <pt idx="695">
                  <v>156.25</v>
                </pt>
                <pt idx="696">
                  <v>158.88</v>
                </pt>
                <pt idx="697">
                  <v>156.81</v>
                </pt>
                <pt idx="698">
                  <v>154.98</v>
                </pt>
                <pt idx="699">
                  <v>153.93</v>
                </pt>
                <pt idx="700">
                  <v>152.88</v>
                </pt>
                <pt idx="701">
                  <v>152.6</v>
                </pt>
                <pt idx="702">
                  <v>153.01</v>
                </pt>
                <pt idx="703">
                  <v>154.09</v>
                </pt>
                <pt idx="704">
                  <v>155.22</v>
                </pt>
                <pt idx="705">
                  <v>154.77</v>
                </pt>
                <pt idx="706">
                  <v>153.71</v>
                </pt>
                <pt idx="707">
                  <v>153.96</v>
                </pt>
                <pt idx="708">
                  <v>153.73</v>
                </pt>
                <pt idx="709">
                  <v>153.21</v>
                </pt>
                <pt idx="710">
                  <v>152.35</v>
                </pt>
                <pt idx="711">
                  <v>152.2</v>
                </pt>
                <pt idx="712">
                  <v>153.06</v>
                </pt>
                <pt idx="713">
                  <v>152.75</v>
                </pt>
                <pt idx="714">
                  <v>155.26</v>
                </pt>
                <pt idx="715">
                  <v>156.28</v>
                </pt>
                <pt idx="716">
                  <v>154.59</v>
                </pt>
                <pt idx="717">
                  <v>153.71</v>
                </pt>
                <pt idx="718">
                  <v>152.46</v>
                </pt>
                <pt idx="719">
                  <v>152.65</v>
                </pt>
                <pt idx="720">
                  <v>152.7</v>
                </pt>
                <pt idx="721">
                  <v>153.62</v>
                </pt>
                <pt idx="722">
                  <v>155.52</v>
                </pt>
                <pt idx="723">
                  <v>158.94</v>
                </pt>
                <pt idx="724">
                  <v>157.66</v>
                </pt>
                <pt idx="725">
                  <v>156.53</v>
                </pt>
                <pt idx="726">
                  <v>156.23</v>
                </pt>
                <pt idx="727">
                  <v>157.19</v>
                </pt>
                <pt idx="728">
                  <v>157.11</v>
                </pt>
                <pt idx="729">
                  <v>158.7</v>
                </pt>
                <pt idx="730">
                  <v>159.3</v>
                </pt>
                <pt idx="731">
                  <v>161.33</v>
                </pt>
                <pt idx="732">
                  <v>163.7</v>
                </pt>
                <pt idx="733">
                  <v>164.74</v>
                </pt>
                <pt idx="734">
                  <v>165.63</v>
                </pt>
                <pt idx="735">
                  <v>163.98</v>
                </pt>
                <pt idx="736">
                  <v>165.94</v>
                </pt>
                <pt idx="737">
                  <v>166.47</v>
                </pt>
                <pt idx="738">
                  <v>166.65</v>
                </pt>
                <pt idx="739">
                  <v>166.16</v>
                </pt>
                <pt idx="740">
                  <v>165.04</v>
                </pt>
                <pt idx="741">
                  <v>165.35</v>
                </pt>
                <pt idx="742">
                  <v>164.49</v>
                </pt>
                <pt idx="743">
                  <v>164.32</v>
                </pt>
                <pt idx="744">
                  <v>164.73</v>
                </pt>
                <pt idx="745">
                  <v>166.3</v>
                </pt>
                <pt idx="746">
                  <v>167.28</v>
                </pt>
                <pt idx="747">
                  <v>166.05</v>
                </pt>
                <pt idx="748">
                  <v>161.4</v>
                </pt>
                <pt idx="749">
                  <v>158.82</v>
                </pt>
                <pt idx="750">
                  <v>154.54</v>
                </pt>
                <pt idx="751">
                  <v>154.21</v>
                </pt>
                <pt idx="752">
                  <v>155.2</v>
                </pt>
                <pt idx="753">
                  <v>155.54</v>
                </pt>
                <pt idx="754">
                  <v>153.15</v>
                </pt>
                <pt idx="755">
                  <v>149.69</v>
                </pt>
                <pt idx="756">
                  <v>150.19</v>
                </pt>
                <pt idx="757">
                  <v>152.34</v>
                </pt>
                <pt idx="758">
                  <v>153.13</v>
                </pt>
                <pt idx="759">
                  <v>152.5</v>
                </pt>
                <pt idx="760">
                  <v>152.2</v>
                </pt>
                <pt idx="761">
                  <v>153.35</v>
                </pt>
                <pt idx="762">
                  <v>152.23</v>
                </pt>
                <pt idx="763">
                  <v>149.39</v>
                </pt>
                <pt idx="764">
                  <v>149.11</v>
                </pt>
                <pt idx="765">
                  <v>149</v>
                </pt>
                <pt idx="766">
                  <v>149.59</v>
                </pt>
                <pt idx="767">
                  <v>150.27</v>
                </pt>
                <pt idx="768">
                  <v>150.95</v>
                </pt>
                <pt idx="769">
                  <v>149.71</v>
                </pt>
                <pt idx="770">
                  <v>149.26</v>
                </pt>
                <pt idx="771">
                  <v>148.75</v>
                </pt>
                <pt idx="772">
                  <v>150.91</v>
                </pt>
                <pt idx="773">
                  <v>155.72</v>
                </pt>
                <pt idx="774">
                  <v>154.07</v>
                </pt>
                <pt idx="775">
                  <v>154.59</v>
                </pt>
                <pt idx="776">
                  <v>155.03</v>
                </pt>
                <pt idx="777">
                  <v>152.01</v>
                </pt>
                <pt idx="778">
                  <v>152.05</v>
                </pt>
                <pt idx="779">
                  <v>151.79</v>
                </pt>
                <pt idx="780">
                  <v>152.71</v>
                </pt>
                <pt idx="781">
                  <v>152.66</v>
                </pt>
                <pt idx="782">
                  <v>152.77</v>
                </pt>
                <pt idx="783">
                  <v>151.02</v>
                </pt>
                <pt idx="784">
                  <v>150.31</v>
                </pt>
                <pt idx="785">
                  <v>150.42</v>
                </pt>
                <pt idx="786">
                  <v>151.36</v>
                </pt>
                <pt idx="787">
                  <v>151.74</v>
                </pt>
                <pt idx="788">
                  <v>150.74</v>
                </pt>
                <pt idx="789">
                  <v>150.66</v>
                </pt>
                <pt idx="790">
                  <v>150.74</v>
                </pt>
                <pt idx="791">
                  <v>150.21</v>
                </pt>
                <pt idx="792">
                  <v>149.84</v>
                </pt>
                <pt idx="793">
                  <v>151.28</v>
                </pt>
                <pt idx="794">
                  <v>151.14</v>
                </pt>
                <pt idx="795">
                  <v>149.94</v>
                </pt>
                <pt idx="796">
                  <v>150.66</v>
                </pt>
                <pt idx="797">
                  <v>149.94</v>
                </pt>
                <pt idx="798">
                  <v>149.96</v>
                </pt>
                <pt idx="799">
                  <v>148.86</v>
                </pt>
                <pt idx="800">
                  <v>150.2</v>
                </pt>
                <pt idx="801">
                  <v>151.09</v>
                </pt>
                <pt idx="802">
                  <v>151.06</v>
                </pt>
                <pt idx="803">
                  <v>150.7</v>
                </pt>
                <pt idx="804">
                  <v>151.51</v>
                </pt>
                <pt idx="805">
                  <v>151.61</v>
                </pt>
                <pt idx="806">
                  <v>151.41</v>
                </pt>
                <pt idx="807">
                  <v>151.37</v>
                </pt>
                <pt idx="808">
                  <v>151.86</v>
                </pt>
                <pt idx="809">
                  <v>152.51</v>
                </pt>
                <pt idx="810">
                  <v>153.62</v>
                </pt>
                <pt idx="811">
                  <v>154.32</v>
                </pt>
                <pt idx="812">
                  <v>158.57</v>
                </pt>
                <pt idx="813">
                  <v>159.5</v>
                </pt>
                <pt idx="814">
                  <v>158.73</v>
                </pt>
                <pt idx="815">
                  <v>158.14</v>
                </pt>
                <pt idx="816">
                  <v>157.19</v>
                </pt>
                <pt idx="817">
                  <v>157.7</v>
                </pt>
                <pt idx="818">
                  <v>158.59</v>
                </pt>
                <pt idx="819">
                  <v>159.02</v>
                </pt>
                <pt idx="820">
                  <v>158.08</v>
                </pt>
                <pt idx="821">
                  <v>158.62</v>
                </pt>
                <pt idx="822">
                  <v>158.62</v>
                </pt>
                <pt idx="823">
                  <v>158.29</v>
                </pt>
                <pt idx="824">
                  <v>158.65</v>
                </pt>
                <pt idx="825">
                  <v>159.1</v>
                </pt>
                <pt idx="826">
                  <v>159.08</v>
                </pt>
                <pt idx="827">
                  <v>159.17</v>
                </pt>
                <pt idx="828">
                  <v>158.78</v>
                </pt>
                <pt idx="829">
                  <v>157.66</v>
                </pt>
                <pt idx="830">
                  <v>157.75</v>
                </pt>
                <pt idx="831">
                  <v>157.23</v>
                </pt>
                <pt idx="832">
                  <v>156.55</v>
                </pt>
                <pt idx="833">
                  <v>156.14</v>
                </pt>
                <pt idx="834">
                  <v>155.42</v>
                </pt>
                <pt idx="835">
                  <v>155.73</v>
                </pt>
                <pt idx="836">
                  <v>156.59</v>
                </pt>
                <pt idx="837">
                  <v>155.94</v>
                </pt>
                <pt idx="838">
                  <v>154.14</v>
                </pt>
                <pt idx="839">
                  <v>153.31</v>
                </pt>
                <pt idx="840">
                  <v>153.28</v>
                </pt>
                <pt idx="841">
                  <v>154.06</v>
                </pt>
                <pt idx="842">
                  <v>154.75</v>
                </pt>
                <pt idx="843">
                  <v>156.01</v>
                </pt>
                <pt idx="844">
                  <v>156.47</v>
                </pt>
                <pt idx="845">
                  <v>156.98</v>
                </pt>
                <pt idx="846">
                  <v>157.31</v>
                </pt>
                <pt idx="847">
                  <v>153.65</v>
                </pt>
                <pt idx="848">
                  <v>153.13</v>
                </pt>
                <pt idx="849">
                  <v>153.88</v>
                </pt>
                <pt idx="850">
                  <v>153.48</v>
                </pt>
                <pt idx="851">
                  <v>153.51</v>
                </pt>
                <pt idx="852">
                  <v>153.36</v>
                </pt>
                <pt idx="853">
                  <v>154.98</v>
                </pt>
                <pt idx="854">
                  <v>156.47</v>
                </pt>
                <pt idx="855">
                  <v>157.19</v>
                </pt>
                <pt idx="856">
                  <v>159.22</v>
                </pt>
                <pt idx="857">
                  <v>160.72</v>
                </pt>
                <pt idx="858">
                  <v>162.77</v>
                </pt>
                <pt idx="859">
                  <v>161.54</v>
                </pt>
                <pt idx="860">
                  <v>162.05</v>
                </pt>
                <pt idx="861">
                  <v>161.99</v>
                </pt>
                <pt idx="862">
                  <v>161.59</v>
                </pt>
                <pt idx="863">
                  <v>163.87</v>
                </pt>
                <pt idx="864">
                  <v>165.11</v>
                </pt>
                <pt idx="865">
                  <v>165.91</v>
                </pt>
                <pt idx="866">
                  <v>166.3</v>
                </pt>
                <pt idx="867">
                  <v>165.44</v>
                </pt>
                <pt idx="868">
                  <v>165.17</v>
                </pt>
                <pt idx="869">
                  <v>167.68</v>
                </pt>
                <pt idx="870">
                  <v>168.11</v>
                </pt>
                <pt idx="871">
                  <v>168.81</v>
                </pt>
                <pt idx="872">
                  <v>167.64</v>
                </pt>
                <pt idx="873">
                  <v>170.23</v>
                </pt>
                <pt idx="874">
                  <v>170.87</v>
                </pt>
                <pt idx="875">
                  <v>171.75</v>
                </pt>
                <pt idx="876">
                  <v>170.54</v>
                </pt>
                <pt idx="877">
                  <v>170.07</v>
                </pt>
                <pt idx="878">
                  <v>170.88</v>
                </pt>
                <pt idx="879">
                  <v>171.68</v>
                </pt>
                <pt idx="880">
                  <v>172.18</v>
                </pt>
                <pt idx="881">
                  <v>171.72</v>
                </pt>
                <pt idx="882">
                  <v>170.15</v>
                </pt>
                <pt idx="883">
                  <v>169.41</v>
                </pt>
                <pt idx="884">
                  <v>170.36</v>
                </pt>
                <pt idx="885">
                  <v>170.17</v>
                </pt>
                <pt idx="886">
                  <v>171.42</v>
                </pt>
                <pt idx="887">
                  <v>172.51</v>
                </pt>
                <pt idx="888">
                  <v>173.76</v>
                </pt>
                <pt idx="889">
                  <v>174.26</v>
                </pt>
                <pt idx="890">
                  <v>174.87</v>
                </pt>
                <pt idx="891">
                  <v>176.68</v>
                </pt>
                <pt idx="892">
                  <v>176.39</v>
                </pt>
                <pt idx="893">
                  <v>175.5</v>
                </pt>
                <pt idx="894">
                  <v>178.02</v>
                </pt>
                <pt idx="895">
                  <v>177.17</v>
                </pt>
                <pt idx="896">
                  <v>177.38</v>
                </pt>
                <pt idx="897">
                  <v>178.78</v>
                </pt>
                <pt idx="898">
                  <v>178.79</v>
                </pt>
                <pt idx="899">
                  <v>178.43</v>
                </pt>
                <pt idx="900">
                  <v>178.37</v>
                </pt>
                <pt idx="901">
                  <v>178.67</v>
                </pt>
                <pt idx="902">
                  <v>179.23</v>
                </pt>
                <pt idx="903">
                  <v>178.23</v>
                </pt>
                <pt idx="904">
                  <v>174.22</v>
                </pt>
                <pt idx="905">
                  <v>172.76</v>
                </pt>
                <pt idx="906">
                  <v>173.46</v>
                </pt>
                <pt idx="907">
                  <v>173.67</v>
                </pt>
                <pt idx="908">
                  <v>173.75</v>
                </pt>
                <pt idx="909">
                  <v>170.99</v>
                </pt>
                <pt idx="910">
                  <v>171.12</v>
                </pt>
                <pt idx="911">
                  <v>169.7</v>
                </pt>
                <pt idx="912">
                  <v>171.19</v>
                </pt>
                <pt idx="913">
                  <v>169.82</v>
                </pt>
                <pt idx="914">
                  <v>169.32</v>
                </pt>
                <pt idx="915">
                  <v>166.93</v>
                </pt>
                <pt idx="916">
                  <v>166.3</v>
                </pt>
                <pt idx="917">
                  <v>167.31</v>
                </pt>
                <pt idx="918">
                  <v>169.31</v>
                </pt>
                <pt idx="919">
                  <v>170.31</v>
                </pt>
                <pt idx="920">
                  <v>171.69</v>
                </pt>
                <pt idx="921">
                  <v>173.02</v>
                </pt>
                <pt idx="922">
                  <v>173.76</v>
                </pt>
                <pt idx="923">
                  <v>172.98</v>
                </pt>
                <pt idx="924">
                  <v>174.02</v>
                </pt>
                <pt idx="925">
                  <v>175.2</v>
                </pt>
                <pt idx="926">
                  <v>176.4</v>
                </pt>
                <pt idx="927">
                  <v>176.35</v>
                </pt>
                <pt idx="928">
                  <v>175.64</v>
                </pt>
                <pt idx="929">
                  <v>176.65</v>
                </pt>
                <pt idx="930">
                  <v>177.24</v>
                </pt>
                <pt idx="931">
                  <v>176.65</v>
                </pt>
                <pt idx="932">
                  <v>178.65</v>
                </pt>
                <pt idx="933">
                  <v>178.14</v>
                </pt>
                <pt idx="934">
                  <v>179.34</v>
                </pt>
                <pt idx="935">
                  <v>180.6</v>
                </pt>
                <pt idx="936">
                  <v>180.54</v>
                </pt>
                <pt idx="937">
                  <v>181.9</v>
                </pt>
                <pt idx="938">
                  <v>182.88</v>
                </pt>
                <pt idx="939">
                  <v>182.89</v>
                </pt>
                <pt idx="940">
                  <v>181.54</v>
                </pt>
                <pt idx="941">
                  <v>182.1</v>
                </pt>
                <pt idx="942">
                  <v>182.74</v>
                </pt>
                <pt idx="943">
                  <v>183.79</v>
                </pt>
                <pt idx="944">
                  <v>186.36</v>
                </pt>
                <pt idx="945">
                  <v>186.27</v>
                </pt>
                <pt idx="946">
                  <v>186.54</v>
                </pt>
                <pt idx="947">
                  <v>185.85</v>
                </pt>
                <pt idx="948">
                  <v>186.69</v>
                </pt>
                <pt idx="949">
                  <v>188.69</v>
                </pt>
                <pt idx="950">
                  <v>188.33</v>
                </pt>
                <pt idx="951">
                  <v>188.64</v>
                </pt>
                <pt idx="952">
                  <v>189.81</v>
                </pt>
                <pt idx="953">
                  <v>190.09</v>
                </pt>
                <pt idx="954">
                  <v>187.65</v>
                </pt>
                <pt idx="955">
                  <v>181</v>
                </pt>
                <pt idx="956">
                  <v>182.51</v>
                </pt>
                <pt idx="957">
                  <v>183.76</v>
                </pt>
                <pt idx="958">
                  <v>185.04</v>
                </pt>
                <pt idx="959">
                  <v>185.41</v>
                </pt>
                <pt idx="960">
                  <v>183.72</v>
                </pt>
                <pt idx="961">
                  <v>184.03</v>
                </pt>
                <pt idx="962">
                  <v>184.09</v>
                </pt>
                <pt idx="963">
                  <v>184.39</v>
                </pt>
                <pt idx="964">
                  <v>183.37</v>
                </pt>
                <pt idx="965">
                  <v>183.43</v>
                </pt>
                <pt idx="966">
                  <v>184.3</v>
                </pt>
                <pt idx="967">
                  <v>185.99</v>
                </pt>
                <pt idx="968">
                  <v>185.79</v>
                </pt>
                <pt idx="969">
                  <v>184.27</v>
                </pt>
                <pt idx="970">
                  <v>183.98</v>
                </pt>
                <pt idx="971">
                  <v>183.58</v>
                </pt>
                <pt idx="972">
                  <v>183.37</v>
                </pt>
                <pt idx="973">
                  <v>185.04</v>
                </pt>
                <pt idx="974">
                  <v>185.28</v>
                </pt>
                <pt idx="975">
                  <v>184.13</v>
                </pt>
                <pt idx="976">
                  <v>184.3</v>
                </pt>
                <pt idx="977">
                  <v>184.23</v>
                </pt>
                <pt idx="978">
                  <v>184.11</v>
                </pt>
                <pt idx="979">
                  <v>182.57</v>
                </pt>
                <pt idx="980">
                  <v>183.64</v>
                </pt>
                <pt idx="981">
                  <v>183.14</v>
                </pt>
                <pt idx="982">
                  <v>181.33</v>
                </pt>
                <pt idx="983">
                  <v>182.51</v>
                </pt>
                <pt idx="984">
                  <v>183.61</v>
                </pt>
                <pt idx="985">
                  <v>182.92</v>
                </pt>
                <pt idx="986">
                  <v>183.61</v>
                </pt>
                <pt idx="987">
                  <v>183.79</v>
                </pt>
                <pt idx="988">
                  <v>185.52</v>
                </pt>
                <pt idx="989">
                  <v>186.58</v>
                </pt>
                <pt idx="990">
                  <v>187.09</v>
                </pt>
                <pt idx="991">
                  <v>187.03</v>
                </pt>
                <pt idx="992">
                  <v>185.83</v>
                </pt>
                <pt idx="993">
                  <v>186.78</v>
                </pt>
                <pt idx="994">
                  <v>185.03</v>
                </pt>
                <pt idx="995">
                  <v>187</v>
                </pt>
                <pt idx="996">
                  <v>187.66</v>
                </pt>
                <pt idx="997">
                  <v>187.83</v>
                </pt>
                <pt idx="998">
                  <v>179.2</v>
                </pt>
                <pt idx="999">
                  <v>173.88</v>
                </pt>
                <pt idx="1000">
                  <v>173.93</v>
                </pt>
                <pt idx="1001">
                  <v>174.98</v>
                </pt>
                <pt idx="1002">
                  <v>175.74</v>
                </pt>
                <pt idx="1003">
                  <v>177.24</v>
                </pt>
                <pt idx="1004">
                  <v>177.63</v>
                </pt>
                <pt idx="1005">
                  <v>179.99</v>
                </pt>
                <pt idx="1006">
                  <v>180.45</v>
                </pt>
                <pt idx="1007">
                  <v>181.9</v>
                </pt>
                <pt idx="1008">
                  <v>183.67</v>
                </pt>
                <pt idx="1009">
                  <v>183.65</v>
                </pt>
                <pt idx="1010">
                  <v>182.84</v>
                </pt>
                <pt idx="1011">
                  <v>180.46</v>
                </pt>
                <pt idx="1012">
                  <v>177.72</v>
                </pt>
                <pt idx="1013">
                  <v>173.91</v>
                </pt>
                <pt idx="1014">
                  <v>170.68</v>
                </pt>
                <pt idx="1015">
                  <v>170.31</v>
                </pt>
                <pt idx="1016">
                  <v>172.97</v>
                </pt>
                <pt idx="1017">
                  <v>171.42</v>
                </pt>
                <pt idx="1018">
                  <v>173.11</v>
                </pt>
                <pt idx="1019">
                  <v>175.41</v>
                </pt>
                <pt idx="1020">
                  <v>175.73</v>
                </pt>
                <pt idx="1021">
                  <v>177.48</v>
                </pt>
                <pt idx="1022">
                  <v>177.86</v>
                </pt>
                <pt idx="1023">
                  <v>177.67</v>
                </pt>
                <pt idx="1024">
                  <v>177.24</v>
                </pt>
                <pt idx="1025">
                  <v>176.34</v>
                </pt>
                <pt idx="1026">
                  <v>174.23</v>
                </pt>
                <pt idx="1027">
                  <v>171.98</v>
                </pt>
                <pt idx="1028">
                  <v>170.51</v>
                </pt>
                <pt idx="1029">
                  <v>170.99</v>
                </pt>
                <pt idx="1030">
                  <v>172.38</v>
                </pt>
                <pt idx="1031">
                  <v>172.41</v>
                </pt>
                <pt idx="1032">
                  <v>174.55</v>
                </pt>
                <pt idx="1033">
                  <v>174.41</v>
                </pt>
                <pt idx="1034">
                  <v>175.32</v>
                </pt>
                <pt idx="1035">
                  <v>175.47</v>
                </pt>
                <pt idx="1036">
                  <v>175.28</v>
                </pt>
                <pt idx="1037">
                  <v>173.58</v>
                </pt>
                <pt idx="1038">
                  <v>175.27</v>
                </pt>
                <pt idx="1039">
                  <v>175.54</v>
                </pt>
                <pt idx="1040">
                  <v>176.9</v>
                </pt>
                <pt idx="1041">
                  <v>178.05</v>
                </pt>
                <pt idx="1042">
                  <v>180.82</v>
                </pt>
                <pt idx="1043">
                  <v>181.76</v>
                </pt>
                <pt idx="1044">
                  <v>183.36</v>
                </pt>
                <pt idx="1045">
                  <v>181.44</v>
                </pt>
                <pt idx="1046">
                  <v>185.18</v>
                </pt>
                <pt idx="1047">
                  <v>188.51</v>
                </pt>
                <pt idx="1048">
                  <v>187.41</v>
                </pt>
                <pt idx="1049">
                  <v>189.24</v>
                </pt>
                <pt idx="1050">
                  <v>189.62</v>
                </pt>
                <pt idx="1051">
                  <v>191</v>
                </pt>
                <pt idx="1052">
                  <v>191.93</v>
                </pt>
                <pt idx="1053">
                  <v>191.49</v>
                </pt>
                <pt idx="1054">
                  <v>191.15</v>
                </pt>
                <pt idx="1055">
                  <v>193.81</v>
                </pt>
                <pt idx="1056">
                  <v>193.62</v>
                </pt>
                <pt idx="1057">
                  <v>194.92</v>
                </pt>
                <pt idx="1058">
                  <v>197.37</v>
                </pt>
                <pt idx="1059">
                  <v>198.35</v>
                </pt>
                <pt idx="1060">
                  <v>199.72</v>
                </pt>
                <pt idx="1061">
                  <v>198.14</v>
                </pt>
                <pt idx="1062">
                  <v>197.06</v>
                </pt>
                <pt idx="1063">
                  <v>195.67</v>
                </pt>
                <pt idx="1064">
                  <v>196.34</v>
                </pt>
                <pt idx="1065">
                  <v>194.82</v>
                </pt>
                <pt idx="1066">
                  <v>195.45</v>
                </pt>
                <pt idx="1067">
                  <v>195.59</v>
                </pt>
                <pt idx="1068">
                  <v>194.75</v>
                </pt>
                <pt idx="1069">
                  <v>192.7</v>
                </pt>
                <pt idx="1070">
                  <v>193.53</v>
                </pt>
                <pt idx="1071">
                  <v>194.25</v>
                </pt>
                <pt idx="1072">
                  <v>195.52</v>
                </pt>
                <pt idx="1073">
                  <v>196.43</v>
                </pt>
                <pt idx="1074">
                  <v>197.53</v>
                </pt>
                <pt idx="1075">
                  <v>199</v>
                </pt>
                <pt idx="1076">
                  <v>198.86</v>
                </pt>
                <pt idx="1077">
                  <v>199.32</v>
                </pt>
                <pt idx="1078">
                  <v>197.96</v>
                </pt>
                <pt idx="1079">
                  <v>199.97</v>
                </pt>
                <pt idx="1080">
                  <v>201.2</v>
                </pt>
                <pt idx="1081">
                  <v>201.4</v>
                </pt>
                <pt idx="1082">
                  <v>194.81</v>
                </pt>
                <pt idx="1083">
                  <v>196.15</v>
                </pt>
                <pt idx="1084">
                  <v>198.82</v>
                </pt>
                <pt idx="1085">
                  <v>197.76</v>
                </pt>
                <pt idx="1086">
                  <v>198.2</v>
                </pt>
                <pt idx="1087">
                  <v>199.62</v>
                </pt>
                <pt idx="1088">
                  <v>200.34</v>
                </pt>
                <pt idx="1089">
                  <v>199.32</v>
                </pt>
                <pt idx="1090">
                  <v>200.23</v>
                </pt>
                <pt idx="1091">
                  <v>200.39</v>
                </pt>
                <pt idx="1092">
                  <v>201.26</v>
                </pt>
                <pt idx="1093">
                  <v>201.36</v>
                </pt>
                <pt idx="1094">
                  <v>200.49</v>
                </pt>
                <pt idx="1095">
                  <v>201.14</v>
                </pt>
                <pt idx="1096">
                  <v>199.66</v>
                </pt>
                <pt idx="1097">
                  <v>197.64</v>
                </pt>
                <pt idx="1098">
                  <v>196.45</v>
                </pt>
                <pt idx="1099">
                  <v>196.72</v>
                </pt>
                <pt idx="1100">
                  <v>197.55</v>
                </pt>
                <pt idx="1101">
                  <v>199.68</v>
                </pt>
                <pt idx="1102">
                  <v>199.2</v>
                </pt>
                <pt idx="1103">
                  <v>198.74</v>
                </pt>
                <pt idx="1104">
                  <v>199.63</v>
                </pt>
                <pt idx="1105">
                  <v>198.95</v>
                </pt>
                <pt idx="1106">
                  <v>197.86</v>
                </pt>
                <pt idx="1107">
                  <v>197.71</v>
                </pt>
                <pt idx="1108">
                  <v>198.39</v>
                </pt>
                <pt idx="1109">
                  <v>199.36</v>
                </pt>
                <pt idx="1110">
                  <v>200.06</v>
                </pt>
                <pt idx="1111">
                  <v>199.51</v>
                </pt>
                <pt idx="1112">
                  <v>199.19</v>
                </pt>
                <pt idx="1113">
                  <v>200.34</v>
                </pt>
                <pt idx="1114">
                  <v>200.18</v>
                </pt>
                <pt idx="1115">
                  <v>198.84</v>
                </pt>
                <pt idx="1116">
                  <v>197.71</v>
                </pt>
                <pt idx="1117">
                  <v>198.86</v>
                </pt>
                <pt idx="1118">
                  <v>199.4</v>
                </pt>
                <pt idx="1119">
                  <v>197.57</v>
                </pt>
                <pt idx="1120">
                  <v>196.94</v>
                </pt>
                <pt idx="1121">
                  <v>197.14</v>
                </pt>
                <pt idx="1122">
                  <v>197.98</v>
                </pt>
                <pt idx="1123">
                  <v>198.31</v>
                </pt>
                <pt idx="1124">
                  <v>198.1</v>
                </pt>
                <pt idx="1125">
                  <v>196.19</v>
                </pt>
                <pt idx="1126">
                  <v>192.97</v>
                </pt>
                <pt idx="1127">
                  <v>193.11</v>
                </pt>
                <pt idx="1128">
                  <v>193.31</v>
                </pt>
                <pt idx="1129">
                  <v>191.23</v>
                </pt>
                <pt idx="1130">
                  <v>187.65</v>
                </pt>
                <pt idx="1131">
                  <v>188</v>
                </pt>
                <pt idx="1132">
                  <v>186.59</v>
                </pt>
                <pt idx="1133">
                  <v>186.17</v>
                </pt>
                <pt idx="1134">
                  <v>184.25</v>
                </pt>
              </numCache>
            </numRef>
          </val>
          <smooth val="0"/>
        </ser>
        <ser>
          <idx val="2"/>
          <order val="2"/>
          <tx>
            <strRef>
              <f>可转债双低!$F$1:$F$2</f>
              <strCache>
                <ptCount val="2"/>
                <pt idx="0">
                  <v>中位数价格</v>
                </pt>
                <pt idx="1">
                  <v>(元)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可转债双低!$A$3:$A$1137</f>
              <numCache>
                <formatCode>m/d/yy</formatCode>
                <ptCount val="1135"/>
                <pt idx="0">
                  <v>43098</v>
                </pt>
                <pt idx="1">
                  <v>43102</v>
                </pt>
                <pt idx="2">
                  <v>43103</v>
                </pt>
                <pt idx="3">
                  <v>43104</v>
                </pt>
                <pt idx="4">
                  <v>43105</v>
                </pt>
                <pt idx="5">
                  <v>43108</v>
                </pt>
                <pt idx="6">
                  <v>43109</v>
                </pt>
                <pt idx="7">
                  <v>43110</v>
                </pt>
                <pt idx="8">
                  <v>43111</v>
                </pt>
                <pt idx="9">
                  <v>43112</v>
                </pt>
                <pt idx="10">
                  <v>43115</v>
                </pt>
                <pt idx="11">
                  <v>43116</v>
                </pt>
                <pt idx="12">
                  <v>43117</v>
                </pt>
                <pt idx="13">
                  <v>43118</v>
                </pt>
                <pt idx="14">
                  <v>43119</v>
                </pt>
                <pt idx="15">
                  <v>43122</v>
                </pt>
                <pt idx="16">
                  <v>43123</v>
                </pt>
                <pt idx="17">
                  <v>43124</v>
                </pt>
                <pt idx="18">
                  <v>43125</v>
                </pt>
                <pt idx="19">
                  <v>43126</v>
                </pt>
                <pt idx="20">
                  <v>43129</v>
                </pt>
                <pt idx="21">
                  <v>43130</v>
                </pt>
                <pt idx="22">
                  <v>43131</v>
                </pt>
                <pt idx="23">
                  <v>43132</v>
                </pt>
                <pt idx="24">
                  <v>43133</v>
                </pt>
                <pt idx="25">
                  <v>43136</v>
                </pt>
                <pt idx="26">
                  <v>43137</v>
                </pt>
                <pt idx="27">
                  <v>43138</v>
                </pt>
                <pt idx="28">
                  <v>43139</v>
                </pt>
                <pt idx="29">
                  <v>43140</v>
                </pt>
                <pt idx="30">
                  <v>43143</v>
                </pt>
                <pt idx="31">
                  <v>43144</v>
                </pt>
                <pt idx="32">
                  <v>43145</v>
                </pt>
                <pt idx="33">
                  <v>43153</v>
                </pt>
                <pt idx="34">
                  <v>43154</v>
                </pt>
                <pt idx="35">
                  <v>43157</v>
                </pt>
                <pt idx="36">
                  <v>43158</v>
                </pt>
                <pt idx="37">
                  <v>43159</v>
                </pt>
                <pt idx="38">
                  <v>43160</v>
                </pt>
                <pt idx="39">
                  <v>43161</v>
                </pt>
                <pt idx="40">
                  <v>43164</v>
                </pt>
                <pt idx="41">
                  <v>43165</v>
                </pt>
                <pt idx="42">
                  <v>43166</v>
                </pt>
                <pt idx="43">
                  <v>43167</v>
                </pt>
                <pt idx="44">
                  <v>43168</v>
                </pt>
                <pt idx="45">
                  <v>43171</v>
                </pt>
                <pt idx="46">
                  <v>43172</v>
                </pt>
                <pt idx="47">
                  <v>43173</v>
                </pt>
                <pt idx="48">
                  <v>43174</v>
                </pt>
                <pt idx="49">
                  <v>43175</v>
                </pt>
                <pt idx="50">
                  <v>43178</v>
                </pt>
                <pt idx="51">
                  <v>43179</v>
                </pt>
                <pt idx="52">
                  <v>43180</v>
                </pt>
                <pt idx="53">
                  <v>43181</v>
                </pt>
                <pt idx="54">
                  <v>43182</v>
                </pt>
                <pt idx="55">
                  <v>43185</v>
                </pt>
                <pt idx="56">
                  <v>43186</v>
                </pt>
                <pt idx="57">
                  <v>43187</v>
                </pt>
                <pt idx="58">
                  <v>43188</v>
                </pt>
                <pt idx="59">
                  <v>43189</v>
                </pt>
                <pt idx="60">
                  <v>43192</v>
                </pt>
                <pt idx="61">
                  <v>43193</v>
                </pt>
                <pt idx="62">
                  <v>43194</v>
                </pt>
                <pt idx="63">
                  <v>43199</v>
                </pt>
                <pt idx="64">
                  <v>43200</v>
                </pt>
                <pt idx="65">
                  <v>43201</v>
                </pt>
                <pt idx="66">
                  <v>43202</v>
                </pt>
                <pt idx="67">
                  <v>43203</v>
                </pt>
                <pt idx="68">
                  <v>43206</v>
                </pt>
                <pt idx="69">
                  <v>43207</v>
                </pt>
                <pt idx="70">
                  <v>43208</v>
                </pt>
                <pt idx="71">
                  <v>43209</v>
                </pt>
                <pt idx="72">
                  <v>43210</v>
                </pt>
                <pt idx="73">
                  <v>43213</v>
                </pt>
                <pt idx="74">
                  <v>43214</v>
                </pt>
                <pt idx="75">
                  <v>43215</v>
                </pt>
                <pt idx="76">
                  <v>43216</v>
                </pt>
                <pt idx="77">
                  <v>43217</v>
                </pt>
                <pt idx="78">
                  <v>43222</v>
                </pt>
                <pt idx="79">
                  <v>43223</v>
                </pt>
                <pt idx="80">
                  <v>43224</v>
                </pt>
                <pt idx="81">
                  <v>43227</v>
                </pt>
                <pt idx="82">
                  <v>43228</v>
                </pt>
                <pt idx="83">
                  <v>43229</v>
                </pt>
                <pt idx="84">
                  <v>43230</v>
                </pt>
                <pt idx="85">
                  <v>43231</v>
                </pt>
                <pt idx="86">
                  <v>43234</v>
                </pt>
                <pt idx="87">
                  <v>43235</v>
                </pt>
                <pt idx="88">
                  <v>43236</v>
                </pt>
                <pt idx="89">
                  <v>43237</v>
                </pt>
                <pt idx="90">
                  <v>43238</v>
                </pt>
                <pt idx="91">
                  <v>43241</v>
                </pt>
                <pt idx="92">
                  <v>43242</v>
                </pt>
                <pt idx="93">
                  <v>43243</v>
                </pt>
                <pt idx="94">
                  <v>43244</v>
                </pt>
                <pt idx="95">
                  <v>43245</v>
                </pt>
                <pt idx="96">
                  <v>43248</v>
                </pt>
                <pt idx="97">
                  <v>43249</v>
                </pt>
                <pt idx="98">
                  <v>43250</v>
                </pt>
                <pt idx="99">
                  <v>43251</v>
                </pt>
                <pt idx="100">
                  <v>43252</v>
                </pt>
                <pt idx="101">
                  <v>43255</v>
                </pt>
                <pt idx="102">
                  <v>43256</v>
                </pt>
                <pt idx="103">
                  <v>43257</v>
                </pt>
                <pt idx="104">
                  <v>43258</v>
                </pt>
                <pt idx="105">
                  <v>43259</v>
                </pt>
                <pt idx="106">
                  <v>43262</v>
                </pt>
                <pt idx="107">
                  <v>43263</v>
                </pt>
                <pt idx="108">
                  <v>43264</v>
                </pt>
                <pt idx="109">
                  <v>43265</v>
                </pt>
                <pt idx="110">
                  <v>43266</v>
                </pt>
                <pt idx="111">
                  <v>43270</v>
                </pt>
                <pt idx="112">
                  <v>43271</v>
                </pt>
                <pt idx="113">
                  <v>43272</v>
                </pt>
                <pt idx="114">
                  <v>43273</v>
                </pt>
                <pt idx="115">
                  <v>43276</v>
                </pt>
                <pt idx="116">
                  <v>43277</v>
                </pt>
                <pt idx="117">
                  <v>43278</v>
                </pt>
                <pt idx="118">
                  <v>43279</v>
                </pt>
                <pt idx="119">
                  <v>43280</v>
                </pt>
                <pt idx="120">
                  <v>43283</v>
                </pt>
                <pt idx="121">
                  <v>43284</v>
                </pt>
                <pt idx="122">
                  <v>43285</v>
                </pt>
                <pt idx="123">
                  <v>43286</v>
                </pt>
                <pt idx="124">
                  <v>43287</v>
                </pt>
                <pt idx="125">
                  <v>43290</v>
                </pt>
                <pt idx="126">
                  <v>43291</v>
                </pt>
                <pt idx="127">
                  <v>43292</v>
                </pt>
                <pt idx="128">
                  <v>43293</v>
                </pt>
                <pt idx="129">
                  <v>43294</v>
                </pt>
                <pt idx="130">
                  <v>43297</v>
                </pt>
                <pt idx="131">
                  <v>43298</v>
                </pt>
                <pt idx="132">
                  <v>43299</v>
                </pt>
                <pt idx="133">
                  <v>43300</v>
                </pt>
                <pt idx="134">
                  <v>43301</v>
                </pt>
                <pt idx="135">
                  <v>43304</v>
                </pt>
                <pt idx="136">
                  <v>43305</v>
                </pt>
                <pt idx="137">
                  <v>43306</v>
                </pt>
                <pt idx="138">
                  <v>43307</v>
                </pt>
                <pt idx="139">
                  <v>43308</v>
                </pt>
                <pt idx="140">
                  <v>43311</v>
                </pt>
                <pt idx="141">
                  <v>43312</v>
                </pt>
                <pt idx="142">
                  <v>43313</v>
                </pt>
                <pt idx="143">
                  <v>43314</v>
                </pt>
                <pt idx="144">
                  <v>43315</v>
                </pt>
                <pt idx="145">
                  <v>43318</v>
                </pt>
                <pt idx="146">
                  <v>43319</v>
                </pt>
                <pt idx="147">
                  <v>43320</v>
                </pt>
                <pt idx="148">
                  <v>43321</v>
                </pt>
                <pt idx="149">
                  <v>43322</v>
                </pt>
                <pt idx="150">
                  <v>43325</v>
                </pt>
                <pt idx="151">
                  <v>43326</v>
                </pt>
                <pt idx="152">
                  <v>43327</v>
                </pt>
                <pt idx="153">
                  <v>43328</v>
                </pt>
                <pt idx="154">
                  <v>43329</v>
                </pt>
                <pt idx="155">
                  <v>43332</v>
                </pt>
                <pt idx="156">
                  <v>43333</v>
                </pt>
                <pt idx="157">
                  <v>43334</v>
                </pt>
                <pt idx="158">
                  <v>43335</v>
                </pt>
                <pt idx="159">
                  <v>43336</v>
                </pt>
                <pt idx="160">
                  <v>43339</v>
                </pt>
                <pt idx="161">
                  <v>43340</v>
                </pt>
                <pt idx="162">
                  <v>43341</v>
                </pt>
                <pt idx="163">
                  <v>43342</v>
                </pt>
                <pt idx="164">
                  <v>43343</v>
                </pt>
                <pt idx="165">
                  <v>43346</v>
                </pt>
                <pt idx="166">
                  <v>43347</v>
                </pt>
                <pt idx="167">
                  <v>43348</v>
                </pt>
                <pt idx="168">
                  <v>43349</v>
                </pt>
                <pt idx="169">
                  <v>43350</v>
                </pt>
                <pt idx="170">
                  <v>43353</v>
                </pt>
                <pt idx="171">
                  <v>43354</v>
                </pt>
                <pt idx="172">
                  <v>43355</v>
                </pt>
                <pt idx="173">
                  <v>43356</v>
                </pt>
                <pt idx="174">
                  <v>43357</v>
                </pt>
                <pt idx="175">
                  <v>43360</v>
                </pt>
                <pt idx="176">
                  <v>43361</v>
                </pt>
                <pt idx="177">
                  <v>43362</v>
                </pt>
                <pt idx="178">
                  <v>43363</v>
                </pt>
                <pt idx="179">
                  <v>43364</v>
                </pt>
                <pt idx="180">
                  <v>43368</v>
                </pt>
                <pt idx="181">
                  <v>43369</v>
                </pt>
                <pt idx="182">
                  <v>43370</v>
                </pt>
                <pt idx="183">
                  <v>43371</v>
                </pt>
                <pt idx="184">
                  <v>43381</v>
                </pt>
                <pt idx="185">
                  <v>43382</v>
                </pt>
                <pt idx="186">
                  <v>43383</v>
                </pt>
                <pt idx="187">
                  <v>43384</v>
                </pt>
                <pt idx="188">
                  <v>43385</v>
                </pt>
                <pt idx="189">
                  <v>43388</v>
                </pt>
                <pt idx="190">
                  <v>43389</v>
                </pt>
                <pt idx="191">
                  <v>43390</v>
                </pt>
                <pt idx="192">
                  <v>43391</v>
                </pt>
                <pt idx="193">
                  <v>43392</v>
                </pt>
                <pt idx="194">
                  <v>43395</v>
                </pt>
                <pt idx="195">
                  <v>43396</v>
                </pt>
                <pt idx="196">
                  <v>43397</v>
                </pt>
                <pt idx="197">
                  <v>43398</v>
                </pt>
                <pt idx="198">
                  <v>43399</v>
                </pt>
                <pt idx="199">
                  <v>43402</v>
                </pt>
                <pt idx="200">
                  <v>43403</v>
                </pt>
                <pt idx="201">
                  <v>43404</v>
                </pt>
                <pt idx="202">
                  <v>43405</v>
                </pt>
                <pt idx="203">
                  <v>43406</v>
                </pt>
                <pt idx="204">
                  <v>43409</v>
                </pt>
                <pt idx="205">
                  <v>43410</v>
                </pt>
                <pt idx="206">
                  <v>43411</v>
                </pt>
                <pt idx="207">
                  <v>43412</v>
                </pt>
                <pt idx="208">
                  <v>43413</v>
                </pt>
                <pt idx="209">
                  <v>43416</v>
                </pt>
                <pt idx="210">
                  <v>43417</v>
                </pt>
                <pt idx="211">
                  <v>43418</v>
                </pt>
                <pt idx="212">
                  <v>43419</v>
                </pt>
                <pt idx="213">
                  <v>43420</v>
                </pt>
                <pt idx="214">
                  <v>43423</v>
                </pt>
                <pt idx="215">
                  <v>43424</v>
                </pt>
                <pt idx="216">
                  <v>43425</v>
                </pt>
                <pt idx="217">
                  <v>43426</v>
                </pt>
                <pt idx="218">
                  <v>43427</v>
                </pt>
                <pt idx="219">
                  <v>43430</v>
                </pt>
                <pt idx="220">
                  <v>43431</v>
                </pt>
                <pt idx="221">
                  <v>43432</v>
                </pt>
                <pt idx="222">
                  <v>43433</v>
                </pt>
                <pt idx="223">
                  <v>43434</v>
                </pt>
                <pt idx="224">
                  <v>43437</v>
                </pt>
                <pt idx="225">
                  <v>43438</v>
                </pt>
                <pt idx="226">
                  <v>43439</v>
                </pt>
                <pt idx="227">
                  <v>43440</v>
                </pt>
                <pt idx="228">
                  <v>43441</v>
                </pt>
                <pt idx="229">
                  <v>43444</v>
                </pt>
                <pt idx="230">
                  <v>43445</v>
                </pt>
                <pt idx="231">
                  <v>43446</v>
                </pt>
                <pt idx="232">
                  <v>43447</v>
                </pt>
                <pt idx="233">
                  <v>43448</v>
                </pt>
                <pt idx="234">
                  <v>43451</v>
                </pt>
                <pt idx="235">
                  <v>43452</v>
                </pt>
                <pt idx="236">
                  <v>43453</v>
                </pt>
                <pt idx="237">
                  <v>43454</v>
                </pt>
                <pt idx="238">
                  <v>43455</v>
                </pt>
                <pt idx="239">
                  <v>43458</v>
                </pt>
                <pt idx="240">
                  <v>43459</v>
                </pt>
                <pt idx="241">
                  <v>43460</v>
                </pt>
                <pt idx="242">
                  <v>43461</v>
                </pt>
                <pt idx="243">
                  <v>43462</v>
                </pt>
                <pt idx="244">
                  <v>43467</v>
                </pt>
                <pt idx="245">
                  <v>43468</v>
                </pt>
                <pt idx="246">
                  <v>43469</v>
                </pt>
                <pt idx="247">
                  <v>43472</v>
                </pt>
                <pt idx="248">
                  <v>43473</v>
                </pt>
                <pt idx="249">
                  <v>43474</v>
                </pt>
                <pt idx="250">
                  <v>43475</v>
                </pt>
                <pt idx="251">
                  <v>43476</v>
                </pt>
                <pt idx="252">
                  <v>43479</v>
                </pt>
                <pt idx="253">
                  <v>43480</v>
                </pt>
                <pt idx="254">
                  <v>43481</v>
                </pt>
                <pt idx="255">
                  <v>43482</v>
                </pt>
                <pt idx="256">
                  <v>43483</v>
                </pt>
                <pt idx="257">
                  <v>43486</v>
                </pt>
                <pt idx="258">
                  <v>43487</v>
                </pt>
                <pt idx="259">
                  <v>43488</v>
                </pt>
                <pt idx="260">
                  <v>43489</v>
                </pt>
                <pt idx="261">
                  <v>43490</v>
                </pt>
                <pt idx="262">
                  <v>43493</v>
                </pt>
                <pt idx="263">
                  <v>43494</v>
                </pt>
                <pt idx="264">
                  <v>43495</v>
                </pt>
                <pt idx="265">
                  <v>43496</v>
                </pt>
                <pt idx="266">
                  <v>43497</v>
                </pt>
                <pt idx="267">
                  <v>43507</v>
                </pt>
                <pt idx="268">
                  <v>43508</v>
                </pt>
                <pt idx="269">
                  <v>43509</v>
                </pt>
                <pt idx="270">
                  <v>43510</v>
                </pt>
                <pt idx="271">
                  <v>43511</v>
                </pt>
                <pt idx="272">
                  <v>43514</v>
                </pt>
                <pt idx="273">
                  <v>43515</v>
                </pt>
                <pt idx="274">
                  <v>43516</v>
                </pt>
                <pt idx="275">
                  <v>43517</v>
                </pt>
                <pt idx="276">
                  <v>43518</v>
                </pt>
                <pt idx="277">
                  <v>43521</v>
                </pt>
                <pt idx="278">
                  <v>43522</v>
                </pt>
                <pt idx="279">
                  <v>43523</v>
                </pt>
                <pt idx="280">
                  <v>43524</v>
                </pt>
                <pt idx="281">
                  <v>43525</v>
                </pt>
                <pt idx="282">
                  <v>43528</v>
                </pt>
                <pt idx="283">
                  <v>43529</v>
                </pt>
                <pt idx="284">
                  <v>43530</v>
                </pt>
                <pt idx="285">
                  <v>43531</v>
                </pt>
                <pt idx="286">
                  <v>43532</v>
                </pt>
                <pt idx="287">
                  <v>43535</v>
                </pt>
                <pt idx="288">
                  <v>43536</v>
                </pt>
                <pt idx="289">
                  <v>43537</v>
                </pt>
                <pt idx="290">
                  <v>43538</v>
                </pt>
                <pt idx="291">
                  <v>43539</v>
                </pt>
                <pt idx="292">
                  <v>43542</v>
                </pt>
                <pt idx="293">
                  <v>43543</v>
                </pt>
                <pt idx="294">
                  <v>43544</v>
                </pt>
                <pt idx="295">
                  <v>43545</v>
                </pt>
                <pt idx="296">
                  <v>43546</v>
                </pt>
                <pt idx="297">
                  <v>43549</v>
                </pt>
                <pt idx="298">
                  <v>43550</v>
                </pt>
                <pt idx="299">
                  <v>43551</v>
                </pt>
                <pt idx="300">
                  <v>43552</v>
                </pt>
                <pt idx="301">
                  <v>43553</v>
                </pt>
                <pt idx="302">
                  <v>43556</v>
                </pt>
                <pt idx="303">
                  <v>43557</v>
                </pt>
                <pt idx="304">
                  <v>43558</v>
                </pt>
                <pt idx="305">
                  <v>43559</v>
                </pt>
                <pt idx="306">
                  <v>43563</v>
                </pt>
                <pt idx="307">
                  <v>43564</v>
                </pt>
                <pt idx="308">
                  <v>43565</v>
                </pt>
                <pt idx="309">
                  <v>43566</v>
                </pt>
                <pt idx="310">
                  <v>43567</v>
                </pt>
                <pt idx="311">
                  <v>43570</v>
                </pt>
                <pt idx="312">
                  <v>43571</v>
                </pt>
                <pt idx="313">
                  <v>43572</v>
                </pt>
                <pt idx="314">
                  <v>43573</v>
                </pt>
                <pt idx="315">
                  <v>43574</v>
                </pt>
                <pt idx="316">
                  <v>43577</v>
                </pt>
                <pt idx="317">
                  <v>43578</v>
                </pt>
                <pt idx="318">
                  <v>43579</v>
                </pt>
                <pt idx="319">
                  <v>43580</v>
                </pt>
                <pt idx="320">
                  <v>43581</v>
                </pt>
                <pt idx="321">
                  <v>43584</v>
                </pt>
                <pt idx="322">
                  <v>43585</v>
                </pt>
                <pt idx="323">
                  <v>43591</v>
                </pt>
                <pt idx="324">
                  <v>43592</v>
                </pt>
                <pt idx="325">
                  <v>43593</v>
                </pt>
                <pt idx="326">
                  <v>43594</v>
                </pt>
                <pt idx="327">
                  <v>43595</v>
                </pt>
                <pt idx="328">
                  <v>43598</v>
                </pt>
                <pt idx="329">
                  <v>43599</v>
                </pt>
                <pt idx="330">
                  <v>43600</v>
                </pt>
                <pt idx="331">
                  <v>43601</v>
                </pt>
                <pt idx="332">
                  <v>43602</v>
                </pt>
                <pt idx="333">
                  <v>43605</v>
                </pt>
                <pt idx="334">
                  <v>43606</v>
                </pt>
                <pt idx="335">
                  <v>43607</v>
                </pt>
                <pt idx="336">
                  <v>43608</v>
                </pt>
                <pt idx="337">
                  <v>43609</v>
                </pt>
                <pt idx="338">
                  <v>43612</v>
                </pt>
                <pt idx="339">
                  <v>43613</v>
                </pt>
                <pt idx="340">
                  <v>43614</v>
                </pt>
                <pt idx="341">
                  <v>43615</v>
                </pt>
                <pt idx="342">
                  <v>43616</v>
                </pt>
                <pt idx="343">
                  <v>43619</v>
                </pt>
                <pt idx="344">
                  <v>43620</v>
                </pt>
                <pt idx="345">
                  <v>43621</v>
                </pt>
                <pt idx="346">
                  <v>43622</v>
                </pt>
                <pt idx="347">
                  <v>43626</v>
                </pt>
                <pt idx="348">
                  <v>43627</v>
                </pt>
                <pt idx="349">
                  <v>43628</v>
                </pt>
                <pt idx="350">
                  <v>43629</v>
                </pt>
                <pt idx="351">
                  <v>43630</v>
                </pt>
                <pt idx="352">
                  <v>43633</v>
                </pt>
                <pt idx="353">
                  <v>43634</v>
                </pt>
                <pt idx="354">
                  <v>43635</v>
                </pt>
                <pt idx="355">
                  <v>43636</v>
                </pt>
                <pt idx="356">
                  <v>43637</v>
                </pt>
                <pt idx="357">
                  <v>43640</v>
                </pt>
                <pt idx="358">
                  <v>43641</v>
                </pt>
                <pt idx="359">
                  <v>43642</v>
                </pt>
                <pt idx="360">
                  <v>43643</v>
                </pt>
                <pt idx="361">
                  <v>43644</v>
                </pt>
                <pt idx="362">
                  <v>43647</v>
                </pt>
                <pt idx="363">
                  <v>43648</v>
                </pt>
                <pt idx="364">
                  <v>43649</v>
                </pt>
                <pt idx="365">
                  <v>43650</v>
                </pt>
                <pt idx="366">
                  <v>43651</v>
                </pt>
                <pt idx="367">
                  <v>43654</v>
                </pt>
                <pt idx="368">
                  <v>43655</v>
                </pt>
                <pt idx="369">
                  <v>43656</v>
                </pt>
                <pt idx="370">
                  <v>43657</v>
                </pt>
                <pt idx="371">
                  <v>43658</v>
                </pt>
                <pt idx="372">
                  <v>43661</v>
                </pt>
                <pt idx="373">
                  <v>43662</v>
                </pt>
                <pt idx="374">
                  <v>43663</v>
                </pt>
                <pt idx="375">
                  <v>43664</v>
                </pt>
                <pt idx="376">
                  <v>43665</v>
                </pt>
                <pt idx="377">
                  <v>43668</v>
                </pt>
                <pt idx="378">
                  <v>43669</v>
                </pt>
                <pt idx="379">
                  <v>43670</v>
                </pt>
                <pt idx="380">
                  <v>43671</v>
                </pt>
                <pt idx="381">
                  <v>43672</v>
                </pt>
                <pt idx="382">
                  <v>43675</v>
                </pt>
                <pt idx="383">
                  <v>43676</v>
                </pt>
                <pt idx="384">
                  <v>43677</v>
                </pt>
                <pt idx="385">
                  <v>43678</v>
                </pt>
                <pt idx="386">
                  <v>43679</v>
                </pt>
                <pt idx="387">
                  <v>43682</v>
                </pt>
                <pt idx="388">
                  <v>43683</v>
                </pt>
                <pt idx="389">
                  <v>43684</v>
                </pt>
                <pt idx="390">
                  <v>43685</v>
                </pt>
                <pt idx="391">
                  <v>43686</v>
                </pt>
                <pt idx="392">
                  <v>43689</v>
                </pt>
                <pt idx="393">
                  <v>43690</v>
                </pt>
                <pt idx="394">
                  <v>43691</v>
                </pt>
                <pt idx="395">
                  <v>43692</v>
                </pt>
                <pt idx="396">
                  <v>43693</v>
                </pt>
                <pt idx="397">
                  <v>43696</v>
                </pt>
                <pt idx="398">
                  <v>43697</v>
                </pt>
                <pt idx="399">
                  <v>43698</v>
                </pt>
                <pt idx="400">
                  <v>43699</v>
                </pt>
                <pt idx="401">
                  <v>43700</v>
                </pt>
                <pt idx="402">
                  <v>43703</v>
                </pt>
                <pt idx="403">
                  <v>43704</v>
                </pt>
                <pt idx="404">
                  <v>43705</v>
                </pt>
                <pt idx="405">
                  <v>43706</v>
                </pt>
                <pt idx="406">
                  <v>43707</v>
                </pt>
                <pt idx="407">
                  <v>43710</v>
                </pt>
                <pt idx="408">
                  <v>43711</v>
                </pt>
                <pt idx="409">
                  <v>43712</v>
                </pt>
                <pt idx="410">
                  <v>43713</v>
                </pt>
                <pt idx="411">
                  <v>43714</v>
                </pt>
                <pt idx="412">
                  <v>43717</v>
                </pt>
                <pt idx="413">
                  <v>43718</v>
                </pt>
                <pt idx="414">
                  <v>43719</v>
                </pt>
                <pt idx="415">
                  <v>43720</v>
                </pt>
                <pt idx="416">
                  <v>43724</v>
                </pt>
                <pt idx="417">
                  <v>43725</v>
                </pt>
                <pt idx="418">
                  <v>43726</v>
                </pt>
                <pt idx="419">
                  <v>43727</v>
                </pt>
                <pt idx="420">
                  <v>43728</v>
                </pt>
                <pt idx="421">
                  <v>43731</v>
                </pt>
                <pt idx="422">
                  <v>43732</v>
                </pt>
                <pt idx="423">
                  <v>43733</v>
                </pt>
                <pt idx="424">
                  <v>43734</v>
                </pt>
                <pt idx="425">
                  <v>43735</v>
                </pt>
                <pt idx="426">
                  <v>43738</v>
                </pt>
                <pt idx="427">
                  <v>43746</v>
                </pt>
                <pt idx="428">
                  <v>43747</v>
                </pt>
                <pt idx="429">
                  <v>43748</v>
                </pt>
                <pt idx="430">
                  <v>43749</v>
                </pt>
                <pt idx="431">
                  <v>43752</v>
                </pt>
                <pt idx="432">
                  <v>43753</v>
                </pt>
                <pt idx="433">
                  <v>43754</v>
                </pt>
                <pt idx="434">
                  <v>43755</v>
                </pt>
                <pt idx="435">
                  <v>43756</v>
                </pt>
                <pt idx="436">
                  <v>43759</v>
                </pt>
                <pt idx="437">
                  <v>43760</v>
                </pt>
                <pt idx="438">
                  <v>43761</v>
                </pt>
                <pt idx="439">
                  <v>43762</v>
                </pt>
                <pt idx="440">
                  <v>43763</v>
                </pt>
                <pt idx="441">
                  <v>43766</v>
                </pt>
                <pt idx="442">
                  <v>43767</v>
                </pt>
                <pt idx="443">
                  <v>43768</v>
                </pt>
                <pt idx="444">
                  <v>43769</v>
                </pt>
                <pt idx="445">
                  <v>43770</v>
                </pt>
                <pt idx="446">
                  <v>43773</v>
                </pt>
                <pt idx="447">
                  <v>43774</v>
                </pt>
                <pt idx="448">
                  <v>43775</v>
                </pt>
                <pt idx="449">
                  <v>43776</v>
                </pt>
                <pt idx="450">
                  <v>43777</v>
                </pt>
                <pt idx="451">
                  <v>43780</v>
                </pt>
                <pt idx="452">
                  <v>43781</v>
                </pt>
                <pt idx="453">
                  <v>43782</v>
                </pt>
                <pt idx="454">
                  <v>43783</v>
                </pt>
                <pt idx="455">
                  <v>43784</v>
                </pt>
                <pt idx="456">
                  <v>43787</v>
                </pt>
                <pt idx="457">
                  <v>43788</v>
                </pt>
                <pt idx="458">
                  <v>43789</v>
                </pt>
                <pt idx="459">
                  <v>43790</v>
                </pt>
                <pt idx="460">
                  <v>43791</v>
                </pt>
                <pt idx="461">
                  <v>43794</v>
                </pt>
                <pt idx="462">
                  <v>43795</v>
                </pt>
                <pt idx="463">
                  <v>43796</v>
                </pt>
                <pt idx="464">
                  <v>43797</v>
                </pt>
                <pt idx="465">
                  <v>43798</v>
                </pt>
                <pt idx="466">
                  <v>43801</v>
                </pt>
                <pt idx="467">
                  <v>43802</v>
                </pt>
                <pt idx="468">
                  <v>43803</v>
                </pt>
                <pt idx="469">
                  <v>43804</v>
                </pt>
                <pt idx="470">
                  <v>43805</v>
                </pt>
                <pt idx="471">
                  <v>43808</v>
                </pt>
                <pt idx="472">
                  <v>43809</v>
                </pt>
                <pt idx="473">
                  <v>43810</v>
                </pt>
                <pt idx="474">
                  <v>43811</v>
                </pt>
                <pt idx="475">
                  <v>43812</v>
                </pt>
                <pt idx="476">
                  <v>43815</v>
                </pt>
                <pt idx="477">
                  <v>43816</v>
                </pt>
                <pt idx="478">
                  <v>43817</v>
                </pt>
                <pt idx="479">
                  <v>43818</v>
                </pt>
                <pt idx="480">
                  <v>43819</v>
                </pt>
                <pt idx="481">
                  <v>43822</v>
                </pt>
                <pt idx="482">
                  <v>43823</v>
                </pt>
                <pt idx="483">
                  <v>43824</v>
                </pt>
                <pt idx="484">
                  <v>43825</v>
                </pt>
                <pt idx="485">
                  <v>43826</v>
                </pt>
                <pt idx="486">
                  <v>43829</v>
                </pt>
                <pt idx="487">
                  <v>43830</v>
                </pt>
                <pt idx="488">
                  <v>43832</v>
                </pt>
                <pt idx="489">
                  <v>43833</v>
                </pt>
                <pt idx="490">
                  <v>43836</v>
                </pt>
                <pt idx="491">
                  <v>43837</v>
                </pt>
                <pt idx="492">
                  <v>43838</v>
                </pt>
                <pt idx="493">
                  <v>43839</v>
                </pt>
                <pt idx="494">
                  <v>43840</v>
                </pt>
                <pt idx="495">
                  <v>43843</v>
                </pt>
                <pt idx="496">
                  <v>43844</v>
                </pt>
                <pt idx="497">
                  <v>43845</v>
                </pt>
                <pt idx="498">
                  <v>43846</v>
                </pt>
                <pt idx="499">
                  <v>43847</v>
                </pt>
                <pt idx="500">
                  <v>43850</v>
                </pt>
                <pt idx="501">
                  <v>43851</v>
                </pt>
                <pt idx="502">
                  <v>43852</v>
                </pt>
                <pt idx="503">
                  <v>43853</v>
                </pt>
                <pt idx="504">
                  <v>43864</v>
                </pt>
                <pt idx="505">
                  <v>43865</v>
                </pt>
                <pt idx="506">
                  <v>43866</v>
                </pt>
                <pt idx="507">
                  <v>43867</v>
                </pt>
                <pt idx="508">
                  <v>43868</v>
                </pt>
                <pt idx="509">
                  <v>43871</v>
                </pt>
                <pt idx="510">
                  <v>43872</v>
                </pt>
                <pt idx="511">
                  <v>43873</v>
                </pt>
                <pt idx="512">
                  <v>43874</v>
                </pt>
                <pt idx="513">
                  <v>43875</v>
                </pt>
                <pt idx="514">
                  <v>43878</v>
                </pt>
                <pt idx="515">
                  <v>43879</v>
                </pt>
                <pt idx="516">
                  <v>43880</v>
                </pt>
                <pt idx="517">
                  <v>43881</v>
                </pt>
                <pt idx="518">
                  <v>43882</v>
                </pt>
                <pt idx="519">
                  <v>43885</v>
                </pt>
                <pt idx="520">
                  <v>43886</v>
                </pt>
                <pt idx="521">
                  <v>43887</v>
                </pt>
                <pt idx="522">
                  <v>43888</v>
                </pt>
                <pt idx="523">
                  <v>43889</v>
                </pt>
                <pt idx="524">
                  <v>43892</v>
                </pt>
                <pt idx="525">
                  <v>43893</v>
                </pt>
                <pt idx="526">
                  <v>43894</v>
                </pt>
                <pt idx="527">
                  <v>43895</v>
                </pt>
                <pt idx="528">
                  <v>43896</v>
                </pt>
                <pt idx="529">
                  <v>43899</v>
                </pt>
                <pt idx="530">
                  <v>43900</v>
                </pt>
                <pt idx="531">
                  <v>43901</v>
                </pt>
                <pt idx="532">
                  <v>43902</v>
                </pt>
                <pt idx="533">
                  <v>43903</v>
                </pt>
                <pt idx="534">
                  <v>43906</v>
                </pt>
                <pt idx="535">
                  <v>43907</v>
                </pt>
                <pt idx="536">
                  <v>43908</v>
                </pt>
                <pt idx="537">
                  <v>43909</v>
                </pt>
                <pt idx="538">
                  <v>43910</v>
                </pt>
                <pt idx="539">
                  <v>43913</v>
                </pt>
                <pt idx="540">
                  <v>43914</v>
                </pt>
                <pt idx="541">
                  <v>43915</v>
                </pt>
                <pt idx="542">
                  <v>43916</v>
                </pt>
                <pt idx="543">
                  <v>43917</v>
                </pt>
                <pt idx="544">
                  <v>43920</v>
                </pt>
                <pt idx="545">
                  <v>43921</v>
                </pt>
                <pt idx="546">
                  <v>43922</v>
                </pt>
                <pt idx="547">
                  <v>43923</v>
                </pt>
                <pt idx="548">
                  <v>43924</v>
                </pt>
                <pt idx="549">
                  <v>43928</v>
                </pt>
                <pt idx="550">
                  <v>43929</v>
                </pt>
                <pt idx="551">
                  <v>43930</v>
                </pt>
                <pt idx="552">
                  <v>43931</v>
                </pt>
                <pt idx="553">
                  <v>43934</v>
                </pt>
                <pt idx="554">
                  <v>43935</v>
                </pt>
                <pt idx="555">
                  <v>43936</v>
                </pt>
                <pt idx="556">
                  <v>43937</v>
                </pt>
                <pt idx="557">
                  <v>43938</v>
                </pt>
                <pt idx="558">
                  <v>43941</v>
                </pt>
                <pt idx="559">
                  <v>43942</v>
                </pt>
                <pt idx="560">
                  <v>43943</v>
                </pt>
                <pt idx="561">
                  <v>43944</v>
                </pt>
                <pt idx="562">
                  <v>43945</v>
                </pt>
                <pt idx="563">
                  <v>43948</v>
                </pt>
                <pt idx="564">
                  <v>43949</v>
                </pt>
                <pt idx="565">
                  <v>43950</v>
                </pt>
                <pt idx="566">
                  <v>43951</v>
                </pt>
                <pt idx="567">
                  <v>43957</v>
                </pt>
                <pt idx="568">
                  <v>43958</v>
                </pt>
                <pt idx="569">
                  <v>43959</v>
                </pt>
                <pt idx="570">
                  <v>43962</v>
                </pt>
                <pt idx="571">
                  <v>43963</v>
                </pt>
                <pt idx="572">
                  <v>43964</v>
                </pt>
                <pt idx="573">
                  <v>43965</v>
                </pt>
                <pt idx="574">
                  <v>43966</v>
                </pt>
                <pt idx="575">
                  <v>43969</v>
                </pt>
                <pt idx="576">
                  <v>43970</v>
                </pt>
                <pt idx="577">
                  <v>43971</v>
                </pt>
                <pt idx="578">
                  <v>43972</v>
                </pt>
                <pt idx="579">
                  <v>43973</v>
                </pt>
                <pt idx="580">
                  <v>43976</v>
                </pt>
                <pt idx="581">
                  <v>43977</v>
                </pt>
                <pt idx="582">
                  <v>43978</v>
                </pt>
                <pt idx="583">
                  <v>43979</v>
                </pt>
                <pt idx="584">
                  <v>43980</v>
                </pt>
                <pt idx="585">
                  <v>43983</v>
                </pt>
                <pt idx="586">
                  <v>43984</v>
                </pt>
                <pt idx="587">
                  <v>43985</v>
                </pt>
                <pt idx="588">
                  <v>43986</v>
                </pt>
                <pt idx="589">
                  <v>43987</v>
                </pt>
                <pt idx="590">
                  <v>43990</v>
                </pt>
                <pt idx="591">
                  <v>43991</v>
                </pt>
                <pt idx="592">
                  <v>43992</v>
                </pt>
                <pt idx="593">
                  <v>43993</v>
                </pt>
                <pt idx="594">
                  <v>43994</v>
                </pt>
                <pt idx="595">
                  <v>43997</v>
                </pt>
                <pt idx="596">
                  <v>43998</v>
                </pt>
                <pt idx="597">
                  <v>43999</v>
                </pt>
                <pt idx="598">
                  <v>44000</v>
                </pt>
                <pt idx="599">
                  <v>44001</v>
                </pt>
                <pt idx="600">
                  <v>44004</v>
                </pt>
                <pt idx="601">
                  <v>44005</v>
                </pt>
                <pt idx="602">
                  <v>44006</v>
                </pt>
                <pt idx="603">
                  <v>44011</v>
                </pt>
                <pt idx="604">
                  <v>44012</v>
                </pt>
                <pt idx="605">
                  <v>44013</v>
                </pt>
                <pt idx="606">
                  <v>44014</v>
                </pt>
                <pt idx="607">
                  <v>44015</v>
                </pt>
                <pt idx="608">
                  <v>44018</v>
                </pt>
                <pt idx="609">
                  <v>44019</v>
                </pt>
                <pt idx="610">
                  <v>44020</v>
                </pt>
                <pt idx="611">
                  <v>44021</v>
                </pt>
                <pt idx="612">
                  <v>44022</v>
                </pt>
                <pt idx="613">
                  <v>44025</v>
                </pt>
                <pt idx="614">
                  <v>44026</v>
                </pt>
                <pt idx="615">
                  <v>44027</v>
                </pt>
                <pt idx="616">
                  <v>44028</v>
                </pt>
                <pt idx="617">
                  <v>44029</v>
                </pt>
                <pt idx="618">
                  <v>44032</v>
                </pt>
                <pt idx="619">
                  <v>44033</v>
                </pt>
                <pt idx="620">
                  <v>44034</v>
                </pt>
                <pt idx="621">
                  <v>44035</v>
                </pt>
                <pt idx="622">
                  <v>44036</v>
                </pt>
                <pt idx="623">
                  <v>44039</v>
                </pt>
                <pt idx="624">
                  <v>44040</v>
                </pt>
                <pt idx="625">
                  <v>44041</v>
                </pt>
                <pt idx="626">
                  <v>44042</v>
                </pt>
                <pt idx="627">
                  <v>44043</v>
                </pt>
                <pt idx="628">
                  <v>44046</v>
                </pt>
                <pt idx="629">
                  <v>44047</v>
                </pt>
                <pt idx="630">
                  <v>44048</v>
                </pt>
                <pt idx="631">
                  <v>44049</v>
                </pt>
                <pt idx="632">
                  <v>44050</v>
                </pt>
                <pt idx="633">
                  <v>44053</v>
                </pt>
                <pt idx="634">
                  <v>44054</v>
                </pt>
                <pt idx="635">
                  <v>44055</v>
                </pt>
                <pt idx="636">
                  <v>44056</v>
                </pt>
                <pt idx="637">
                  <v>44057</v>
                </pt>
                <pt idx="638">
                  <v>44060</v>
                </pt>
                <pt idx="639">
                  <v>44061</v>
                </pt>
                <pt idx="640">
                  <v>44062</v>
                </pt>
                <pt idx="641">
                  <v>44063</v>
                </pt>
                <pt idx="642">
                  <v>44064</v>
                </pt>
                <pt idx="643">
                  <v>44067</v>
                </pt>
                <pt idx="644">
                  <v>44068</v>
                </pt>
                <pt idx="645">
                  <v>44069</v>
                </pt>
                <pt idx="646">
                  <v>44070</v>
                </pt>
                <pt idx="647">
                  <v>44071</v>
                </pt>
                <pt idx="648">
                  <v>44074</v>
                </pt>
                <pt idx="649">
                  <v>44075</v>
                </pt>
                <pt idx="650">
                  <v>44076</v>
                </pt>
                <pt idx="651">
                  <v>44077</v>
                </pt>
                <pt idx="652">
                  <v>44078</v>
                </pt>
                <pt idx="653">
                  <v>44081</v>
                </pt>
                <pt idx="654">
                  <v>44082</v>
                </pt>
                <pt idx="655">
                  <v>44083</v>
                </pt>
                <pt idx="656">
                  <v>44084</v>
                </pt>
                <pt idx="657">
                  <v>44085</v>
                </pt>
                <pt idx="658">
                  <v>44088</v>
                </pt>
                <pt idx="659">
                  <v>44089</v>
                </pt>
                <pt idx="660">
                  <v>44090</v>
                </pt>
                <pt idx="661">
                  <v>44091</v>
                </pt>
                <pt idx="662">
                  <v>44092</v>
                </pt>
                <pt idx="663">
                  <v>44095</v>
                </pt>
                <pt idx="664">
                  <v>44096</v>
                </pt>
                <pt idx="665">
                  <v>44097</v>
                </pt>
                <pt idx="666">
                  <v>44098</v>
                </pt>
                <pt idx="667">
                  <v>44099</v>
                </pt>
                <pt idx="668">
                  <v>44102</v>
                </pt>
                <pt idx="669">
                  <v>44103</v>
                </pt>
                <pt idx="670">
                  <v>44104</v>
                </pt>
                <pt idx="671">
                  <v>44113</v>
                </pt>
                <pt idx="672">
                  <v>44116</v>
                </pt>
                <pt idx="673">
                  <v>44117</v>
                </pt>
                <pt idx="674">
                  <v>44118</v>
                </pt>
                <pt idx="675">
                  <v>44119</v>
                </pt>
                <pt idx="676">
                  <v>44120</v>
                </pt>
                <pt idx="677">
                  <v>44123</v>
                </pt>
                <pt idx="678">
                  <v>44124</v>
                </pt>
                <pt idx="679">
                  <v>44125</v>
                </pt>
                <pt idx="680">
                  <v>44126</v>
                </pt>
                <pt idx="681">
                  <v>44127</v>
                </pt>
                <pt idx="682">
                  <v>44130</v>
                </pt>
                <pt idx="683">
                  <v>44131</v>
                </pt>
                <pt idx="684">
                  <v>44132</v>
                </pt>
                <pt idx="685">
                  <v>44133</v>
                </pt>
                <pt idx="686">
                  <v>44134</v>
                </pt>
                <pt idx="687">
                  <v>44137</v>
                </pt>
                <pt idx="688">
                  <v>44138</v>
                </pt>
                <pt idx="689">
                  <v>44139</v>
                </pt>
                <pt idx="690">
                  <v>44140</v>
                </pt>
                <pt idx="691">
                  <v>44141</v>
                </pt>
                <pt idx="692">
                  <v>44144</v>
                </pt>
                <pt idx="693">
                  <v>44145</v>
                </pt>
                <pt idx="694">
                  <v>44146</v>
                </pt>
                <pt idx="695">
                  <v>44147</v>
                </pt>
                <pt idx="696">
                  <v>44148</v>
                </pt>
                <pt idx="697">
                  <v>44151</v>
                </pt>
                <pt idx="698">
                  <v>44152</v>
                </pt>
                <pt idx="699">
                  <v>44153</v>
                </pt>
                <pt idx="700">
                  <v>44154</v>
                </pt>
                <pt idx="701">
                  <v>44155</v>
                </pt>
                <pt idx="702">
                  <v>44158</v>
                </pt>
                <pt idx="703">
                  <v>44159</v>
                </pt>
                <pt idx="704">
                  <v>44160</v>
                </pt>
                <pt idx="705">
                  <v>44161</v>
                </pt>
                <pt idx="706">
                  <v>44162</v>
                </pt>
                <pt idx="707">
                  <v>44165</v>
                </pt>
                <pt idx="708">
                  <v>44166</v>
                </pt>
                <pt idx="709">
                  <v>44167</v>
                </pt>
                <pt idx="710">
                  <v>44168</v>
                </pt>
                <pt idx="711">
                  <v>44169</v>
                </pt>
                <pt idx="712">
                  <v>44172</v>
                </pt>
                <pt idx="713">
                  <v>44173</v>
                </pt>
                <pt idx="714">
                  <v>44174</v>
                </pt>
                <pt idx="715">
                  <v>44175</v>
                </pt>
                <pt idx="716">
                  <v>44176</v>
                </pt>
                <pt idx="717">
                  <v>44179</v>
                </pt>
                <pt idx="718">
                  <v>44180</v>
                </pt>
                <pt idx="719">
                  <v>44181</v>
                </pt>
                <pt idx="720">
                  <v>44182</v>
                </pt>
                <pt idx="721">
                  <v>44183</v>
                </pt>
                <pt idx="722">
                  <v>44186</v>
                </pt>
                <pt idx="723">
                  <v>44187</v>
                </pt>
                <pt idx="724">
                  <v>44188</v>
                </pt>
                <pt idx="725">
                  <v>44189</v>
                </pt>
                <pt idx="726">
                  <v>44190</v>
                </pt>
                <pt idx="727">
                  <v>44193</v>
                </pt>
                <pt idx="728">
                  <v>44194</v>
                </pt>
                <pt idx="729">
                  <v>44195</v>
                </pt>
                <pt idx="730">
                  <v>44196</v>
                </pt>
                <pt idx="731">
                  <v>44200</v>
                </pt>
                <pt idx="732">
                  <v>44201</v>
                </pt>
                <pt idx="733">
                  <v>44202</v>
                </pt>
                <pt idx="734">
                  <v>44203</v>
                </pt>
                <pt idx="735">
                  <v>44204</v>
                </pt>
                <pt idx="736">
                  <v>44207</v>
                </pt>
                <pt idx="737">
                  <v>44208</v>
                </pt>
                <pt idx="738">
                  <v>44209</v>
                </pt>
                <pt idx="739">
                  <v>44210</v>
                </pt>
                <pt idx="740">
                  <v>44211</v>
                </pt>
                <pt idx="741">
                  <v>44214</v>
                </pt>
                <pt idx="742">
                  <v>44215</v>
                </pt>
                <pt idx="743">
                  <v>44216</v>
                </pt>
                <pt idx="744">
                  <v>44217</v>
                </pt>
                <pt idx="745">
                  <v>44218</v>
                </pt>
                <pt idx="746">
                  <v>44221</v>
                </pt>
                <pt idx="747">
                  <v>44222</v>
                </pt>
                <pt idx="748">
                  <v>44223</v>
                </pt>
                <pt idx="749">
                  <v>44224</v>
                </pt>
                <pt idx="750">
                  <v>44225</v>
                </pt>
                <pt idx="751">
                  <v>44228</v>
                </pt>
                <pt idx="752">
                  <v>44229</v>
                </pt>
                <pt idx="753">
                  <v>44230</v>
                </pt>
                <pt idx="754">
                  <v>44231</v>
                </pt>
                <pt idx="755">
                  <v>44232</v>
                </pt>
                <pt idx="756">
                  <v>44235</v>
                </pt>
                <pt idx="757">
                  <v>44236</v>
                </pt>
                <pt idx="758">
                  <v>44237</v>
                </pt>
                <pt idx="759">
                  <v>44245</v>
                </pt>
                <pt idx="760">
                  <v>44246</v>
                </pt>
                <pt idx="761">
                  <v>44249</v>
                </pt>
                <pt idx="762">
                  <v>44250</v>
                </pt>
                <pt idx="763">
                  <v>44251</v>
                </pt>
                <pt idx="764">
                  <v>44252</v>
                </pt>
                <pt idx="765">
                  <v>44253</v>
                </pt>
                <pt idx="766">
                  <v>44256</v>
                </pt>
                <pt idx="767">
                  <v>44257</v>
                </pt>
                <pt idx="768">
                  <v>44258</v>
                </pt>
                <pt idx="769">
                  <v>44259</v>
                </pt>
                <pt idx="770">
                  <v>44260</v>
                </pt>
                <pt idx="771">
                  <v>44263</v>
                </pt>
                <pt idx="772">
                  <v>44264</v>
                </pt>
                <pt idx="773">
                  <v>44265</v>
                </pt>
                <pt idx="774">
                  <v>44266</v>
                </pt>
                <pt idx="775">
                  <v>44267</v>
                </pt>
                <pt idx="776">
                  <v>44270</v>
                </pt>
                <pt idx="777">
                  <v>44271</v>
                </pt>
                <pt idx="778">
                  <v>44272</v>
                </pt>
                <pt idx="779">
                  <v>44273</v>
                </pt>
                <pt idx="780">
                  <v>44274</v>
                </pt>
                <pt idx="781">
                  <v>44277</v>
                </pt>
                <pt idx="782">
                  <v>44278</v>
                </pt>
                <pt idx="783">
                  <v>44279</v>
                </pt>
                <pt idx="784">
                  <v>44280</v>
                </pt>
                <pt idx="785">
                  <v>44281</v>
                </pt>
                <pt idx="786">
                  <v>44284</v>
                </pt>
                <pt idx="787">
                  <v>44285</v>
                </pt>
                <pt idx="788">
                  <v>44286</v>
                </pt>
                <pt idx="789">
                  <v>44287</v>
                </pt>
                <pt idx="790">
                  <v>44288</v>
                </pt>
                <pt idx="791">
                  <v>44292</v>
                </pt>
                <pt idx="792">
                  <v>44293</v>
                </pt>
                <pt idx="793">
                  <v>44294</v>
                </pt>
                <pt idx="794">
                  <v>44295</v>
                </pt>
                <pt idx="795">
                  <v>44298</v>
                </pt>
                <pt idx="796">
                  <v>44299</v>
                </pt>
                <pt idx="797">
                  <v>44300</v>
                </pt>
                <pt idx="798">
                  <v>44301</v>
                </pt>
                <pt idx="799">
                  <v>44302</v>
                </pt>
                <pt idx="800">
                  <v>44305</v>
                </pt>
                <pt idx="801">
                  <v>44306</v>
                </pt>
                <pt idx="802">
                  <v>44307</v>
                </pt>
                <pt idx="803">
                  <v>44308</v>
                </pt>
                <pt idx="804">
                  <v>44309</v>
                </pt>
                <pt idx="805">
                  <v>44312</v>
                </pt>
                <pt idx="806">
                  <v>44313</v>
                </pt>
                <pt idx="807">
                  <v>44314</v>
                </pt>
                <pt idx="808">
                  <v>44315</v>
                </pt>
                <pt idx="809">
                  <v>44316</v>
                </pt>
                <pt idx="810">
                  <v>44322</v>
                </pt>
                <pt idx="811">
                  <v>44323</v>
                </pt>
                <pt idx="812">
                  <v>44326</v>
                </pt>
                <pt idx="813">
                  <v>44327</v>
                </pt>
                <pt idx="814">
                  <v>44328</v>
                </pt>
                <pt idx="815">
                  <v>44329</v>
                </pt>
                <pt idx="816">
                  <v>44330</v>
                </pt>
                <pt idx="817">
                  <v>44333</v>
                </pt>
                <pt idx="818">
                  <v>44334</v>
                </pt>
                <pt idx="819">
                  <v>44335</v>
                </pt>
                <pt idx="820">
                  <v>44336</v>
                </pt>
                <pt idx="821">
                  <v>44337</v>
                </pt>
                <pt idx="822">
                  <v>44340</v>
                </pt>
                <pt idx="823">
                  <v>44341</v>
                </pt>
                <pt idx="824">
                  <v>44342</v>
                </pt>
                <pt idx="825">
                  <v>44343</v>
                </pt>
                <pt idx="826">
                  <v>44344</v>
                </pt>
                <pt idx="827">
                  <v>44347</v>
                </pt>
                <pt idx="828">
                  <v>44348</v>
                </pt>
                <pt idx="829">
                  <v>44349</v>
                </pt>
                <pt idx="830">
                  <v>44350</v>
                </pt>
                <pt idx="831">
                  <v>44351</v>
                </pt>
                <pt idx="832">
                  <v>44354</v>
                </pt>
                <pt idx="833">
                  <v>44355</v>
                </pt>
                <pt idx="834">
                  <v>44356</v>
                </pt>
                <pt idx="835">
                  <v>44357</v>
                </pt>
                <pt idx="836">
                  <v>44358</v>
                </pt>
                <pt idx="837">
                  <v>44362</v>
                </pt>
                <pt idx="838">
                  <v>44363</v>
                </pt>
                <pt idx="839">
                  <v>44364</v>
                </pt>
                <pt idx="840">
                  <v>44365</v>
                </pt>
                <pt idx="841">
                  <v>44368</v>
                </pt>
                <pt idx="842">
                  <v>44369</v>
                </pt>
                <pt idx="843">
                  <v>44370</v>
                </pt>
                <pt idx="844">
                  <v>44371</v>
                </pt>
                <pt idx="845">
                  <v>44372</v>
                </pt>
                <pt idx="846">
                  <v>44375</v>
                </pt>
                <pt idx="847">
                  <v>44376</v>
                </pt>
                <pt idx="848">
                  <v>44377</v>
                </pt>
                <pt idx="849">
                  <v>44378</v>
                </pt>
                <pt idx="850">
                  <v>44379</v>
                </pt>
                <pt idx="851">
                  <v>44382</v>
                </pt>
                <pt idx="852">
                  <v>44383</v>
                </pt>
                <pt idx="853">
                  <v>44384</v>
                </pt>
                <pt idx="854">
                  <v>44385</v>
                </pt>
                <pt idx="855">
                  <v>44386</v>
                </pt>
                <pt idx="856">
                  <v>44389</v>
                </pt>
                <pt idx="857">
                  <v>44390</v>
                </pt>
                <pt idx="858">
                  <v>44391</v>
                </pt>
                <pt idx="859">
                  <v>44392</v>
                </pt>
                <pt idx="860">
                  <v>44393</v>
                </pt>
                <pt idx="861">
                  <v>44396</v>
                </pt>
                <pt idx="862">
                  <v>44397</v>
                </pt>
                <pt idx="863">
                  <v>44398</v>
                </pt>
                <pt idx="864">
                  <v>44399</v>
                </pt>
                <pt idx="865">
                  <v>44400</v>
                </pt>
                <pt idx="866">
                  <v>44403</v>
                </pt>
                <pt idx="867">
                  <v>44404</v>
                </pt>
                <pt idx="868">
                  <v>44405</v>
                </pt>
                <pt idx="869">
                  <v>44406</v>
                </pt>
                <pt idx="870">
                  <v>44407</v>
                </pt>
                <pt idx="871">
                  <v>44410</v>
                </pt>
                <pt idx="872">
                  <v>44411</v>
                </pt>
                <pt idx="873">
                  <v>44412</v>
                </pt>
                <pt idx="874">
                  <v>44413</v>
                </pt>
                <pt idx="875">
                  <v>44414</v>
                </pt>
                <pt idx="876">
                  <v>44417</v>
                </pt>
                <pt idx="877">
                  <v>44418</v>
                </pt>
                <pt idx="878">
                  <v>44419</v>
                </pt>
                <pt idx="879">
                  <v>44420</v>
                </pt>
                <pt idx="880">
                  <v>44421</v>
                </pt>
                <pt idx="881">
                  <v>44424</v>
                </pt>
                <pt idx="882">
                  <v>44425</v>
                </pt>
                <pt idx="883">
                  <v>44426</v>
                </pt>
                <pt idx="884">
                  <v>44427</v>
                </pt>
                <pt idx="885">
                  <v>44428</v>
                </pt>
                <pt idx="886">
                  <v>44431</v>
                </pt>
                <pt idx="887">
                  <v>44432</v>
                </pt>
                <pt idx="888">
                  <v>44433</v>
                </pt>
                <pt idx="889">
                  <v>44434</v>
                </pt>
                <pt idx="890">
                  <v>44435</v>
                </pt>
                <pt idx="891">
                  <v>44438</v>
                </pt>
                <pt idx="892">
                  <v>44439</v>
                </pt>
                <pt idx="893">
                  <v>44440</v>
                </pt>
                <pt idx="894">
                  <v>44441</v>
                </pt>
                <pt idx="895">
                  <v>44442</v>
                </pt>
                <pt idx="896">
                  <v>44445</v>
                </pt>
                <pt idx="897">
                  <v>44446</v>
                </pt>
                <pt idx="898">
                  <v>44447</v>
                </pt>
                <pt idx="899">
                  <v>44448</v>
                </pt>
                <pt idx="900">
                  <v>44449</v>
                </pt>
                <pt idx="901">
                  <v>44452</v>
                </pt>
                <pt idx="902">
                  <v>44453</v>
                </pt>
                <pt idx="903">
                  <v>44454</v>
                </pt>
                <pt idx="904">
                  <v>44455</v>
                </pt>
                <pt idx="905">
                  <v>44456</v>
                </pt>
                <pt idx="906">
                  <v>44461</v>
                </pt>
                <pt idx="907">
                  <v>44462</v>
                </pt>
                <pt idx="908">
                  <v>44463</v>
                </pt>
                <pt idx="909">
                  <v>44466</v>
                </pt>
                <pt idx="910">
                  <v>44467</v>
                </pt>
                <pt idx="911">
                  <v>44468</v>
                </pt>
                <pt idx="912">
                  <v>44469</v>
                </pt>
                <pt idx="913">
                  <v>44477</v>
                </pt>
                <pt idx="914">
                  <v>44480</v>
                </pt>
                <pt idx="915">
                  <v>44481</v>
                </pt>
                <pt idx="916">
                  <v>44482</v>
                </pt>
                <pt idx="917">
                  <v>44483</v>
                </pt>
                <pt idx="918">
                  <v>44484</v>
                </pt>
                <pt idx="919">
                  <v>44487</v>
                </pt>
                <pt idx="920">
                  <v>44488</v>
                </pt>
                <pt idx="921">
                  <v>44489</v>
                </pt>
                <pt idx="922">
                  <v>44490</v>
                </pt>
                <pt idx="923">
                  <v>44491</v>
                </pt>
                <pt idx="924">
                  <v>44494</v>
                </pt>
                <pt idx="925">
                  <v>44495</v>
                </pt>
                <pt idx="926">
                  <v>44496</v>
                </pt>
                <pt idx="927">
                  <v>44497</v>
                </pt>
                <pt idx="928">
                  <v>44498</v>
                </pt>
                <pt idx="929">
                  <v>44501</v>
                </pt>
                <pt idx="930">
                  <v>44502</v>
                </pt>
                <pt idx="931">
                  <v>44503</v>
                </pt>
                <pt idx="932">
                  <v>44504</v>
                </pt>
                <pt idx="933">
                  <v>44505</v>
                </pt>
                <pt idx="934">
                  <v>44508</v>
                </pt>
                <pt idx="935">
                  <v>44509</v>
                </pt>
                <pt idx="936">
                  <v>44510</v>
                </pt>
                <pt idx="937">
                  <v>44511</v>
                </pt>
                <pt idx="938">
                  <v>44512</v>
                </pt>
                <pt idx="939">
                  <v>44515</v>
                </pt>
                <pt idx="940">
                  <v>44516</v>
                </pt>
                <pt idx="941">
                  <v>44517</v>
                </pt>
                <pt idx="942">
                  <v>44518</v>
                </pt>
                <pt idx="943">
                  <v>44519</v>
                </pt>
                <pt idx="944">
                  <v>44522</v>
                </pt>
                <pt idx="945">
                  <v>44523</v>
                </pt>
                <pt idx="946">
                  <v>44524</v>
                </pt>
                <pt idx="947">
                  <v>44525</v>
                </pt>
                <pt idx="948">
                  <v>44526</v>
                </pt>
                <pt idx="949">
                  <v>44529</v>
                </pt>
                <pt idx="950">
                  <v>44530</v>
                </pt>
                <pt idx="951">
                  <v>44531</v>
                </pt>
                <pt idx="952">
                  <v>44532</v>
                </pt>
                <pt idx="953">
                  <v>44533</v>
                </pt>
                <pt idx="954">
                  <v>44536</v>
                </pt>
                <pt idx="955">
                  <v>44537</v>
                </pt>
                <pt idx="956">
                  <v>44538</v>
                </pt>
                <pt idx="957">
                  <v>44539</v>
                </pt>
                <pt idx="958">
                  <v>44540</v>
                </pt>
                <pt idx="959">
                  <v>44543</v>
                </pt>
                <pt idx="960">
                  <v>44544</v>
                </pt>
                <pt idx="961">
                  <v>44545</v>
                </pt>
                <pt idx="962">
                  <v>44546</v>
                </pt>
                <pt idx="963">
                  <v>44547</v>
                </pt>
                <pt idx="964">
                  <v>44550</v>
                </pt>
                <pt idx="965">
                  <v>44551</v>
                </pt>
                <pt idx="966">
                  <v>44552</v>
                </pt>
                <pt idx="967">
                  <v>44553</v>
                </pt>
                <pt idx="968">
                  <v>44554</v>
                </pt>
                <pt idx="969">
                  <v>44557</v>
                </pt>
                <pt idx="970">
                  <v>44558</v>
                </pt>
                <pt idx="971">
                  <v>44559</v>
                </pt>
                <pt idx="972">
                  <v>44560</v>
                </pt>
                <pt idx="973">
                  <v>44561</v>
                </pt>
                <pt idx="974">
                  <v>44565</v>
                </pt>
                <pt idx="975">
                  <v>44566</v>
                </pt>
                <pt idx="976">
                  <v>44567</v>
                </pt>
                <pt idx="977">
                  <v>44568</v>
                </pt>
                <pt idx="978">
                  <v>44571</v>
                </pt>
                <pt idx="979">
                  <v>44572</v>
                </pt>
                <pt idx="980">
                  <v>44573</v>
                </pt>
                <pt idx="981">
                  <v>44574</v>
                </pt>
                <pt idx="982">
                  <v>44575</v>
                </pt>
                <pt idx="983">
                  <v>44578</v>
                </pt>
                <pt idx="984">
                  <v>44579</v>
                </pt>
                <pt idx="985">
                  <v>44580</v>
                </pt>
                <pt idx="986">
                  <v>44581</v>
                </pt>
                <pt idx="987">
                  <v>44582</v>
                </pt>
                <pt idx="988">
                  <v>44585</v>
                </pt>
                <pt idx="989">
                  <v>44586</v>
                </pt>
                <pt idx="990">
                  <v>44587</v>
                </pt>
                <pt idx="991">
                  <v>44588</v>
                </pt>
                <pt idx="992">
                  <v>44589</v>
                </pt>
                <pt idx="993">
                  <v>44599</v>
                </pt>
                <pt idx="994">
                  <v>44600</v>
                </pt>
                <pt idx="995">
                  <v>44601</v>
                </pt>
                <pt idx="996">
                  <v>44602</v>
                </pt>
                <pt idx="997">
                  <v>44603</v>
                </pt>
                <pt idx="998">
                  <v>44606</v>
                </pt>
                <pt idx="999">
                  <v>44607</v>
                </pt>
                <pt idx="1000">
                  <v>44608</v>
                </pt>
                <pt idx="1001">
                  <v>44609</v>
                </pt>
                <pt idx="1002">
                  <v>44610</v>
                </pt>
                <pt idx="1003">
                  <v>44613</v>
                </pt>
                <pt idx="1004">
                  <v>44614</v>
                </pt>
                <pt idx="1005">
                  <v>44615</v>
                </pt>
                <pt idx="1006">
                  <v>44616</v>
                </pt>
                <pt idx="1007">
                  <v>44617</v>
                </pt>
                <pt idx="1008">
                  <v>44620</v>
                </pt>
                <pt idx="1009">
                  <v>44621</v>
                </pt>
                <pt idx="1010">
                  <v>44622</v>
                </pt>
                <pt idx="1011">
                  <v>44623</v>
                </pt>
                <pt idx="1012">
                  <v>44624</v>
                </pt>
                <pt idx="1013">
                  <v>44627</v>
                </pt>
                <pt idx="1014">
                  <v>44628</v>
                </pt>
                <pt idx="1015">
                  <v>44629</v>
                </pt>
                <pt idx="1016">
                  <v>44630</v>
                </pt>
                <pt idx="1017">
                  <v>44631</v>
                </pt>
                <pt idx="1018">
                  <v>44634</v>
                </pt>
                <pt idx="1019">
                  <v>44635</v>
                </pt>
                <pt idx="1020">
                  <v>44636</v>
                </pt>
                <pt idx="1021">
                  <v>44637</v>
                </pt>
                <pt idx="1022">
                  <v>44638</v>
                </pt>
                <pt idx="1023">
                  <v>44641</v>
                </pt>
                <pt idx="1024">
                  <v>44642</v>
                </pt>
                <pt idx="1025">
                  <v>44643</v>
                </pt>
                <pt idx="1026">
                  <v>44644</v>
                </pt>
                <pt idx="1027">
                  <v>44645</v>
                </pt>
                <pt idx="1028">
                  <v>44648</v>
                </pt>
                <pt idx="1029">
                  <v>44649</v>
                </pt>
                <pt idx="1030">
                  <v>44650</v>
                </pt>
                <pt idx="1031">
                  <v>44651</v>
                </pt>
                <pt idx="1032">
                  <v>44652</v>
                </pt>
                <pt idx="1033">
                  <v>44657</v>
                </pt>
                <pt idx="1034">
                  <v>44658</v>
                </pt>
                <pt idx="1035">
                  <v>44659</v>
                </pt>
                <pt idx="1036">
                  <v>44662</v>
                </pt>
                <pt idx="1037">
                  <v>44663</v>
                </pt>
                <pt idx="1038">
                  <v>44664</v>
                </pt>
                <pt idx="1039">
                  <v>44665</v>
                </pt>
                <pt idx="1040">
                  <v>44666</v>
                </pt>
                <pt idx="1041">
                  <v>44669</v>
                </pt>
                <pt idx="1042">
                  <v>44670</v>
                </pt>
                <pt idx="1043">
                  <v>44671</v>
                </pt>
                <pt idx="1044">
                  <v>44672</v>
                </pt>
                <pt idx="1045">
                  <v>44673</v>
                </pt>
                <pt idx="1046">
                  <v>44676</v>
                </pt>
                <pt idx="1047">
                  <v>44677</v>
                </pt>
                <pt idx="1048">
                  <v>44678</v>
                </pt>
                <pt idx="1049">
                  <v>44679</v>
                </pt>
                <pt idx="1050">
                  <v>44680</v>
                </pt>
                <pt idx="1051">
                  <v>44686</v>
                </pt>
                <pt idx="1052">
                  <v>44687</v>
                </pt>
                <pt idx="1053">
                  <v>44690</v>
                </pt>
                <pt idx="1054">
                  <v>44691</v>
                </pt>
                <pt idx="1055">
                  <v>44692</v>
                </pt>
                <pt idx="1056">
                  <v>44693</v>
                </pt>
                <pt idx="1057">
                  <v>44694</v>
                </pt>
                <pt idx="1058">
                  <v>44697</v>
                </pt>
                <pt idx="1059">
                  <v>44698</v>
                </pt>
                <pt idx="1060">
                  <v>44699</v>
                </pt>
                <pt idx="1061">
                  <v>44700</v>
                </pt>
                <pt idx="1062">
                  <v>44701</v>
                </pt>
                <pt idx="1063">
                  <v>44704</v>
                </pt>
                <pt idx="1064">
                  <v>44705</v>
                </pt>
                <pt idx="1065">
                  <v>44706</v>
                </pt>
                <pt idx="1066">
                  <v>44707</v>
                </pt>
                <pt idx="1067">
                  <v>44708</v>
                </pt>
                <pt idx="1068">
                  <v>44711</v>
                </pt>
                <pt idx="1069">
                  <v>44712</v>
                </pt>
                <pt idx="1070">
                  <v>44713</v>
                </pt>
                <pt idx="1071">
                  <v>44714</v>
                </pt>
                <pt idx="1072">
                  <v>44718</v>
                </pt>
                <pt idx="1073">
                  <v>44719</v>
                </pt>
                <pt idx="1074">
                  <v>44720</v>
                </pt>
                <pt idx="1075">
                  <v>44721</v>
                </pt>
                <pt idx="1076">
                  <v>44722</v>
                </pt>
                <pt idx="1077">
                  <v>44725</v>
                </pt>
                <pt idx="1078">
                  <v>44726</v>
                </pt>
                <pt idx="1079">
                  <v>44727</v>
                </pt>
                <pt idx="1080">
                  <v>44728</v>
                </pt>
                <pt idx="1081">
                  <v>44729</v>
                </pt>
                <pt idx="1082">
                  <v>44732</v>
                </pt>
                <pt idx="1083">
                  <v>44733</v>
                </pt>
                <pt idx="1084">
                  <v>44734</v>
                </pt>
                <pt idx="1085">
                  <v>44735</v>
                </pt>
                <pt idx="1086">
                  <v>44736</v>
                </pt>
                <pt idx="1087">
                  <v>44739</v>
                </pt>
                <pt idx="1088">
                  <v>44740</v>
                </pt>
                <pt idx="1089">
                  <v>44741</v>
                </pt>
                <pt idx="1090">
                  <v>44742</v>
                </pt>
                <pt idx="1091">
                  <v>44743</v>
                </pt>
                <pt idx="1092">
                  <v>44746</v>
                </pt>
                <pt idx="1093">
                  <v>44747</v>
                </pt>
                <pt idx="1094">
                  <v>44748</v>
                </pt>
                <pt idx="1095">
                  <v>44749</v>
                </pt>
                <pt idx="1096">
                  <v>44750</v>
                </pt>
                <pt idx="1097">
                  <v>44753</v>
                </pt>
                <pt idx="1098">
                  <v>44754</v>
                </pt>
                <pt idx="1099">
                  <v>44755</v>
                </pt>
                <pt idx="1100">
                  <v>44756</v>
                </pt>
                <pt idx="1101">
                  <v>44757</v>
                </pt>
                <pt idx="1102">
                  <v>44760</v>
                </pt>
                <pt idx="1103">
                  <v>44761</v>
                </pt>
                <pt idx="1104">
                  <v>44762</v>
                </pt>
                <pt idx="1105">
                  <v>44763</v>
                </pt>
                <pt idx="1106">
                  <v>44764</v>
                </pt>
                <pt idx="1107">
                  <v>44767</v>
                </pt>
                <pt idx="1108">
                  <v>44768</v>
                </pt>
                <pt idx="1109">
                  <v>44769</v>
                </pt>
                <pt idx="1110">
                  <v>44770</v>
                </pt>
                <pt idx="1111">
                  <v>44771</v>
                </pt>
                <pt idx="1112">
                  <v>44774</v>
                </pt>
                <pt idx="1113">
                  <v>44775</v>
                </pt>
                <pt idx="1114">
                  <v>44776</v>
                </pt>
                <pt idx="1115">
                  <v>44777</v>
                </pt>
                <pt idx="1116">
                  <v>44778</v>
                </pt>
                <pt idx="1117">
                  <v>44781</v>
                </pt>
                <pt idx="1118">
                  <v>44782</v>
                </pt>
                <pt idx="1119">
                  <v>44783</v>
                </pt>
                <pt idx="1120">
                  <v>44784</v>
                </pt>
                <pt idx="1121">
                  <v>44785</v>
                </pt>
                <pt idx="1122">
                  <v>44788</v>
                </pt>
                <pt idx="1123">
                  <v>44789</v>
                </pt>
                <pt idx="1124">
                  <v>44790</v>
                </pt>
                <pt idx="1125">
                  <v>44791</v>
                </pt>
                <pt idx="1126">
                  <v>44792</v>
                </pt>
                <pt idx="1127">
                  <v>44795</v>
                </pt>
                <pt idx="1128">
                  <v>44796</v>
                </pt>
                <pt idx="1129">
                  <v>44797</v>
                </pt>
                <pt idx="1130">
                  <v>44798</v>
                </pt>
                <pt idx="1131">
                  <v>44799</v>
                </pt>
                <pt idx="1132">
                  <v>44802</v>
                </pt>
                <pt idx="1133">
                  <v>44803</v>
                </pt>
                <pt idx="1134">
                  <v>44804</v>
                </pt>
              </numCache>
            </numRef>
          </cat>
          <val>
            <numRef>
              <f>可转债双低!$F$3:$F$1137</f>
              <numCache>
                <formatCode>General</formatCode>
                <ptCount val="1135"/>
                <pt idx="0">
                  <v>104.111</v>
                </pt>
                <pt idx="1">
                  <v>104.8</v>
                </pt>
                <pt idx="2">
                  <v>105.21</v>
                </pt>
                <pt idx="3">
                  <v>104.655</v>
                </pt>
                <pt idx="4">
                  <v>107</v>
                </pt>
                <pt idx="5">
                  <v>107.805</v>
                </pt>
                <pt idx="6">
                  <v>106.371</v>
                </pt>
                <pt idx="7">
                  <v>105.75</v>
                </pt>
                <pt idx="8">
                  <v>106.08</v>
                </pt>
                <pt idx="9">
                  <v>105.836</v>
                </pt>
                <pt idx="10">
                  <v>104.145</v>
                </pt>
                <pt idx="11">
                  <v>103.72</v>
                </pt>
                <pt idx="12">
                  <v>104.176</v>
                </pt>
                <pt idx="13">
                  <v>104.35</v>
                </pt>
                <pt idx="14">
                  <v>104.51</v>
                </pt>
                <pt idx="15">
                  <v>105.74</v>
                </pt>
                <pt idx="16">
                  <v>106.271</v>
                </pt>
                <pt idx="17">
                  <v>106.71</v>
                </pt>
                <pt idx="18">
                  <v>107.322</v>
                </pt>
                <pt idx="19">
                  <v>106.195</v>
                </pt>
                <pt idx="20">
                  <v>104.968</v>
                </pt>
                <pt idx="21">
                  <v>105.5</v>
                </pt>
                <pt idx="22">
                  <v>105.14</v>
                </pt>
                <pt idx="23">
                  <v>103.846</v>
                </pt>
                <pt idx="24">
                  <v>103.76</v>
                </pt>
                <pt idx="25">
                  <v>103.63</v>
                </pt>
                <pt idx="26">
                  <v>102.084</v>
                </pt>
                <pt idx="27">
                  <v>102</v>
                </pt>
                <pt idx="28">
                  <v>102.391</v>
                </pt>
                <pt idx="29">
                  <v>101.98</v>
                </pt>
                <pt idx="30">
                  <v>103.91</v>
                </pt>
                <pt idx="31">
                  <v>103.92</v>
                </pt>
                <pt idx="32">
                  <v>104.2</v>
                </pt>
                <pt idx="33">
                  <v>104.429</v>
                </pt>
                <pt idx="34">
                  <v>104.11</v>
                </pt>
                <pt idx="35">
                  <v>105.725</v>
                </pt>
                <pt idx="36">
                  <v>105.845</v>
                </pt>
                <pt idx="37">
                  <v>105.771</v>
                </pt>
                <pt idx="38">
                  <v>106.03</v>
                </pt>
                <pt idx="39">
                  <v>105.615</v>
                </pt>
                <pt idx="40">
                  <v>105.25</v>
                </pt>
                <pt idx="41">
                  <v>105.725</v>
                </pt>
                <pt idx="42">
                  <v>106</v>
                </pt>
                <pt idx="43">
                  <v>105.835</v>
                </pt>
                <pt idx="44">
                  <v>105.875</v>
                </pt>
                <pt idx="45">
                  <v>107.065</v>
                </pt>
                <pt idx="46">
                  <v>107.237</v>
                </pt>
                <pt idx="47">
                  <v>106.685</v>
                </pt>
                <pt idx="48">
                  <v>106.7</v>
                </pt>
                <pt idx="49">
                  <v>105.82</v>
                </pt>
                <pt idx="50">
                  <v>106.598</v>
                </pt>
                <pt idx="51">
                  <v>105.76</v>
                </pt>
                <pt idx="52">
                  <v>106</v>
                </pt>
                <pt idx="53">
                  <v>106.13</v>
                </pt>
                <pt idx="54">
                  <v>104.78</v>
                </pt>
                <pt idx="55">
                  <v>105.155</v>
                </pt>
                <pt idx="56">
                  <v>106.035</v>
                </pt>
                <pt idx="57">
                  <v>105.4</v>
                </pt>
                <pt idx="58">
                  <v>105.2</v>
                </pt>
                <pt idx="59">
                  <v>105.8</v>
                </pt>
                <pt idx="60">
                  <v>105.8</v>
                </pt>
                <pt idx="61">
                  <v>105.728</v>
                </pt>
                <pt idx="62">
                  <v>105.47</v>
                </pt>
                <pt idx="63">
                  <v>105.99</v>
                </pt>
                <pt idx="64">
                  <v>105.725</v>
                </pt>
                <pt idx="65">
                  <v>105.992</v>
                </pt>
                <pt idx="66">
                  <v>106.139</v>
                </pt>
                <pt idx="67">
                  <v>105.829</v>
                </pt>
                <pt idx="68">
                  <v>105.213</v>
                </pt>
                <pt idx="69">
                  <v>104.805</v>
                </pt>
                <pt idx="70">
                  <v>105.17</v>
                </pt>
                <pt idx="71">
                  <v>106</v>
                </pt>
                <pt idx="72">
                  <v>104.23</v>
                </pt>
                <pt idx="73">
                  <v>103.87</v>
                </pt>
                <pt idx="74">
                  <v>104.59</v>
                </pt>
                <pt idx="75">
                  <v>105.03</v>
                </pt>
                <pt idx="76">
                  <v>103.205</v>
                </pt>
                <pt idx="77">
                  <v>103.505</v>
                </pt>
                <pt idx="78">
                  <v>103.235</v>
                </pt>
                <pt idx="79">
                  <v>103.845</v>
                </pt>
                <pt idx="80">
                  <v>104.379</v>
                </pt>
                <pt idx="81">
                  <v>104.85</v>
                </pt>
                <pt idx="82">
                  <v>104.995</v>
                </pt>
                <pt idx="83">
                  <v>104.815</v>
                </pt>
                <pt idx="84">
                  <v>104.78</v>
                </pt>
                <pt idx="85">
                  <v>104.62</v>
                </pt>
                <pt idx="86">
                  <v>104.475</v>
                </pt>
                <pt idx="87">
                  <v>104.645</v>
                </pt>
                <pt idx="88">
                  <v>104.73</v>
                </pt>
                <pt idx="89">
                  <v>104.82</v>
                </pt>
                <pt idx="90">
                  <v>104.69</v>
                </pt>
                <pt idx="91">
                  <v>105.36</v>
                </pt>
                <pt idx="92">
                  <v>105.245</v>
                </pt>
                <pt idx="93">
                  <v>105.1</v>
                </pt>
                <pt idx="94">
                  <v>104.67</v>
                </pt>
                <pt idx="95">
                  <v>104.15</v>
                </pt>
                <pt idx="96">
                  <v>103.76</v>
                </pt>
                <pt idx="97">
                  <v>103.42</v>
                </pt>
                <pt idx="98">
                  <v>101.77</v>
                </pt>
                <pt idx="99">
                  <v>102.22</v>
                </pt>
                <pt idx="100">
                  <v>102</v>
                </pt>
                <pt idx="101">
                  <v>101.04</v>
                </pt>
                <pt idx="102">
                  <v>101.645</v>
                </pt>
                <pt idx="103">
                  <v>102.07</v>
                </pt>
                <pt idx="104">
                  <v>102.2</v>
                </pt>
                <pt idx="105">
                  <v>101.51</v>
                </pt>
                <pt idx="106">
                  <v>101</v>
                </pt>
                <pt idx="107">
                  <v>101.1</v>
                </pt>
                <pt idx="108">
                  <v>101.392</v>
                </pt>
                <pt idx="109">
                  <v>100.386</v>
                </pt>
                <pt idx="110">
                  <v>99.86499999999999</v>
                </pt>
                <pt idx="111">
                  <v>96.42</v>
                </pt>
                <pt idx="112">
                  <v>97.09999999999999</v>
                </pt>
                <pt idx="113">
                  <v>96.345</v>
                </pt>
                <pt idx="114">
                  <v>96.09399999999999</v>
                </pt>
                <pt idx="115">
                  <v>97.28</v>
                </pt>
                <pt idx="116">
                  <v>97.25</v>
                </pt>
                <pt idx="117">
                  <v>96.699</v>
                </pt>
                <pt idx="118">
                  <v>96.56</v>
                </pt>
                <pt idx="119">
                  <v>97.938</v>
                </pt>
                <pt idx="120">
                  <v>97.164</v>
                </pt>
                <pt idx="121">
                  <v>97.965</v>
                </pt>
                <pt idx="122">
                  <v>97.855</v>
                </pt>
                <pt idx="123">
                  <v>97.44499999999999</v>
                </pt>
                <pt idx="124">
                  <v>97.73999999999999</v>
                </pt>
                <pt idx="125">
                  <v>98.7</v>
                </pt>
                <pt idx="126">
                  <v>99.3</v>
                </pt>
                <pt idx="127">
                  <v>98.125</v>
                </pt>
                <pt idx="128">
                  <v>99.97499999999999</v>
                </pt>
                <pt idx="129">
                  <v>100.66</v>
                </pt>
                <pt idx="130">
                  <v>99.61499999999999</v>
                </pt>
                <pt idx="131">
                  <v>99.905</v>
                </pt>
                <pt idx="132">
                  <v>99.91500000000001</v>
                </pt>
                <pt idx="133">
                  <v>100.025</v>
                </pt>
                <pt idx="134">
                  <v>100.178</v>
                </pt>
                <pt idx="135">
                  <v>100.238</v>
                </pt>
                <pt idx="136">
                  <v>101.02</v>
                </pt>
                <pt idx="137">
                  <v>100.56</v>
                </pt>
                <pt idx="138">
                  <v>99.94</v>
                </pt>
                <pt idx="139">
                  <v>99.745</v>
                </pt>
                <pt idx="140">
                  <v>99.395</v>
                </pt>
                <pt idx="141">
                  <v>99.25</v>
                </pt>
                <pt idx="142">
                  <v>99.444</v>
                </pt>
                <pt idx="143">
                  <v>98.47</v>
                </pt>
                <pt idx="144">
                  <v>98</v>
                </pt>
                <pt idx="145">
                  <v>97.89</v>
                </pt>
                <pt idx="146">
                  <v>98.58</v>
                </pt>
                <pt idx="147">
                  <v>98.58</v>
                </pt>
                <pt idx="148">
                  <v>99.64</v>
                </pt>
                <pt idx="149">
                  <v>99.38500000000001</v>
                </pt>
                <pt idx="150">
                  <v>99.48</v>
                </pt>
                <pt idx="151">
                  <v>99.2</v>
                </pt>
                <pt idx="152">
                  <v>98.73999999999999</v>
                </pt>
                <pt idx="153">
                  <v>97.92100000000001</v>
                </pt>
                <pt idx="154">
                  <v>97.31999999999999</v>
                </pt>
                <pt idx="155">
                  <v>97.95</v>
                </pt>
                <pt idx="156">
                  <v>98.17</v>
                </pt>
                <pt idx="157">
                  <v>97.595</v>
                </pt>
                <pt idx="158">
                  <v>98.015</v>
                </pt>
                <pt idx="159">
                  <v>97.62</v>
                </pt>
                <pt idx="160">
                  <v>98.88</v>
                </pt>
                <pt idx="161">
                  <v>98.97</v>
                </pt>
                <pt idx="162">
                  <v>98.59999999999999</v>
                </pt>
                <pt idx="163">
                  <v>98.458</v>
                </pt>
                <pt idx="164">
                  <v>98.032</v>
                </pt>
                <pt idx="165">
                  <v>97.91500000000001</v>
                </pt>
                <pt idx="166">
                  <v>98.06999999999999</v>
                </pt>
                <pt idx="167">
                  <v>97.803</v>
                </pt>
                <pt idx="168">
                  <v>97.706</v>
                </pt>
                <pt idx="169">
                  <v>97.745</v>
                </pt>
                <pt idx="170">
                  <v>97.26000000000001</v>
                </pt>
                <pt idx="171">
                  <v>97.27500000000001</v>
                </pt>
                <pt idx="172">
                  <v>97.345</v>
                </pt>
                <pt idx="173">
                  <v>97.39</v>
                </pt>
                <pt idx="174">
                  <v>97.12</v>
                </pt>
                <pt idx="175">
                  <v>96.747</v>
                </pt>
                <pt idx="176">
                  <v>96.861</v>
                </pt>
                <pt idx="177">
                  <v>97.015</v>
                </pt>
                <pt idx="178">
                  <v>97.06999999999999</v>
                </pt>
                <pt idx="179">
                  <v>97.489</v>
                </pt>
                <pt idx="180">
                  <v>97.51000000000001</v>
                </pt>
                <pt idx="181">
                  <v>97.578</v>
                </pt>
                <pt idx="182">
                  <v>97.002</v>
                </pt>
                <pt idx="183">
                  <v>97.47499999999999</v>
                </pt>
                <pt idx="184">
                  <v>96.553</v>
                </pt>
                <pt idx="185">
                  <v>96.55800000000001</v>
                </pt>
                <pt idx="186">
                  <v>96.48</v>
                </pt>
                <pt idx="187">
                  <v>94.42</v>
                </pt>
                <pt idx="188">
                  <v>94.59999999999999</v>
                </pt>
                <pt idx="189">
                  <v>94.18000000000001</v>
                </pt>
                <pt idx="190">
                  <v>93.75</v>
                </pt>
                <pt idx="191">
                  <v>93.79000000000001</v>
                </pt>
                <pt idx="192">
                  <v>93.13200000000001</v>
                </pt>
                <pt idx="193">
                  <v>93.51000000000001</v>
                </pt>
                <pt idx="194">
                  <v>95.29900000000001</v>
                </pt>
                <pt idx="195">
                  <v>94.764</v>
                </pt>
                <pt idx="196">
                  <v>94.8</v>
                </pt>
                <pt idx="197">
                  <v>94.51000000000001</v>
                </pt>
                <pt idx="198">
                  <v>95.002</v>
                </pt>
                <pt idx="199">
                  <v>94.45</v>
                </pt>
                <pt idx="200">
                  <v>94.48999999999999</v>
                </pt>
                <pt idx="201">
                  <v>94.88800000000001</v>
                </pt>
                <pt idx="202">
                  <v>95.25</v>
                </pt>
                <pt idx="203">
                  <v>96.399</v>
                </pt>
                <pt idx="204">
                  <v>96.78</v>
                </pt>
                <pt idx="205">
                  <v>96.3</v>
                </pt>
                <pt idx="206">
                  <v>96.59999999999999</v>
                </pt>
                <pt idx="207">
                  <v>96.35299999999999</v>
                </pt>
                <pt idx="208">
                  <v>96.2</v>
                </pt>
                <pt idx="209">
                  <v>96.67100000000001</v>
                </pt>
                <pt idx="210">
                  <v>97.206</v>
                </pt>
                <pt idx="211">
                  <v>97.94</v>
                </pt>
                <pt idx="212">
                  <v>98.205</v>
                </pt>
                <pt idx="213">
                  <v>99.18000000000001</v>
                </pt>
                <pt idx="214">
                  <v>99.361</v>
                </pt>
                <pt idx="215">
                  <v>98.54000000000001</v>
                </pt>
                <pt idx="216">
                  <v>98.482</v>
                </pt>
                <pt idx="217">
                  <v>98.5</v>
                </pt>
                <pt idx="218">
                  <v>97.44499999999999</v>
                </pt>
                <pt idx="219">
                  <v>97.45</v>
                </pt>
                <pt idx="220">
                  <v>97.67</v>
                </pt>
                <pt idx="221">
                  <v>98.3</v>
                </pt>
                <pt idx="222">
                  <v>97.72</v>
                </pt>
                <pt idx="223">
                  <v>97.715</v>
                </pt>
                <pt idx="224">
                  <v>98.91</v>
                </pt>
                <pt idx="225">
                  <v>99.37</v>
                </pt>
                <pt idx="226">
                  <v>99.239</v>
                </pt>
                <pt idx="227">
                  <v>98.89</v>
                </pt>
                <pt idx="228">
                  <v>98.84</v>
                </pt>
                <pt idx="229">
                  <v>98.595</v>
                </pt>
                <pt idx="230">
                  <v>98.66</v>
                </pt>
                <pt idx="231">
                  <v>98.84999999999999</v>
                </pt>
                <pt idx="232">
                  <v>99.3</v>
                </pt>
                <pt idx="233">
                  <v>99.09999999999999</v>
                </pt>
                <pt idx="234">
                  <v>98.59999999999999</v>
                </pt>
                <pt idx="235">
                  <v>98.48999999999999</v>
                </pt>
                <pt idx="236">
                  <v>98.295</v>
                </pt>
                <pt idx="237">
                  <v>98.09</v>
                </pt>
                <pt idx="238">
                  <v>97.626</v>
                </pt>
                <pt idx="239">
                  <v>97.761</v>
                </pt>
                <pt idx="240">
                  <v>97.505</v>
                </pt>
                <pt idx="241">
                  <v>97.3</v>
                </pt>
                <pt idx="242">
                  <v>97.51000000000001</v>
                </pt>
                <pt idx="243">
                  <v>97.602</v>
                </pt>
                <pt idx="244">
                  <v>97.20999999999999</v>
                </pt>
                <pt idx="245">
                  <v>97.06</v>
                </pt>
                <pt idx="246">
                  <v>97.77</v>
                </pt>
                <pt idx="247">
                  <v>98.5</v>
                </pt>
                <pt idx="248">
                  <v>98.45099999999999</v>
                </pt>
                <pt idx="249">
                  <v>99.545</v>
                </pt>
                <pt idx="250">
                  <v>99.8</v>
                </pt>
                <pt idx="251">
                  <v>99.81</v>
                </pt>
                <pt idx="252">
                  <v>99.911</v>
                </pt>
                <pt idx="253">
                  <v>100.425</v>
                </pt>
                <pt idx="254">
                  <v>100.51</v>
                </pt>
                <pt idx="255">
                  <v>99.964</v>
                </pt>
                <pt idx="256">
                  <v>100.267</v>
                </pt>
                <pt idx="257">
                  <v>100.5</v>
                </pt>
                <pt idx="258">
                  <v>100.23</v>
                </pt>
                <pt idx="259">
                  <v>100.24</v>
                </pt>
                <pt idx="260">
                  <v>100.365</v>
                </pt>
                <pt idx="261">
                  <v>101.125</v>
                </pt>
                <pt idx="262">
                  <v>100.735</v>
                </pt>
                <pt idx="263">
                  <v>100.49</v>
                </pt>
                <pt idx="264">
                  <v>100.205</v>
                </pt>
                <pt idx="265">
                  <v>100.07</v>
                </pt>
                <pt idx="266">
                  <v>100.91</v>
                </pt>
                <pt idx="267">
                  <v>102.01</v>
                </pt>
                <pt idx="268">
                  <v>102.66</v>
                </pt>
                <pt idx="269">
                  <v>103.5</v>
                </pt>
                <pt idx="270">
                  <v>104.01</v>
                </pt>
                <pt idx="271">
                  <v>104.329</v>
                </pt>
                <pt idx="272">
                  <v>105.61</v>
                </pt>
                <pt idx="273">
                  <v>105.81</v>
                </pt>
                <pt idx="274">
                  <v>105.84</v>
                </pt>
                <pt idx="275">
                  <v>106.07</v>
                </pt>
                <pt idx="276">
                  <v>107.146</v>
                </pt>
                <pt idx="277">
                  <v>109.99</v>
                </pt>
                <pt idx="278">
                  <v>109.45</v>
                </pt>
                <pt idx="279">
                  <v>109.6</v>
                </pt>
                <pt idx="280">
                  <v>109.6</v>
                </pt>
                <pt idx="281">
                  <v>110.201</v>
                </pt>
                <pt idx="282">
                  <v>111</v>
                </pt>
                <pt idx="283">
                  <v>112.34</v>
                </pt>
                <pt idx="284">
                  <v>113.35</v>
                </pt>
                <pt idx="285">
                  <v>113.22</v>
                </pt>
                <pt idx="286">
                  <v>112.255</v>
                </pt>
                <pt idx="287">
                  <v>114.55</v>
                </pt>
                <pt idx="288">
                  <v>115.49</v>
                </pt>
                <pt idx="289">
                  <v>113.615</v>
                </pt>
                <pt idx="290">
                  <v>111.571</v>
                </pt>
                <pt idx="291">
                  <v>112.299</v>
                </pt>
                <pt idx="292">
                  <v>114.66</v>
                </pt>
                <pt idx="293">
                  <v>116.2</v>
                </pt>
                <pt idx="294">
                  <v>115.76</v>
                </pt>
                <pt idx="295">
                  <v>116.571</v>
                </pt>
                <pt idx="296">
                  <v>116.856</v>
                </pt>
                <pt idx="297">
                  <v>115</v>
                </pt>
                <pt idx="298">
                  <v>113.005</v>
                </pt>
                <pt idx="299">
                  <v>112.625</v>
                </pt>
                <pt idx="300">
                  <v>112.69</v>
                </pt>
                <pt idx="301">
                  <v>114.01</v>
                </pt>
                <pt idx="302">
                  <v>117.31</v>
                </pt>
                <pt idx="303">
                  <v>118.1</v>
                </pt>
                <pt idx="304">
                  <v>118.432</v>
                </pt>
                <pt idx="305">
                  <v>119.406</v>
                </pt>
                <pt idx="306">
                  <v>119.6</v>
                </pt>
                <pt idx="307">
                  <v>118.988</v>
                </pt>
                <pt idx="308">
                  <v>118.3</v>
                </pt>
                <pt idx="309">
                  <v>116.275</v>
                </pt>
                <pt idx="310">
                  <v>116.145</v>
                </pt>
                <pt idx="311">
                  <v>114.95</v>
                </pt>
                <pt idx="312">
                  <v>114.919</v>
                </pt>
                <pt idx="313">
                  <v>114.874</v>
                </pt>
                <pt idx="314">
                  <v>115.03</v>
                </pt>
                <pt idx="315">
                  <v>115.295</v>
                </pt>
                <pt idx="316">
                  <v>114.13</v>
                </pt>
                <pt idx="317">
                  <v>113</v>
                </pt>
                <pt idx="318">
                  <v>112.26</v>
                </pt>
                <pt idx="319">
                  <v>109.685</v>
                </pt>
                <pt idx="320">
                  <v>108.981</v>
                </pt>
                <pt idx="321">
                  <v>107.14</v>
                </pt>
                <pt idx="322">
                  <v>108.14</v>
                </pt>
                <pt idx="323">
                  <v>104.79</v>
                </pt>
                <pt idx="324">
                  <v>105.447</v>
                </pt>
                <pt idx="325">
                  <v>105.83</v>
                </pt>
                <pt idx="326">
                  <v>105.555</v>
                </pt>
                <pt idx="327">
                  <v>107.508</v>
                </pt>
                <pt idx="328">
                  <v>107.099</v>
                </pt>
                <pt idx="329">
                  <v>107.25</v>
                </pt>
                <pt idx="330">
                  <v>108.22</v>
                </pt>
                <pt idx="331">
                  <v>109.35</v>
                </pt>
                <pt idx="332">
                  <v>106.75</v>
                </pt>
                <pt idx="333">
                  <v>106.056</v>
                </pt>
                <pt idx="334">
                  <v>106.895</v>
                </pt>
                <pt idx="335">
                  <v>106.905</v>
                </pt>
                <pt idx="336">
                  <v>106.08</v>
                </pt>
                <pt idx="337">
                  <v>105.952</v>
                </pt>
                <pt idx="338">
                  <v>106.251</v>
                </pt>
                <pt idx="339">
                  <v>106.294</v>
                </pt>
                <pt idx="340">
                  <v>105.99</v>
                </pt>
                <pt idx="341">
                  <v>105.031</v>
                </pt>
                <pt idx="342">
                  <v>104.635</v>
                </pt>
                <pt idx="343">
                  <v>103.75</v>
                </pt>
                <pt idx="344">
                  <v>102.99</v>
                </pt>
                <pt idx="345">
                  <v>102.969</v>
                </pt>
                <pt idx="346">
                  <v>101.89</v>
                </pt>
                <pt idx="347">
                  <v>102.371</v>
                </pt>
                <pt idx="348">
                  <v>104.235</v>
                </pt>
                <pt idx="349">
                  <v>104.2</v>
                </pt>
                <pt idx="350">
                  <v>104.12</v>
                </pt>
                <pt idx="351">
                  <v>103.399</v>
                </pt>
                <pt idx="352">
                  <v>103.03</v>
                </pt>
                <pt idx="353">
                  <v>102.67</v>
                </pt>
                <pt idx="354">
                  <v>103.025</v>
                </pt>
                <pt idx="355">
                  <v>104.63</v>
                </pt>
                <pt idx="356">
                  <v>105.815</v>
                </pt>
                <pt idx="357">
                  <v>105.71</v>
                </pt>
                <pt idx="358">
                  <v>105.5</v>
                </pt>
                <pt idx="359">
                  <v>105.58</v>
                </pt>
                <pt idx="360">
                  <v>106.115</v>
                </pt>
                <pt idx="361">
                  <v>105.525</v>
                </pt>
                <pt idx="362">
                  <v>106.794</v>
                </pt>
                <pt idx="363">
                  <v>107.29</v>
                </pt>
                <pt idx="364">
                  <v>107.085</v>
                </pt>
                <pt idx="365">
                  <v>107.13</v>
                </pt>
                <pt idx="366">
                  <v>107.137</v>
                </pt>
                <pt idx="367">
                  <v>105.88</v>
                </pt>
                <pt idx="368">
                  <v>105.975</v>
                </pt>
                <pt idx="369">
                  <v>105.801</v>
                </pt>
                <pt idx="370">
                  <v>105.66</v>
                </pt>
                <pt idx="371">
                  <v>105.855</v>
                </pt>
                <pt idx="372">
                  <v>105.875</v>
                </pt>
                <pt idx="373">
                  <v>106.283</v>
                </pt>
                <pt idx="374">
                  <v>106.429</v>
                </pt>
                <pt idx="375">
                  <v>106.051</v>
                </pt>
                <pt idx="376">
                  <v>106.126</v>
                </pt>
                <pt idx="377">
                  <v>105.23</v>
                </pt>
                <pt idx="378">
                  <v>105.255</v>
                </pt>
                <pt idx="379">
                  <v>105.55</v>
                </pt>
                <pt idx="380">
                  <v>105.94</v>
                </pt>
                <pt idx="381">
                  <v>106.88</v>
                </pt>
                <pt idx="382">
                  <v>107.17</v>
                </pt>
                <pt idx="383">
                  <v>107.435</v>
                </pt>
                <pt idx="384">
                  <v>107.51</v>
                </pt>
                <pt idx="385">
                  <v>107.1</v>
                </pt>
                <pt idx="386">
                  <v>106.66</v>
                </pt>
                <pt idx="387">
                  <v>106.01</v>
                </pt>
                <pt idx="388">
                  <v>105.55</v>
                </pt>
                <pt idx="389">
                  <v>105.785</v>
                </pt>
                <pt idx="390">
                  <v>105.765</v>
                </pt>
                <pt idx="391">
                  <v>105.83</v>
                </pt>
                <pt idx="392">
                  <v>106.206</v>
                </pt>
                <pt idx="393">
                  <v>106.085</v>
                </pt>
                <pt idx="394">
                  <v>106.02</v>
                </pt>
                <pt idx="395">
                  <v>106.07</v>
                </pt>
                <pt idx="396">
                  <v>106.15</v>
                </pt>
                <pt idx="397">
                  <v>107.596</v>
                </pt>
                <pt idx="398">
                  <v>107.774</v>
                </pt>
                <pt idx="399">
                  <v>107.7</v>
                </pt>
                <pt idx="400">
                  <v>107.49</v>
                </pt>
                <pt idx="401">
                  <v>107.793</v>
                </pt>
                <pt idx="402">
                  <v>107.87</v>
                </pt>
                <pt idx="403">
                  <v>108.17</v>
                </pt>
                <pt idx="404">
                  <v>108.62</v>
                </pt>
                <pt idx="405">
                  <v>108.5</v>
                </pt>
                <pt idx="406">
                  <v>108</v>
                </pt>
                <pt idx="407">
                  <v>108.3</v>
                </pt>
                <pt idx="408">
                  <v>108.35</v>
                </pt>
                <pt idx="409">
                  <v>108.52</v>
                </pt>
                <pt idx="410">
                  <v>109.8</v>
                </pt>
                <pt idx="411">
                  <v>110.01</v>
                </pt>
                <pt idx="412">
                  <v>110.96</v>
                </pt>
                <pt idx="413">
                  <v>111.226</v>
                </pt>
                <pt idx="414">
                  <v>110.96</v>
                </pt>
                <pt idx="415">
                  <v>110.66</v>
                </pt>
                <pt idx="416">
                  <v>110.41</v>
                </pt>
                <pt idx="417">
                  <v>109.065</v>
                </pt>
                <pt idx="418">
                  <v>109.23</v>
                </pt>
                <pt idx="419">
                  <v>109.501</v>
                </pt>
                <pt idx="420">
                  <v>109.8</v>
                </pt>
                <pt idx="421">
                  <v>109.35</v>
                </pt>
                <pt idx="422">
                  <v>109.73</v>
                </pt>
                <pt idx="423">
                  <v>109.568</v>
                </pt>
                <pt idx="424">
                  <v>108.55</v>
                </pt>
                <pt idx="425">
                  <v>109.231</v>
                </pt>
                <pt idx="426">
                  <v>108.844</v>
                </pt>
                <pt idx="427">
                  <v>109.036</v>
                </pt>
                <pt idx="428">
                  <v>109.099</v>
                </pt>
                <pt idx="429">
                  <v>110</v>
                </pt>
                <pt idx="430">
                  <v>110.135</v>
                </pt>
                <pt idx="431">
                  <v>110.881</v>
                </pt>
                <pt idx="432">
                  <v>110.58</v>
                </pt>
                <pt idx="433">
                  <v>110.29</v>
                </pt>
                <pt idx="434">
                  <v>110.3</v>
                </pt>
                <pt idx="435">
                  <v>109.808</v>
                </pt>
                <pt idx="436">
                  <v>108.851</v>
                </pt>
                <pt idx="437">
                  <v>109.175</v>
                </pt>
                <pt idx="438">
                  <v>109.228</v>
                </pt>
                <pt idx="439">
                  <v>109.005</v>
                </pt>
                <pt idx="440">
                  <v>109.563</v>
                </pt>
                <pt idx="441">
                  <v>110.16</v>
                </pt>
                <pt idx="442">
                  <v>109.7</v>
                </pt>
                <pt idx="443">
                  <v>108.826</v>
                </pt>
                <pt idx="444">
                  <v>108.317</v>
                </pt>
                <pt idx="445">
                  <v>108.545</v>
                </pt>
                <pt idx="446">
                  <v>108.425</v>
                </pt>
                <pt idx="447">
                  <v>108.678</v>
                </pt>
                <pt idx="448">
                  <v>108.723</v>
                </pt>
                <pt idx="449">
                  <v>108.9</v>
                </pt>
                <pt idx="450">
                  <v>109.057</v>
                </pt>
                <pt idx="451">
                  <v>108.3</v>
                </pt>
                <pt idx="452">
                  <v>108.157</v>
                </pt>
                <pt idx="453">
                  <v>108.25</v>
                </pt>
                <pt idx="454">
                  <v>108.3</v>
                </pt>
                <pt idx="455">
                  <v>107.7</v>
                </pt>
                <pt idx="456">
                  <v>108.18</v>
                </pt>
                <pt idx="457">
                  <v>108.81</v>
                </pt>
                <pt idx="458">
                  <v>108.85</v>
                </pt>
                <pt idx="459">
                  <v>108.362</v>
                </pt>
                <pt idx="460">
                  <v>108.05</v>
                </pt>
                <pt idx="461">
                  <v>108.309</v>
                </pt>
                <pt idx="462">
                  <v>108.03</v>
                </pt>
                <pt idx="463">
                  <v>108.5</v>
                </pt>
                <pt idx="464">
                  <v>108.225</v>
                </pt>
                <pt idx="465">
                  <v>107.8</v>
                </pt>
                <pt idx="466">
                  <v>107.8</v>
                </pt>
                <pt idx="467">
                  <v>108.07</v>
                </pt>
                <pt idx="468">
                  <v>108.418</v>
                </pt>
                <pt idx="469">
                  <v>108.601</v>
                </pt>
                <pt idx="470">
                  <v>108.983</v>
                </pt>
                <pt idx="471">
                  <v>109.185</v>
                </pt>
                <pt idx="472">
                  <v>109.95</v>
                </pt>
                <pt idx="473">
                  <v>110.13</v>
                </pt>
                <pt idx="474">
                  <v>110.06</v>
                </pt>
                <pt idx="475">
                  <v>110.772</v>
                </pt>
                <pt idx="476">
                  <v>112.348</v>
                </pt>
                <pt idx="477">
                  <v>113.11</v>
                </pt>
                <pt idx="478">
                  <v>113.496</v>
                </pt>
                <pt idx="479">
                  <v>113.255</v>
                </pt>
                <pt idx="480">
                  <v>113.26</v>
                </pt>
                <pt idx="481">
                  <v>112.289</v>
                </pt>
                <pt idx="482">
                  <v>113.1</v>
                </pt>
                <pt idx="483">
                  <v>113.093</v>
                </pt>
                <pt idx="484">
                  <v>113.933</v>
                </pt>
                <pt idx="485">
                  <v>113.75</v>
                </pt>
                <pt idx="486">
                  <v>114.845</v>
                </pt>
                <pt idx="487">
                  <v>116.25</v>
                </pt>
                <pt idx="488">
                  <v>116.77</v>
                </pt>
                <pt idx="489">
                  <v>117</v>
                </pt>
                <pt idx="490">
                  <v>117.47</v>
                </pt>
                <pt idx="491">
                  <v>118</v>
                </pt>
                <pt idx="492">
                  <v>117.21</v>
                </pt>
                <pt idx="493">
                  <v>117.98</v>
                </pt>
                <pt idx="494">
                  <v>117.69</v>
                </pt>
                <pt idx="495">
                  <v>118</v>
                </pt>
                <pt idx="496">
                  <v>118.8</v>
                </pt>
                <pt idx="497">
                  <v>118.35</v>
                </pt>
                <pt idx="498">
                  <v>117.675</v>
                </pt>
                <pt idx="499">
                  <v>117.434</v>
                </pt>
                <pt idx="500">
                  <v>117.9</v>
                </pt>
                <pt idx="501">
                  <v>117.82</v>
                </pt>
                <pt idx="502">
                  <v>117.856</v>
                </pt>
                <pt idx="503">
                  <v>116.14</v>
                </pt>
                <pt idx="504">
                  <v>110.861</v>
                </pt>
                <pt idx="505">
                  <v>113.5</v>
                </pt>
                <pt idx="506">
                  <v>115</v>
                </pt>
                <pt idx="507">
                  <v>115.7</v>
                </pt>
                <pt idx="508">
                  <v>115.689</v>
                </pt>
                <pt idx="509">
                  <v>115.44</v>
                </pt>
                <pt idx="510">
                  <v>115.81</v>
                </pt>
                <pt idx="511">
                  <v>116.71</v>
                </pt>
                <pt idx="512">
                  <v>115.995</v>
                </pt>
                <pt idx="513">
                  <v>116.785</v>
                </pt>
                <pt idx="514">
                  <v>118.901</v>
                </pt>
                <pt idx="515">
                  <v>119.05</v>
                </pt>
                <pt idx="516">
                  <v>119.763</v>
                </pt>
                <pt idx="517">
                  <v>121.25</v>
                </pt>
                <pt idx="518">
                  <v>121.83</v>
                </pt>
                <pt idx="519">
                  <v>122.85</v>
                </pt>
                <pt idx="520">
                  <v>122.996</v>
                </pt>
                <pt idx="521">
                  <v>121.498</v>
                </pt>
                <pt idx="522">
                  <v>121.33</v>
                </pt>
                <pt idx="523">
                  <v>118.061</v>
                </pt>
                <pt idx="524">
                  <v>119.847</v>
                </pt>
                <pt idx="525">
                  <v>120.28</v>
                </pt>
                <pt idx="526">
                  <v>120.87</v>
                </pt>
                <pt idx="527">
                  <v>123</v>
                </pt>
                <pt idx="528">
                  <v>123.02</v>
                </pt>
                <pt idx="529">
                  <v>120.001</v>
                </pt>
                <pt idx="530">
                  <v>121.3</v>
                </pt>
                <pt idx="531">
                  <v>121.545</v>
                </pt>
                <pt idx="532">
                  <v>119.895</v>
                </pt>
                <pt idx="533">
                  <v>118.95</v>
                </pt>
                <pt idx="534">
                  <v>116.06</v>
                </pt>
                <pt idx="535">
                  <v>116.31</v>
                </pt>
                <pt idx="536">
                  <v>116.2</v>
                </pt>
                <pt idx="537">
                  <v>116.1</v>
                </pt>
                <pt idx="538">
                  <v>118.635</v>
                </pt>
                <pt idx="539">
                  <v>115.504</v>
                </pt>
                <pt idx="540">
                  <v>117.415</v>
                </pt>
                <pt idx="541">
                  <v>119.335</v>
                </pt>
                <pt idx="542">
                  <v>118.6</v>
                </pt>
                <pt idx="543">
                  <v>118</v>
                </pt>
                <pt idx="544">
                  <v>117.365</v>
                </pt>
                <pt idx="545">
                  <v>117.51</v>
                </pt>
                <pt idx="546">
                  <v>117.71</v>
                </pt>
                <pt idx="547">
                  <v>117.695</v>
                </pt>
                <pt idx="548">
                  <v>116.53</v>
                </pt>
                <pt idx="549">
                  <v>117.3</v>
                </pt>
                <pt idx="550">
                  <v>117.38</v>
                </pt>
                <pt idx="551">
                  <v>117.116</v>
                </pt>
                <pt idx="552">
                  <v>115.2</v>
                </pt>
                <pt idx="553">
                  <v>114</v>
                </pt>
                <pt idx="554">
                  <v>115.15</v>
                </pt>
                <pt idx="555">
                  <v>116</v>
                </pt>
                <pt idx="556">
                  <v>116.1</v>
                </pt>
                <pt idx="557">
                  <v>116.56</v>
                </pt>
                <pt idx="558">
                  <v>116.765</v>
                </pt>
                <pt idx="559">
                  <v>116.287</v>
                </pt>
                <pt idx="560">
                  <v>117.09</v>
                </pt>
                <pt idx="561">
                  <v>117.22</v>
                </pt>
                <pt idx="562">
                  <v>115.9</v>
                </pt>
                <pt idx="563">
                  <v>116.6</v>
                </pt>
                <pt idx="564">
                  <v>116.18</v>
                </pt>
                <pt idx="565">
                  <v>116.24</v>
                </pt>
                <pt idx="566">
                  <v>116.58</v>
                </pt>
                <pt idx="567">
                  <v>117.01</v>
                </pt>
                <pt idx="568">
                  <v>115.979</v>
                </pt>
                <pt idx="569">
                  <v>116.521</v>
                </pt>
                <pt idx="570">
                  <v>116.319</v>
                </pt>
                <pt idx="571">
                  <v>115.98</v>
                </pt>
                <pt idx="572">
                  <v>115.54</v>
                </pt>
                <pt idx="573">
                  <v>114.809</v>
                </pt>
                <pt idx="574">
                  <v>114.6</v>
                </pt>
                <pt idx="575">
                  <v>112.89</v>
                </pt>
                <pt idx="576">
                  <v>113</v>
                </pt>
                <pt idx="577">
                  <v>111.495</v>
                </pt>
                <pt idx="578">
                  <v>110.96</v>
                </pt>
                <pt idx="579">
                  <v>110.095</v>
                </pt>
                <pt idx="580">
                  <v>109.9</v>
                </pt>
                <pt idx="581">
                  <v>110.707</v>
                </pt>
                <pt idx="582">
                  <v>110.955</v>
                </pt>
                <pt idx="583">
                  <v>111.045</v>
                </pt>
                <pt idx="584">
                  <v>111.9</v>
                </pt>
                <pt idx="585">
                  <v>113.57</v>
                </pt>
                <pt idx="586">
                  <v>114.177</v>
                </pt>
                <pt idx="587">
                  <v>113.945</v>
                </pt>
                <pt idx="588">
                  <v>113.358</v>
                </pt>
                <pt idx="589">
                  <v>113.021</v>
                </pt>
                <pt idx="590">
                  <v>112.903</v>
                </pt>
                <pt idx="591">
                  <v>113.01</v>
                </pt>
                <pt idx="592">
                  <v>112.578</v>
                </pt>
                <pt idx="593">
                  <v>112.15</v>
                </pt>
                <pt idx="594">
                  <v>112.502</v>
                </pt>
                <pt idx="595">
                  <v>112.775</v>
                </pt>
                <pt idx="596">
                  <v>113.253</v>
                </pt>
                <pt idx="597">
                  <v>113.353</v>
                </pt>
                <pt idx="598">
                  <v>113.26</v>
                </pt>
                <pt idx="599">
                  <v>113.545</v>
                </pt>
                <pt idx="600">
                  <v>113.51</v>
                </pt>
                <pt idx="601">
                  <v>112.945</v>
                </pt>
                <pt idx="602">
                  <v>113.1</v>
                </pt>
                <pt idx="603">
                  <v>112.821</v>
                </pt>
                <pt idx="604">
                  <v>112.76</v>
                </pt>
                <pt idx="605">
                  <v>113.44</v>
                </pt>
                <pt idx="606">
                  <v>115.235</v>
                </pt>
                <pt idx="607">
                  <v>116.37</v>
                </pt>
                <pt idx="608">
                  <v>119.795</v>
                </pt>
                <pt idx="609">
                  <v>120.02</v>
                </pt>
                <pt idx="610">
                  <v>121.74</v>
                </pt>
                <pt idx="611">
                  <v>123.17</v>
                </pt>
                <pt idx="612">
                  <v>121.861</v>
                </pt>
                <pt idx="613">
                  <v>124.6</v>
                </pt>
                <pt idx="614">
                  <v>124.13</v>
                </pt>
                <pt idx="615">
                  <v>122</v>
                </pt>
                <pt idx="616">
                  <v>118</v>
                </pt>
                <pt idx="617">
                  <v>118.299</v>
                </pt>
                <pt idx="618">
                  <v>122.07</v>
                </pt>
                <pt idx="619">
                  <v>121.64</v>
                </pt>
                <pt idx="620">
                  <v>123.2</v>
                </pt>
                <pt idx="621">
                  <v>122.605</v>
                </pt>
                <pt idx="622">
                  <v>119.84</v>
                </pt>
                <pt idx="623">
                  <v>119.02</v>
                </pt>
                <pt idx="624">
                  <v>120</v>
                </pt>
                <pt idx="625">
                  <v>121</v>
                </pt>
                <pt idx="626">
                  <v>121.88</v>
                </pt>
                <pt idx="627">
                  <v>122.01</v>
                </pt>
                <pt idx="628">
                  <v>124.29</v>
                </pt>
                <pt idx="629">
                  <v>123.215</v>
                </pt>
                <pt idx="630">
                  <v>124</v>
                </pt>
                <pt idx="631">
                  <v>124.29</v>
                </pt>
                <pt idx="632">
                  <v>123.05</v>
                </pt>
                <pt idx="633">
                  <v>124.65</v>
                </pt>
                <pt idx="634">
                  <v>123.7</v>
                </pt>
                <pt idx="635">
                  <v>122</v>
                </pt>
                <pt idx="636">
                  <v>121.575</v>
                </pt>
                <pt idx="637">
                  <v>122.176</v>
                </pt>
                <pt idx="638">
                  <v>123.575</v>
                </pt>
                <pt idx="639">
                  <v>124</v>
                </pt>
                <pt idx="640">
                  <v>123.39</v>
                </pt>
                <pt idx="641">
                  <v>122.336</v>
                </pt>
                <pt idx="642">
                  <v>122.355</v>
                </pt>
                <pt idx="643">
                  <v>122.553</v>
                </pt>
                <pt idx="644">
                  <v>122.475</v>
                </pt>
                <pt idx="645">
                  <v>120.495</v>
                </pt>
                <pt idx="646">
                  <v>120.705</v>
                </pt>
                <pt idx="647">
                  <v>121.436</v>
                </pt>
                <pt idx="648">
                  <v>122.252</v>
                </pt>
                <pt idx="649">
                  <v>123.229</v>
                </pt>
                <pt idx="650">
                  <v>123.495</v>
                </pt>
                <pt idx="651">
                  <v>123.08</v>
                </pt>
                <pt idx="652">
                  <v>122.605</v>
                </pt>
                <pt idx="653">
                  <v>121.3</v>
                </pt>
                <pt idx="654">
                  <v>121.5</v>
                </pt>
                <pt idx="655">
                  <v>120.1</v>
                </pt>
                <pt idx="656">
                  <v>118.35</v>
                </pt>
                <pt idx="657">
                  <v>118.925</v>
                </pt>
                <pt idx="658">
                  <v>119.165</v>
                </pt>
                <pt idx="659">
                  <v>119</v>
                </pt>
                <pt idx="660">
                  <v>118.02</v>
                </pt>
                <pt idx="661">
                  <v>118.5</v>
                </pt>
                <pt idx="662">
                  <v>119.17</v>
                </pt>
                <pt idx="663">
                  <v>118.93</v>
                </pt>
                <pt idx="664">
                  <v>118.365</v>
                </pt>
                <pt idx="665">
                  <v>118.6</v>
                </pt>
                <pt idx="666">
                  <v>116.856</v>
                </pt>
                <pt idx="667">
                  <v>116.05</v>
                </pt>
                <pt idx="668">
                  <v>114.34</v>
                </pt>
                <pt idx="669">
                  <v>115.726</v>
                </pt>
                <pt idx="670">
                  <v>115.949</v>
                </pt>
                <pt idx="671">
                  <v>117.406</v>
                </pt>
                <pt idx="672">
                  <v>119.44</v>
                </pt>
                <pt idx="673">
                  <v>119.54</v>
                </pt>
                <pt idx="674">
                  <v>119.617</v>
                </pt>
                <pt idx="675">
                  <v>119.375</v>
                </pt>
                <pt idx="676">
                  <v>119.805</v>
                </pt>
                <pt idx="677">
                  <v>118.965</v>
                </pt>
                <pt idx="678">
                  <v>119.75</v>
                </pt>
                <pt idx="679">
                  <v>119.499</v>
                </pt>
                <pt idx="680">
                  <v>121.44</v>
                </pt>
                <pt idx="681">
                  <v>119.485</v>
                </pt>
                <pt idx="682">
                  <v>120.165</v>
                </pt>
                <pt idx="683">
                  <v>121.255</v>
                </pt>
                <pt idx="684">
                  <v>121.15</v>
                </pt>
                <pt idx="685">
                  <v>121.013</v>
                </pt>
                <pt idx="686">
                  <v>119.09</v>
                </pt>
                <pt idx="687">
                  <v>117.3</v>
                </pt>
                <pt idx="688">
                  <v>117.404</v>
                </pt>
                <pt idx="689">
                  <v>117.443</v>
                </pt>
                <pt idx="690">
                  <v>117.859</v>
                </pt>
                <pt idx="691">
                  <v>117.675</v>
                </pt>
                <pt idx="692">
                  <v>119</v>
                </pt>
                <pt idx="693">
                  <v>118.69</v>
                </pt>
                <pt idx="694">
                  <v>118.672</v>
                </pt>
                <pt idx="695">
                  <v>118.475</v>
                </pt>
                <pt idx="696">
                  <v>119</v>
                </pt>
                <pt idx="697">
                  <v>119.008</v>
                </pt>
                <pt idx="698">
                  <v>117.565</v>
                </pt>
                <pt idx="699">
                  <v>118.04</v>
                </pt>
                <pt idx="700">
                  <v>118.3</v>
                </pt>
                <pt idx="701">
                  <v>118.035</v>
                </pt>
                <pt idx="702">
                  <v>118.47</v>
                </pt>
                <pt idx="703">
                  <v>119.2</v>
                </pt>
                <pt idx="704">
                  <v>119.01</v>
                </pt>
                <pt idx="705">
                  <v>117.998</v>
                </pt>
                <pt idx="706">
                  <v>117.99</v>
                </pt>
                <pt idx="707">
                  <v>117.949</v>
                </pt>
                <pt idx="708">
                  <v>118.38</v>
                </pt>
                <pt idx="709">
                  <v>118.05</v>
                </pt>
                <pt idx="710">
                  <v>118.9</v>
                </pt>
                <pt idx="711">
                  <v>118.5</v>
                </pt>
                <pt idx="712">
                  <v>118.225</v>
                </pt>
                <pt idx="713">
                  <v>117.86</v>
                </pt>
                <pt idx="714">
                  <v>117</v>
                </pt>
                <pt idx="715">
                  <v>116.528</v>
                </pt>
                <pt idx="716">
                  <v>115.04</v>
                </pt>
                <pt idx="717">
                  <v>115.21</v>
                </pt>
                <pt idx="718">
                  <v>113.642</v>
                </pt>
                <pt idx="719">
                  <v>113.002</v>
                </pt>
                <pt idx="720">
                  <v>112.672</v>
                </pt>
                <pt idx="721">
                  <v>112.43</v>
                </pt>
                <pt idx="722">
                  <v>113.105</v>
                </pt>
                <pt idx="723">
                  <v>112.27</v>
                </pt>
                <pt idx="724">
                  <v>111.744</v>
                </pt>
                <pt idx="725">
                  <v>110.01</v>
                </pt>
                <pt idx="726">
                  <v>110.05</v>
                </pt>
                <pt idx="727">
                  <v>109.354</v>
                </pt>
                <pt idx="728">
                  <v>109.811</v>
                </pt>
                <pt idx="729">
                  <v>110.199</v>
                </pt>
                <pt idx="730">
                  <v>111.535</v>
                </pt>
                <pt idx="731">
                  <v>112.465</v>
                </pt>
                <pt idx="732">
                  <v>112</v>
                </pt>
                <pt idx="733">
                  <v>111.605</v>
                </pt>
                <pt idx="734">
                  <v>109.16</v>
                </pt>
                <pt idx="735">
                  <v>109.43</v>
                </pt>
                <pt idx="736">
                  <v>108.405</v>
                </pt>
                <pt idx="737">
                  <v>108.905</v>
                </pt>
                <pt idx="738">
                  <v>107.987</v>
                </pt>
                <pt idx="739">
                  <v>108.634</v>
                </pt>
                <pt idx="740">
                  <v>109.235</v>
                </pt>
                <pt idx="741">
                  <v>110.31</v>
                </pt>
                <pt idx="742">
                  <v>110.3</v>
                </pt>
                <pt idx="743">
                  <v>110.127</v>
                </pt>
                <pt idx="744">
                  <v>110.75</v>
                </pt>
                <pt idx="745">
                  <v>110.14</v>
                </pt>
                <pt idx="746">
                  <v>109.075</v>
                </pt>
                <pt idx="747">
                  <v>108.1</v>
                </pt>
                <pt idx="748">
                  <v>107.01</v>
                </pt>
                <pt idx="749">
                  <v>106.32</v>
                </pt>
                <pt idx="750">
                  <v>104.521</v>
                </pt>
                <pt idx="751">
                  <v>104.04</v>
                </pt>
                <pt idx="752">
                  <v>103.995</v>
                </pt>
                <pt idx="753">
                  <v>103</v>
                </pt>
                <pt idx="754">
                  <v>101.585</v>
                </pt>
                <pt idx="755">
                  <v>100.69</v>
                </pt>
                <pt idx="756">
                  <v>100.56</v>
                </pt>
                <pt idx="757">
                  <v>101.985</v>
                </pt>
                <pt idx="758">
                  <v>103.07</v>
                </pt>
                <pt idx="759">
                  <v>104.517</v>
                </pt>
                <pt idx="760">
                  <v>106.103</v>
                </pt>
                <pt idx="761">
                  <v>106.77</v>
                </pt>
                <pt idx="762">
                  <v>106.635</v>
                </pt>
                <pt idx="763">
                  <v>106.32</v>
                </pt>
                <pt idx="764">
                  <v>105.5</v>
                </pt>
                <pt idx="765">
                  <v>105.371</v>
                </pt>
                <pt idx="766">
                  <v>106.24</v>
                </pt>
                <pt idx="767">
                  <v>105.394</v>
                </pt>
                <pt idx="768">
                  <v>106.5</v>
                </pt>
                <pt idx="769">
                  <v>105.955</v>
                </pt>
                <pt idx="770">
                  <v>106.33</v>
                </pt>
                <pt idx="771">
                  <v>106.028</v>
                </pt>
                <pt idx="772">
                  <v>105.322</v>
                </pt>
                <pt idx="773">
                  <v>105.88</v>
                </pt>
                <pt idx="774">
                  <v>106.557</v>
                </pt>
                <pt idx="775">
                  <v>107</v>
                </pt>
                <pt idx="776">
                  <v>107.425</v>
                </pt>
                <pt idx="777">
                  <v>107.763</v>
                </pt>
                <pt idx="778">
                  <v>107.71</v>
                </pt>
                <pt idx="779">
                  <v>107.43</v>
                </pt>
                <pt idx="780">
                  <v>107.5</v>
                </pt>
                <pt idx="781">
                  <v>108.44</v>
                </pt>
                <pt idx="782">
                  <v>107.63</v>
                </pt>
                <pt idx="783">
                  <v>107.01</v>
                </pt>
                <pt idx="784">
                  <v>106.655</v>
                </pt>
                <pt idx="785">
                  <v>107.05</v>
                </pt>
                <pt idx="786">
                  <v>107.025</v>
                </pt>
                <pt idx="787">
                  <v>106.502</v>
                </pt>
                <pt idx="788">
                  <v>106.77</v>
                </pt>
                <pt idx="789">
                  <v>107.475</v>
                </pt>
                <pt idx="790">
                  <v>107</v>
                </pt>
                <pt idx="791">
                  <v>107.75</v>
                </pt>
                <pt idx="792">
                  <v>108.02</v>
                </pt>
                <pt idx="793">
                  <v>107.851</v>
                </pt>
                <pt idx="794">
                  <v>107.82</v>
                </pt>
                <pt idx="795">
                  <v>107.206</v>
                </pt>
                <pt idx="796">
                  <v>106.858</v>
                </pt>
                <pt idx="797">
                  <v>107.035</v>
                </pt>
                <pt idx="798">
                  <v>107.125</v>
                </pt>
                <pt idx="799">
                  <v>107.45</v>
                </pt>
                <pt idx="800">
                  <v>108.413</v>
                </pt>
                <pt idx="801">
                  <v>108.607</v>
                </pt>
                <pt idx="802">
                  <v>108.51</v>
                </pt>
                <pt idx="803">
                  <v>108.49</v>
                </pt>
                <pt idx="804">
                  <v>108.199</v>
                </pt>
                <pt idx="805">
                  <v>108.238</v>
                </pt>
                <pt idx="806">
                  <v>107.865</v>
                </pt>
                <pt idx="807">
                  <v>108.05</v>
                </pt>
                <pt idx="808">
                  <v>107.655</v>
                </pt>
                <pt idx="809">
                  <v>107.896</v>
                </pt>
                <pt idx="810">
                  <v>108.131</v>
                </pt>
                <pt idx="811">
                  <v>107.759</v>
                </pt>
                <pt idx="812">
                  <v>108.189</v>
                </pt>
                <pt idx="813">
                  <v>109.442</v>
                </pt>
                <pt idx="814">
                  <v>109.34</v>
                </pt>
                <pt idx="815">
                  <v>109.3</v>
                </pt>
                <pt idx="816">
                  <v>109.328</v>
                </pt>
                <pt idx="817">
                  <v>109.289</v>
                </pt>
                <pt idx="818">
                  <v>109.595</v>
                </pt>
                <pt idx="819">
                  <v>109.66</v>
                </pt>
                <pt idx="820">
                  <v>109.88</v>
                </pt>
                <pt idx="821">
                  <v>109.86</v>
                </pt>
                <pt idx="822">
                  <v>110.332</v>
                </pt>
                <pt idx="823">
                  <v>110.79</v>
                </pt>
                <pt idx="824">
                  <v>111.3</v>
                </pt>
                <pt idx="825">
                  <v>111.721</v>
                </pt>
                <pt idx="826">
                  <v>111.11</v>
                </pt>
                <pt idx="827">
                  <v>111.7</v>
                </pt>
                <pt idx="828">
                  <v>111.586</v>
                </pt>
                <pt idx="829">
                  <v>112.071</v>
                </pt>
                <pt idx="830">
                  <v>112.48</v>
                </pt>
                <pt idx="831">
                  <v>112.49</v>
                </pt>
                <pt idx="832">
                  <v>112.13</v>
                </pt>
                <pt idx="833">
                  <v>112.5</v>
                </pt>
                <pt idx="834">
                  <v>112.61</v>
                </pt>
                <pt idx="835">
                  <v>112.771</v>
                </pt>
                <pt idx="836">
                  <v>113.032</v>
                </pt>
                <pt idx="837">
                  <v>111.902</v>
                </pt>
                <pt idx="838">
                  <v>111.6</v>
                </pt>
                <pt idx="839">
                  <v>110.79</v>
                </pt>
                <pt idx="840">
                  <v>110.775</v>
                </pt>
                <pt idx="841">
                  <v>111.38</v>
                </pt>
                <pt idx="842">
                  <v>112.81</v>
                </pt>
                <pt idx="843">
                  <v>113.078</v>
                </pt>
                <pt idx="844">
                  <v>112.771</v>
                </pt>
                <pt idx="845">
                  <v>112.825</v>
                </pt>
                <pt idx="846">
                  <v>112.795</v>
                </pt>
                <pt idx="847">
                  <v>112.1</v>
                </pt>
                <pt idx="848">
                  <v>112.41</v>
                </pt>
                <pt idx="849">
                  <v>112.419</v>
                </pt>
                <pt idx="850">
                  <v>112.026</v>
                </pt>
                <pt idx="851">
                  <v>111.976</v>
                </pt>
                <pt idx="852">
                  <v>112.3</v>
                </pt>
                <pt idx="853">
                  <v>113.578</v>
                </pt>
                <pt idx="854">
                  <v>113.17</v>
                </pt>
                <pt idx="855">
                  <v>114.278</v>
                </pt>
                <pt idx="856">
                  <v>114.87</v>
                </pt>
                <pt idx="857">
                  <v>115.639</v>
                </pt>
                <pt idx="858">
                  <v>115.95</v>
                </pt>
                <pt idx="859">
                  <v>115.411</v>
                </pt>
                <pt idx="860">
                  <v>115.735</v>
                </pt>
                <pt idx="861">
                  <v>115.237</v>
                </pt>
                <pt idx="862">
                  <v>115.375</v>
                </pt>
                <pt idx="863">
                  <v>116.45</v>
                </pt>
                <pt idx="864">
                  <v>116.899</v>
                </pt>
                <pt idx="865">
                  <v>117.215</v>
                </pt>
                <pt idx="866">
                  <v>116.08</v>
                </pt>
                <pt idx="867">
                  <v>114.7</v>
                </pt>
                <pt idx="868">
                  <v>113.446</v>
                </pt>
                <pt idx="869">
                  <v>114.59</v>
                </pt>
                <pt idx="870">
                  <v>114.82</v>
                </pt>
                <pt idx="871">
                  <v>116.7</v>
                </pt>
                <pt idx="872">
                  <v>116.45</v>
                </pt>
                <pt idx="873">
                  <v>117.616</v>
                </pt>
                <pt idx="874">
                  <v>118</v>
                </pt>
                <pt idx="875">
                  <v>118.125</v>
                </pt>
                <pt idx="876">
                  <v>118.666</v>
                </pt>
                <pt idx="877">
                  <v>119.243</v>
                </pt>
                <pt idx="878">
                  <v>119.35</v>
                </pt>
                <pt idx="879">
                  <v>119.531</v>
                </pt>
                <pt idx="880">
                  <v>119.3</v>
                </pt>
                <pt idx="881">
                  <v>119.37</v>
                </pt>
                <pt idx="882">
                  <v>118.455</v>
                </pt>
                <pt idx="883">
                  <v>118.68</v>
                </pt>
                <pt idx="884">
                  <v>118.221</v>
                </pt>
                <pt idx="885">
                  <v>117.258</v>
                </pt>
                <pt idx="886">
                  <v>118.83</v>
                </pt>
                <pt idx="887">
                  <v>119.674</v>
                </pt>
                <pt idx="888">
                  <v>120.397</v>
                </pt>
                <pt idx="889">
                  <v>120.05</v>
                </pt>
                <pt idx="890">
                  <v>119.18</v>
                </pt>
                <pt idx="891">
                  <v>119.9</v>
                </pt>
                <pt idx="892">
                  <v>120.131</v>
                </pt>
                <pt idx="893">
                  <v>120.3</v>
                </pt>
                <pt idx="894">
                  <v>121.31</v>
                </pt>
                <pt idx="895">
                  <v>121.997</v>
                </pt>
                <pt idx="896">
                  <v>122.79</v>
                </pt>
                <pt idx="897">
                  <v>123.99</v>
                </pt>
                <pt idx="898">
                  <v>124.27</v>
                </pt>
                <pt idx="899">
                  <v>124.201</v>
                </pt>
                <pt idx="900">
                  <v>123.296</v>
                </pt>
                <pt idx="901">
                  <v>123.8</v>
                </pt>
                <pt idx="902">
                  <v>122.65</v>
                </pt>
                <pt idx="903">
                  <v>121.993</v>
                </pt>
                <pt idx="904">
                  <v>120.47</v>
                </pt>
                <pt idx="905">
                  <v>120.05</v>
                </pt>
                <pt idx="906">
                  <v>120.5</v>
                </pt>
                <pt idx="907">
                  <v>121.38</v>
                </pt>
                <pt idx="908">
                  <v>120.89</v>
                </pt>
                <pt idx="909">
                  <v>118.87</v>
                </pt>
                <pt idx="910">
                  <v>119.308</v>
                </pt>
                <pt idx="911">
                  <v>117.04</v>
                </pt>
                <pt idx="912">
                  <v>118.85</v>
                </pt>
                <pt idx="913">
                  <v>119.545</v>
                </pt>
                <pt idx="914">
                  <v>119.7</v>
                </pt>
                <pt idx="915">
                  <v>117.96</v>
                </pt>
                <pt idx="916">
                  <v>117.72</v>
                </pt>
                <pt idx="917">
                  <v>117.66</v>
                </pt>
                <pt idx="918">
                  <v>117.989</v>
                </pt>
                <pt idx="919">
                  <v>118.014</v>
                </pt>
                <pt idx="920">
                  <v>118.84</v>
                </pt>
                <pt idx="921">
                  <v>119.051</v>
                </pt>
                <pt idx="922">
                  <v>118.809</v>
                </pt>
                <pt idx="923">
                  <v>118.994</v>
                </pt>
                <pt idx="924">
                  <v>119.23</v>
                </pt>
                <pt idx="925">
                  <v>119.85</v>
                </pt>
                <pt idx="926">
                  <v>118.8</v>
                </pt>
                <pt idx="927">
                  <v>118.269</v>
                </pt>
                <pt idx="928">
                  <v>118.17</v>
                </pt>
                <pt idx="929">
                  <v>119.6</v>
                </pt>
                <pt idx="930">
                  <v>118.875</v>
                </pt>
                <pt idx="931">
                  <v>119.295</v>
                </pt>
                <pt idx="932">
                  <v>120.987</v>
                </pt>
                <pt idx="933">
                  <v>120.859</v>
                </pt>
                <pt idx="934">
                  <v>121.39</v>
                </pt>
                <pt idx="935">
                  <v>122.098</v>
                </pt>
                <pt idx="936">
                  <v>122.245</v>
                </pt>
                <pt idx="937">
                  <v>123.87</v>
                </pt>
                <pt idx="938">
                  <v>124.374</v>
                </pt>
                <pt idx="939">
                  <v>125.075</v>
                </pt>
                <pt idx="940">
                  <v>124.399</v>
                </pt>
                <pt idx="941">
                  <v>124.443</v>
                </pt>
                <pt idx="942">
                  <v>124.524</v>
                </pt>
                <pt idx="943">
                  <v>125.169</v>
                </pt>
                <pt idx="944">
                  <v>125.499</v>
                </pt>
                <pt idx="945">
                  <v>125.664</v>
                </pt>
                <pt idx="946">
                  <v>126.2</v>
                </pt>
                <pt idx="947">
                  <v>126.38</v>
                </pt>
                <pt idx="948">
                  <v>126.52</v>
                </pt>
                <pt idx="949">
                  <v>126.805</v>
                </pt>
                <pt idx="950">
                  <v>127.452</v>
                </pt>
                <pt idx="951">
                  <v>128.124</v>
                </pt>
                <pt idx="952">
                  <v>126.949</v>
                </pt>
                <pt idx="953">
                  <v>127.8</v>
                </pt>
                <pt idx="954">
                  <v>126</v>
                </pt>
                <pt idx="955">
                  <v>122.98</v>
                </pt>
                <pt idx="956">
                  <v>124.3</v>
                </pt>
                <pt idx="957">
                  <v>126.142</v>
                </pt>
                <pt idx="958">
                  <v>126.755</v>
                </pt>
                <pt idx="959">
                  <v>127.14</v>
                </pt>
                <pt idx="960">
                  <v>127</v>
                </pt>
                <pt idx="961">
                  <v>126.495</v>
                </pt>
                <pt idx="962">
                  <v>127.399</v>
                </pt>
                <pt idx="963">
                  <v>127.41</v>
                </pt>
                <pt idx="964">
                  <v>126.14</v>
                </pt>
                <pt idx="965">
                  <v>127.15</v>
                </pt>
                <pt idx="966">
                  <v>127.85</v>
                </pt>
                <pt idx="967">
                  <v>127.669</v>
                </pt>
                <pt idx="968">
                  <v>127.65</v>
                </pt>
                <pt idx="969">
                  <v>127.59</v>
                </pt>
                <pt idx="970">
                  <v>128.07</v>
                </pt>
                <pt idx="971">
                  <v>127.508</v>
                </pt>
                <pt idx="972">
                  <v>127.91</v>
                </pt>
                <pt idx="973">
                  <v>128.615</v>
                </pt>
                <pt idx="974">
                  <v>130.261</v>
                </pt>
                <pt idx="975">
                  <v>130.184</v>
                </pt>
                <pt idx="976">
                  <v>130.85</v>
                </pt>
                <pt idx="977">
                  <v>130.18</v>
                </pt>
                <pt idx="978">
                  <v>130.76</v>
                </pt>
                <pt idx="979">
                  <v>130.268</v>
                </pt>
                <pt idx="980">
                  <v>131.501</v>
                </pt>
                <pt idx="981">
                  <v>130.669</v>
                </pt>
                <pt idx="982">
                  <v>129.602</v>
                </pt>
                <pt idx="983">
                  <v>130.635</v>
                </pt>
                <pt idx="984">
                  <v>129.65</v>
                </pt>
                <pt idx="985">
                  <v>130.79</v>
                </pt>
                <pt idx="986">
                  <v>130.42</v>
                </pt>
                <pt idx="987">
                  <v>129.079</v>
                </pt>
                <pt idx="988">
                  <v>128.945</v>
                </pt>
                <pt idx="989">
                  <v>127.354</v>
                </pt>
                <pt idx="990">
                  <v>127.5</v>
                </pt>
                <pt idx="991">
                  <v>126.169</v>
                </pt>
                <pt idx="992">
                  <v>126.3</v>
                </pt>
                <pt idx="993">
                  <v>128.025</v>
                </pt>
                <pt idx="994">
                  <v>128.4</v>
                </pt>
                <pt idx="995">
                  <v>129.69</v>
                </pt>
                <pt idx="996">
                  <v>129.397</v>
                </pt>
                <pt idx="997">
                  <v>128.75</v>
                </pt>
                <pt idx="998">
                  <v>124.93</v>
                </pt>
                <pt idx="999">
                  <v>122.374</v>
                </pt>
                <pt idx="1000">
                  <v>123.57</v>
                </pt>
                <pt idx="1001">
                  <v>123.555</v>
                </pt>
                <pt idx="1002">
                  <v>124.945</v>
                </pt>
                <pt idx="1003">
                  <v>125.22</v>
                </pt>
                <pt idx="1004">
                  <v>124.765</v>
                </pt>
                <pt idx="1005">
                  <v>126.35</v>
                </pt>
                <pt idx="1006">
                  <v>125.6</v>
                </pt>
                <pt idx="1007">
                  <v>126.199</v>
                </pt>
                <pt idx="1008">
                  <v>126.395</v>
                </pt>
                <pt idx="1009">
                  <v>127.3</v>
                </pt>
                <pt idx="1010">
                  <v>126.71</v>
                </pt>
                <pt idx="1011">
                  <v>125.8</v>
                </pt>
                <pt idx="1012">
                  <v>124.2</v>
                </pt>
                <pt idx="1013">
                  <v>120.565</v>
                </pt>
                <pt idx="1014">
                  <v>117.9</v>
                </pt>
                <pt idx="1015">
                  <v>116.018</v>
                </pt>
                <pt idx="1016">
                  <v>118.99</v>
                </pt>
                <pt idx="1017">
                  <v>118.477</v>
                </pt>
                <pt idx="1018">
                  <v>118.125</v>
                </pt>
                <pt idx="1019">
                  <v>115.686</v>
                </pt>
                <pt idx="1020">
                  <v>118.02</v>
                </pt>
                <pt idx="1021">
                  <v>119.685</v>
                </pt>
                <pt idx="1022">
                  <v>120.842</v>
                </pt>
                <pt idx="1023">
                  <v>120.93</v>
                </pt>
                <pt idx="1024">
                  <v>120.814</v>
                </pt>
                <pt idx="1025">
                  <v>121</v>
                </pt>
                <pt idx="1026">
                  <v>119</v>
                </pt>
                <pt idx="1027">
                  <v>118.035</v>
                </pt>
                <pt idx="1028">
                  <v>117.706</v>
                </pt>
                <pt idx="1029">
                  <v>116.779</v>
                </pt>
                <pt idx="1030">
                  <v>118.07</v>
                </pt>
                <pt idx="1031">
                  <v>118.53</v>
                </pt>
                <pt idx="1032">
                  <v>119.7</v>
                </pt>
                <pt idx="1033">
                  <v>119.975</v>
                </pt>
                <pt idx="1034">
                  <v>119.289</v>
                </pt>
                <pt idx="1035">
                  <v>119.145</v>
                </pt>
                <pt idx="1036">
                  <v>117.469</v>
                </pt>
                <pt idx="1037">
                  <v>117.085</v>
                </pt>
                <pt idx="1038">
                  <v>116.765</v>
                </pt>
                <pt idx="1039">
                  <v>117.408</v>
                </pt>
                <pt idx="1040">
                  <v>116.535</v>
                </pt>
                <pt idx="1041">
                  <v>116.962</v>
                </pt>
                <pt idx="1042">
                  <v>117.845</v>
                </pt>
                <pt idx="1043">
                  <v>117.51</v>
                </pt>
                <pt idx="1044">
                  <v>115.86</v>
                </pt>
                <pt idx="1045">
                  <v>115.84</v>
                </pt>
                <pt idx="1046">
                  <v>112.512</v>
                </pt>
                <pt idx="1047">
                  <v>111.465</v>
                </pt>
                <pt idx="1048">
                  <v>112.53</v>
                </pt>
                <pt idx="1049">
                  <v>112.221</v>
                </pt>
                <pt idx="1050">
                  <v>114.745</v>
                </pt>
                <pt idx="1051">
                  <v>116.2</v>
                </pt>
                <pt idx="1052">
                  <v>115.859</v>
                </pt>
                <pt idx="1053">
                  <v>116.58</v>
                </pt>
                <pt idx="1054">
                  <v>116.59</v>
                </pt>
                <pt idx="1055">
                  <v>117.15</v>
                </pt>
                <pt idx="1056">
                  <v>117.1</v>
                </pt>
                <pt idx="1057">
                  <v>118.04</v>
                </pt>
                <pt idx="1058">
                  <v>118.452</v>
                </pt>
                <pt idx="1059">
                  <v>118.93</v>
                </pt>
                <pt idx="1060">
                  <v>119.233</v>
                </pt>
                <pt idx="1061">
                  <v>119.218</v>
                </pt>
                <pt idx="1062">
                  <v>119.5</v>
                </pt>
                <pt idx="1063">
                  <v>120.239</v>
                </pt>
                <pt idx="1064">
                  <v>117.85</v>
                </pt>
                <pt idx="1065">
                  <v>118.446</v>
                </pt>
                <pt idx="1066">
                  <v>118.55</v>
                </pt>
                <pt idx="1067">
                  <v>119.211</v>
                </pt>
                <pt idx="1068">
                  <v>119.805</v>
                </pt>
                <pt idx="1069">
                  <v>119.725</v>
                </pt>
                <pt idx="1070">
                  <v>119.765</v>
                </pt>
                <pt idx="1071">
                  <v>120.25</v>
                </pt>
                <pt idx="1072">
                  <v>120.99</v>
                </pt>
                <pt idx="1073">
                  <v>121.227</v>
                </pt>
                <pt idx="1074">
                  <v>121.284</v>
                </pt>
                <pt idx="1075">
                  <v>120.841</v>
                </pt>
                <pt idx="1076">
                  <v>121.64</v>
                </pt>
                <pt idx="1077">
                  <v>122.195</v>
                </pt>
                <pt idx="1078">
                  <v>121.99</v>
                </pt>
                <pt idx="1079">
                  <v>122.97</v>
                </pt>
                <pt idx="1080">
                  <v>123.83</v>
                </pt>
                <pt idx="1081">
                  <v>124.15</v>
                </pt>
                <pt idx="1082">
                  <v>123.14</v>
                </pt>
                <pt idx="1083">
                  <v>122.98</v>
                </pt>
                <pt idx="1084">
                  <v>122.544</v>
                </pt>
                <pt idx="1085">
                  <v>123.85</v>
                </pt>
                <pt idx="1086">
                  <v>124.58</v>
                </pt>
                <pt idx="1087">
                  <v>125.815</v>
                </pt>
                <pt idx="1088">
                  <v>126.95</v>
                </pt>
                <pt idx="1089">
                  <v>125</v>
                </pt>
                <pt idx="1090">
                  <v>125.589</v>
                </pt>
                <pt idx="1091">
                  <v>125.555</v>
                </pt>
                <pt idx="1092">
                  <v>126.13</v>
                </pt>
                <pt idx="1093">
                  <v>125.428</v>
                </pt>
                <pt idx="1094">
                  <v>124.348</v>
                </pt>
                <pt idx="1095">
                  <v>125.107</v>
                </pt>
                <pt idx="1096">
                  <v>124.937</v>
                </pt>
                <pt idx="1097">
                  <v>123.918</v>
                </pt>
                <pt idx="1098">
                  <v>122.548</v>
                </pt>
                <pt idx="1099">
                  <v>123.112</v>
                </pt>
                <pt idx="1100">
                  <v>123.872</v>
                </pt>
                <pt idx="1101">
                  <v>123.6</v>
                </pt>
                <pt idx="1102">
                  <v>124.96</v>
                </pt>
                <pt idx="1103">
                  <v>125.55</v>
                </pt>
                <pt idx="1104">
                  <v>126.089</v>
                </pt>
                <pt idx="1105">
                  <v>126.212</v>
                </pt>
                <pt idx="1106">
                  <v>125.99</v>
                </pt>
                <pt idx="1107">
                  <v>125.2</v>
                </pt>
                <pt idx="1108">
                  <v>126.096</v>
                </pt>
                <pt idx="1109">
                  <v>127.04</v>
                </pt>
                <pt idx="1110">
                  <v>127.88</v>
                </pt>
                <pt idx="1111">
                  <v>127.275</v>
                </pt>
                <pt idx="1112">
                  <v>127.999</v>
                </pt>
                <pt idx="1113">
                  <v>126.502</v>
                </pt>
                <pt idx="1114">
                  <v>127.05</v>
                </pt>
                <pt idx="1115">
                  <v>127.67</v>
                </pt>
                <pt idx="1116">
                  <v>128.077</v>
                </pt>
                <pt idx="1117">
                  <v>128.418</v>
                </pt>
                <pt idx="1118">
                  <v>128.82</v>
                </pt>
                <pt idx="1119">
                  <v>128.6</v>
                </pt>
                <pt idx="1120">
                  <v>129.79</v>
                </pt>
                <pt idx="1121">
                  <v>130.125</v>
                </pt>
                <pt idx="1122">
                  <v>130.141</v>
                </pt>
                <pt idx="1123">
                  <v>131.138</v>
                </pt>
                <pt idx="1124">
                  <v>131.302</v>
                </pt>
                <pt idx="1125">
                  <v>129.69</v>
                </pt>
                <pt idx="1126">
                  <v>128</v>
                </pt>
                <pt idx="1127">
                  <v>128.238</v>
                </pt>
                <pt idx="1128">
                  <v>128.933</v>
                </pt>
                <pt idx="1129">
                  <v>126.128</v>
                </pt>
                <pt idx="1130">
                  <v>124.83</v>
                </pt>
                <pt idx="1131">
                  <v>124.644</v>
                </pt>
                <pt idx="1132">
                  <v>123.976</v>
                </pt>
                <pt idx="1133">
                  <v>123.978</v>
                </pt>
                <pt idx="1134">
                  <v>122.201</v>
                </pt>
              </numCache>
            </numRef>
          </val>
          <smooth val="0"/>
        </ser>
        <ser>
          <idx val="3"/>
          <order val="3"/>
          <tx>
            <strRef>
              <f>可转债双低!$U$2</f>
              <strCache>
                <ptCount val="1"/>
                <pt idx="0">
                  <v>中位+溢价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可转债双低!$A$3:$A$1137</f>
              <numCache>
                <formatCode>m/d/yy</formatCode>
                <ptCount val="1135"/>
                <pt idx="0">
                  <v>43098</v>
                </pt>
                <pt idx="1">
                  <v>43102</v>
                </pt>
                <pt idx="2">
                  <v>43103</v>
                </pt>
                <pt idx="3">
                  <v>43104</v>
                </pt>
                <pt idx="4">
                  <v>43105</v>
                </pt>
                <pt idx="5">
                  <v>43108</v>
                </pt>
                <pt idx="6">
                  <v>43109</v>
                </pt>
                <pt idx="7">
                  <v>43110</v>
                </pt>
                <pt idx="8">
                  <v>43111</v>
                </pt>
                <pt idx="9">
                  <v>43112</v>
                </pt>
                <pt idx="10">
                  <v>43115</v>
                </pt>
                <pt idx="11">
                  <v>43116</v>
                </pt>
                <pt idx="12">
                  <v>43117</v>
                </pt>
                <pt idx="13">
                  <v>43118</v>
                </pt>
                <pt idx="14">
                  <v>43119</v>
                </pt>
                <pt idx="15">
                  <v>43122</v>
                </pt>
                <pt idx="16">
                  <v>43123</v>
                </pt>
                <pt idx="17">
                  <v>43124</v>
                </pt>
                <pt idx="18">
                  <v>43125</v>
                </pt>
                <pt idx="19">
                  <v>43126</v>
                </pt>
                <pt idx="20">
                  <v>43129</v>
                </pt>
                <pt idx="21">
                  <v>43130</v>
                </pt>
                <pt idx="22">
                  <v>43131</v>
                </pt>
                <pt idx="23">
                  <v>43132</v>
                </pt>
                <pt idx="24">
                  <v>43133</v>
                </pt>
                <pt idx="25">
                  <v>43136</v>
                </pt>
                <pt idx="26">
                  <v>43137</v>
                </pt>
                <pt idx="27">
                  <v>43138</v>
                </pt>
                <pt idx="28">
                  <v>43139</v>
                </pt>
                <pt idx="29">
                  <v>43140</v>
                </pt>
                <pt idx="30">
                  <v>43143</v>
                </pt>
                <pt idx="31">
                  <v>43144</v>
                </pt>
                <pt idx="32">
                  <v>43145</v>
                </pt>
                <pt idx="33">
                  <v>43153</v>
                </pt>
                <pt idx="34">
                  <v>43154</v>
                </pt>
                <pt idx="35">
                  <v>43157</v>
                </pt>
                <pt idx="36">
                  <v>43158</v>
                </pt>
                <pt idx="37">
                  <v>43159</v>
                </pt>
                <pt idx="38">
                  <v>43160</v>
                </pt>
                <pt idx="39">
                  <v>43161</v>
                </pt>
                <pt idx="40">
                  <v>43164</v>
                </pt>
                <pt idx="41">
                  <v>43165</v>
                </pt>
                <pt idx="42">
                  <v>43166</v>
                </pt>
                <pt idx="43">
                  <v>43167</v>
                </pt>
                <pt idx="44">
                  <v>43168</v>
                </pt>
                <pt idx="45">
                  <v>43171</v>
                </pt>
                <pt idx="46">
                  <v>43172</v>
                </pt>
                <pt idx="47">
                  <v>43173</v>
                </pt>
                <pt idx="48">
                  <v>43174</v>
                </pt>
                <pt idx="49">
                  <v>43175</v>
                </pt>
                <pt idx="50">
                  <v>43178</v>
                </pt>
                <pt idx="51">
                  <v>43179</v>
                </pt>
                <pt idx="52">
                  <v>43180</v>
                </pt>
                <pt idx="53">
                  <v>43181</v>
                </pt>
                <pt idx="54">
                  <v>43182</v>
                </pt>
                <pt idx="55">
                  <v>43185</v>
                </pt>
                <pt idx="56">
                  <v>43186</v>
                </pt>
                <pt idx="57">
                  <v>43187</v>
                </pt>
                <pt idx="58">
                  <v>43188</v>
                </pt>
                <pt idx="59">
                  <v>43189</v>
                </pt>
                <pt idx="60">
                  <v>43192</v>
                </pt>
                <pt idx="61">
                  <v>43193</v>
                </pt>
                <pt idx="62">
                  <v>43194</v>
                </pt>
                <pt idx="63">
                  <v>43199</v>
                </pt>
                <pt idx="64">
                  <v>43200</v>
                </pt>
                <pt idx="65">
                  <v>43201</v>
                </pt>
                <pt idx="66">
                  <v>43202</v>
                </pt>
                <pt idx="67">
                  <v>43203</v>
                </pt>
                <pt idx="68">
                  <v>43206</v>
                </pt>
                <pt idx="69">
                  <v>43207</v>
                </pt>
                <pt idx="70">
                  <v>43208</v>
                </pt>
                <pt idx="71">
                  <v>43209</v>
                </pt>
                <pt idx="72">
                  <v>43210</v>
                </pt>
                <pt idx="73">
                  <v>43213</v>
                </pt>
                <pt idx="74">
                  <v>43214</v>
                </pt>
                <pt idx="75">
                  <v>43215</v>
                </pt>
                <pt idx="76">
                  <v>43216</v>
                </pt>
                <pt idx="77">
                  <v>43217</v>
                </pt>
                <pt idx="78">
                  <v>43222</v>
                </pt>
                <pt idx="79">
                  <v>43223</v>
                </pt>
                <pt idx="80">
                  <v>43224</v>
                </pt>
                <pt idx="81">
                  <v>43227</v>
                </pt>
                <pt idx="82">
                  <v>43228</v>
                </pt>
                <pt idx="83">
                  <v>43229</v>
                </pt>
                <pt idx="84">
                  <v>43230</v>
                </pt>
                <pt idx="85">
                  <v>43231</v>
                </pt>
                <pt idx="86">
                  <v>43234</v>
                </pt>
                <pt idx="87">
                  <v>43235</v>
                </pt>
                <pt idx="88">
                  <v>43236</v>
                </pt>
                <pt idx="89">
                  <v>43237</v>
                </pt>
                <pt idx="90">
                  <v>43238</v>
                </pt>
                <pt idx="91">
                  <v>43241</v>
                </pt>
                <pt idx="92">
                  <v>43242</v>
                </pt>
                <pt idx="93">
                  <v>43243</v>
                </pt>
                <pt idx="94">
                  <v>43244</v>
                </pt>
                <pt idx="95">
                  <v>43245</v>
                </pt>
                <pt idx="96">
                  <v>43248</v>
                </pt>
                <pt idx="97">
                  <v>43249</v>
                </pt>
                <pt idx="98">
                  <v>43250</v>
                </pt>
                <pt idx="99">
                  <v>43251</v>
                </pt>
                <pt idx="100">
                  <v>43252</v>
                </pt>
                <pt idx="101">
                  <v>43255</v>
                </pt>
                <pt idx="102">
                  <v>43256</v>
                </pt>
                <pt idx="103">
                  <v>43257</v>
                </pt>
                <pt idx="104">
                  <v>43258</v>
                </pt>
                <pt idx="105">
                  <v>43259</v>
                </pt>
                <pt idx="106">
                  <v>43262</v>
                </pt>
                <pt idx="107">
                  <v>43263</v>
                </pt>
                <pt idx="108">
                  <v>43264</v>
                </pt>
                <pt idx="109">
                  <v>43265</v>
                </pt>
                <pt idx="110">
                  <v>43266</v>
                </pt>
                <pt idx="111">
                  <v>43270</v>
                </pt>
                <pt idx="112">
                  <v>43271</v>
                </pt>
                <pt idx="113">
                  <v>43272</v>
                </pt>
                <pt idx="114">
                  <v>43273</v>
                </pt>
                <pt idx="115">
                  <v>43276</v>
                </pt>
                <pt idx="116">
                  <v>43277</v>
                </pt>
                <pt idx="117">
                  <v>43278</v>
                </pt>
                <pt idx="118">
                  <v>43279</v>
                </pt>
                <pt idx="119">
                  <v>43280</v>
                </pt>
                <pt idx="120">
                  <v>43283</v>
                </pt>
                <pt idx="121">
                  <v>43284</v>
                </pt>
                <pt idx="122">
                  <v>43285</v>
                </pt>
                <pt idx="123">
                  <v>43286</v>
                </pt>
                <pt idx="124">
                  <v>43287</v>
                </pt>
                <pt idx="125">
                  <v>43290</v>
                </pt>
                <pt idx="126">
                  <v>43291</v>
                </pt>
                <pt idx="127">
                  <v>43292</v>
                </pt>
                <pt idx="128">
                  <v>43293</v>
                </pt>
                <pt idx="129">
                  <v>43294</v>
                </pt>
                <pt idx="130">
                  <v>43297</v>
                </pt>
                <pt idx="131">
                  <v>43298</v>
                </pt>
                <pt idx="132">
                  <v>43299</v>
                </pt>
                <pt idx="133">
                  <v>43300</v>
                </pt>
                <pt idx="134">
                  <v>43301</v>
                </pt>
                <pt idx="135">
                  <v>43304</v>
                </pt>
                <pt idx="136">
                  <v>43305</v>
                </pt>
                <pt idx="137">
                  <v>43306</v>
                </pt>
                <pt idx="138">
                  <v>43307</v>
                </pt>
                <pt idx="139">
                  <v>43308</v>
                </pt>
                <pt idx="140">
                  <v>43311</v>
                </pt>
                <pt idx="141">
                  <v>43312</v>
                </pt>
                <pt idx="142">
                  <v>43313</v>
                </pt>
                <pt idx="143">
                  <v>43314</v>
                </pt>
                <pt idx="144">
                  <v>43315</v>
                </pt>
                <pt idx="145">
                  <v>43318</v>
                </pt>
                <pt idx="146">
                  <v>43319</v>
                </pt>
                <pt idx="147">
                  <v>43320</v>
                </pt>
                <pt idx="148">
                  <v>43321</v>
                </pt>
                <pt idx="149">
                  <v>43322</v>
                </pt>
                <pt idx="150">
                  <v>43325</v>
                </pt>
                <pt idx="151">
                  <v>43326</v>
                </pt>
                <pt idx="152">
                  <v>43327</v>
                </pt>
                <pt idx="153">
                  <v>43328</v>
                </pt>
                <pt idx="154">
                  <v>43329</v>
                </pt>
                <pt idx="155">
                  <v>43332</v>
                </pt>
                <pt idx="156">
                  <v>43333</v>
                </pt>
                <pt idx="157">
                  <v>43334</v>
                </pt>
                <pt idx="158">
                  <v>43335</v>
                </pt>
                <pt idx="159">
                  <v>43336</v>
                </pt>
                <pt idx="160">
                  <v>43339</v>
                </pt>
                <pt idx="161">
                  <v>43340</v>
                </pt>
                <pt idx="162">
                  <v>43341</v>
                </pt>
                <pt idx="163">
                  <v>43342</v>
                </pt>
                <pt idx="164">
                  <v>43343</v>
                </pt>
                <pt idx="165">
                  <v>43346</v>
                </pt>
                <pt idx="166">
                  <v>43347</v>
                </pt>
                <pt idx="167">
                  <v>43348</v>
                </pt>
                <pt idx="168">
                  <v>43349</v>
                </pt>
                <pt idx="169">
                  <v>43350</v>
                </pt>
                <pt idx="170">
                  <v>43353</v>
                </pt>
                <pt idx="171">
                  <v>43354</v>
                </pt>
                <pt idx="172">
                  <v>43355</v>
                </pt>
                <pt idx="173">
                  <v>43356</v>
                </pt>
                <pt idx="174">
                  <v>43357</v>
                </pt>
                <pt idx="175">
                  <v>43360</v>
                </pt>
                <pt idx="176">
                  <v>43361</v>
                </pt>
                <pt idx="177">
                  <v>43362</v>
                </pt>
                <pt idx="178">
                  <v>43363</v>
                </pt>
                <pt idx="179">
                  <v>43364</v>
                </pt>
                <pt idx="180">
                  <v>43368</v>
                </pt>
                <pt idx="181">
                  <v>43369</v>
                </pt>
                <pt idx="182">
                  <v>43370</v>
                </pt>
                <pt idx="183">
                  <v>43371</v>
                </pt>
                <pt idx="184">
                  <v>43381</v>
                </pt>
                <pt idx="185">
                  <v>43382</v>
                </pt>
                <pt idx="186">
                  <v>43383</v>
                </pt>
                <pt idx="187">
                  <v>43384</v>
                </pt>
                <pt idx="188">
                  <v>43385</v>
                </pt>
                <pt idx="189">
                  <v>43388</v>
                </pt>
                <pt idx="190">
                  <v>43389</v>
                </pt>
                <pt idx="191">
                  <v>43390</v>
                </pt>
                <pt idx="192">
                  <v>43391</v>
                </pt>
                <pt idx="193">
                  <v>43392</v>
                </pt>
                <pt idx="194">
                  <v>43395</v>
                </pt>
                <pt idx="195">
                  <v>43396</v>
                </pt>
                <pt idx="196">
                  <v>43397</v>
                </pt>
                <pt idx="197">
                  <v>43398</v>
                </pt>
                <pt idx="198">
                  <v>43399</v>
                </pt>
                <pt idx="199">
                  <v>43402</v>
                </pt>
                <pt idx="200">
                  <v>43403</v>
                </pt>
                <pt idx="201">
                  <v>43404</v>
                </pt>
                <pt idx="202">
                  <v>43405</v>
                </pt>
                <pt idx="203">
                  <v>43406</v>
                </pt>
                <pt idx="204">
                  <v>43409</v>
                </pt>
                <pt idx="205">
                  <v>43410</v>
                </pt>
                <pt idx="206">
                  <v>43411</v>
                </pt>
                <pt idx="207">
                  <v>43412</v>
                </pt>
                <pt idx="208">
                  <v>43413</v>
                </pt>
                <pt idx="209">
                  <v>43416</v>
                </pt>
                <pt idx="210">
                  <v>43417</v>
                </pt>
                <pt idx="211">
                  <v>43418</v>
                </pt>
                <pt idx="212">
                  <v>43419</v>
                </pt>
                <pt idx="213">
                  <v>43420</v>
                </pt>
                <pt idx="214">
                  <v>43423</v>
                </pt>
                <pt idx="215">
                  <v>43424</v>
                </pt>
                <pt idx="216">
                  <v>43425</v>
                </pt>
                <pt idx="217">
                  <v>43426</v>
                </pt>
                <pt idx="218">
                  <v>43427</v>
                </pt>
                <pt idx="219">
                  <v>43430</v>
                </pt>
                <pt idx="220">
                  <v>43431</v>
                </pt>
                <pt idx="221">
                  <v>43432</v>
                </pt>
                <pt idx="222">
                  <v>43433</v>
                </pt>
                <pt idx="223">
                  <v>43434</v>
                </pt>
                <pt idx="224">
                  <v>43437</v>
                </pt>
                <pt idx="225">
                  <v>43438</v>
                </pt>
                <pt idx="226">
                  <v>43439</v>
                </pt>
                <pt idx="227">
                  <v>43440</v>
                </pt>
                <pt idx="228">
                  <v>43441</v>
                </pt>
                <pt idx="229">
                  <v>43444</v>
                </pt>
                <pt idx="230">
                  <v>43445</v>
                </pt>
                <pt idx="231">
                  <v>43446</v>
                </pt>
                <pt idx="232">
                  <v>43447</v>
                </pt>
                <pt idx="233">
                  <v>43448</v>
                </pt>
                <pt idx="234">
                  <v>43451</v>
                </pt>
                <pt idx="235">
                  <v>43452</v>
                </pt>
                <pt idx="236">
                  <v>43453</v>
                </pt>
                <pt idx="237">
                  <v>43454</v>
                </pt>
                <pt idx="238">
                  <v>43455</v>
                </pt>
                <pt idx="239">
                  <v>43458</v>
                </pt>
                <pt idx="240">
                  <v>43459</v>
                </pt>
                <pt idx="241">
                  <v>43460</v>
                </pt>
                <pt idx="242">
                  <v>43461</v>
                </pt>
                <pt idx="243">
                  <v>43462</v>
                </pt>
                <pt idx="244">
                  <v>43467</v>
                </pt>
                <pt idx="245">
                  <v>43468</v>
                </pt>
                <pt idx="246">
                  <v>43469</v>
                </pt>
                <pt idx="247">
                  <v>43472</v>
                </pt>
                <pt idx="248">
                  <v>43473</v>
                </pt>
                <pt idx="249">
                  <v>43474</v>
                </pt>
                <pt idx="250">
                  <v>43475</v>
                </pt>
                <pt idx="251">
                  <v>43476</v>
                </pt>
                <pt idx="252">
                  <v>43479</v>
                </pt>
                <pt idx="253">
                  <v>43480</v>
                </pt>
                <pt idx="254">
                  <v>43481</v>
                </pt>
                <pt idx="255">
                  <v>43482</v>
                </pt>
                <pt idx="256">
                  <v>43483</v>
                </pt>
                <pt idx="257">
                  <v>43486</v>
                </pt>
                <pt idx="258">
                  <v>43487</v>
                </pt>
                <pt idx="259">
                  <v>43488</v>
                </pt>
                <pt idx="260">
                  <v>43489</v>
                </pt>
                <pt idx="261">
                  <v>43490</v>
                </pt>
                <pt idx="262">
                  <v>43493</v>
                </pt>
                <pt idx="263">
                  <v>43494</v>
                </pt>
                <pt idx="264">
                  <v>43495</v>
                </pt>
                <pt idx="265">
                  <v>43496</v>
                </pt>
                <pt idx="266">
                  <v>43497</v>
                </pt>
                <pt idx="267">
                  <v>43507</v>
                </pt>
                <pt idx="268">
                  <v>43508</v>
                </pt>
                <pt idx="269">
                  <v>43509</v>
                </pt>
                <pt idx="270">
                  <v>43510</v>
                </pt>
                <pt idx="271">
                  <v>43511</v>
                </pt>
                <pt idx="272">
                  <v>43514</v>
                </pt>
                <pt idx="273">
                  <v>43515</v>
                </pt>
                <pt idx="274">
                  <v>43516</v>
                </pt>
                <pt idx="275">
                  <v>43517</v>
                </pt>
                <pt idx="276">
                  <v>43518</v>
                </pt>
                <pt idx="277">
                  <v>43521</v>
                </pt>
                <pt idx="278">
                  <v>43522</v>
                </pt>
                <pt idx="279">
                  <v>43523</v>
                </pt>
                <pt idx="280">
                  <v>43524</v>
                </pt>
                <pt idx="281">
                  <v>43525</v>
                </pt>
                <pt idx="282">
                  <v>43528</v>
                </pt>
                <pt idx="283">
                  <v>43529</v>
                </pt>
                <pt idx="284">
                  <v>43530</v>
                </pt>
                <pt idx="285">
                  <v>43531</v>
                </pt>
                <pt idx="286">
                  <v>43532</v>
                </pt>
                <pt idx="287">
                  <v>43535</v>
                </pt>
                <pt idx="288">
                  <v>43536</v>
                </pt>
                <pt idx="289">
                  <v>43537</v>
                </pt>
                <pt idx="290">
                  <v>43538</v>
                </pt>
                <pt idx="291">
                  <v>43539</v>
                </pt>
                <pt idx="292">
                  <v>43542</v>
                </pt>
                <pt idx="293">
                  <v>43543</v>
                </pt>
                <pt idx="294">
                  <v>43544</v>
                </pt>
                <pt idx="295">
                  <v>43545</v>
                </pt>
                <pt idx="296">
                  <v>43546</v>
                </pt>
                <pt idx="297">
                  <v>43549</v>
                </pt>
                <pt idx="298">
                  <v>43550</v>
                </pt>
                <pt idx="299">
                  <v>43551</v>
                </pt>
                <pt idx="300">
                  <v>43552</v>
                </pt>
                <pt idx="301">
                  <v>43553</v>
                </pt>
                <pt idx="302">
                  <v>43556</v>
                </pt>
                <pt idx="303">
                  <v>43557</v>
                </pt>
                <pt idx="304">
                  <v>43558</v>
                </pt>
                <pt idx="305">
                  <v>43559</v>
                </pt>
                <pt idx="306">
                  <v>43563</v>
                </pt>
                <pt idx="307">
                  <v>43564</v>
                </pt>
                <pt idx="308">
                  <v>43565</v>
                </pt>
                <pt idx="309">
                  <v>43566</v>
                </pt>
                <pt idx="310">
                  <v>43567</v>
                </pt>
                <pt idx="311">
                  <v>43570</v>
                </pt>
                <pt idx="312">
                  <v>43571</v>
                </pt>
                <pt idx="313">
                  <v>43572</v>
                </pt>
                <pt idx="314">
                  <v>43573</v>
                </pt>
                <pt idx="315">
                  <v>43574</v>
                </pt>
                <pt idx="316">
                  <v>43577</v>
                </pt>
                <pt idx="317">
                  <v>43578</v>
                </pt>
                <pt idx="318">
                  <v>43579</v>
                </pt>
                <pt idx="319">
                  <v>43580</v>
                </pt>
                <pt idx="320">
                  <v>43581</v>
                </pt>
                <pt idx="321">
                  <v>43584</v>
                </pt>
                <pt idx="322">
                  <v>43585</v>
                </pt>
                <pt idx="323">
                  <v>43591</v>
                </pt>
                <pt idx="324">
                  <v>43592</v>
                </pt>
                <pt idx="325">
                  <v>43593</v>
                </pt>
                <pt idx="326">
                  <v>43594</v>
                </pt>
                <pt idx="327">
                  <v>43595</v>
                </pt>
                <pt idx="328">
                  <v>43598</v>
                </pt>
                <pt idx="329">
                  <v>43599</v>
                </pt>
                <pt idx="330">
                  <v>43600</v>
                </pt>
                <pt idx="331">
                  <v>43601</v>
                </pt>
                <pt idx="332">
                  <v>43602</v>
                </pt>
                <pt idx="333">
                  <v>43605</v>
                </pt>
                <pt idx="334">
                  <v>43606</v>
                </pt>
                <pt idx="335">
                  <v>43607</v>
                </pt>
                <pt idx="336">
                  <v>43608</v>
                </pt>
                <pt idx="337">
                  <v>43609</v>
                </pt>
                <pt idx="338">
                  <v>43612</v>
                </pt>
                <pt idx="339">
                  <v>43613</v>
                </pt>
                <pt idx="340">
                  <v>43614</v>
                </pt>
                <pt idx="341">
                  <v>43615</v>
                </pt>
                <pt idx="342">
                  <v>43616</v>
                </pt>
                <pt idx="343">
                  <v>43619</v>
                </pt>
                <pt idx="344">
                  <v>43620</v>
                </pt>
                <pt idx="345">
                  <v>43621</v>
                </pt>
                <pt idx="346">
                  <v>43622</v>
                </pt>
                <pt idx="347">
                  <v>43626</v>
                </pt>
                <pt idx="348">
                  <v>43627</v>
                </pt>
                <pt idx="349">
                  <v>43628</v>
                </pt>
                <pt idx="350">
                  <v>43629</v>
                </pt>
                <pt idx="351">
                  <v>43630</v>
                </pt>
                <pt idx="352">
                  <v>43633</v>
                </pt>
                <pt idx="353">
                  <v>43634</v>
                </pt>
                <pt idx="354">
                  <v>43635</v>
                </pt>
                <pt idx="355">
                  <v>43636</v>
                </pt>
                <pt idx="356">
                  <v>43637</v>
                </pt>
                <pt idx="357">
                  <v>43640</v>
                </pt>
                <pt idx="358">
                  <v>43641</v>
                </pt>
                <pt idx="359">
                  <v>43642</v>
                </pt>
                <pt idx="360">
                  <v>43643</v>
                </pt>
                <pt idx="361">
                  <v>43644</v>
                </pt>
                <pt idx="362">
                  <v>43647</v>
                </pt>
                <pt idx="363">
                  <v>43648</v>
                </pt>
                <pt idx="364">
                  <v>43649</v>
                </pt>
                <pt idx="365">
                  <v>43650</v>
                </pt>
                <pt idx="366">
                  <v>43651</v>
                </pt>
                <pt idx="367">
                  <v>43654</v>
                </pt>
                <pt idx="368">
                  <v>43655</v>
                </pt>
                <pt idx="369">
                  <v>43656</v>
                </pt>
                <pt idx="370">
                  <v>43657</v>
                </pt>
                <pt idx="371">
                  <v>43658</v>
                </pt>
                <pt idx="372">
                  <v>43661</v>
                </pt>
                <pt idx="373">
                  <v>43662</v>
                </pt>
                <pt idx="374">
                  <v>43663</v>
                </pt>
                <pt idx="375">
                  <v>43664</v>
                </pt>
                <pt idx="376">
                  <v>43665</v>
                </pt>
                <pt idx="377">
                  <v>43668</v>
                </pt>
                <pt idx="378">
                  <v>43669</v>
                </pt>
                <pt idx="379">
                  <v>43670</v>
                </pt>
                <pt idx="380">
                  <v>43671</v>
                </pt>
                <pt idx="381">
                  <v>43672</v>
                </pt>
                <pt idx="382">
                  <v>43675</v>
                </pt>
                <pt idx="383">
                  <v>43676</v>
                </pt>
                <pt idx="384">
                  <v>43677</v>
                </pt>
                <pt idx="385">
                  <v>43678</v>
                </pt>
                <pt idx="386">
                  <v>43679</v>
                </pt>
                <pt idx="387">
                  <v>43682</v>
                </pt>
                <pt idx="388">
                  <v>43683</v>
                </pt>
                <pt idx="389">
                  <v>43684</v>
                </pt>
                <pt idx="390">
                  <v>43685</v>
                </pt>
                <pt idx="391">
                  <v>43686</v>
                </pt>
                <pt idx="392">
                  <v>43689</v>
                </pt>
                <pt idx="393">
                  <v>43690</v>
                </pt>
                <pt idx="394">
                  <v>43691</v>
                </pt>
                <pt idx="395">
                  <v>43692</v>
                </pt>
                <pt idx="396">
                  <v>43693</v>
                </pt>
                <pt idx="397">
                  <v>43696</v>
                </pt>
                <pt idx="398">
                  <v>43697</v>
                </pt>
                <pt idx="399">
                  <v>43698</v>
                </pt>
                <pt idx="400">
                  <v>43699</v>
                </pt>
                <pt idx="401">
                  <v>43700</v>
                </pt>
                <pt idx="402">
                  <v>43703</v>
                </pt>
                <pt idx="403">
                  <v>43704</v>
                </pt>
                <pt idx="404">
                  <v>43705</v>
                </pt>
                <pt idx="405">
                  <v>43706</v>
                </pt>
                <pt idx="406">
                  <v>43707</v>
                </pt>
                <pt idx="407">
                  <v>43710</v>
                </pt>
                <pt idx="408">
                  <v>43711</v>
                </pt>
                <pt idx="409">
                  <v>43712</v>
                </pt>
                <pt idx="410">
                  <v>43713</v>
                </pt>
                <pt idx="411">
                  <v>43714</v>
                </pt>
                <pt idx="412">
                  <v>43717</v>
                </pt>
                <pt idx="413">
                  <v>43718</v>
                </pt>
                <pt idx="414">
                  <v>43719</v>
                </pt>
                <pt idx="415">
                  <v>43720</v>
                </pt>
                <pt idx="416">
                  <v>43724</v>
                </pt>
                <pt idx="417">
                  <v>43725</v>
                </pt>
                <pt idx="418">
                  <v>43726</v>
                </pt>
                <pt idx="419">
                  <v>43727</v>
                </pt>
                <pt idx="420">
                  <v>43728</v>
                </pt>
                <pt idx="421">
                  <v>43731</v>
                </pt>
                <pt idx="422">
                  <v>43732</v>
                </pt>
                <pt idx="423">
                  <v>43733</v>
                </pt>
                <pt idx="424">
                  <v>43734</v>
                </pt>
                <pt idx="425">
                  <v>43735</v>
                </pt>
                <pt idx="426">
                  <v>43738</v>
                </pt>
                <pt idx="427">
                  <v>43746</v>
                </pt>
                <pt idx="428">
                  <v>43747</v>
                </pt>
                <pt idx="429">
                  <v>43748</v>
                </pt>
                <pt idx="430">
                  <v>43749</v>
                </pt>
                <pt idx="431">
                  <v>43752</v>
                </pt>
                <pt idx="432">
                  <v>43753</v>
                </pt>
                <pt idx="433">
                  <v>43754</v>
                </pt>
                <pt idx="434">
                  <v>43755</v>
                </pt>
                <pt idx="435">
                  <v>43756</v>
                </pt>
                <pt idx="436">
                  <v>43759</v>
                </pt>
                <pt idx="437">
                  <v>43760</v>
                </pt>
                <pt idx="438">
                  <v>43761</v>
                </pt>
                <pt idx="439">
                  <v>43762</v>
                </pt>
                <pt idx="440">
                  <v>43763</v>
                </pt>
                <pt idx="441">
                  <v>43766</v>
                </pt>
                <pt idx="442">
                  <v>43767</v>
                </pt>
                <pt idx="443">
                  <v>43768</v>
                </pt>
                <pt idx="444">
                  <v>43769</v>
                </pt>
                <pt idx="445">
                  <v>43770</v>
                </pt>
                <pt idx="446">
                  <v>43773</v>
                </pt>
                <pt idx="447">
                  <v>43774</v>
                </pt>
                <pt idx="448">
                  <v>43775</v>
                </pt>
                <pt idx="449">
                  <v>43776</v>
                </pt>
                <pt idx="450">
                  <v>43777</v>
                </pt>
                <pt idx="451">
                  <v>43780</v>
                </pt>
                <pt idx="452">
                  <v>43781</v>
                </pt>
                <pt idx="453">
                  <v>43782</v>
                </pt>
                <pt idx="454">
                  <v>43783</v>
                </pt>
                <pt idx="455">
                  <v>43784</v>
                </pt>
                <pt idx="456">
                  <v>43787</v>
                </pt>
                <pt idx="457">
                  <v>43788</v>
                </pt>
                <pt idx="458">
                  <v>43789</v>
                </pt>
                <pt idx="459">
                  <v>43790</v>
                </pt>
                <pt idx="460">
                  <v>43791</v>
                </pt>
                <pt idx="461">
                  <v>43794</v>
                </pt>
                <pt idx="462">
                  <v>43795</v>
                </pt>
                <pt idx="463">
                  <v>43796</v>
                </pt>
                <pt idx="464">
                  <v>43797</v>
                </pt>
                <pt idx="465">
                  <v>43798</v>
                </pt>
                <pt idx="466">
                  <v>43801</v>
                </pt>
                <pt idx="467">
                  <v>43802</v>
                </pt>
                <pt idx="468">
                  <v>43803</v>
                </pt>
                <pt idx="469">
                  <v>43804</v>
                </pt>
                <pt idx="470">
                  <v>43805</v>
                </pt>
                <pt idx="471">
                  <v>43808</v>
                </pt>
                <pt idx="472">
                  <v>43809</v>
                </pt>
                <pt idx="473">
                  <v>43810</v>
                </pt>
                <pt idx="474">
                  <v>43811</v>
                </pt>
                <pt idx="475">
                  <v>43812</v>
                </pt>
                <pt idx="476">
                  <v>43815</v>
                </pt>
                <pt idx="477">
                  <v>43816</v>
                </pt>
                <pt idx="478">
                  <v>43817</v>
                </pt>
                <pt idx="479">
                  <v>43818</v>
                </pt>
                <pt idx="480">
                  <v>43819</v>
                </pt>
                <pt idx="481">
                  <v>43822</v>
                </pt>
                <pt idx="482">
                  <v>43823</v>
                </pt>
                <pt idx="483">
                  <v>43824</v>
                </pt>
                <pt idx="484">
                  <v>43825</v>
                </pt>
                <pt idx="485">
                  <v>43826</v>
                </pt>
                <pt idx="486">
                  <v>43829</v>
                </pt>
                <pt idx="487">
                  <v>43830</v>
                </pt>
                <pt idx="488">
                  <v>43832</v>
                </pt>
                <pt idx="489">
                  <v>43833</v>
                </pt>
                <pt idx="490">
                  <v>43836</v>
                </pt>
                <pt idx="491">
                  <v>43837</v>
                </pt>
                <pt idx="492">
                  <v>43838</v>
                </pt>
                <pt idx="493">
                  <v>43839</v>
                </pt>
                <pt idx="494">
                  <v>43840</v>
                </pt>
                <pt idx="495">
                  <v>43843</v>
                </pt>
                <pt idx="496">
                  <v>43844</v>
                </pt>
                <pt idx="497">
                  <v>43845</v>
                </pt>
                <pt idx="498">
                  <v>43846</v>
                </pt>
                <pt idx="499">
                  <v>43847</v>
                </pt>
                <pt idx="500">
                  <v>43850</v>
                </pt>
                <pt idx="501">
                  <v>43851</v>
                </pt>
                <pt idx="502">
                  <v>43852</v>
                </pt>
                <pt idx="503">
                  <v>43853</v>
                </pt>
                <pt idx="504">
                  <v>43864</v>
                </pt>
                <pt idx="505">
                  <v>43865</v>
                </pt>
                <pt idx="506">
                  <v>43866</v>
                </pt>
                <pt idx="507">
                  <v>43867</v>
                </pt>
                <pt idx="508">
                  <v>43868</v>
                </pt>
                <pt idx="509">
                  <v>43871</v>
                </pt>
                <pt idx="510">
                  <v>43872</v>
                </pt>
                <pt idx="511">
                  <v>43873</v>
                </pt>
                <pt idx="512">
                  <v>43874</v>
                </pt>
                <pt idx="513">
                  <v>43875</v>
                </pt>
                <pt idx="514">
                  <v>43878</v>
                </pt>
                <pt idx="515">
                  <v>43879</v>
                </pt>
                <pt idx="516">
                  <v>43880</v>
                </pt>
                <pt idx="517">
                  <v>43881</v>
                </pt>
                <pt idx="518">
                  <v>43882</v>
                </pt>
                <pt idx="519">
                  <v>43885</v>
                </pt>
                <pt idx="520">
                  <v>43886</v>
                </pt>
                <pt idx="521">
                  <v>43887</v>
                </pt>
                <pt idx="522">
                  <v>43888</v>
                </pt>
                <pt idx="523">
                  <v>43889</v>
                </pt>
                <pt idx="524">
                  <v>43892</v>
                </pt>
                <pt idx="525">
                  <v>43893</v>
                </pt>
                <pt idx="526">
                  <v>43894</v>
                </pt>
                <pt idx="527">
                  <v>43895</v>
                </pt>
                <pt idx="528">
                  <v>43896</v>
                </pt>
                <pt idx="529">
                  <v>43899</v>
                </pt>
                <pt idx="530">
                  <v>43900</v>
                </pt>
                <pt idx="531">
                  <v>43901</v>
                </pt>
                <pt idx="532">
                  <v>43902</v>
                </pt>
                <pt idx="533">
                  <v>43903</v>
                </pt>
                <pt idx="534">
                  <v>43906</v>
                </pt>
                <pt idx="535">
                  <v>43907</v>
                </pt>
                <pt idx="536">
                  <v>43908</v>
                </pt>
                <pt idx="537">
                  <v>43909</v>
                </pt>
                <pt idx="538">
                  <v>43910</v>
                </pt>
                <pt idx="539">
                  <v>43913</v>
                </pt>
                <pt idx="540">
                  <v>43914</v>
                </pt>
                <pt idx="541">
                  <v>43915</v>
                </pt>
                <pt idx="542">
                  <v>43916</v>
                </pt>
                <pt idx="543">
                  <v>43917</v>
                </pt>
                <pt idx="544">
                  <v>43920</v>
                </pt>
                <pt idx="545">
                  <v>43921</v>
                </pt>
                <pt idx="546">
                  <v>43922</v>
                </pt>
                <pt idx="547">
                  <v>43923</v>
                </pt>
                <pt idx="548">
                  <v>43924</v>
                </pt>
                <pt idx="549">
                  <v>43928</v>
                </pt>
                <pt idx="550">
                  <v>43929</v>
                </pt>
                <pt idx="551">
                  <v>43930</v>
                </pt>
                <pt idx="552">
                  <v>43931</v>
                </pt>
                <pt idx="553">
                  <v>43934</v>
                </pt>
                <pt idx="554">
                  <v>43935</v>
                </pt>
                <pt idx="555">
                  <v>43936</v>
                </pt>
                <pt idx="556">
                  <v>43937</v>
                </pt>
                <pt idx="557">
                  <v>43938</v>
                </pt>
                <pt idx="558">
                  <v>43941</v>
                </pt>
                <pt idx="559">
                  <v>43942</v>
                </pt>
                <pt idx="560">
                  <v>43943</v>
                </pt>
                <pt idx="561">
                  <v>43944</v>
                </pt>
                <pt idx="562">
                  <v>43945</v>
                </pt>
                <pt idx="563">
                  <v>43948</v>
                </pt>
                <pt idx="564">
                  <v>43949</v>
                </pt>
                <pt idx="565">
                  <v>43950</v>
                </pt>
                <pt idx="566">
                  <v>43951</v>
                </pt>
                <pt idx="567">
                  <v>43957</v>
                </pt>
                <pt idx="568">
                  <v>43958</v>
                </pt>
                <pt idx="569">
                  <v>43959</v>
                </pt>
                <pt idx="570">
                  <v>43962</v>
                </pt>
                <pt idx="571">
                  <v>43963</v>
                </pt>
                <pt idx="572">
                  <v>43964</v>
                </pt>
                <pt idx="573">
                  <v>43965</v>
                </pt>
                <pt idx="574">
                  <v>43966</v>
                </pt>
                <pt idx="575">
                  <v>43969</v>
                </pt>
                <pt idx="576">
                  <v>43970</v>
                </pt>
                <pt idx="577">
                  <v>43971</v>
                </pt>
                <pt idx="578">
                  <v>43972</v>
                </pt>
                <pt idx="579">
                  <v>43973</v>
                </pt>
                <pt idx="580">
                  <v>43976</v>
                </pt>
                <pt idx="581">
                  <v>43977</v>
                </pt>
                <pt idx="582">
                  <v>43978</v>
                </pt>
                <pt idx="583">
                  <v>43979</v>
                </pt>
                <pt idx="584">
                  <v>43980</v>
                </pt>
                <pt idx="585">
                  <v>43983</v>
                </pt>
                <pt idx="586">
                  <v>43984</v>
                </pt>
                <pt idx="587">
                  <v>43985</v>
                </pt>
                <pt idx="588">
                  <v>43986</v>
                </pt>
                <pt idx="589">
                  <v>43987</v>
                </pt>
                <pt idx="590">
                  <v>43990</v>
                </pt>
                <pt idx="591">
                  <v>43991</v>
                </pt>
                <pt idx="592">
                  <v>43992</v>
                </pt>
                <pt idx="593">
                  <v>43993</v>
                </pt>
                <pt idx="594">
                  <v>43994</v>
                </pt>
                <pt idx="595">
                  <v>43997</v>
                </pt>
                <pt idx="596">
                  <v>43998</v>
                </pt>
                <pt idx="597">
                  <v>43999</v>
                </pt>
                <pt idx="598">
                  <v>44000</v>
                </pt>
                <pt idx="599">
                  <v>44001</v>
                </pt>
                <pt idx="600">
                  <v>44004</v>
                </pt>
                <pt idx="601">
                  <v>44005</v>
                </pt>
                <pt idx="602">
                  <v>44006</v>
                </pt>
                <pt idx="603">
                  <v>44011</v>
                </pt>
                <pt idx="604">
                  <v>44012</v>
                </pt>
                <pt idx="605">
                  <v>44013</v>
                </pt>
                <pt idx="606">
                  <v>44014</v>
                </pt>
                <pt idx="607">
                  <v>44015</v>
                </pt>
                <pt idx="608">
                  <v>44018</v>
                </pt>
                <pt idx="609">
                  <v>44019</v>
                </pt>
                <pt idx="610">
                  <v>44020</v>
                </pt>
                <pt idx="611">
                  <v>44021</v>
                </pt>
                <pt idx="612">
                  <v>44022</v>
                </pt>
                <pt idx="613">
                  <v>44025</v>
                </pt>
                <pt idx="614">
                  <v>44026</v>
                </pt>
                <pt idx="615">
                  <v>44027</v>
                </pt>
                <pt idx="616">
                  <v>44028</v>
                </pt>
                <pt idx="617">
                  <v>44029</v>
                </pt>
                <pt idx="618">
                  <v>44032</v>
                </pt>
                <pt idx="619">
                  <v>44033</v>
                </pt>
                <pt idx="620">
                  <v>44034</v>
                </pt>
                <pt idx="621">
                  <v>44035</v>
                </pt>
                <pt idx="622">
                  <v>44036</v>
                </pt>
                <pt idx="623">
                  <v>44039</v>
                </pt>
                <pt idx="624">
                  <v>44040</v>
                </pt>
                <pt idx="625">
                  <v>44041</v>
                </pt>
                <pt idx="626">
                  <v>44042</v>
                </pt>
                <pt idx="627">
                  <v>44043</v>
                </pt>
                <pt idx="628">
                  <v>44046</v>
                </pt>
                <pt idx="629">
                  <v>44047</v>
                </pt>
                <pt idx="630">
                  <v>44048</v>
                </pt>
                <pt idx="631">
                  <v>44049</v>
                </pt>
                <pt idx="632">
                  <v>44050</v>
                </pt>
                <pt idx="633">
                  <v>44053</v>
                </pt>
                <pt idx="634">
                  <v>44054</v>
                </pt>
                <pt idx="635">
                  <v>44055</v>
                </pt>
                <pt idx="636">
                  <v>44056</v>
                </pt>
                <pt idx="637">
                  <v>44057</v>
                </pt>
                <pt idx="638">
                  <v>44060</v>
                </pt>
                <pt idx="639">
                  <v>44061</v>
                </pt>
                <pt idx="640">
                  <v>44062</v>
                </pt>
                <pt idx="641">
                  <v>44063</v>
                </pt>
                <pt idx="642">
                  <v>44064</v>
                </pt>
                <pt idx="643">
                  <v>44067</v>
                </pt>
                <pt idx="644">
                  <v>44068</v>
                </pt>
                <pt idx="645">
                  <v>44069</v>
                </pt>
                <pt idx="646">
                  <v>44070</v>
                </pt>
                <pt idx="647">
                  <v>44071</v>
                </pt>
                <pt idx="648">
                  <v>44074</v>
                </pt>
                <pt idx="649">
                  <v>44075</v>
                </pt>
                <pt idx="650">
                  <v>44076</v>
                </pt>
                <pt idx="651">
                  <v>44077</v>
                </pt>
                <pt idx="652">
                  <v>44078</v>
                </pt>
                <pt idx="653">
                  <v>44081</v>
                </pt>
                <pt idx="654">
                  <v>44082</v>
                </pt>
                <pt idx="655">
                  <v>44083</v>
                </pt>
                <pt idx="656">
                  <v>44084</v>
                </pt>
                <pt idx="657">
                  <v>44085</v>
                </pt>
                <pt idx="658">
                  <v>44088</v>
                </pt>
                <pt idx="659">
                  <v>44089</v>
                </pt>
                <pt idx="660">
                  <v>44090</v>
                </pt>
                <pt idx="661">
                  <v>44091</v>
                </pt>
                <pt idx="662">
                  <v>44092</v>
                </pt>
                <pt idx="663">
                  <v>44095</v>
                </pt>
                <pt idx="664">
                  <v>44096</v>
                </pt>
                <pt idx="665">
                  <v>44097</v>
                </pt>
                <pt idx="666">
                  <v>44098</v>
                </pt>
                <pt idx="667">
                  <v>44099</v>
                </pt>
                <pt idx="668">
                  <v>44102</v>
                </pt>
                <pt idx="669">
                  <v>44103</v>
                </pt>
                <pt idx="670">
                  <v>44104</v>
                </pt>
                <pt idx="671">
                  <v>44113</v>
                </pt>
                <pt idx="672">
                  <v>44116</v>
                </pt>
                <pt idx="673">
                  <v>44117</v>
                </pt>
                <pt idx="674">
                  <v>44118</v>
                </pt>
                <pt idx="675">
                  <v>44119</v>
                </pt>
                <pt idx="676">
                  <v>44120</v>
                </pt>
                <pt idx="677">
                  <v>44123</v>
                </pt>
                <pt idx="678">
                  <v>44124</v>
                </pt>
                <pt idx="679">
                  <v>44125</v>
                </pt>
                <pt idx="680">
                  <v>44126</v>
                </pt>
                <pt idx="681">
                  <v>44127</v>
                </pt>
                <pt idx="682">
                  <v>44130</v>
                </pt>
                <pt idx="683">
                  <v>44131</v>
                </pt>
                <pt idx="684">
                  <v>44132</v>
                </pt>
                <pt idx="685">
                  <v>44133</v>
                </pt>
                <pt idx="686">
                  <v>44134</v>
                </pt>
                <pt idx="687">
                  <v>44137</v>
                </pt>
                <pt idx="688">
                  <v>44138</v>
                </pt>
                <pt idx="689">
                  <v>44139</v>
                </pt>
                <pt idx="690">
                  <v>44140</v>
                </pt>
                <pt idx="691">
                  <v>44141</v>
                </pt>
                <pt idx="692">
                  <v>44144</v>
                </pt>
                <pt idx="693">
                  <v>44145</v>
                </pt>
                <pt idx="694">
                  <v>44146</v>
                </pt>
                <pt idx="695">
                  <v>44147</v>
                </pt>
                <pt idx="696">
                  <v>44148</v>
                </pt>
                <pt idx="697">
                  <v>44151</v>
                </pt>
                <pt idx="698">
                  <v>44152</v>
                </pt>
                <pt idx="699">
                  <v>44153</v>
                </pt>
                <pt idx="700">
                  <v>44154</v>
                </pt>
                <pt idx="701">
                  <v>44155</v>
                </pt>
                <pt idx="702">
                  <v>44158</v>
                </pt>
                <pt idx="703">
                  <v>44159</v>
                </pt>
                <pt idx="704">
                  <v>44160</v>
                </pt>
                <pt idx="705">
                  <v>44161</v>
                </pt>
                <pt idx="706">
                  <v>44162</v>
                </pt>
                <pt idx="707">
                  <v>44165</v>
                </pt>
                <pt idx="708">
                  <v>44166</v>
                </pt>
                <pt idx="709">
                  <v>44167</v>
                </pt>
                <pt idx="710">
                  <v>44168</v>
                </pt>
                <pt idx="711">
                  <v>44169</v>
                </pt>
                <pt idx="712">
                  <v>44172</v>
                </pt>
                <pt idx="713">
                  <v>44173</v>
                </pt>
                <pt idx="714">
                  <v>44174</v>
                </pt>
                <pt idx="715">
                  <v>44175</v>
                </pt>
                <pt idx="716">
                  <v>44176</v>
                </pt>
                <pt idx="717">
                  <v>44179</v>
                </pt>
                <pt idx="718">
                  <v>44180</v>
                </pt>
                <pt idx="719">
                  <v>44181</v>
                </pt>
                <pt idx="720">
                  <v>44182</v>
                </pt>
                <pt idx="721">
                  <v>44183</v>
                </pt>
                <pt idx="722">
                  <v>44186</v>
                </pt>
                <pt idx="723">
                  <v>44187</v>
                </pt>
                <pt idx="724">
                  <v>44188</v>
                </pt>
                <pt idx="725">
                  <v>44189</v>
                </pt>
                <pt idx="726">
                  <v>44190</v>
                </pt>
                <pt idx="727">
                  <v>44193</v>
                </pt>
                <pt idx="728">
                  <v>44194</v>
                </pt>
                <pt idx="729">
                  <v>44195</v>
                </pt>
                <pt idx="730">
                  <v>44196</v>
                </pt>
                <pt idx="731">
                  <v>44200</v>
                </pt>
                <pt idx="732">
                  <v>44201</v>
                </pt>
                <pt idx="733">
                  <v>44202</v>
                </pt>
                <pt idx="734">
                  <v>44203</v>
                </pt>
                <pt idx="735">
                  <v>44204</v>
                </pt>
                <pt idx="736">
                  <v>44207</v>
                </pt>
                <pt idx="737">
                  <v>44208</v>
                </pt>
                <pt idx="738">
                  <v>44209</v>
                </pt>
                <pt idx="739">
                  <v>44210</v>
                </pt>
                <pt idx="740">
                  <v>44211</v>
                </pt>
                <pt idx="741">
                  <v>44214</v>
                </pt>
                <pt idx="742">
                  <v>44215</v>
                </pt>
                <pt idx="743">
                  <v>44216</v>
                </pt>
                <pt idx="744">
                  <v>44217</v>
                </pt>
                <pt idx="745">
                  <v>44218</v>
                </pt>
                <pt idx="746">
                  <v>44221</v>
                </pt>
                <pt idx="747">
                  <v>44222</v>
                </pt>
                <pt idx="748">
                  <v>44223</v>
                </pt>
                <pt idx="749">
                  <v>44224</v>
                </pt>
                <pt idx="750">
                  <v>44225</v>
                </pt>
                <pt idx="751">
                  <v>44228</v>
                </pt>
                <pt idx="752">
                  <v>44229</v>
                </pt>
                <pt idx="753">
                  <v>44230</v>
                </pt>
                <pt idx="754">
                  <v>44231</v>
                </pt>
                <pt idx="755">
                  <v>44232</v>
                </pt>
                <pt idx="756">
                  <v>44235</v>
                </pt>
                <pt idx="757">
                  <v>44236</v>
                </pt>
                <pt idx="758">
                  <v>44237</v>
                </pt>
                <pt idx="759">
                  <v>44245</v>
                </pt>
                <pt idx="760">
                  <v>44246</v>
                </pt>
                <pt idx="761">
                  <v>44249</v>
                </pt>
                <pt idx="762">
                  <v>44250</v>
                </pt>
                <pt idx="763">
                  <v>44251</v>
                </pt>
                <pt idx="764">
                  <v>44252</v>
                </pt>
                <pt idx="765">
                  <v>44253</v>
                </pt>
                <pt idx="766">
                  <v>44256</v>
                </pt>
                <pt idx="767">
                  <v>44257</v>
                </pt>
                <pt idx="768">
                  <v>44258</v>
                </pt>
                <pt idx="769">
                  <v>44259</v>
                </pt>
                <pt idx="770">
                  <v>44260</v>
                </pt>
                <pt idx="771">
                  <v>44263</v>
                </pt>
                <pt idx="772">
                  <v>44264</v>
                </pt>
                <pt idx="773">
                  <v>44265</v>
                </pt>
                <pt idx="774">
                  <v>44266</v>
                </pt>
                <pt idx="775">
                  <v>44267</v>
                </pt>
                <pt idx="776">
                  <v>44270</v>
                </pt>
                <pt idx="777">
                  <v>44271</v>
                </pt>
                <pt idx="778">
                  <v>44272</v>
                </pt>
                <pt idx="779">
                  <v>44273</v>
                </pt>
                <pt idx="780">
                  <v>44274</v>
                </pt>
                <pt idx="781">
                  <v>44277</v>
                </pt>
                <pt idx="782">
                  <v>44278</v>
                </pt>
                <pt idx="783">
                  <v>44279</v>
                </pt>
                <pt idx="784">
                  <v>44280</v>
                </pt>
                <pt idx="785">
                  <v>44281</v>
                </pt>
                <pt idx="786">
                  <v>44284</v>
                </pt>
                <pt idx="787">
                  <v>44285</v>
                </pt>
                <pt idx="788">
                  <v>44286</v>
                </pt>
                <pt idx="789">
                  <v>44287</v>
                </pt>
                <pt idx="790">
                  <v>44288</v>
                </pt>
                <pt idx="791">
                  <v>44292</v>
                </pt>
                <pt idx="792">
                  <v>44293</v>
                </pt>
                <pt idx="793">
                  <v>44294</v>
                </pt>
                <pt idx="794">
                  <v>44295</v>
                </pt>
                <pt idx="795">
                  <v>44298</v>
                </pt>
                <pt idx="796">
                  <v>44299</v>
                </pt>
                <pt idx="797">
                  <v>44300</v>
                </pt>
                <pt idx="798">
                  <v>44301</v>
                </pt>
                <pt idx="799">
                  <v>44302</v>
                </pt>
                <pt idx="800">
                  <v>44305</v>
                </pt>
                <pt idx="801">
                  <v>44306</v>
                </pt>
                <pt idx="802">
                  <v>44307</v>
                </pt>
                <pt idx="803">
                  <v>44308</v>
                </pt>
                <pt idx="804">
                  <v>44309</v>
                </pt>
                <pt idx="805">
                  <v>44312</v>
                </pt>
                <pt idx="806">
                  <v>44313</v>
                </pt>
                <pt idx="807">
                  <v>44314</v>
                </pt>
                <pt idx="808">
                  <v>44315</v>
                </pt>
                <pt idx="809">
                  <v>44316</v>
                </pt>
                <pt idx="810">
                  <v>44322</v>
                </pt>
                <pt idx="811">
                  <v>44323</v>
                </pt>
                <pt idx="812">
                  <v>44326</v>
                </pt>
                <pt idx="813">
                  <v>44327</v>
                </pt>
                <pt idx="814">
                  <v>44328</v>
                </pt>
                <pt idx="815">
                  <v>44329</v>
                </pt>
                <pt idx="816">
                  <v>44330</v>
                </pt>
                <pt idx="817">
                  <v>44333</v>
                </pt>
                <pt idx="818">
                  <v>44334</v>
                </pt>
                <pt idx="819">
                  <v>44335</v>
                </pt>
                <pt idx="820">
                  <v>44336</v>
                </pt>
                <pt idx="821">
                  <v>44337</v>
                </pt>
                <pt idx="822">
                  <v>44340</v>
                </pt>
                <pt idx="823">
                  <v>44341</v>
                </pt>
                <pt idx="824">
                  <v>44342</v>
                </pt>
                <pt idx="825">
                  <v>44343</v>
                </pt>
                <pt idx="826">
                  <v>44344</v>
                </pt>
                <pt idx="827">
                  <v>44347</v>
                </pt>
                <pt idx="828">
                  <v>44348</v>
                </pt>
                <pt idx="829">
                  <v>44349</v>
                </pt>
                <pt idx="830">
                  <v>44350</v>
                </pt>
                <pt idx="831">
                  <v>44351</v>
                </pt>
                <pt idx="832">
                  <v>44354</v>
                </pt>
                <pt idx="833">
                  <v>44355</v>
                </pt>
                <pt idx="834">
                  <v>44356</v>
                </pt>
                <pt idx="835">
                  <v>44357</v>
                </pt>
                <pt idx="836">
                  <v>44358</v>
                </pt>
                <pt idx="837">
                  <v>44362</v>
                </pt>
                <pt idx="838">
                  <v>44363</v>
                </pt>
                <pt idx="839">
                  <v>44364</v>
                </pt>
                <pt idx="840">
                  <v>44365</v>
                </pt>
                <pt idx="841">
                  <v>44368</v>
                </pt>
                <pt idx="842">
                  <v>44369</v>
                </pt>
                <pt idx="843">
                  <v>44370</v>
                </pt>
                <pt idx="844">
                  <v>44371</v>
                </pt>
                <pt idx="845">
                  <v>44372</v>
                </pt>
                <pt idx="846">
                  <v>44375</v>
                </pt>
                <pt idx="847">
                  <v>44376</v>
                </pt>
                <pt idx="848">
                  <v>44377</v>
                </pt>
                <pt idx="849">
                  <v>44378</v>
                </pt>
                <pt idx="850">
                  <v>44379</v>
                </pt>
                <pt idx="851">
                  <v>44382</v>
                </pt>
                <pt idx="852">
                  <v>44383</v>
                </pt>
                <pt idx="853">
                  <v>44384</v>
                </pt>
                <pt idx="854">
                  <v>44385</v>
                </pt>
                <pt idx="855">
                  <v>44386</v>
                </pt>
                <pt idx="856">
                  <v>44389</v>
                </pt>
                <pt idx="857">
                  <v>44390</v>
                </pt>
                <pt idx="858">
                  <v>44391</v>
                </pt>
                <pt idx="859">
                  <v>44392</v>
                </pt>
                <pt idx="860">
                  <v>44393</v>
                </pt>
                <pt idx="861">
                  <v>44396</v>
                </pt>
                <pt idx="862">
                  <v>44397</v>
                </pt>
                <pt idx="863">
                  <v>44398</v>
                </pt>
                <pt idx="864">
                  <v>44399</v>
                </pt>
                <pt idx="865">
                  <v>44400</v>
                </pt>
                <pt idx="866">
                  <v>44403</v>
                </pt>
                <pt idx="867">
                  <v>44404</v>
                </pt>
                <pt idx="868">
                  <v>44405</v>
                </pt>
                <pt idx="869">
                  <v>44406</v>
                </pt>
                <pt idx="870">
                  <v>44407</v>
                </pt>
                <pt idx="871">
                  <v>44410</v>
                </pt>
                <pt idx="872">
                  <v>44411</v>
                </pt>
                <pt idx="873">
                  <v>44412</v>
                </pt>
                <pt idx="874">
                  <v>44413</v>
                </pt>
                <pt idx="875">
                  <v>44414</v>
                </pt>
                <pt idx="876">
                  <v>44417</v>
                </pt>
                <pt idx="877">
                  <v>44418</v>
                </pt>
                <pt idx="878">
                  <v>44419</v>
                </pt>
                <pt idx="879">
                  <v>44420</v>
                </pt>
                <pt idx="880">
                  <v>44421</v>
                </pt>
                <pt idx="881">
                  <v>44424</v>
                </pt>
                <pt idx="882">
                  <v>44425</v>
                </pt>
                <pt idx="883">
                  <v>44426</v>
                </pt>
                <pt idx="884">
                  <v>44427</v>
                </pt>
                <pt idx="885">
                  <v>44428</v>
                </pt>
                <pt idx="886">
                  <v>44431</v>
                </pt>
                <pt idx="887">
                  <v>44432</v>
                </pt>
                <pt idx="888">
                  <v>44433</v>
                </pt>
                <pt idx="889">
                  <v>44434</v>
                </pt>
                <pt idx="890">
                  <v>44435</v>
                </pt>
                <pt idx="891">
                  <v>44438</v>
                </pt>
                <pt idx="892">
                  <v>44439</v>
                </pt>
                <pt idx="893">
                  <v>44440</v>
                </pt>
                <pt idx="894">
                  <v>44441</v>
                </pt>
                <pt idx="895">
                  <v>44442</v>
                </pt>
                <pt idx="896">
                  <v>44445</v>
                </pt>
                <pt idx="897">
                  <v>44446</v>
                </pt>
                <pt idx="898">
                  <v>44447</v>
                </pt>
                <pt idx="899">
                  <v>44448</v>
                </pt>
                <pt idx="900">
                  <v>44449</v>
                </pt>
                <pt idx="901">
                  <v>44452</v>
                </pt>
                <pt idx="902">
                  <v>44453</v>
                </pt>
                <pt idx="903">
                  <v>44454</v>
                </pt>
                <pt idx="904">
                  <v>44455</v>
                </pt>
                <pt idx="905">
                  <v>44456</v>
                </pt>
                <pt idx="906">
                  <v>44461</v>
                </pt>
                <pt idx="907">
                  <v>44462</v>
                </pt>
                <pt idx="908">
                  <v>44463</v>
                </pt>
                <pt idx="909">
                  <v>44466</v>
                </pt>
                <pt idx="910">
                  <v>44467</v>
                </pt>
                <pt idx="911">
                  <v>44468</v>
                </pt>
                <pt idx="912">
                  <v>44469</v>
                </pt>
                <pt idx="913">
                  <v>44477</v>
                </pt>
                <pt idx="914">
                  <v>44480</v>
                </pt>
                <pt idx="915">
                  <v>44481</v>
                </pt>
                <pt idx="916">
                  <v>44482</v>
                </pt>
                <pt idx="917">
                  <v>44483</v>
                </pt>
                <pt idx="918">
                  <v>44484</v>
                </pt>
                <pt idx="919">
                  <v>44487</v>
                </pt>
                <pt idx="920">
                  <v>44488</v>
                </pt>
                <pt idx="921">
                  <v>44489</v>
                </pt>
                <pt idx="922">
                  <v>44490</v>
                </pt>
                <pt idx="923">
                  <v>44491</v>
                </pt>
                <pt idx="924">
                  <v>44494</v>
                </pt>
                <pt idx="925">
                  <v>44495</v>
                </pt>
                <pt idx="926">
                  <v>44496</v>
                </pt>
                <pt idx="927">
                  <v>44497</v>
                </pt>
                <pt idx="928">
                  <v>44498</v>
                </pt>
                <pt idx="929">
                  <v>44501</v>
                </pt>
                <pt idx="930">
                  <v>44502</v>
                </pt>
                <pt idx="931">
                  <v>44503</v>
                </pt>
                <pt idx="932">
                  <v>44504</v>
                </pt>
                <pt idx="933">
                  <v>44505</v>
                </pt>
                <pt idx="934">
                  <v>44508</v>
                </pt>
                <pt idx="935">
                  <v>44509</v>
                </pt>
                <pt idx="936">
                  <v>44510</v>
                </pt>
                <pt idx="937">
                  <v>44511</v>
                </pt>
                <pt idx="938">
                  <v>44512</v>
                </pt>
                <pt idx="939">
                  <v>44515</v>
                </pt>
                <pt idx="940">
                  <v>44516</v>
                </pt>
                <pt idx="941">
                  <v>44517</v>
                </pt>
                <pt idx="942">
                  <v>44518</v>
                </pt>
                <pt idx="943">
                  <v>44519</v>
                </pt>
                <pt idx="944">
                  <v>44522</v>
                </pt>
                <pt idx="945">
                  <v>44523</v>
                </pt>
                <pt idx="946">
                  <v>44524</v>
                </pt>
                <pt idx="947">
                  <v>44525</v>
                </pt>
                <pt idx="948">
                  <v>44526</v>
                </pt>
                <pt idx="949">
                  <v>44529</v>
                </pt>
                <pt idx="950">
                  <v>44530</v>
                </pt>
                <pt idx="951">
                  <v>44531</v>
                </pt>
                <pt idx="952">
                  <v>44532</v>
                </pt>
                <pt idx="953">
                  <v>44533</v>
                </pt>
                <pt idx="954">
                  <v>44536</v>
                </pt>
                <pt idx="955">
                  <v>44537</v>
                </pt>
                <pt idx="956">
                  <v>44538</v>
                </pt>
                <pt idx="957">
                  <v>44539</v>
                </pt>
                <pt idx="958">
                  <v>44540</v>
                </pt>
                <pt idx="959">
                  <v>44543</v>
                </pt>
                <pt idx="960">
                  <v>44544</v>
                </pt>
                <pt idx="961">
                  <v>44545</v>
                </pt>
                <pt idx="962">
                  <v>44546</v>
                </pt>
                <pt idx="963">
                  <v>44547</v>
                </pt>
                <pt idx="964">
                  <v>44550</v>
                </pt>
                <pt idx="965">
                  <v>44551</v>
                </pt>
                <pt idx="966">
                  <v>44552</v>
                </pt>
                <pt idx="967">
                  <v>44553</v>
                </pt>
                <pt idx="968">
                  <v>44554</v>
                </pt>
                <pt idx="969">
                  <v>44557</v>
                </pt>
                <pt idx="970">
                  <v>44558</v>
                </pt>
                <pt idx="971">
                  <v>44559</v>
                </pt>
                <pt idx="972">
                  <v>44560</v>
                </pt>
                <pt idx="973">
                  <v>44561</v>
                </pt>
                <pt idx="974">
                  <v>44565</v>
                </pt>
                <pt idx="975">
                  <v>44566</v>
                </pt>
                <pt idx="976">
                  <v>44567</v>
                </pt>
                <pt idx="977">
                  <v>44568</v>
                </pt>
                <pt idx="978">
                  <v>44571</v>
                </pt>
                <pt idx="979">
                  <v>44572</v>
                </pt>
                <pt idx="980">
                  <v>44573</v>
                </pt>
                <pt idx="981">
                  <v>44574</v>
                </pt>
                <pt idx="982">
                  <v>44575</v>
                </pt>
                <pt idx="983">
                  <v>44578</v>
                </pt>
                <pt idx="984">
                  <v>44579</v>
                </pt>
                <pt idx="985">
                  <v>44580</v>
                </pt>
                <pt idx="986">
                  <v>44581</v>
                </pt>
                <pt idx="987">
                  <v>44582</v>
                </pt>
                <pt idx="988">
                  <v>44585</v>
                </pt>
                <pt idx="989">
                  <v>44586</v>
                </pt>
                <pt idx="990">
                  <v>44587</v>
                </pt>
                <pt idx="991">
                  <v>44588</v>
                </pt>
                <pt idx="992">
                  <v>44589</v>
                </pt>
                <pt idx="993">
                  <v>44599</v>
                </pt>
                <pt idx="994">
                  <v>44600</v>
                </pt>
                <pt idx="995">
                  <v>44601</v>
                </pt>
                <pt idx="996">
                  <v>44602</v>
                </pt>
                <pt idx="997">
                  <v>44603</v>
                </pt>
                <pt idx="998">
                  <v>44606</v>
                </pt>
                <pt idx="999">
                  <v>44607</v>
                </pt>
                <pt idx="1000">
                  <v>44608</v>
                </pt>
                <pt idx="1001">
                  <v>44609</v>
                </pt>
                <pt idx="1002">
                  <v>44610</v>
                </pt>
                <pt idx="1003">
                  <v>44613</v>
                </pt>
                <pt idx="1004">
                  <v>44614</v>
                </pt>
                <pt idx="1005">
                  <v>44615</v>
                </pt>
                <pt idx="1006">
                  <v>44616</v>
                </pt>
                <pt idx="1007">
                  <v>44617</v>
                </pt>
                <pt idx="1008">
                  <v>44620</v>
                </pt>
                <pt idx="1009">
                  <v>44621</v>
                </pt>
                <pt idx="1010">
                  <v>44622</v>
                </pt>
                <pt idx="1011">
                  <v>44623</v>
                </pt>
                <pt idx="1012">
                  <v>44624</v>
                </pt>
                <pt idx="1013">
                  <v>44627</v>
                </pt>
                <pt idx="1014">
                  <v>44628</v>
                </pt>
                <pt idx="1015">
                  <v>44629</v>
                </pt>
                <pt idx="1016">
                  <v>44630</v>
                </pt>
                <pt idx="1017">
                  <v>44631</v>
                </pt>
                <pt idx="1018">
                  <v>44634</v>
                </pt>
                <pt idx="1019">
                  <v>44635</v>
                </pt>
                <pt idx="1020">
                  <v>44636</v>
                </pt>
                <pt idx="1021">
                  <v>44637</v>
                </pt>
                <pt idx="1022">
                  <v>44638</v>
                </pt>
                <pt idx="1023">
                  <v>44641</v>
                </pt>
                <pt idx="1024">
                  <v>44642</v>
                </pt>
                <pt idx="1025">
                  <v>44643</v>
                </pt>
                <pt idx="1026">
                  <v>44644</v>
                </pt>
                <pt idx="1027">
                  <v>44645</v>
                </pt>
                <pt idx="1028">
                  <v>44648</v>
                </pt>
                <pt idx="1029">
                  <v>44649</v>
                </pt>
                <pt idx="1030">
                  <v>44650</v>
                </pt>
                <pt idx="1031">
                  <v>44651</v>
                </pt>
                <pt idx="1032">
                  <v>44652</v>
                </pt>
                <pt idx="1033">
                  <v>44657</v>
                </pt>
                <pt idx="1034">
                  <v>44658</v>
                </pt>
                <pt idx="1035">
                  <v>44659</v>
                </pt>
                <pt idx="1036">
                  <v>44662</v>
                </pt>
                <pt idx="1037">
                  <v>44663</v>
                </pt>
                <pt idx="1038">
                  <v>44664</v>
                </pt>
                <pt idx="1039">
                  <v>44665</v>
                </pt>
                <pt idx="1040">
                  <v>44666</v>
                </pt>
                <pt idx="1041">
                  <v>44669</v>
                </pt>
                <pt idx="1042">
                  <v>44670</v>
                </pt>
                <pt idx="1043">
                  <v>44671</v>
                </pt>
                <pt idx="1044">
                  <v>44672</v>
                </pt>
                <pt idx="1045">
                  <v>44673</v>
                </pt>
                <pt idx="1046">
                  <v>44676</v>
                </pt>
                <pt idx="1047">
                  <v>44677</v>
                </pt>
                <pt idx="1048">
                  <v>44678</v>
                </pt>
                <pt idx="1049">
                  <v>44679</v>
                </pt>
                <pt idx="1050">
                  <v>44680</v>
                </pt>
                <pt idx="1051">
                  <v>44686</v>
                </pt>
                <pt idx="1052">
                  <v>44687</v>
                </pt>
                <pt idx="1053">
                  <v>44690</v>
                </pt>
                <pt idx="1054">
                  <v>44691</v>
                </pt>
                <pt idx="1055">
                  <v>44692</v>
                </pt>
                <pt idx="1056">
                  <v>44693</v>
                </pt>
                <pt idx="1057">
                  <v>44694</v>
                </pt>
                <pt idx="1058">
                  <v>44697</v>
                </pt>
                <pt idx="1059">
                  <v>44698</v>
                </pt>
                <pt idx="1060">
                  <v>44699</v>
                </pt>
                <pt idx="1061">
                  <v>44700</v>
                </pt>
                <pt idx="1062">
                  <v>44701</v>
                </pt>
                <pt idx="1063">
                  <v>44704</v>
                </pt>
                <pt idx="1064">
                  <v>44705</v>
                </pt>
                <pt idx="1065">
                  <v>44706</v>
                </pt>
                <pt idx="1066">
                  <v>44707</v>
                </pt>
                <pt idx="1067">
                  <v>44708</v>
                </pt>
                <pt idx="1068">
                  <v>44711</v>
                </pt>
                <pt idx="1069">
                  <v>44712</v>
                </pt>
                <pt idx="1070">
                  <v>44713</v>
                </pt>
                <pt idx="1071">
                  <v>44714</v>
                </pt>
                <pt idx="1072">
                  <v>44718</v>
                </pt>
                <pt idx="1073">
                  <v>44719</v>
                </pt>
                <pt idx="1074">
                  <v>44720</v>
                </pt>
                <pt idx="1075">
                  <v>44721</v>
                </pt>
                <pt idx="1076">
                  <v>44722</v>
                </pt>
                <pt idx="1077">
                  <v>44725</v>
                </pt>
                <pt idx="1078">
                  <v>44726</v>
                </pt>
                <pt idx="1079">
                  <v>44727</v>
                </pt>
                <pt idx="1080">
                  <v>44728</v>
                </pt>
                <pt idx="1081">
                  <v>44729</v>
                </pt>
                <pt idx="1082">
                  <v>44732</v>
                </pt>
                <pt idx="1083">
                  <v>44733</v>
                </pt>
                <pt idx="1084">
                  <v>44734</v>
                </pt>
                <pt idx="1085">
                  <v>44735</v>
                </pt>
                <pt idx="1086">
                  <v>44736</v>
                </pt>
                <pt idx="1087">
                  <v>44739</v>
                </pt>
                <pt idx="1088">
                  <v>44740</v>
                </pt>
                <pt idx="1089">
                  <v>44741</v>
                </pt>
                <pt idx="1090">
                  <v>44742</v>
                </pt>
                <pt idx="1091">
                  <v>44743</v>
                </pt>
                <pt idx="1092">
                  <v>44746</v>
                </pt>
                <pt idx="1093">
                  <v>44747</v>
                </pt>
                <pt idx="1094">
                  <v>44748</v>
                </pt>
                <pt idx="1095">
                  <v>44749</v>
                </pt>
                <pt idx="1096">
                  <v>44750</v>
                </pt>
                <pt idx="1097">
                  <v>44753</v>
                </pt>
                <pt idx="1098">
                  <v>44754</v>
                </pt>
                <pt idx="1099">
                  <v>44755</v>
                </pt>
                <pt idx="1100">
                  <v>44756</v>
                </pt>
                <pt idx="1101">
                  <v>44757</v>
                </pt>
                <pt idx="1102">
                  <v>44760</v>
                </pt>
                <pt idx="1103">
                  <v>44761</v>
                </pt>
                <pt idx="1104">
                  <v>44762</v>
                </pt>
                <pt idx="1105">
                  <v>44763</v>
                </pt>
                <pt idx="1106">
                  <v>44764</v>
                </pt>
                <pt idx="1107">
                  <v>44767</v>
                </pt>
                <pt idx="1108">
                  <v>44768</v>
                </pt>
                <pt idx="1109">
                  <v>44769</v>
                </pt>
                <pt idx="1110">
                  <v>44770</v>
                </pt>
                <pt idx="1111">
                  <v>44771</v>
                </pt>
                <pt idx="1112">
                  <v>44774</v>
                </pt>
                <pt idx="1113">
                  <v>44775</v>
                </pt>
                <pt idx="1114">
                  <v>44776</v>
                </pt>
                <pt idx="1115">
                  <v>44777</v>
                </pt>
                <pt idx="1116">
                  <v>44778</v>
                </pt>
                <pt idx="1117">
                  <v>44781</v>
                </pt>
                <pt idx="1118">
                  <v>44782</v>
                </pt>
                <pt idx="1119">
                  <v>44783</v>
                </pt>
                <pt idx="1120">
                  <v>44784</v>
                </pt>
                <pt idx="1121">
                  <v>44785</v>
                </pt>
                <pt idx="1122">
                  <v>44788</v>
                </pt>
                <pt idx="1123">
                  <v>44789</v>
                </pt>
                <pt idx="1124">
                  <v>44790</v>
                </pt>
                <pt idx="1125">
                  <v>44791</v>
                </pt>
                <pt idx="1126">
                  <v>44792</v>
                </pt>
                <pt idx="1127">
                  <v>44795</v>
                </pt>
                <pt idx="1128">
                  <v>44796</v>
                </pt>
                <pt idx="1129">
                  <v>44797</v>
                </pt>
                <pt idx="1130">
                  <v>44798</v>
                </pt>
                <pt idx="1131">
                  <v>44799</v>
                </pt>
                <pt idx="1132">
                  <v>44802</v>
                </pt>
                <pt idx="1133">
                  <v>44803</v>
                </pt>
                <pt idx="1134">
                  <v>44804</v>
                </pt>
              </numCache>
            </numRef>
          </cat>
          <val>
            <numRef>
              <f>可转债双低!$U$3:$U$879</f>
              <numCache>
                <formatCode>General</formatCode>
                <ptCount val="87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  <pt idx="280">
                  <v>0</v>
                </pt>
                <pt idx="281">
                  <v>0</v>
                </pt>
                <pt idx="282">
                  <v>0</v>
                </pt>
                <pt idx="283">
                  <v>0</v>
                </pt>
                <pt idx="284">
                  <v>0</v>
                </pt>
                <pt idx="285">
                  <v>0</v>
                </pt>
                <pt idx="286">
                  <v>0</v>
                </pt>
                <pt idx="287">
                  <v>0</v>
                </pt>
                <pt idx="288">
                  <v>0</v>
                </pt>
                <pt idx="289">
                  <v>0</v>
                </pt>
                <pt idx="290">
                  <v>0</v>
                </pt>
                <pt idx="291">
                  <v>0</v>
                </pt>
                <pt idx="292">
                  <v>0</v>
                </pt>
                <pt idx="293">
                  <v>0</v>
                </pt>
                <pt idx="294">
                  <v>0</v>
                </pt>
                <pt idx="295">
                  <v>0</v>
                </pt>
                <pt idx="296">
                  <v>0</v>
                </pt>
                <pt idx="297">
                  <v>0</v>
                </pt>
                <pt idx="298">
                  <v>0</v>
                </pt>
                <pt idx="299">
                  <v>0</v>
                </pt>
                <pt idx="300">
                  <v>0</v>
                </pt>
                <pt idx="301">
                  <v>0</v>
                </pt>
                <pt idx="302">
                  <v>0</v>
                </pt>
                <pt idx="303">
                  <v>0</v>
                </pt>
                <pt idx="304">
                  <v>0</v>
                </pt>
                <pt idx="305">
                  <v>0</v>
                </pt>
                <pt idx="306">
                  <v>0</v>
                </pt>
                <pt idx="307">
                  <v>0</v>
                </pt>
                <pt idx="308">
                  <v>0</v>
                </pt>
                <pt idx="309">
                  <v>0</v>
                </pt>
                <pt idx="310">
                  <v>0</v>
                </pt>
                <pt idx="311">
                  <v>0</v>
                </pt>
                <pt idx="312">
                  <v>0</v>
                </pt>
                <pt idx="313">
                  <v>0</v>
                </pt>
                <pt idx="314">
                  <v>0</v>
                </pt>
                <pt idx="315">
                  <v>0</v>
                </pt>
                <pt idx="316">
                  <v>0</v>
                </pt>
                <pt idx="317">
                  <v>0</v>
                </pt>
                <pt idx="318">
                  <v>0</v>
                </pt>
                <pt idx="319">
                  <v>0</v>
                </pt>
                <pt idx="320">
                  <v>0</v>
                </pt>
                <pt idx="321">
                  <v>0</v>
                </pt>
                <pt idx="322">
                  <v>0</v>
                </pt>
                <pt idx="323">
                  <v>0</v>
                </pt>
                <pt idx="324">
                  <v>0</v>
                </pt>
                <pt idx="325">
                  <v>0</v>
                </pt>
                <pt idx="326">
                  <v>0</v>
                </pt>
                <pt idx="327">
                  <v>0</v>
                </pt>
                <pt idx="328">
                  <v>0</v>
                </pt>
                <pt idx="329">
                  <v>0</v>
                </pt>
                <pt idx="330">
                  <v>0</v>
                </pt>
                <pt idx="331">
                  <v>0</v>
                </pt>
                <pt idx="332">
                  <v>0</v>
                </pt>
                <pt idx="333">
                  <v>0</v>
                </pt>
                <pt idx="334">
                  <v>0</v>
                </pt>
                <pt idx="335">
                  <v>0</v>
                </pt>
                <pt idx="336">
                  <v>0</v>
                </pt>
                <pt idx="337">
                  <v>0</v>
                </pt>
                <pt idx="338">
                  <v>0</v>
                </pt>
                <pt idx="339">
                  <v>0</v>
                </pt>
                <pt idx="340">
                  <v>0</v>
                </pt>
                <pt idx="341">
                  <v>0</v>
                </pt>
                <pt idx="342">
                  <v>0</v>
                </pt>
                <pt idx="343">
                  <v>0</v>
                </pt>
                <pt idx="344">
                  <v>0</v>
                </pt>
                <pt idx="345">
                  <v>0</v>
                </pt>
                <pt idx="346">
                  <v>0</v>
                </pt>
                <pt idx="347">
                  <v>0</v>
                </pt>
                <pt idx="348">
                  <v>0</v>
                </pt>
                <pt idx="349">
                  <v>0</v>
                </pt>
                <pt idx="350">
                  <v>0</v>
                </pt>
                <pt idx="351">
                  <v>0</v>
                </pt>
                <pt idx="352">
                  <v>0</v>
                </pt>
                <pt idx="353">
                  <v>0</v>
                </pt>
                <pt idx="354">
                  <v>0</v>
                </pt>
                <pt idx="355">
                  <v>0</v>
                </pt>
                <pt idx="356">
                  <v>0</v>
                </pt>
                <pt idx="357">
                  <v>0</v>
                </pt>
                <pt idx="358">
                  <v>0</v>
                </pt>
                <pt idx="359">
                  <v>0</v>
                </pt>
                <pt idx="360">
                  <v>0</v>
                </pt>
                <pt idx="361">
                  <v>0</v>
                </pt>
                <pt idx="362">
                  <v>0</v>
                </pt>
                <pt idx="363">
                  <v>0</v>
                </pt>
                <pt idx="364">
                  <v>0</v>
                </pt>
                <pt idx="365">
                  <v>0</v>
                </pt>
                <pt idx="366">
                  <v>0</v>
                </pt>
                <pt idx="367">
                  <v>0</v>
                </pt>
                <pt idx="368">
                  <v>0</v>
                </pt>
                <pt idx="369">
                  <v>0</v>
                </pt>
                <pt idx="370">
                  <v>0</v>
                </pt>
                <pt idx="371">
                  <v>0</v>
                </pt>
                <pt idx="372">
                  <v>0</v>
                </pt>
                <pt idx="373">
                  <v>0</v>
                </pt>
                <pt idx="374">
                  <v>0</v>
                </pt>
                <pt idx="375">
                  <v>0</v>
                </pt>
                <pt idx="376">
                  <v>0</v>
                </pt>
                <pt idx="377">
                  <v>0</v>
                </pt>
                <pt idx="378">
                  <v>0</v>
                </pt>
                <pt idx="379">
                  <v>0</v>
                </pt>
                <pt idx="380">
                  <v>0</v>
                </pt>
                <pt idx="381">
                  <v>0</v>
                </pt>
                <pt idx="382">
                  <v>0</v>
                </pt>
                <pt idx="383">
                  <v>0</v>
                </pt>
                <pt idx="384">
                  <v>0</v>
                </pt>
                <pt idx="385">
                  <v>0</v>
                </pt>
                <pt idx="386">
                  <v>0</v>
                </pt>
                <pt idx="387">
                  <v>0</v>
                </pt>
                <pt idx="388">
                  <v>0</v>
                </pt>
                <pt idx="389">
                  <v>0</v>
                </pt>
                <pt idx="390">
                  <v>0</v>
                </pt>
                <pt idx="391">
                  <v>0</v>
                </pt>
                <pt idx="392">
                  <v>0</v>
                </pt>
                <pt idx="393">
                  <v>0</v>
                </pt>
                <pt idx="394">
                  <v>0</v>
                </pt>
                <pt idx="395">
                  <v>0</v>
                </pt>
                <pt idx="396">
                  <v>0</v>
                </pt>
                <pt idx="397">
                  <v>0</v>
                </pt>
                <pt idx="398">
                  <v>0</v>
                </pt>
                <pt idx="399">
                  <v>0</v>
                </pt>
                <pt idx="400">
                  <v>0</v>
                </pt>
                <pt idx="401">
                  <v>0</v>
                </pt>
                <pt idx="402">
                  <v>0</v>
                </pt>
                <pt idx="403">
                  <v>0</v>
                </pt>
                <pt idx="404">
                  <v>0</v>
                </pt>
                <pt idx="405">
                  <v>0</v>
                </pt>
                <pt idx="406">
                  <v>0</v>
                </pt>
                <pt idx="407">
                  <v>0</v>
                </pt>
                <pt idx="408">
                  <v>0</v>
                </pt>
                <pt idx="409">
                  <v>0</v>
                </pt>
                <pt idx="410">
                  <v>0</v>
                </pt>
                <pt idx="411">
                  <v>0</v>
                </pt>
                <pt idx="412">
                  <v>0</v>
                </pt>
                <pt idx="413">
                  <v>0</v>
                </pt>
                <pt idx="414">
                  <v>0</v>
                </pt>
                <pt idx="415">
                  <v>0</v>
                </pt>
                <pt idx="416">
                  <v>0</v>
                </pt>
                <pt idx="417">
                  <v>0</v>
                </pt>
                <pt idx="418">
                  <v>0</v>
                </pt>
                <pt idx="419">
                  <v>0</v>
                </pt>
                <pt idx="420">
                  <v>0</v>
                </pt>
                <pt idx="421">
                  <v>0</v>
                </pt>
                <pt idx="422">
                  <v>0</v>
                </pt>
                <pt idx="423">
                  <v>0</v>
                </pt>
                <pt idx="424">
                  <v>0</v>
                </pt>
                <pt idx="425">
                  <v>0</v>
                </pt>
                <pt idx="426">
                  <v>0</v>
                </pt>
                <pt idx="427">
                  <v>0</v>
                </pt>
                <pt idx="428">
                  <v>0</v>
                </pt>
                <pt idx="429">
                  <v>0</v>
                </pt>
                <pt idx="430">
                  <v>0</v>
                </pt>
                <pt idx="431">
                  <v>0</v>
                </pt>
                <pt idx="432">
                  <v>0</v>
                </pt>
                <pt idx="433">
                  <v>0</v>
                </pt>
                <pt idx="434">
                  <v>0</v>
                </pt>
                <pt idx="435">
                  <v>0</v>
                </pt>
                <pt idx="436">
                  <v>0</v>
                </pt>
                <pt idx="437">
                  <v>0</v>
                </pt>
                <pt idx="438">
                  <v>0</v>
                </pt>
                <pt idx="439">
                  <v>0</v>
                </pt>
                <pt idx="440">
                  <v>0</v>
                </pt>
                <pt idx="441">
                  <v>0</v>
                </pt>
                <pt idx="442">
                  <v>0</v>
                </pt>
                <pt idx="443">
                  <v>0</v>
                </pt>
                <pt idx="444">
                  <v>0</v>
                </pt>
                <pt idx="445">
                  <v>0</v>
                </pt>
                <pt idx="446">
                  <v>0</v>
                </pt>
                <pt idx="447">
                  <v>0</v>
                </pt>
                <pt idx="448">
                  <v>0</v>
                </pt>
                <pt idx="449">
                  <v>0</v>
                </pt>
                <pt idx="450">
                  <v>0</v>
                </pt>
                <pt idx="451">
                  <v>0</v>
                </pt>
                <pt idx="452">
                  <v>0</v>
                </pt>
                <pt idx="453">
                  <v>0</v>
                </pt>
                <pt idx="454">
                  <v>0</v>
                </pt>
                <pt idx="455">
                  <v>0</v>
                </pt>
                <pt idx="456">
                  <v>0</v>
                </pt>
                <pt idx="457">
                  <v>0</v>
                </pt>
                <pt idx="458">
                  <v>0</v>
                </pt>
                <pt idx="459">
                  <v>0</v>
                </pt>
                <pt idx="460">
                  <v>0</v>
                </pt>
                <pt idx="461">
                  <v>0</v>
                </pt>
                <pt idx="462">
                  <v>0</v>
                </pt>
                <pt idx="463">
                  <v>0</v>
                </pt>
                <pt idx="464">
                  <v>0</v>
                </pt>
                <pt idx="465">
                  <v>0</v>
                </pt>
                <pt idx="466">
                  <v>0</v>
                </pt>
                <pt idx="467">
                  <v>0</v>
                </pt>
                <pt idx="468">
                  <v>0</v>
                </pt>
                <pt idx="469">
                  <v>0</v>
                </pt>
                <pt idx="470">
                  <v>0</v>
                </pt>
                <pt idx="471">
                  <v>0</v>
                </pt>
                <pt idx="472">
                  <v>0</v>
                </pt>
                <pt idx="473">
                  <v>0</v>
                </pt>
                <pt idx="474">
                  <v>0</v>
                </pt>
                <pt idx="475">
                  <v>0</v>
                </pt>
                <pt idx="476">
                  <v>0</v>
                </pt>
                <pt idx="477">
                  <v>0</v>
                </pt>
                <pt idx="478">
                  <v>0</v>
                </pt>
                <pt idx="479">
                  <v>0</v>
                </pt>
                <pt idx="480">
                  <v>0</v>
                </pt>
                <pt idx="481">
                  <v>0</v>
                </pt>
                <pt idx="482">
                  <v>0</v>
                </pt>
                <pt idx="483">
                  <v>0</v>
                </pt>
                <pt idx="484">
                  <v>0</v>
                </pt>
                <pt idx="485">
                  <v>0</v>
                </pt>
                <pt idx="486">
                  <v>0</v>
                </pt>
                <pt idx="487">
                  <v>0</v>
                </pt>
                <pt idx="488">
                  <v>0</v>
                </pt>
                <pt idx="489">
                  <v>0</v>
                </pt>
                <pt idx="490">
                  <v>0</v>
                </pt>
                <pt idx="491">
                  <v>0</v>
                </pt>
                <pt idx="492">
                  <v>0</v>
                </pt>
                <pt idx="493">
                  <v>0</v>
                </pt>
                <pt idx="494">
                  <v>0</v>
                </pt>
                <pt idx="495">
                  <v>0</v>
                </pt>
                <pt idx="496">
                  <v>0</v>
                </pt>
                <pt idx="497">
                  <v>0</v>
                </pt>
                <pt idx="498">
                  <v>0</v>
                </pt>
                <pt idx="499">
                  <v>0</v>
                </pt>
                <pt idx="500">
                  <v>0</v>
                </pt>
                <pt idx="501">
                  <v>0</v>
                </pt>
                <pt idx="502">
                  <v>0</v>
                </pt>
                <pt idx="503">
                  <v>0</v>
                </pt>
                <pt idx="504">
                  <v>0</v>
                </pt>
                <pt idx="505">
                  <v>0</v>
                </pt>
                <pt idx="506">
                  <v>0</v>
                </pt>
                <pt idx="507">
                  <v>0</v>
                </pt>
                <pt idx="508">
                  <v>0</v>
                </pt>
                <pt idx="509">
                  <v>0</v>
                </pt>
                <pt idx="510">
                  <v>0</v>
                </pt>
                <pt idx="511">
                  <v>0</v>
                </pt>
                <pt idx="512">
                  <v>0</v>
                </pt>
                <pt idx="513">
                  <v>0</v>
                </pt>
                <pt idx="514">
                  <v>0</v>
                </pt>
                <pt idx="515">
                  <v>0</v>
                </pt>
                <pt idx="516">
                  <v>0</v>
                </pt>
                <pt idx="517">
                  <v>0</v>
                </pt>
                <pt idx="518">
                  <v>0</v>
                </pt>
                <pt idx="519">
                  <v>0</v>
                </pt>
                <pt idx="520">
                  <v>0</v>
                </pt>
                <pt idx="521">
                  <v>0</v>
                </pt>
                <pt idx="522">
                  <v>0</v>
                </pt>
                <pt idx="523">
                  <v>0</v>
                </pt>
                <pt idx="524">
                  <v>0</v>
                </pt>
                <pt idx="525">
                  <v>0</v>
                </pt>
                <pt idx="526">
                  <v>0</v>
                </pt>
                <pt idx="527">
                  <v>0</v>
                </pt>
                <pt idx="528">
                  <v>0</v>
                </pt>
                <pt idx="529">
                  <v>0</v>
                </pt>
                <pt idx="530">
                  <v>0</v>
                </pt>
                <pt idx="531">
                  <v>0</v>
                </pt>
                <pt idx="532">
                  <v>0</v>
                </pt>
                <pt idx="533">
                  <v>0</v>
                </pt>
                <pt idx="534">
                  <v>0</v>
                </pt>
                <pt idx="535">
                  <v>0</v>
                </pt>
                <pt idx="536">
                  <v>0</v>
                </pt>
                <pt idx="537">
                  <v>0</v>
                </pt>
                <pt idx="538">
                  <v>0</v>
                </pt>
                <pt idx="539">
                  <v>0</v>
                </pt>
                <pt idx="540">
                  <v>0</v>
                </pt>
                <pt idx="541">
                  <v>0</v>
                </pt>
                <pt idx="542">
                  <v>0</v>
                </pt>
                <pt idx="543">
                  <v>0</v>
                </pt>
                <pt idx="544">
                  <v>0</v>
                </pt>
                <pt idx="545">
                  <v>0</v>
                </pt>
                <pt idx="546">
                  <v>0</v>
                </pt>
                <pt idx="547">
                  <v>0</v>
                </pt>
                <pt idx="548">
                  <v>0</v>
                </pt>
                <pt idx="549">
                  <v>0</v>
                </pt>
                <pt idx="550">
                  <v>0</v>
                </pt>
                <pt idx="551">
                  <v>0</v>
                </pt>
                <pt idx="552">
                  <v>0</v>
                </pt>
                <pt idx="553">
                  <v>0</v>
                </pt>
                <pt idx="554">
                  <v>0</v>
                </pt>
                <pt idx="555">
                  <v>0</v>
                </pt>
                <pt idx="556">
                  <v>0</v>
                </pt>
                <pt idx="557">
                  <v>0</v>
                </pt>
                <pt idx="558">
                  <v>0</v>
                </pt>
                <pt idx="559">
                  <v>0</v>
                </pt>
                <pt idx="560">
                  <v>0</v>
                </pt>
                <pt idx="561">
                  <v>0</v>
                </pt>
                <pt idx="562">
                  <v>0</v>
                </pt>
                <pt idx="563">
                  <v>0</v>
                </pt>
                <pt idx="564">
                  <v>0</v>
                </pt>
                <pt idx="565">
                  <v>0</v>
                </pt>
                <pt idx="566">
                  <v>0</v>
                </pt>
                <pt idx="567">
                  <v>0</v>
                </pt>
                <pt idx="568">
                  <v>0</v>
                </pt>
                <pt idx="569">
                  <v>0</v>
                </pt>
                <pt idx="570">
                  <v>0</v>
                </pt>
                <pt idx="571">
                  <v>0</v>
                </pt>
                <pt idx="572">
                  <v>0</v>
                </pt>
                <pt idx="573">
                  <v>0</v>
                </pt>
                <pt idx="574">
                  <v>0</v>
                </pt>
                <pt idx="575">
                  <v>0</v>
                </pt>
                <pt idx="576">
                  <v>0</v>
                </pt>
                <pt idx="577">
                  <v>0</v>
                </pt>
                <pt idx="578">
                  <v>0</v>
                </pt>
                <pt idx="579">
                  <v>0</v>
                </pt>
                <pt idx="580">
                  <v>0</v>
                </pt>
                <pt idx="581">
                  <v>0</v>
                </pt>
                <pt idx="582">
                  <v>0</v>
                </pt>
                <pt idx="583">
                  <v>0</v>
                </pt>
                <pt idx="584">
                  <v>0</v>
                </pt>
                <pt idx="585">
                  <v>0</v>
                </pt>
                <pt idx="586">
                  <v>0</v>
                </pt>
                <pt idx="587">
                  <v>0</v>
                </pt>
                <pt idx="588">
                  <v>0</v>
                </pt>
                <pt idx="589">
                  <v>0</v>
                </pt>
                <pt idx="590">
                  <v>0</v>
                </pt>
                <pt idx="591">
                  <v>0</v>
                </pt>
                <pt idx="592">
                  <v>0</v>
                </pt>
                <pt idx="593">
                  <v>0</v>
                </pt>
                <pt idx="594">
                  <v>0</v>
                </pt>
                <pt idx="595">
                  <v>0</v>
                </pt>
                <pt idx="596">
                  <v>0</v>
                </pt>
                <pt idx="597">
                  <v>0</v>
                </pt>
                <pt idx="598">
                  <v>0</v>
                </pt>
                <pt idx="599">
                  <v>0</v>
                </pt>
                <pt idx="600">
                  <v>0</v>
                </pt>
                <pt idx="601">
                  <v>0</v>
                </pt>
                <pt idx="602">
                  <v>0</v>
                </pt>
                <pt idx="603">
                  <v>0</v>
                </pt>
                <pt idx="604">
                  <v>0</v>
                </pt>
                <pt idx="605">
                  <v>0</v>
                </pt>
                <pt idx="606">
                  <v>0</v>
                </pt>
                <pt idx="607">
                  <v>0</v>
                </pt>
                <pt idx="608">
                  <v>0</v>
                </pt>
                <pt idx="609">
                  <v>0</v>
                </pt>
                <pt idx="610">
                  <v>0</v>
                </pt>
                <pt idx="611">
                  <v>0</v>
                </pt>
                <pt idx="612">
                  <v>0</v>
                </pt>
                <pt idx="613">
                  <v>0</v>
                </pt>
                <pt idx="614">
                  <v>0</v>
                </pt>
                <pt idx="615">
                  <v>0</v>
                </pt>
                <pt idx="616">
                  <v>0</v>
                </pt>
                <pt idx="617">
                  <v>0</v>
                </pt>
                <pt idx="618">
                  <v>0</v>
                </pt>
                <pt idx="619">
                  <v>0</v>
                </pt>
                <pt idx="620">
                  <v>0</v>
                </pt>
                <pt idx="621">
                  <v>0</v>
                </pt>
                <pt idx="622">
                  <v>0</v>
                </pt>
                <pt idx="623">
                  <v>0</v>
                </pt>
                <pt idx="624">
                  <v>0</v>
                </pt>
                <pt idx="625">
                  <v>0</v>
                </pt>
                <pt idx="626">
                  <v>0</v>
                </pt>
                <pt idx="627">
                  <v>0</v>
                </pt>
                <pt idx="628">
                  <v>0</v>
                </pt>
                <pt idx="629">
                  <v>0</v>
                </pt>
                <pt idx="630">
                  <v>0</v>
                </pt>
                <pt idx="631">
                  <v>0</v>
                </pt>
                <pt idx="632">
                  <v>0</v>
                </pt>
                <pt idx="633">
                  <v>0</v>
                </pt>
                <pt idx="634">
                  <v>0</v>
                </pt>
                <pt idx="635">
                  <v>0</v>
                </pt>
                <pt idx="636">
                  <v>0</v>
                </pt>
                <pt idx="637">
                  <v>0</v>
                </pt>
                <pt idx="638">
                  <v>0</v>
                </pt>
                <pt idx="639">
                  <v>0</v>
                </pt>
                <pt idx="640">
                  <v>0</v>
                </pt>
                <pt idx="641">
                  <v>0</v>
                </pt>
                <pt idx="642">
                  <v>0</v>
                </pt>
                <pt idx="643">
                  <v>0</v>
                </pt>
                <pt idx="644">
                  <v>0</v>
                </pt>
                <pt idx="645">
                  <v>0</v>
                </pt>
                <pt idx="646">
                  <v>0</v>
                </pt>
                <pt idx="647">
                  <v>0</v>
                </pt>
                <pt idx="648">
                  <v>0</v>
                </pt>
                <pt idx="649">
                  <v>0</v>
                </pt>
                <pt idx="650">
                  <v>0</v>
                </pt>
                <pt idx="651">
                  <v>0</v>
                </pt>
                <pt idx="652">
                  <v>0</v>
                </pt>
                <pt idx="653">
                  <v>0</v>
                </pt>
                <pt idx="654">
                  <v>0</v>
                </pt>
                <pt idx="655">
                  <v>0</v>
                </pt>
                <pt idx="656">
                  <v>0</v>
                </pt>
                <pt idx="657">
                  <v>0</v>
                </pt>
                <pt idx="658">
                  <v>0</v>
                </pt>
                <pt idx="659">
                  <v>0</v>
                </pt>
                <pt idx="660">
                  <v>0</v>
                </pt>
                <pt idx="661">
                  <v>0</v>
                </pt>
                <pt idx="662">
                  <v>0</v>
                </pt>
                <pt idx="663">
                  <v>0</v>
                </pt>
                <pt idx="664">
                  <v>0</v>
                </pt>
                <pt idx="665">
                  <v>0</v>
                </pt>
                <pt idx="666">
                  <v>0</v>
                </pt>
                <pt idx="667">
                  <v>0</v>
                </pt>
                <pt idx="668">
                  <v>0</v>
                </pt>
                <pt idx="669">
                  <v>0</v>
                </pt>
                <pt idx="670">
                  <v>0</v>
                </pt>
                <pt idx="671">
                  <v>0</v>
                </pt>
                <pt idx="672">
                  <v>0</v>
                </pt>
                <pt idx="673">
                  <v>0</v>
                </pt>
                <pt idx="674">
                  <v>0</v>
                </pt>
                <pt idx="675">
                  <v>0</v>
                </pt>
                <pt idx="676">
                  <v>0</v>
                </pt>
                <pt idx="677">
                  <v>0</v>
                </pt>
                <pt idx="678">
                  <v>0</v>
                </pt>
                <pt idx="679">
                  <v>0</v>
                </pt>
                <pt idx="680">
                  <v>0</v>
                </pt>
                <pt idx="681">
                  <v>0</v>
                </pt>
                <pt idx="682">
                  <v>0</v>
                </pt>
                <pt idx="683">
                  <v>0</v>
                </pt>
                <pt idx="684">
                  <v>0</v>
                </pt>
                <pt idx="685">
                  <v>0</v>
                </pt>
                <pt idx="686">
                  <v>0</v>
                </pt>
                <pt idx="687">
                  <v>0</v>
                </pt>
                <pt idx="688">
                  <v>0</v>
                </pt>
                <pt idx="689">
                  <v>0</v>
                </pt>
                <pt idx="690">
                  <v>0</v>
                </pt>
                <pt idx="691">
                  <v>0</v>
                </pt>
                <pt idx="692">
                  <v>0</v>
                </pt>
                <pt idx="693">
                  <v>0</v>
                </pt>
                <pt idx="694">
                  <v>0</v>
                </pt>
                <pt idx="695">
                  <v>0</v>
                </pt>
                <pt idx="696">
                  <v>0</v>
                </pt>
                <pt idx="697">
                  <v>0</v>
                </pt>
                <pt idx="698">
                  <v>0</v>
                </pt>
                <pt idx="699">
                  <v>0</v>
                </pt>
                <pt idx="700">
                  <v>0</v>
                </pt>
                <pt idx="701">
                  <v>0</v>
                </pt>
                <pt idx="702">
                  <v>0</v>
                </pt>
                <pt idx="703">
                  <v>0</v>
                </pt>
                <pt idx="704">
                  <v>0</v>
                </pt>
                <pt idx="705">
                  <v>0</v>
                </pt>
                <pt idx="706">
                  <v>0</v>
                </pt>
                <pt idx="707">
                  <v>0</v>
                </pt>
                <pt idx="708">
                  <v>0</v>
                </pt>
                <pt idx="709">
                  <v>0</v>
                </pt>
                <pt idx="710">
                  <v>0</v>
                </pt>
                <pt idx="711">
                  <v>0</v>
                </pt>
                <pt idx="712">
                  <v>0</v>
                </pt>
                <pt idx="713">
                  <v>0</v>
                </pt>
                <pt idx="714">
                  <v>0</v>
                </pt>
                <pt idx="715">
                  <v>0</v>
                </pt>
                <pt idx="716">
                  <v>0</v>
                </pt>
                <pt idx="717">
                  <v>0</v>
                </pt>
                <pt idx="718">
                  <v>0</v>
                </pt>
                <pt idx="719">
                  <v>0</v>
                </pt>
                <pt idx="720">
                  <v>0</v>
                </pt>
                <pt idx="721">
                  <v>0</v>
                </pt>
                <pt idx="722">
                  <v>0</v>
                </pt>
                <pt idx="723">
                  <v>0</v>
                </pt>
                <pt idx="724">
                  <v>0</v>
                </pt>
                <pt idx="725">
                  <v>0</v>
                </pt>
                <pt idx="726">
                  <v>0</v>
                </pt>
                <pt idx="727">
                  <v>0</v>
                </pt>
                <pt idx="728">
                  <v>0</v>
                </pt>
                <pt idx="729">
                  <v>0</v>
                </pt>
                <pt idx="730">
                  <v>0</v>
                </pt>
                <pt idx="731">
                  <v>0</v>
                </pt>
                <pt idx="732">
                  <v>0</v>
                </pt>
                <pt idx="733">
                  <v>0</v>
                </pt>
                <pt idx="734">
                  <v>0</v>
                </pt>
                <pt idx="735">
                  <v>0</v>
                </pt>
                <pt idx="736">
                  <v>0</v>
                </pt>
                <pt idx="737">
                  <v>0</v>
                </pt>
                <pt idx="738">
                  <v>0</v>
                </pt>
                <pt idx="739">
                  <v>0</v>
                </pt>
                <pt idx="740">
                  <v>0</v>
                </pt>
                <pt idx="741">
                  <v>0</v>
                </pt>
                <pt idx="742">
                  <v>0</v>
                </pt>
                <pt idx="743">
                  <v>0</v>
                </pt>
                <pt idx="744">
                  <v>0</v>
                </pt>
                <pt idx="745">
                  <v>0</v>
                </pt>
                <pt idx="746">
                  <v>0</v>
                </pt>
                <pt idx="747">
                  <v>0</v>
                </pt>
                <pt idx="748">
                  <v>0</v>
                </pt>
                <pt idx="749">
                  <v>0</v>
                </pt>
                <pt idx="750">
                  <v>0</v>
                </pt>
                <pt idx="751">
                  <v>0</v>
                </pt>
                <pt idx="752">
                  <v>0</v>
                </pt>
                <pt idx="753">
                  <v>0</v>
                </pt>
                <pt idx="754">
                  <v>0</v>
                </pt>
                <pt idx="755">
                  <v>0</v>
                </pt>
                <pt idx="756">
                  <v>0</v>
                </pt>
                <pt idx="757">
                  <v>0</v>
                </pt>
                <pt idx="758">
                  <v>0</v>
                </pt>
                <pt idx="759">
                  <v>0</v>
                </pt>
                <pt idx="760">
                  <v>0</v>
                </pt>
                <pt idx="761">
                  <v>0</v>
                </pt>
                <pt idx="762">
                  <v>0</v>
                </pt>
                <pt idx="763">
                  <v>0</v>
                </pt>
                <pt idx="764">
                  <v>0</v>
                </pt>
                <pt idx="765">
                  <v>0</v>
                </pt>
                <pt idx="766">
                  <v>0</v>
                </pt>
                <pt idx="767">
                  <v>0</v>
                </pt>
                <pt idx="768">
                  <v>0</v>
                </pt>
                <pt idx="769">
                  <v>0</v>
                </pt>
                <pt idx="770">
                  <v>0</v>
                </pt>
                <pt idx="771">
                  <v>0</v>
                </pt>
                <pt idx="772">
                  <v>0</v>
                </pt>
                <pt idx="773">
                  <v>0</v>
                </pt>
                <pt idx="774">
                  <v>0</v>
                </pt>
                <pt idx="775">
                  <v>0</v>
                </pt>
                <pt idx="776">
                  <v>0</v>
                </pt>
                <pt idx="777">
                  <v>0</v>
                </pt>
                <pt idx="778">
                  <v>0</v>
                </pt>
                <pt idx="779">
                  <v>0</v>
                </pt>
                <pt idx="780">
                  <v>0</v>
                </pt>
                <pt idx="781">
                  <v>0</v>
                </pt>
                <pt idx="782">
                  <v>0</v>
                </pt>
                <pt idx="783">
                  <v>0</v>
                </pt>
                <pt idx="784">
                  <v>0</v>
                </pt>
                <pt idx="785">
                  <v>0</v>
                </pt>
                <pt idx="786">
                  <v>0</v>
                </pt>
                <pt idx="787">
                  <v>0</v>
                </pt>
                <pt idx="788">
                  <v>0</v>
                </pt>
                <pt idx="789">
                  <v>0</v>
                </pt>
                <pt idx="790">
                  <v>0</v>
                </pt>
                <pt idx="791">
                  <v>0</v>
                </pt>
                <pt idx="792">
                  <v>0</v>
                </pt>
                <pt idx="793">
                  <v>0</v>
                </pt>
                <pt idx="794">
                  <v>0</v>
                </pt>
                <pt idx="795">
                  <v>0</v>
                </pt>
                <pt idx="796">
                  <v>0</v>
                </pt>
                <pt idx="797">
                  <v>0</v>
                </pt>
                <pt idx="798">
                  <v>0</v>
                </pt>
                <pt idx="799">
                  <v>0</v>
                </pt>
                <pt idx="800">
                  <v>0</v>
                </pt>
                <pt idx="801">
                  <v>0</v>
                </pt>
                <pt idx="802">
                  <v>0</v>
                </pt>
                <pt idx="803">
                  <v>0</v>
                </pt>
                <pt idx="804">
                  <v>0</v>
                </pt>
                <pt idx="805">
                  <v>0</v>
                </pt>
                <pt idx="806">
                  <v>0</v>
                </pt>
                <pt idx="807">
                  <v>0</v>
                </pt>
                <pt idx="808">
                  <v>0</v>
                </pt>
                <pt idx="809">
                  <v>0</v>
                </pt>
                <pt idx="810">
                  <v>0</v>
                </pt>
                <pt idx="811">
                  <v>0</v>
                </pt>
                <pt idx="812">
                  <v>0</v>
                </pt>
                <pt idx="813">
                  <v>0</v>
                </pt>
                <pt idx="814">
                  <v>0</v>
                </pt>
                <pt idx="815">
                  <v>0</v>
                </pt>
                <pt idx="816">
                  <v>0</v>
                </pt>
                <pt idx="817">
                  <v>0</v>
                </pt>
                <pt idx="818">
                  <v>0</v>
                </pt>
                <pt idx="819">
                  <v>0</v>
                </pt>
                <pt idx="820">
                  <v>0</v>
                </pt>
                <pt idx="821">
                  <v>0</v>
                </pt>
                <pt idx="822">
                  <v>0</v>
                </pt>
                <pt idx="823">
                  <v>0</v>
                </pt>
                <pt idx="824">
                  <v>0</v>
                </pt>
                <pt idx="825">
                  <v>0</v>
                </pt>
                <pt idx="826">
                  <v>0</v>
                </pt>
                <pt idx="827">
                  <v>0</v>
                </pt>
                <pt idx="828">
                  <v>0</v>
                </pt>
                <pt idx="829">
                  <v>0</v>
                </pt>
                <pt idx="830">
                  <v>0</v>
                </pt>
                <pt idx="831">
                  <v>0</v>
                </pt>
                <pt idx="832">
                  <v>0</v>
                </pt>
                <pt idx="833">
                  <v>0</v>
                </pt>
                <pt idx="834">
                  <v>0</v>
                </pt>
                <pt idx="835">
                  <v>0</v>
                </pt>
                <pt idx="836">
                  <v>0</v>
                </pt>
                <pt idx="837">
                  <v>0</v>
                </pt>
                <pt idx="838">
                  <v>0</v>
                </pt>
                <pt idx="839">
                  <v>0</v>
                </pt>
                <pt idx="840">
                  <v>0</v>
                </pt>
                <pt idx="841">
                  <v>0</v>
                </pt>
                <pt idx="842">
                  <v>0</v>
                </pt>
                <pt idx="843">
                  <v>0</v>
                </pt>
                <pt idx="844">
                  <v>0</v>
                </pt>
                <pt idx="845">
                  <v>0</v>
                </pt>
                <pt idx="846">
                  <v>0</v>
                </pt>
                <pt idx="847">
                  <v>0</v>
                </pt>
                <pt idx="848">
                  <v>0</v>
                </pt>
                <pt idx="849">
                  <v>0</v>
                </pt>
                <pt idx="850">
                  <v>0</v>
                </pt>
                <pt idx="851">
                  <v>0</v>
                </pt>
                <pt idx="852">
                  <v>0</v>
                </pt>
                <pt idx="853">
                  <v>0</v>
                </pt>
                <pt idx="854">
                  <v>0</v>
                </pt>
                <pt idx="855">
                  <v>0</v>
                </pt>
                <pt idx="856">
                  <v>0</v>
                </pt>
                <pt idx="857">
                  <v>0</v>
                </pt>
                <pt idx="858">
                  <v>0</v>
                </pt>
                <pt idx="859">
                  <v>0</v>
                </pt>
                <pt idx="860">
                  <v>0</v>
                </pt>
                <pt idx="861">
                  <v>0</v>
                </pt>
                <pt idx="862">
                  <v>0</v>
                </pt>
                <pt idx="863">
                  <v>0</v>
                </pt>
                <pt idx="864">
                  <v>0</v>
                </pt>
                <pt idx="865">
                  <v>0</v>
                </pt>
                <pt idx="866">
                  <v>0</v>
                </pt>
                <pt idx="867">
                  <v>0</v>
                </pt>
                <pt idx="868">
                  <v>0</v>
                </pt>
                <pt idx="869">
                  <v>0</v>
                </pt>
                <pt idx="870">
                  <v>0</v>
                </pt>
                <pt idx="871">
                  <v>0</v>
                </pt>
                <pt idx="872">
                  <v>0</v>
                </pt>
                <pt idx="873">
                  <v>0</v>
                </pt>
                <pt idx="874">
                  <v>0</v>
                </pt>
                <pt idx="875">
                  <v>0</v>
                </pt>
                <pt idx="876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181327872"/>
        <axId val="617184304"/>
      </lineChart>
      <dateAx>
        <axId val="1181327872"/>
        <scaling>
          <orientation val="minMax"/>
        </scaling>
        <delete val="0"/>
        <axPos val="b"/>
        <numFmt formatCode="m/d/yy" sourceLinked="1"/>
        <majorTickMark val="out"/>
        <minorTickMark val="none"/>
        <tickLblPos val="nextTo"/>
        <spPr>
          <a:noFill/>
          <a:ln algn="ctr" cap="flat" cmpd="sng" w="9525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anchor="ctr" anchorCtr="1" rot="-60000000" spcFirstLastPara="1" vert="horz" vertOverflow="ellipsis" wrap="square"/>
          <a:lstStyle/>
          <a:p>
            <a:pPr>
              <a:defRPr b="0" baseline="0" i="0" kern="1200" strike="noStrike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CN"/>
          </a:p>
        </txPr>
        <crossAx val="617184304"/>
        <crosses val="autoZero"/>
        <lblOffset val="100"/>
        <baseTimeUnit val="days"/>
      </dateAx>
      <valAx>
        <axId val="617184304"/>
        <scaling>
          <orientation val="minMax"/>
          <min val="80"/>
        </scaling>
        <delete val="0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anchor="ctr" anchorCtr="1" rot="-60000000" spcFirstLastPara="1" vert="horz" vertOverflow="ellipsis" wrap="square"/>
          <a:lstStyle/>
          <a:p>
            <a:pPr>
              <a:defRPr b="0" baseline="0" i="0" kern="1200" strike="noStrike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CN"/>
          </a:p>
        </txPr>
        <crossAx val="1181327872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anchor="ctr" anchorCtr="1" rot="0" spcFirstLastPara="1" vert="horz" vertOverflow="ellipsis" wrap="square"/>
        <a:lstStyle/>
        <a:p>
          <a:pPr>
            <a:defRPr b="0" baseline="0" i="0" kern="1200" strike="noStrike"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CN"/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lang="en-US"/>
              <a:t>平均溢价率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可转债双低!$I$1:$I$2</f>
              <strCache>
                <ptCount val="2"/>
                <pt idx="0">
                  <v>平均</v>
                </pt>
                <pt idx="1">
                  <v>溢价率</v>
                </pt>
              </strCache>
            </strRef>
          </tx>
          <spPr>
            <a:ln cap="rnd" w="28575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可转债双低!$A$3:$A$756</f>
              <numCache>
                <formatCode>m/d/yy</formatCode>
                <ptCount val="754"/>
                <pt idx="0">
                  <v>43098</v>
                </pt>
                <pt idx="1">
                  <v>43102</v>
                </pt>
                <pt idx="2">
                  <v>43103</v>
                </pt>
                <pt idx="3">
                  <v>43104</v>
                </pt>
                <pt idx="4">
                  <v>43105</v>
                </pt>
                <pt idx="5">
                  <v>43108</v>
                </pt>
                <pt idx="6">
                  <v>43109</v>
                </pt>
                <pt idx="7">
                  <v>43110</v>
                </pt>
                <pt idx="8">
                  <v>43111</v>
                </pt>
                <pt idx="9">
                  <v>43112</v>
                </pt>
                <pt idx="10">
                  <v>43115</v>
                </pt>
                <pt idx="11">
                  <v>43116</v>
                </pt>
                <pt idx="12">
                  <v>43117</v>
                </pt>
                <pt idx="13">
                  <v>43118</v>
                </pt>
                <pt idx="14">
                  <v>43119</v>
                </pt>
                <pt idx="15">
                  <v>43122</v>
                </pt>
                <pt idx="16">
                  <v>43123</v>
                </pt>
                <pt idx="17">
                  <v>43124</v>
                </pt>
                <pt idx="18">
                  <v>43125</v>
                </pt>
                <pt idx="19">
                  <v>43126</v>
                </pt>
                <pt idx="20">
                  <v>43129</v>
                </pt>
                <pt idx="21">
                  <v>43130</v>
                </pt>
                <pt idx="22">
                  <v>43131</v>
                </pt>
                <pt idx="23">
                  <v>43132</v>
                </pt>
                <pt idx="24">
                  <v>43133</v>
                </pt>
                <pt idx="25">
                  <v>43136</v>
                </pt>
                <pt idx="26">
                  <v>43137</v>
                </pt>
                <pt idx="27">
                  <v>43138</v>
                </pt>
                <pt idx="28">
                  <v>43139</v>
                </pt>
                <pt idx="29">
                  <v>43140</v>
                </pt>
                <pt idx="30">
                  <v>43143</v>
                </pt>
                <pt idx="31">
                  <v>43144</v>
                </pt>
                <pt idx="32">
                  <v>43145</v>
                </pt>
                <pt idx="33">
                  <v>43153</v>
                </pt>
                <pt idx="34">
                  <v>43154</v>
                </pt>
                <pt idx="35">
                  <v>43157</v>
                </pt>
                <pt idx="36">
                  <v>43158</v>
                </pt>
                <pt idx="37">
                  <v>43159</v>
                </pt>
                <pt idx="38">
                  <v>43160</v>
                </pt>
                <pt idx="39">
                  <v>43161</v>
                </pt>
                <pt idx="40">
                  <v>43164</v>
                </pt>
                <pt idx="41">
                  <v>43165</v>
                </pt>
                <pt idx="42">
                  <v>43166</v>
                </pt>
                <pt idx="43">
                  <v>43167</v>
                </pt>
                <pt idx="44">
                  <v>43168</v>
                </pt>
                <pt idx="45">
                  <v>43171</v>
                </pt>
                <pt idx="46">
                  <v>43172</v>
                </pt>
                <pt idx="47">
                  <v>43173</v>
                </pt>
                <pt idx="48">
                  <v>43174</v>
                </pt>
                <pt idx="49">
                  <v>43175</v>
                </pt>
                <pt idx="50">
                  <v>43178</v>
                </pt>
                <pt idx="51">
                  <v>43179</v>
                </pt>
                <pt idx="52">
                  <v>43180</v>
                </pt>
                <pt idx="53">
                  <v>43181</v>
                </pt>
                <pt idx="54">
                  <v>43182</v>
                </pt>
                <pt idx="55">
                  <v>43185</v>
                </pt>
                <pt idx="56">
                  <v>43186</v>
                </pt>
                <pt idx="57">
                  <v>43187</v>
                </pt>
                <pt idx="58">
                  <v>43188</v>
                </pt>
                <pt idx="59">
                  <v>43189</v>
                </pt>
                <pt idx="60">
                  <v>43192</v>
                </pt>
                <pt idx="61">
                  <v>43193</v>
                </pt>
                <pt idx="62">
                  <v>43194</v>
                </pt>
                <pt idx="63">
                  <v>43199</v>
                </pt>
                <pt idx="64">
                  <v>43200</v>
                </pt>
                <pt idx="65">
                  <v>43201</v>
                </pt>
                <pt idx="66">
                  <v>43202</v>
                </pt>
                <pt idx="67">
                  <v>43203</v>
                </pt>
                <pt idx="68">
                  <v>43206</v>
                </pt>
                <pt idx="69">
                  <v>43207</v>
                </pt>
                <pt idx="70">
                  <v>43208</v>
                </pt>
                <pt idx="71">
                  <v>43209</v>
                </pt>
                <pt idx="72">
                  <v>43210</v>
                </pt>
                <pt idx="73">
                  <v>43213</v>
                </pt>
                <pt idx="74">
                  <v>43214</v>
                </pt>
                <pt idx="75">
                  <v>43215</v>
                </pt>
                <pt idx="76">
                  <v>43216</v>
                </pt>
                <pt idx="77">
                  <v>43217</v>
                </pt>
                <pt idx="78">
                  <v>43222</v>
                </pt>
                <pt idx="79">
                  <v>43223</v>
                </pt>
                <pt idx="80">
                  <v>43224</v>
                </pt>
                <pt idx="81">
                  <v>43227</v>
                </pt>
                <pt idx="82">
                  <v>43228</v>
                </pt>
                <pt idx="83">
                  <v>43229</v>
                </pt>
                <pt idx="84">
                  <v>43230</v>
                </pt>
                <pt idx="85">
                  <v>43231</v>
                </pt>
                <pt idx="86">
                  <v>43234</v>
                </pt>
                <pt idx="87">
                  <v>43235</v>
                </pt>
                <pt idx="88">
                  <v>43236</v>
                </pt>
                <pt idx="89">
                  <v>43237</v>
                </pt>
                <pt idx="90">
                  <v>43238</v>
                </pt>
                <pt idx="91">
                  <v>43241</v>
                </pt>
                <pt idx="92">
                  <v>43242</v>
                </pt>
                <pt idx="93">
                  <v>43243</v>
                </pt>
                <pt idx="94">
                  <v>43244</v>
                </pt>
                <pt idx="95">
                  <v>43245</v>
                </pt>
                <pt idx="96">
                  <v>43248</v>
                </pt>
                <pt idx="97">
                  <v>43249</v>
                </pt>
                <pt idx="98">
                  <v>43250</v>
                </pt>
                <pt idx="99">
                  <v>43251</v>
                </pt>
                <pt idx="100">
                  <v>43252</v>
                </pt>
                <pt idx="101">
                  <v>43255</v>
                </pt>
                <pt idx="102">
                  <v>43256</v>
                </pt>
                <pt idx="103">
                  <v>43257</v>
                </pt>
                <pt idx="104">
                  <v>43258</v>
                </pt>
                <pt idx="105">
                  <v>43259</v>
                </pt>
                <pt idx="106">
                  <v>43262</v>
                </pt>
                <pt idx="107">
                  <v>43263</v>
                </pt>
                <pt idx="108">
                  <v>43264</v>
                </pt>
                <pt idx="109">
                  <v>43265</v>
                </pt>
                <pt idx="110">
                  <v>43266</v>
                </pt>
                <pt idx="111">
                  <v>43270</v>
                </pt>
                <pt idx="112">
                  <v>43271</v>
                </pt>
                <pt idx="113">
                  <v>43272</v>
                </pt>
                <pt idx="114">
                  <v>43273</v>
                </pt>
                <pt idx="115">
                  <v>43276</v>
                </pt>
                <pt idx="116">
                  <v>43277</v>
                </pt>
                <pt idx="117">
                  <v>43278</v>
                </pt>
                <pt idx="118">
                  <v>43279</v>
                </pt>
                <pt idx="119">
                  <v>43280</v>
                </pt>
                <pt idx="120">
                  <v>43283</v>
                </pt>
                <pt idx="121">
                  <v>43284</v>
                </pt>
                <pt idx="122">
                  <v>43285</v>
                </pt>
                <pt idx="123">
                  <v>43286</v>
                </pt>
                <pt idx="124">
                  <v>43287</v>
                </pt>
                <pt idx="125">
                  <v>43290</v>
                </pt>
                <pt idx="126">
                  <v>43291</v>
                </pt>
                <pt idx="127">
                  <v>43292</v>
                </pt>
                <pt idx="128">
                  <v>43293</v>
                </pt>
                <pt idx="129">
                  <v>43294</v>
                </pt>
                <pt idx="130">
                  <v>43297</v>
                </pt>
                <pt idx="131">
                  <v>43298</v>
                </pt>
                <pt idx="132">
                  <v>43299</v>
                </pt>
                <pt idx="133">
                  <v>43300</v>
                </pt>
                <pt idx="134">
                  <v>43301</v>
                </pt>
                <pt idx="135">
                  <v>43304</v>
                </pt>
                <pt idx="136">
                  <v>43305</v>
                </pt>
                <pt idx="137">
                  <v>43306</v>
                </pt>
                <pt idx="138">
                  <v>43307</v>
                </pt>
                <pt idx="139">
                  <v>43308</v>
                </pt>
                <pt idx="140">
                  <v>43311</v>
                </pt>
                <pt idx="141">
                  <v>43312</v>
                </pt>
                <pt idx="142">
                  <v>43313</v>
                </pt>
                <pt idx="143">
                  <v>43314</v>
                </pt>
                <pt idx="144">
                  <v>43315</v>
                </pt>
                <pt idx="145">
                  <v>43318</v>
                </pt>
                <pt idx="146">
                  <v>43319</v>
                </pt>
                <pt idx="147">
                  <v>43320</v>
                </pt>
                <pt idx="148">
                  <v>43321</v>
                </pt>
                <pt idx="149">
                  <v>43322</v>
                </pt>
                <pt idx="150">
                  <v>43325</v>
                </pt>
                <pt idx="151">
                  <v>43326</v>
                </pt>
                <pt idx="152">
                  <v>43327</v>
                </pt>
                <pt idx="153">
                  <v>43328</v>
                </pt>
                <pt idx="154">
                  <v>43329</v>
                </pt>
                <pt idx="155">
                  <v>43332</v>
                </pt>
                <pt idx="156">
                  <v>43333</v>
                </pt>
                <pt idx="157">
                  <v>43334</v>
                </pt>
                <pt idx="158">
                  <v>43335</v>
                </pt>
                <pt idx="159">
                  <v>43336</v>
                </pt>
                <pt idx="160">
                  <v>43339</v>
                </pt>
                <pt idx="161">
                  <v>43340</v>
                </pt>
                <pt idx="162">
                  <v>43341</v>
                </pt>
                <pt idx="163">
                  <v>43342</v>
                </pt>
                <pt idx="164">
                  <v>43343</v>
                </pt>
                <pt idx="165">
                  <v>43346</v>
                </pt>
                <pt idx="166">
                  <v>43347</v>
                </pt>
                <pt idx="167">
                  <v>43348</v>
                </pt>
                <pt idx="168">
                  <v>43349</v>
                </pt>
                <pt idx="169">
                  <v>43350</v>
                </pt>
                <pt idx="170">
                  <v>43353</v>
                </pt>
                <pt idx="171">
                  <v>43354</v>
                </pt>
                <pt idx="172">
                  <v>43355</v>
                </pt>
                <pt idx="173">
                  <v>43356</v>
                </pt>
                <pt idx="174">
                  <v>43357</v>
                </pt>
                <pt idx="175">
                  <v>43360</v>
                </pt>
                <pt idx="176">
                  <v>43361</v>
                </pt>
                <pt idx="177">
                  <v>43362</v>
                </pt>
                <pt idx="178">
                  <v>43363</v>
                </pt>
                <pt idx="179">
                  <v>43364</v>
                </pt>
                <pt idx="180">
                  <v>43368</v>
                </pt>
                <pt idx="181">
                  <v>43369</v>
                </pt>
                <pt idx="182">
                  <v>43370</v>
                </pt>
                <pt idx="183">
                  <v>43371</v>
                </pt>
                <pt idx="184">
                  <v>43381</v>
                </pt>
                <pt idx="185">
                  <v>43382</v>
                </pt>
                <pt idx="186">
                  <v>43383</v>
                </pt>
                <pt idx="187">
                  <v>43384</v>
                </pt>
                <pt idx="188">
                  <v>43385</v>
                </pt>
                <pt idx="189">
                  <v>43388</v>
                </pt>
                <pt idx="190">
                  <v>43389</v>
                </pt>
                <pt idx="191">
                  <v>43390</v>
                </pt>
                <pt idx="192">
                  <v>43391</v>
                </pt>
                <pt idx="193">
                  <v>43392</v>
                </pt>
                <pt idx="194">
                  <v>43395</v>
                </pt>
                <pt idx="195">
                  <v>43396</v>
                </pt>
                <pt idx="196">
                  <v>43397</v>
                </pt>
                <pt idx="197">
                  <v>43398</v>
                </pt>
                <pt idx="198">
                  <v>43399</v>
                </pt>
                <pt idx="199">
                  <v>43402</v>
                </pt>
                <pt idx="200">
                  <v>43403</v>
                </pt>
                <pt idx="201">
                  <v>43404</v>
                </pt>
                <pt idx="202">
                  <v>43405</v>
                </pt>
                <pt idx="203">
                  <v>43406</v>
                </pt>
                <pt idx="204">
                  <v>43409</v>
                </pt>
                <pt idx="205">
                  <v>43410</v>
                </pt>
                <pt idx="206">
                  <v>43411</v>
                </pt>
                <pt idx="207">
                  <v>43412</v>
                </pt>
                <pt idx="208">
                  <v>43413</v>
                </pt>
                <pt idx="209">
                  <v>43416</v>
                </pt>
                <pt idx="210">
                  <v>43417</v>
                </pt>
                <pt idx="211">
                  <v>43418</v>
                </pt>
                <pt idx="212">
                  <v>43419</v>
                </pt>
                <pt idx="213">
                  <v>43420</v>
                </pt>
                <pt idx="214">
                  <v>43423</v>
                </pt>
                <pt idx="215">
                  <v>43424</v>
                </pt>
                <pt idx="216">
                  <v>43425</v>
                </pt>
                <pt idx="217">
                  <v>43426</v>
                </pt>
                <pt idx="218">
                  <v>43427</v>
                </pt>
                <pt idx="219">
                  <v>43430</v>
                </pt>
                <pt idx="220">
                  <v>43431</v>
                </pt>
                <pt idx="221">
                  <v>43432</v>
                </pt>
                <pt idx="222">
                  <v>43433</v>
                </pt>
                <pt idx="223">
                  <v>43434</v>
                </pt>
                <pt idx="224">
                  <v>43437</v>
                </pt>
                <pt idx="225">
                  <v>43438</v>
                </pt>
                <pt idx="226">
                  <v>43439</v>
                </pt>
                <pt idx="227">
                  <v>43440</v>
                </pt>
                <pt idx="228">
                  <v>43441</v>
                </pt>
                <pt idx="229">
                  <v>43444</v>
                </pt>
                <pt idx="230">
                  <v>43445</v>
                </pt>
                <pt idx="231">
                  <v>43446</v>
                </pt>
                <pt idx="232">
                  <v>43447</v>
                </pt>
                <pt idx="233">
                  <v>43448</v>
                </pt>
                <pt idx="234">
                  <v>43451</v>
                </pt>
                <pt idx="235">
                  <v>43452</v>
                </pt>
                <pt idx="236">
                  <v>43453</v>
                </pt>
                <pt idx="237">
                  <v>43454</v>
                </pt>
                <pt idx="238">
                  <v>43455</v>
                </pt>
                <pt idx="239">
                  <v>43458</v>
                </pt>
                <pt idx="240">
                  <v>43459</v>
                </pt>
                <pt idx="241">
                  <v>43460</v>
                </pt>
                <pt idx="242">
                  <v>43461</v>
                </pt>
                <pt idx="243">
                  <v>43462</v>
                </pt>
                <pt idx="244">
                  <v>43467</v>
                </pt>
                <pt idx="245">
                  <v>43468</v>
                </pt>
                <pt idx="246">
                  <v>43469</v>
                </pt>
                <pt idx="247">
                  <v>43472</v>
                </pt>
                <pt idx="248">
                  <v>43473</v>
                </pt>
                <pt idx="249">
                  <v>43474</v>
                </pt>
                <pt idx="250">
                  <v>43475</v>
                </pt>
                <pt idx="251">
                  <v>43476</v>
                </pt>
                <pt idx="252">
                  <v>43479</v>
                </pt>
                <pt idx="253">
                  <v>43480</v>
                </pt>
                <pt idx="254">
                  <v>43481</v>
                </pt>
                <pt idx="255">
                  <v>43482</v>
                </pt>
                <pt idx="256">
                  <v>43483</v>
                </pt>
                <pt idx="257">
                  <v>43486</v>
                </pt>
                <pt idx="258">
                  <v>43487</v>
                </pt>
                <pt idx="259">
                  <v>43488</v>
                </pt>
                <pt idx="260">
                  <v>43489</v>
                </pt>
                <pt idx="261">
                  <v>43490</v>
                </pt>
                <pt idx="262">
                  <v>43493</v>
                </pt>
                <pt idx="263">
                  <v>43494</v>
                </pt>
                <pt idx="264">
                  <v>43495</v>
                </pt>
                <pt idx="265">
                  <v>43496</v>
                </pt>
                <pt idx="266">
                  <v>43497</v>
                </pt>
                <pt idx="267">
                  <v>43507</v>
                </pt>
                <pt idx="268">
                  <v>43508</v>
                </pt>
                <pt idx="269">
                  <v>43509</v>
                </pt>
                <pt idx="270">
                  <v>43510</v>
                </pt>
                <pt idx="271">
                  <v>43511</v>
                </pt>
                <pt idx="272">
                  <v>43514</v>
                </pt>
                <pt idx="273">
                  <v>43515</v>
                </pt>
                <pt idx="274">
                  <v>43516</v>
                </pt>
                <pt idx="275">
                  <v>43517</v>
                </pt>
                <pt idx="276">
                  <v>43518</v>
                </pt>
                <pt idx="277">
                  <v>43521</v>
                </pt>
                <pt idx="278">
                  <v>43522</v>
                </pt>
                <pt idx="279">
                  <v>43523</v>
                </pt>
                <pt idx="280">
                  <v>43524</v>
                </pt>
                <pt idx="281">
                  <v>43525</v>
                </pt>
                <pt idx="282">
                  <v>43528</v>
                </pt>
                <pt idx="283">
                  <v>43529</v>
                </pt>
                <pt idx="284">
                  <v>43530</v>
                </pt>
                <pt idx="285">
                  <v>43531</v>
                </pt>
                <pt idx="286">
                  <v>43532</v>
                </pt>
                <pt idx="287">
                  <v>43535</v>
                </pt>
                <pt idx="288">
                  <v>43536</v>
                </pt>
                <pt idx="289">
                  <v>43537</v>
                </pt>
                <pt idx="290">
                  <v>43538</v>
                </pt>
                <pt idx="291">
                  <v>43539</v>
                </pt>
                <pt idx="292">
                  <v>43542</v>
                </pt>
                <pt idx="293">
                  <v>43543</v>
                </pt>
                <pt idx="294">
                  <v>43544</v>
                </pt>
                <pt idx="295">
                  <v>43545</v>
                </pt>
                <pt idx="296">
                  <v>43546</v>
                </pt>
                <pt idx="297">
                  <v>43549</v>
                </pt>
                <pt idx="298">
                  <v>43550</v>
                </pt>
                <pt idx="299">
                  <v>43551</v>
                </pt>
                <pt idx="300">
                  <v>43552</v>
                </pt>
                <pt idx="301">
                  <v>43553</v>
                </pt>
                <pt idx="302">
                  <v>43556</v>
                </pt>
                <pt idx="303">
                  <v>43557</v>
                </pt>
                <pt idx="304">
                  <v>43558</v>
                </pt>
                <pt idx="305">
                  <v>43559</v>
                </pt>
                <pt idx="306">
                  <v>43563</v>
                </pt>
                <pt idx="307">
                  <v>43564</v>
                </pt>
                <pt idx="308">
                  <v>43565</v>
                </pt>
                <pt idx="309">
                  <v>43566</v>
                </pt>
                <pt idx="310">
                  <v>43567</v>
                </pt>
                <pt idx="311">
                  <v>43570</v>
                </pt>
                <pt idx="312">
                  <v>43571</v>
                </pt>
                <pt idx="313">
                  <v>43572</v>
                </pt>
                <pt idx="314">
                  <v>43573</v>
                </pt>
                <pt idx="315">
                  <v>43574</v>
                </pt>
                <pt idx="316">
                  <v>43577</v>
                </pt>
                <pt idx="317">
                  <v>43578</v>
                </pt>
                <pt idx="318">
                  <v>43579</v>
                </pt>
                <pt idx="319">
                  <v>43580</v>
                </pt>
                <pt idx="320">
                  <v>43581</v>
                </pt>
                <pt idx="321">
                  <v>43584</v>
                </pt>
                <pt idx="322">
                  <v>43585</v>
                </pt>
                <pt idx="323">
                  <v>43591</v>
                </pt>
                <pt idx="324">
                  <v>43592</v>
                </pt>
                <pt idx="325">
                  <v>43593</v>
                </pt>
                <pt idx="326">
                  <v>43594</v>
                </pt>
                <pt idx="327">
                  <v>43595</v>
                </pt>
                <pt idx="328">
                  <v>43598</v>
                </pt>
                <pt idx="329">
                  <v>43599</v>
                </pt>
                <pt idx="330">
                  <v>43600</v>
                </pt>
                <pt idx="331">
                  <v>43601</v>
                </pt>
                <pt idx="332">
                  <v>43602</v>
                </pt>
                <pt idx="333">
                  <v>43605</v>
                </pt>
                <pt idx="334">
                  <v>43606</v>
                </pt>
                <pt idx="335">
                  <v>43607</v>
                </pt>
                <pt idx="336">
                  <v>43608</v>
                </pt>
                <pt idx="337">
                  <v>43609</v>
                </pt>
                <pt idx="338">
                  <v>43612</v>
                </pt>
                <pt idx="339">
                  <v>43613</v>
                </pt>
                <pt idx="340">
                  <v>43614</v>
                </pt>
                <pt idx="341">
                  <v>43615</v>
                </pt>
                <pt idx="342">
                  <v>43616</v>
                </pt>
                <pt idx="343">
                  <v>43619</v>
                </pt>
                <pt idx="344">
                  <v>43620</v>
                </pt>
                <pt idx="345">
                  <v>43621</v>
                </pt>
                <pt idx="346">
                  <v>43622</v>
                </pt>
                <pt idx="347">
                  <v>43626</v>
                </pt>
                <pt idx="348">
                  <v>43627</v>
                </pt>
                <pt idx="349">
                  <v>43628</v>
                </pt>
                <pt idx="350">
                  <v>43629</v>
                </pt>
                <pt idx="351">
                  <v>43630</v>
                </pt>
                <pt idx="352">
                  <v>43633</v>
                </pt>
                <pt idx="353">
                  <v>43634</v>
                </pt>
                <pt idx="354">
                  <v>43635</v>
                </pt>
                <pt idx="355">
                  <v>43636</v>
                </pt>
                <pt idx="356">
                  <v>43637</v>
                </pt>
                <pt idx="357">
                  <v>43640</v>
                </pt>
                <pt idx="358">
                  <v>43641</v>
                </pt>
                <pt idx="359">
                  <v>43642</v>
                </pt>
                <pt idx="360">
                  <v>43643</v>
                </pt>
                <pt idx="361">
                  <v>43644</v>
                </pt>
                <pt idx="362">
                  <v>43647</v>
                </pt>
                <pt idx="363">
                  <v>43648</v>
                </pt>
                <pt idx="364">
                  <v>43649</v>
                </pt>
                <pt idx="365">
                  <v>43650</v>
                </pt>
                <pt idx="366">
                  <v>43651</v>
                </pt>
                <pt idx="367">
                  <v>43654</v>
                </pt>
                <pt idx="368">
                  <v>43655</v>
                </pt>
                <pt idx="369">
                  <v>43656</v>
                </pt>
                <pt idx="370">
                  <v>43657</v>
                </pt>
                <pt idx="371">
                  <v>43658</v>
                </pt>
                <pt idx="372">
                  <v>43661</v>
                </pt>
                <pt idx="373">
                  <v>43662</v>
                </pt>
                <pt idx="374">
                  <v>43663</v>
                </pt>
                <pt idx="375">
                  <v>43664</v>
                </pt>
                <pt idx="376">
                  <v>43665</v>
                </pt>
                <pt idx="377">
                  <v>43668</v>
                </pt>
                <pt idx="378">
                  <v>43669</v>
                </pt>
                <pt idx="379">
                  <v>43670</v>
                </pt>
                <pt idx="380">
                  <v>43671</v>
                </pt>
                <pt idx="381">
                  <v>43672</v>
                </pt>
                <pt idx="382">
                  <v>43675</v>
                </pt>
                <pt idx="383">
                  <v>43676</v>
                </pt>
                <pt idx="384">
                  <v>43677</v>
                </pt>
                <pt idx="385">
                  <v>43678</v>
                </pt>
                <pt idx="386">
                  <v>43679</v>
                </pt>
                <pt idx="387">
                  <v>43682</v>
                </pt>
                <pt idx="388">
                  <v>43683</v>
                </pt>
                <pt idx="389">
                  <v>43684</v>
                </pt>
                <pt idx="390">
                  <v>43685</v>
                </pt>
                <pt idx="391">
                  <v>43686</v>
                </pt>
                <pt idx="392">
                  <v>43689</v>
                </pt>
                <pt idx="393">
                  <v>43690</v>
                </pt>
                <pt idx="394">
                  <v>43691</v>
                </pt>
                <pt idx="395">
                  <v>43692</v>
                </pt>
                <pt idx="396">
                  <v>43693</v>
                </pt>
                <pt idx="397">
                  <v>43696</v>
                </pt>
                <pt idx="398">
                  <v>43697</v>
                </pt>
                <pt idx="399">
                  <v>43698</v>
                </pt>
                <pt idx="400">
                  <v>43699</v>
                </pt>
                <pt idx="401">
                  <v>43700</v>
                </pt>
                <pt idx="402">
                  <v>43703</v>
                </pt>
                <pt idx="403">
                  <v>43704</v>
                </pt>
                <pt idx="404">
                  <v>43705</v>
                </pt>
                <pt idx="405">
                  <v>43706</v>
                </pt>
                <pt idx="406">
                  <v>43707</v>
                </pt>
                <pt idx="407">
                  <v>43710</v>
                </pt>
                <pt idx="408">
                  <v>43711</v>
                </pt>
                <pt idx="409">
                  <v>43712</v>
                </pt>
                <pt idx="410">
                  <v>43713</v>
                </pt>
                <pt idx="411">
                  <v>43714</v>
                </pt>
                <pt idx="412">
                  <v>43717</v>
                </pt>
                <pt idx="413">
                  <v>43718</v>
                </pt>
                <pt idx="414">
                  <v>43719</v>
                </pt>
                <pt idx="415">
                  <v>43720</v>
                </pt>
                <pt idx="416">
                  <v>43724</v>
                </pt>
                <pt idx="417">
                  <v>43725</v>
                </pt>
                <pt idx="418">
                  <v>43726</v>
                </pt>
                <pt idx="419">
                  <v>43727</v>
                </pt>
                <pt idx="420">
                  <v>43728</v>
                </pt>
                <pt idx="421">
                  <v>43731</v>
                </pt>
                <pt idx="422">
                  <v>43732</v>
                </pt>
                <pt idx="423">
                  <v>43733</v>
                </pt>
                <pt idx="424">
                  <v>43734</v>
                </pt>
                <pt idx="425">
                  <v>43735</v>
                </pt>
                <pt idx="426">
                  <v>43738</v>
                </pt>
                <pt idx="427">
                  <v>43746</v>
                </pt>
                <pt idx="428">
                  <v>43747</v>
                </pt>
                <pt idx="429">
                  <v>43748</v>
                </pt>
                <pt idx="430">
                  <v>43749</v>
                </pt>
                <pt idx="431">
                  <v>43752</v>
                </pt>
                <pt idx="432">
                  <v>43753</v>
                </pt>
                <pt idx="433">
                  <v>43754</v>
                </pt>
                <pt idx="434">
                  <v>43755</v>
                </pt>
                <pt idx="435">
                  <v>43756</v>
                </pt>
                <pt idx="436">
                  <v>43759</v>
                </pt>
                <pt idx="437">
                  <v>43760</v>
                </pt>
                <pt idx="438">
                  <v>43761</v>
                </pt>
                <pt idx="439">
                  <v>43762</v>
                </pt>
                <pt idx="440">
                  <v>43763</v>
                </pt>
                <pt idx="441">
                  <v>43766</v>
                </pt>
                <pt idx="442">
                  <v>43767</v>
                </pt>
                <pt idx="443">
                  <v>43768</v>
                </pt>
                <pt idx="444">
                  <v>43769</v>
                </pt>
                <pt idx="445">
                  <v>43770</v>
                </pt>
                <pt idx="446">
                  <v>43773</v>
                </pt>
                <pt idx="447">
                  <v>43774</v>
                </pt>
                <pt idx="448">
                  <v>43775</v>
                </pt>
                <pt idx="449">
                  <v>43776</v>
                </pt>
                <pt idx="450">
                  <v>43777</v>
                </pt>
                <pt idx="451">
                  <v>43780</v>
                </pt>
                <pt idx="452">
                  <v>43781</v>
                </pt>
                <pt idx="453">
                  <v>43782</v>
                </pt>
                <pt idx="454">
                  <v>43783</v>
                </pt>
                <pt idx="455">
                  <v>43784</v>
                </pt>
                <pt idx="456">
                  <v>43787</v>
                </pt>
                <pt idx="457">
                  <v>43788</v>
                </pt>
                <pt idx="458">
                  <v>43789</v>
                </pt>
                <pt idx="459">
                  <v>43790</v>
                </pt>
                <pt idx="460">
                  <v>43791</v>
                </pt>
                <pt idx="461">
                  <v>43794</v>
                </pt>
                <pt idx="462">
                  <v>43795</v>
                </pt>
                <pt idx="463">
                  <v>43796</v>
                </pt>
                <pt idx="464">
                  <v>43797</v>
                </pt>
                <pt idx="465">
                  <v>43798</v>
                </pt>
                <pt idx="466">
                  <v>43801</v>
                </pt>
                <pt idx="467">
                  <v>43802</v>
                </pt>
                <pt idx="468">
                  <v>43803</v>
                </pt>
                <pt idx="469">
                  <v>43804</v>
                </pt>
                <pt idx="470">
                  <v>43805</v>
                </pt>
                <pt idx="471">
                  <v>43808</v>
                </pt>
                <pt idx="472">
                  <v>43809</v>
                </pt>
                <pt idx="473">
                  <v>43810</v>
                </pt>
                <pt idx="474">
                  <v>43811</v>
                </pt>
                <pt idx="475">
                  <v>43812</v>
                </pt>
                <pt idx="476">
                  <v>43815</v>
                </pt>
                <pt idx="477">
                  <v>43816</v>
                </pt>
                <pt idx="478">
                  <v>43817</v>
                </pt>
                <pt idx="479">
                  <v>43818</v>
                </pt>
                <pt idx="480">
                  <v>43819</v>
                </pt>
                <pt idx="481">
                  <v>43822</v>
                </pt>
                <pt idx="482">
                  <v>43823</v>
                </pt>
                <pt idx="483">
                  <v>43824</v>
                </pt>
                <pt idx="484">
                  <v>43825</v>
                </pt>
                <pt idx="485">
                  <v>43826</v>
                </pt>
                <pt idx="486">
                  <v>43829</v>
                </pt>
                <pt idx="487">
                  <v>43830</v>
                </pt>
                <pt idx="488">
                  <v>43832</v>
                </pt>
                <pt idx="489">
                  <v>43833</v>
                </pt>
                <pt idx="490">
                  <v>43836</v>
                </pt>
                <pt idx="491">
                  <v>43837</v>
                </pt>
                <pt idx="492">
                  <v>43838</v>
                </pt>
                <pt idx="493">
                  <v>43839</v>
                </pt>
                <pt idx="494">
                  <v>43840</v>
                </pt>
                <pt idx="495">
                  <v>43843</v>
                </pt>
                <pt idx="496">
                  <v>43844</v>
                </pt>
                <pt idx="497">
                  <v>43845</v>
                </pt>
                <pt idx="498">
                  <v>43846</v>
                </pt>
                <pt idx="499">
                  <v>43847</v>
                </pt>
                <pt idx="500">
                  <v>43850</v>
                </pt>
                <pt idx="501">
                  <v>43851</v>
                </pt>
                <pt idx="502">
                  <v>43852</v>
                </pt>
                <pt idx="503">
                  <v>43853</v>
                </pt>
                <pt idx="504">
                  <v>43864</v>
                </pt>
                <pt idx="505">
                  <v>43865</v>
                </pt>
                <pt idx="506">
                  <v>43866</v>
                </pt>
                <pt idx="507">
                  <v>43867</v>
                </pt>
                <pt idx="508">
                  <v>43868</v>
                </pt>
                <pt idx="509">
                  <v>43871</v>
                </pt>
                <pt idx="510">
                  <v>43872</v>
                </pt>
                <pt idx="511">
                  <v>43873</v>
                </pt>
                <pt idx="512">
                  <v>43874</v>
                </pt>
                <pt idx="513">
                  <v>43875</v>
                </pt>
                <pt idx="514">
                  <v>43878</v>
                </pt>
                <pt idx="515">
                  <v>43879</v>
                </pt>
                <pt idx="516">
                  <v>43880</v>
                </pt>
                <pt idx="517">
                  <v>43881</v>
                </pt>
                <pt idx="518">
                  <v>43882</v>
                </pt>
                <pt idx="519">
                  <v>43885</v>
                </pt>
                <pt idx="520">
                  <v>43886</v>
                </pt>
                <pt idx="521">
                  <v>43887</v>
                </pt>
                <pt idx="522">
                  <v>43888</v>
                </pt>
                <pt idx="523">
                  <v>43889</v>
                </pt>
                <pt idx="524">
                  <v>43892</v>
                </pt>
                <pt idx="525">
                  <v>43893</v>
                </pt>
                <pt idx="526">
                  <v>43894</v>
                </pt>
                <pt idx="527">
                  <v>43895</v>
                </pt>
                <pt idx="528">
                  <v>43896</v>
                </pt>
                <pt idx="529">
                  <v>43899</v>
                </pt>
                <pt idx="530">
                  <v>43900</v>
                </pt>
                <pt idx="531">
                  <v>43901</v>
                </pt>
                <pt idx="532">
                  <v>43902</v>
                </pt>
                <pt idx="533">
                  <v>43903</v>
                </pt>
                <pt idx="534">
                  <v>43906</v>
                </pt>
                <pt idx="535">
                  <v>43907</v>
                </pt>
                <pt idx="536">
                  <v>43908</v>
                </pt>
                <pt idx="537">
                  <v>43909</v>
                </pt>
                <pt idx="538">
                  <v>43910</v>
                </pt>
                <pt idx="539">
                  <v>43913</v>
                </pt>
                <pt idx="540">
                  <v>43914</v>
                </pt>
                <pt idx="541">
                  <v>43915</v>
                </pt>
                <pt idx="542">
                  <v>43916</v>
                </pt>
                <pt idx="543">
                  <v>43917</v>
                </pt>
                <pt idx="544">
                  <v>43920</v>
                </pt>
                <pt idx="545">
                  <v>43921</v>
                </pt>
                <pt idx="546">
                  <v>43922</v>
                </pt>
                <pt idx="547">
                  <v>43923</v>
                </pt>
                <pt idx="548">
                  <v>43924</v>
                </pt>
                <pt idx="549">
                  <v>43928</v>
                </pt>
                <pt idx="550">
                  <v>43929</v>
                </pt>
                <pt idx="551">
                  <v>43930</v>
                </pt>
                <pt idx="552">
                  <v>43931</v>
                </pt>
                <pt idx="553">
                  <v>43934</v>
                </pt>
                <pt idx="554">
                  <v>43935</v>
                </pt>
                <pt idx="555">
                  <v>43936</v>
                </pt>
                <pt idx="556">
                  <v>43937</v>
                </pt>
                <pt idx="557">
                  <v>43938</v>
                </pt>
                <pt idx="558">
                  <v>43941</v>
                </pt>
                <pt idx="559">
                  <v>43942</v>
                </pt>
                <pt idx="560">
                  <v>43943</v>
                </pt>
                <pt idx="561">
                  <v>43944</v>
                </pt>
                <pt idx="562">
                  <v>43945</v>
                </pt>
                <pt idx="563">
                  <v>43948</v>
                </pt>
                <pt idx="564">
                  <v>43949</v>
                </pt>
                <pt idx="565">
                  <v>43950</v>
                </pt>
                <pt idx="566">
                  <v>43951</v>
                </pt>
                <pt idx="567">
                  <v>43957</v>
                </pt>
                <pt idx="568">
                  <v>43958</v>
                </pt>
                <pt idx="569">
                  <v>43959</v>
                </pt>
                <pt idx="570">
                  <v>43962</v>
                </pt>
                <pt idx="571">
                  <v>43963</v>
                </pt>
                <pt idx="572">
                  <v>43964</v>
                </pt>
                <pt idx="573">
                  <v>43965</v>
                </pt>
                <pt idx="574">
                  <v>43966</v>
                </pt>
                <pt idx="575">
                  <v>43969</v>
                </pt>
                <pt idx="576">
                  <v>43970</v>
                </pt>
                <pt idx="577">
                  <v>43971</v>
                </pt>
                <pt idx="578">
                  <v>43972</v>
                </pt>
                <pt idx="579">
                  <v>43973</v>
                </pt>
                <pt idx="580">
                  <v>43976</v>
                </pt>
                <pt idx="581">
                  <v>43977</v>
                </pt>
                <pt idx="582">
                  <v>43978</v>
                </pt>
                <pt idx="583">
                  <v>43979</v>
                </pt>
                <pt idx="584">
                  <v>43980</v>
                </pt>
                <pt idx="585">
                  <v>43983</v>
                </pt>
                <pt idx="586">
                  <v>43984</v>
                </pt>
                <pt idx="587">
                  <v>43985</v>
                </pt>
                <pt idx="588">
                  <v>43986</v>
                </pt>
                <pt idx="589">
                  <v>43987</v>
                </pt>
                <pt idx="590">
                  <v>43990</v>
                </pt>
                <pt idx="591">
                  <v>43991</v>
                </pt>
                <pt idx="592">
                  <v>43992</v>
                </pt>
                <pt idx="593">
                  <v>43993</v>
                </pt>
                <pt idx="594">
                  <v>43994</v>
                </pt>
                <pt idx="595">
                  <v>43997</v>
                </pt>
                <pt idx="596">
                  <v>43998</v>
                </pt>
                <pt idx="597">
                  <v>43999</v>
                </pt>
                <pt idx="598">
                  <v>44000</v>
                </pt>
                <pt idx="599">
                  <v>44001</v>
                </pt>
                <pt idx="600">
                  <v>44004</v>
                </pt>
                <pt idx="601">
                  <v>44005</v>
                </pt>
                <pt idx="602">
                  <v>44006</v>
                </pt>
                <pt idx="603">
                  <v>44011</v>
                </pt>
                <pt idx="604">
                  <v>44012</v>
                </pt>
                <pt idx="605">
                  <v>44013</v>
                </pt>
                <pt idx="606">
                  <v>44014</v>
                </pt>
                <pt idx="607">
                  <v>44015</v>
                </pt>
                <pt idx="608">
                  <v>44018</v>
                </pt>
                <pt idx="609">
                  <v>44019</v>
                </pt>
                <pt idx="610">
                  <v>44020</v>
                </pt>
                <pt idx="611">
                  <v>44021</v>
                </pt>
                <pt idx="612">
                  <v>44022</v>
                </pt>
                <pt idx="613">
                  <v>44025</v>
                </pt>
                <pt idx="614">
                  <v>44026</v>
                </pt>
                <pt idx="615">
                  <v>44027</v>
                </pt>
                <pt idx="616">
                  <v>44028</v>
                </pt>
                <pt idx="617">
                  <v>44029</v>
                </pt>
                <pt idx="618">
                  <v>44032</v>
                </pt>
                <pt idx="619">
                  <v>44033</v>
                </pt>
                <pt idx="620">
                  <v>44034</v>
                </pt>
                <pt idx="621">
                  <v>44035</v>
                </pt>
                <pt idx="622">
                  <v>44036</v>
                </pt>
                <pt idx="623">
                  <v>44039</v>
                </pt>
                <pt idx="624">
                  <v>44040</v>
                </pt>
                <pt idx="625">
                  <v>44041</v>
                </pt>
                <pt idx="626">
                  <v>44042</v>
                </pt>
                <pt idx="627">
                  <v>44043</v>
                </pt>
                <pt idx="628">
                  <v>44046</v>
                </pt>
                <pt idx="629">
                  <v>44047</v>
                </pt>
                <pt idx="630">
                  <v>44048</v>
                </pt>
                <pt idx="631">
                  <v>44049</v>
                </pt>
                <pt idx="632">
                  <v>44050</v>
                </pt>
                <pt idx="633">
                  <v>44053</v>
                </pt>
                <pt idx="634">
                  <v>44054</v>
                </pt>
                <pt idx="635">
                  <v>44055</v>
                </pt>
                <pt idx="636">
                  <v>44056</v>
                </pt>
                <pt idx="637">
                  <v>44057</v>
                </pt>
                <pt idx="638">
                  <v>44060</v>
                </pt>
                <pt idx="639">
                  <v>44061</v>
                </pt>
                <pt idx="640">
                  <v>44062</v>
                </pt>
                <pt idx="641">
                  <v>44063</v>
                </pt>
                <pt idx="642">
                  <v>44064</v>
                </pt>
                <pt idx="643">
                  <v>44067</v>
                </pt>
                <pt idx="644">
                  <v>44068</v>
                </pt>
                <pt idx="645">
                  <v>44069</v>
                </pt>
                <pt idx="646">
                  <v>44070</v>
                </pt>
                <pt idx="647">
                  <v>44071</v>
                </pt>
                <pt idx="648">
                  <v>44074</v>
                </pt>
                <pt idx="649">
                  <v>44075</v>
                </pt>
                <pt idx="650">
                  <v>44076</v>
                </pt>
                <pt idx="651">
                  <v>44077</v>
                </pt>
                <pt idx="652">
                  <v>44078</v>
                </pt>
                <pt idx="653">
                  <v>44081</v>
                </pt>
                <pt idx="654">
                  <v>44082</v>
                </pt>
                <pt idx="655">
                  <v>44083</v>
                </pt>
                <pt idx="656">
                  <v>44084</v>
                </pt>
                <pt idx="657">
                  <v>44085</v>
                </pt>
                <pt idx="658">
                  <v>44088</v>
                </pt>
                <pt idx="659">
                  <v>44089</v>
                </pt>
                <pt idx="660">
                  <v>44090</v>
                </pt>
                <pt idx="661">
                  <v>44091</v>
                </pt>
                <pt idx="662">
                  <v>44092</v>
                </pt>
                <pt idx="663">
                  <v>44095</v>
                </pt>
                <pt idx="664">
                  <v>44096</v>
                </pt>
                <pt idx="665">
                  <v>44097</v>
                </pt>
                <pt idx="666">
                  <v>44098</v>
                </pt>
                <pt idx="667">
                  <v>44099</v>
                </pt>
                <pt idx="668">
                  <v>44102</v>
                </pt>
                <pt idx="669">
                  <v>44103</v>
                </pt>
                <pt idx="670">
                  <v>44104</v>
                </pt>
                <pt idx="671">
                  <v>44113</v>
                </pt>
                <pt idx="672">
                  <v>44116</v>
                </pt>
                <pt idx="673">
                  <v>44117</v>
                </pt>
                <pt idx="674">
                  <v>44118</v>
                </pt>
                <pt idx="675">
                  <v>44119</v>
                </pt>
                <pt idx="676">
                  <v>44120</v>
                </pt>
                <pt idx="677">
                  <v>44123</v>
                </pt>
                <pt idx="678">
                  <v>44124</v>
                </pt>
                <pt idx="679">
                  <v>44125</v>
                </pt>
                <pt idx="680">
                  <v>44126</v>
                </pt>
                <pt idx="681">
                  <v>44127</v>
                </pt>
                <pt idx="682">
                  <v>44130</v>
                </pt>
                <pt idx="683">
                  <v>44131</v>
                </pt>
                <pt idx="684">
                  <v>44132</v>
                </pt>
                <pt idx="685">
                  <v>44133</v>
                </pt>
                <pt idx="686">
                  <v>44134</v>
                </pt>
                <pt idx="687">
                  <v>44137</v>
                </pt>
                <pt idx="688">
                  <v>44138</v>
                </pt>
                <pt idx="689">
                  <v>44139</v>
                </pt>
                <pt idx="690">
                  <v>44140</v>
                </pt>
                <pt idx="691">
                  <v>44141</v>
                </pt>
                <pt idx="692">
                  <v>44144</v>
                </pt>
                <pt idx="693">
                  <v>44145</v>
                </pt>
                <pt idx="694">
                  <v>44146</v>
                </pt>
                <pt idx="695">
                  <v>44147</v>
                </pt>
                <pt idx="696">
                  <v>44148</v>
                </pt>
                <pt idx="697">
                  <v>44151</v>
                </pt>
                <pt idx="698">
                  <v>44152</v>
                </pt>
                <pt idx="699">
                  <v>44153</v>
                </pt>
                <pt idx="700">
                  <v>44154</v>
                </pt>
                <pt idx="701">
                  <v>44155</v>
                </pt>
                <pt idx="702">
                  <v>44158</v>
                </pt>
                <pt idx="703">
                  <v>44159</v>
                </pt>
                <pt idx="704">
                  <v>44160</v>
                </pt>
                <pt idx="705">
                  <v>44161</v>
                </pt>
                <pt idx="706">
                  <v>44162</v>
                </pt>
                <pt idx="707">
                  <v>44165</v>
                </pt>
                <pt idx="708">
                  <v>44166</v>
                </pt>
                <pt idx="709">
                  <v>44167</v>
                </pt>
                <pt idx="710">
                  <v>44168</v>
                </pt>
                <pt idx="711">
                  <v>44169</v>
                </pt>
                <pt idx="712">
                  <v>44172</v>
                </pt>
                <pt idx="713">
                  <v>44173</v>
                </pt>
                <pt idx="714">
                  <v>44174</v>
                </pt>
                <pt idx="715">
                  <v>44175</v>
                </pt>
                <pt idx="716">
                  <v>44176</v>
                </pt>
                <pt idx="717">
                  <v>44179</v>
                </pt>
                <pt idx="718">
                  <v>44180</v>
                </pt>
                <pt idx="719">
                  <v>44181</v>
                </pt>
                <pt idx="720">
                  <v>44182</v>
                </pt>
                <pt idx="721">
                  <v>44183</v>
                </pt>
                <pt idx="722">
                  <v>44186</v>
                </pt>
                <pt idx="723">
                  <v>44187</v>
                </pt>
                <pt idx="724">
                  <v>44188</v>
                </pt>
                <pt idx="725">
                  <v>44189</v>
                </pt>
                <pt idx="726">
                  <v>44190</v>
                </pt>
                <pt idx="727">
                  <v>44193</v>
                </pt>
                <pt idx="728">
                  <v>44194</v>
                </pt>
                <pt idx="729">
                  <v>44195</v>
                </pt>
                <pt idx="730">
                  <v>44196</v>
                </pt>
                <pt idx="731">
                  <v>44200</v>
                </pt>
                <pt idx="732">
                  <v>44201</v>
                </pt>
                <pt idx="733">
                  <v>44202</v>
                </pt>
                <pt idx="734">
                  <v>44203</v>
                </pt>
                <pt idx="735">
                  <v>44204</v>
                </pt>
                <pt idx="736">
                  <v>44207</v>
                </pt>
                <pt idx="737">
                  <v>44208</v>
                </pt>
                <pt idx="738">
                  <v>44209</v>
                </pt>
                <pt idx="739">
                  <v>44210</v>
                </pt>
                <pt idx="740">
                  <v>44211</v>
                </pt>
                <pt idx="741">
                  <v>44214</v>
                </pt>
                <pt idx="742">
                  <v>44215</v>
                </pt>
                <pt idx="743">
                  <v>44216</v>
                </pt>
                <pt idx="744">
                  <v>44217</v>
                </pt>
                <pt idx="745">
                  <v>44218</v>
                </pt>
                <pt idx="746">
                  <v>44221</v>
                </pt>
                <pt idx="747">
                  <v>44222</v>
                </pt>
                <pt idx="748">
                  <v>44223</v>
                </pt>
                <pt idx="749">
                  <v>44224</v>
                </pt>
                <pt idx="750">
                  <v>44225</v>
                </pt>
                <pt idx="751">
                  <v>44228</v>
                </pt>
                <pt idx="752">
                  <v>44229</v>
                </pt>
                <pt idx="753">
                  <v>44230</v>
                </pt>
              </numCache>
            </numRef>
          </cat>
          <val>
            <numRef>
              <f>可转债双低!$H$3:$H$756</f>
              <numCache>
                <formatCode>General</formatCode>
                <ptCount val="754"/>
                <pt idx="0">
                  <v>126.75</v>
                </pt>
                <pt idx="1">
                  <v>126.96</v>
                </pt>
                <pt idx="2">
                  <v>127.43</v>
                </pt>
                <pt idx="3">
                  <v>127.74</v>
                </pt>
                <pt idx="4">
                  <v>129.61</v>
                </pt>
                <pt idx="5">
                  <v>129.83</v>
                </pt>
                <pt idx="6">
                  <v>128.74</v>
                </pt>
                <pt idx="7">
                  <v>128.34</v>
                </pt>
                <pt idx="8">
                  <v>127.73</v>
                </pt>
                <pt idx="9">
                  <v>128.51</v>
                </pt>
                <pt idx="10">
                  <v>129.1</v>
                </pt>
                <pt idx="11">
                  <v>127.48</v>
                </pt>
                <pt idx="12">
                  <v>127.63</v>
                </pt>
                <pt idx="13">
                  <v>128.37</v>
                </pt>
                <pt idx="14">
                  <v>129.57</v>
                </pt>
                <pt idx="15">
                  <v>130.52</v>
                </pt>
                <pt idx="16">
                  <v>131.15</v>
                </pt>
                <pt idx="17">
                  <v>132.09</v>
                </pt>
                <pt idx="18">
                  <v>133.18</v>
                </pt>
                <pt idx="19">
                  <v>132.47</v>
                </pt>
                <pt idx="20">
                  <v>129.62</v>
                </pt>
                <pt idx="21">
                  <v>127.83</v>
                </pt>
                <pt idx="22">
                  <v>128.46</v>
                </pt>
                <pt idx="23">
                  <v>130.67</v>
                </pt>
                <pt idx="24">
                  <v>132.03</v>
                </pt>
                <pt idx="25">
                  <v>133.01</v>
                </pt>
                <pt idx="26">
                  <v>136.04</v>
                </pt>
                <pt idx="27">
                  <v>134.79</v>
                </pt>
                <pt idx="28">
                  <v>133.44</v>
                </pt>
                <pt idx="29">
                  <v>134.05</v>
                </pt>
                <pt idx="30">
                  <v>133.88</v>
                </pt>
                <pt idx="31">
                  <v>134.56</v>
                </pt>
                <pt idx="32">
                  <v>134.74</v>
                </pt>
                <pt idx="33">
                  <v>133.82</v>
                </pt>
                <pt idx="34">
                  <v>133.18</v>
                </pt>
                <pt idx="35">
                  <v>132.44</v>
                </pt>
                <pt idx="36">
                  <v>131.8</v>
                </pt>
                <pt idx="37">
                  <v>131.23</v>
                </pt>
                <pt idx="38">
                  <v>130.29</v>
                </pt>
                <pt idx="39">
                  <v>130.03</v>
                </pt>
                <pt idx="40">
                  <v>129.04</v>
                </pt>
                <pt idx="41">
                  <v>128.64</v>
                </pt>
                <pt idx="42">
                  <v>128.91</v>
                </pt>
                <pt idx="43">
                  <v>128.7</v>
                </pt>
                <pt idx="44">
                  <v>127.87</v>
                </pt>
                <pt idx="45">
                  <v>128.32</v>
                </pt>
                <pt idx="46">
                  <v>128.89</v>
                </pt>
                <pt idx="47">
                  <v>128.89</v>
                </pt>
                <pt idx="48">
                  <v>128.59</v>
                </pt>
                <pt idx="49">
                  <v>129.08</v>
                </pt>
                <pt idx="50">
                  <v>129.03</v>
                </pt>
                <pt idx="51">
                  <v>128.76</v>
                </pt>
                <pt idx="52">
                  <v>129.43</v>
                </pt>
                <pt idx="53">
                  <v>128.96</v>
                </pt>
                <pt idx="54">
                  <v>131.52</v>
                </pt>
                <pt idx="55">
                  <v>130.65</v>
                </pt>
                <pt idx="56">
                  <v>129.5</v>
                </pt>
                <pt idx="57">
                  <v>129.07</v>
                </pt>
                <pt idx="58">
                  <v>128.31</v>
                </pt>
                <pt idx="59">
                  <v>128.26</v>
                </pt>
                <pt idx="60">
                  <v>129.12</v>
                </pt>
                <pt idx="61">
                  <v>129.74</v>
                </pt>
                <pt idx="62">
                  <v>131.09</v>
                </pt>
                <pt idx="63">
                  <v>131.13</v>
                </pt>
                <pt idx="64">
                  <v>130.7</v>
                </pt>
                <pt idx="65">
                  <v>130.5</v>
                </pt>
                <pt idx="66">
                  <v>130.6</v>
                </pt>
                <pt idx="67">
                  <v>130.27</v>
                </pt>
                <pt idx="68">
                  <v>130.26</v>
                </pt>
                <pt idx="69">
                  <v>131.68</v>
                </pt>
                <pt idx="70">
                  <v>131.63</v>
                </pt>
                <pt idx="71">
                  <v>131.91</v>
                </pt>
                <pt idx="72">
                  <v>132.56</v>
                </pt>
                <pt idx="73">
                  <v>130.45</v>
                </pt>
                <pt idx="74">
                  <v>129.94</v>
                </pt>
                <pt idx="75">
                  <v>130</v>
                </pt>
                <pt idx="76">
                  <v>130.34</v>
                </pt>
                <pt idx="77">
                  <v>130.75</v>
                </pt>
                <pt idx="78">
                  <v>130.14</v>
                </pt>
                <pt idx="79">
                  <v>129.34</v>
                </pt>
                <pt idx="80">
                  <v>130.71</v>
                </pt>
                <pt idx="81">
                  <v>130.49</v>
                </pt>
                <pt idx="82">
                  <v>130.05</v>
                </pt>
                <pt idx="83">
                  <v>129.85</v>
                </pt>
                <pt idx="84">
                  <v>129.72</v>
                </pt>
                <pt idx="85">
                  <v>129.6</v>
                </pt>
                <pt idx="86">
                  <v>129.12</v>
                </pt>
                <pt idx="87">
                  <v>128.4</v>
                </pt>
                <pt idx="88">
                  <v>128.45</v>
                </pt>
                <pt idx="89">
                  <v>128.14</v>
                </pt>
                <pt idx="90">
                  <v>127.94</v>
                </pt>
                <pt idx="91">
                  <v>127.1</v>
                </pt>
                <pt idx="92">
                  <v>127.05</v>
                </pt>
                <pt idx="93">
                  <v>127.2</v>
                </pt>
                <pt idx="94">
                  <v>127.2</v>
                </pt>
                <pt idx="95">
                  <v>127.08</v>
                </pt>
                <pt idx="96">
                  <v>126.58</v>
                </pt>
                <pt idx="97">
                  <v>125.82</v>
                </pt>
                <pt idx="98">
                  <v>127</v>
                </pt>
                <pt idx="99">
                  <v>126.19</v>
                </pt>
                <pt idx="100">
                  <v>126.06</v>
                </pt>
                <pt idx="101">
                  <v>124.37</v>
                </pt>
                <pt idx="102">
                  <v>124.29</v>
                </pt>
                <pt idx="103">
                  <v>124.48</v>
                </pt>
                <pt idx="104">
                  <v>125.79</v>
                </pt>
                <pt idx="105">
                  <v>126.2</v>
                </pt>
                <pt idx="106">
                  <v>126.86</v>
                </pt>
                <pt idx="107">
                  <v>126.66</v>
                </pt>
                <pt idx="108">
                  <v>127.85</v>
                </pt>
                <pt idx="109">
                  <v>127.53</v>
                </pt>
                <pt idx="110">
                  <v>128.07</v>
                </pt>
                <pt idx="111">
                  <v>129.39</v>
                </pt>
                <pt idx="112">
                  <v>129.34</v>
                </pt>
                <pt idx="113">
                  <v>131.33</v>
                </pt>
                <pt idx="114">
                  <v>129.76</v>
                </pt>
                <pt idx="115">
                  <v>130.41</v>
                </pt>
                <pt idx="116">
                  <v>129.7</v>
                </pt>
                <pt idx="117">
                  <v>128.51</v>
                </pt>
                <pt idx="118">
                  <v>129.57</v>
                </pt>
                <pt idx="119">
                  <v>128.76</v>
                </pt>
                <pt idx="120">
                  <v>128.96</v>
                </pt>
                <pt idx="121">
                  <v>128.51</v>
                </pt>
                <pt idx="122">
                  <v>130.54</v>
                </pt>
                <pt idx="123">
                  <v>133.75</v>
                </pt>
                <pt idx="124">
                  <v>133.26</v>
                </pt>
                <pt idx="125">
                  <v>132.27</v>
                </pt>
                <pt idx="126">
                  <v>132.14</v>
                </pt>
                <pt idx="127">
                  <v>134.05</v>
                </pt>
                <pt idx="128">
                  <v>133.32</v>
                </pt>
                <pt idx="129">
                  <v>132.96</v>
                </pt>
                <pt idx="130">
                  <v>132.35</v>
                </pt>
                <pt idx="131">
                  <v>132.53</v>
                </pt>
                <pt idx="132">
                  <v>133.89</v>
                </pt>
                <pt idx="133">
                  <v>135.41</v>
                </pt>
                <pt idx="134">
                  <v>135.53</v>
                </pt>
                <pt idx="135">
                  <v>134.56</v>
                </pt>
                <pt idx="136">
                  <v>132.98</v>
                </pt>
                <pt idx="137">
                  <v>132.54</v>
                </pt>
                <pt idx="138">
                  <v>131.64</v>
                </pt>
                <pt idx="139">
                  <v>132.2</v>
                </pt>
                <pt idx="140">
                  <v>131.94</v>
                </pt>
                <pt idx="141">
                  <v>131.94</v>
                </pt>
                <pt idx="142">
                  <v>132.53</v>
                </pt>
                <pt idx="143">
                  <v>133.96</v>
                </pt>
                <pt idx="144">
                  <v>134.82</v>
                </pt>
                <pt idx="145">
                  <v>136.13</v>
                </pt>
                <pt idx="146">
                  <v>135.3</v>
                </pt>
                <pt idx="147">
                  <v>136.54</v>
                </pt>
                <pt idx="148">
                  <v>135.67</v>
                </pt>
                <pt idx="149">
                  <v>134.3</v>
                </pt>
                <pt idx="150">
                  <v>131.93</v>
                </pt>
                <pt idx="151">
                  <v>132.25</v>
                </pt>
                <pt idx="152">
                  <v>131.5</v>
                </pt>
                <pt idx="153">
                  <v>132.2</v>
                </pt>
                <pt idx="154">
                  <v>133.67</v>
                </pt>
                <pt idx="155">
                  <v>132.53</v>
                </pt>
                <pt idx="156">
                  <v>131.63</v>
                </pt>
                <pt idx="157">
                  <v>132.04</v>
                </pt>
                <pt idx="158">
                  <v>131.76</v>
                </pt>
                <pt idx="159">
                  <v>132.13</v>
                </pt>
                <pt idx="160">
                  <v>130.59</v>
                </pt>
                <pt idx="161">
                  <v>130.21</v>
                </pt>
                <pt idx="162">
                  <v>130.27</v>
                </pt>
                <pt idx="163">
                  <v>130.78</v>
                </pt>
                <pt idx="164">
                  <v>131.39</v>
                </pt>
                <pt idx="165">
                  <v>131.5</v>
                </pt>
                <pt idx="166">
                  <v>130.39</v>
                </pt>
                <pt idx="167">
                  <v>131.18</v>
                </pt>
                <pt idx="168">
                  <v>131.71</v>
                </pt>
                <pt idx="169">
                  <v>131.36</v>
                </pt>
                <pt idx="170">
                  <v>133.07</v>
                </pt>
                <pt idx="171">
                  <v>132.05</v>
                </pt>
                <pt idx="172">
                  <v>131.4</v>
                </pt>
                <pt idx="173">
                  <v>130.44</v>
                </pt>
                <pt idx="174">
                  <v>131.24</v>
                </pt>
                <pt idx="175">
                  <v>132.22</v>
                </pt>
                <pt idx="176">
                  <v>130.52</v>
                </pt>
                <pt idx="177">
                  <v>130.14</v>
                </pt>
                <pt idx="178">
                  <v>130.38</v>
                </pt>
                <pt idx="179">
                  <v>128.55</v>
                </pt>
                <pt idx="180">
                  <v>128.87</v>
                </pt>
                <pt idx="181">
                  <v>128.66</v>
                </pt>
                <pt idx="182">
                  <v>129.73</v>
                </pt>
                <pt idx="183">
                  <v>128.84</v>
                </pt>
                <pt idx="184">
                  <v>130.67</v>
                </pt>
                <pt idx="185">
                  <v>130.44</v>
                </pt>
                <pt idx="186">
                  <v>130.1</v>
                </pt>
                <pt idx="187">
                  <v>136.92</v>
                </pt>
                <pt idx="188">
                  <v>138.13</v>
                </pt>
                <pt idx="189">
                  <v>139.3</v>
                </pt>
                <pt idx="190">
                  <v>141.28</v>
                </pt>
                <pt idx="191">
                  <v>140.08</v>
                </pt>
                <pt idx="192">
                  <v>141.74</v>
                </pt>
                <pt idx="193">
                  <v>139.17</v>
                </pt>
                <pt idx="194">
                  <v>134.86</v>
                </pt>
                <pt idx="195">
                  <v>136.23</v>
                </pt>
                <pt idx="196">
                  <v>136.52</v>
                </pt>
                <pt idx="197">
                  <v>136.91</v>
                </pt>
                <pt idx="198">
                  <v>137.45</v>
                </pt>
                <pt idx="199">
                  <v>139.55</v>
                </pt>
                <pt idx="200">
                  <v>138.25</v>
                </pt>
                <pt idx="201">
                  <v>137.08</v>
                </pt>
                <pt idx="202">
                  <v>136.94</v>
                </pt>
                <pt idx="203">
                  <v>135.24</v>
                </pt>
                <pt idx="204">
                  <v>135.26</v>
                </pt>
                <pt idx="205">
                  <v>134.17</v>
                </pt>
                <pt idx="206">
                  <v>134.67</v>
                </pt>
                <pt idx="207">
                  <v>135.07</v>
                </pt>
                <pt idx="208">
                  <v>134.87</v>
                </pt>
                <pt idx="209">
                  <v>132.07</v>
                </pt>
                <pt idx="210">
                  <v>131.03</v>
                </pt>
                <pt idx="211">
                  <v>131.96</v>
                </pt>
                <pt idx="212">
                  <v>131.35</v>
                </pt>
                <pt idx="213">
                  <v>130.89</v>
                </pt>
                <pt idx="214">
                  <v>130.56</v>
                </pt>
                <pt idx="215">
                  <v>132.31</v>
                </pt>
                <pt idx="216">
                  <v>131.64</v>
                </pt>
                <pt idx="217">
                  <v>131.11</v>
                </pt>
                <pt idx="218">
                  <v>135.04</v>
                </pt>
                <pt idx="219">
                  <v>135</v>
                </pt>
                <pt idx="220">
                  <v>134.19</v>
                </pt>
                <pt idx="221">
                  <v>133.13</v>
                </pt>
                <pt idx="222">
                  <v>135.33</v>
                </pt>
                <pt idx="223">
                  <v>134.14</v>
                </pt>
                <pt idx="224">
                  <v>131.58</v>
                </pt>
                <pt idx="225">
                  <v>131.03</v>
                </pt>
                <pt idx="226">
                  <v>132.08</v>
                </pt>
                <pt idx="227">
                  <v>133.92</v>
                </pt>
                <pt idx="228">
                  <v>133.42</v>
                </pt>
                <pt idx="229">
                  <v>134.13</v>
                </pt>
                <pt idx="230">
                  <v>132.55</v>
                </pt>
                <pt idx="231">
                  <v>131.15</v>
                </pt>
                <pt idx="232">
                  <v>130.71</v>
                </pt>
                <pt idx="233">
                  <v>133.18</v>
                </pt>
                <pt idx="234">
                  <v>133.07</v>
                </pt>
                <pt idx="235">
                  <v>133.35</v>
                </pt>
                <pt idx="236">
                  <v>133.81</v>
                </pt>
                <pt idx="237">
                  <v>132.64</v>
                </pt>
                <pt idx="238">
                  <v>132.31</v>
                </pt>
                <pt idx="239">
                  <v>130.69</v>
                </pt>
                <pt idx="240">
                  <v>131.14</v>
                </pt>
                <pt idx="241">
                  <v>130.95</v>
                </pt>
                <pt idx="242">
                  <v>132.64</v>
                </pt>
                <pt idx="243">
                  <v>132.55</v>
                </pt>
                <pt idx="244">
                  <v>132.1</v>
                </pt>
                <pt idx="245">
                  <v>133.47</v>
                </pt>
                <pt idx="246">
                  <v>131.7</v>
                </pt>
                <pt idx="247">
                  <v>132.14</v>
                </pt>
                <pt idx="248">
                  <v>132.55</v>
                </pt>
                <pt idx="249">
                  <v>133.38</v>
                </pt>
                <pt idx="250">
                  <v>133.96</v>
                </pt>
                <pt idx="251">
                  <v>133.79</v>
                </pt>
                <pt idx="252">
                  <v>133.85</v>
                </pt>
                <pt idx="253">
                  <v>133.54</v>
                </pt>
                <pt idx="254">
                  <v>134.38</v>
                </pt>
                <pt idx="255">
                  <v>135.23</v>
                </pt>
                <pt idx="256">
                  <v>134.64</v>
                </pt>
                <pt idx="257">
                  <v>133.38</v>
                </pt>
                <pt idx="258">
                  <v>133.94</v>
                </pt>
                <pt idx="259">
                  <v>133.78</v>
                </pt>
                <pt idx="260">
                  <v>134.11</v>
                </pt>
                <pt idx="261">
                  <v>135.78</v>
                </pt>
                <pt idx="262">
                  <v>135.48</v>
                </pt>
                <pt idx="263">
                  <v>136.19</v>
                </pt>
                <pt idx="264">
                  <v>137.53</v>
                </pt>
                <pt idx="265">
                  <v>138.56</v>
                </pt>
                <pt idx="266">
                  <v>135.94</v>
                </pt>
                <pt idx="267">
                  <v>135.62</v>
                </pt>
                <pt idx="268">
                  <v>134.92</v>
                </pt>
                <pt idx="269">
                  <v>134.58</v>
                </pt>
                <pt idx="270">
                  <v>135.09</v>
                </pt>
                <pt idx="271">
                  <v>135.08</v>
                </pt>
                <pt idx="272">
                  <v>134.33</v>
                </pt>
                <pt idx="273">
                  <v>133.32</v>
                </pt>
                <pt idx="274">
                  <v>133.41</v>
                </pt>
                <pt idx="275">
                  <v>134.43</v>
                </pt>
                <pt idx="276">
                  <v>133.82</v>
                </pt>
                <pt idx="277">
                  <v>133.65</v>
                </pt>
                <pt idx="278">
                  <v>132.26</v>
                </pt>
                <pt idx="279">
                  <v>131.96</v>
                </pt>
                <pt idx="280">
                  <v>132.25</v>
                </pt>
                <pt idx="281">
                  <v>132.34</v>
                </pt>
                <pt idx="282">
                  <v>132.73</v>
                </pt>
                <pt idx="283">
                  <v>134.1</v>
                </pt>
                <pt idx="284">
                  <v>134.89</v>
                </pt>
                <pt idx="285">
                  <v>133.71</v>
                </pt>
                <pt idx="286">
                  <v>133.99</v>
                </pt>
                <pt idx="287">
                  <v>133.94</v>
                </pt>
                <pt idx="288">
                  <v>134.56</v>
                </pt>
                <pt idx="289">
                  <v>134.63</v>
                </pt>
                <pt idx="290">
                  <v>133.63</v>
                </pt>
                <pt idx="291">
                  <v>134.34</v>
                </pt>
                <pt idx="292">
                  <v>135.65</v>
                </pt>
                <pt idx="293">
                  <v>136.89</v>
                </pt>
                <pt idx="294">
                  <v>136.47</v>
                </pt>
                <pt idx="295">
                  <v>137.85</v>
                </pt>
                <pt idx="296">
                  <v>137.39</v>
                </pt>
                <pt idx="297">
                  <v>136.13</v>
                </pt>
                <pt idx="298">
                  <v>134.3</v>
                </pt>
                <pt idx="299">
                  <v>134.35</v>
                </pt>
                <pt idx="300">
                  <v>134.51</v>
                </pt>
                <pt idx="301">
                  <v>135.04</v>
                </pt>
                <pt idx="302">
                  <v>135.92</v>
                </pt>
                <pt idx="303">
                  <v>136.53</v>
                </pt>
                <pt idx="304">
                  <v>136.24</v>
                </pt>
                <pt idx="305">
                  <v>136.49</v>
                </pt>
                <pt idx="306">
                  <v>136.59</v>
                </pt>
                <pt idx="307">
                  <v>134.65</v>
                </pt>
                <pt idx="308">
                  <v>133.7</v>
                </pt>
                <pt idx="309">
                  <v>132.45</v>
                </pt>
                <pt idx="310">
                  <v>132.63</v>
                </pt>
                <pt idx="311">
                  <v>132.18</v>
                </pt>
                <pt idx="312">
                  <v>130.93</v>
                </pt>
                <pt idx="313">
                  <v>130.81</v>
                </pt>
                <pt idx="314">
                  <v>130.66</v>
                </pt>
                <pt idx="315">
                  <v>130.39</v>
                </pt>
                <pt idx="316">
                  <v>130.66</v>
                </pt>
                <pt idx="317">
                  <v>128.88</v>
                </pt>
                <pt idx="318">
                  <v>127.54</v>
                </pt>
                <pt idx="319">
                  <v>127.15</v>
                </pt>
                <pt idx="320">
                  <v>127.01</v>
                </pt>
                <pt idx="321">
                  <v>126.85</v>
                </pt>
                <pt idx="322">
                  <v>127.26</v>
                </pt>
                <pt idx="323">
                  <v>128.37</v>
                </pt>
                <pt idx="324">
                  <v>127.92</v>
                </pt>
                <pt idx="325">
                  <v>129.15</v>
                </pt>
                <pt idx="326">
                  <v>130.13</v>
                </pt>
                <pt idx="327">
                  <v>130.29</v>
                </pt>
                <pt idx="328">
                  <v>130.2</v>
                </pt>
                <pt idx="329">
                  <v>131.5</v>
                </pt>
                <pt idx="330">
                  <v>131.68</v>
                </pt>
                <pt idx="331">
                  <v>131.5</v>
                </pt>
                <pt idx="332">
                  <v>132.03</v>
                </pt>
                <pt idx="333">
                  <v>131.53</v>
                </pt>
                <pt idx="334">
                  <v>130.94</v>
                </pt>
                <pt idx="335">
                  <v>131.61</v>
                </pt>
                <pt idx="336">
                  <v>132.68</v>
                </pt>
                <pt idx="337">
                  <v>132.97</v>
                </pt>
                <pt idx="338">
                  <v>130.96</v>
                </pt>
                <pt idx="339">
                  <v>131.06</v>
                </pt>
                <pt idx="340">
                  <v>130.86</v>
                </pt>
                <pt idx="341">
                  <v>130.15</v>
                </pt>
                <pt idx="342">
                  <v>129.69</v>
                </pt>
                <pt idx="343">
                  <v>129.07</v>
                </pt>
                <pt idx="344">
                  <v>128.96</v>
                </pt>
                <pt idx="345">
                  <v>128.52</v>
                </pt>
                <pt idx="346">
                  <v>129.18</v>
                </pt>
                <pt idx="347">
                  <v>128.71</v>
                </pt>
                <pt idx="348">
                  <v>128.59</v>
                </pt>
                <pt idx="349">
                  <v>128.55</v>
                </pt>
                <pt idx="350">
                  <v>127.87</v>
                </pt>
                <pt idx="351">
                  <v>128.6</v>
                </pt>
                <pt idx="352">
                  <v>128.3</v>
                </pt>
                <pt idx="353">
                  <v>128.19</v>
                </pt>
                <pt idx="354">
                  <v>127.84</v>
                </pt>
                <pt idx="355">
                  <v>128.11</v>
                </pt>
                <pt idx="356">
                  <v>128.4</v>
                </pt>
                <pt idx="357">
                  <v>128.14</v>
                </pt>
                <pt idx="358">
                  <v>128.22</v>
                </pt>
                <pt idx="359">
                  <v>129.11</v>
                </pt>
                <pt idx="360">
                  <v>129.46</v>
                </pt>
                <pt idx="361">
                  <v>130.84</v>
                </pt>
                <pt idx="362">
                  <v>130.89</v>
                </pt>
                <pt idx="363">
                  <v>130.2</v>
                </pt>
                <pt idx="364">
                  <v>130.38</v>
                </pt>
                <pt idx="365">
                  <v>130.28</v>
                </pt>
                <pt idx="366">
                  <v>129.8</v>
                </pt>
                <pt idx="367">
                  <v>130.84</v>
                </pt>
                <pt idx="368">
                  <v>130.37</v>
                </pt>
                <pt idx="369">
                  <v>130.54</v>
                </pt>
                <pt idx="370">
                  <v>130.34</v>
                </pt>
                <pt idx="371">
                  <v>130.24</v>
                </pt>
                <pt idx="372">
                  <v>130.13</v>
                </pt>
                <pt idx="373">
                  <v>129.9</v>
                </pt>
                <pt idx="374">
                  <v>130.09</v>
                </pt>
                <pt idx="375">
                  <v>130.99</v>
                </pt>
                <pt idx="376">
                  <v>130.94</v>
                </pt>
                <pt idx="377">
                  <v>132.46</v>
                </pt>
                <pt idx="378">
                  <v>131.47</v>
                </pt>
                <pt idx="379">
                  <v>130.69</v>
                </pt>
                <pt idx="380">
                  <v>131.36</v>
                </pt>
                <pt idx="381">
                  <v>131.89</v>
                </pt>
                <pt idx="382">
                  <v>132.05</v>
                </pt>
                <pt idx="383">
                  <v>132.68</v>
                </pt>
                <pt idx="384">
                  <v>133.56</v>
                </pt>
                <pt idx="385">
                  <v>133.29</v>
                </pt>
                <pt idx="386">
                  <v>134.45</v>
                </pt>
                <pt idx="387">
                  <v>134.92</v>
                </pt>
                <pt idx="388">
                  <v>137.11</v>
                </pt>
                <pt idx="389">
                  <v>138.02</v>
                </pt>
                <pt idx="390">
                  <v>137.98</v>
                </pt>
                <pt idx="391">
                  <v>138.99</v>
                </pt>
                <pt idx="392">
                  <v>137.97</v>
                </pt>
                <pt idx="393">
                  <v>138.53</v>
                </pt>
                <pt idx="394">
                  <v>138.08</v>
                </pt>
                <pt idx="395">
                  <v>137.98</v>
                </pt>
                <pt idx="396">
                  <v>138.41</v>
                </pt>
                <pt idx="397">
                  <v>137.53</v>
                </pt>
                <pt idx="398">
                  <v>137.74</v>
                </pt>
                <pt idx="399">
                  <v>137.65</v>
                </pt>
                <pt idx="400">
                  <v>137.42</v>
                </pt>
                <pt idx="401">
                  <v>138.07</v>
                </pt>
                <pt idx="402">
                  <v>138.54</v>
                </pt>
                <pt idx="403">
                  <v>137.77</v>
                </pt>
                <pt idx="404">
                  <v>138.05</v>
                </pt>
                <pt idx="405">
                  <v>138.18</v>
                </pt>
                <pt idx="406">
                  <v>139.27</v>
                </pt>
                <pt idx="407">
                  <v>138.16</v>
                </pt>
                <pt idx="408">
                  <v>138.28</v>
                </pt>
                <pt idx="409">
                  <v>137.64</v>
                </pt>
                <pt idx="410">
                  <v>138.37</v>
                </pt>
                <pt idx="411">
                  <v>138.65</v>
                </pt>
                <pt idx="412">
                  <v>138.67</v>
                </pt>
                <pt idx="413">
                  <v>138.81</v>
                </pt>
                <pt idx="414">
                  <v>138.57</v>
                </pt>
                <pt idx="415">
                  <v>138.04</v>
                </pt>
                <pt idx="416">
                  <v>137.41</v>
                </pt>
                <pt idx="417">
                  <v>137.07</v>
                </pt>
                <pt idx="418">
                  <v>136.97</v>
                </pt>
                <pt idx="419">
                  <v>136.7</v>
                </pt>
                <pt idx="420">
                  <v>137.2</v>
                </pt>
                <pt idx="421">
                  <v>137.07</v>
                </pt>
                <pt idx="422">
                  <v>136.81</v>
                </pt>
                <pt idx="423">
                  <v>137.48</v>
                </pt>
                <pt idx="424">
                  <v>138.05</v>
                </pt>
                <pt idx="425">
                  <v>137.56</v>
                </pt>
                <pt idx="426">
                  <v>138.56</v>
                </pt>
                <pt idx="427">
                  <v>138.17</v>
                </pt>
                <pt idx="428">
                  <v>137.41</v>
                </pt>
                <pt idx="429">
                  <v>137.61</v>
                </pt>
                <pt idx="430">
                  <v>138.36</v>
                </pt>
                <pt idx="431">
                  <v>137.65</v>
                </pt>
                <pt idx="432">
                  <v>138.04</v>
                </pt>
                <pt idx="433">
                  <v>138.52</v>
                </pt>
                <pt idx="434">
                  <v>138.55</v>
                </pt>
                <pt idx="435">
                  <v>139.19</v>
                </pt>
                <pt idx="436">
                  <v>138.72</v>
                </pt>
                <pt idx="437">
                  <v>138.08</v>
                </pt>
                <pt idx="438">
                  <v>138.4</v>
                </pt>
                <pt idx="439">
                  <v>137.75</v>
                </pt>
                <pt idx="440">
                  <v>137.89</v>
                </pt>
                <pt idx="441">
                  <v>137.5</v>
                </pt>
                <pt idx="442">
                  <v>138.46</v>
                </pt>
                <pt idx="443">
                  <v>138.14</v>
                </pt>
                <pt idx="444">
                  <v>138.23</v>
                </pt>
                <pt idx="445">
                  <v>137.69</v>
                </pt>
                <pt idx="446">
                  <v>137.95</v>
                </pt>
                <pt idx="447">
                  <v>138.32</v>
                </pt>
                <pt idx="448">
                  <v>138.98</v>
                </pt>
                <pt idx="449">
                  <v>139.31</v>
                </pt>
                <pt idx="450">
                  <v>139.14</v>
                </pt>
                <pt idx="451">
                  <v>140.51</v>
                </pt>
                <pt idx="452">
                  <v>140.21</v>
                </pt>
                <pt idx="453">
                  <v>140.5</v>
                </pt>
                <pt idx="454">
                  <v>140.42</v>
                </pt>
                <pt idx="455">
                  <v>141.14</v>
                </pt>
                <pt idx="456">
                  <v>140.51</v>
                </pt>
                <pt idx="457">
                  <v>139.77</v>
                </pt>
                <pt idx="458">
                  <v>140.54</v>
                </pt>
                <pt idx="459">
                  <v>139.87</v>
                </pt>
                <pt idx="460">
                  <v>139.64</v>
                </pt>
                <pt idx="461">
                  <v>138.87</v>
                </pt>
                <pt idx="462">
                  <v>138.82</v>
                </pt>
                <pt idx="463">
                  <v>138.97</v>
                </pt>
                <pt idx="464">
                  <v>138.95</v>
                </pt>
                <pt idx="465">
                  <v>138.29</v>
                </pt>
                <pt idx="466">
                  <v>138.2</v>
                </pt>
                <pt idx="467">
                  <v>137.76</v>
                </pt>
                <pt idx="468">
                  <v>137.58</v>
                </pt>
                <pt idx="469">
                  <v>137.46</v>
                </pt>
                <pt idx="470">
                  <v>137.38</v>
                </pt>
                <pt idx="471">
                  <v>137.61</v>
                </pt>
                <pt idx="472">
                  <v>137.92</v>
                </pt>
                <pt idx="473">
                  <v>138.78</v>
                </pt>
                <pt idx="474">
                  <v>139.14</v>
                </pt>
                <pt idx="475">
                  <v>138.67</v>
                </pt>
                <pt idx="476">
                  <v>139.08</v>
                </pt>
                <pt idx="477">
                  <v>138.73</v>
                </pt>
                <pt idx="478">
                  <v>139.56</v>
                </pt>
                <pt idx="479">
                  <v>138.57</v>
                </pt>
                <pt idx="480">
                  <v>139.19</v>
                </pt>
                <pt idx="481">
                  <v>139.74</v>
                </pt>
                <pt idx="482">
                  <v>139.44</v>
                </pt>
                <pt idx="483">
                  <v>139.53</v>
                </pt>
                <pt idx="484">
                  <v>139.9</v>
                </pt>
                <pt idx="485">
                  <v>139.71</v>
                </pt>
                <pt idx="486">
                  <v>139.6</v>
                </pt>
                <pt idx="487">
                  <v>140.44</v>
                </pt>
                <pt idx="488">
                  <v>141.35</v>
                </pt>
                <pt idx="489">
                  <v>141.28</v>
                </pt>
                <pt idx="490">
                  <v>141.49</v>
                </pt>
                <pt idx="491">
                  <v>141.47</v>
                </pt>
                <pt idx="492">
                  <v>141.5</v>
                </pt>
                <pt idx="493">
                  <v>141.74</v>
                </pt>
                <pt idx="494">
                  <v>141.32</v>
                </pt>
                <pt idx="495">
                  <v>141.23</v>
                </pt>
                <pt idx="496">
                  <v>141.78</v>
                </pt>
                <pt idx="497">
                  <v>141.03</v>
                </pt>
                <pt idx="498">
                  <v>140.81</v>
                </pt>
                <pt idx="499">
                  <v>140.9</v>
                </pt>
                <pt idx="500">
                  <v>141.89</v>
                </pt>
                <pt idx="501">
                  <v>142.69</v>
                </pt>
                <pt idx="502">
                  <v>143.41</v>
                </pt>
                <pt idx="503">
                  <v>142.8</v>
                </pt>
                <pt idx="504">
                  <v>141.98</v>
                </pt>
                <pt idx="505">
                  <v>148.62</v>
                </pt>
                <pt idx="506">
                  <v>149.38</v>
                </pt>
                <pt idx="507">
                  <v>149.85</v>
                </pt>
                <pt idx="508">
                  <v>148.43</v>
                </pt>
                <pt idx="509">
                  <v>148.1</v>
                </pt>
                <pt idx="510">
                  <v>148.59</v>
                </pt>
                <pt idx="511">
                  <v>149.88</v>
                </pt>
                <pt idx="512">
                  <v>150.3</v>
                </pt>
                <pt idx="513">
                  <v>150.46</v>
                </pt>
                <pt idx="514">
                  <v>150.76</v>
                </pt>
                <pt idx="515">
                  <v>151.33</v>
                </pt>
                <pt idx="516">
                  <v>152.06</v>
                </pt>
                <pt idx="517">
                  <v>152.6</v>
                </pt>
                <pt idx="518">
                  <v>153.37</v>
                </pt>
                <pt idx="519">
                  <v>154.46</v>
                </pt>
                <pt idx="520">
                  <v>154.41</v>
                </pt>
                <pt idx="521">
                  <v>152.02</v>
                </pt>
                <pt idx="522">
                  <v>151.48</v>
                </pt>
                <pt idx="523">
                  <v>152.65</v>
                </pt>
                <pt idx="524">
                  <v>150.9</v>
                </pt>
                <pt idx="525">
                  <v>151.53</v>
                </pt>
                <pt idx="526">
                  <v>150.3</v>
                </pt>
                <pt idx="527">
                  <v>150.89</v>
                </pt>
                <pt idx="528">
                  <v>151.8</v>
                </pt>
                <pt idx="529">
                  <v>152.83</v>
                </pt>
                <pt idx="530">
                  <v>149.95</v>
                </pt>
                <pt idx="531">
                  <v>151.57</v>
                </pt>
                <pt idx="532">
                  <v>152.28</v>
                </pt>
                <pt idx="533">
                  <v>152.65</v>
                </pt>
                <pt idx="534">
                  <v>153.17</v>
                </pt>
                <pt idx="535">
                  <v>153.9</v>
                </pt>
                <pt idx="536">
                  <v>157.6</v>
                </pt>
                <pt idx="537">
                  <v>160.76</v>
                </pt>
                <pt idx="538">
                  <v>163.16</v>
                </pt>
                <pt idx="539">
                  <v>155.94</v>
                </pt>
                <pt idx="540">
                  <v>158.57</v>
                </pt>
                <pt idx="541">
                  <v>162.94</v>
                </pt>
                <pt idx="542">
                  <v>163.76</v>
                </pt>
                <pt idx="543">
                  <v>162.55</v>
                </pt>
                <pt idx="544">
                  <v>166.41</v>
                </pt>
                <pt idx="545">
                  <v>169.14</v>
                </pt>
                <pt idx="546">
                  <v>170.82</v>
                </pt>
                <pt idx="547">
                  <v>163.96</v>
                </pt>
                <pt idx="548">
                  <v>160.85</v>
                </pt>
                <pt idx="549">
                  <v>160.02</v>
                </pt>
                <pt idx="550">
                  <v>158.39</v>
                </pt>
                <pt idx="551">
                  <v>157.25</v>
                </pt>
                <pt idx="552">
                  <v>154.9</v>
                </pt>
                <pt idx="553">
                  <v>152.62</v>
                </pt>
                <pt idx="554">
                  <v>155.09</v>
                </pt>
                <pt idx="555">
                  <v>159.05</v>
                </pt>
                <pt idx="556">
                  <v>160.7</v>
                </pt>
                <pt idx="557">
                  <v>161.12</v>
                </pt>
                <pt idx="558">
                  <v>163.79</v>
                </pt>
                <pt idx="559">
                  <v>163.32</v>
                </pt>
                <pt idx="560">
                  <v>166.72</v>
                </pt>
                <pt idx="561">
                  <v>168.61</v>
                </pt>
                <pt idx="562">
                  <v>166.79</v>
                </pt>
                <pt idx="563">
                  <v>170.41</v>
                </pt>
                <pt idx="564">
                  <v>173.51</v>
                </pt>
                <pt idx="565">
                  <v>170.89</v>
                </pt>
                <pt idx="566">
                  <v>168.98</v>
                </pt>
                <pt idx="567">
                  <v>168.65</v>
                </pt>
                <pt idx="568">
                  <v>160.82</v>
                </pt>
                <pt idx="569">
                  <v>161.16</v>
                </pt>
                <pt idx="570">
                  <v>162.3</v>
                </pt>
                <pt idx="571">
                  <v>162.64</v>
                </pt>
                <pt idx="572">
                  <v>161.31</v>
                </pt>
                <pt idx="573">
                  <v>160.13</v>
                </pt>
                <pt idx="574">
                  <v>158.69</v>
                </pt>
                <pt idx="575">
                  <v>156.07</v>
                </pt>
                <pt idx="576">
                  <v>154.83</v>
                </pt>
                <pt idx="577">
                  <v>153.84</v>
                </pt>
                <pt idx="578">
                  <v>154.24</v>
                </pt>
                <pt idx="579">
                  <v>153.16</v>
                </pt>
                <pt idx="580">
                  <v>152.06</v>
                </pt>
                <pt idx="581">
                  <v>152.74</v>
                </pt>
                <pt idx="582">
                  <v>152.91</v>
                </pt>
                <pt idx="583">
                  <v>152.27</v>
                </pt>
                <pt idx="584">
                  <v>153.29</v>
                </pt>
                <pt idx="585">
                  <v>153.87</v>
                </pt>
                <pt idx="586">
                  <v>153.19</v>
                </pt>
                <pt idx="587">
                  <v>153.12</v>
                </pt>
                <pt idx="588">
                  <v>152.85</v>
                </pt>
                <pt idx="589">
                  <v>152.2</v>
                </pt>
                <pt idx="590">
                  <v>152.16</v>
                </pt>
                <pt idx="591">
                  <v>152.02</v>
                </pt>
                <pt idx="592">
                  <v>152.03</v>
                </pt>
                <pt idx="593">
                  <v>152.19</v>
                </pt>
                <pt idx="594">
                  <v>152.29</v>
                </pt>
                <pt idx="595">
                  <v>153.06</v>
                </pt>
                <pt idx="596">
                  <v>153.11</v>
                </pt>
                <pt idx="597">
                  <v>152.84</v>
                </pt>
                <pt idx="598">
                  <v>152.65</v>
                </pt>
                <pt idx="599">
                  <v>152.66</v>
                </pt>
                <pt idx="600">
                  <v>152.18</v>
                </pt>
                <pt idx="601">
                  <v>150.98</v>
                </pt>
                <pt idx="602">
                  <v>150.64</v>
                </pt>
                <pt idx="603">
                  <v>150.2</v>
                </pt>
                <pt idx="604">
                  <v>149.33</v>
                </pt>
                <pt idx="605">
                  <v>148.73</v>
                </pt>
                <pt idx="606">
                  <v>149.43</v>
                </pt>
                <pt idx="607">
                  <v>150.39</v>
                </pt>
                <pt idx="608">
                  <v>152.78</v>
                </pt>
                <pt idx="609">
                  <v>153.66</v>
                </pt>
                <pt idx="610">
                  <v>153.75</v>
                </pt>
                <pt idx="611">
                  <v>154.05</v>
                </pt>
                <pt idx="612">
                  <v>153.22</v>
                </pt>
                <pt idx="613">
                  <v>156.21</v>
                </pt>
                <pt idx="614">
                  <v>154.28</v>
                </pt>
                <pt idx="615">
                  <v>152.65</v>
                </pt>
                <pt idx="616">
                  <v>148.47</v>
                </pt>
                <pt idx="617">
                  <v>148.7</v>
                </pt>
                <pt idx="618">
                  <v>150.19</v>
                </pt>
                <pt idx="619">
                  <v>150.86</v>
                </pt>
                <pt idx="620">
                  <v>151.85</v>
                </pt>
                <pt idx="621">
                  <v>152.12</v>
                </pt>
                <pt idx="622">
                  <v>150.43</v>
                </pt>
                <pt idx="623">
                  <v>149.33</v>
                </pt>
                <pt idx="624">
                  <v>150.2</v>
                </pt>
                <pt idx="625">
                  <v>151.27</v>
                </pt>
                <pt idx="626">
                  <v>151.72</v>
                </pt>
                <pt idx="627">
                  <v>152.32</v>
                </pt>
                <pt idx="628">
                  <v>153.46</v>
                </pt>
                <pt idx="629">
                  <v>152.64</v>
                </pt>
                <pt idx="630">
                  <v>153.66</v>
                </pt>
                <pt idx="631">
                  <v>153.02</v>
                </pt>
                <pt idx="632">
                  <v>154.19</v>
                </pt>
                <pt idx="633">
                  <v>157.41</v>
                </pt>
                <pt idx="634">
                  <v>156.92</v>
                </pt>
                <pt idx="635">
                  <v>157</v>
                </pt>
                <pt idx="636">
                  <v>158.82</v>
                </pt>
                <pt idx="637">
                  <v>156.07</v>
                </pt>
                <pt idx="638">
                  <v>156.96</v>
                </pt>
                <pt idx="639">
                  <v>156.65</v>
                </pt>
                <pt idx="640">
                  <v>157.16</v>
                </pt>
                <pt idx="641">
                  <v>157.6</v>
                </pt>
                <pt idx="642">
                  <v>156.6</v>
                </pt>
                <pt idx="643">
                  <v>155.45</v>
                </pt>
                <pt idx="644">
                  <v>155.57</v>
                </pt>
                <pt idx="645">
                  <v>155.29</v>
                </pt>
                <pt idx="646">
                  <v>155.58</v>
                </pt>
                <pt idx="647">
                  <v>154.57</v>
                </pt>
                <pt idx="648">
                  <v>155.88</v>
                </pt>
                <pt idx="649">
                  <v>155.9</v>
                </pt>
                <pt idx="650">
                  <v>155.89</v>
                </pt>
                <pt idx="651">
                  <v>156.39</v>
                </pt>
                <pt idx="652">
                  <v>155.56</v>
                </pt>
                <pt idx="653">
                  <v>153.97</v>
                </pt>
                <pt idx="654">
                  <v>151.8</v>
                </pt>
                <pt idx="655">
                  <v>150.2</v>
                </pt>
                <pt idx="656">
                  <v>150.42</v>
                </pt>
                <pt idx="657">
                  <v>150.33</v>
                </pt>
                <pt idx="658">
                  <v>149.69</v>
                </pt>
                <pt idx="659">
                  <v>150.18</v>
                </pt>
                <pt idx="660">
                  <v>150.19</v>
                </pt>
                <pt idx="661">
                  <v>149.95</v>
                </pt>
                <pt idx="662">
                  <v>149.93</v>
                </pt>
                <pt idx="663">
                  <v>149.69</v>
                </pt>
                <pt idx="664">
                  <v>150.14</v>
                </pt>
                <pt idx="665">
                  <v>149.31</v>
                </pt>
                <pt idx="666">
                  <v>148.47</v>
                </pt>
                <pt idx="667">
                  <v>147.8</v>
                </pt>
                <pt idx="668">
                  <v>147.44</v>
                </pt>
                <pt idx="669">
                  <v>148.16</v>
                </pt>
                <pt idx="670">
                  <v>149.24</v>
                </pt>
                <pt idx="671">
                  <v>149.72</v>
                </pt>
                <pt idx="672">
                  <v>150.66</v>
                </pt>
                <pt idx="673">
                  <v>151.61</v>
                </pt>
                <pt idx="674">
                  <v>151.94</v>
                </pt>
                <pt idx="675">
                  <v>152.13</v>
                </pt>
                <pt idx="676">
                  <v>151.71</v>
                </pt>
                <pt idx="677">
                  <v>153.57</v>
                </pt>
                <pt idx="678">
                  <v>156.94</v>
                </pt>
                <pt idx="679">
                  <v>158.49</v>
                </pt>
                <pt idx="680">
                  <v>163.89</v>
                </pt>
                <pt idx="681">
                  <v>157.11</v>
                </pt>
                <pt idx="682">
                  <v>163.48</v>
                </pt>
                <pt idx="683">
                  <v>165.49</v>
                </pt>
                <pt idx="684">
                  <v>163.14</v>
                </pt>
                <pt idx="685">
                  <v>163.57</v>
                </pt>
                <pt idx="686">
                  <v>162.28</v>
                </pt>
                <pt idx="687">
                  <v>156.86</v>
                </pt>
                <pt idx="688">
                  <v>153.39</v>
                </pt>
                <pt idx="689">
                  <v>154.77</v>
                </pt>
                <pt idx="690">
                  <v>154.84</v>
                </pt>
                <pt idx="691">
                  <v>153.93</v>
                </pt>
                <pt idx="692">
                  <v>155.28</v>
                </pt>
                <pt idx="693">
                  <v>154.3</v>
                </pt>
                <pt idx="694">
                  <v>154.57</v>
                </pt>
                <pt idx="695">
                  <v>156.25</v>
                </pt>
                <pt idx="696">
                  <v>158.88</v>
                </pt>
                <pt idx="697">
                  <v>156.81</v>
                </pt>
                <pt idx="698">
                  <v>154.98</v>
                </pt>
                <pt idx="699">
                  <v>153.93</v>
                </pt>
                <pt idx="700">
                  <v>152.88</v>
                </pt>
                <pt idx="701">
                  <v>152.6</v>
                </pt>
                <pt idx="702">
                  <v>153.01</v>
                </pt>
                <pt idx="703">
                  <v>154.09</v>
                </pt>
                <pt idx="704">
                  <v>155.22</v>
                </pt>
                <pt idx="705">
                  <v>154.77</v>
                </pt>
                <pt idx="706">
                  <v>153.71</v>
                </pt>
                <pt idx="707">
                  <v>153.96</v>
                </pt>
                <pt idx="708">
                  <v>153.73</v>
                </pt>
                <pt idx="709">
                  <v>153.21</v>
                </pt>
                <pt idx="710">
                  <v>152.35</v>
                </pt>
                <pt idx="711">
                  <v>152.2</v>
                </pt>
                <pt idx="712">
                  <v>153.06</v>
                </pt>
                <pt idx="713">
                  <v>152.75</v>
                </pt>
                <pt idx="714">
                  <v>155.26</v>
                </pt>
                <pt idx="715">
                  <v>156.28</v>
                </pt>
                <pt idx="716">
                  <v>154.59</v>
                </pt>
                <pt idx="717">
                  <v>153.71</v>
                </pt>
                <pt idx="718">
                  <v>152.46</v>
                </pt>
                <pt idx="719">
                  <v>152.65</v>
                </pt>
                <pt idx="720">
                  <v>152.7</v>
                </pt>
                <pt idx="721">
                  <v>153.62</v>
                </pt>
                <pt idx="722">
                  <v>155.52</v>
                </pt>
                <pt idx="723">
                  <v>158.94</v>
                </pt>
                <pt idx="724">
                  <v>157.66</v>
                </pt>
                <pt idx="725">
                  <v>156.53</v>
                </pt>
                <pt idx="726">
                  <v>156.23</v>
                </pt>
                <pt idx="727">
                  <v>157.19</v>
                </pt>
                <pt idx="728">
                  <v>157.11</v>
                </pt>
                <pt idx="729">
                  <v>158.7</v>
                </pt>
                <pt idx="730">
                  <v>159.3</v>
                </pt>
                <pt idx="731">
                  <v>161.33</v>
                </pt>
                <pt idx="732">
                  <v>163.7</v>
                </pt>
                <pt idx="733">
                  <v>164.74</v>
                </pt>
                <pt idx="734">
                  <v>165.63</v>
                </pt>
                <pt idx="735">
                  <v>163.98</v>
                </pt>
                <pt idx="736">
                  <v>165.94</v>
                </pt>
                <pt idx="737">
                  <v>166.47</v>
                </pt>
                <pt idx="738">
                  <v>166.65</v>
                </pt>
                <pt idx="739">
                  <v>166.16</v>
                </pt>
                <pt idx="740">
                  <v>165.04</v>
                </pt>
                <pt idx="741">
                  <v>165.35</v>
                </pt>
                <pt idx="742">
                  <v>164.49</v>
                </pt>
                <pt idx="743">
                  <v>164.32</v>
                </pt>
                <pt idx="744">
                  <v>164.73</v>
                </pt>
                <pt idx="745">
                  <v>166.3</v>
                </pt>
                <pt idx="746">
                  <v>167.28</v>
                </pt>
                <pt idx="747">
                  <v>166.05</v>
                </pt>
                <pt idx="748">
                  <v>161.4</v>
                </pt>
                <pt idx="749">
                  <v>158.82</v>
                </pt>
                <pt idx="750">
                  <v>154.54</v>
                </pt>
                <pt idx="751">
                  <v>154.21</v>
                </pt>
                <pt idx="752">
                  <v>155.2</v>
                </pt>
                <pt idx="753">
                  <v>155.54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730408975"/>
        <axId val="774256079"/>
      </lineChart>
      <dateAx>
        <axId val="730408975"/>
        <scaling>
          <orientation val="minMax"/>
        </scaling>
        <delete val="0"/>
        <axPos val="b"/>
        <numFmt formatCode="m/d/yy" sourceLinked="1"/>
        <majorTickMark val="out"/>
        <minorTickMark val="none"/>
        <tickLblPos val="nextTo"/>
        <spPr>
          <a:noFill/>
          <a:ln algn="ctr" cap="flat" cmpd="sng" w="9525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anchor="ctr" anchorCtr="1" rot="-60000000" spcFirstLastPara="1" vert="horz" vertOverflow="ellipsis" wrap="square"/>
          <a:lstStyle/>
          <a:p>
            <a:pPr>
              <a:defRPr b="0" baseline="0" i="0" kern="1200" strike="noStrike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CN"/>
          </a:p>
        </txPr>
        <crossAx val="774256079"/>
        <crosses val="autoZero"/>
        <lblOffset val="100"/>
        <baseTimeUnit val="days"/>
      </dateAx>
      <valAx>
        <axId val="774256079"/>
        <scaling>
          <orientation val="minMax"/>
          <min val="0.1"/>
        </scaling>
        <delete val="0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anchor="ctr" anchorCtr="1" rot="-60000000" spcFirstLastPara="1" vert="horz" vertOverflow="ellipsis" wrap="square"/>
          <a:lstStyle/>
          <a:p>
            <a:pPr>
              <a:defRPr b="0" baseline="0" i="0" kern="1200" strike="noStrike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CN"/>
          </a:p>
        </txPr>
        <crossAx val="730408975"/>
        <crosses val="autoZero"/>
        <crossBetween val="between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lang="en-US"/>
              <a:t>None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可转债双低!$J$1:$J$2</f>
              <strCache>
                <ptCount val="2"/>
                <pt idx="0">
                  <v>平均</v>
                </pt>
                <pt idx="1">
                  <v>收益率</v>
                </pt>
              </strCache>
            </strRef>
          </tx>
          <spPr>
            <a:ln cap="rnd" w="28575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cat>
            <numRef>
              <f>可转债双低!$A$3:$A$756</f>
              <numCache>
                <formatCode>m/d/yy</formatCode>
                <ptCount val="754"/>
                <pt idx="0">
                  <v>43098</v>
                </pt>
                <pt idx="1">
                  <v>43102</v>
                </pt>
                <pt idx="2">
                  <v>43103</v>
                </pt>
                <pt idx="3">
                  <v>43104</v>
                </pt>
                <pt idx="4">
                  <v>43105</v>
                </pt>
                <pt idx="5">
                  <v>43108</v>
                </pt>
                <pt idx="6">
                  <v>43109</v>
                </pt>
                <pt idx="7">
                  <v>43110</v>
                </pt>
                <pt idx="8">
                  <v>43111</v>
                </pt>
                <pt idx="9">
                  <v>43112</v>
                </pt>
                <pt idx="10">
                  <v>43115</v>
                </pt>
                <pt idx="11">
                  <v>43116</v>
                </pt>
                <pt idx="12">
                  <v>43117</v>
                </pt>
                <pt idx="13">
                  <v>43118</v>
                </pt>
                <pt idx="14">
                  <v>43119</v>
                </pt>
                <pt idx="15">
                  <v>43122</v>
                </pt>
                <pt idx="16">
                  <v>43123</v>
                </pt>
                <pt idx="17">
                  <v>43124</v>
                </pt>
                <pt idx="18">
                  <v>43125</v>
                </pt>
                <pt idx="19">
                  <v>43126</v>
                </pt>
                <pt idx="20">
                  <v>43129</v>
                </pt>
                <pt idx="21">
                  <v>43130</v>
                </pt>
                <pt idx="22">
                  <v>43131</v>
                </pt>
                <pt idx="23">
                  <v>43132</v>
                </pt>
                <pt idx="24">
                  <v>43133</v>
                </pt>
                <pt idx="25">
                  <v>43136</v>
                </pt>
                <pt idx="26">
                  <v>43137</v>
                </pt>
                <pt idx="27">
                  <v>43138</v>
                </pt>
                <pt idx="28">
                  <v>43139</v>
                </pt>
                <pt idx="29">
                  <v>43140</v>
                </pt>
                <pt idx="30">
                  <v>43143</v>
                </pt>
                <pt idx="31">
                  <v>43144</v>
                </pt>
                <pt idx="32">
                  <v>43145</v>
                </pt>
                <pt idx="33">
                  <v>43153</v>
                </pt>
                <pt idx="34">
                  <v>43154</v>
                </pt>
                <pt idx="35">
                  <v>43157</v>
                </pt>
                <pt idx="36">
                  <v>43158</v>
                </pt>
                <pt idx="37">
                  <v>43159</v>
                </pt>
                <pt idx="38">
                  <v>43160</v>
                </pt>
                <pt idx="39">
                  <v>43161</v>
                </pt>
                <pt idx="40">
                  <v>43164</v>
                </pt>
                <pt idx="41">
                  <v>43165</v>
                </pt>
                <pt idx="42">
                  <v>43166</v>
                </pt>
                <pt idx="43">
                  <v>43167</v>
                </pt>
                <pt idx="44">
                  <v>43168</v>
                </pt>
                <pt idx="45">
                  <v>43171</v>
                </pt>
                <pt idx="46">
                  <v>43172</v>
                </pt>
                <pt idx="47">
                  <v>43173</v>
                </pt>
                <pt idx="48">
                  <v>43174</v>
                </pt>
                <pt idx="49">
                  <v>43175</v>
                </pt>
                <pt idx="50">
                  <v>43178</v>
                </pt>
                <pt idx="51">
                  <v>43179</v>
                </pt>
                <pt idx="52">
                  <v>43180</v>
                </pt>
                <pt idx="53">
                  <v>43181</v>
                </pt>
                <pt idx="54">
                  <v>43182</v>
                </pt>
                <pt idx="55">
                  <v>43185</v>
                </pt>
                <pt idx="56">
                  <v>43186</v>
                </pt>
                <pt idx="57">
                  <v>43187</v>
                </pt>
                <pt idx="58">
                  <v>43188</v>
                </pt>
                <pt idx="59">
                  <v>43189</v>
                </pt>
                <pt idx="60">
                  <v>43192</v>
                </pt>
                <pt idx="61">
                  <v>43193</v>
                </pt>
                <pt idx="62">
                  <v>43194</v>
                </pt>
                <pt idx="63">
                  <v>43199</v>
                </pt>
                <pt idx="64">
                  <v>43200</v>
                </pt>
                <pt idx="65">
                  <v>43201</v>
                </pt>
                <pt idx="66">
                  <v>43202</v>
                </pt>
                <pt idx="67">
                  <v>43203</v>
                </pt>
                <pt idx="68">
                  <v>43206</v>
                </pt>
                <pt idx="69">
                  <v>43207</v>
                </pt>
                <pt idx="70">
                  <v>43208</v>
                </pt>
                <pt idx="71">
                  <v>43209</v>
                </pt>
                <pt idx="72">
                  <v>43210</v>
                </pt>
                <pt idx="73">
                  <v>43213</v>
                </pt>
                <pt idx="74">
                  <v>43214</v>
                </pt>
                <pt idx="75">
                  <v>43215</v>
                </pt>
                <pt idx="76">
                  <v>43216</v>
                </pt>
                <pt idx="77">
                  <v>43217</v>
                </pt>
                <pt idx="78">
                  <v>43222</v>
                </pt>
                <pt idx="79">
                  <v>43223</v>
                </pt>
                <pt idx="80">
                  <v>43224</v>
                </pt>
                <pt idx="81">
                  <v>43227</v>
                </pt>
                <pt idx="82">
                  <v>43228</v>
                </pt>
                <pt idx="83">
                  <v>43229</v>
                </pt>
                <pt idx="84">
                  <v>43230</v>
                </pt>
                <pt idx="85">
                  <v>43231</v>
                </pt>
                <pt idx="86">
                  <v>43234</v>
                </pt>
                <pt idx="87">
                  <v>43235</v>
                </pt>
                <pt idx="88">
                  <v>43236</v>
                </pt>
                <pt idx="89">
                  <v>43237</v>
                </pt>
                <pt idx="90">
                  <v>43238</v>
                </pt>
                <pt idx="91">
                  <v>43241</v>
                </pt>
                <pt idx="92">
                  <v>43242</v>
                </pt>
                <pt idx="93">
                  <v>43243</v>
                </pt>
                <pt idx="94">
                  <v>43244</v>
                </pt>
                <pt idx="95">
                  <v>43245</v>
                </pt>
                <pt idx="96">
                  <v>43248</v>
                </pt>
                <pt idx="97">
                  <v>43249</v>
                </pt>
                <pt idx="98">
                  <v>43250</v>
                </pt>
                <pt idx="99">
                  <v>43251</v>
                </pt>
                <pt idx="100">
                  <v>43252</v>
                </pt>
                <pt idx="101">
                  <v>43255</v>
                </pt>
                <pt idx="102">
                  <v>43256</v>
                </pt>
                <pt idx="103">
                  <v>43257</v>
                </pt>
                <pt idx="104">
                  <v>43258</v>
                </pt>
                <pt idx="105">
                  <v>43259</v>
                </pt>
                <pt idx="106">
                  <v>43262</v>
                </pt>
                <pt idx="107">
                  <v>43263</v>
                </pt>
                <pt idx="108">
                  <v>43264</v>
                </pt>
                <pt idx="109">
                  <v>43265</v>
                </pt>
                <pt idx="110">
                  <v>43266</v>
                </pt>
                <pt idx="111">
                  <v>43270</v>
                </pt>
                <pt idx="112">
                  <v>43271</v>
                </pt>
                <pt idx="113">
                  <v>43272</v>
                </pt>
                <pt idx="114">
                  <v>43273</v>
                </pt>
                <pt idx="115">
                  <v>43276</v>
                </pt>
                <pt idx="116">
                  <v>43277</v>
                </pt>
                <pt idx="117">
                  <v>43278</v>
                </pt>
                <pt idx="118">
                  <v>43279</v>
                </pt>
                <pt idx="119">
                  <v>43280</v>
                </pt>
                <pt idx="120">
                  <v>43283</v>
                </pt>
                <pt idx="121">
                  <v>43284</v>
                </pt>
                <pt idx="122">
                  <v>43285</v>
                </pt>
                <pt idx="123">
                  <v>43286</v>
                </pt>
                <pt idx="124">
                  <v>43287</v>
                </pt>
                <pt idx="125">
                  <v>43290</v>
                </pt>
                <pt idx="126">
                  <v>43291</v>
                </pt>
                <pt idx="127">
                  <v>43292</v>
                </pt>
                <pt idx="128">
                  <v>43293</v>
                </pt>
                <pt idx="129">
                  <v>43294</v>
                </pt>
                <pt idx="130">
                  <v>43297</v>
                </pt>
                <pt idx="131">
                  <v>43298</v>
                </pt>
                <pt idx="132">
                  <v>43299</v>
                </pt>
                <pt idx="133">
                  <v>43300</v>
                </pt>
                <pt idx="134">
                  <v>43301</v>
                </pt>
                <pt idx="135">
                  <v>43304</v>
                </pt>
                <pt idx="136">
                  <v>43305</v>
                </pt>
                <pt idx="137">
                  <v>43306</v>
                </pt>
                <pt idx="138">
                  <v>43307</v>
                </pt>
                <pt idx="139">
                  <v>43308</v>
                </pt>
                <pt idx="140">
                  <v>43311</v>
                </pt>
                <pt idx="141">
                  <v>43312</v>
                </pt>
                <pt idx="142">
                  <v>43313</v>
                </pt>
                <pt idx="143">
                  <v>43314</v>
                </pt>
                <pt idx="144">
                  <v>43315</v>
                </pt>
                <pt idx="145">
                  <v>43318</v>
                </pt>
                <pt idx="146">
                  <v>43319</v>
                </pt>
                <pt idx="147">
                  <v>43320</v>
                </pt>
                <pt idx="148">
                  <v>43321</v>
                </pt>
                <pt idx="149">
                  <v>43322</v>
                </pt>
                <pt idx="150">
                  <v>43325</v>
                </pt>
                <pt idx="151">
                  <v>43326</v>
                </pt>
                <pt idx="152">
                  <v>43327</v>
                </pt>
                <pt idx="153">
                  <v>43328</v>
                </pt>
                <pt idx="154">
                  <v>43329</v>
                </pt>
                <pt idx="155">
                  <v>43332</v>
                </pt>
                <pt idx="156">
                  <v>43333</v>
                </pt>
                <pt idx="157">
                  <v>43334</v>
                </pt>
                <pt idx="158">
                  <v>43335</v>
                </pt>
                <pt idx="159">
                  <v>43336</v>
                </pt>
                <pt idx="160">
                  <v>43339</v>
                </pt>
                <pt idx="161">
                  <v>43340</v>
                </pt>
                <pt idx="162">
                  <v>43341</v>
                </pt>
                <pt idx="163">
                  <v>43342</v>
                </pt>
                <pt idx="164">
                  <v>43343</v>
                </pt>
                <pt idx="165">
                  <v>43346</v>
                </pt>
                <pt idx="166">
                  <v>43347</v>
                </pt>
                <pt idx="167">
                  <v>43348</v>
                </pt>
                <pt idx="168">
                  <v>43349</v>
                </pt>
                <pt idx="169">
                  <v>43350</v>
                </pt>
                <pt idx="170">
                  <v>43353</v>
                </pt>
                <pt idx="171">
                  <v>43354</v>
                </pt>
                <pt idx="172">
                  <v>43355</v>
                </pt>
                <pt idx="173">
                  <v>43356</v>
                </pt>
                <pt idx="174">
                  <v>43357</v>
                </pt>
                <pt idx="175">
                  <v>43360</v>
                </pt>
                <pt idx="176">
                  <v>43361</v>
                </pt>
                <pt idx="177">
                  <v>43362</v>
                </pt>
                <pt idx="178">
                  <v>43363</v>
                </pt>
                <pt idx="179">
                  <v>43364</v>
                </pt>
                <pt idx="180">
                  <v>43368</v>
                </pt>
                <pt idx="181">
                  <v>43369</v>
                </pt>
                <pt idx="182">
                  <v>43370</v>
                </pt>
                <pt idx="183">
                  <v>43371</v>
                </pt>
                <pt idx="184">
                  <v>43381</v>
                </pt>
                <pt idx="185">
                  <v>43382</v>
                </pt>
                <pt idx="186">
                  <v>43383</v>
                </pt>
                <pt idx="187">
                  <v>43384</v>
                </pt>
                <pt idx="188">
                  <v>43385</v>
                </pt>
                <pt idx="189">
                  <v>43388</v>
                </pt>
                <pt idx="190">
                  <v>43389</v>
                </pt>
                <pt idx="191">
                  <v>43390</v>
                </pt>
                <pt idx="192">
                  <v>43391</v>
                </pt>
                <pt idx="193">
                  <v>43392</v>
                </pt>
                <pt idx="194">
                  <v>43395</v>
                </pt>
                <pt idx="195">
                  <v>43396</v>
                </pt>
                <pt idx="196">
                  <v>43397</v>
                </pt>
                <pt idx="197">
                  <v>43398</v>
                </pt>
                <pt idx="198">
                  <v>43399</v>
                </pt>
                <pt idx="199">
                  <v>43402</v>
                </pt>
                <pt idx="200">
                  <v>43403</v>
                </pt>
                <pt idx="201">
                  <v>43404</v>
                </pt>
                <pt idx="202">
                  <v>43405</v>
                </pt>
                <pt idx="203">
                  <v>43406</v>
                </pt>
                <pt idx="204">
                  <v>43409</v>
                </pt>
                <pt idx="205">
                  <v>43410</v>
                </pt>
                <pt idx="206">
                  <v>43411</v>
                </pt>
                <pt idx="207">
                  <v>43412</v>
                </pt>
                <pt idx="208">
                  <v>43413</v>
                </pt>
                <pt idx="209">
                  <v>43416</v>
                </pt>
                <pt idx="210">
                  <v>43417</v>
                </pt>
                <pt idx="211">
                  <v>43418</v>
                </pt>
                <pt idx="212">
                  <v>43419</v>
                </pt>
                <pt idx="213">
                  <v>43420</v>
                </pt>
                <pt idx="214">
                  <v>43423</v>
                </pt>
                <pt idx="215">
                  <v>43424</v>
                </pt>
                <pt idx="216">
                  <v>43425</v>
                </pt>
                <pt idx="217">
                  <v>43426</v>
                </pt>
                <pt idx="218">
                  <v>43427</v>
                </pt>
                <pt idx="219">
                  <v>43430</v>
                </pt>
                <pt idx="220">
                  <v>43431</v>
                </pt>
                <pt idx="221">
                  <v>43432</v>
                </pt>
                <pt idx="222">
                  <v>43433</v>
                </pt>
                <pt idx="223">
                  <v>43434</v>
                </pt>
                <pt idx="224">
                  <v>43437</v>
                </pt>
                <pt idx="225">
                  <v>43438</v>
                </pt>
                <pt idx="226">
                  <v>43439</v>
                </pt>
                <pt idx="227">
                  <v>43440</v>
                </pt>
                <pt idx="228">
                  <v>43441</v>
                </pt>
                <pt idx="229">
                  <v>43444</v>
                </pt>
                <pt idx="230">
                  <v>43445</v>
                </pt>
                <pt idx="231">
                  <v>43446</v>
                </pt>
                <pt idx="232">
                  <v>43447</v>
                </pt>
                <pt idx="233">
                  <v>43448</v>
                </pt>
                <pt idx="234">
                  <v>43451</v>
                </pt>
                <pt idx="235">
                  <v>43452</v>
                </pt>
                <pt idx="236">
                  <v>43453</v>
                </pt>
                <pt idx="237">
                  <v>43454</v>
                </pt>
                <pt idx="238">
                  <v>43455</v>
                </pt>
                <pt idx="239">
                  <v>43458</v>
                </pt>
                <pt idx="240">
                  <v>43459</v>
                </pt>
                <pt idx="241">
                  <v>43460</v>
                </pt>
                <pt idx="242">
                  <v>43461</v>
                </pt>
                <pt idx="243">
                  <v>43462</v>
                </pt>
                <pt idx="244">
                  <v>43467</v>
                </pt>
                <pt idx="245">
                  <v>43468</v>
                </pt>
                <pt idx="246">
                  <v>43469</v>
                </pt>
                <pt idx="247">
                  <v>43472</v>
                </pt>
                <pt idx="248">
                  <v>43473</v>
                </pt>
                <pt idx="249">
                  <v>43474</v>
                </pt>
                <pt idx="250">
                  <v>43475</v>
                </pt>
                <pt idx="251">
                  <v>43476</v>
                </pt>
                <pt idx="252">
                  <v>43479</v>
                </pt>
                <pt idx="253">
                  <v>43480</v>
                </pt>
                <pt idx="254">
                  <v>43481</v>
                </pt>
                <pt idx="255">
                  <v>43482</v>
                </pt>
                <pt idx="256">
                  <v>43483</v>
                </pt>
                <pt idx="257">
                  <v>43486</v>
                </pt>
                <pt idx="258">
                  <v>43487</v>
                </pt>
                <pt idx="259">
                  <v>43488</v>
                </pt>
                <pt idx="260">
                  <v>43489</v>
                </pt>
                <pt idx="261">
                  <v>43490</v>
                </pt>
                <pt idx="262">
                  <v>43493</v>
                </pt>
                <pt idx="263">
                  <v>43494</v>
                </pt>
                <pt idx="264">
                  <v>43495</v>
                </pt>
                <pt idx="265">
                  <v>43496</v>
                </pt>
                <pt idx="266">
                  <v>43497</v>
                </pt>
                <pt idx="267">
                  <v>43507</v>
                </pt>
                <pt idx="268">
                  <v>43508</v>
                </pt>
                <pt idx="269">
                  <v>43509</v>
                </pt>
                <pt idx="270">
                  <v>43510</v>
                </pt>
                <pt idx="271">
                  <v>43511</v>
                </pt>
                <pt idx="272">
                  <v>43514</v>
                </pt>
                <pt idx="273">
                  <v>43515</v>
                </pt>
                <pt idx="274">
                  <v>43516</v>
                </pt>
                <pt idx="275">
                  <v>43517</v>
                </pt>
                <pt idx="276">
                  <v>43518</v>
                </pt>
                <pt idx="277">
                  <v>43521</v>
                </pt>
                <pt idx="278">
                  <v>43522</v>
                </pt>
                <pt idx="279">
                  <v>43523</v>
                </pt>
                <pt idx="280">
                  <v>43524</v>
                </pt>
                <pt idx="281">
                  <v>43525</v>
                </pt>
                <pt idx="282">
                  <v>43528</v>
                </pt>
                <pt idx="283">
                  <v>43529</v>
                </pt>
                <pt idx="284">
                  <v>43530</v>
                </pt>
                <pt idx="285">
                  <v>43531</v>
                </pt>
                <pt idx="286">
                  <v>43532</v>
                </pt>
                <pt idx="287">
                  <v>43535</v>
                </pt>
                <pt idx="288">
                  <v>43536</v>
                </pt>
                <pt idx="289">
                  <v>43537</v>
                </pt>
                <pt idx="290">
                  <v>43538</v>
                </pt>
                <pt idx="291">
                  <v>43539</v>
                </pt>
                <pt idx="292">
                  <v>43542</v>
                </pt>
                <pt idx="293">
                  <v>43543</v>
                </pt>
                <pt idx="294">
                  <v>43544</v>
                </pt>
                <pt idx="295">
                  <v>43545</v>
                </pt>
                <pt idx="296">
                  <v>43546</v>
                </pt>
                <pt idx="297">
                  <v>43549</v>
                </pt>
                <pt idx="298">
                  <v>43550</v>
                </pt>
                <pt idx="299">
                  <v>43551</v>
                </pt>
                <pt idx="300">
                  <v>43552</v>
                </pt>
                <pt idx="301">
                  <v>43553</v>
                </pt>
                <pt idx="302">
                  <v>43556</v>
                </pt>
                <pt idx="303">
                  <v>43557</v>
                </pt>
                <pt idx="304">
                  <v>43558</v>
                </pt>
                <pt idx="305">
                  <v>43559</v>
                </pt>
                <pt idx="306">
                  <v>43563</v>
                </pt>
                <pt idx="307">
                  <v>43564</v>
                </pt>
                <pt idx="308">
                  <v>43565</v>
                </pt>
                <pt idx="309">
                  <v>43566</v>
                </pt>
                <pt idx="310">
                  <v>43567</v>
                </pt>
                <pt idx="311">
                  <v>43570</v>
                </pt>
                <pt idx="312">
                  <v>43571</v>
                </pt>
                <pt idx="313">
                  <v>43572</v>
                </pt>
                <pt idx="314">
                  <v>43573</v>
                </pt>
                <pt idx="315">
                  <v>43574</v>
                </pt>
                <pt idx="316">
                  <v>43577</v>
                </pt>
                <pt idx="317">
                  <v>43578</v>
                </pt>
                <pt idx="318">
                  <v>43579</v>
                </pt>
                <pt idx="319">
                  <v>43580</v>
                </pt>
                <pt idx="320">
                  <v>43581</v>
                </pt>
                <pt idx="321">
                  <v>43584</v>
                </pt>
                <pt idx="322">
                  <v>43585</v>
                </pt>
                <pt idx="323">
                  <v>43591</v>
                </pt>
                <pt idx="324">
                  <v>43592</v>
                </pt>
                <pt idx="325">
                  <v>43593</v>
                </pt>
                <pt idx="326">
                  <v>43594</v>
                </pt>
                <pt idx="327">
                  <v>43595</v>
                </pt>
                <pt idx="328">
                  <v>43598</v>
                </pt>
                <pt idx="329">
                  <v>43599</v>
                </pt>
                <pt idx="330">
                  <v>43600</v>
                </pt>
                <pt idx="331">
                  <v>43601</v>
                </pt>
                <pt idx="332">
                  <v>43602</v>
                </pt>
                <pt idx="333">
                  <v>43605</v>
                </pt>
                <pt idx="334">
                  <v>43606</v>
                </pt>
                <pt idx="335">
                  <v>43607</v>
                </pt>
                <pt idx="336">
                  <v>43608</v>
                </pt>
                <pt idx="337">
                  <v>43609</v>
                </pt>
                <pt idx="338">
                  <v>43612</v>
                </pt>
                <pt idx="339">
                  <v>43613</v>
                </pt>
                <pt idx="340">
                  <v>43614</v>
                </pt>
                <pt idx="341">
                  <v>43615</v>
                </pt>
                <pt idx="342">
                  <v>43616</v>
                </pt>
                <pt idx="343">
                  <v>43619</v>
                </pt>
                <pt idx="344">
                  <v>43620</v>
                </pt>
                <pt idx="345">
                  <v>43621</v>
                </pt>
                <pt idx="346">
                  <v>43622</v>
                </pt>
                <pt idx="347">
                  <v>43626</v>
                </pt>
                <pt idx="348">
                  <v>43627</v>
                </pt>
                <pt idx="349">
                  <v>43628</v>
                </pt>
                <pt idx="350">
                  <v>43629</v>
                </pt>
                <pt idx="351">
                  <v>43630</v>
                </pt>
                <pt idx="352">
                  <v>43633</v>
                </pt>
                <pt idx="353">
                  <v>43634</v>
                </pt>
                <pt idx="354">
                  <v>43635</v>
                </pt>
                <pt idx="355">
                  <v>43636</v>
                </pt>
                <pt idx="356">
                  <v>43637</v>
                </pt>
                <pt idx="357">
                  <v>43640</v>
                </pt>
                <pt idx="358">
                  <v>43641</v>
                </pt>
                <pt idx="359">
                  <v>43642</v>
                </pt>
                <pt idx="360">
                  <v>43643</v>
                </pt>
                <pt idx="361">
                  <v>43644</v>
                </pt>
                <pt idx="362">
                  <v>43647</v>
                </pt>
                <pt idx="363">
                  <v>43648</v>
                </pt>
                <pt idx="364">
                  <v>43649</v>
                </pt>
                <pt idx="365">
                  <v>43650</v>
                </pt>
                <pt idx="366">
                  <v>43651</v>
                </pt>
                <pt idx="367">
                  <v>43654</v>
                </pt>
                <pt idx="368">
                  <v>43655</v>
                </pt>
                <pt idx="369">
                  <v>43656</v>
                </pt>
                <pt idx="370">
                  <v>43657</v>
                </pt>
                <pt idx="371">
                  <v>43658</v>
                </pt>
                <pt idx="372">
                  <v>43661</v>
                </pt>
                <pt idx="373">
                  <v>43662</v>
                </pt>
                <pt idx="374">
                  <v>43663</v>
                </pt>
                <pt idx="375">
                  <v>43664</v>
                </pt>
                <pt idx="376">
                  <v>43665</v>
                </pt>
                <pt idx="377">
                  <v>43668</v>
                </pt>
                <pt idx="378">
                  <v>43669</v>
                </pt>
                <pt idx="379">
                  <v>43670</v>
                </pt>
                <pt idx="380">
                  <v>43671</v>
                </pt>
                <pt idx="381">
                  <v>43672</v>
                </pt>
                <pt idx="382">
                  <v>43675</v>
                </pt>
                <pt idx="383">
                  <v>43676</v>
                </pt>
                <pt idx="384">
                  <v>43677</v>
                </pt>
                <pt idx="385">
                  <v>43678</v>
                </pt>
                <pt idx="386">
                  <v>43679</v>
                </pt>
                <pt idx="387">
                  <v>43682</v>
                </pt>
                <pt idx="388">
                  <v>43683</v>
                </pt>
                <pt idx="389">
                  <v>43684</v>
                </pt>
                <pt idx="390">
                  <v>43685</v>
                </pt>
                <pt idx="391">
                  <v>43686</v>
                </pt>
                <pt idx="392">
                  <v>43689</v>
                </pt>
                <pt idx="393">
                  <v>43690</v>
                </pt>
                <pt idx="394">
                  <v>43691</v>
                </pt>
                <pt idx="395">
                  <v>43692</v>
                </pt>
                <pt idx="396">
                  <v>43693</v>
                </pt>
                <pt idx="397">
                  <v>43696</v>
                </pt>
                <pt idx="398">
                  <v>43697</v>
                </pt>
                <pt idx="399">
                  <v>43698</v>
                </pt>
                <pt idx="400">
                  <v>43699</v>
                </pt>
                <pt idx="401">
                  <v>43700</v>
                </pt>
                <pt idx="402">
                  <v>43703</v>
                </pt>
                <pt idx="403">
                  <v>43704</v>
                </pt>
                <pt idx="404">
                  <v>43705</v>
                </pt>
                <pt idx="405">
                  <v>43706</v>
                </pt>
                <pt idx="406">
                  <v>43707</v>
                </pt>
                <pt idx="407">
                  <v>43710</v>
                </pt>
                <pt idx="408">
                  <v>43711</v>
                </pt>
                <pt idx="409">
                  <v>43712</v>
                </pt>
                <pt idx="410">
                  <v>43713</v>
                </pt>
                <pt idx="411">
                  <v>43714</v>
                </pt>
                <pt idx="412">
                  <v>43717</v>
                </pt>
                <pt idx="413">
                  <v>43718</v>
                </pt>
                <pt idx="414">
                  <v>43719</v>
                </pt>
                <pt idx="415">
                  <v>43720</v>
                </pt>
                <pt idx="416">
                  <v>43724</v>
                </pt>
                <pt idx="417">
                  <v>43725</v>
                </pt>
                <pt idx="418">
                  <v>43726</v>
                </pt>
                <pt idx="419">
                  <v>43727</v>
                </pt>
                <pt idx="420">
                  <v>43728</v>
                </pt>
                <pt idx="421">
                  <v>43731</v>
                </pt>
                <pt idx="422">
                  <v>43732</v>
                </pt>
                <pt idx="423">
                  <v>43733</v>
                </pt>
                <pt idx="424">
                  <v>43734</v>
                </pt>
                <pt idx="425">
                  <v>43735</v>
                </pt>
                <pt idx="426">
                  <v>43738</v>
                </pt>
                <pt idx="427">
                  <v>43746</v>
                </pt>
                <pt idx="428">
                  <v>43747</v>
                </pt>
                <pt idx="429">
                  <v>43748</v>
                </pt>
                <pt idx="430">
                  <v>43749</v>
                </pt>
                <pt idx="431">
                  <v>43752</v>
                </pt>
                <pt idx="432">
                  <v>43753</v>
                </pt>
                <pt idx="433">
                  <v>43754</v>
                </pt>
                <pt idx="434">
                  <v>43755</v>
                </pt>
                <pt idx="435">
                  <v>43756</v>
                </pt>
                <pt idx="436">
                  <v>43759</v>
                </pt>
                <pt idx="437">
                  <v>43760</v>
                </pt>
                <pt idx="438">
                  <v>43761</v>
                </pt>
                <pt idx="439">
                  <v>43762</v>
                </pt>
                <pt idx="440">
                  <v>43763</v>
                </pt>
                <pt idx="441">
                  <v>43766</v>
                </pt>
                <pt idx="442">
                  <v>43767</v>
                </pt>
                <pt idx="443">
                  <v>43768</v>
                </pt>
                <pt idx="444">
                  <v>43769</v>
                </pt>
                <pt idx="445">
                  <v>43770</v>
                </pt>
                <pt idx="446">
                  <v>43773</v>
                </pt>
                <pt idx="447">
                  <v>43774</v>
                </pt>
                <pt idx="448">
                  <v>43775</v>
                </pt>
                <pt idx="449">
                  <v>43776</v>
                </pt>
                <pt idx="450">
                  <v>43777</v>
                </pt>
                <pt idx="451">
                  <v>43780</v>
                </pt>
                <pt idx="452">
                  <v>43781</v>
                </pt>
                <pt idx="453">
                  <v>43782</v>
                </pt>
                <pt idx="454">
                  <v>43783</v>
                </pt>
                <pt idx="455">
                  <v>43784</v>
                </pt>
                <pt idx="456">
                  <v>43787</v>
                </pt>
                <pt idx="457">
                  <v>43788</v>
                </pt>
                <pt idx="458">
                  <v>43789</v>
                </pt>
                <pt idx="459">
                  <v>43790</v>
                </pt>
                <pt idx="460">
                  <v>43791</v>
                </pt>
                <pt idx="461">
                  <v>43794</v>
                </pt>
                <pt idx="462">
                  <v>43795</v>
                </pt>
                <pt idx="463">
                  <v>43796</v>
                </pt>
                <pt idx="464">
                  <v>43797</v>
                </pt>
                <pt idx="465">
                  <v>43798</v>
                </pt>
                <pt idx="466">
                  <v>43801</v>
                </pt>
                <pt idx="467">
                  <v>43802</v>
                </pt>
                <pt idx="468">
                  <v>43803</v>
                </pt>
                <pt idx="469">
                  <v>43804</v>
                </pt>
                <pt idx="470">
                  <v>43805</v>
                </pt>
                <pt idx="471">
                  <v>43808</v>
                </pt>
                <pt idx="472">
                  <v>43809</v>
                </pt>
                <pt idx="473">
                  <v>43810</v>
                </pt>
                <pt idx="474">
                  <v>43811</v>
                </pt>
                <pt idx="475">
                  <v>43812</v>
                </pt>
                <pt idx="476">
                  <v>43815</v>
                </pt>
                <pt idx="477">
                  <v>43816</v>
                </pt>
                <pt idx="478">
                  <v>43817</v>
                </pt>
                <pt idx="479">
                  <v>43818</v>
                </pt>
                <pt idx="480">
                  <v>43819</v>
                </pt>
                <pt idx="481">
                  <v>43822</v>
                </pt>
                <pt idx="482">
                  <v>43823</v>
                </pt>
                <pt idx="483">
                  <v>43824</v>
                </pt>
                <pt idx="484">
                  <v>43825</v>
                </pt>
                <pt idx="485">
                  <v>43826</v>
                </pt>
                <pt idx="486">
                  <v>43829</v>
                </pt>
                <pt idx="487">
                  <v>43830</v>
                </pt>
                <pt idx="488">
                  <v>43832</v>
                </pt>
                <pt idx="489">
                  <v>43833</v>
                </pt>
                <pt idx="490">
                  <v>43836</v>
                </pt>
                <pt idx="491">
                  <v>43837</v>
                </pt>
                <pt idx="492">
                  <v>43838</v>
                </pt>
                <pt idx="493">
                  <v>43839</v>
                </pt>
                <pt idx="494">
                  <v>43840</v>
                </pt>
                <pt idx="495">
                  <v>43843</v>
                </pt>
                <pt idx="496">
                  <v>43844</v>
                </pt>
                <pt idx="497">
                  <v>43845</v>
                </pt>
                <pt idx="498">
                  <v>43846</v>
                </pt>
                <pt idx="499">
                  <v>43847</v>
                </pt>
                <pt idx="500">
                  <v>43850</v>
                </pt>
                <pt idx="501">
                  <v>43851</v>
                </pt>
                <pt idx="502">
                  <v>43852</v>
                </pt>
                <pt idx="503">
                  <v>43853</v>
                </pt>
                <pt idx="504">
                  <v>43864</v>
                </pt>
                <pt idx="505">
                  <v>43865</v>
                </pt>
                <pt idx="506">
                  <v>43866</v>
                </pt>
                <pt idx="507">
                  <v>43867</v>
                </pt>
                <pt idx="508">
                  <v>43868</v>
                </pt>
                <pt idx="509">
                  <v>43871</v>
                </pt>
                <pt idx="510">
                  <v>43872</v>
                </pt>
                <pt idx="511">
                  <v>43873</v>
                </pt>
                <pt idx="512">
                  <v>43874</v>
                </pt>
                <pt idx="513">
                  <v>43875</v>
                </pt>
                <pt idx="514">
                  <v>43878</v>
                </pt>
                <pt idx="515">
                  <v>43879</v>
                </pt>
                <pt idx="516">
                  <v>43880</v>
                </pt>
                <pt idx="517">
                  <v>43881</v>
                </pt>
                <pt idx="518">
                  <v>43882</v>
                </pt>
                <pt idx="519">
                  <v>43885</v>
                </pt>
                <pt idx="520">
                  <v>43886</v>
                </pt>
                <pt idx="521">
                  <v>43887</v>
                </pt>
                <pt idx="522">
                  <v>43888</v>
                </pt>
                <pt idx="523">
                  <v>43889</v>
                </pt>
                <pt idx="524">
                  <v>43892</v>
                </pt>
                <pt idx="525">
                  <v>43893</v>
                </pt>
                <pt idx="526">
                  <v>43894</v>
                </pt>
                <pt idx="527">
                  <v>43895</v>
                </pt>
                <pt idx="528">
                  <v>43896</v>
                </pt>
                <pt idx="529">
                  <v>43899</v>
                </pt>
                <pt idx="530">
                  <v>43900</v>
                </pt>
                <pt idx="531">
                  <v>43901</v>
                </pt>
                <pt idx="532">
                  <v>43902</v>
                </pt>
                <pt idx="533">
                  <v>43903</v>
                </pt>
                <pt idx="534">
                  <v>43906</v>
                </pt>
                <pt idx="535">
                  <v>43907</v>
                </pt>
                <pt idx="536">
                  <v>43908</v>
                </pt>
                <pt idx="537">
                  <v>43909</v>
                </pt>
                <pt idx="538">
                  <v>43910</v>
                </pt>
                <pt idx="539">
                  <v>43913</v>
                </pt>
                <pt idx="540">
                  <v>43914</v>
                </pt>
                <pt idx="541">
                  <v>43915</v>
                </pt>
                <pt idx="542">
                  <v>43916</v>
                </pt>
                <pt idx="543">
                  <v>43917</v>
                </pt>
                <pt idx="544">
                  <v>43920</v>
                </pt>
                <pt idx="545">
                  <v>43921</v>
                </pt>
                <pt idx="546">
                  <v>43922</v>
                </pt>
                <pt idx="547">
                  <v>43923</v>
                </pt>
                <pt idx="548">
                  <v>43924</v>
                </pt>
                <pt idx="549">
                  <v>43928</v>
                </pt>
                <pt idx="550">
                  <v>43929</v>
                </pt>
                <pt idx="551">
                  <v>43930</v>
                </pt>
                <pt idx="552">
                  <v>43931</v>
                </pt>
                <pt idx="553">
                  <v>43934</v>
                </pt>
                <pt idx="554">
                  <v>43935</v>
                </pt>
                <pt idx="555">
                  <v>43936</v>
                </pt>
                <pt idx="556">
                  <v>43937</v>
                </pt>
                <pt idx="557">
                  <v>43938</v>
                </pt>
                <pt idx="558">
                  <v>43941</v>
                </pt>
                <pt idx="559">
                  <v>43942</v>
                </pt>
                <pt idx="560">
                  <v>43943</v>
                </pt>
                <pt idx="561">
                  <v>43944</v>
                </pt>
                <pt idx="562">
                  <v>43945</v>
                </pt>
                <pt idx="563">
                  <v>43948</v>
                </pt>
                <pt idx="564">
                  <v>43949</v>
                </pt>
                <pt idx="565">
                  <v>43950</v>
                </pt>
                <pt idx="566">
                  <v>43951</v>
                </pt>
                <pt idx="567">
                  <v>43957</v>
                </pt>
                <pt idx="568">
                  <v>43958</v>
                </pt>
                <pt idx="569">
                  <v>43959</v>
                </pt>
                <pt idx="570">
                  <v>43962</v>
                </pt>
                <pt idx="571">
                  <v>43963</v>
                </pt>
                <pt idx="572">
                  <v>43964</v>
                </pt>
                <pt idx="573">
                  <v>43965</v>
                </pt>
                <pt idx="574">
                  <v>43966</v>
                </pt>
                <pt idx="575">
                  <v>43969</v>
                </pt>
                <pt idx="576">
                  <v>43970</v>
                </pt>
                <pt idx="577">
                  <v>43971</v>
                </pt>
                <pt idx="578">
                  <v>43972</v>
                </pt>
                <pt idx="579">
                  <v>43973</v>
                </pt>
                <pt idx="580">
                  <v>43976</v>
                </pt>
                <pt idx="581">
                  <v>43977</v>
                </pt>
                <pt idx="582">
                  <v>43978</v>
                </pt>
                <pt idx="583">
                  <v>43979</v>
                </pt>
                <pt idx="584">
                  <v>43980</v>
                </pt>
                <pt idx="585">
                  <v>43983</v>
                </pt>
                <pt idx="586">
                  <v>43984</v>
                </pt>
                <pt idx="587">
                  <v>43985</v>
                </pt>
                <pt idx="588">
                  <v>43986</v>
                </pt>
                <pt idx="589">
                  <v>43987</v>
                </pt>
                <pt idx="590">
                  <v>43990</v>
                </pt>
                <pt idx="591">
                  <v>43991</v>
                </pt>
                <pt idx="592">
                  <v>43992</v>
                </pt>
                <pt idx="593">
                  <v>43993</v>
                </pt>
                <pt idx="594">
                  <v>43994</v>
                </pt>
                <pt idx="595">
                  <v>43997</v>
                </pt>
                <pt idx="596">
                  <v>43998</v>
                </pt>
                <pt idx="597">
                  <v>43999</v>
                </pt>
                <pt idx="598">
                  <v>44000</v>
                </pt>
                <pt idx="599">
                  <v>44001</v>
                </pt>
                <pt idx="600">
                  <v>44004</v>
                </pt>
                <pt idx="601">
                  <v>44005</v>
                </pt>
                <pt idx="602">
                  <v>44006</v>
                </pt>
                <pt idx="603">
                  <v>44011</v>
                </pt>
                <pt idx="604">
                  <v>44012</v>
                </pt>
                <pt idx="605">
                  <v>44013</v>
                </pt>
                <pt idx="606">
                  <v>44014</v>
                </pt>
                <pt idx="607">
                  <v>44015</v>
                </pt>
                <pt idx="608">
                  <v>44018</v>
                </pt>
                <pt idx="609">
                  <v>44019</v>
                </pt>
                <pt idx="610">
                  <v>44020</v>
                </pt>
                <pt idx="611">
                  <v>44021</v>
                </pt>
                <pt idx="612">
                  <v>44022</v>
                </pt>
                <pt idx="613">
                  <v>44025</v>
                </pt>
                <pt idx="614">
                  <v>44026</v>
                </pt>
                <pt idx="615">
                  <v>44027</v>
                </pt>
                <pt idx="616">
                  <v>44028</v>
                </pt>
                <pt idx="617">
                  <v>44029</v>
                </pt>
                <pt idx="618">
                  <v>44032</v>
                </pt>
                <pt idx="619">
                  <v>44033</v>
                </pt>
                <pt idx="620">
                  <v>44034</v>
                </pt>
                <pt idx="621">
                  <v>44035</v>
                </pt>
                <pt idx="622">
                  <v>44036</v>
                </pt>
                <pt idx="623">
                  <v>44039</v>
                </pt>
                <pt idx="624">
                  <v>44040</v>
                </pt>
                <pt idx="625">
                  <v>44041</v>
                </pt>
                <pt idx="626">
                  <v>44042</v>
                </pt>
                <pt idx="627">
                  <v>44043</v>
                </pt>
                <pt idx="628">
                  <v>44046</v>
                </pt>
                <pt idx="629">
                  <v>44047</v>
                </pt>
                <pt idx="630">
                  <v>44048</v>
                </pt>
                <pt idx="631">
                  <v>44049</v>
                </pt>
                <pt idx="632">
                  <v>44050</v>
                </pt>
                <pt idx="633">
                  <v>44053</v>
                </pt>
                <pt idx="634">
                  <v>44054</v>
                </pt>
                <pt idx="635">
                  <v>44055</v>
                </pt>
                <pt idx="636">
                  <v>44056</v>
                </pt>
                <pt idx="637">
                  <v>44057</v>
                </pt>
                <pt idx="638">
                  <v>44060</v>
                </pt>
                <pt idx="639">
                  <v>44061</v>
                </pt>
                <pt idx="640">
                  <v>44062</v>
                </pt>
                <pt idx="641">
                  <v>44063</v>
                </pt>
                <pt idx="642">
                  <v>44064</v>
                </pt>
                <pt idx="643">
                  <v>44067</v>
                </pt>
                <pt idx="644">
                  <v>44068</v>
                </pt>
                <pt idx="645">
                  <v>44069</v>
                </pt>
                <pt idx="646">
                  <v>44070</v>
                </pt>
                <pt idx="647">
                  <v>44071</v>
                </pt>
                <pt idx="648">
                  <v>44074</v>
                </pt>
                <pt idx="649">
                  <v>44075</v>
                </pt>
                <pt idx="650">
                  <v>44076</v>
                </pt>
                <pt idx="651">
                  <v>44077</v>
                </pt>
                <pt idx="652">
                  <v>44078</v>
                </pt>
                <pt idx="653">
                  <v>44081</v>
                </pt>
                <pt idx="654">
                  <v>44082</v>
                </pt>
                <pt idx="655">
                  <v>44083</v>
                </pt>
                <pt idx="656">
                  <v>44084</v>
                </pt>
                <pt idx="657">
                  <v>44085</v>
                </pt>
                <pt idx="658">
                  <v>44088</v>
                </pt>
                <pt idx="659">
                  <v>44089</v>
                </pt>
                <pt idx="660">
                  <v>44090</v>
                </pt>
                <pt idx="661">
                  <v>44091</v>
                </pt>
                <pt idx="662">
                  <v>44092</v>
                </pt>
                <pt idx="663">
                  <v>44095</v>
                </pt>
                <pt idx="664">
                  <v>44096</v>
                </pt>
                <pt idx="665">
                  <v>44097</v>
                </pt>
                <pt idx="666">
                  <v>44098</v>
                </pt>
                <pt idx="667">
                  <v>44099</v>
                </pt>
                <pt idx="668">
                  <v>44102</v>
                </pt>
                <pt idx="669">
                  <v>44103</v>
                </pt>
                <pt idx="670">
                  <v>44104</v>
                </pt>
                <pt idx="671">
                  <v>44113</v>
                </pt>
                <pt idx="672">
                  <v>44116</v>
                </pt>
                <pt idx="673">
                  <v>44117</v>
                </pt>
                <pt idx="674">
                  <v>44118</v>
                </pt>
                <pt idx="675">
                  <v>44119</v>
                </pt>
                <pt idx="676">
                  <v>44120</v>
                </pt>
                <pt idx="677">
                  <v>44123</v>
                </pt>
                <pt idx="678">
                  <v>44124</v>
                </pt>
                <pt idx="679">
                  <v>44125</v>
                </pt>
                <pt idx="680">
                  <v>44126</v>
                </pt>
                <pt idx="681">
                  <v>44127</v>
                </pt>
                <pt idx="682">
                  <v>44130</v>
                </pt>
                <pt idx="683">
                  <v>44131</v>
                </pt>
                <pt idx="684">
                  <v>44132</v>
                </pt>
                <pt idx="685">
                  <v>44133</v>
                </pt>
                <pt idx="686">
                  <v>44134</v>
                </pt>
                <pt idx="687">
                  <v>44137</v>
                </pt>
                <pt idx="688">
                  <v>44138</v>
                </pt>
                <pt idx="689">
                  <v>44139</v>
                </pt>
                <pt idx="690">
                  <v>44140</v>
                </pt>
                <pt idx="691">
                  <v>44141</v>
                </pt>
                <pt idx="692">
                  <v>44144</v>
                </pt>
                <pt idx="693">
                  <v>44145</v>
                </pt>
                <pt idx="694">
                  <v>44146</v>
                </pt>
                <pt idx="695">
                  <v>44147</v>
                </pt>
                <pt idx="696">
                  <v>44148</v>
                </pt>
                <pt idx="697">
                  <v>44151</v>
                </pt>
                <pt idx="698">
                  <v>44152</v>
                </pt>
                <pt idx="699">
                  <v>44153</v>
                </pt>
                <pt idx="700">
                  <v>44154</v>
                </pt>
                <pt idx="701">
                  <v>44155</v>
                </pt>
                <pt idx="702">
                  <v>44158</v>
                </pt>
                <pt idx="703">
                  <v>44159</v>
                </pt>
                <pt idx="704">
                  <v>44160</v>
                </pt>
                <pt idx="705">
                  <v>44161</v>
                </pt>
                <pt idx="706">
                  <v>44162</v>
                </pt>
                <pt idx="707">
                  <v>44165</v>
                </pt>
                <pt idx="708">
                  <v>44166</v>
                </pt>
                <pt idx="709">
                  <v>44167</v>
                </pt>
                <pt idx="710">
                  <v>44168</v>
                </pt>
                <pt idx="711">
                  <v>44169</v>
                </pt>
                <pt idx="712">
                  <v>44172</v>
                </pt>
                <pt idx="713">
                  <v>44173</v>
                </pt>
                <pt idx="714">
                  <v>44174</v>
                </pt>
                <pt idx="715">
                  <v>44175</v>
                </pt>
                <pt idx="716">
                  <v>44176</v>
                </pt>
                <pt idx="717">
                  <v>44179</v>
                </pt>
                <pt idx="718">
                  <v>44180</v>
                </pt>
                <pt idx="719">
                  <v>44181</v>
                </pt>
                <pt idx="720">
                  <v>44182</v>
                </pt>
                <pt idx="721">
                  <v>44183</v>
                </pt>
                <pt idx="722">
                  <v>44186</v>
                </pt>
                <pt idx="723">
                  <v>44187</v>
                </pt>
                <pt idx="724">
                  <v>44188</v>
                </pt>
                <pt idx="725">
                  <v>44189</v>
                </pt>
                <pt idx="726">
                  <v>44190</v>
                </pt>
                <pt idx="727">
                  <v>44193</v>
                </pt>
                <pt idx="728">
                  <v>44194</v>
                </pt>
                <pt idx="729">
                  <v>44195</v>
                </pt>
                <pt idx="730">
                  <v>44196</v>
                </pt>
                <pt idx="731">
                  <v>44200</v>
                </pt>
                <pt idx="732">
                  <v>44201</v>
                </pt>
                <pt idx="733">
                  <v>44202</v>
                </pt>
                <pt idx="734">
                  <v>44203</v>
                </pt>
                <pt idx="735">
                  <v>44204</v>
                </pt>
                <pt idx="736">
                  <v>44207</v>
                </pt>
                <pt idx="737">
                  <v>44208</v>
                </pt>
                <pt idx="738">
                  <v>44209</v>
                </pt>
                <pt idx="739">
                  <v>44210</v>
                </pt>
                <pt idx="740">
                  <v>44211</v>
                </pt>
                <pt idx="741">
                  <v>44214</v>
                </pt>
                <pt idx="742">
                  <v>44215</v>
                </pt>
                <pt idx="743">
                  <v>44216</v>
                </pt>
                <pt idx="744">
                  <v>44217</v>
                </pt>
                <pt idx="745">
                  <v>44218</v>
                </pt>
                <pt idx="746">
                  <v>44221</v>
                </pt>
                <pt idx="747">
                  <v>44222</v>
                </pt>
                <pt idx="748">
                  <v>44223</v>
                </pt>
                <pt idx="749">
                  <v>44224</v>
                </pt>
                <pt idx="750">
                  <v>44225</v>
                </pt>
                <pt idx="751">
                  <v>44228</v>
                </pt>
                <pt idx="752">
                  <v>44229</v>
                </pt>
                <pt idx="753">
                  <v>44230</v>
                </pt>
              </numCache>
            </numRef>
          </cat>
          <val>
            <numRef>
              <f>可转债双低!$I$3:$I$756</f>
              <numCache>
                <formatCode>0.00%</formatCode>
                <ptCount val="754"/>
                <pt idx="0">
                  <v>0.2279</v>
                </pt>
                <pt idx="1">
                  <v>0.2205</v>
                </pt>
                <pt idx="2">
                  <v>0.2152</v>
                </pt>
                <pt idx="3">
                  <v>0.2145</v>
                </pt>
                <pt idx="4">
                  <v>0.2227</v>
                </pt>
                <pt idx="5">
                  <v>0.2216</v>
                </pt>
                <pt idx="6">
                  <v>0.2167</v>
                </pt>
                <pt idx="7">
                  <v>0.2183</v>
                </pt>
                <pt idx="8">
                  <v>0.2109</v>
                </pt>
                <pt idx="9">
                  <v>0.2196</v>
                </pt>
                <pt idx="10">
                  <v>0.2368</v>
                </pt>
                <pt idx="11">
                  <v>0.2209</v>
                </pt>
                <pt idx="12">
                  <v>0.2183</v>
                </pt>
                <pt idx="13">
                  <v>0.2207</v>
                </pt>
                <pt idx="14">
                  <v>0.2266</v>
                </pt>
                <pt idx="15">
                  <v>0.225</v>
                </pt>
                <pt idx="16">
                  <v>0.2256</v>
                </pt>
                <pt idx="17">
                  <v>0.2246</v>
                </pt>
                <pt idx="18">
                  <v>0.2285</v>
                </pt>
                <pt idx="19">
                  <v>0.2247</v>
                </pt>
                <pt idx="20">
                  <v>0.2167</v>
                </pt>
                <pt idx="21">
                  <v>0.2017</v>
                </pt>
                <pt idx="22">
                  <v>0.2131</v>
                </pt>
                <pt idx="23">
                  <v>0.2486</v>
                </pt>
                <pt idx="24">
                  <v>0.2555</v>
                </pt>
                <pt idx="25">
                  <v>0.2604</v>
                </pt>
                <pt idx="26">
                  <v>0.3061</v>
                </pt>
                <pt idx="27">
                  <v>0.2938</v>
                </pt>
                <pt idx="28">
                  <v>0.2812</v>
                </pt>
                <pt idx="29">
                  <v>0.3113</v>
                </pt>
                <pt idx="30">
                  <v>0.2904</v>
                </pt>
                <pt idx="31">
                  <v>0.2896</v>
                </pt>
                <pt idx="32">
                  <v>0.2885</v>
                </pt>
                <pt idx="33">
                  <v>0.2719</v>
                </pt>
                <pt idx="34">
                  <v>0.2665</v>
                </pt>
                <pt idx="35">
                  <v>0.2471</v>
                </pt>
                <pt idx="36">
                  <v>0.2437</v>
                </pt>
                <pt idx="37">
                  <v>0.2407</v>
                </pt>
                <pt idx="38">
                  <v>0.2292</v>
                </pt>
                <pt idx="39">
                  <v>0.2334</v>
                </pt>
                <pt idx="40">
                  <v>0.2242</v>
                </pt>
                <pt idx="41">
                  <v>0.2152</v>
                </pt>
                <pt idx="42">
                  <v>0.2199</v>
                </pt>
                <pt idx="43">
                  <v>0.2167</v>
                </pt>
                <pt idx="44">
                  <v>0.2029</v>
                </pt>
                <pt idx="45">
                  <v>0.1956</v>
                </pt>
                <pt idx="46">
                  <v>0.2021</v>
                </pt>
                <pt idx="47">
                  <v>0.2077</v>
                </pt>
                <pt idx="48">
                  <v>0.208</v>
                </pt>
                <pt idx="49">
                  <v>0.2132</v>
                </pt>
                <pt idx="50">
                  <v>0.2115</v>
                </pt>
                <pt idx="51">
                  <v>0.2079</v>
                </pt>
                <pt idx="52">
                  <v>0.2163</v>
                </pt>
                <pt idx="53">
                  <v>0.2138</v>
                </pt>
                <pt idx="54">
                  <v>0.2578</v>
                </pt>
                <pt idx="55">
                  <v>0.2415</v>
                </pt>
                <pt idx="56">
                  <v>0.2209</v>
                </pt>
                <pt idx="57">
                  <v>0.2212</v>
                </pt>
                <pt idx="58">
                  <v>0.2125</v>
                </pt>
                <pt idx="59">
                  <v>0.2034</v>
                </pt>
                <pt idx="60">
                  <v>0.2044</v>
                </pt>
                <pt idx="61">
                  <v>0.2128</v>
                </pt>
                <pt idx="62">
                  <v>0.227</v>
                </pt>
                <pt idx="63">
                  <v>0.2261</v>
                </pt>
                <pt idx="64">
                  <v>0.2238</v>
                </pt>
                <pt idx="65">
                  <v>0.2174</v>
                </pt>
                <pt idx="66">
                  <v>0.2222</v>
                </pt>
                <pt idx="67">
                  <v>0.2218</v>
                </pt>
                <pt idx="68">
                  <v>0.225</v>
                </pt>
                <pt idx="69">
                  <v>0.2451</v>
                </pt>
                <pt idx="70">
                  <v>0.2377</v>
                </pt>
                <pt idx="71">
                  <v>0.2382</v>
                </pt>
                <pt idx="72">
                  <v>0.254</v>
                </pt>
                <pt idx="73">
                  <v>0.2481</v>
                </pt>
                <pt idx="74">
                  <v>0.229</v>
                </pt>
                <pt idx="75">
                  <v>0.2297</v>
                </pt>
                <pt idx="76">
                  <v>0.2422</v>
                </pt>
                <pt idx="77">
                  <v>0.2443</v>
                </pt>
                <pt idx="78">
                  <v>0.2404</v>
                </pt>
                <pt idx="79">
                  <v>0.2274</v>
                </pt>
                <pt idx="80">
                  <v>0.2377</v>
                </pt>
                <pt idx="81">
                  <v>0.223</v>
                </pt>
                <pt idx="82">
                  <v>0.2146</v>
                </pt>
                <pt idx="83">
                  <v>0.2125</v>
                </pt>
                <pt idx="84">
                  <v>0.2098</v>
                </pt>
                <pt idx="85">
                  <v>0.2138</v>
                </pt>
                <pt idx="86">
                  <v>0.2146</v>
                </pt>
                <pt idx="87">
                  <v>0.2001</v>
                </pt>
                <pt idx="88">
                  <v>0.2043</v>
                </pt>
                <pt idx="89">
                  <v>0.2043</v>
                </pt>
                <pt idx="90">
                  <v>0.2001</v>
                </pt>
                <pt idx="91">
                  <v>0.1853</v>
                </pt>
                <pt idx="92">
                  <v>0.1819</v>
                </pt>
                <pt idx="93">
                  <v>0.1907</v>
                </pt>
                <pt idx="94">
                  <v>0.1931</v>
                </pt>
                <pt idx="95">
                  <v>0.1993</v>
                </pt>
                <pt idx="96">
                  <v>0.1978</v>
                </pt>
                <pt idx="97">
                  <v>0.2018</v>
                </pt>
                <pt idx="98">
                  <v>0.2285</v>
                </pt>
                <pt idx="99">
                  <v>0.2152</v>
                </pt>
                <pt idx="100">
                  <v>0.2189</v>
                </pt>
                <pt idx="101">
                  <v>0.2115</v>
                </pt>
                <pt idx="102">
                  <v>0.1996</v>
                </pt>
                <pt idx="103">
                  <v>0.196</v>
                </pt>
                <pt idx="104">
                  <v>0.2064</v>
                </pt>
                <pt idx="105">
                  <v>0.2159</v>
                </pt>
                <pt idx="106">
                  <v>0.2244</v>
                </pt>
                <pt idx="107">
                  <v>0.2176</v>
                </pt>
                <pt idx="108">
                  <v>0.2331</v>
                </pt>
                <pt idx="109">
                  <v>0.2347</v>
                </pt>
                <pt idx="110">
                  <v>0.2535</v>
                </pt>
                <pt idx="111">
                  <v>0.3019</v>
                </pt>
                <pt idx="112">
                  <v>0.2966</v>
                </pt>
                <pt idx="113">
                  <v>0.3204</v>
                </pt>
                <pt idx="114">
                  <v>0.2988</v>
                </pt>
                <pt idx="115">
                  <v>0.3032</v>
                </pt>
                <pt idx="116">
                  <v>0.2945</v>
                </pt>
                <pt idx="117">
                  <v>0.2897</v>
                </pt>
                <pt idx="118">
                  <v>0.2998</v>
                </pt>
                <pt idx="119">
                  <v>0.274</v>
                </pt>
                <pt idx="120">
                  <v>0.285</v>
                </pt>
                <pt idx="121">
                  <v>0.2741</v>
                </pt>
                <pt idx="122">
                  <v>0.2973</v>
                </pt>
                <pt idx="123">
                  <v>0.3314</v>
                </pt>
                <pt idx="124">
                  <v>0.3263</v>
                </pt>
                <pt idx="125">
                  <v>0.3133</v>
                </pt>
                <pt idx="126">
                  <v>0.3088</v>
                </pt>
                <pt idx="127">
                  <v>0.3333</v>
                </pt>
                <pt idx="128">
                  <v>0.3117</v>
                </pt>
                <pt idx="129">
                  <v>0.3057</v>
                </pt>
                <pt idx="130">
                  <v>0.3038</v>
                </pt>
                <pt idx="131">
                  <v>0.3031</v>
                </pt>
                <pt idx="132">
                  <v>0.314</v>
                </pt>
                <pt idx="133">
                  <v>0.3287</v>
                </pt>
                <pt idx="134">
                  <v>0.3212</v>
                </pt>
                <pt idx="135">
                  <v>0.3126</v>
                </pt>
                <pt idx="136">
                  <v>0.2925</v>
                </pt>
                <pt idx="137">
                  <v>0.2879</v>
                </pt>
                <pt idx="138">
                  <v>0.2869</v>
                </pt>
                <pt idx="139">
                  <v>0.2961</v>
                </pt>
                <pt idx="140">
                  <v>0.2995</v>
                </pt>
                <pt idx="141">
                  <v>0.2992</v>
                </pt>
                <pt idx="142">
                  <v>0.3086</v>
                </pt>
                <pt idx="143">
                  <v>0.3308</v>
                </pt>
                <pt idx="144">
                  <v>0.3424</v>
                </pt>
                <pt idx="145">
                  <v>0.3648</v>
                </pt>
                <pt idx="146">
                  <v>0.347</v>
                </pt>
                <pt idx="147">
                  <v>0.3646</v>
                </pt>
                <pt idx="148">
                  <v>0.3453</v>
                </pt>
                <pt idx="149">
                  <v>0.3299</v>
                </pt>
                <pt idx="150">
                  <v>0.3023</v>
                </pt>
                <pt idx="151">
                  <v>0.3136</v>
                </pt>
                <pt idx="152">
                  <v>0.3198</v>
                </pt>
                <pt idx="153">
                  <v>0.3283</v>
                </pt>
                <pt idx="154">
                  <v>0.3472</v>
                </pt>
                <pt idx="155">
                  <v>0.3373</v>
                </pt>
                <pt idx="156">
                  <v>0.3231</v>
                </pt>
                <pt idx="157">
                  <v>0.3311</v>
                </pt>
                <pt idx="158">
                  <v>0.3265</v>
                </pt>
                <pt idx="159">
                  <v>0.3278</v>
                </pt>
                <pt idx="160">
                  <v>0.305</v>
                </pt>
                <pt idx="161">
                  <v>0.2978</v>
                </pt>
                <pt idx="162">
                  <v>0.3012</v>
                </pt>
                <pt idx="163">
                  <v>0.312</v>
                </pt>
                <pt idx="164">
                  <v>0.3192</v>
                </pt>
                <pt idx="165">
                  <v>0.3212</v>
                </pt>
                <pt idx="166">
                  <v>0.3079</v>
                </pt>
                <pt idx="167">
                  <v>0.3201</v>
                </pt>
                <pt idx="168">
                  <v>0.3261</v>
                </pt>
                <pt idx="169">
                  <v>0.3228</v>
                </pt>
                <pt idx="170">
                  <v>0.3447</v>
                </pt>
                <pt idx="171">
                  <v>0.3346</v>
                </pt>
                <pt idx="172">
                  <v>0.3296</v>
                </pt>
                <pt idx="173">
                  <v>0.3199</v>
                </pt>
                <pt idx="174">
                  <v>0.3295</v>
                </pt>
                <pt idx="175">
                  <v>0.343</v>
                </pt>
                <pt idx="176">
                  <v>0.3236</v>
                </pt>
                <pt idx="177">
                  <v>0.3149</v>
                </pt>
                <pt idx="178">
                  <v>0.3187</v>
                </pt>
                <pt idx="179">
                  <v>0.2935</v>
                </pt>
                <pt idx="180">
                  <v>0.2973</v>
                </pt>
                <pt idx="181">
                  <v>0.2936</v>
                </pt>
                <pt idx="182">
                  <v>0.3086</v>
                </pt>
                <pt idx="183">
                  <v>0.2975</v>
                </pt>
                <pt idx="184">
                  <v>0.3275</v>
                </pt>
                <pt idx="185">
                  <v>0.3279</v>
                </pt>
                <pt idx="186">
                  <v>0.3248</v>
                </pt>
                <pt idx="187">
                  <v>0.4088</v>
                </pt>
                <pt idx="188">
                  <v>0.4191</v>
                </pt>
                <pt idx="189">
                  <v>0.4332</v>
                </pt>
                <pt idx="190">
                  <v>0.4578</v>
                </pt>
                <pt idx="191">
                  <v>0.4468</v>
                </pt>
                <pt idx="192">
                  <v>0.47</v>
                </pt>
                <pt idx="193">
                  <v>0.4363</v>
                </pt>
                <pt idx="194">
                  <v>0.3815</v>
                </pt>
                <pt idx="195">
                  <v>0.3986</v>
                </pt>
                <pt idx="196">
                  <v>0.4007</v>
                </pt>
                <pt idx="197">
                  <v>0.4061</v>
                </pt>
                <pt idx="198">
                  <v>0.4089</v>
                </pt>
                <pt idx="199">
                  <v>0.4333</v>
                </pt>
                <pt idx="200">
                  <v>0.4188</v>
                </pt>
                <pt idx="201">
                  <v>0.4035</v>
                </pt>
                <pt idx="202">
                  <v>0.3989</v>
                </pt>
                <pt idx="203">
                  <v>0.3693</v>
                </pt>
                <pt idx="204">
                  <v>0.3667</v>
                </pt>
                <pt idx="205">
                  <v>0.3591</v>
                </pt>
                <pt idx="206">
                  <v>0.3641</v>
                </pt>
                <pt idx="207">
                  <v>0.3692</v>
                </pt>
                <pt idx="208">
                  <v>0.3713</v>
                </pt>
                <pt idx="209">
                  <v>0.337</v>
                </pt>
                <pt idx="210">
                  <v>0.3214</v>
                </pt>
                <pt idx="211">
                  <v>0.3275</v>
                </pt>
                <pt idx="212">
                  <v>0.3133</v>
                </pt>
                <pt idx="213">
                  <v>0.3039</v>
                </pt>
                <pt idx="214">
                  <v>0.2997</v>
                </pt>
                <pt idx="215">
                  <v>0.3285</v>
                </pt>
                <pt idx="216">
                  <v>0.3209</v>
                </pt>
                <pt idx="217">
                  <v>0.316</v>
                </pt>
                <pt idx="218">
                  <v>0.3607</v>
                </pt>
                <pt idx="219">
                  <v>0.3607</v>
                </pt>
                <pt idx="220">
                  <v>0.3506</v>
                </pt>
                <pt idx="221">
                  <v>0.3353</v>
                </pt>
                <pt idx="222">
                  <v>0.3613</v>
                </pt>
                <pt idx="223">
                  <v>0.3483</v>
                </pt>
                <pt idx="224">
                  <v>0.3124</v>
                </pt>
                <pt idx="225">
                  <v>0.3057</v>
                </pt>
                <pt idx="226">
                  <v>0.316</v>
                </pt>
                <pt idx="227">
                  <v>0.3371</v>
                </pt>
                <pt idx="228">
                  <v>0.3324</v>
                </pt>
                <pt idx="229">
                  <v>0.343</v>
                </pt>
                <pt idx="230">
                  <v>0.3276</v>
                </pt>
                <pt idx="231">
                  <v>0.3127</v>
                </pt>
                <pt idx="232">
                  <v>0.3032</v>
                </pt>
                <pt idx="233">
                  <v>0.3316</v>
                </pt>
                <pt idx="234">
                  <v>0.3327</v>
                </pt>
                <pt idx="235">
                  <v>0.3396</v>
                </pt>
                <pt idx="236">
                  <v>0.3482</v>
                </pt>
                <pt idx="237">
                  <v>0.3399</v>
                </pt>
                <pt idx="238">
                  <v>0.3429</v>
                </pt>
                <pt idx="239">
                  <v>0.3257</v>
                </pt>
                <pt idx="240">
                  <v>0.3337</v>
                </pt>
                <pt idx="241">
                  <v>0.3322</v>
                </pt>
                <pt idx="242">
                  <v>0.3494</v>
                </pt>
                <pt idx="243">
                  <v>0.3475</v>
                </pt>
                <pt idx="244">
                  <v>0.3451</v>
                </pt>
                <pt idx="245">
                  <v>0.3569</v>
                </pt>
                <pt idx="246">
                  <v>0.3307</v>
                </pt>
                <pt idx="247">
                  <v>0.3229</v>
                </pt>
                <pt idx="248">
                  <v>0.3252</v>
                </pt>
                <pt idx="249">
                  <v>0.3273</v>
                </pt>
                <pt idx="250">
                  <v>0.3308</v>
                </pt>
                <pt idx="251">
                  <v>0.3253</v>
                </pt>
                <pt idx="252">
                  <v>0.329</v>
                </pt>
                <pt idx="253">
                  <v>0.3207</v>
                </pt>
                <pt idx="254">
                  <v>0.3276</v>
                </pt>
                <pt idx="255">
                  <v>0.3393</v>
                </pt>
                <pt idx="256">
                  <v>0.3315</v>
                </pt>
                <pt idx="257">
                  <v>0.315</v>
                </pt>
                <pt idx="258">
                  <v>0.3235</v>
                </pt>
                <pt idx="259">
                  <v>0.3205</v>
                </pt>
                <pt idx="260">
                  <v>0.3186</v>
                </pt>
                <pt idx="261">
                  <v>0.3304</v>
                </pt>
                <pt idx="262">
                  <v>0.3315</v>
                </pt>
                <pt idx="263">
                  <v>0.3431</v>
                </pt>
                <pt idx="264">
                  <v>0.358</v>
                </pt>
                <pt idx="265">
                  <v>0.3687</v>
                </pt>
                <pt idx="266">
                  <v>0.3305</v>
                </pt>
                <pt idx="267">
                  <v>0.3176</v>
                </pt>
                <pt idx="268">
                  <v>0.3044</v>
                </pt>
                <pt idx="269">
                  <v>0.2913</v>
                </pt>
                <pt idx="270">
                  <v>0.2917</v>
                </pt>
                <pt idx="271">
                  <v>0.2951</v>
                </pt>
                <pt idx="272">
                  <v>0.2702</v>
                </pt>
                <pt idx="273">
                  <v>0.2648</v>
                </pt>
                <pt idx="274">
                  <v>0.2625</v>
                </pt>
                <pt idx="275">
                  <v>0.2676</v>
                </pt>
                <pt idx="276">
                  <v>0.2464</v>
                </pt>
                <pt idx="277">
                  <v>0.2122</v>
                </pt>
                <pt idx="278">
                  <v>0.2082</v>
                </pt>
                <pt idx="279">
                  <v>0.2089</v>
                </pt>
                <pt idx="280">
                  <v>0.2098</v>
                </pt>
                <pt idx="281">
                  <v>0.2071</v>
                </pt>
                <pt idx="282">
                  <v>0.1972</v>
                </pt>
                <pt idx="283">
                  <v>0.1911</v>
                </pt>
                <pt idx="284">
                  <v>0.1865</v>
                </pt>
                <pt idx="285">
                  <v>0.1745</v>
                </pt>
                <pt idx="286">
                  <v>0.2029</v>
                </pt>
                <pt idx="287">
                  <v>0.1765</v>
                </pt>
                <pt idx="288">
                  <v>0.1679</v>
                </pt>
                <pt idx="289">
                  <v>0.1814</v>
                </pt>
                <pt idx="290">
                  <v>0.1952</v>
                </pt>
                <pt idx="291">
                  <v>0.1894</v>
                </pt>
                <pt idx="292">
                  <v>0.1807</v>
                </pt>
                <pt idx="293">
                  <v>0.1837</v>
                </pt>
                <pt idx="294">
                  <v>0.1875</v>
                </pt>
                <pt idx="295">
                  <v>0.1875</v>
                </pt>
                <pt idx="296">
                  <v>0.1838</v>
                </pt>
                <pt idx="297">
                  <v>0.1851</v>
                </pt>
                <pt idx="298">
                  <v>0.1931</v>
                </pt>
                <pt idx="299">
                  <v>0.1895</v>
                </pt>
                <pt idx="300">
                  <v>0.1965</v>
                </pt>
                <pt idx="301">
                  <v>0.1815</v>
                </pt>
                <pt idx="302">
                  <v>0.1575</v>
                </pt>
                <pt idx="303">
                  <v>0.1598</v>
                </pt>
                <pt idx="304">
                  <v>0.1518</v>
                </pt>
                <pt idx="305">
                  <v>0.1475</v>
                </pt>
                <pt idx="306">
                  <v>0.1506</v>
                </pt>
                <pt idx="307">
                  <v>0.1414</v>
                </pt>
                <pt idx="308">
                  <v>0.1388</v>
                </pt>
                <pt idx="309">
                  <v>0.1446</v>
                </pt>
                <pt idx="310">
                  <v>0.1437</v>
                </pt>
                <pt idx="311">
                  <v>0.1474</v>
                </pt>
                <pt idx="312">
                  <v>0.1272</v>
                </pt>
                <pt idx="313">
                  <v>0.1194</v>
                </pt>
                <pt idx="314">
                  <v>0.12</v>
                </pt>
                <pt idx="315">
                  <v>0.1151</v>
                </pt>
                <pt idx="316">
                  <v>0.1231</v>
                </pt>
                <pt idx="317">
                  <v>0.1244</v>
                </pt>
                <pt idx="318">
                  <v>0.1134</v>
                </pt>
                <pt idx="319">
                  <v>0.1328</v>
                </pt>
                <pt idx="320">
                  <v>0.139</v>
                </pt>
                <pt idx="321">
                  <v>0.1606</v>
                </pt>
                <pt idx="322">
                  <v>0.1559</v>
                </pt>
                <pt idx="323">
                  <v>0.2071</v>
                </pt>
                <pt idx="324">
                  <v>0.1971</v>
                </pt>
                <pt idx="325">
                  <v>0.207</v>
                </pt>
                <pt idx="326">
                  <v>0.218</v>
                </pt>
                <pt idx="327">
                  <v>0.198</v>
                </pt>
                <pt idx="328">
                  <v>0.2046</v>
                </pt>
                <pt idx="329">
                  <v>0.2152</v>
                </pt>
                <pt idx="330">
                  <v>0.2028</v>
                </pt>
                <pt idx="331">
                  <v>0.199</v>
                </pt>
                <pt idx="332">
                  <v>0.2244</v>
                </pt>
                <pt idx="333">
                  <v>0.2262</v>
                </pt>
                <pt idx="334">
                  <v>0.2127</v>
                </pt>
                <pt idx="335">
                  <v>0.22</v>
                </pt>
                <pt idx="336">
                  <v>0.2413</v>
                </pt>
                <pt idx="337">
                  <v>0.2465</v>
                </pt>
                <pt idx="338">
                  <v>0.2202</v>
                </pt>
                <pt idx="339">
                  <v>0.2192</v>
                </pt>
                <pt idx="340">
                  <v>0.2162</v>
                </pt>
                <pt idx="341">
                  <v>0.2174</v>
                </pt>
                <pt idx="342">
                  <v>0.2149</v>
                </pt>
                <pt idx="343">
                  <v>0.2167</v>
                </pt>
                <pt idx="344">
                  <v>0.2262</v>
                </pt>
                <pt idx="345">
                  <v>0.2223</v>
                </pt>
                <pt idx="346">
                  <v>0.2402</v>
                </pt>
                <pt idx="347">
                  <v>0.2298</v>
                </pt>
                <pt idx="348">
                  <v>0.2088</v>
                </pt>
                <pt idx="349">
                  <v>0.2123</v>
                </pt>
                <pt idx="350">
                  <v>0.2047</v>
                </pt>
                <pt idx="351">
                  <v>0.2205</v>
                </pt>
                <pt idx="352">
                  <v>0.2191</v>
                </pt>
                <pt idx="353">
                  <v>0.219</v>
                </pt>
                <pt idx="354">
                  <v>0.2082</v>
                </pt>
                <pt idx="355">
                  <v>0.1983</v>
                </pt>
                <pt idx="356">
                  <v>0.1909</v>
                </pt>
                <pt idx="357">
                  <v>0.1901</v>
                </pt>
                <pt idx="358">
                  <v>0.1968</v>
                </pt>
                <pt idx="359">
                  <v>0.2022</v>
                </pt>
                <pt idx="360">
                  <v>0.1982</v>
                </pt>
                <pt idx="361">
                  <v>0.2123</v>
                </pt>
                <pt idx="362">
                  <v>0.1939</v>
                </pt>
                <pt idx="363">
                  <v>0.1899</v>
                </pt>
                <pt idx="364">
                  <v>0.1974</v>
                </pt>
                <pt idx="365">
                  <v>0.1971</v>
                </pt>
                <pt idx="366">
                  <v>0.1951</v>
                </pt>
                <pt idx="367">
                  <v>0.2199</v>
                </pt>
                <pt idx="368">
                  <v>0.2156</v>
                </pt>
                <pt idx="369">
                  <v>0.2206</v>
                </pt>
                <pt idx="370">
                  <v>0.2193</v>
                </pt>
                <pt idx="371">
                  <v>0.2166</v>
                </pt>
                <pt idx="372">
                  <v>0.2132</v>
                </pt>
                <pt idx="373">
                  <v>0.2099</v>
                </pt>
                <pt idx="374">
                  <v>0.2089</v>
                </pt>
                <pt idx="375">
                  <v>0.2248</v>
                </pt>
                <pt idx="376">
                  <v>0.2222</v>
                </pt>
                <pt idx="377">
                  <v>0.247</v>
                </pt>
                <pt idx="378">
                  <v>0.2343</v>
                </pt>
                <pt idx="379">
                  <v>0.2233</v>
                </pt>
                <pt idx="380">
                  <v>0.2247</v>
                </pt>
                <pt idx="381">
                  <v>0.2249</v>
                </pt>
                <pt idx="382">
                  <v>0.2242</v>
                </pt>
                <pt idx="383">
                  <v>0.2253</v>
                </pt>
                <pt idx="384">
                  <v>0.2335</v>
                </pt>
                <pt idx="385">
                  <v>0.2369</v>
                </pt>
                <pt idx="386">
                  <v>0.2532</v>
                </pt>
                <pt idx="387">
                  <v>0.2645</v>
                </pt>
                <pt idx="388">
                  <v>0.2958</v>
                </pt>
                <pt idx="389">
                  <v>0.3003</v>
                </pt>
                <pt idx="390">
                  <v>0.2968</v>
                </pt>
                <pt idx="391">
                  <v>0.3083</v>
                </pt>
                <pt idx="392">
                  <v>0.2928</v>
                </pt>
                <pt idx="393">
                  <v>0.2989</v>
                </pt>
                <pt idx="394">
                  <v>0.2931</v>
                </pt>
                <pt idx="395">
                  <v>0.2902</v>
                </pt>
                <pt idx="396">
                  <v>0.2894</v>
                </pt>
                <pt idx="397">
                  <v>0.2652</v>
                </pt>
                <pt idx="398">
                  <v>0.2665</v>
                </pt>
                <pt idx="399">
                  <v>0.2658</v>
                </pt>
                <pt idx="400">
                  <v>0.2645</v>
                </pt>
                <pt idx="401">
                  <v>0.2686</v>
                </pt>
                <pt idx="402">
                  <v>0.2752</v>
                </pt>
                <pt idx="403">
                  <v>0.2588</v>
                </pt>
                <pt idx="404">
                  <v>0.2597</v>
                </pt>
                <pt idx="405">
                  <v>0.2612</v>
                </pt>
                <pt idx="406">
                  <v>0.2758</v>
                </pt>
                <pt idx="407">
                  <v>0.2564</v>
                </pt>
                <pt idx="408">
                  <v>0.2534</v>
                </pt>
                <pt idx="409">
                  <v>0.2473</v>
                </pt>
                <pt idx="410">
                  <v>0.2443</v>
                </pt>
                <pt idx="411">
                  <v>0.2412</v>
                </pt>
                <pt idx="412">
                  <v>0.2288</v>
                </pt>
                <pt idx="413">
                  <v>0.2288</v>
                </pt>
                <pt idx="414">
                  <v>0.2317</v>
                </pt>
                <pt idx="415">
                  <v>0.2252</v>
                </pt>
                <pt idx="416">
                  <v>0.2197</v>
                </pt>
                <pt idx="417">
                  <v>0.2315</v>
                </pt>
                <pt idx="418">
                  <v>0.2308</v>
                </pt>
                <pt idx="419">
                  <v>0.2234</v>
                </pt>
                <pt idx="420">
                  <v>0.224</v>
                </pt>
                <pt idx="421">
                  <v>0.2284</v>
                </pt>
                <pt idx="422">
                  <v>0.2238</v>
                </pt>
                <pt idx="423">
                  <v>0.2386</v>
                </pt>
                <pt idx="424">
                  <v>0.2555</v>
                </pt>
                <pt idx="425">
                  <v>0.248</v>
                </pt>
                <pt idx="426">
                  <v>0.2601</v>
                </pt>
                <pt idx="427">
                  <v>0.2562</v>
                </pt>
                <pt idx="428">
                  <v>0.2466</v>
                </pt>
                <pt idx="429">
                  <v>0.2413</v>
                </pt>
                <pt idx="430">
                  <v>0.2467</v>
                </pt>
                <pt idx="431">
                  <v>0.2319</v>
                </pt>
                <pt idx="432">
                  <v>0.2425</v>
                </pt>
                <pt idx="433">
                  <v>0.2505</v>
                </pt>
                <pt idx="434">
                  <v>0.2512</v>
                </pt>
                <pt idx="435">
                  <v>0.2626</v>
                </pt>
                <pt idx="436">
                  <v>0.2636</v>
                </pt>
                <pt idx="437">
                  <v>0.254</v>
                </pt>
                <pt idx="438">
                  <v>0.2591</v>
                </pt>
                <pt idx="439">
                  <v>0.2559</v>
                </pt>
                <pt idx="440">
                  <v>0.2518</v>
                </pt>
                <pt idx="441">
                  <v>0.2369</v>
                </pt>
                <pt idx="442">
                  <v>0.2507</v>
                </pt>
                <pt idx="443">
                  <v>0.2583</v>
                </pt>
                <pt idx="444">
                  <v>0.2644</v>
                </pt>
                <pt idx="445">
                  <v>0.2557</v>
                </pt>
                <pt idx="446">
                  <v>0.2542</v>
                </pt>
                <pt idx="447">
                  <v>0.2541</v>
                </pt>
                <pt idx="448">
                  <v>0.2629</v>
                </pt>
                <pt idx="449">
                  <v>0.2607</v>
                </pt>
                <pt idx="450">
                  <v>0.2607</v>
                </pt>
                <pt idx="451">
                  <v>0.2838</v>
                </pt>
                <pt idx="452">
                  <v>0.2817</v>
                </pt>
                <pt idx="453">
                  <v>0.2867</v>
                </pt>
                <pt idx="454">
                  <v>0.2839</v>
                </pt>
                <pt idx="455">
                  <v>0.2959</v>
                </pt>
                <pt idx="456">
                  <v>0.2874</v>
                </pt>
                <pt idx="457">
                  <v>0.273</v>
                </pt>
                <pt idx="458">
                  <v>0.2819</v>
                </pt>
                <pt idx="459">
                  <v>0.2781</v>
                </pt>
                <pt idx="460">
                  <v>0.2838</v>
                </pt>
                <pt idx="461">
                  <v>0.2781</v>
                </pt>
                <pt idx="462">
                  <v>0.2767</v>
                </pt>
                <pt idx="463">
                  <v>0.2788</v>
                </pt>
                <pt idx="464">
                  <v>0.2813</v>
                </pt>
                <pt idx="465">
                  <v>0.2763</v>
                </pt>
                <pt idx="466">
                  <v>0.2765</v>
                </pt>
                <pt idx="467">
                  <v>0.27</v>
                </pt>
                <pt idx="468">
                  <v>0.2665</v>
                </pt>
                <pt idx="469">
                  <v>0.2598</v>
                </pt>
                <pt idx="470">
                  <v>0.2549</v>
                </pt>
                <pt idx="471">
                  <v>0.2553</v>
                </pt>
                <pt idx="472">
                  <v>0.2531</v>
                </pt>
                <pt idx="473">
                  <v>0.2581</v>
                </pt>
                <pt idx="474">
                  <v>0.2611</v>
                </pt>
                <pt idx="475">
                  <v>0.2507</v>
                </pt>
                <pt idx="476">
                  <v>0.2421</v>
                </pt>
                <pt idx="477">
                  <v>0.2376</v>
                </pt>
                <pt idx="478">
                  <v>0.2343</v>
                </pt>
                <pt idx="479">
                  <v>0.2256</v>
                </pt>
                <pt idx="480">
                  <v>0.2332</v>
                </pt>
                <pt idx="481">
                  <v>0.2475</v>
                </pt>
                <pt idx="482">
                  <v>0.2338</v>
                </pt>
                <pt idx="483">
                  <v>0.2328</v>
                </pt>
                <pt idx="484">
                  <v>0.2288</v>
                </pt>
                <pt idx="485">
                  <v>0.2299</v>
                </pt>
                <pt idx="486">
                  <v>0.2249</v>
                </pt>
                <pt idx="487">
                  <v>0.2261</v>
                </pt>
                <pt idx="488">
                  <v>0.2199</v>
                </pt>
                <pt idx="489">
                  <v>0.2174</v>
                </pt>
                <pt idx="490">
                  <v>0.212</v>
                </pt>
                <pt idx="491">
                  <v>0.2032</v>
                </pt>
                <pt idx="492">
                  <v>0.2108</v>
                </pt>
                <pt idx="493">
                  <v>0.2006</v>
                </pt>
                <pt idx="494">
                  <v>0.1996</v>
                </pt>
                <pt idx="495">
                  <v>0.1891</v>
                </pt>
                <pt idx="496">
                  <v>0.1913</v>
                </pt>
                <pt idx="497">
                  <v>0.1901</v>
                </pt>
                <pt idx="498">
                  <v>0.1916</v>
                </pt>
                <pt idx="499">
                  <v>0.1943</v>
                </pt>
                <pt idx="500">
                  <v>0.19</v>
                </pt>
                <pt idx="501">
                  <v>0.2011</v>
                </pt>
                <pt idx="502">
                  <v>0.2015</v>
                </pt>
                <pt idx="503">
                  <v>0.2209</v>
                </pt>
                <pt idx="504">
                  <v>0.2771</v>
                </pt>
                <pt idx="505">
                  <v>0.3092</v>
                </pt>
                <pt idx="506">
                  <v>0.2937</v>
                </pt>
                <pt idx="507">
                  <v>0.281</v>
                </pt>
                <pt idx="508">
                  <v>0.2689</v>
                </pt>
                <pt idx="509">
                  <v>0.2586</v>
                </pt>
                <pt idx="510">
                  <v>0.2651</v>
                </pt>
                <pt idx="511">
                  <v>0.2592</v>
                </pt>
                <pt idx="512">
                  <v>0.2685</v>
                </pt>
                <pt idx="513">
                  <v>0.2689</v>
                </pt>
                <pt idx="514">
                  <v>0.2487</v>
                </pt>
                <pt idx="515">
                  <v>0.2424</v>
                </pt>
                <pt idx="516">
                  <v>0.2493</v>
                </pt>
                <pt idx="517">
                  <v>0.242</v>
                </pt>
                <pt idx="518">
                  <v>0.2365</v>
                </pt>
                <pt idx="519">
                  <v>0.2341</v>
                </pt>
                <pt idx="520">
                  <v>0.2352</v>
                </pt>
                <pt idx="521">
                  <v>0.2384</v>
                </pt>
                <pt idx="522">
                  <v>0.2345</v>
                </pt>
                <pt idx="523">
                  <v>0.2791</v>
                </pt>
                <pt idx="524">
                  <v>0.2455</v>
                </pt>
                <pt idx="525">
                  <v>0.2413</v>
                </pt>
                <pt idx="526">
                  <v>0.2294</v>
                </pt>
                <pt idx="527">
                  <v>0.2199</v>
                </pt>
                <pt idx="528">
                  <v>0.2257</v>
                </pt>
                <pt idx="529">
                  <v>0.2508</v>
                </pt>
                <pt idx="530">
                  <v>0.2267</v>
                </pt>
                <pt idx="531">
                  <v>0.2417</v>
                </pt>
                <pt idx="532">
                  <v>0.256</v>
                </pt>
                <pt idx="533">
                  <v>0.266</v>
                </pt>
                <pt idx="534">
                  <v>0.2962</v>
                </pt>
                <pt idx="535">
                  <v>0.304</v>
                </pt>
                <pt idx="536">
                  <v>0.3308</v>
                </pt>
                <pt idx="537">
                  <v>0.3382</v>
                </pt>
                <pt idx="538">
                  <v>0.3465</v>
                </pt>
                <pt idx="539">
                  <v>0.3448</v>
                </pt>
                <pt idx="540">
                  <v>0.3452</v>
                </pt>
                <pt idx="541">
                  <v>0.3492</v>
                </pt>
                <pt idx="542">
                  <v>0.3608</v>
                </pt>
                <pt idx="543">
                  <v>0.358</v>
                </pt>
                <pt idx="544">
                  <v>0.3921</v>
                </pt>
                <pt idx="545">
                  <v>0.4057</v>
                </pt>
                <pt idx="546">
                  <v>0.4162</v>
                </pt>
                <pt idx="547">
                  <v>0.369</v>
                </pt>
                <pt idx="548">
                  <v>0.3587</v>
                </pt>
                <pt idx="549">
                  <v>0.3337</v>
                </pt>
                <pt idx="550">
                  <v>0.3261</v>
                </pt>
                <pt idx="551">
                  <v>0.3181</v>
                </pt>
                <pt idx="552">
                  <v>0.3247</v>
                </pt>
                <pt idx="553">
                  <v>0.3191</v>
                </pt>
                <pt idx="554">
                  <v>0.3215</v>
                </pt>
                <pt idx="555">
                  <v>0.344</v>
                </pt>
                <pt idx="556">
                  <v>0.3494</v>
                </pt>
                <pt idx="557">
                  <v>0.352</v>
                </pt>
                <pt idx="558">
                  <v>0.3583</v>
                </pt>
                <pt idx="559">
                  <v>0.3567</v>
                </pt>
                <pt idx="560">
                  <v>0.3679</v>
                </pt>
                <pt idx="561">
                  <v>0.3812</v>
                </pt>
                <pt idx="562">
                  <v>0.3859</v>
                </pt>
                <pt idx="563">
                  <v>0.4068</v>
                </pt>
                <pt idx="564">
                  <v>0.4357</v>
                </pt>
                <pt idx="565">
                  <v>0.4196</v>
                </pt>
                <pt idx="566">
                  <v>0.3956</v>
                </pt>
                <pt idx="567">
                  <v>0.3826</v>
                </pt>
                <pt idx="568">
                  <v>0.3489</v>
                </pt>
                <pt idx="569">
                  <v>0.3442</v>
                </pt>
                <pt idx="570">
                  <v>0.3486</v>
                </pt>
                <pt idx="571">
                  <v>0.3502</v>
                </pt>
                <pt idx="572">
                  <v>0.3393</v>
                </pt>
                <pt idx="573">
                  <v>0.3423</v>
                </pt>
                <pt idx="574">
                  <v>0.3331</v>
                </pt>
                <pt idx="575">
                  <v>0.3211</v>
                </pt>
                <pt idx="576">
                  <v>0.3074</v>
                </pt>
                <pt idx="577">
                  <v>0.3093</v>
                </pt>
                <pt idx="578">
                  <v>0.3162</v>
                </pt>
                <pt idx="579">
                  <v>0.3211</v>
                </pt>
                <pt idx="580">
                  <v>0.3182</v>
                </pt>
                <pt idx="581">
                  <v>0.3079</v>
                </pt>
                <pt idx="582">
                  <v>0.3089</v>
                </pt>
                <pt idx="583">
                  <v>0.3092</v>
                </pt>
                <pt idx="584">
                  <v>0.3079</v>
                </pt>
                <pt idx="585">
                  <v>0.2934</v>
                </pt>
                <pt idx="586">
                  <v>0.2878</v>
                </pt>
                <pt idx="587">
                  <v>0.2868</v>
                </pt>
                <pt idx="588">
                  <v>0.2848</v>
                </pt>
                <pt idx="589">
                  <v>0.2811</v>
                </pt>
                <pt idx="590">
                  <v>0.2797</v>
                </pt>
                <pt idx="591">
                  <v>0.2771</v>
                </pt>
                <pt idx="592">
                  <v>0.279</v>
                </pt>
                <pt idx="593">
                  <v>0.2821</v>
                </pt>
                <pt idx="594">
                  <v>0.2829</v>
                </pt>
                <pt idx="595">
                  <v>0.286</v>
                </pt>
                <pt idx="596">
                  <v>0.2739</v>
                </pt>
                <pt idx="597">
                  <v>0.2695</v>
                </pt>
                <pt idx="598">
                  <v>0.2699</v>
                </pt>
                <pt idx="599">
                  <v>0.2661</v>
                </pt>
                <pt idx="600">
                  <v>0.262</v>
                </pt>
                <pt idx="601">
                  <v>0.258</v>
                </pt>
                <pt idx="602">
                  <v>0.2574</v>
                </pt>
                <pt idx="603">
                  <v>0.2563</v>
                </pt>
                <pt idx="604">
                  <v>0.2392</v>
                </pt>
                <pt idx="605">
                  <v>0.2337</v>
                </pt>
                <pt idx="606">
                  <v>0.2254</v>
                </pt>
                <pt idx="607">
                  <v>0.2206</v>
                </pt>
                <pt idx="608">
                  <v>0.205</v>
                </pt>
                <pt idx="609">
                  <v>0.2005</v>
                </pt>
                <pt idx="610">
                  <v>0.1839</v>
                </pt>
                <pt idx="611">
                  <v>0.1697</v>
                </pt>
                <pt idx="612">
                  <v>0.1746</v>
                </pt>
                <pt idx="613">
                  <v>0.1597</v>
                </pt>
                <pt idx="614">
                  <v>0.1565</v>
                </pt>
                <pt idx="615">
                  <v>0.1668</v>
                </pt>
                <pt idx="616">
                  <v>0.1817</v>
                </pt>
                <pt idx="617">
                  <v>0.1806</v>
                </pt>
                <pt idx="618">
                  <v>0.1683</v>
                </pt>
                <pt idx="619">
                  <v>0.1684</v>
                </pt>
                <pt idx="620">
                  <v>0.1696</v>
                </pt>
                <pt idx="621">
                  <v>0.1724</v>
                </pt>
                <pt idx="622">
                  <v>0.198</v>
                </pt>
                <pt idx="623">
                  <v>0.1914</v>
                </pt>
                <pt idx="624">
                  <v>0.1817</v>
                </pt>
                <pt idx="625">
                  <v>0.1727</v>
                </pt>
                <pt idx="626">
                  <v>0.1761</v>
                </pt>
                <pt idx="627">
                  <v>0.1716</v>
                </pt>
                <pt idx="628">
                  <v>0.1557</v>
                </pt>
                <pt idx="629">
                  <v>0.1566</v>
                </pt>
                <pt idx="630">
                  <v>0.1535</v>
                </pt>
                <pt idx="631">
                  <v>0.1532</v>
                </pt>
                <pt idx="632">
                  <v>0.1709</v>
                </pt>
                <pt idx="633">
                  <v>0.1797</v>
                </pt>
                <pt idx="634">
                  <v>0.1916</v>
                </pt>
                <pt idx="635">
                  <v>0.1946</v>
                </pt>
                <pt idx="636">
                  <v>0.199</v>
                </pt>
                <pt idx="637">
                  <v>0.1822</v>
                </pt>
                <pt idx="638">
                  <v>0.1739</v>
                </pt>
                <pt idx="639">
                  <v>0.1711</v>
                </pt>
                <pt idx="640">
                  <v>0.1859</v>
                </pt>
                <pt idx="641">
                  <v>0.1956</v>
                </pt>
                <pt idx="642">
                  <v>0.1862</v>
                </pt>
                <pt idx="643">
                  <v>0.1766</v>
                </pt>
                <pt idx="644">
                  <v>0.1778</v>
                </pt>
                <pt idx="645">
                  <v>0.191</v>
                </pt>
                <pt idx="646">
                  <v>0.1846</v>
                </pt>
                <pt idx="647">
                  <v>0.1781</v>
                </pt>
                <pt idx="648">
                  <v>0.1845</v>
                </pt>
                <pt idx="649">
                  <v>0.1802</v>
                </pt>
                <pt idx="650">
                  <v>0.1772</v>
                </pt>
                <pt idx="651">
                  <v>0.1853</v>
                </pt>
                <pt idx="652">
                  <v>0.1847</v>
                </pt>
                <pt idx="653">
                  <v>0.189</v>
                </pt>
                <pt idx="654">
                  <v>0.1741</v>
                </pt>
                <pt idx="655">
                  <v>0.1863</v>
                </pt>
                <pt idx="656">
                  <v>0.2076</v>
                </pt>
                <pt idx="657">
                  <v>0.1998</v>
                </pt>
                <pt idx="658">
                  <v>0.1879</v>
                </pt>
                <pt idx="659">
                  <v>0.1873</v>
                </pt>
                <pt idx="660">
                  <v>0.1927</v>
                </pt>
                <pt idx="661">
                  <v>0.1885</v>
                </pt>
                <pt idx="662">
                  <v>0.1806</v>
                </pt>
                <pt idx="663">
                  <v>0.1811</v>
                </pt>
                <pt idx="664">
                  <v>0.1922</v>
                </pt>
                <pt idx="665">
                  <v>0.1856</v>
                </pt>
                <pt idx="666">
                  <v>0.2005</v>
                </pt>
                <pt idx="667">
                  <v>0.199</v>
                </pt>
                <pt idx="668">
                  <v>0.2062</v>
                </pt>
                <pt idx="669">
                  <v>0.2044</v>
                </pt>
                <pt idx="670">
                  <v>0.2118</v>
                </pt>
                <pt idx="671">
                  <v>0.1943</v>
                </pt>
                <pt idx="672">
                  <v>0.1799</v>
                </pt>
                <pt idx="673">
                  <v>0.1808</v>
                </pt>
                <pt idx="674">
                  <v>0.1848</v>
                </pt>
                <pt idx="675">
                  <v>0.1901</v>
                </pt>
                <pt idx="676">
                  <v>0.1885</v>
                </pt>
                <pt idx="677">
                  <v>0.2032</v>
                </pt>
                <pt idx="678">
                  <v>0.2118</v>
                </pt>
                <pt idx="679">
                  <v>0.2256</v>
                </pt>
                <pt idx="680">
                  <v>0.2534</v>
                </pt>
                <pt idx="681">
                  <v>0.2347</v>
                </pt>
                <pt idx="682">
                  <v>0.2599</v>
                </pt>
                <pt idx="683">
                  <v>0.2686</v>
                </pt>
                <pt idx="684">
                  <v>0.2571</v>
                </pt>
                <pt idx="685">
                  <v>0.2573</v>
                </pt>
                <pt idx="686">
                  <v>0.2698</v>
                </pt>
                <pt idx="687">
                  <v>0.2431</v>
                </pt>
                <pt idx="688">
                  <v>0.219</v>
                </pt>
                <pt idx="689">
                  <v>0.2286</v>
                </pt>
                <pt idx="690">
                  <v>0.2152</v>
                </pt>
                <pt idx="691">
                  <v>0.2171</v>
                </pt>
                <pt idx="692">
                  <v>0.2069</v>
                </pt>
                <pt idx="693">
                  <v>0.2133</v>
                </pt>
                <pt idx="694">
                  <v>0.2254</v>
                </pt>
                <pt idx="695">
                  <v>0.2318</v>
                </pt>
                <pt idx="696">
                  <v>0.2438</v>
                </pt>
                <pt idx="697">
                  <v>0.2275</v>
                </pt>
                <pt idx="698">
                  <v>0.226</v>
                </pt>
                <pt idx="699">
                  <v>0.2186</v>
                </pt>
                <pt idx="700">
                  <v>0.211</v>
                </pt>
                <pt idx="701">
                  <v>0.206</v>
                </pt>
                <pt idx="702">
                  <v>0.2038</v>
                </pt>
                <pt idx="703">
                  <v>0.2056</v>
                </pt>
                <pt idx="704">
                  <v>0.2216</v>
                </pt>
                <pt idx="705">
                  <v>0.2246</v>
                </pt>
                <pt idx="706">
                  <v>0.2218</v>
                </pt>
                <pt idx="707">
                  <v>0.2257</v>
                </pt>
                <pt idx="708">
                  <v>0.2164</v>
                </pt>
                <pt idx="709">
                  <v>0.2128</v>
                </pt>
                <pt idx="710">
                  <v>0.2119</v>
                </pt>
                <pt idx="711">
                  <v>0.2142</v>
                </pt>
                <pt idx="712">
                  <v>0.2187</v>
                </pt>
                <pt idx="713">
                  <v>0.2173</v>
                </pt>
                <pt idx="714">
                  <v>0.2428</v>
                </pt>
                <pt idx="715">
                  <v>0.2504</v>
                </pt>
                <pt idx="716">
                  <v>0.2548</v>
                </pt>
                <pt idx="717">
                  <v>0.2412</v>
                </pt>
                <pt idx="718">
                  <v>0.2321</v>
                </pt>
                <pt idx="719">
                  <v>0.2366</v>
                </pt>
                <pt idx="720">
                  <v>0.233</v>
                </pt>
                <pt idx="721">
                  <v>0.241</v>
                </pt>
                <pt idx="722">
                  <v>0.2383</v>
                </pt>
                <pt idx="723">
                  <v>0.268</v>
                </pt>
                <pt idx="724">
                  <v>0.2616</v>
                </pt>
                <pt idx="725">
                  <v>0.2684</v>
                </pt>
                <pt idx="726">
                  <v>0.2612</v>
                </pt>
                <pt idx="727">
                  <v>0.2719</v>
                </pt>
                <pt idx="728">
                  <v>0.2775</v>
                </pt>
                <pt idx="729">
                  <v>0.2814</v>
                </pt>
                <pt idx="730">
                  <v>0.275</v>
                </pt>
                <pt idx="731">
                  <v>0.2749</v>
                </pt>
                <pt idx="732">
                  <v>0.2844</v>
                </pt>
                <pt idx="733">
                  <v>0.2952</v>
                </pt>
                <pt idx="734">
                  <v>0.3173</v>
                </pt>
                <pt idx="735">
                  <v>0.3087</v>
                </pt>
                <pt idx="736">
                  <v>0.3281</v>
                </pt>
                <pt idx="737">
                  <v>0.3225</v>
                </pt>
                <pt idx="738">
                  <v>0.3306</v>
                </pt>
                <pt idx="739">
                  <v>0.3296</v>
                </pt>
                <pt idx="740">
                  <v>0.3181</v>
                </pt>
                <pt idx="741">
                  <v>0.3066</v>
                </pt>
                <pt idx="742">
                  <v>0.3072</v>
                </pt>
                <pt idx="743">
                  <v>0.3059</v>
                </pt>
                <pt idx="744">
                  <v>0.3003</v>
                </pt>
                <pt idx="745">
                  <v>0.3077</v>
                </pt>
                <pt idx="746">
                  <v>0.3217</v>
                </pt>
                <pt idx="747">
                  <v>0.3242</v>
                </pt>
                <pt idx="748">
                  <v>0.301</v>
                </pt>
                <pt idx="749">
                  <v>0.3043</v>
                </pt>
                <pt idx="750">
                  <v>0.2963</v>
                </pt>
                <pt idx="751">
                  <v>0.2922</v>
                </pt>
                <pt idx="752">
                  <v>0.2965</v>
                </pt>
                <pt idx="753">
                  <v>0.3071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532601984"/>
        <axId val="1532603664"/>
      </lineChart>
      <dateAx>
        <axId val="1532601984"/>
        <scaling>
          <orientation val="minMax"/>
        </scaling>
        <delete val="0"/>
        <axPos val="b"/>
        <numFmt formatCode="m/d/yy" sourceLinked="1"/>
        <majorTickMark val="out"/>
        <minorTickMark val="none"/>
        <tickLblPos val="nextTo"/>
        <spPr>
          <a:noFill/>
          <a:ln algn="ctr" cap="flat" cmpd="sng" w="9525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anchor="ctr" anchorCtr="1" rot="-60000000" spcFirstLastPara="1" vert="horz" vertOverflow="ellipsis" wrap="square"/>
          <a:lstStyle/>
          <a:p>
            <a:pPr>
              <a:defRPr b="0" baseline="0" i="0" kern="1200" strike="noStrike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CN"/>
          </a:p>
        </txPr>
        <crossAx val="1532603664"/>
        <crosses val="autoZero"/>
        <lblOffset val="100"/>
        <baseTimeUnit val="days"/>
      </dateAx>
      <valAx>
        <axId val="1532603664"/>
        <scaling>
          <orientation val="minMax"/>
        </scaling>
        <delete val="0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anchor="ctr" anchorCtr="1" rot="-60000000" spcFirstLastPara="1" vert="horz" vertOverflow="ellipsis" wrap="square"/>
          <a:lstStyle/>
          <a:p>
            <a:pPr>
              <a:defRPr b="0" baseline="0" i="0" kern="1200" strike="noStrike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CN"/>
          </a:p>
        </txPr>
        <crossAx val="1532601984"/>
        <crosses val="autoZero"/>
        <crossBetween val="between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lang="en-US"/>
              <a:t>None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cap="rnd" w="28575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cat>
            <strRef>
              <f>可转债双低!$A$1:$A$756</f>
              <strCache>
                <ptCount val="756"/>
                <pt idx="0">
                  <v>日期</v>
                </pt>
                <pt idx="2">
                  <v>2017/12/29</v>
                </pt>
                <pt idx="3">
                  <v>2018/1/2</v>
                </pt>
                <pt idx="4">
                  <v>2018/1/3</v>
                </pt>
                <pt idx="5">
                  <v>2018/1/4</v>
                </pt>
                <pt idx="6">
                  <v>2018/1/5</v>
                </pt>
                <pt idx="7">
                  <v>2018/1/8</v>
                </pt>
                <pt idx="8">
                  <v>2018/1/9</v>
                </pt>
                <pt idx="9">
                  <v>2018/1/10</v>
                </pt>
                <pt idx="10">
                  <v>2018/1/11</v>
                </pt>
                <pt idx="11">
                  <v>2018/1/12</v>
                </pt>
                <pt idx="12">
                  <v>2018/1/15</v>
                </pt>
                <pt idx="13">
                  <v>2018/1/16</v>
                </pt>
                <pt idx="14">
                  <v>2018/1/17</v>
                </pt>
                <pt idx="15">
                  <v>2018/1/18</v>
                </pt>
                <pt idx="16">
                  <v>2018/1/19</v>
                </pt>
                <pt idx="17">
                  <v>2018/1/22</v>
                </pt>
                <pt idx="18">
                  <v>2018/1/23</v>
                </pt>
                <pt idx="19">
                  <v>2018/1/24</v>
                </pt>
                <pt idx="20">
                  <v>2018/1/25</v>
                </pt>
                <pt idx="21">
                  <v>2018/1/26</v>
                </pt>
                <pt idx="22">
                  <v>2018/1/29</v>
                </pt>
                <pt idx="23">
                  <v>2018/1/30</v>
                </pt>
                <pt idx="24">
                  <v>2018/1/31</v>
                </pt>
                <pt idx="25">
                  <v>2018/2/1</v>
                </pt>
                <pt idx="26">
                  <v>2018/2/2</v>
                </pt>
                <pt idx="27">
                  <v>2018/2/5</v>
                </pt>
                <pt idx="28">
                  <v>2018/2/6</v>
                </pt>
                <pt idx="29">
                  <v>2018/2/7</v>
                </pt>
                <pt idx="30">
                  <v>2018/2/8</v>
                </pt>
                <pt idx="31">
                  <v>2018/2/9</v>
                </pt>
                <pt idx="32">
                  <v>2018/2/12</v>
                </pt>
                <pt idx="33">
                  <v>2018/2/13</v>
                </pt>
                <pt idx="34">
                  <v>2018/2/14</v>
                </pt>
                <pt idx="35">
                  <v>2018/2/22</v>
                </pt>
                <pt idx="36">
                  <v>2018/2/23</v>
                </pt>
                <pt idx="37">
                  <v>2018/2/26</v>
                </pt>
                <pt idx="38">
                  <v>2018/2/27</v>
                </pt>
                <pt idx="39">
                  <v>2018/2/28</v>
                </pt>
                <pt idx="40">
                  <v>2018/3/1</v>
                </pt>
                <pt idx="41">
                  <v>2018/3/2</v>
                </pt>
                <pt idx="42">
                  <v>2018/3/5</v>
                </pt>
                <pt idx="43">
                  <v>2018/3/6</v>
                </pt>
                <pt idx="44">
                  <v>2018/3/7</v>
                </pt>
                <pt idx="45">
                  <v>2018/3/8</v>
                </pt>
                <pt idx="46">
                  <v>2018/3/9</v>
                </pt>
                <pt idx="47">
                  <v>2018/3/12</v>
                </pt>
                <pt idx="48">
                  <v>2018/3/13</v>
                </pt>
                <pt idx="49">
                  <v>2018/3/14</v>
                </pt>
                <pt idx="50">
                  <v>2018/3/15</v>
                </pt>
                <pt idx="51">
                  <v>2018/3/16</v>
                </pt>
                <pt idx="52">
                  <v>2018/3/19</v>
                </pt>
                <pt idx="53">
                  <v>2018/3/20</v>
                </pt>
                <pt idx="54">
                  <v>2018/3/21</v>
                </pt>
                <pt idx="55">
                  <v>2018/3/22</v>
                </pt>
                <pt idx="56">
                  <v>2018/3/23</v>
                </pt>
                <pt idx="57">
                  <v>2018/3/26</v>
                </pt>
                <pt idx="58">
                  <v>2018/3/27</v>
                </pt>
                <pt idx="59">
                  <v>2018/3/28</v>
                </pt>
                <pt idx="60">
                  <v>2018/3/29</v>
                </pt>
                <pt idx="61">
                  <v>2018/3/30</v>
                </pt>
                <pt idx="62">
                  <v>2018/4/2</v>
                </pt>
                <pt idx="63">
                  <v>2018/4/3</v>
                </pt>
                <pt idx="64">
                  <v>2018/4/4</v>
                </pt>
                <pt idx="65">
                  <v>2018/4/9</v>
                </pt>
                <pt idx="66">
                  <v>2018/4/10</v>
                </pt>
                <pt idx="67">
                  <v>2018/4/11</v>
                </pt>
                <pt idx="68">
                  <v>2018/4/12</v>
                </pt>
                <pt idx="69">
                  <v>2018/4/13</v>
                </pt>
                <pt idx="70">
                  <v>2018/4/16</v>
                </pt>
                <pt idx="71">
                  <v>2018/4/17</v>
                </pt>
                <pt idx="72">
                  <v>2018/4/18</v>
                </pt>
                <pt idx="73">
                  <v>2018/4/19</v>
                </pt>
                <pt idx="74">
                  <v>2018/4/20</v>
                </pt>
                <pt idx="75">
                  <v>2018/4/23</v>
                </pt>
                <pt idx="76">
                  <v>2018/4/24</v>
                </pt>
                <pt idx="77">
                  <v>2018/4/25</v>
                </pt>
                <pt idx="78">
                  <v>2018/4/26</v>
                </pt>
                <pt idx="79">
                  <v>2018/4/27</v>
                </pt>
                <pt idx="80">
                  <v>2018/5/2</v>
                </pt>
                <pt idx="81">
                  <v>2018/5/3</v>
                </pt>
                <pt idx="82">
                  <v>2018/5/4</v>
                </pt>
                <pt idx="83">
                  <v>2018/5/7</v>
                </pt>
                <pt idx="84">
                  <v>2018/5/8</v>
                </pt>
                <pt idx="85">
                  <v>2018/5/9</v>
                </pt>
                <pt idx="86">
                  <v>2018/5/10</v>
                </pt>
                <pt idx="87">
                  <v>2018/5/11</v>
                </pt>
                <pt idx="88">
                  <v>2018/5/14</v>
                </pt>
                <pt idx="89">
                  <v>2018/5/15</v>
                </pt>
                <pt idx="90">
                  <v>2018/5/16</v>
                </pt>
                <pt idx="91">
                  <v>2018/5/17</v>
                </pt>
                <pt idx="92">
                  <v>2018/5/18</v>
                </pt>
                <pt idx="93">
                  <v>2018/5/21</v>
                </pt>
                <pt idx="94">
                  <v>2018/5/22</v>
                </pt>
                <pt idx="95">
                  <v>2018/5/23</v>
                </pt>
                <pt idx="96">
                  <v>2018/5/24</v>
                </pt>
                <pt idx="97">
                  <v>2018/5/25</v>
                </pt>
                <pt idx="98">
                  <v>2018/5/28</v>
                </pt>
                <pt idx="99">
                  <v>2018/5/29</v>
                </pt>
                <pt idx="100">
                  <v>2018/5/30</v>
                </pt>
                <pt idx="101">
                  <v>2018/5/31</v>
                </pt>
                <pt idx="102">
                  <v>2018/6/1</v>
                </pt>
                <pt idx="103">
                  <v>2018/6/4</v>
                </pt>
                <pt idx="104">
                  <v>2018/6/5</v>
                </pt>
                <pt idx="105">
                  <v>2018/6/6</v>
                </pt>
                <pt idx="106">
                  <v>2018/6/7</v>
                </pt>
                <pt idx="107">
                  <v>2018/6/8</v>
                </pt>
                <pt idx="108">
                  <v>2018/6/11</v>
                </pt>
                <pt idx="109">
                  <v>2018/6/12</v>
                </pt>
                <pt idx="110">
                  <v>2018/6/13</v>
                </pt>
                <pt idx="111">
                  <v>2018/6/14</v>
                </pt>
                <pt idx="112">
                  <v>2018/6/15</v>
                </pt>
                <pt idx="113">
                  <v>2018/6/19</v>
                </pt>
                <pt idx="114">
                  <v>2018/6/20</v>
                </pt>
                <pt idx="115">
                  <v>2018/6/21</v>
                </pt>
                <pt idx="116">
                  <v>2018/6/22</v>
                </pt>
                <pt idx="117">
                  <v>2018/6/25</v>
                </pt>
                <pt idx="118">
                  <v>2018/6/26</v>
                </pt>
                <pt idx="119">
                  <v>2018/6/27</v>
                </pt>
                <pt idx="120">
                  <v>2018/6/28</v>
                </pt>
                <pt idx="121">
                  <v>2018/6/29</v>
                </pt>
                <pt idx="122">
                  <v>2018/7/2</v>
                </pt>
                <pt idx="123">
                  <v>2018/7/3</v>
                </pt>
                <pt idx="124">
                  <v>2018/7/4</v>
                </pt>
                <pt idx="125">
                  <v>2018/7/5</v>
                </pt>
                <pt idx="126">
                  <v>2018/7/6</v>
                </pt>
                <pt idx="127">
                  <v>2018/7/9</v>
                </pt>
                <pt idx="128">
                  <v>2018/7/10</v>
                </pt>
                <pt idx="129">
                  <v>2018/7/11</v>
                </pt>
                <pt idx="130">
                  <v>2018/7/12</v>
                </pt>
                <pt idx="131">
                  <v>2018/7/13</v>
                </pt>
                <pt idx="132">
                  <v>2018/7/16</v>
                </pt>
                <pt idx="133">
                  <v>2018/7/17</v>
                </pt>
                <pt idx="134">
                  <v>2018/7/18</v>
                </pt>
                <pt idx="135">
                  <v>2018/7/19</v>
                </pt>
                <pt idx="136">
                  <v>2018/7/20</v>
                </pt>
                <pt idx="137">
                  <v>2018/7/23</v>
                </pt>
                <pt idx="138">
                  <v>2018/7/24</v>
                </pt>
                <pt idx="139">
                  <v>2018/7/25</v>
                </pt>
                <pt idx="140">
                  <v>2018/7/26</v>
                </pt>
                <pt idx="141">
                  <v>2018/7/27</v>
                </pt>
                <pt idx="142">
                  <v>2018/7/30</v>
                </pt>
                <pt idx="143">
                  <v>2018/7/31</v>
                </pt>
                <pt idx="144">
                  <v>2018/8/1</v>
                </pt>
                <pt idx="145">
                  <v>2018/8/2</v>
                </pt>
                <pt idx="146">
                  <v>2018/8/3</v>
                </pt>
                <pt idx="147">
                  <v>2018/8/6</v>
                </pt>
                <pt idx="148">
                  <v>2018/8/7</v>
                </pt>
                <pt idx="149">
                  <v>2018/8/8</v>
                </pt>
                <pt idx="150">
                  <v>2018/8/9</v>
                </pt>
                <pt idx="151">
                  <v>2018/8/10</v>
                </pt>
                <pt idx="152">
                  <v>2018/8/13</v>
                </pt>
                <pt idx="153">
                  <v>2018/8/14</v>
                </pt>
                <pt idx="154">
                  <v>2018/8/15</v>
                </pt>
                <pt idx="155">
                  <v>2018/8/16</v>
                </pt>
                <pt idx="156">
                  <v>2018/8/17</v>
                </pt>
                <pt idx="157">
                  <v>2018/8/20</v>
                </pt>
                <pt idx="158">
                  <v>2018/8/21</v>
                </pt>
                <pt idx="159">
                  <v>2018/8/22</v>
                </pt>
                <pt idx="160">
                  <v>2018/8/23</v>
                </pt>
                <pt idx="161">
                  <v>2018/8/24</v>
                </pt>
                <pt idx="162">
                  <v>2018/8/27</v>
                </pt>
                <pt idx="163">
                  <v>2018/8/28</v>
                </pt>
                <pt idx="164">
                  <v>2018/8/29</v>
                </pt>
                <pt idx="165">
                  <v>2018/8/30</v>
                </pt>
                <pt idx="166">
                  <v>2018/8/31</v>
                </pt>
                <pt idx="167">
                  <v>2018/9/3</v>
                </pt>
                <pt idx="168">
                  <v>2018/9/4</v>
                </pt>
                <pt idx="169">
                  <v>2018/9/5</v>
                </pt>
                <pt idx="170">
                  <v>2018/9/6</v>
                </pt>
                <pt idx="171">
                  <v>2018/9/7</v>
                </pt>
                <pt idx="172">
                  <v>2018/9/10</v>
                </pt>
                <pt idx="173">
                  <v>2018/9/11</v>
                </pt>
                <pt idx="174">
                  <v>2018/9/12</v>
                </pt>
                <pt idx="175">
                  <v>2018/9/13</v>
                </pt>
                <pt idx="176">
                  <v>2018/9/14</v>
                </pt>
                <pt idx="177">
                  <v>2018/9/17</v>
                </pt>
                <pt idx="178">
                  <v>2018/9/18</v>
                </pt>
                <pt idx="179">
                  <v>2018/9/19</v>
                </pt>
                <pt idx="180">
                  <v>2018/9/20</v>
                </pt>
                <pt idx="181">
                  <v>2018/9/21</v>
                </pt>
                <pt idx="182">
                  <v>2018/9/25</v>
                </pt>
                <pt idx="183">
                  <v>2018/9/26</v>
                </pt>
                <pt idx="184">
                  <v>2018/9/27</v>
                </pt>
                <pt idx="185">
                  <v>2018/9/28</v>
                </pt>
                <pt idx="186">
                  <v>2018/10/8</v>
                </pt>
                <pt idx="187">
                  <v>2018/10/9</v>
                </pt>
                <pt idx="188">
                  <v>2018/10/10</v>
                </pt>
                <pt idx="189">
                  <v>2018/10/11</v>
                </pt>
                <pt idx="190">
                  <v>2018/10/12</v>
                </pt>
                <pt idx="191">
                  <v>2018/10/15</v>
                </pt>
                <pt idx="192">
                  <v>2018/10/16</v>
                </pt>
                <pt idx="193">
                  <v>2018/10/17</v>
                </pt>
                <pt idx="194">
                  <v>2018/10/18</v>
                </pt>
                <pt idx="195">
                  <v>2018/10/19</v>
                </pt>
                <pt idx="196">
                  <v>2018/10/22</v>
                </pt>
                <pt idx="197">
                  <v>2018/10/23</v>
                </pt>
                <pt idx="198">
                  <v>2018/10/24</v>
                </pt>
                <pt idx="199">
                  <v>2018/10/25</v>
                </pt>
                <pt idx="200">
                  <v>2018/10/26</v>
                </pt>
                <pt idx="201">
                  <v>2018/10/29</v>
                </pt>
                <pt idx="202">
                  <v>2018/10/30</v>
                </pt>
                <pt idx="203">
                  <v>2018/10/31</v>
                </pt>
                <pt idx="204">
                  <v>2018/11/1</v>
                </pt>
                <pt idx="205">
                  <v>2018/11/2</v>
                </pt>
                <pt idx="206">
                  <v>2018/11/5</v>
                </pt>
                <pt idx="207">
                  <v>2018/11/6</v>
                </pt>
                <pt idx="208">
                  <v>2018/11/7</v>
                </pt>
                <pt idx="209">
                  <v>2018/11/8</v>
                </pt>
                <pt idx="210">
                  <v>2018/11/9</v>
                </pt>
                <pt idx="211">
                  <v>2018/11/12</v>
                </pt>
                <pt idx="212">
                  <v>2018/11/13</v>
                </pt>
                <pt idx="213">
                  <v>2018/11/14</v>
                </pt>
                <pt idx="214">
                  <v>2018/11/15</v>
                </pt>
                <pt idx="215">
                  <v>2018/11/16</v>
                </pt>
                <pt idx="216">
                  <v>2018/11/19</v>
                </pt>
                <pt idx="217">
                  <v>2018/11/20</v>
                </pt>
                <pt idx="218">
                  <v>2018/11/21</v>
                </pt>
                <pt idx="219">
                  <v>2018/11/22</v>
                </pt>
                <pt idx="220">
                  <v>2018/11/23</v>
                </pt>
                <pt idx="221">
                  <v>2018/11/26</v>
                </pt>
                <pt idx="222">
                  <v>2018/11/27</v>
                </pt>
                <pt idx="223">
                  <v>2018/11/28</v>
                </pt>
                <pt idx="224">
                  <v>2018/11/29</v>
                </pt>
                <pt idx="225">
                  <v>2018/11/30</v>
                </pt>
                <pt idx="226">
                  <v>2018/12/3</v>
                </pt>
                <pt idx="227">
                  <v>2018/12/4</v>
                </pt>
                <pt idx="228">
                  <v>2018/12/5</v>
                </pt>
                <pt idx="229">
                  <v>2018/12/6</v>
                </pt>
                <pt idx="230">
                  <v>2018/12/7</v>
                </pt>
                <pt idx="231">
                  <v>2018/12/10</v>
                </pt>
                <pt idx="232">
                  <v>2018/12/11</v>
                </pt>
                <pt idx="233">
                  <v>2018/12/12</v>
                </pt>
                <pt idx="234">
                  <v>2018/12/13</v>
                </pt>
                <pt idx="235">
                  <v>2018/12/14</v>
                </pt>
                <pt idx="236">
                  <v>2018/12/17</v>
                </pt>
                <pt idx="237">
                  <v>2018/12/18</v>
                </pt>
                <pt idx="238">
                  <v>2018/12/19</v>
                </pt>
                <pt idx="239">
                  <v>2018/12/20</v>
                </pt>
                <pt idx="240">
                  <v>2018/12/21</v>
                </pt>
                <pt idx="241">
                  <v>2018/12/24</v>
                </pt>
                <pt idx="242">
                  <v>2018/12/25</v>
                </pt>
                <pt idx="243">
                  <v>2018/12/26</v>
                </pt>
                <pt idx="244">
                  <v>2018/12/27</v>
                </pt>
                <pt idx="245">
                  <v>2018/12/28</v>
                </pt>
                <pt idx="246">
                  <v>2019/1/2</v>
                </pt>
                <pt idx="247">
                  <v>2019/1/3</v>
                </pt>
                <pt idx="248">
                  <v>2019/1/4</v>
                </pt>
                <pt idx="249">
                  <v>2019/1/7</v>
                </pt>
                <pt idx="250">
                  <v>2019/1/8</v>
                </pt>
                <pt idx="251">
                  <v>2019/1/9</v>
                </pt>
                <pt idx="252">
                  <v>2019/1/10</v>
                </pt>
                <pt idx="253">
                  <v>2019/1/11</v>
                </pt>
                <pt idx="254">
                  <v>2019/1/14</v>
                </pt>
                <pt idx="255">
                  <v>2019/1/15</v>
                </pt>
                <pt idx="256">
                  <v>2019/1/16</v>
                </pt>
                <pt idx="257">
                  <v>2019/1/17</v>
                </pt>
                <pt idx="258">
                  <v>2019/1/18</v>
                </pt>
                <pt idx="259">
                  <v>2019/1/21</v>
                </pt>
                <pt idx="260">
                  <v>2019/1/22</v>
                </pt>
                <pt idx="261">
                  <v>2019/1/23</v>
                </pt>
                <pt idx="262">
                  <v>2019/1/24</v>
                </pt>
                <pt idx="263">
                  <v>2019/1/25</v>
                </pt>
                <pt idx="264">
                  <v>2019/1/28</v>
                </pt>
                <pt idx="265">
                  <v>2019/1/29</v>
                </pt>
                <pt idx="266">
                  <v>2019/1/30</v>
                </pt>
                <pt idx="267">
                  <v>2019/1/31</v>
                </pt>
                <pt idx="268">
                  <v>2019/2/1</v>
                </pt>
                <pt idx="269">
                  <v>2019/2/11</v>
                </pt>
                <pt idx="270">
                  <v>2019/2/12</v>
                </pt>
                <pt idx="271">
                  <v>2019/2/13</v>
                </pt>
                <pt idx="272">
                  <v>2019/2/14</v>
                </pt>
                <pt idx="273">
                  <v>2019/2/15</v>
                </pt>
                <pt idx="274">
                  <v>2019/2/18</v>
                </pt>
                <pt idx="275">
                  <v>2019/2/19</v>
                </pt>
                <pt idx="276">
                  <v>2019/2/20</v>
                </pt>
                <pt idx="277">
                  <v>2019/2/21</v>
                </pt>
                <pt idx="278">
                  <v>2019/2/22</v>
                </pt>
                <pt idx="279">
                  <v>2019/2/25</v>
                </pt>
                <pt idx="280">
                  <v>2019/2/26</v>
                </pt>
                <pt idx="281">
                  <v>2019/2/27</v>
                </pt>
                <pt idx="282">
                  <v>2019/2/28</v>
                </pt>
                <pt idx="283">
                  <v>2019/3/1</v>
                </pt>
                <pt idx="284">
                  <v>2019/3/4</v>
                </pt>
                <pt idx="285">
                  <v>2019/3/5</v>
                </pt>
                <pt idx="286">
                  <v>2019/3/6</v>
                </pt>
                <pt idx="287">
                  <v>2019/3/7</v>
                </pt>
                <pt idx="288">
                  <v>2019/3/8</v>
                </pt>
                <pt idx="289">
                  <v>2019/3/11</v>
                </pt>
                <pt idx="290">
                  <v>2019/3/12</v>
                </pt>
                <pt idx="291">
                  <v>2019/3/13</v>
                </pt>
                <pt idx="292">
                  <v>2019/3/14</v>
                </pt>
                <pt idx="293">
                  <v>2019/3/15</v>
                </pt>
                <pt idx="294">
                  <v>2019/3/18</v>
                </pt>
                <pt idx="295">
                  <v>2019/3/19</v>
                </pt>
                <pt idx="296">
                  <v>2019/3/20</v>
                </pt>
                <pt idx="297">
                  <v>2019/3/21</v>
                </pt>
                <pt idx="298">
                  <v>2019/3/22</v>
                </pt>
                <pt idx="299">
                  <v>2019/3/25</v>
                </pt>
                <pt idx="300">
                  <v>2019/3/26</v>
                </pt>
                <pt idx="301">
                  <v>2019/3/27</v>
                </pt>
                <pt idx="302">
                  <v>2019/3/28</v>
                </pt>
                <pt idx="303">
                  <v>2019/3/29</v>
                </pt>
                <pt idx="304">
                  <v>2019/4/1</v>
                </pt>
                <pt idx="305">
                  <v>2019/4/2</v>
                </pt>
                <pt idx="306">
                  <v>2019/4/3</v>
                </pt>
                <pt idx="307">
                  <v>2019/4/4</v>
                </pt>
                <pt idx="308">
                  <v>2019/4/8</v>
                </pt>
                <pt idx="309">
                  <v>2019/4/9</v>
                </pt>
                <pt idx="310">
                  <v>2019/4/10</v>
                </pt>
                <pt idx="311">
                  <v>2019/4/11</v>
                </pt>
                <pt idx="312">
                  <v>2019/4/12</v>
                </pt>
                <pt idx="313">
                  <v>2019/4/15</v>
                </pt>
                <pt idx="314">
                  <v>2019/4/16</v>
                </pt>
                <pt idx="315">
                  <v>2019/4/17</v>
                </pt>
                <pt idx="316">
                  <v>2019/4/18</v>
                </pt>
                <pt idx="317">
                  <v>2019/4/19</v>
                </pt>
                <pt idx="318">
                  <v>2019/4/22</v>
                </pt>
                <pt idx="319">
                  <v>2019/4/23</v>
                </pt>
                <pt idx="320">
                  <v>2019/4/24</v>
                </pt>
                <pt idx="321">
                  <v>2019/4/25</v>
                </pt>
                <pt idx="322">
                  <v>2019/4/26</v>
                </pt>
                <pt idx="323">
                  <v>2019/4/29</v>
                </pt>
                <pt idx="324">
                  <v>2019/4/30</v>
                </pt>
                <pt idx="325">
                  <v>2019/5/6</v>
                </pt>
                <pt idx="326">
                  <v>2019/5/7</v>
                </pt>
                <pt idx="327">
                  <v>2019/5/8</v>
                </pt>
                <pt idx="328">
                  <v>2019/5/9</v>
                </pt>
                <pt idx="329">
                  <v>2019/5/10</v>
                </pt>
                <pt idx="330">
                  <v>2019/5/13</v>
                </pt>
                <pt idx="331">
                  <v>2019/5/14</v>
                </pt>
                <pt idx="332">
                  <v>2019/5/15</v>
                </pt>
                <pt idx="333">
                  <v>2019/5/16</v>
                </pt>
                <pt idx="334">
                  <v>2019/5/17</v>
                </pt>
                <pt idx="335">
                  <v>2019/5/20</v>
                </pt>
                <pt idx="336">
                  <v>2019/5/21</v>
                </pt>
                <pt idx="337">
                  <v>2019/5/22</v>
                </pt>
                <pt idx="338">
                  <v>2019/5/23</v>
                </pt>
                <pt idx="339">
                  <v>2019/5/24</v>
                </pt>
                <pt idx="340">
                  <v>2019/5/27</v>
                </pt>
                <pt idx="341">
                  <v>2019/5/28</v>
                </pt>
                <pt idx="342">
                  <v>2019/5/29</v>
                </pt>
                <pt idx="343">
                  <v>2019/5/30</v>
                </pt>
                <pt idx="344">
                  <v>2019/5/31</v>
                </pt>
                <pt idx="345">
                  <v>2019/6/3</v>
                </pt>
                <pt idx="346">
                  <v>2019/6/4</v>
                </pt>
                <pt idx="347">
                  <v>2019/6/5</v>
                </pt>
                <pt idx="348">
                  <v>2019/6/6</v>
                </pt>
                <pt idx="349">
                  <v>2019/6/10</v>
                </pt>
                <pt idx="350">
                  <v>2019/6/11</v>
                </pt>
                <pt idx="351">
                  <v>2019/6/12</v>
                </pt>
                <pt idx="352">
                  <v>2019/6/13</v>
                </pt>
                <pt idx="353">
                  <v>2019/6/14</v>
                </pt>
                <pt idx="354">
                  <v>2019/6/17</v>
                </pt>
                <pt idx="355">
                  <v>2019/6/18</v>
                </pt>
                <pt idx="356">
                  <v>2019/6/19</v>
                </pt>
                <pt idx="357">
                  <v>2019/6/20</v>
                </pt>
                <pt idx="358">
                  <v>2019/6/21</v>
                </pt>
                <pt idx="359">
                  <v>2019/6/24</v>
                </pt>
                <pt idx="360">
                  <v>2019/6/25</v>
                </pt>
                <pt idx="361">
                  <v>2019/6/26</v>
                </pt>
                <pt idx="362">
                  <v>2019/6/27</v>
                </pt>
                <pt idx="363">
                  <v>2019/6/28</v>
                </pt>
                <pt idx="364">
                  <v>2019/7/1</v>
                </pt>
                <pt idx="365">
                  <v>2019/7/2</v>
                </pt>
                <pt idx="366">
                  <v>2019/7/3</v>
                </pt>
                <pt idx="367">
                  <v>2019/7/4</v>
                </pt>
                <pt idx="368">
                  <v>2019/7/5</v>
                </pt>
                <pt idx="369">
                  <v>2019/7/8</v>
                </pt>
                <pt idx="370">
                  <v>2019/7/9</v>
                </pt>
                <pt idx="371">
                  <v>2019/7/10</v>
                </pt>
                <pt idx="372">
                  <v>2019/7/11</v>
                </pt>
                <pt idx="373">
                  <v>2019/7/12</v>
                </pt>
                <pt idx="374">
                  <v>2019/7/15</v>
                </pt>
                <pt idx="375">
                  <v>2019/7/16</v>
                </pt>
                <pt idx="376">
                  <v>2019/7/17</v>
                </pt>
                <pt idx="377">
                  <v>2019/7/18</v>
                </pt>
                <pt idx="378">
                  <v>2019/7/19</v>
                </pt>
                <pt idx="379">
                  <v>2019/7/22</v>
                </pt>
                <pt idx="380">
                  <v>2019/7/23</v>
                </pt>
                <pt idx="381">
                  <v>2019/7/24</v>
                </pt>
                <pt idx="382">
                  <v>2019/7/25</v>
                </pt>
                <pt idx="383">
                  <v>2019/7/26</v>
                </pt>
                <pt idx="384">
                  <v>2019/7/29</v>
                </pt>
                <pt idx="385">
                  <v>2019/7/30</v>
                </pt>
                <pt idx="386">
                  <v>2019/7/31</v>
                </pt>
                <pt idx="387">
                  <v>2019/8/1</v>
                </pt>
                <pt idx="388">
                  <v>2019/8/2</v>
                </pt>
                <pt idx="389">
                  <v>2019/8/5</v>
                </pt>
                <pt idx="390">
                  <v>2019/8/6</v>
                </pt>
                <pt idx="391">
                  <v>2019/8/7</v>
                </pt>
                <pt idx="392">
                  <v>2019/8/8</v>
                </pt>
                <pt idx="393">
                  <v>2019/8/9</v>
                </pt>
                <pt idx="394">
                  <v>2019/8/12</v>
                </pt>
                <pt idx="395">
                  <v>2019/8/13</v>
                </pt>
                <pt idx="396">
                  <v>2019/8/14</v>
                </pt>
                <pt idx="397">
                  <v>2019/8/15</v>
                </pt>
                <pt idx="398">
                  <v>2019/8/16</v>
                </pt>
                <pt idx="399">
                  <v>2019/8/19</v>
                </pt>
                <pt idx="400">
                  <v>2019/8/20</v>
                </pt>
                <pt idx="401">
                  <v>2019/8/21</v>
                </pt>
                <pt idx="402">
                  <v>2019/8/22</v>
                </pt>
                <pt idx="403">
                  <v>2019/8/23</v>
                </pt>
                <pt idx="404">
                  <v>2019/8/26</v>
                </pt>
                <pt idx="405">
                  <v>2019/8/27</v>
                </pt>
                <pt idx="406">
                  <v>2019/8/28</v>
                </pt>
                <pt idx="407">
                  <v>2019/8/29</v>
                </pt>
                <pt idx="408">
                  <v>2019/8/30</v>
                </pt>
                <pt idx="409">
                  <v>2019/9/2</v>
                </pt>
                <pt idx="410">
                  <v>2019/9/3</v>
                </pt>
                <pt idx="411">
                  <v>2019/9/4</v>
                </pt>
                <pt idx="412">
                  <v>2019/9/5</v>
                </pt>
                <pt idx="413">
                  <v>2019/9/6</v>
                </pt>
                <pt idx="414">
                  <v>2019/9/9</v>
                </pt>
                <pt idx="415">
                  <v>2019/9/10</v>
                </pt>
                <pt idx="416">
                  <v>2019/9/11</v>
                </pt>
                <pt idx="417">
                  <v>2019/9/12</v>
                </pt>
                <pt idx="418">
                  <v>2019/9/16</v>
                </pt>
                <pt idx="419">
                  <v>2019/9/17</v>
                </pt>
                <pt idx="420">
                  <v>2019/9/18</v>
                </pt>
                <pt idx="421">
                  <v>2019/9/19</v>
                </pt>
                <pt idx="422">
                  <v>2019/9/20</v>
                </pt>
                <pt idx="423">
                  <v>2019/9/23</v>
                </pt>
                <pt idx="424">
                  <v>2019/9/24</v>
                </pt>
                <pt idx="425">
                  <v>2019/9/25</v>
                </pt>
                <pt idx="426">
                  <v>2019/9/26</v>
                </pt>
                <pt idx="427">
                  <v>2019/9/27</v>
                </pt>
                <pt idx="428">
                  <v>2019/9/30</v>
                </pt>
                <pt idx="429">
                  <v>2019/10/8</v>
                </pt>
                <pt idx="430">
                  <v>2019/10/9</v>
                </pt>
                <pt idx="431">
                  <v>2019/10/10</v>
                </pt>
                <pt idx="432">
                  <v>2019/10/11</v>
                </pt>
                <pt idx="433">
                  <v>2019/10/14</v>
                </pt>
                <pt idx="434">
                  <v>2019/10/15</v>
                </pt>
                <pt idx="435">
                  <v>2019/10/16</v>
                </pt>
                <pt idx="436">
                  <v>2019/10/17</v>
                </pt>
                <pt idx="437">
                  <v>2019/10/18</v>
                </pt>
                <pt idx="438">
                  <v>2019/10/21</v>
                </pt>
                <pt idx="439">
                  <v>2019/10/22</v>
                </pt>
                <pt idx="440">
                  <v>2019/10/23</v>
                </pt>
                <pt idx="441">
                  <v>2019/10/24</v>
                </pt>
                <pt idx="442">
                  <v>2019/10/25</v>
                </pt>
                <pt idx="443">
                  <v>2019/10/28</v>
                </pt>
                <pt idx="444">
                  <v>2019/10/29</v>
                </pt>
                <pt idx="445">
                  <v>2019/10/30</v>
                </pt>
                <pt idx="446">
                  <v>2019/10/31</v>
                </pt>
                <pt idx="447">
                  <v>2019/11/1</v>
                </pt>
                <pt idx="448">
                  <v>2019/11/4</v>
                </pt>
                <pt idx="449">
                  <v>2019/11/5</v>
                </pt>
                <pt idx="450">
                  <v>2019/11/6</v>
                </pt>
                <pt idx="451">
                  <v>2019/11/7</v>
                </pt>
                <pt idx="452">
                  <v>2019/11/8</v>
                </pt>
                <pt idx="453">
                  <v>2019/11/11</v>
                </pt>
                <pt idx="454">
                  <v>2019/11/12</v>
                </pt>
                <pt idx="455">
                  <v>2019/11/13</v>
                </pt>
                <pt idx="456">
                  <v>2019/11/14</v>
                </pt>
                <pt idx="457">
                  <v>2019/11/15</v>
                </pt>
                <pt idx="458">
                  <v>2019/11/18</v>
                </pt>
                <pt idx="459">
                  <v>2019/11/19</v>
                </pt>
                <pt idx="460">
                  <v>2019/11/20</v>
                </pt>
                <pt idx="461">
                  <v>2019/11/21</v>
                </pt>
                <pt idx="462">
                  <v>2019/11/22</v>
                </pt>
                <pt idx="463">
                  <v>2019/11/25</v>
                </pt>
                <pt idx="464">
                  <v>2019/11/26</v>
                </pt>
                <pt idx="465">
                  <v>2019/11/27</v>
                </pt>
                <pt idx="466">
                  <v>2019/11/28</v>
                </pt>
                <pt idx="467">
                  <v>2019/11/29</v>
                </pt>
                <pt idx="468">
                  <v>2019/12/2</v>
                </pt>
                <pt idx="469">
                  <v>2019/12/3</v>
                </pt>
                <pt idx="470">
                  <v>2019/12/4</v>
                </pt>
                <pt idx="471">
                  <v>2019/12/5</v>
                </pt>
                <pt idx="472">
                  <v>2019/12/6</v>
                </pt>
                <pt idx="473">
                  <v>2019/12/9</v>
                </pt>
                <pt idx="474">
                  <v>2019/12/10</v>
                </pt>
                <pt idx="475">
                  <v>2019/12/11</v>
                </pt>
                <pt idx="476">
                  <v>2019/12/12</v>
                </pt>
                <pt idx="477">
                  <v>2019/12/13</v>
                </pt>
                <pt idx="478">
                  <v>2019/12/16</v>
                </pt>
                <pt idx="479">
                  <v>2019/12/17</v>
                </pt>
                <pt idx="480">
                  <v>2019/12/18</v>
                </pt>
                <pt idx="481">
                  <v>2019/12/19</v>
                </pt>
                <pt idx="482">
                  <v>2019/12/20</v>
                </pt>
                <pt idx="483">
                  <v>2019/12/23</v>
                </pt>
                <pt idx="484">
                  <v>2019/12/24</v>
                </pt>
                <pt idx="485">
                  <v>2019/12/25</v>
                </pt>
                <pt idx="486">
                  <v>2019/12/26</v>
                </pt>
                <pt idx="487">
                  <v>2019/12/27</v>
                </pt>
                <pt idx="488">
                  <v>2019/12/30</v>
                </pt>
                <pt idx="489">
                  <v>2019/12/31</v>
                </pt>
                <pt idx="490">
                  <v>2020/1/2</v>
                </pt>
                <pt idx="491">
                  <v>2020/1/3</v>
                </pt>
                <pt idx="492">
                  <v>2020/1/6</v>
                </pt>
                <pt idx="493">
                  <v>2020/1/7</v>
                </pt>
                <pt idx="494">
                  <v>2020/1/8</v>
                </pt>
                <pt idx="495">
                  <v>2020/1/9</v>
                </pt>
                <pt idx="496">
                  <v>2020/1/10</v>
                </pt>
                <pt idx="497">
                  <v>2020/1/13</v>
                </pt>
                <pt idx="498">
                  <v>2020/1/14</v>
                </pt>
                <pt idx="499">
                  <v>2020/1/15</v>
                </pt>
                <pt idx="500">
                  <v>2020/1/16</v>
                </pt>
                <pt idx="501">
                  <v>2020/1/17</v>
                </pt>
                <pt idx="502">
                  <v>2020/1/20</v>
                </pt>
                <pt idx="503">
                  <v>2020/1/21</v>
                </pt>
                <pt idx="504">
                  <v>2020/1/22</v>
                </pt>
                <pt idx="505">
                  <v>2020/1/23</v>
                </pt>
                <pt idx="506">
                  <v>2020/2/3</v>
                </pt>
                <pt idx="507">
                  <v>2020/2/4</v>
                </pt>
                <pt idx="508">
                  <v>2020/2/5</v>
                </pt>
                <pt idx="509">
                  <v>2020/2/6</v>
                </pt>
                <pt idx="510">
                  <v>2020/2/7</v>
                </pt>
                <pt idx="511">
                  <v>2020/2/10</v>
                </pt>
                <pt idx="512">
                  <v>2020/2/11</v>
                </pt>
                <pt idx="513">
                  <v>2020/2/12</v>
                </pt>
                <pt idx="514">
                  <v>2020/2/13</v>
                </pt>
                <pt idx="515">
                  <v>2020/2/14</v>
                </pt>
                <pt idx="516">
                  <v>2020/2/17</v>
                </pt>
                <pt idx="517">
                  <v>2020/2/18</v>
                </pt>
                <pt idx="518">
                  <v>2020/2/19</v>
                </pt>
                <pt idx="519">
                  <v>2020/2/20</v>
                </pt>
                <pt idx="520">
                  <v>2020/2/21</v>
                </pt>
                <pt idx="521">
                  <v>2020/2/24</v>
                </pt>
                <pt idx="522">
                  <v>2020/2/25</v>
                </pt>
                <pt idx="523">
                  <v>2020/2/26</v>
                </pt>
                <pt idx="524">
                  <v>2020/2/27</v>
                </pt>
                <pt idx="525">
                  <v>2020/2/28</v>
                </pt>
                <pt idx="526">
                  <v>2020/3/2</v>
                </pt>
                <pt idx="527">
                  <v>2020/3/3</v>
                </pt>
                <pt idx="528">
                  <v>2020/3/4</v>
                </pt>
                <pt idx="529">
                  <v>2020/3/5</v>
                </pt>
                <pt idx="530">
                  <v>2020/3/6</v>
                </pt>
                <pt idx="531">
                  <v>2020/3/9</v>
                </pt>
                <pt idx="532">
                  <v>2020/3/10</v>
                </pt>
                <pt idx="533">
                  <v>2020/3/11</v>
                </pt>
                <pt idx="534">
                  <v>2020/3/12</v>
                </pt>
                <pt idx="535">
                  <v>2020/3/13</v>
                </pt>
                <pt idx="536">
                  <v>2020/3/16</v>
                </pt>
                <pt idx="537">
                  <v>2020/3/17</v>
                </pt>
                <pt idx="538">
                  <v>2020/3/18</v>
                </pt>
                <pt idx="539">
                  <v>2020/3/19</v>
                </pt>
                <pt idx="540">
                  <v>2020/3/20</v>
                </pt>
                <pt idx="541">
                  <v>2020/3/23</v>
                </pt>
                <pt idx="542">
                  <v>2020/3/24</v>
                </pt>
                <pt idx="543">
                  <v>2020/3/25</v>
                </pt>
                <pt idx="544">
                  <v>2020/3/26</v>
                </pt>
                <pt idx="545">
                  <v>2020/3/27</v>
                </pt>
                <pt idx="546">
                  <v>2020/3/30</v>
                </pt>
                <pt idx="547">
                  <v>2020/3/31</v>
                </pt>
                <pt idx="548">
                  <v>2020/4/1</v>
                </pt>
                <pt idx="549">
                  <v>2020/4/2</v>
                </pt>
                <pt idx="550">
                  <v>2020/4/3</v>
                </pt>
                <pt idx="551">
                  <v>2020/4/7</v>
                </pt>
                <pt idx="552">
                  <v>2020/4/8</v>
                </pt>
                <pt idx="553">
                  <v>2020/4/9</v>
                </pt>
                <pt idx="554">
                  <v>2020/4/10</v>
                </pt>
                <pt idx="555">
                  <v>2020/4/13</v>
                </pt>
                <pt idx="556">
                  <v>2020/4/14</v>
                </pt>
                <pt idx="557">
                  <v>2020/4/15</v>
                </pt>
                <pt idx="558">
                  <v>2020/4/16</v>
                </pt>
                <pt idx="559">
                  <v>2020/4/17</v>
                </pt>
                <pt idx="560">
                  <v>2020/4/20</v>
                </pt>
                <pt idx="561">
                  <v>2020/4/21</v>
                </pt>
                <pt idx="562">
                  <v>2020/4/22</v>
                </pt>
                <pt idx="563">
                  <v>2020/4/23</v>
                </pt>
                <pt idx="564">
                  <v>2020/4/24</v>
                </pt>
                <pt idx="565">
                  <v>2020/4/27</v>
                </pt>
                <pt idx="566">
                  <v>2020/4/28</v>
                </pt>
                <pt idx="567">
                  <v>2020/4/29</v>
                </pt>
                <pt idx="568">
                  <v>2020/4/30</v>
                </pt>
                <pt idx="569">
                  <v>2020/5/6</v>
                </pt>
                <pt idx="570">
                  <v>2020/5/7</v>
                </pt>
                <pt idx="571">
                  <v>2020/5/8</v>
                </pt>
                <pt idx="572">
                  <v>2020/5/11</v>
                </pt>
                <pt idx="573">
                  <v>2020/5/12</v>
                </pt>
                <pt idx="574">
                  <v>2020/5/13</v>
                </pt>
                <pt idx="575">
                  <v>2020/5/14</v>
                </pt>
                <pt idx="576">
                  <v>2020/5/15</v>
                </pt>
                <pt idx="577">
                  <v>2020/5/18</v>
                </pt>
                <pt idx="578">
                  <v>2020/5/19</v>
                </pt>
                <pt idx="579">
                  <v>2020/5/20</v>
                </pt>
                <pt idx="580">
                  <v>2020/5/21</v>
                </pt>
                <pt idx="581">
                  <v>2020/5/22</v>
                </pt>
                <pt idx="582">
                  <v>2020/5/25</v>
                </pt>
                <pt idx="583">
                  <v>2020/5/26</v>
                </pt>
                <pt idx="584">
                  <v>2020/5/27</v>
                </pt>
                <pt idx="585">
                  <v>2020/5/28</v>
                </pt>
                <pt idx="586">
                  <v>2020/5/29</v>
                </pt>
                <pt idx="587">
                  <v>2020/6/1</v>
                </pt>
                <pt idx="588">
                  <v>2020/6/2</v>
                </pt>
                <pt idx="589">
                  <v>2020/6/3</v>
                </pt>
                <pt idx="590">
                  <v>2020/6/4</v>
                </pt>
                <pt idx="591">
                  <v>2020/6/5</v>
                </pt>
                <pt idx="592">
                  <v>2020/6/8</v>
                </pt>
                <pt idx="593">
                  <v>2020/6/9</v>
                </pt>
                <pt idx="594">
                  <v>2020/6/10</v>
                </pt>
                <pt idx="595">
                  <v>2020/6/11</v>
                </pt>
                <pt idx="596">
                  <v>2020/6/12</v>
                </pt>
                <pt idx="597">
                  <v>2020/6/15</v>
                </pt>
                <pt idx="598">
                  <v>2020/6/16</v>
                </pt>
                <pt idx="599">
                  <v>2020/6/17</v>
                </pt>
                <pt idx="600">
                  <v>2020/6/18</v>
                </pt>
                <pt idx="601">
                  <v>2020/6/19</v>
                </pt>
                <pt idx="602">
                  <v>2020/6/22</v>
                </pt>
                <pt idx="603">
                  <v>2020/6/23</v>
                </pt>
                <pt idx="604">
                  <v>2020/6/24</v>
                </pt>
                <pt idx="605">
                  <v>2020/6/29</v>
                </pt>
                <pt idx="606">
                  <v>2020/6/30</v>
                </pt>
                <pt idx="607">
                  <v>2020/7/1</v>
                </pt>
                <pt idx="608">
                  <v>2020/7/2</v>
                </pt>
                <pt idx="609">
                  <v>2020/7/3</v>
                </pt>
                <pt idx="610">
                  <v>2020/7/6</v>
                </pt>
                <pt idx="611">
                  <v>2020/7/7</v>
                </pt>
                <pt idx="612">
                  <v>2020/7/8</v>
                </pt>
                <pt idx="613">
                  <v>2020/7/9</v>
                </pt>
                <pt idx="614">
                  <v>2020/7/10</v>
                </pt>
                <pt idx="615">
                  <v>2020/7/13</v>
                </pt>
                <pt idx="616">
                  <v>2020/7/14</v>
                </pt>
                <pt idx="617">
                  <v>2020/7/15</v>
                </pt>
                <pt idx="618">
                  <v>2020/7/16</v>
                </pt>
                <pt idx="619">
                  <v>2020/7/17</v>
                </pt>
                <pt idx="620">
                  <v>2020/7/20</v>
                </pt>
                <pt idx="621">
                  <v>2020/7/21</v>
                </pt>
                <pt idx="622">
                  <v>2020/7/22</v>
                </pt>
                <pt idx="623">
                  <v>2020/7/23</v>
                </pt>
                <pt idx="624">
                  <v>2020/7/24</v>
                </pt>
                <pt idx="625">
                  <v>2020/7/27</v>
                </pt>
                <pt idx="626">
                  <v>2020/7/28</v>
                </pt>
                <pt idx="627">
                  <v>2020/7/29</v>
                </pt>
                <pt idx="628">
                  <v>2020/7/30</v>
                </pt>
                <pt idx="629">
                  <v>2020/7/31</v>
                </pt>
                <pt idx="630">
                  <v>2020/8/3</v>
                </pt>
                <pt idx="631">
                  <v>2020/8/4</v>
                </pt>
                <pt idx="632">
                  <v>2020/8/5</v>
                </pt>
                <pt idx="633">
                  <v>2020/8/6</v>
                </pt>
                <pt idx="634">
                  <v>2020/8/7</v>
                </pt>
                <pt idx="635">
                  <v>2020/8/10</v>
                </pt>
                <pt idx="636">
                  <v>2020/8/11</v>
                </pt>
                <pt idx="637">
                  <v>2020/8/12</v>
                </pt>
                <pt idx="638">
                  <v>2020/8/13</v>
                </pt>
                <pt idx="639">
                  <v>2020/8/14</v>
                </pt>
                <pt idx="640">
                  <v>2020/8/17</v>
                </pt>
                <pt idx="641">
                  <v>2020/8/18</v>
                </pt>
                <pt idx="642">
                  <v>2020/8/19</v>
                </pt>
                <pt idx="643">
                  <v>2020/8/20</v>
                </pt>
                <pt idx="644">
                  <v>2020/8/21</v>
                </pt>
                <pt idx="645">
                  <v>2020/8/24</v>
                </pt>
                <pt idx="646">
                  <v>2020/8/25</v>
                </pt>
                <pt idx="647">
                  <v>2020/8/26</v>
                </pt>
                <pt idx="648">
                  <v>2020/8/27</v>
                </pt>
                <pt idx="649">
                  <v>2020/8/28</v>
                </pt>
                <pt idx="650">
                  <v>2020/8/31</v>
                </pt>
                <pt idx="651">
                  <v>2020/9/1</v>
                </pt>
                <pt idx="652">
                  <v>2020/9/2</v>
                </pt>
                <pt idx="653">
                  <v>2020/9/3</v>
                </pt>
                <pt idx="654">
                  <v>2020/9/4</v>
                </pt>
                <pt idx="655">
                  <v>2020/9/7</v>
                </pt>
                <pt idx="656">
                  <v>2020/9/8</v>
                </pt>
                <pt idx="657">
                  <v>2020/9/9</v>
                </pt>
                <pt idx="658">
                  <v>2020/9/10</v>
                </pt>
                <pt idx="659">
                  <v>2020/9/11</v>
                </pt>
                <pt idx="660">
                  <v>2020/9/14</v>
                </pt>
                <pt idx="661">
                  <v>2020/9/15</v>
                </pt>
                <pt idx="662">
                  <v>2020/9/16</v>
                </pt>
                <pt idx="663">
                  <v>2020/9/17</v>
                </pt>
                <pt idx="664">
                  <v>2020/9/18</v>
                </pt>
                <pt idx="665">
                  <v>2020/9/21</v>
                </pt>
                <pt idx="666">
                  <v>2020/9/22</v>
                </pt>
                <pt idx="667">
                  <v>2020/9/23</v>
                </pt>
                <pt idx="668">
                  <v>2020/9/24</v>
                </pt>
                <pt idx="669">
                  <v>2020/9/25</v>
                </pt>
                <pt idx="670">
                  <v>2020/9/28</v>
                </pt>
                <pt idx="671">
                  <v>2020/9/29</v>
                </pt>
                <pt idx="672">
                  <v>2020/9/30</v>
                </pt>
                <pt idx="673">
                  <v>2020/10/9</v>
                </pt>
                <pt idx="674">
                  <v>2020/10/12</v>
                </pt>
                <pt idx="675">
                  <v>2020/10/13</v>
                </pt>
                <pt idx="676">
                  <v>2020/10/14</v>
                </pt>
                <pt idx="677">
                  <v>2020/10/15</v>
                </pt>
                <pt idx="678">
                  <v>2020/10/16</v>
                </pt>
                <pt idx="679">
                  <v>2020/10/19</v>
                </pt>
                <pt idx="680">
                  <v>2020/10/20</v>
                </pt>
                <pt idx="681">
                  <v>2020/10/21</v>
                </pt>
                <pt idx="682">
                  <v>2020/10/22</v>
                </pt>
                <pt idx="683">
                  <v>2020/10/23</v>
                </pt>
                <pt idx="684">
                  <v>2020/10/26</v>
                </pt>
                <pt idx="685">
                  <v>2020/10/27</v>
                </pt>
                <pt idx="686">
                  <v>2020/10/28</v>
                </pt>
                <pt idx="687">
                  <v>2020/10/29</v>
                </pt>
                <pt idx="688">
                  <v>2020/10/30</v>
                </pt>
                <pt idx="689">
                  <v>2020/11/2</v>
                </pt>
                <pt idx="690">
                  <v>2020/11/3</v>
                </pt>
                <pt idx="691">
                  <v>2020/11/4</v>
                </pt>
                <pt idx="692">
                  <v>2020/11/5</v>
                </pt>
                <pt idx="693">
                  <v>2020/11/6</v>
                </pt>
                <pt idx="694">
                  <v>2020/11/9</v>
                </pt>
                <pt idx="695">
                  <v>2020/11/10</v>
                </pt>
                <pt idx="696">
                  <v>2020/11/11</v>
                </pt>
                <pt idx="697">
                  <v>2020/11/12</v>
                </pt>
                <pt idx="698">
                  <v>2020/11/13</v>
                </pt>
                <pt idx="699">
                  <v>2020/11/16</v>
                </pt>
                <pt idx="700">
                  <v>2020/11/17</v>
                </pt>
                <pt idx="701">
                  <v>2020/11/18</v>
                </pt>
                <pt idx="702">
                  <v>2020/11/19</v>
                </pt>
                <pt idx="703">
                  <v>2020/11/20</v>
                </pt>
                <pt idx="704">
                  <v>2020/11/23</v>
                </pt>
                <pt idx="705">
                  <v>2020/11/24</v>
                </pt>
                <pt idx="706">
                  <v>2020/11/25</v>
                </pt>
                <pt idx="707">
                  <v>2020/11/26</v>
                </pt>
                <pt idx="708">
                  <v>2020/11/27</v>
                </pt>
                <pt idx="709">
                  <v>2020/11/30</v>
                </pt>
                <pt idx="710">
                  <v>2020/12/1</v>
                </pt>
                <pt idx="711">
                  <v>2020/12/2</v>
                </pt>
                <pt idx="712">
                  <v>2020/12/3</v>
                </pt>
                <pt idx="713">
                  <v>2020/12/4</v>
                </pt>
                <pt idx="714">
                  <v>2020/12/7</v>
                </pt>
                <pt idx="715">
                  <v>2020/12/8</v>
                </pt>
                <pt idx="716">
                  <v>2020/12/9</v>
                </pt>
                <pt idx="717">
                  <v>2020/12/10</v>
                </pt>
                <pt idx="718">
                  <v>2020/12/11</v>
                </pt>
                <pt idx="719">
                  <v>2020/12/14</v>
                </pt>
                <pt idx="720">
                  <v>2020/12/15</v>
                </pt>
                <pt idx="721">
                  <v>2020/12/16</v>
                </pt>
                <pt idx="722">
                  <v>2020/12/17</v>
                </pt>
                <pt idx="723">
                  <v>2020/12/18</v>
                </pt>
                <pt idx="724">
                  <v>2020/12/21</v>
                </pt>
                <pt idx="725">
                  <v>2020/12/22</v>
                </pt>
                <pt idx="726">
                  <v>2020/12/23</v>
                </pt>
                <pt idx="727">
                  <v>2020/12/24</v>
                </pt>
                <pt idx="728">
                  <v>2020/12/25</v>
                </pt>
                <pt idx="729">
                  <v>2020/12/28</v>
                </pt>
                <pt idx="730">
                  <v>2020/12/29</v>
                </pt>
                <pt idx="731">
                  <v>2020/12/30</v>
                </pt>
                <pt idx="732">
                  <v>2020/12/31</v>
                </pt>
                <pt idx="733">
                  <v>2021/1/4</v>
                </pt>
                <pt idx="734">
                  <v>2021/1/5</v>
                </pt>
                <pt idx="735">
                  <v>2021/1/6</v>
                </pt>
                <pt idx="736">
                  <v>2021/1/7</v>
                </pt>
                <pt idx="737">
                  <v>2021/1/8</v>
                </pt>
                <pt idx="738">
                  <v>2021/1/11</v>
                </pt>
                <pt idx="739">
                  <v>2021/1/12</v>
                </pt>
                <pt idx="740">
                  <v>2021/1/13</v>
                </pt>
                <pt idx="741">
                  <v>2021/1/14</v>
                </pt>
                <pt idx="742">
                  <v>2021/1/15</v>
                </pt>
                <pt idx="743">
                  <v>2021/1/18</v>
                </pt>
                <pt idx="744">
                  <v>2021/1/19</v>
                </pt>
                <pt idx="745">
                  <v>2021/1/20</v>
                </pt>
                <pt idx="746">
                  <v>2021/1/21</v>
                </pt>
                <pt idx="747">
                  <v>2021/1/22</v>
                </pt>
                <pt idx="748">
                  <v>2021/1/25</v>
                </pt>
                <pt idx="749">
                  <v>2021/1/26</v>
                </pt>
                <pt idx="750">
                  <v>2021/1/27</v>
                </pt>
                <pt idx="751">
                  <v>2021/1/28</v>
                </pt>
                <pt idx="752">
                  <v>2021/1/29</v>
                </pt>
                <pt idx="753">
                  <v>2021/2/1</v>
                </pt>
                <pt idx="754">
                  <v>2021/2/2</v>
                </pt>
                <pt idx="755">
                  <v>2021/2/3</v>
                </pt>
              </strCache>
            </strRef>
          </cat>
          <val>
            <numRef>
              <f>可转债双低!$T$1:$T$756</f>
              <numCache>
                <formatCode>General</formatCode>
                <ptCount val="756"/>
                <pt idx="0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  <pt idx="280">
                  <v>0</v>
                </pt>
                <pt idx="281">
                  <v>0</v>
                </pt>
                <pt idx="282">
                  <v>0</v>
                </pt>
                <pt idx="283">
                  <v>0</v>
                </pt>
                <pt idx="284">
                  <v>0</v>
                </pt>
                <pt idx="285">
                  <v>0</v>
                </pt>
                <pt idx="286">
                  <v>0</v>
                </pt>
                <pt idx="287">
                  <v>0</v>
                </pt>
                <pt idx="288">
                  <v>0</v>
                </pt>
                <pt idx="289">
                  <v>0</v>
                </pt>
                <pt idx="290">
                  <v>0</v>
                </pt>
                <pt idx="291">
                  <v>0</v>
                </pt>
                <pt idx="292">
                  <v>0</v>
                </pt>
                <pt idx="293">
                  <v>0</v>
                </pt>
                <pt idx="294">
                  <v>0</v>
                </pt>
                <pt idx="295">
                  <v>0</v>
                </pt>
                <pt idx="296">
                  <v>0</v>
                </pt>
                <pt idx="297">
                  <v>0</v>
                </pt>
                <pt idx="298">
                  <v>0</v>
                </pt>
                <pt idx="299">
                  <v>0</v>
                </pt>
                <pt idx="300">
                  <v>0</v>
                </pt>
                <pt idx="301">
                  <v>0</v>
                </pt>
                <pt idx="302">
                  <v>0</v>
                </pt>
                <pt idx="303">
                  <v>0</v>
                </pt>
                <pt idx="304">
                  <v>0</v>
                </pt>
                <pt idx="305">
                  <v>0</v>
                </pt>
                <pt idx="306">
                  <v>0</v>
                </pt>
                <pt idx="307">
                  <v>0</v>
                </pt>
                <pt idx="308">
                  <v>0</v>
                </pt>
                <pt idx="309">
                  <v>0</v>
                </pt>
                <pt idx="310">
                  <v>0</v>
                </pt>
                <pt idx="311">
                  <v>0</v>
                </pt>
                <pt idx="312">
                  <v>0</v>
                </pt>
                <pt idx="313">
                  <v>0</v>
                </pt>
                <pt idx="314">
                  <v>0</v>
                </pt>
                <pt idx="315">
                  <v>0</v>
                </pt>
                <pt idx="316">
                  <v>0</v>
                </pt>
                <pt idx="317">
                  <v>0</v>
                </pt>
                <pt idx="318">
                  <v>0</v>
                </pt>
                <pt idx="319">
                  <v>0</v>
                </pt>
                <pt idx="320">
                  <v>0</v>
                </pt>
                <pt idx="321">
                  <v>0</v>
                </pt>
                <pt idx="322">
                  <v>0</v>
                </pt>
                <pt idx="323">
                  <v>0</v>
                </pt>
                <pt idx="324">
                  <v>0</v>
                </pt>
                <pt idx="325">
                  <v>0</v>
                </pt>
                <pt idx="326">
                  <v>0</v>
                </pt>
                <pt idx="327">
                  <v>0</v>
                </pt>
                <pt idx="328">
                  <v>0</v>
                </pt>
                <pt idx="329">
                  <v>0</v>
                </pt>
                <pt idx="330">
                  <v>0</v>
                </pt>
                <pt idx="331">
                  <v>0</v>
                </pt>
                <pt idx="332">
                  <v>0</v>
                </pt>
                <pt idx="333">
                  <v>0</v>
                </pt>
                <pt idx="334">
                  <v>0</v>
                </pt>
                <pt idx="335">
                  <v>0</v>
                </pt>
                <pt idx="336">
                  <v>0</v>
                </pt>
                <pt idx="337">
                  <v>0</v>
                </pt>
                <pt idx="338">
                  <v>0</v>
                </pt>
                <pt idx="339">
                  <v>0</v>
                </pt>
                <pt idx="340">
                  <v>0</v>
                </pt>
                <pt idx="341">
                  <v>0</v>
                </pt>
                <pt idx="342">
                  <v>0</v>
                </pt>
                <pt idx="343">
                  <v>0</v>
                </pt>
                <pt idx="344">
                  <v>0</v>
                </pt>
                <pt idx="345">
                  <v>0</v>
                </pt>
                <pt idx="346">
                  <v>0</v>
                </pt>
                <pt idx="347">
                  <v>0</v>
                </pt>
                <pt idx="348">
                  <v>0</v>
                </pt>
                <pt idx="349">
                  <v>0</v>
                </pt>
                <pt idx="350">
                  <v>0</v>
                </pt>
                <pt idx="351">
                  <v>0</v>
                </pt>
                <pt idx="352">
                  <v>0</v>
                </pt>
                <pt idx="353">
                  <v>0</v>
                </pt>
                <pt idx="354">
                  <v>0</v>
                </pt>
                <pt idx="355">
                  <v>0</v>
                </pt>
                <pt idx="356">
                  <v>0</v>
                </pt>
                <pt idx="357">
                  <v>0</v>
                </pt>
                <pt idx="358">
                  <v>0</v>
                </pt>
                <pt idx="359">
                  <v>0</v>
                </pt>
                <pt idx="360">
                  <v>0</v>
                </pt>
                <pt idx="361">
                  <v>0</v>
                </pt>
                <pt idx="362">
                  <v>0</v>
                </pt>
                <pt idx="363">
                  <v>0</v>
                </pt>
                <pt idx="364">
                  <v>0</v>
                </pt>
                <pt idx="365">
                  <v>0</v>
                </pt>
                <pt idx="366">
                  <v>0</v>
                </pt>
                <pt idx="367">
                  <v>0</v>
                </pt>
                <pt idx="368">
                  <v>0</v>
                </pt>
                <pt idx="369">
                  <v>0</v>
                </pt>
                <pt idx="370">
                  <v>0</v>
                </pt>
                <pt idx="371">
                  <v>0</v>
                </pt>
                <pt idx="372">
                  <v>0</v>
                </pt>
                <pt idx="373">
                  <v>0</v>
                </pt>
                <pt idx="374">
                  <v>0</v>
                </pt>
                <pt idx="375">
                  <v>0</v>
                </pt>
                <pt idx="376">
                  <v>0</v>
                </pt>
                <pt idx="377">
                  <v>0</v>
                </pt>
                <pt idx="378">
                  <v>0</v>
                </pt>
                <pt idx="379">
                  <v>0</v>
                </pt>
                <pt idx="380">
                  <v>0</v>
                </pt>
                <pt idx="381">
                  <v>0</v>
                </pt>
                <pt idx="382">
                  <v>0</v>
                </pt>
                <pt idx="383">
                  <v>0</v>
                </pt>
                <pt idx="384">
                  <v>0</v>
                </pt>
                <pt idx="385">
                  <v>0</v>
                </pt>
                <pt idx="386">
                  <v>0</v>
                </pt>
                <pt idx="387">
                  <v>0</v>
                </pt>
                <pt idx="388">
                  <v>0</v>
                </pt>
                <pt idx="389">
                  <v>0</v>
                </pt>
                <pt idx="390">
                  <v>0</v>
                </pt>
                <pt idx="391">
                  <v>0</v>
                </pt>
                <pt idx="392">
                  <v>0</v>
                </pt>
                <pt idx="393">
                  <v>0</v>
                </pt>
                <pt idx="394">
                  <v>0</v>
                </pt>
                <pt idx="395">
                  <v>0</v>
                </pt>
                <pt idx="396">
                  <v>0</v>
                </pt>
                <pt idx="397">
                  <v>0</v>
                </pt>
                <pt idx="398">
                  <v>0</v>
                </pt>
                <pt idx="399">
                  <v>0</v>
                </pt>
                <pt idx="400">
                  <v>0</v>
                </pt>
                <pt idx="401">
                  <v>0</v>
                </pt>
                <pt idx="402">
                  <v>0</v>
                </pt>
                <pt idx="403">
                  <v>0</v>
                </pt>
                <pt idx="404">
                  <v>0</v>
                </pt>
                <pt idx="405">
                  <v>0</v>
                </pt>
                <pt idx="406">
                  <v>0</v>
                </pt>
                <pt idx="407">
                  <v>0</v>
                </pt>
                <pt idx="408">
                  <v>0</v>
                </pt>
                <pt idx="409">
                  <v>0</v>
                </pt>
                <pt idx="410">
                  <v>0</v>
                </pt>
                <pt idx="411">
                  <v>0</v>
                </pt>
                <pt idx="412">
                  <v>0</v>
                </pt>
                <pt idx="413">
                  <v>0</v>
                </pt>
                <pt idx="414">
                  <v>0</v>
                </pt>
                <pt idx="415">
                  <v>0</v>
                </pt>
                <pt idx="416">
                  <v>0</v>
                </pt>
                <pt idx="417">
                  <v>0</v>
                </pt>
                <pt idx="418">
                  <v>0</v>
                </pt>
                <pt idx="419">
                  <v>0</v>
                </pt>
                <pt idx="420">
                  <v>0</v>
                </pt>
                <pt idx="421">
                  <v>0</v>
                </pt>
                <pt idx="422">
                  <v>0</v>
                </pt>
                <pt idx="423">
                  <v>0</v>
                </pt>
                <pt idx="424">
                  <v>0</v>
                </pt>
                <pt idx="425">
                  <v>0</v>
                </pt>
                <pt idx="426">
                  <v>0</v>
                </pt>
                <pt idx="427">
                  <v>0</v>
                </pt>
                <pt idx="428">
                  <v>0</v>
                </pt>
                <pt idx="429">
                  <v>0</v>
                </pt>
                <pt idx="430">
                  <v>0</v>
                </pt>
                <pt idx="431">
                  <v>0</v>
                </pt>
                <pt idx="432">
                  <v>0</v>
                </pt>
                <pt idx="433">
                  <v>0</v>
                </pt>
                <pt idx="434">
                  <v>0</v>
                </pt>
                <pt idx="435">
                  <v>0</v>
                </pt>
                <pt idx="436">
                  <v>0</v>
                </pt>
                <pt idx="437">
                  <v>0</v>
                </pt>
                <pt idx="438">
                  <v>0</v>
                </pt>
                <pt idx="439">
                  <v>0</v>
                </pt>
                <pt idx="440">
                  <v>0</v>
                </pt>
                <pt idx="441">
                  <v>0</v>
                </pt>
                <pt idx="442">
                  <v>0</v>
                </pt>
                <pt idx="443">
                  <v>0</v>
                </pt>
                <pt idx="444">
                  <v>0</v>
                </pt>
                <pt idx="445">
                  <v>0</v>
                </pt>
                <pt idx="446">
                  <v>0</v>
                </pt>
                <pt idx="447">
                  <v>0</v>
                </pt>
                <pt idx="448">
                  <v>0</v>
                </pt>
                <pt idx="449">
                  <v>0</v>
                </pt>
                <pt idx="450">
                  <v>0</v>
                </pt>
                <pt idx="451">
                  <v>0</v>
                </pt>
                <pt idx="452">
                  <v>0</v>
                </pt>
                <pt idx="453">
                  <v>0</v>
                </pt>
                <pt idx="454">
                  <v>0</v>
                </pt>
                <pt idx="455">
                  <v>0</v>
                </pt>
                <pt idx="456">
                  <v>0</v>
                </pt>
                <pt idx="457">
                  <v>0</v>
                </pt>
                <pt idx="458">
                  <v>0</v>
                </pt>
                <pt idx="459">
                  <v>0</v>
                </pt>
                <pt idx="460">
                  <v>0</v>
                </pt>
                <pt idx="461">
                  <v>0</v>
                </pt>
                <pt idx="462">
                  <v>0</v>
                </pt>
                <pt idx="463">
                  <v>0</v>
                </pt>
                <pt idx="464">
                  <v>0</v>
                </pt>
                <pt idx="465">
                  <v>0</v>
                </pt>
                <pt idx="466">
                  <v>0</v>
                </pt>
                <pt idx="467">
                  <v>0</v>
                </pt>
                <pt idx="468">
                  <v>0</v>
                </pt>
                <pt idx="469">
                  <v>0</v>
                </pt>
                <pt idx="470">
                  <v>0</v>
                </pt>
                <pt idx="471">
                  <v>0</v>
                </pt>
                <pt idx="472">
                  <v>0</v>
                </pt>
                <pt idx="473">
                  <v>0</v>
                </pt>
                <pt idx="474">
                  <v>0</v>
                </pt>
                <pt idx="475">
                  <v>0</v>
                </pt>
                <pt idx="476">
                  <v>0</v>
                </pt>
                <pt idx="477">
                  <v>0</v>
                </pt>
                <pt idx="478">
                  <v>0</v>
                </pt>
                <pt idx="479">
                  <v>0</v>
                </pt>
                <pt idx="480">
                  <v>0</v>
                </pt>
                <pt idx="481">
                  <v>0</v>
                </pt>
                <pt idx="482">
                  <v>0</v>
                </pt>
                <pt idx="483">
                  <v>0</v>
                </pt>
                <pt idx="484">
                  <v>0</v>
                </pt>
                <pt idx="485">
                  <v>0</v>
                </pt>
                <pt idx="486">
                  <v>0</v>
                </pt>
                <pt idx="487">
                  <v>0</v>
                </pt>
                <pt idx="488">
                  <v>0</v>
                </pt>
                <pt idx="489">
                  <v>0</v>
                </pt>
                <pt idx="490">
                  <v>0</v>
                </pt>
                <pt idx="491">
                  <v>0</v>
                </pt>
                <pt idx="492">
                  <v>0</v>
                </pt>
                <pt idx="493">
                  <v>0</v>
                </pt>
                <pt idx="494">
                  <v>0</v>
                </pt>
                <pt idx="495">
                  <v>0</v>
                </pt>
                <pt idx="496">
                  <v>0</v>
                </pt>
                <pt idx="497">
                  <v>0</v>
                </pt>
                <pt idx="498">
                  <v>0</v>
                </pt>
                <pt idx="499">
                  <v>0</v>
                </pt>
                <pt idx="500">
                  <v>0</v>
                </pt>
                <pt idx="501">
                  <v>0</v>
                </pt>
                <pt idx="502">
                  <v>0</v>
                </pt>
                <pt idx="503">
                  <v>0</v>
                </pt>
                <pt idx="504">
                  <v>0</v>
                </pt>
                <pt idx="505">
                  <v>0</v>
                </pt>
                <pt idx="506">
                  <v>0</v>
                </pt>
                <pt idx="507">
                  <v>0</v>
                </pt>
                <pt idx="508">
                  <v>0</v>
                </pt>
                <pt idx="509">
                  <v>0</v>
                </pt>
                <pt idx="510">
                  <v>0</v>
                </pt>
                <pt idx="511">
                  <v>0</v>
                </pt>
                <pt idx="512">
                  <v>0</v>
                </pt>
                <pt idx="513">
                  <v>0</v>
                </pt>
                <pt idx="514">
                  <v>0</v>
                </pt>
                <pt idx="515">
                  <v>0</v>
                </pt>
                <pt idx="516">
                  <v>0</v>
                </pt>
                <pt idx="517">
                  <v>0</v>
                </pt>
                <pt idx="518">
                  <v>0</v>
                </pt>
                <pt idx="519">
                  <v>0</v>
                </pt>
                <pt idx="520">
                  <v>0</v>
                </pt>
                <pt idx="521">
                  <v>0</v>
                </pt>
                <pt idx="522">
                  <v>0</v>
                </pt>
                <pt idx="523">
                  <v>0</v>
                </pt>
                <pt idx="524">
                  <v>0</v>
                </pt>
                <pt idx="525">
                  <v>0</v>
                </pt>
                <pt idx="526">
                  <v>0</v>
                </pt>
                <pt idx="527">
                  <v>0</v>
                </pt>
                <pt idx="528">
                  <v>0</v>
                </pt>
                <pt idx="529">
                  <v>0</v>
                </pt>
                <pt idx="530">
                  <v>0</v>
                </pt>
                <pt idx="531">
                  <v>0</v>
                </pt>
                <pt idx="532">
                  <v>0</v>
                </pt>
                <pt idx="533">
                  <v>0</v>
                </pt>
                <pt idx="534">
                  <v>0</v>
                </pt>
                <pt idx="535">
                  <v>0</v>
                </pt>
                <pt idx="536">
                  <v>0</v>
                </pt>
                <pt idx="537">
                  <v>0</v>
                </pt>
                <pt idx="538">
                  <v>0</v>
                </pt>
                <pt idx="539">
                  <v>0</v>
                </pt>
                <pt idx="540">
                  <v>0</v>
                </pt>
                <pt idx="541">
                  <v>0</v>
                </pt>
                <pt idx="542">
                  <v>0</v>
                </pt>
                <pt idx="543">
                  <v>0</v>
                </pt>
                <pt idx="544">
                  <v>0</v>
                </pt>
                <pt idx="545">
                  <v>0</v>
                </pt>
                <pt idx="546">
                  <v>0</v>
                </pt>
                <pt idx="547">
                  <v>0</v>
                </pt>
                <pt idx="548">
                  <v>0</v>
                </pt>
                <pt idx="549">
                  <v>0</v>
                </pt>
                <pt idx="550">
                  <v>0</v>
                </pt>
                <pt idx="551">
                  <v>0</v>
                </pt>
                <pt idx="552">
                  <v>0</v>
                </pt>
                <pt idx="553">
                  <v>0</v>
                </pt>
                <pt idx="554">
                  <v>0</v>
                </pt>
                <pt idx="555">
                  <v>0</v>
                </pt>
                <pt idx="556">
                  <v>0</v>
                </pt>
                <pt idx="557">
                  <v>0</v>
                </pt>
                <pt idx="558">
                  <v>0</v>
                </pt>
                <pt idx="559">
                  <v>0</v>
                </pt>
                <pt idx="560">
                  <v>0</v>
                </pt>
                <pt idx="561">
                  <v>0</v>
                </pt>
                <pt idx="562">
                  <v>0</v>
                </pt>
                <pt idx="563">
                  <v>0</v>
                </pt>
                <pt idx="564">
                  <v>0</v>
                </pt>
                <pt idx="565">
                  <v>0</v>
                </pt>
                <pt idx="566">
                  <v>0</v>
                </pt>
                <pt idx="567">
                  <v>0</v>
                </pt>
                <pt idx="568">
                  <v>0</v>
                </pt>
                <pt idx="569">
                  <v>0</v>
                </pt>
                <pt idx="570">
                  <v>0</v>
                </pt>
                <pt idx="571">
                  <v>0</v>
                </pt>
                <pt idx="572">
                  <v>0</v>
                </pt>
                <pt idx="573">
                  <v>0</v>
                </pt>
                <pt idx="574">
                  <v>0</v>
                </pt>
                <pt idx="575">
                  <v>0</v>
                </pt>
                <pt idx="576">
                  <v>0</v>
                </pt>
                <pt idx="577">
                  <v>0</v>
                </pt>
                <pt idx="578">
                  <v>0</v>
                </pt>
                <pt idx="579">
                  <v>0</v>
                </pt>
                <pt idx="580">
                  <v>0</v>
                </pt>
                <pt idx="581">
                  <v>0</v>
                </pt>
                <pt idx="582">
                  <v>0</v>
                </pt>
                <pt idx="583">
                  <v>0</v>
                </pt>
                <pt idx="584">
                  <v>0</v>
                </pt>
                <pt idx="585">
                  <v>0</v>
                </pt>
                <pt idx="586">
                  <v>0</v>
                </pt>
                <pt idx="587">
                  <v>0</v>
                </pt>
                <pt idx="588">
                  <v>0</v>
                </pt>
                <pt idx="589">
                  <v>0</v>
                </pt>
                <pt idx="590">
                  <v>0</v>
                </pt>
                <pt idx="591">
                  <v>0</v>
                </pt>
                <pt idx="592">
                  <v>0</v>
                </pt>
                <pt idx="593">
                  <v>0</v>
                </pt>
                <pt idx="594">
                  <v>0</v>
                </pt>
                <pt idx="595">
                  <v>0</v>
                </pt>
                <pt idx="596">
                  <v>0</v>
                </pt>
                <pt idx="597">
                  <v>0</v>
                </pt>
                <pt idx="598">
                  <v>0</v>
                </pt>
                <pt idx="599">
                  <v>0</v>
                </pt>
                <pt idx="600">
                  <v>0</v>
                </pt>
                <pt idx="601">
                  <v>0</v>
                </pt>
                <pt idx="602">
                  <v>0</v>
                </pt>
                <pt idx="603">
                  <v>0</v>
                </pt>
                <pt idx="604">
                  <v>0</v>
                </pt>
                <pt idx="605">
                  <v>0</v>
                </pt>
                <pt idx="606">
                  <v>0</v>
                </pt>
                <pt idx="607">
                  <v>0</v>
                </pt>
                <pt idx="608">
                  <v>0</v>
                </pt>
                <pt idx="609">
                  <v>0</v>
                </pt>
                <pt idx="610">
                  <v>0</v>
                </pt>
                <pt idx="611">
                  <v>0</v>
                </pt>
                <pt idx="612">
                  <v>0</v>
                </pt>
                <pt idx="613">
                  <v>0</v>
                </pt>
                <pt idx="614">
                  <v>0</v>
                </pt>
                <pt idx="615">
                  <v>0</v>
                </pt>
                <pt idx="616">
                  <v>0</v>
                </pt>
                <pt idx="617">
                  <v>0</v>
                </pt>
                <pt idx="618">
                  <v>0</v>
                </pt>
                <pt idx="619">
                  <v>0</v>
                </pt>
                <pt idx="620">
                  <v>0</v>
                </pt>
                <pt idx="621">
                  <v>0</v>
                </pt>
                <pt idx="622">
                  <v>0</v>
                </pt>
                <pt idx="623">
                  <v>0</v>
                </pt>
                <pt idx="624">
                  <v>0</v>
                </pt>
                <pt idx="625">
                  <v>0</v>
                </pt>
                <pt idx="626">
                  <v>0</v>
                </pt>
                <pt idx="627">
                  <v>0</v>
                </pt>
                <pt idx="628">
                  <v>0</v>
                </pt>
                <pt idx="629">
                  <v>0</v>
                </pt>
                <pt idx="630">
                  <v>0</v>
                </pt>
                <pt idx="631">
                  <v>0</v>
                </pt>
                <pt idx="632">
                  <v>0</v>
                </pt>
                <pt idx="633">
                  <v>0</v>
                </pt>
                <pt idx="634">
                  <v>0</v>
                </pt>
                <pt idx="635">
                  <v>0</v>
                </pt>
                <pt idx="636">
                  <v>0</v>
                </pt>
                <pt idx="637">
                  <v>0</v>
                </pt>
                <pt idx="638">
                  <v>0</v>
                </pt>
                <pt idx="639">
                  <v>0</v>
                </pt>
                <pt idx="640">
                  <v>0</v>
                </pt>
                <pt idx="641">
                  <v>0</v>
                </pt>
                <pt idx="642">
                  <v>0</v>
                </pt>
                <pt idx="643">
                  <v>0</v>
                </pt>
                <pt idx="644">
                  <v>0</v>
                </pt>
                <pt idx="645">
                  <v>0</v>
                </pt>
                <pt idx="646">
                  <v>0</v>
                </pt>
                <pt idx="647">
                  <v>0</v>
                </pt>
                <pt idx="648">
                  <v>0</v>
                </pt>
                <pt idx="649">
                  <v>0</v>
                </pt>
                <pt idx="650">
                  <v>0</v>
                </pt>
                <pt idx="651">
                  <v>0</v>
                </pt>
                <pt idx="652">
                  <v>0</v>
                </pt>
                <pt idx="653">
                  <v>0</v>
                </pt>
                <pt idx="654">
                  <v>0</v>
                </pt>
                <pt idx="655">
                  <v>0</v>
                </pt>
                <pt idx="656">
                  <v>0</v>
                </pt>
                <pt idx="657">
                  <v>0</v>
                </pt>
                <pt idx="658">
                  <v>0</v>
                </pt>
                <pt idx="659">
                  <v>0</v>
                </pt>
                <pt idx="660">
                  <v>0</v>
                </pt>
                <pt idx="661">
                  <v>0</v>
                </pt>
                <pt idx="662">
                  <v>0</v>
                </pt>
                <pt idx="663">
                  <v>0</v>
                </pt>
                <pt idx="664">
                  <v>0</v>
                </pt>
                <pt idx="665">
                  <v>0</v>
                </pt>
                <pt idx="666">
                  <v>0</v>
                </pt>
                <pt idx="667">
                  <v>0</v>
                </pt>
                <pt idx="668">
                  <v>0</v>
                </pt>
                <pt idx="669">
                  <v>0</v>
                </pt>
                <pt idx="670">
                  <v>0</v>
                </pt>
                <pt idx="671">
                  <v>0</v>
                </pt>
                <pt idx="672">
                  <v>0</v>
                </pt>
                <pt idx="673">
                  <v>0</v>
                </pt>
                <pt idx="674">
                  <v>0</v>
                </pt>
                <pt idx="675">
                  <v>0</v>
                </pt>
                <pt idx="676">
                  <v>0</v>
                </pt>
                <pt idx="677">
                  <v>0</v>
                </pt>
                <pt idx="678">
                  <v>0</v>
                </pt>
                <pt idx="679">
                  <v>0</v>
                </pt>
                <pt idx="680">
                  <v>0</v>
                </pt>
                <pt idx="681">
                  <v>0</v>
                </pt>
                <pt idx="682">
                  <v>0</v>
                </pt>
                <pt idx="683">
                  <v>0</v>
                </pt>
                <pt idx="684">
                  <v>0</v>
                </pt>
                <pt idx="685">
                  <v>0</v>
                </pt>
                <pt idx="686">
                  <v>0</v>
                </pt>
                <pt idx="687">
                  <v>0</v>
                </pt>
                <pt idx="688">
                  <v>0</v>
                </pt>
                <pt idx="689">
                  <v>0</v>
                </pt>
                <pt idx="690">
                  <v>0</v>
                </pt>
                <pt idx="691">
                  <v>0</v>
                </pt>
                <pt idx="692">
                  <v>0</v>
                </pt>
                <pt idx="693">
                  <v>0</v>
                </pt>
                <pt idx="694">
                  <v>0</v>
                </pt>
                <pt idx="695">
                  <v>0</v>
                </pt>
                <pt idx="696">
                  <v>0</v>
                </pt>
                <pt idx="697">
                  <v>0</v>
                </pt>
                <pt idx="698">
                  <v>0</v>
                </pt>
                <pt idx="699">
                  <v>0</v>
                </pt>
                <pt idx="700">
                  <v>0</v>
                </pt>
                <pt idx="701">
                  <v>0</v>
                </pt>
                <pt idx="702">
                  <v>0</v>
                </pt>
                <pt idx="703">
                  <v>0</v>
                </pt>
                <pt idx="704">
                  <v>0</v>
                </pt>
                <pt idx="705">
                  <v>0</v>
                </pt>
                <pt idx="706">
                  <v>0</v>
                </pt>
                <pt idx="707">
                  <v>0</v>
                </pt>
                <pt idx="708">
                  <v>0</v>
                </pt>
                <pt idx="709">
                  <v>0</v>
                </pt>
                <pt idx="710">
                  <v>0</v>
                </pt>
                <pt idx="711">
                  <v>0</v>
                </pt>
                <pt idx="712">
                  <v>0</v>
                </pt>
                <pt idx="713">
                  <v>0</v>
                </pt>
                <pt idx="714">
                  <v>0</v>
                </pt>
                <pt idx="715">
                  <v>0</v>
                </pt>
                <pt idx="716">
                  <v>0</v>
                </pt>
                <pt idx="717">
                  <v>0</v>
                </pt>
                <pt idx="718">
                  <v>0</v>
                </pt>
                <pt idx="719">
                  <v>0</v>
                </pt>
                <pt idx="720">
                  <v>0</v>
                </pt>
                <pt idx="721">
                  <v>0</v>
                </pt>
                <pt idx="722">
                  <v>0</v>
                </pt>
                <pt idx="723">
                  <v>0</v>
                </pt>
                <pt idx="724">
                  <v>0</v>
                </pt>
                <pt idx="725">
                  <v>0</v>
                </pt>
                <pt idx="726">
                  <v>0</v>
                </pt>
                <pt idx="727">
                  <v>0</v>
                </pt>
                <pt idx="728">
                  <v>0</v>
                </pt>
                <pt idx="729">
                  <v>0</v>
                </pt>
                <pt idx="730">
                  <v>0</v>
                </pt>
                <pt idx="731">
                  <v>0</v>
                </pt>
                <pt idx="732">
                  <v>0</v>
                </pt>
                <pt idx="733">
                  <v>0</v>
                </pt>
                <pt idx="734">
                  <v>0</v>
                </pt>
                <pt idx="735">
                  <v>0</v>
                </pt>
                <pt idx="736">
                  <v>0</v>
                </pt>
                <pt idx="737">
                  <v>0</v>
                </pt>
                <pt idx="738">
                  <v>0</v>
                </pt>
                <pt idx="739">
                  <v>0</v>
                </pt>
                <pt idx="740">
                  <v>0</v>
                </pt>
                <pt idx="741">
                  <v>0</v>
                </pt>
                <pt idx="742">
                  <v>0</v>
                </pt>
                <pt idx="743">
                  <v>0</v>
                </pt>
                <pt idx="744">
                  <v>0</v>
                </pt>
                <pt idx="745">
                  <v>0</v>
                </pt>
                <pt idx="746">
                  <v>0</v>
                </pt>
                <pt idx="747">
                  <v>0</v>
                </pt>
                <pt idx="748">
                  <v>0</v>
                </pt>
                <pt idx="749">
                  <v>0</v>
                </pt>
                <pt idx="750">
                  <v>0</v>
                </pt>
                <pt idx="751">
                  <v>0</v>
                </pt>
                <pt idx="752">
                  <v>0</v>
                </pt>
                <pt idx="753">
                  <v>0</v>
                </pt>
                <pt idx="754">
                  <v>0</v>
                </pt>
                <pt idx="755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519274751"/>
        <axId val="519276399"/>
      </lineChart>
      <catAx>
        <axId val="51927475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algn="ctr" cap="flat" cmpd="sng" w="9525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anchor="ctr" anchorCtr="1" rot="-60000000" spcFirstLastPara="1" vert="horz" vertOverflow="ellipsis" wrap="square"/>
          <a:lstStyle/>
          <a:p>
            <a:pPr>
              <a:defRPr b="0" baseline="0" i="0" kern="1200" strike="noStrike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CN"/>
          </a:p>
        </txPr>
        <crossAx val="519276399"/>
        <crosses val="autoZero"/>
        <auto val="1"/>
        <lblAlgn val="ctr"/>
        <lblOffset val="100"/>
        <noMultiLvlLbl val="0"/>
      </catAx>
      <valAx>
        <axId val="519276399"/>
        <scaling>
          <orientation val="minMax"/>
        </scaling>
        <delete val="0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anchor="ctr" anchorCtr="1" rot="-60000000" spcFirstLastPara="1" vert="horz" vertOverflow="ellipsis" wrap="square"/>
          <a:lstStyle/>
          <a:p>
            <a:pPr>
              <a:defRPr b="0" baseline="0" i="0" kern="1200" strike="noStrike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CN"/>
          </a:p>
        </txPr>
        <crossAx val="519274751"/>
        <crosses val="autoZero"/>
        <crossBetween val="between"/>
      </valAx>
    </plotArea>
    <plotVisOnly val="1"/>
    <dispBlanksAs val="gap"/>
  </chart>
</chartSpace>
</file>

<file path=xl/drawings/_rels/drawing1.xml.rels><Relationships xmlns="http://schemas.openxmlformats.org/package/2006/relationships"><Relationship Id="rId1" Target="/xl/charts/chart1.xml" Type="http://schemas.openxmlformats.org/officeDocument/2006/relationships/chart" /><Relationship Id="rId2" Target="/xl/charts/chart2.xml" Type="http://schemas.openxmlformats.org/officeDocument/2006/relationships/chart" /><Relationship Id="rId3" Target="/xl/charts/chart3.xml" Type="http://schemas.openxmlformats.org/officeDocument/2006/relationships/chart" /><Relationship Id="rId4" Target="/xl/charts/chart4.xml" Type="http://schemas.openxmlformats.org/officeDocument/2006/relationships/chart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21</col>
      <colOff>198261</colOff>
      <row>1</row>
      <rowOff>30809</rowOff>
    </from>
    <to>
      <col>32</col>
      <colOff>395111</colOff>
      <row>33</row>
      <rowOff>37159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20</col>
      <colOff>642055</colOff>
      <row>32</row>
      <rowOff>198261</rowOff>
    </from>
    <to>
      <col>32</col>
      <colOff>386522</colOff>
      <row>45</row>
      <rowOff>189796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20</col>
      <colOff>595017</colOff>
      <row>46</row>
      <rowOff>80668</rowOff>
    </from>
    <to>
      <col>32</col>
      <colOff>427935</colOff>
      <row>64</row>
      <rowOff>35277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20</col>
      <colOff>591438</colOff>
      <row>64</row>
      <rowOff>134353</rowOff>
    </from>
    <to>
      <col>32</col>
      <colOff>414130</colOff>
      <row>79</row>
      <rowOff>20962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Id="rId1" Target="https://www.lixinger.com/analytics/industry/sz/C11/11/detail" TargetMode="External" Type="http://schemas.openxmlformats.org/officeDocument/2006/relationships/hyperlink" /></Relationships>
</file>

<file path=xl/worksheets/_rels/sheet4.xml.rels><Relationships xmlns="http://schemas.openxmlformats.org/package/2006/relationships"><Relationship Id="rId1" Target="https://www.lixinger.com/analytics/industry/sz/C0503/503/detail" TargetMode="External" Type="http://schemas.openxmlformats.org/officeDocument/2006/relationships/hyperlink" /><Relationship Id="rId2" Target="https://www.lixinger.com/analytics/industry/sz/C1101/1101/detail" TargetMode="External" Type="http://schemas.openxmlformats.org/officeDocument/2006/relationships/hyperlink" /><Relationship Id="rId3" Target="https://www.lixinger.com/analytics/industry/sz/C1102/1102/detail" TargetMode="External" Type="http://schemas.openxmlformats.org/officeDocument/2006/relationships/hyperlink" /></Relationships>
</file>

<file path=xl/worksheets/_rels/sheet6.xml.rels><Relationships xmlns="http://schemas.openxmlformats.org/package/2006/relationships"><Relationship Id="rId1" Target="http://discuss.jiucaishuo.com/?/invest/showData/search_gu-si801760" TargetMode="External" Type="http://schemas.openxmlformats.org/officeDocument/2006/relationships/hyperlink" /><Relationship Id="rId2" Target="http://discuss.jiucaishuo.com/?/invest/showData/search_gu-si801080" TargetMode="External" Type="http://schemas.openxmlformats.org/officeDocument/2006/relationships/hyperlink" /><Relationship Id="rId3" Target="http://discuss.jiucaishuo.com/?/invest/showData/search_gu-si801750" TargetMode="External" Type="http://schemas.openxmlformats.org/officeDocument/2006/relationships/hyperlink" /><Relationship Id="rId4" Target="http://discuss.jiucaishuo.com/?/invest/showData/search_gu-si801770" TargetMode="External" Type="http://schemas.openxmlformats.org/officeDocument/2006/relationships/hyperlink" /><Relationship Id="rId5" Target="http://discuss.jiucaishuo.com/?/invest/showData/search_gu-si801170" TargetMode="External" Type="http://schemas.openxmlformats.org/officeDocument/2006/relationships/hyperlink" /><Relationship Id="rId6" Target="http://discuss.jiucaishuo.com/?/invest/showData/search_gu-si801740" TargetMode="External" Type="http://schemas.openxmlformats.org/officeDocument/2006/relationships/hyperlink" /><Relationship Id="rId7" Target="http://discuss.jiucaishuo.com/?/invest/showData/search_gu-si801150" TargetMode="External" Type="http://schemas.openxmlformats.org/officeDocument/2006/relationships/hyperlink" /><Relationship Id="rId8" Target="http://discuss.jiucaishuo.com/?/invest/showData/search_gu-si801180" TargetMode="External" Type="http://schemas.openxmlformats.org/officeDocument/2006/relationships/hyperlink" /><Relationship Id="rId9" Target="http://discuss.jiucaishuo.com/?/invest/showData/search_gu-si801010" TargetMode="External" Type="http://schemas.openxmlformats.org/officeDocument/2006/relationships/hyperlink" /><Relationship Id="rId10" Target="http://discuss.jiucaishuo.com/?/invest/showData/search_gu-si801200" TargetMode="External" Type="http://schemas.openxmlformats.org/officeDocument/2006/relationships/hyperlink" /><Relationship Id="rId11" Target="http://discuss.jiucaishuo.com/?/invest/showData/search_gu-si801110" TargetMode="External" Type="http://schemas.openxmlformats.org/officeDocument/2006/relationships/hyperlink" /><Relationship Id="rId12" Target="http://discuss.jiucaishuo.com/?/invest/showData/search_gu-si801880" TargetMode="External" Type="http://schemas.openxmlformats.org/officeDocument/2006/relationships/hyperlink" /><Relationship Id="rId13" Target="http://discuss.jiucaishuo.com/?/invest/showData/search_gu-si801130" TargetMode="External" Type="http://schemas.openxmlformats.org/officeDocument/2006/relationships/hyperlink" /><Relationship Id="rId14" Target="http://discuss.jiucaishuo.com/?/invest/showData/search_gu-si801120" TargetMode="External" Type="http://schemas.openxmlformats.org/officeDocument/2006/relationships/hyperlink" /><Relationship Id="rId15" Target="http://discuss.jiucaishuo.com/?/invest/showData/search_gu-si801710" TargetMode="External" Type="http://schemas.openxmlformats.org/officeDocument/2006/relationships/hyperlink" /><Relationship Id="rId16" Target="http://discuss.jiucaishuo.com/?/invest/showData/search_gu-si801720" TargetMode="External" Type="http://schemas.openxmlformats.org/officeDocument/2006/relationships/hyperlink" /><Relationship Id="rId17" Target="http://discuss.jiucaishuo.com/?/invest/showData/search_gu-si801890" TargetMode="External" Type="http://schemas.openxmlformats.org/officeDocument/2006/relationships/hyperlink" /><Relationship Id="rId18" Target="http://discuss.jiucaishuo.com/?/invest/showData/search_gu-si801210" TargetMode="External" Type="http://schemas.openxmlformats.org/officeDocument/2006/relationships/hyperlink" /><Relationship Id="rId19" Target="http://discuss.jiucaishuo.com/?/invest/showData/search_gu-si801160" TargetMode="External" Type="http://schemas.openxmlformats.org/officeDocument/2006/relationships/hyperlink" /><Relationship Id="rId20" Target="http://discuss.jiucaishuo.com/?/invest/showData/search_gu-si801730" TargetMode="External" Type="http://schemas.openxmlformats.org/officeDocument/2006/relationships/hyperlink" /><Relationship Id="rId21" Target="http://discuss.jiucaishuo.com/?/invest/showData/search_gu-si801230" TargetMode="External" Type="http://schemas.openxmlformats.org/officeDocument/2006/relationships/hyperlink" /><Relationship Id="rId22" Target="http://discuss.jiucaishuo.com/?/invest/showData/search_gu-si801030" TargetMode="External" Type="http://schemas.openxmlformats.org/officeDocument/2006/relationships/hyperlink" /><Relationship Id="rId23" Target="http://discuss.jiucaishuo.com/?/invest/showData/search_gu-si801050" TargetMode="External" Type="http://schemas.openxmlformats.org/officeDocument/2006/relationships/hyperlink" /><Relationship Id="rId24" Target="http://discuss.jiucaishuo.com/?/invest/showData/search_gu-si801020" TargetMode="External" Type="http://schemas.openxmlformats.org/officeDocument/2006/relationships/hyperlink" /><Relationship Id="rId25" Target="http://discuss.jiucaishuo.com/?/invest/showData/search_gu-si801040" TargetMode="External" Type="http://schemas.openxmlformats.org/officeDocument/2006/relationships/hyperlink" /><Relationship Id="rId26" Target="http://discuss.jiucaishuo.com/?/invest/showData/search_gu-si801140" TargetMode="External" Type="http://schemas.openxmlformats.org/officeDocument/2006/relationships/hyperlink" /><Relationship Id="rId27" Target="http://discuss.jiucaishuo.com/?/invest/showData/search_gu-si801790" TargetMode="External" Type="http://schemas.openxmlformats.org/officeDocument/2006/relationships/hyperlink" /><Relationship Id="rId28" Target="http://discuss.jiucaishuo.com/?/invest/showData/search_gu-si801780" TargetMode="External" Type="http://schemas.openxmlformats.org/officeDocument/2006/relationships/hyperlink" /></Relationships>
</file>

<file path=xl/worksheets/_rels/sheet7.xml.rels><Relationships xmlns="http://schemas.openxmlformats.org/package/2006/relationships"><Relationship Id="rId1" Target="http://discuss.jiucaishuo.com/?/invest/showData/search_gu-si801761" TargetMode="External" Type="http://schemas.openxmlformats.org/officeDocument/2006/relationships/hyperlink" /><Relationship Id="rId2" Target="http://discuss.jiucaishuo.com/?/invest/showData/search_gu-si801752" TargetMode="External" Type="http://schemas.openxmlformats.org/officeDocument/2006/relationships/hyperlink" /><Relationship Id="rId3" Target="http://discuss.jiucaishuo.com/?/invest/showData/search_gu-si801751" TargetMode="External" Type="http://schemas.openxmlformats.org/officeDocument/2006/relationships/hyperlink" /><Relationship Id="rId4" Target="http://discuss.jiucaishuo.com/?/invest/showData/search_gu-si801085" TargetMode="External" Type="http://schemas.openxmlformats.org/officeDocument/2006/relationships/hyperlink" /><Relationship Id="rId5" Target="http://discuss.jiucaishuo.com/?/invest/showData/search_gu-si801084" TargetMode="External" Type="http://schemas.openxmlformats.org/officeDocument/2006/relationships/hyperlink" /><Relationship Id="rId6" Target="http://discuss.jiucaishuo.com/?/invest/showData/search_gu-si801083" TargetMode="External" Type="http://schemas.openxmlformats.org/officeDocument/2006/relationships/hyperlink" /><Relationship Id="rId7" Target="http://discuss.jiucaishuo.com/?/invest/showData/search_gu-si801082" TargetMode="External" Type="http://schemas.openxmlformats.org/officeDocument/2006/relationships/hyperlink" /><Relationship Id="rId8" Target="http://discuss.jiucaishuo.com/?/invest/showData/search_gu-si801081" TargetMode="External" Type="http://schemas.openxmlformats.org/officeDocument/2006/relationships/hyperlink" /><Relationship Id="rId9" Target="http://discuss.jiucaishuo.com/?/invest/showData/search_gu-si801222" TargetMode="External" Type="http://schemas.openxmlformats.org/officeDocument/2006/relationships/hyperlink" /><Relationship Id="rId10" Target="http://discuss.jiucaishuo.com/?/invest/showData/search_gu-si801101" TargetMode="External" Type="http://schemas.openxmlformats.org/officeDocument/2006/relationships/hyperlink" /><Relationship Id="rId11" Target="http://discuss.jiucaishuo.com/?/invest/showData/search_gu-si801223" TargetMode="External" Type="http://schemas.openxmlformats.org/officeDocument/2006/relationships/hyperlink" /><Relationship Id="rId12" Target="http://discuss.jiucaishuo.com/?/invest/showData/search_gu-si801102" TargetMode="External" Type="http://schemas.openxmlformats.org/officeDocument/2006/relationships/hyperlink" /><Relationship Id="rId13" Target="http://discuss.jiucaishuo.com/?/invest/showData/search_gu-si801881" TargetMode="External" Type="http://schemas.openxmlformats.org/officeDocument/2006/relationships/hyperlink" /><Relationship Id="rId14" Target="http://discuss.jiucaishuo.com/?/invest/showData/search_gu-si801172" TargetMode="External" Type="http://schemas.openxmlformats.org/officeDocument/2006/relationships/hyperlink" /><Relationship Id="rId15" Target="http://discuss.jiucaishuo.com/?/invest/showData/search_gu-si801174" TargetMode="External" Type="http://schemas.openxmlformats.org/officeDocument/2006/relationships/hyperlink" /><Relationship Id="rId16" Target="http://discuss.jiucaishuo.com/?/invest/showData/search_gu-si801171" TargetMode="External" Type="http://schemas.openxmlformats.org/officeDocument/2006/relationships/hyperlink" /><Relationship Id="rId17" Target="http://discuss.jiucaishuo.com/?/invest/showData/search_gu-si801178" TargetMode="External" Type="http://schemas.openxmlformats.org/officeDocument/2006/relationships/hyperlink" /><Relationship Id="rId18" Target="http://discuss.jiucaishuo.com/?/invest/showData/search_gu-si801173" TargetMode="External" Type="http://schemas.openxmlformats.org/officeDocument/2006/relationships/hyperlink" /><Relationship Id="rId19" Target="http://discuss.jiucaishuo.com/?/invest/showData/search_gu-si801176" TargetMode="External" Type="http://schemas.openxmlformats.org/officeDocument/2006/relationships/hyperlink" /><Relationship Id="rId20" Target="http://discuss.jiucaishuo.com/?/invest/showData/search_gu-si801076" TargetMode="External" Type="http://schemas.openxmlformats.org/officeDocument/2006/relationships/hyperlink" /><Relationship Id="rId21" Target="http://discuss.jiucaishuo.com/?/invest/showData/search_gu-si801177" TargetMode="External" Type="http://schemas.openxmlformats.org/officeDocument/2006/relationships/hyperlink" /><Relationship Id="rId22" Target="http://discuss.jiucaishuo.com/?/invest/showData/search_gu-si801175" TargetMode="External" Type="http://schemas.openxmlformats.org/officeDocument/2006/relationships/hyperlink" /><Relationship Id="rId23" Target="http://discuss.jiucaishuo.com/?/invest/showData/search_gu-si801743" TargetMode="External" Type="http://schemas.openxmlformats.org/officeDocument/2006/relationships/hyperlink" /><Relationship Id="rId24" Target="http://discuss.jiucaishuo.com/?/invest/showData/search_gu-si801742" TargetMode="External" Type="http://schemas.openxmlformats.org/officeDocument/2006/relationships/hyperlink" /><Relationship Id="rId25" Target="http://discuss.jiucaishuo.com/?/invest/showData/search_gu-si801741" TargetMode="External" Type="http://schemas.openxmlformats.org/officeDocument/2006/relationships/hyperlink" /><Relationship Id="rId26" Target="http://discuss.jiucaishuo.com/?/invest/showData/search_gu-si801744" TargetMode="External" Type="http://schemas.openxmlformats.org/officeDocument/2006/relationships/hyperlink" /><Relationship Id="rId27" Target="http://discuss.jiucaishuo.com/?/invest/showData/search_gu-si801155" TargetMode="External" Type="http://schemas.openxmlformats.org/officeDocument/2006/relationships/hyperlink" /><Relationship Id="rId28" Target="http://discuss.jiucaishuo.com/?/invest/showData/search_gu-si801156" TargetMode="External" Type="http://schemas.openxmlformats.org/officeDocument/2006/relationships/hyperlink" /><Relationship Id="rId29" Target="http://discuss.jiucaishuo.com/?/invest/showData/search_gu-si801153" TargetMode="External" Type="http://schemas.openxmlformats.org/officeDocument/2006/relationships/hyperlink" /><Relationship Id="rId30" Target="http://discuss.jiucaishuo.com/?/invest/showData/search_gu-si801154" TargetMode="External" Type="http://schemas.openxmlformats.org/officeDocument/2006/relationships/hyperlink" /><Relationship Id="rId31" Target="http://discuss.jiucaishuo.com/?/invest/showData/search_gu-si801152" TargetMode="External" Type="http://schemas.openxmlformats.org/officeDocument/2006/relationships/hyperlink" /><Relationship Id="rId32" Target="http://discuss.jiucaishuo.com/?/invest/showData/search_gu-si801151" TargetMode="External" Type="http://schemas.openxmlformats.org/officeDocument/2006/relationships/hyperlink" /><Relationship Id="rId33" Target="http://discuss.jiucaishuo.com/?/invest/showData/search_gu-si801182" TargetMode="External" Type="http://schemas.openxmlformats.org/officeDocument/2006/relationships/hyperlink" /><Relationship Id="rId34" Target="http://discuss.jiucaishuo.com/?/invest/showData/search_gu-si801181" TargetMode="External" Type="http://schemas.openxmlformats.org/officeDocument/2006/relationships/hyperlink" /><Relationship Id="rId35" Target="http://discuss.jiucaishuo.com/?/invest/showData/search_gu-si801013" TargetMode="External" Type="http://schemas.openxmlformats.org/officeDocument/2006/relationships/hyperlink" /><Relationship Id="rId36" Target="http://discuss.jiucaishuo.com/?/invest/showData/search_gu-si801012" TargetMode="External" Type="http://schemas.openxmlformats.org/officeDocument/2006/relationships/hyperlink" /><Relationship Id="rId37" Target="http://discuss.jiucaishuo.com/?/invest/showData/search_gu-si801018" TargetMode="External" Type="http://schemas.openxmlformats.org/officeDocument/2006/relationships/hyperlink" /><Relationship Id="rId38" Target="http://discuss.jiucaishuo.com/?/invest/showData/search_gu-si801011" TargetMode="External" Type="http://schemas.openxmlformats.org/officeDocument/2006/relationships/hyperlink" /><Relationship Id="rId39" Target="http://discuss.jiucaishuo.com/?/invest/showData/search_gu-si801015" TargetMode="External" Type="http://schemas.openxmlformats.org/officeDocument/2006/relationships/hyperlink" /><Relationship Id="rId40" Target="http://discuss.jiucaishuo.com/?/invest/showData/search_gu-si801017" TargetMode="External" Type="http://schemas.openxmlformats.org/officeDocument/2006/relationships/hyperlink" /><Relationship Id="rId41" Target="http://discuss.jiucaishuo.com/?/invest/showData/search_gu-si801016" TargetMode="External" Type="http://schemas.openxmlformats.org/officeDocument/2006/relationships/hyperlink" /><Relationship Id="rId42" Target="http://discuss.jiucaishuo.com/?/invest/showData/search_gu-si801014" TargetMode="External" Type="http://schemas.openxmlformats.org/officeDocument/2006/relationships/hyperlink" /><Relationship Id="rId43" Target="http://discuss.jiucaishuo.com/?/invest/showData/search_gu-si801205" TargetMode="External" Type="http://schemas.openxmlformats.org/officeDocument/2006/relationships/hyperlink" /><Relationship Id="rId44" Target="http://discuss.jiucaishuo.com/?/invest/showData/search_gu-si801202" TargetMode="External" Type="http://schemas.openxmlformats.org/officeDocument/2006/relationships/hyperlink" /><Relationship Id="rId45" Target="http://discuss.jiucaishuo.com/?/invest/showData/search_gu-si801112" TargetMode="External" Type="http://schemas.openxmlformats.org/officeDocument/2006/relationships/hyperlink" /><Relationship Id="rId46" Target="http://discuss.jiucaishuo.com/?/invest/showData/search_gu-si801111" TargetMode="External" Type="http://schemas.openxmlformats.org/officeDocument/2006/relationships/hyperlink" /><Relationship Id="rId47" Target="http://discuss.jiucaishuo.com/?/invest/showData/search_gu-si801094" TargetMode="External" Type="http://schemas.openxmlformats.org/officeDocument/2006/relationships/hyperlink" /><Relationship Id="rId48" Target="http://discuss.jiucaishuo.com/?/invest/showData/search_gu-si801093" TargetMode="External" Type="http://schemas.openxmlformats.org/officeDocument/2006/relationships/hyperlink" /><Relationship Id="rId49" Target="http://discuss.jiucaishuo.com/?/invest/showData/search_gu-si801092" TargetMode="External" Type="http://schemas.openxmlformats.org/officeDocument/2006/relationships/hyperlink" /><Relationship Id="rId50" Target="http://discuss.jiucaishuo.com/?/invest/showData/search_gu-si801132" TargetMode="External" Type="http://schemas.openxmlformats.org/officeDocument/2006/relationships/hyperlink" /><Relationship Id="rId51" Target="http://discuss.jiucaishuo.com/?/invest/showData/search_gu-si801131" TargetMode="External" Type="http://schemas.openxmlformats.org/officeDocument/2006/relationships/hyperlink" /><Relationship Id="rId52" Target="http://discuss.jiucaishuo.com/?/invest/showData/search_gu-si801123" TargetMode="External" Type="http://schemas.openxmlformats.org/officeDocument/2006/relationships/hyperlink" /><Relationship Id="rId53" Target="http://discuss.jiucaishuo.com/?/invest/showData/search_gu-si801204" TargetMode="External" Type="http://schemas.openxmlformats.org/officeDocument/2006/relationships/hyperlink" /><Relationship Id="rId54" Target="http://discuss.jiucaishuo.com/?/invest/showData/search_gu-si801203" TargetMode="External" Type="http://schemas.openxmlformats.org/officeDocument/2006/relationships/hyperlink" /><Relationship Id="rId55" Target="http://discuss.jiucaishuo.com/?/invest/showData/search_gu-si801124" TargetMode="External" Type="http://schemas.openxmlformats.org/officeDocument/2006/relationships/hyperlink" /><Relationship Id="rId56" Target="http://discuss.jiucaishuo.com/?/invest/showData/search_gu-si801725" TargetMode="External" Type="http://schemas.openxmlformats.org/officeDocument/2006/relationships/hyperlink" /><Relationship Id="rId57" Target="http://discuss.jiucaishuo.com/?/invest/showData/search_gu-si801724" TargetMode="External" Type="http://schemas.openxmlformats.org/officeDocument/2006/relationships/hyperlink" /><Relationship Id="rId58" Target="http://discuss.jiucaishuo.com/?/invest/showData/search_gu-si801723" TargetMode="External" Type="http://schemas.openxmlformats.org/officeDocument/2006/relationships/hyperlink" /><Relationship Id="rId59" Target="http://discuss.jiucaishuo.com/?/invest/showData/search_gu-si801711" TargetMode="External" Type="http://schemas.openxmlformats.org/officeDocument/2006/relationships/hyperlink" /><Relationship Id="rId60" Target="http://discuss.jiucaishuo.com/?/invest/showData/search_gu-si801712" TargetMode="External" Type="http://schemas.openxmlformats.org/officeDocument/2006/relationships/hyperlink" /><Relationship Id="rId61" Target="http://discuss.jiucaishuo.com/?/invest/showData/search_gu-si801713" TargetMode="External" Type="http://schemas.openxmlformats.org/officeDocument/2006/relationships/hyperlink" /><Relationship Id="rId62" Target="http://discuss.jiucaishuo.com/?/invest/showData/search_gu-si801721" TargetMode="External" Type="http://schemas.openxmlformats.org/officeDocument/2006/relationships/hyperlink" /><Relationship Id="rId63" Target="http://discuss.jiucaishuo.com/?/invest/showData/search_gu-si801074" TargetMode="External" Type="http://schemas.openxmlformats.org/officeDocument/2006/relationships/hyperlink" /><Relationship Id="rId64" Target="http://discuss.jiucaishuo.com/?/invest/showData/search_gu-si801072" TargetMode="External" Type="http://schemas.openxmlformats.org/officeDocument/2006/relationships/hyperlink" /><Relationship Id="rId65" Target="http://discuss.jiucaishuo.com/?/invest/showData/search_gu-si801722" TargetMode="External" Type="http://schemas.openxmlformats.org/officeDocument/2006/relationships/hyperlink" /><Relationship Id="rId66" Target="http://discuss.jiucaishuo.com/?/invest/showData/search_gu-si801215" TargetMode="External" Type="http://schemas.openxmlformats.org/officeDocument/2006/relationships/hyperlink" /><Relationship Id="rId67" Target="http://discuss.jiucaishuo.com/?/invest/showData/search_gu-si801214" TargetMode="External" Type="http://schemas.openxmlformats.org/officeDocument/2006/relationships/hyperlink" /><Relationship Id="rId68" Target="http://discuss.jiucaishuo.com/?/invest/showData/search_gu-si801212" TargetMode="External" Type="http://schemas.openxmlformats.org/officeDocument/2006/relationships/hyperlink" /><Relationship Id="rId69" Target="http://discuss.jiucaishuo.com/?/invest/showData/search_gu-si801213" TargetMode="External" Type="http://schemas.openxmlformats.org/officeDocument/2006/relationships/hyperlink" /><Relationship Id="rId70" Target="http://discuss.jiucaishuo.com/?/invest/showData/search_gu-si801211" TargetMode="External" Type="http://schemas.openxmlformats.org/officeDocument/2006/relationships/hyperlink" /><Relationship Id="rId71" Target="http://discuss.jiucaishuo.com/?/invest/showData/search_gu-si801162" TargetMode="External" Type="http://schemas.openxmlformats.org/officeDocument/2006/relationships/hyperlink" /><Relationship Id="rId72" Target="http://discuss.jiucaishuo.com/?/invest/showData/search_gu-si801164" TargetMode="External" Type="http://schemas.openxmlformats.org/officeDocument/2006/relationships/hyperlink" /><Relationship Id="rId73" Target="http://discuss.jiucaishuo.com/?/invest/showData/search_gu-si801163" TargetMode="External" Type="http://schemas.openxmlformats.org/officeDocument/2006/relationships/hyperlink" /><Relationship Id="rId74" Target="http://discuss.jiucaishuo.com/?/invest/showData/search_gu-si801161" TargetMode="External" Type="http://schemas.openxmlformats.org/officeDocument/2006/relationships/hyperlink" /><Relationship Id="rId75" Target="http://discuss.jiucaishuo.com/?/invest/showData/search_gu-si801734" TargetMode="External" Type="http://schemas.openxmlformats.org/officeDocument/2006/relationships/hyperlink" /><Relationship Id="rId76" Target="http://discuss.jiucaishuo.com/?/invest/showData/search_gu-si801733" TargetMode="External" Type="http://schemas.openxmlformats.org/officeDocument/2006/relationships/hyperlink" /><Relationship Id="rId77" Target="http://discuss.jiucaishuo.com/?/invest/showData/search_gu-si801731" TargetMode="External" Type="http://schemas.openxmlformats.org/officeDocument/2006/relationships/hyperlink" /><Relationship Id="rId78" Target="http://discuss.jiucaishuo.com/?/invest/showData/search_gu-si801732" TargetMode="External" Type="http://schemas.openxmlformats.org/officeDocument/2006/relationships/hyperlink" /><Relationship Id="rId79" Target="http://discuss.jiucaishuo.com/?/invest/showData/search_gu-si801231" TargetMode="External" Type="http://schemas.openxmlformats.org/officeDocument/2006/relationships/hyperlink" /><Relationship Id="rId80" Target="http://discuss.jiucaishuo.com/?/invest/showData/search_gu-si801037" TargetMode="External" Type="http://schemas.openxmlformats.org/officeDocument/2006/relationships/hyperlink" /><Relationship Id="rId81" Target="http://discuss.jiucaishuo.com/?/invest/showData/search_gu-si801036" TargetMode="External" Type="http://schemas.openxmlformats.org/officeDocument/2006/relationships/hyperlink" /><Relationship Id="rId82" Target="http://discuss.jiucaishuo.com/?/invest/showData/search_gu-si801035" TargetMode="External" Type="http://schemas.openxmlformats.org/officeDocument/2006/relationships/hyperlink" /><Relationship Id="rId83" Target="http://discuss.jiucaishuo.com/?/invest/showData/search_gu-si801034" TargetMode="External" Type="http://schemas.openxmlformats.org/officeDocument/2006/relationships/hyperlink" /><Relationship Id="rId84" Target="http://discuss.jiucaishuo.com/?/invest/showData/search_gu-si801033" TargetMode="External" Type="http://schemas.openxmlformats.org/officeDocument/2006/relationships/hyperlink" /><Relationship Id="rId85" Target="http://discuss.jiucaishuo.com/?/invest/showData/search_gu-si801032" TargetMode="External" Type="http://schemas.openxmlformats.org/officeDocument/2006/relationships/hyperlink" /><Relationship Id="rId86" Target="http://discuss.jiucaishuo.com/?/invest/showData/search_gu-si801055" TargetMode="External" Type="http://schemas.openxmlformats.org/officeDocument/2006/relationships/hyperlink" /><Relationship Id="rId87" Target="http://discuss.jiucaishuo.com/?/invest/showData/search_gu-si801054" TargetMode="External" Type="http://schemas.openxmlformats.org/officeDocument/2006/relationships/hyperlink" /><Relationship Id="rId88" Target="http://discuss.jiucaishuo.com/?/invest/showData/search_gu-si801053" TargetMode="External" Type="http://schemas.openxmlformats.org/officeDocument/2006/relationships/hyperlink" /><Relationship Id="rId89" Target="http://discuss.jiucaishuo.com/?/invest/showData/search_gu-si801051" TargetMode="External" Type="http://schemas.openxmlformats.org/officeDocument/2006/relationships/hyperlink" /><Relationship Id="rId90" Target="http://discuss.jiucaishuo.com/?/invest/showData/search_gu-si801021" TargetMode="External" Type="http://schemas.openxmlformats.org/officeDocument/2006/relationships/hyperlink" /><Relationship Id="rId91" Target="http://discuss.jiucaishuo.com/?/invest/showData/search_gu-si801023" TargetMode="External" Type="http://schemas.openxmlformats.org/officeDocument/2006/relationships/hyperlink" /><Relationship Id="rId92" Target="http://discuss.jiucaishuo.com/?/invest/showData/search_gu-si801024" TargetMode="External" Type="http://schemas.openxmlformats.org/officeDocument/2006/relationships/hyperlink" /><Relationship Id="rId93" Target="http://discuss.jiucaishuo.com/?/invest/showData/search_gu-si801075" TargetMode="External" Type="http://schemas.openxmlformats.org/officeDocument/2006/relationships/hyperlink" /><Relationship Id="rId94" Target="http://discuss.jiucaishuo.com/?/invest/showData/search_gu-si801041" TargetMode="External" Type="http://schemas.openxmlformats.org/officeDocument/2006/relationships/hyperlink" /><Relationship Id="rId95" Target="http://discuss.jiucaishuo.com/?/invest/showData/search_gu-si801022" TargetMode="External" Type="http://schemas.openxmlformats.org/officeDocument/2006/relationships/hyperlink" /><Relationship Id="rId96" Target="http://discuss.jiucaishuo.com/?/invest/showData/search_gu-si801144" TargetMode="External" Type="http://schemas.openxmlformats.org/officeDocument/2006/relationships/hyperlink" /><Relationship Id="rId97" Target="http://discuss.jiucaishuo.com/?/invest/showData/search_gu-si801141" TargetMode="External" Type="http://schemas.openxmlformats.org/officeDocument/2006/relationships/hyperlink" /><Relationship Id="rId98" Target="http://discuss.jiucaishuo.com/?/invest/showData/search_gu-si801142" TargetMode="External" Type="http://schemas.openxmlformats.org/officeDocument/2006/relationships/hyperlink" /><Relationship Id="rId99" Target="http://discuss.jiucaishuo.com/?/invest/showData/search_gu-si801143" TargetMode="External" Type="http://schemas.openxmlformats.org/officeDocument/2006/relationships/hyperlink" /><Relationship Id="rId100" Target="http://discuss.jiucaishuo.com/?/invest/showData/search_gu-si801194" TargetMode="External" Type="http://schemas.openxmlformats.org/officeDocument/2006/relationships/hyperlink" /><Relationship Id="rId101" Target="http://discuss.jiucaishuo.com/?/invest/showData/search_gu-si801193" TargetMode="External" Type="http://schemas.openxmlformats.org/officeDocument/2006/relationships/hyperlink" /><Relationship Id="rId102" Target="http://discuss.jiucaishuo.com/?/invest/showData/search_gu-si801192" TargetMode="External" Type="http://schemas.openxmlformats.org/officeDocument/2006/relationships/hyperlink" /><Relationship Id="rId103" Target="http://discuss.jiucaishuo.com/?/invest/showData/search_gu-si801191" TargetMode="External" Type="http://schemas.openxmlformats.org/officeDocument/2006/relationships/hyperlink" /><Relationship Id="rId104" Target="http://discuss.jiucaishuo.com/?/invest/showData/search_gu-si801073" TargetMode="External" Type="http://schemas.openxmlformats.org/officeDocument/2006/relationships/hyperlink" /></Relationships>
</file>

<file path=xl/worksheets/_rels/sheet9.xml.rels><Relationships xmlns="http://schemas.openxmlformats.org/package/2006/relationships"><Relationship Id="rId1" Target="http://discuss.jiucaishuo.com/?/invest/showData/search_gu-si801720" TargetMode="External" Type="http://schemas.openxmlformats.org/officeDocument/2006/relationships/hyperlink" /><Relationship Id="rId2" Target="http://discuss.jiucaishuo.com/?/invest/showData/search_gu-si801160" TargetMode="External" Type="http://schemas.openxmlformats.org/officeDocument/2006/relationships/hyperlink" /><Relationship Id="rId3" Target="http://discuss.jiucaishuo.com/?/invest/showData/search_gu-si801020" TargetMode="External" Type="http://schemas.openxmlformats.org/officeDocument/2006/relationships/hyperlink" /><Relationship Id="rId4" Target="http://discuss.jiucaishuo.com/?/invest/showData/search_gu-si801177" TargetMode="External" Type="http://schemas.openxmlformats.org/officeDocument/2006/relationships/hyperlink" /><Relationship Id="rId5" Target="http://discuss.jiucaishuo.com/?/invest/showData/search_gu-si801203" TargetMode="External" Type="http://schemas.openxmlformats.org/officeDocument/2006/relationships/hyperlink" /><Relationship Id="rId6" Target="http://discuss.jiucaishuo.com/?/invest/showData/search_gu-si801725" TargetMode="External" Type="http://schemas.openxmlformats.org/officeDocument/2006/relationships/hyperlink" /><Relationship Id="rId7" Target="http://discuss.jiucaishuo.com/?/invest/showData/search_gu-si801164" TargetMode="External" Type="http://schemas.openxmlformats.org/officeDocument/2006/relationships/hyperlink" /><Relationship Id="rId8" Target="http://discuss.jiucaishuo.com/?/invest/showData/search_gu-si801163" TargetMode="External" Type="http://schemas.openxmlformats.org/officeDocument/2006/relationships/hyperlink" /><Relationship Id="rId9" Target="http://discuss.jiucaishuo.com/?/invest/showData/search_gu-si801035" TargetMode="External" Type="http://schemas.openxmlformats.org/officeDocument/2006/relationships/hyperlink" /><Relationship Id="rId10" Target="http://discuss.jiucaishuo.com/?/invest/showData/search_gu-si801023" TargetMode="External" Type="http://schemas.openxmlformats.org/officeDocument/2006/relationships/hyperlink" /><Relationship Id="rId11" Target="http://discuss.jiucaishuo.com/?/invest/showData/search_gu-sh000066" TargetMode="External" Type="http://schemas.openxmlformats.org/officeDocument/2006/relationships/hyperlink" /><Relationship Id="rId12" Target="http://discuss.jiucaishuo.com/?/invest/showData/search_gu-sh000986" TargetMode="External" Type="http://schemas.openxmlformats.org/officeDocument/2006/relationships/hyperlink" /><Relationship Id="rId13" Target="http://discuss.jiucaishuo.com/?/invest/showData/search_gu-sh000944" TargetMode="External" Type="http://schemas.openxmlformats.org/officeDocument/2006/relationships/hyperlink" /><Relationship Id="rId14" Target="http://discuss.jiucaishuo.com/?/invest/showData/search_gu-cicspsadrp" TargetMode="External" Type="http://schemas.openxmlformats.org/officeDocument/2006/relationships/hyperlink" /><Relationship Id="rId15" Target="http://discuss.jiucaishuo.com/?/invest/showData/search_gu-sh000068" TargetMode="External" Type="http://schemas.openxmlformats.org/officeDocument/2006/relationships/hyperlink" /><Relationship Id="rId16" Target="http://discuss.jiucaishuo.com/?/invest/showData/search_gu-sh000928" TargetMode="External" Type="http://schemas.openxmlformats.org/officeDocument/2006/relationships/hyperlink" /><Relationship Id="rId17" Target="http://discuss.jiucaishuo.com/?/invest/showData/search_gu-si801180" TargetMode="External" Type="http://schemas.openxmlformats.org/officeDocument/2006/relationships/hyperlink" /><Relationship Id="rId18" Target="http://discuss.jiucaishuo.com/?/invest/showData/search_gu-si801200" TargetMode="External" Type="http://schemas.openxmlformats.org/officeDocument/2006/relationships/hyperlink" /><Relationship Id="rId19" Target="http://discuss.jiucaishuo.com/?/invest/showData/search_gu-si801780" TargetMode="External" Type="http://schemas.openxmlformats.org/officeDocument/2006/relationships/hyperlink" /><Relationship Id="rId20" Target="http://discuss.jiucaishuo.com/?/invest/showData/search_gu-si801172" TargetMode="External" Type="http://schemas.openxmlformats.org/officeDocument/2006/relationships/hyperlink" /><Relationship Id="rId21" Target="http://discuss.jiucaishuo.com/?/invest/showData/search_gu-si801171" TargetMode="External" Type="http://schemas.openxmlformats.org/officeDocument/2006/relationships/hyperlink" /><Relationship Id="rId22" Target="http://discuss.jiucaishuo.com/?/invest/showData/search_gu-si801076" TargetMode="External" Type="http://schemas.openxmlformats.org/officeDocument/2006/relationships/hyperlink" /><Relationship Id="rId23" Target="http://discuss.jiucaishuo.com/?/invest/showData/search_gu-si801154" TargetMode="External" Type="http://schemas.openxmlformats.org/officeDocument/2006/relationships/hyperlink" /><Relationship Id="rId24" Target="http://discuss.jiucaishuo.com/?/invest/showData/search_gu-si801181" TargetMode="External" Type="http://schemas.openxmlformats.org/officeDocument/2006/relationships/hyperlink" /><Relationship Id="rId25" Target="http://discuss.jiucaishuo.com/?/invest/showData/search_gu-si801092" TargetMode="External" Type="http://schemas.openxmlformats.org/officeDocument/2006/relationships/hyperlink" /><Relationship Id="rId26" Target="http://discuss.jiucaishuo.com/?/invest/showData/search_gu-si801724" TargetMode="External" Type="http://schemas.openxmlformats.org/officeDocument/2006/relationships/hyperlink" /><Relationship Id="rId27" Target="http://discuss.jiucaishuo.com/?/invest/showData/search_gu-si801723" TargetMode="External" Type="http://schemas.openxmlformats.org/officeDocument/2006/relationships/hyperlink" /><Relationship Id="rId28" Target="http://discuss.jiucaishuo.com/?/invest/showData/search_gu-si801722" TargetMode="External" Type="http://schemas.openxmlformats.org/officeDocument/2006/relationships/hyperlink" /><Relationship Id="rId29" Target="http://discuss.jiucaishuo.com/?/invest/showData/search_gu-si801162" TargetMode="External" Type="http://schemas.openxmlformats.org/officeDocument/2006/relationships/hyperlink" /><Relationship Id="rId30" Target="http://discuss.jiucaishuo.com/?/invest/showData/search_gu-sz399806" TargetMode="External" Type="http://schemas.openxmlformats.org/officeDocument/2006/relationships/hyperlink" /><Relationship Id="rId31" Target="http://discuss.jiucaishuo.com/?/invest/showData/search_gu-si801055" TargetMode="External" Type="http://schemas.openxmlformats.org/officeDocument/2006/relationships/hyperlink" /><Relationship Id="rId32" Target="http://discuss.jiucaishuo.com/?/invest/showData/search_gu-si801021" TargetMode="External" Type="http://schemas.openxmlformats.org/officeDocument/2006/relationships/hyperlink" /><Relationship Id="rId33" Target="http://discuss.jiucaishuo.com/?/invest/showData/search_gu-sh000979" TargetMode="External" Type="http://schemas.openxmlformats.org/officeDocument/2006/relationships/hyperlink" /><Relationship Id="rId34" Target="http://discuss.jiucaishuo.com/?/invest/showData/search_gu-si801192" TargetMode="External" Type="http://schemas.openxmlformats.org/officeDocument/2006/relationships/hyperlink" /><Relationship Id="rId35" Target="http://discuss.jiucaishuo.com/?/invest/showData/search_gu-si801191" TargetMode="External" Type="http://schemas.openxmlformats.org/officeDocument/2006/relationships/hyperlink" /><Relationship Id="rId36" Target="http://discuss.jiucaishuo.com/?/invest/showData/search_gu-sz399998" TargetMode="External" Type="http://schemas.openxmlformats.org/officeDocument/2006/relationships/hyperlink" /><Relationship Id="rId37" Target="http://discuss.jiucaishuo.com/?/invest/showData/search_gu-sz399990" TargetMode="External" Type="http://schemas.openxmlformats.org/officeDocument/2006/relationships/hyperlink" /><Relationship Id="rId38" Target="http://discuss.jiucaishuo.com/?/invest/showData/search_gu-sh950090" TargetMode="External" Type="http://schemas.openxmlformats.org/officeDocument/2006/relationships/hyperlink" /><Relationship Id="rId39" Target="http://discuss.jiucaishuo.com/?/invest/showData/search_gu-sh000805" TargetMode="External" Type="http://schemas.openxmlformats.org/officeDocument/2006/relationships/hyperlink" /><Relationship Id="rId40" Target="http://discuss.jiucaishuo.com/?/invest/showData/search_gu-sh000042" TargetMode="External" Type="http://schemas.openxmlformats.org/officeDocument/2006/relationships/hyperlink" /><Relationship Id="rId41" Target="http://discuss.jiucaishuo.com/?/invest/showData/search_gu-sh000015" TargetMode="External" Type="http://schemas.openxmlformats.org/officeDocument/2006/relationships/hyperlink" /><Relationship Id="rId42" Target="http://discuss.jiucaishuo.com/?/invest/showData/search_gu-csih30263" TargetMode="External" Type="http://schemas.openxmlformats.org/officeDocument/2006/relationships/hyperlink" /><Relationship Id="rId43" Target="http://discuss.jiucaishuo.com/?/invest/showData/search_gu-sh000919" TargetMode="External" Type="http://schemas.openxmlformats.org/officeDocument/2006/relationships/hyperlink" /><Relationship Id="rId44" Target="http://discuss.jiucaishuo.com/?/invest/showData/search_gu-sh000961" TargetMode="External" Type="http://schemas.openxmlformats.org/officeDocument/2006/relationships/hyperlink" /><Relationship Id="rId45" Target="http://discuss.jiucaishuo.com/?/invest/showData/search_gu-sh000964" TargetMode="External" Type="http://schemas.openxmlformats.org/officeDocument/2006/relationships/hyperlink" /><Relationship Id="rId46" Target="http://discuss.jiucaishuo.com/?/invest/showData/search_gu-csi930620" TargetMode="External" Type="http://schemas.openxmlformats.org/officeDocument/2006/relationships/hyperlink" /><Relationship Id="rId47" Target="http://discuss.jiucaishuo.com/?/invest/showData/search_gu-sz399991" TargetMode="External" Type="http://schemas.openxmlformats.org/officeDocument/2006/relationships/hyperlink" /><Relationship Id="rId48" Target="http://discuss.jiucaishuo.com/?/invest/showData/search_gu-csi931008" TargetMode="External" Type="http://schemas.openxmlformats.org/officeDocument/2006/relationships/hyperlink" /><Relationship Id="rId49" Target="http://discuss.jiucaishuo.com/?/invest/showData/search_gu-sz399986" TargetMode="External" Type="http://schemas.openxmlformats.org/officeDocument/2006/relationships/hyperlink" /><Relationship Id="rId50" Target="http://discuss.jiucaishuo.com/?/invest/showData/search_gu-sh000940" TargetMode="External" Type="http://schemas.openxmlformats.org/officeDocument/2006/relationships/hyperlink" /><Relationship Id="rId51" Target="http://discuss.jiucaishuo.com/?/invest/showData/search_gu-si801761" TargetMode="External" Type="http://schemas.openxmlformats.org/officeDocument/2006/relationships/hyperlink" /><Relationship Id="rId52" Target="http://discuss.jiucaishuo.com/?/invest/showData/search_gu-si801205" TargetMode="External" Type="http://schemas.openxmlformats.org/officeDocument/2006/relationships/hyperlink" /><Relationship Id="rId53" Target="http://discuss.jiucaishuo.com/?/invest/showData/search_gu-sz399995" TargetMode="External" Type="http://schemas.openxmlformats.org/officeDocument/2006/relationships/hyperlink" /><Relationship Id="rId54" Target="http://discuss.jiucaishuo.com/?/invest/showData/search_gu-si801161" TargetMode="External" Type="http://schemas.openxmlformats.org/officeDocument/2006/relationships/hyperlink" /><Relationship Id="rId55" Target="http://discuss.jiucaishuo.com/?/invest/showData/search_gu-si801734" TargetMode="External" Type="http://schemas.openxmlformats.org/officeDocument/2006/relationships/hyperlink" /><Relationship Id="rId56" Target="http://discuss.jiucaishuo.com/?/invest/showData/search_gu-si801075" TargetMode="External" Type="http://schemas.openxmlformats.org/officeDocument/2006/relationships/hyperlink" /><Relationship Id="rId57" Target="http://discuss.jiucaishuo.com/?/invest/showData/search_gu-sz399992" TargetMode="External" Type="http://schemas.openxmlformats.org/officeDocument/2006/relationships/hyperlink" /><Relationship Id="rId58" Target="http://discuss.jiucaishuo.com/?/invest/showData/search_gu-sh000806" TargetMode="External" Type="http://schemas.openxmlformats.org/officeDocument/2006/relationships/hyperlink" /><Relationship Id="rId59" Target="http://discuss.jiucaishuo.com/?/invest/showData/search_gu-si801094" TargetMode="External" Type="http://schemas.openxmlformats.org/officeDocument/2006/relationships/hyperlink" /><Relationship Id="rId60" Target="http://discuss.jiucaishuo.com/?/invest/showData/search_gu-sh000032" TargetMode="External" Type="http://schemas.openxmlformats.org/officeDocument/2006/relationships/hyperlink" /><Relationship Id="rId61" Target="http://discuss.jiucaishuo.com/?/invest/showData/search_gu-sz399416" TargetMode="External" Type="http://schemas.openxmlformats.org/officeDocument/2006/relationships/hyperlink" /><Relationship Id="rId62" Target="http://discuss.jiucaishuo.com/?/invest/showData/search_gu-sh000029" TargetMode="External" Type="http://schemas.openxmlformats.org/officeDocument/2006/relationships/hyperlink" /><Relationship Id="rId63" Target="http://discuss.jiucaishuo.com/?/invest/showData/search_gu-sh000021" TargetMode="External" Type="http://schemas.openxmlformats.org/officeDocument/2006/relationships/hyperlink" /><Relationship Id="rId64" Target="http://discuss.jiucaishuo.com/?/invest/showData/search_gu-sh000905" TargetMode="External" Type="http://schemas.openxmlformats.org/officeDocument/2006/relationships/hyperlink" /><Relationship Id="rId65" Target="http://discuss.jiucaishuo.com/?/invest/showData/search_gu-si801760" TargetMode="External" Type="http://schemas.openxmlformats.org/officeDocument/2006/relationships/hyperlink" /><Relationship Id="rId66" Target="http://discuss.jiucaishuo.com/?/invest/showData/search_gu-si801178" TargetMode="External" Type="http://schemas.openxmlformats.org/officeDocument/2006/relationships/hyperlink" /><Relationship Id="rId67" Target="http://discuss.jiucaishuo.com/?/invest/showData/search_gu-sz399807" TargetMode="External" Type="http://schemas.openxmlformats.org/officeDocument/2006/relationships/hyperlink" /><Relationship Id="rId68" Target="http://discuss.jiucaishuo.com/?/invest/showData/search_gu-si801712" TargetMode="External" Type="http://schemas.openxmlformats.org/officeDocument/2006/relationships/hyperlink" /><Relationship Id="rId69" Target="http://discuss.jiucaishuo.com/?/invest/showData/search_gu-si801022" TargetMode="External" Type="http://schemas.openxmlformats.org/officeDocument/2006/relationships/hyperlink" /><Relationship Id="rId70" Target="http://discuss.jiucaishuo.com/?/invest/showData/search_gu-si801193" TargetMode="External" Type="http://schemas.openxmlformats.org/officeDocument/2006/relationships/hyperlink" /><Relationship Id="rId71" Target="http://discuss.jiucaishuo.com/?/invest/showData/search_gu-hihsml25" TargetMode="External" Type="http://schemas.openxmlformats.org/officeDocument/2006/relationships/hyperlink" /><Relationship Id="rId72" Target="http://discuss.jiucaishuo.com/?/invest/showData/search_gu-sh000854" TargetMode="External" Type="http://schemas.openxmlformats.org/officeDocument/2006/relationships/hyperlink" /><Relationship Id="rId73" Target="http://discuss.jiucaishuo.com/?/invest/showData/search_gu-sh000001" TargetMode="External" Type="http://schemas.openxmlformats.org/officeDocument/2006/relationships/hyperlink" /><Relationship Id="rId74" Target="http://discuss.jiucaishuo.com/?/invest/showData/search_gu-hihsi" TargetMode="External" Type="http://schemas.openxmlformats.org/officeDocument/2006/relationships/hyperlink" /><Relationship Id="rId75" Target="http://discuss.jiucaishuo.com/?/invest/showData/search_gu-sh000984" TargetMode="External" Type="http://schemas.openxmlformats.org/officeDocument/2006/relationships/hyperlink" /><Relationship Id="rId76" Target="http://discuss.jiucaishuo.com/?/invest/showData/search_gu-si801030" TargetMode="External" Type="http://schemas.openxmlformats.org/officeDocument/2006/relationships/hyperlink" /><Relationship Id="rId77" Target="http://discuss.jiucaishuo.com/?/invest/showData/search_gu-sz399802" TargetMode="External" Type="http://schemas.openxmlformats.org/officeDocument/2006/relationships/hyperlink" /><Relationship Id="rId78" Target="http://discuss.jiucaishuo.com/?/invest/showData/search_gu-sh000982" TargetMode="External" Type="http://schemas.openxmlformats.org/officeDocument/2006/relationships/hyperlink" /><Relationship Id="rId79" Target="http://discuss.jiucaishuo.com/?/invest/showData/search_gu-si801175" TargetMode="External" Type="http://schemas.openxmlformats.org/officeDocument/2006/relationships/hyperlink" /><Relationship Id="rId80" Target="http://discuss.jiucaishuo.com/?/invest/showData/search_gu-si801015" TargetMode="External" Type="http://schemas.openxmlformats.org/officeDocument/2006/relationships/hyperlink" /><Relationship Id="rId81" Target="http://discuss.jiucaishuo.com/?/invest/showData/search_gu-sz399440" TargetMode="External" Type="http://schemas.openxmlformats.org/officeDocument/2006/relationships/hyperlink" /><Relationship Id="rId82" Target="http://discuss.jiucaishuo.com/?/invest/showData/search_gu-csi000922" TargetMode="External" Type="http://schemas.openxmlformats.org/officeDocument/2006/relationships/hyperlink" /><Relationship Id="rId83" Target="http://discuss.jiucaishuo.com/?/invest/showData/search_gu-sz399429" TargetMode="External" Type="http://schemas.openxmlformats.org/officeDocument/2006/relationships/hyperlink" /><Relationship Id="rId84" Target="http://discuss.jiucaishuo.com/?/invest/showData/search_gu-sh000904" TargetMode="External" Type="http://schemas.openxmlformats.org/officeDocument/2006/relationships/hyperlink" /><Relationship Id="rId85" Target="http://discuss.jiucaishuo.com/?/invest/showData/search_gu-si801730" TargetMode="External" Type="http://schemas.openxmlformats.org/officeDocument/2006/relationships/hyperlink" /><Relationship Id="rId86" Target="http://discuss.jiucaishuo.com/?/invest/showData/search_gu-si801741" TargetMode="External" Type="http://schemas.openxmlformats.org/officeDocument/2006/relationships/hyperlink" /><Relationship Id="rId87" Target="http://discuss.jiucaishuo.com/?/invest/showData/search_gu-sh000989" TargetMode="External" Type="http://schemas.openxmlformats.org/officeDocument/2006/relationships/hyperlink" /><Relationship Id="rId88" Target="http://discuss.jiucaishuo.com/?/invest/showData/search_gu-csih30165" TargetMode="External" Type="http://schemas.openxmlformats.org/officeDocument/2006/relationships/hyperlink" /><Relationship Id="rId89" Target="http://discuss.jiucaishuo.com/?/invest/showData/search_gu-si801131" TargetMode="External" Type="http://schemas.openxmlformats.org/officeDocument/2006/relationships/hyperlink" /><Relationship Id="rId90" Target="http://discuss.jiucaishuo.com/?/invest/showData/search_gu-si801731" TargetMode="External" Type="http://schemas.openxmlformats.org/officeDocument/2006/relationships/hyperlink" /><Relationship Id="rId91" Target="http://discuss.jiucaishuo.com/?/invest/showData/search_gu-si801024" TargetMode="External" Type="http://schemas.openxmlformats.org/officeDocument/2006/relationships/hyperlink" /><Relationship Id="rId92" Target="http://discuss.jiucaishuo.com/?/invest/showData/search_gu-csi950096" TargetMode="External" Type="http://schemas.openxmlformats.org/officeDocument/2006/relationships/hyperlink" /><Relationship Id="rId93" Target="http://discuss.jiucaishuo.com/?/invest/showData/search_gu-sh000067" TargetMode="External" Type="http://schemas.openxmlformats.org/officeDocument/2006/relationships/hyperlink" /><Relationship Id="rId94" Target="http://discuss.jiucaishuo.com/?/invest/showData/search_gu-sh000901" TargetMode="External" Type="http://schemas.openxmlformats.org/officeDocument/2006/relationships/hyperlink" /><Relationship Id="rId95" Target="http://discuss.jiucaishuo.com/?/invest/showData/search_gu-sh000063" TargetMode="External" Type="http://schemas.openxmlformats.org/officeDocument/2006/relationships/hyperlink" /><Relationship Id="rId96" Target="http://discuss.jiucaishuo.com/?/invest/showData/search_gu-wi881001" TargetMode="External" Type="http://schemas.openxmlformats.org/officeDocument/2006/relationships/hyperlink" /><Relationship Id="rId97" Target="http://discuss.jiucaishuo.com/?/invest/showData/search_gu-csi930875" TargetMode="External" Type="http://schemas.openxmlformats.org/officeDocument/2006/relationships/hyperlink" /><Relationship Id="rId98" Target="http://discuss.jiucaishuo.com/?/invest/showData/search_gu-sh000016" TargetMode="External" Type="http://schemas.openxmlformats.org/officeDocument/2006/relationships/hyperlink" /><Relationship Id="rId99" Target="http://discuss.jiucaishuo.com/?/invest/showData/search_gu-si801050" TargetMode="External" Type="http://schemas.openxmlformats.org/officeDocument/2006/relationships/hyperlink" /><Relationship Id="rId100" Target="http://discuss.jiucaishuo.com/?/invest/showData/search_gu-si801040" TargetMode="External" Type="http://schemas.openxmlformats.org/officeDocument/2006/relationships/hyperlink" /><Relationship Id="rId101" Target="http://discuss.jiucaishuo.com/?/invest/showData/search_gu-sz399101" TargetMode="External" Type="http://schemas.openxmlformats.org/officeDocument/2006/relationships/hyperlink" /><Relationship Id="rId102" Target="http://discuss.jiucaishuo.com/?/invest/showData/search_gu-sz399008" TargetMode="External" Type="http://schemas.openxmlformats.org/officeDocument/2006/relationships/hyperlink" /><Relationship Id="rId103" Target="http://discuss.jiucaishuo.com/?/invest/showData/search_gu-sh000802" TargetMode="External" Type="http://schemas.openxmlformats.org/officeDocument/2006/relationships/hyperlink" /><Relationship Id="rId104" Target="http://discuss.jiucaishuo.com/?/invest/showData/search_gu-sz399965" TargetMode="External" Type="http://schemas.openxmlformats.org/officeDocument/2006/relationships/hyperlink" /><Relationship Id="rId105" Target="http://discuss.jiucaishuo.com/?/invest/showData/search_gu-sz399393" TargetMode="External" Type="http://schemas.openxmlformats.org/officeDocument/2006/relationships/hyperlink" /><Relationship Id="rId106" Target="http://discuss.jiucaishuo.com/?/invest/showData/search_gu-si801034" TargetMode="External" Type="http://schemas.openxmlformats.org/officeDocument/2006/relationships/hyperlink" /><Relationship Id="rId107" Target="http://discuss.jiucaishuo.com/?/invest/showData/search_gu-si801033" TargetMode="External" Type="http://schemas.openxmlformats.org/officeDocument/2006/relationships/hyperlink" /><Relationship Id="rId108" Target="http://discuss.jiucaishuo.com/?/invest/showData/search_gu-si801051" TargetMode="External" Type="http://schemas.openxmlformats.org/officeDocument/2006/relationships/hyperlink" /><Relationship Id="rId109" Target="http://discuss.jiucaishuo.com/?/invest/showData/search_gu-si801041" TargetMode="External" Type="http://schemas.openxmlformats.org/officeDocument/2006/relationships/hyperlink" /><Relationship Id="rId110" Target="http://discuss.jiucaishuo.com/?/invest/showData/search_gu-si801142" TargetMode="External" Type="http://schemas.openxmlformats.org/officeDocument/2006/relationships/hyperlink" /><Relationship Id="rId111" Target="http://discuss.jiucaishuo.com/?/invest/showData/search_gu-sh000819" TargetMode="External" Type="http://schemas.openxmlformats.org/officeDocument/2006/relationships/hyperlink" /><Relationship Id="rId112" Target="http://discuss.jiucaishuo.com/?/invest/showData/search_gu-csi930782" TargetMode="External" Type="http://schemas.openxmlformats.org/officeDocument/2006/relationships/hyperlink" /><Relationship Id="rId113" Target="http://discuss.jiucaishuo.com/?/invest/showData/search_gu-sh000056" TargetMode="External" Type="http://schemas.openxmlformats.org/officeDocument/2006/relationships/hyperlink" /><Relationship Id="rId114" Target="http://discuss.jiucaishuo.com/?/invest/showData/search_gu-sh000966" TargetMode="External" Type="http://schemas.openxmlformats.org/officeDocument/2006/relationships/hyperlink" /><Relationship Id="rId115" Target="http://discuss.jiucaishuo.com/?/invest/showData/search_gu-sh000925" TargetMode="External" Type="http://schemas.openxmlformats.org/officeDocument/2006/relationships/hyperlink" /><Relationship Id="rId116" Target="http://discuss.jiucaishuo.com/?/invest/showData/search_gu-csi000985" TargetMode="External" Type="http://schemas.openxmlformats.org/officeDocument/2006/relationships/hyperlink" /><Relationship Id="rId117" Target="http://discuss.jiucaishuo.com/?/invest/showData/search_gu-hihshkmi" TargetMode="External" Type="http://schemas.openxmlformats.org/officeDocument/2006/relationships/hyperlink" /><Relationship Id="rId118" Target="http://discuss.jiucaishuo.com/?/invest/showData/search_gu-sz399624" TargetMode="External" Type="http://schemas.openxmlformats.org/officeDocument/2006/relationships/hyperlink" /><Relationship Id="rId119" Target="http://discuss.jiucaishuo.com/?/invest/showData/search_gu-si801880" TargetMode="External" Type="http://schemas.openxmlformats.org/officeDocument/2006/relationships/hyperlink" /><Relationship Id="rId120" Target="http://discuss.jiucaishuo.com/?/invest/showData/search_gu-si801130" TargetMode="External" Type="http://schemas.openxmlformats.org/officeDocument/2006/relationships/hyperlink" /><Relationship Id="rId121" Target="http://discuss.jiucaishuo.com/?/invest/showData/search_gu-si801890" TargetMode="External" Type="http://schemas.openxmlformats.org/officeDocument/2006/relationships/hyperlink" /><Relationship Id="rId122" Target="http://discuss.jiucaishuo.com/?/invest/showData/search_gu-si801790" TargetMode="External" Type="http://schemas.openxmlformats.org/officeDocument/2006/relationships/hyperlink" /><Relationship Id="rId123" Target="http://discuss.jiucaishuo.com/?/invest/showData/search_gu-si801752" TargetMode="External" Type="http://schemas.openxmlformats.org/officeDocument/2006/relationships/hyperlink" /><Relationship Id="rId124" Target="http://discuss.jiucaishuo.com/?/invest/showData/search_gu-si801751" TargetMode="External" Type="http://schemas.openxmlformats.org/officeDocument/2006/relationships/hyperlink" /><Relationship Id="rId125" Target="http://discuss.jiucaishuo.com/?/invest/showData/search_gu-sh000852" TargetMode="External" Type="http://schemas.openxmlformats.org/officeDocument/2006/relationships/hyperlink" /><Relationship Id="rId126" Target="http://discuss.jiucaishuo.com/?/invest/showData/search_gu-si801155" TargetMode="External" Type="http://schemas.openxmlformats.org/officeDocument/2006/relationships/hyperlink" /><Relationship Id="rId127" Target="http://discuss.jiucaishuo.com/?/invest/showData/search_gu-si801213" TargetMode="External" Type="http://schemas.openxmlformats.org/officeDocument/2006/relationships/hyperlink" /><Relationship Id="rId128" Target="http://discuss.jiucaishuo.com/?/invest/showData/search_gu-sz399412" TargetMode="External" Type="http://schemas.openxmlformats.org/officeDocument/2006/relationships/hyperlink" /><Relationship Id="rId129" Target="http://discuss.jiucaishuo.com/?/invest/showData/search_gu-si801143" TargetMode="External" Type="http://schemas.openxmlformats.org/officeDocument/2006/relationships/hyperlink" /><Relationship Id="rId130" Target="http://discuss.jiucaishuo.com/?/invest/showData/search_gu-sz399005" TargetMode="External" Type="http://schemas.openxmlformats.org/officeDocument/2006/relationships/hyperlink" /><Relationship Id="rId131" Target="http://discuss.jiucaishuo.com/?/invest/showData/search_gu-si801230" TargetMode="External" Type="http://schemas.openxmlformats.org/officeDocument/2006/relationships/hyperlink" /><Relationship Id="rId132" Target="http://discuss.jiucaishuo.com/?/invest/showData/search_gu-sh000010" TargetMode="External" Type="http://schemas.openxmlformats.org/officeDocument/2006/relationships/hyperlink" /><Relationship Id="rId133" Target="http://discuss.jiucaishuo.com/?/invest/showData/search_gu-sz399634" TargetMode="External" Type="http://schemas.openxmlformats.org/officeDocument/2006/relationships/hyperlink" /><Relationship Id="rId134" Target="http://discuss.jiucaishuo.com/?/invest/showData/search_gu-si801173" TargetMode="External" Type="http://schemas.openxmlformats.org/officeDocument/2006/relationships/hyperlink" /><Relationship Id="rId135" Target="http://discuss.jiucaishuo.com/?/invest/showData/search_gu-si801093" TargetMode="External" Type="http://schemas.openxmlformats.org/officeDocument/2006/relationships/hyperlink" /><Relationship Id="rId136" Target="http://discuss.jiucaishuo.com/?/invest/showData/search_gu-sh000934" TargetMode="External" Type="http://schemas.openxmlformats.org/officeDocument/2006/relationships/hyperlink" /><Relationship Id="rId137" Target="http://discuss.jiucaishuo.com/?/invest/showData/search_gu-sh000038" TargetMode="External" Type="http://schemas.openxmlformats.org/officeDocument/2006/relationships/hyperlink" /><Relationship Id="rId138" Target="http://discuss.jiucaishuo.com/?/invest/showData/search_gu-sh000018" TargetMode="External" Type="http://schemas.openxmlformats.org/officeDocument/2006/relationships/hyperlink" /><Relationship Id="rId139" Target="http://discuss.jiucaishuo.com/?/invest/showData/search_gu-sz399967" TargetMode="External" Type="http://schemas.openxmlformats.org/officeDocument/2006/relationships/hyperlink" /><Relationship Id="rId140" Target="http://discuss.jiucaishuo.com/?/invest/showData/search_gu-si801231" TargetMode="External" Type="http://schemas.openxmlformats.org/officeDocument/2006/relationships/hyperlink" /><Relationship Id="rId141" Target="http://discuss.jiucaishuo.com/?/invest/showData/search_gu-sh000987" TargetMode="External" Type="http://schemas.openxmlformats.org/officeDocument/2006/relationships/hyperlink" /><Relationship Id="rId142" Target="http://discuss.jiucaishuo.com/?/invest/showData/search_gu-sh000846" TargetMode="External" Type="http://schemas.openxmlformats.org/officeDocument/2006/relationships/hyperlink" /><Relationship Id="rId143" Target="http://discuss.jiucaishuo.com/?/invest/showData/search_gu-hihshksi" TargetMode="External" Type="http://schemas.openxmlformats.org/officeDocument/2006/relationships/hyperlink" /><Relationship Id="rId144" Target="http://discuss.jiucaishuo.com/?/invest/showData/search_gu-si801202" TargetMode="External" Type="http://schemas.openxmlformats.org/officeDocument/2006/relationships/hyperlink" /><Relationship Id="rId145" Target="http://discuss.jiucaishuo.com/?/invest/showData/search_gu-sh000914" TargetMode="External" Type="http://schemas.openxmlformats.org/officeDocument/2006/relationships/hyperlink" /><Relationship Id="rId146" Target="http://discuss.jiucaishuo.com/?/invest/showData/search_gu-si801072" TargetMode="External" Type="http://schemas.openxmlformats.org/officeDocument/2006/relationships/hyperlink" /><Relationship Id="rId147" Target="http://discuss.jiucaishuo.com/?/invest/showData/search_gu-sh000963" TargetMode="External" Type="http://schemas.openxmlformats.org/officeDocument/2006/relationships/hyperlink" /><Relationship Id="rId148" Target="http://discuss.jiucaishuo.com/?/invest/showData/search_gu-csi930641" TargetMode="External" Type="http://schemas.openxmlformats.org/officeDocument/2006/relationships/hyperlink" /><Relationship Id="rId149" Target="http://discuss.jiucaishuo.com/?/invest/showData/search_gu-si801170" TargetMode="External" Type="http://schemas.openxmlformats.org/officeDocument/2006/relationships/hyperlink" /><Relationship Id="rId150" Target="http://discuss.jiucaishuo.com/?/invest/showData/search_gu-sh000906" TargetMode="External" Type="http://schemas.openxmlformats.org/officeDocument/2006/relationships/hyperlink" /><Relationship Id="rId151" Target="http://discuss.jiucaishuo.com/?/invest/showData/search_gu-si801710" TargetMode="External" Type="http://schemas.openxmlformats.org/officeDocument/2006/relationships/hyperlink" /><Relationship Id="rId152" Target="http://discuss.jiucaishuo.com/?/invest/showData/search_gu-sh000842" TargetMode="External" Type="http://schemas.openxmlformats.org/officeDocument/2006/relationships/hyperlink" /><Relationship Id="rId153" Target="http://discuss.jiucaishuo.com/?/invest/showData/search_gu-sh000992" TargetMode="External" Type="http://schemas.openxmlformats.org/officeDocument/2006/relationships/hyperlink" /><Relationship Id="rId154" Target="http://discuss.jiucaishuo.com/?/invest/showData/search_gu-si801733" TargetMode="External" Type="http://schemas.openxmlformats.org/officeDocument/2006/relationships/hyperlink" /><Relationship Id="rId155" Target="http://discuss.jiucaishuo.com/?/invest/showData/search_gu-sh000977" TargetMode="External" Type="http://schemas.openxmlformats.org/officeDocument/2006/relationships/hyperlink" /><Relationship Id="rId156" Target="http://discuss.jiucaishuo.com/?/invest/showData/search_gu-si801036" TargetMode="External" Type="http://schemas.openxmlformats.org/officeDocument/2006/relationships/hyperlink" /><Relationship Id="rId157" Target="http://discuss.jiucaishuo.com/?/invest/showData/search_gu-sh000823" TargetMode="External" Type="http://schemas.openxmlformats.org/officeDocument/2006/relationships/hyperlink" /><Relationship Id="rId158" Target="http://discuss.jiucaishuo.com/?/invest/showData/search_gu-sz399415" TargetMode="External" Type="http://schemas.openxmlformats.org/officeDocument/2006/relationships/hyperlink" /><Relationship Id="rId159" Target="http://discuss.jiucaishuo.com/?/invest/showData/search_gu-sz399971" TargetMode="External" Type="http://schemas.openxmlformats.org/officeDocument/2006/relationships/hyperlink" /><Relationship Id="rId160" Target="http://discuss.jiucaishuo.com/?/invest/showData/search_gu-csi930793" TargetMode="External" Type="http://schemas.openxmlformats.org/officeDocument/2006/relationships/hyperlink" /><Relationship Id="rId161" Target="http://discuss.jiucaishuo.com/?/invest/showData/search_gu-si801140" TargetMode="External" Type="http://schemas.openxmlformats.org/officeDocument/2006/relationships/hyperlink" /><Relationship Id="rId162" Target="http://discuss.jiucaishuo.com/?/invest/showData/search_gu-sh000050" TargetMode="External" Type="http://schemas.openxmlformats.org/officeDocument/2006/relationships/hyperlink" /><Relationship Id="rId163" Target="http://discuss.jiucaishuo.com/?/invest/showData/search_gu-si801132" TargetMode="External" Type="http://schemas.openxmlformats.org/officeDocument/2006/relationships/hyperlink" /><Relationship Id="rId164" Target="http://discuss.jiucaishuo.com/?/invest/showData/search_gu-csih30531" TargetMode="External" Type="http://schemas.openxmlformats.org/officeDocument/2006/relationships/hyperlink" /><Relationship Id="rId165" Target="http://discuss.jiucaishuo.com/?/invest/showData/search_gu-sz399368" TargetMode="External" Type="http://schemas.openxmlformats.org/officeDocument/2006/relationships/hyperlink" /><Relationship Id="rId166" Target="http://discuss.jiucaishuo.com/?/invest/showData/search_gu-si801744" TargetMode="External" Type="http://schemas.openxmlformats.org/officeDocument/2006/relationships/hyperlink" /><Relationship Id="rId167" Target="http://discuss.jiucaishuo.com/?/invest/showData/search_gu-si801212" TargetMode="External" Type="http://schemas.openxmlformats.org/officeDocument/2006/relationships/hyperlink" /><Relationship Id="rId168" Target="http://discuss.jiucaishuo.com/?/invest/showData/search_gu-sh000827" TargetMode="External" Type="http://schemas.openxmlformats.org/officeDocument/2006/relationships/hyperlink" /><Relationship Id="rId169" Target="http://discuss.jiucaishuo.com/?/invest/showData/search_gu-sz399417" TargetMode="External" Type="http://schemas.openxmlformats.org/officeDocument/2006/relationships/hyperlink" /><Relationship Id="rId170" Target="http://discuss.jiucaishuo.com/?/invest/showData/search_gu-sh000841" TargetMode="External" Type="http://schemas.openxmlformats.org/officeDocument/2006/relationships/hyperlink" /><Relationship Id="rId171" Target="http://discuss.jiucaishuo.com/?/invest/showData/search_gu-si801037" TargetMode="External" Type="http://schemas.openxmlformats.org/officeDocument/2006/relationships/hyperlink" /><Relationship Id="rId172" Target="http://discuss.jiucaishuo.com/?/invest/showData/search_gu-sz399808" TargetMode="External" Type="http://schemas.openxmlformats.org/officeDocument/2006/relationships/hyperlink" /><Relationship Id="rId173" Target="http://discuss.jiucaishuo.com/?/invest/showData/search_gu-si801054" TargetMode="External" Type="http://schemas.openxmlformats.org/officeDocument/2006/relationships/hyperlink" /><Relationship Id="rId174" Target="http://discuss.jiucaishuo.com/?/invest/showData/search_gu-si801053" TargetMode="External" Type="http://schemas.openxmlformats.org/officeDocument/2006/relationships/hyperlink" /><Relationship Id="rId175" Target="http://discuss.jiucaishuo.com/?/invest/showData/search_gu-sz399395" TargetMode="External" Type="http://schemas.openxmlformats.org/officeDocument/2006/relationships/hyperlink" /><Relationship Id="rId176" Target="http://discuss.jiucaishuo.com/?/invest/showData/search_gu-csih30372" TargetMode="External" Type="http://schemas.openxmlformats.org/officeDocument/2006/relationships/hyperlink" /><Relationship Id="rId177" Target="http://discuss.jiucaishuo.com/?/invest/showData/search_gu-sh000300" TargetMode="External" Type="http://schemas.openxmlformats.org/officeDocument/2006/relationships/hyperlink" /><Relationship Id="rId178" Target="http://discuss.jiucaishuo.com/?/invest/showData/search_gu-sh000958" TargetMode="External" Type="http://schemas.openxmlformats.org/officeDocument/2006/relationships/hyperlink" /><Relationship Id="rId179" Target="http://discuss.jiucaishuo.com/?/invest/showData/search_gu-si801016" TargetMode="External" Type="http://schemas.openxmlformats.org/officeDocument/2006/relationships/hyperlink" /><Relationship Id="rId180" Target="http://discuss.jiucaishuo.com/?/invest/showData/search_gu-si801073" TargetMode="External" Type="http://schemas.openxmlformats.org/officeDocument/2006/relationships/hyperlink" /><Relationship Id="rId181" Target="http://discuss.jiucaishuo.com/?/invest/showData/search_gu-sz399973" TargetMode="External" Type="http://schemas.openxmlformats.org/officeDocument/2006/relationships/hyperlink" /><Relationship Id="rId182" Target="http://discuss.jiucaishuo.com/?/invest/showData/search_gu-sz399975" TargetMode="External" Type="http://schemas.openxmlformats.org/officeDocument/2006/relationships/hyperlink" /><Relationship Id="rId183" Target="http://discuss.jiucaishuo.com/?/invest/showData/search_gu-si801084" TargetMode="External" Type="http://schemas.openxmlformats.org/officeDocument/2006/relationships/hyperlink" /><Relationship Id="rId184" Target="http://discuss.jiucaishuo.com/?/invest/showData/search_gu-si801082" TargetMode="External" Type="http://schemas.openxmlformats.org/officeDocument/2006/relationships/hyperlink" /><Relationship Id="rId185" Target="http://discuss.jiucaishuo.com/?/invest/showData/search_gu-sz399805" TargetMode="External" Type="http://schemas.openxmlformats.org/officeDocument/2006/relationships/hyperlink" /><Relationship Id="rId186" Target="http://discuss.jiucaishuo.com/?/invest/showData/search_gu-si801012" TargetMode="External" Type="http://schemas.openxmlformats.org/officeDocument/2006/relationships/hyperlink" /><Relationship Id="rId187" Target="http://discuss.jiucaishuo.com/?/invest/showData/search_gu-si801074" TargetMode="External" Type="http://schemas.openxmlformats.org/officeDocument/2006/relationships/hyperlink" /><Relationship Id="rId188" Target="http://discuss.jiucaishuo.com/?/invest/showData/search_gu-sz399959" TargetMode="External" Type="http://schemas.openxmlformats.org/officeDocument/2006/relationships/hyperlink" /><Relationship Id="rId189" Target="http://discuss.jiucaishuo.com/?/invest/showData/search_gu-si801732" TargetMode="External" Type="http://schemas.openxmlformats.org/officeDocument/2006/relationships/hyperlink" /><Relationship Id="rId190" Target="http://discuss.jiucaishuo.com/?/invest/showData/search_gu-si801141" TargetMode="External" Type="http://schemas.openxmlformats.org/officeDocument/2006/relationships/hyperlink" /><Relationship Id="rId191" Target="http://discuss.jiucaishuo.com/?/invest/showData/search_gu-csi930720" TargetMode="External" Type="http://schemas.openxmlformats.org/officeDocument/2006/relationships/hyperlink" /><Relationship Id="rId192" Target="http://discuss.jiucaishuo.com/?/invest/showData/search_gu-hihscei" TargetMode="External" Type="http://schemas.openxmlformats.org/officeDocument/2006/relationships/hyperlink" /><Relationship Id="rId193" Target="http://discuss.jiucaishuo.com/?/invest/showData/search_gu-si801740" TargetMode="External" Type="http://schemas.openxmlformats.org/officeDocument/2006/relationships/hyperlink" /><Relationship Id="rId194" Target="http://discuss.jiucaishuo.com/?/invest/showData/search_gu-si801711" TargetMode="External" Type="http://schemas.openxmlformats.org/officeDocument/2006/relationships/hyperlink" /><Relationship Id="rId195" Target="http://discuss.jiucaishuo.com/?/invest/showData/search_gu-sz399983" TargetMode="External" Type="http://schemas.openxmlformats.org/officeDocument/2006/relationships/hyperlink" /><Relationship Id="rId196" Target="http://discuss.jiucaishuo.com/?/invest/showData/search_gu-sh000051" TargetMode="External" Type="http://schemas.openxmlformats.org/officeDocument/2006/relationships/hyperlink" /><Relationship Id="rId197" Target="http://discuss.jiucaishuo.com/?/invest/showData/search_gu-si801742" TargetMode="External" Type="http://schemas.openxmlformats.org/officeDocument/2006/relationships/hyperlink" /><Relationship Id="rId198" Target="http://discuss.jiucaishuo.com/?/invest/showData/search_gu-si801112" TargetMode="External" Type="http://schemas.openxmlformats.org/officeDocument/2006/relationships/hyperlink" /><Relationship Id="rId199" Target="http://discuss.jiucaishuo.com/?/invest/showData/search_gu-sh000933" TargetMode="External" Type="http://schemas.openxmlformats.org/officeDocument/2006/relationships/hyperlink" /><Relationship Id="rId200" Target="http://discuss.jiucaishuo.com/?/invest/showData/search_gu-sh000903" TargetMode="External" Type="http://schemas.openxmlformats.org/officeDocument/2006/relationships/hyperlink" /><Relationship Id="rId201" Target="http://discuss.jiucaishuo.com/?/invest/showData/search_gu-gidjsoep" TargetMode="External" Type="http://schemas.openxmlformats.org/officeDocument/2006/relationships/hyperlink" /><Relationship Id="rId202" Target="http://discuss.jiucaishuo.com/?/invest/showData/search_gu-si801182" TargetMode="External" Type="http://schemas.openxmlformats.org/officeDocument/2006/relationships/hyperlink" /><Relationship Id="rId203" Target="http://discuss.jiucaishuo.com/?/invest/showData/search_gu-sh000974" TargetMode="External" Type="http://schemas.openxmlformats.org/officeDocument/2006/relationships/hyperlink" /><Relationship Id="rId204" Target="http://discuss.jiucaishuo.com/?/invest/showData/search_gu-csi930648" TargetMode="External" Type="http://schemas.openxmlformats.org/officeDocument/2006/relationships/hyperlink" /><Relationship Id="rId205" Target="http://discuss.jiucaishuo.com/?/invest/showData/search_gu-csi930659" TargetMode="External" Type="http://schemas.openxmlformats.org/officeDocument/2006/relationships/hyperlink" /><Relationship Id="rId206" Target="http://discuss.jiucaishuo.com/?/invest/showData/search_gu-sz399422" TargetMode="External" Type="http://schemas.openxmlformats.org/officeDocument/2006/relationships/hyperlink" /><Relationship Id="rId207" Target="http://discuss.jiucaishuo.com/?/invest/showData/search_gu-sh000048" TargetMode="External" Type="http://schemas.openxmlformats.org/officeDocument/2006/relationships/hyperlink" /><Relationship Id="rId208" Target="http://discuss.jiucaishuo.com/?/invest/showData/search_gu-sz399996" TargetMode="External" Type="http://schemas.openxmlformats.org/officeDocument/2006/relationships/hyperlink" /><Relationship Id="rId209" Target="http://discuss.jiucaishuo.com/?/invest/showData/search_gu-sz399810" TargetMode="External" Type="http://schemas.openxmlformats.org/officeDocument/2006/relationships/hyperlink" /><Relationship Id="rId210" Target="http://discuss.jiucaishuo.com/?/invest/showData/search_gu-csi930790" TargetMode="External" Type="http://schemas.openxmlformats.org/officeDocument/2006/relationships/hyperlink" /><Relationship Id="rId211" Target="http://discuss.jiucaishuo.com/?/invest/showData/search_gu-csi930654" TargetMode="External" Type="http://schemas.openxmlformats.org/officeDocument/2006/relationships/hyperlink" /><Relationship Id="rId212" Target="http://discuss.jiucaishuo.com/?/invest/showData/search_gu-sh000033" TargetMode="External" Type="http://schemas.openxmlformats.org/officeDocument/2006/relationships/hyperlink" /><Relationship Id="rId213" Target="http://discuss.jiucaishuo.com/?/invest/showData/search_gu-si801176" TargetMode="External" Type="http://schemas.openxmlformats.org/officeDocument/2006/relationships/hyperlink" /><Relationship Id="rId214" Target="http://discuss.jiucaishuo.com/?/invest/showData/search_gu-si801721" TargetMode="External" Type="http://schemas.openxmlformats.org/officeDocument/2006/relationships/hyperlink" /><Relationship Id="rId215" Target="http://discuss.jiucaishuo.com/?/invest/showData/search_gu-csi930713" TargetMode="External" Type="http://schemas.openxmlformats.org/officeDocument/2006/relationships/hyperlink" /><Relationship Id="rId216" Target="http://discuss.jiucaishuo.com/?/invest/showData/search_gu-sz399313" TargetMode="External" Type="http://schemas.openxmlformats.org/officeDocument/2006/relationships/hyperlink" /><Relationship Id="rId217" Target="http://discuss.jiucaishuo.com/?/invest/showData/search_gu-sh000009" TargetMode="External" Type="http://schemas.openxmlformats.org/officeDocument/2006/relationships/hyperlink" /><Relationship Id="rId218" Target="http://discuss.jiucaishuo.com/?/invest/showData/search_gu-si801211" TargetMode="External" Type="http://schemas.openxmlformats.org/officeDocument/2006/relationships/hyperlink" /><Relationship Id="rId219" Target="http://discuss.jiucaishuo.com/?/invest/showData/search_gu-sh000991" TargetMode="External" Type="http://schemas.openxmlformats.org/officeDocument/2006/relationships/hyperlink" /><Relationship Id="rId220" Target="http://discuss.jiucaishuo.com/?/invest/showData/search_gu-csi930734" TargetMode="External" Type="http://schemas.openxmlformats.org/officeDocument/2006/relationships/hyperlink" /><Relationship Id="rId221" Target="http://discuss.jiucaishuo.com/?/invest/showData/search_gu-csi930599" TargetMode="External" Type="http://schemas.openxmlformats.org/officeDocument/2006/relationships/hyperlink" /><Relationship Id="rId222" Target="http://discuss.jiucaishuo.com/?/invest/showData/search_gu-sz399974" TargetMode="External" Type="http://schemas.openxmlformats.org/officeDocument/2006/relationships/hyperlink" /><Relationship Id="rId223" Target="http://discuss.jiucaishuo.com/?/invest/showData/search_gu-sz399707" TargetMode="External" Type="http://schemas.openxmlformats.org/officeDocument/2006/relationships/hyperlink" /><Relationship Id="rId224" Target="http://discuss.jiucaishuo.com/?/invest/showData/search_gu-si801150" TargetMode="External" Type="http://schemas.openxmlformats.org/officeDocument/2006/relationships/hyperlink" /><Relationship Id="rId225" Target="http://discuss.jiucaishuo.com/?/invest/showData/search_gu-si801102" TargetMode="External" Type="http://schemas.openxmlformats.org/officeDocument/2006/relationships/hyperlink" /><Relationship Id="rId226" Target="http://discuss.jiucaishuo.com/?/invest/showData/search_gu-si801011" TargetMode="External" Type="http://schemas.openxmlformats.org/officeDocument/2006/relationships/hyperlink" /><Relationship Id="rId227" Target="http://discuss.jiucaishuo.com/?/invest/showData/search_gu-sh000816" TargetMode="External" Type="http://schemas.openxmlformats.org/officeDocument/2006/relationships/hyperlink" /><Relationship Id="rId228" Target="http://discuss.jiucaishuo.com/?/invest/showData/search_gu-csih30171" TargetMode="External" Type="http://schemas.openxmlformats.org/officeDocument/2006/relationships/hyperlink" /><Relationship Id="rId229" Target="http://discuss.jiucaishuo.com/?/invest/showData/search_gu-csih30588" TargetMode="External" Type="http://schemas.openxmlformats.org/officeDocument/2006/relationships/hyperlink" /><Relationship Id="rId230" Target="http://discuss.jiucaishuo.com/?/invest/showData/search_gu-hihsmsi" TargetMode="External" Type="http://schemas.openxmlformats.org/officeDocument/2006/relationships/hyperlink" /><Relationship Id="rId231" Target="http://discuss.jiucaishuo.com/?/invest/showData/search_gu-si801013" TargetMode="External" Type="http://schemas.openxmlformats.org/officeDocument/2006/relationships/hyperlink" /><Relationship Id="rId232" Target="http://discuss.jiucaishuo.com/?/invest/showData/search_gu-si801032" TargetMode="External" Type="http://schemas.openxmlformats.org/officeDocument/2006/relationships/hyperlink" /><Relationship Id="rId233" Target="http://discuss.jiucaishuo.com/?/invest/showData/search_gu-sh000043" TargetMode="External" Type="http://schemas.openxmlformats.org/officeDocument/2006/relationships/hyperlink" /><Relationship Id="rId234" Target="http://discuss.jiucaishuo.com/?/invest/showData/search_gu-sh000046" TargetMode="External" Type="http://schemas.openxmlformats.org/officeDocument/2006/relationships/hyperlink" /><Relationship Id="rId235" Target="http://discuss.jiucaishuo.com/?/invest/showData/search_gu-si801204" TargetMode="External" Type="http://schemas.openxmlformats.org/officeDocument/2006/relationships/hyperlink" /><Relationship Id="rId236" Target="http://discuss.jiucaishuo.com/?/invest/showData/search_gu-si801713" TargetMode="External" Type="http://schemas.openxmlformats.org/officeDocument/2006/relationships/hyperlink" /><Relationship Id="rId237" Target="http://discuss.jiucaishuo.com/?/invest/showData/search_gu-sh000969" TargetMode="External" Type="http://schemas.openxmlformats.org/officeDocument/2006/relationships/hyperlink" /><Relationship Id="rId238" Target="http://discuss.jiucaishuo.com/?/invest/showData/search_gu-si801223" TargetMode="External" Type="http://schemas.openxmlformats.org/officeDocument/2006/relationships/hyperlink" /><Relationship Id="rId239" Target="http://discuss.jiucaishuo.com/?/invest/showData/search_gu-csih30318" TargetMode="External" Type="http://schemas.openxmlformats.org/officeDocument/2006/relationships/hyperlink" /><Relationship Id="rId240" Target="http://discuss.jiucaishuo.com/?/invest/showData/search_gu-si801743" TargetMode="External" Type="http://schemas.openxmlformats.org/officeDocument/2006/relationships/hyperlink" /><Relationship Id="rId241" Target="http://discuss.jiucaishuo.com/?/invest/showData/search_gu-csi930820" TargetMode="External" Type="http://schemas.openxmlformats.org/officeDocument/2006/relationships/hyperlink" /><Relationship Id="rId242" Target="http://discuss.jiucaishuo.com/?/invest/showData/search_gu-sh000971" TargetMode="External" Type="http://schemas.openxmlformats.org/officeDocument/2006/relationships/hyperlink" /><Relationship Id="rId243" Target="http://discuss.jiucaishuo.com/?/invest/showData/search_gu-sz399637" TargetMode="External" Type="http://schemas.openxmlformats.org/officeDocument/2006/relationships/hyperlink" /><Relationship Id="rId244" Target="http://discuss.jiucaishuo.com/?/invest/showData/search_gu-csi930777" TargetMode="External" Type="http://schemas.openxmlformats.org/officeDocument/2006/relationships/hyperlink" /><Relationship Id="rId245" Target="http://discuss.jiucaishuo.com/?/invest/showData/search_gu-csih20839" TargetMode="External" Type="http://schemas.openxmlformats.org/officeDocument/2006/relationships/hyperlink" /><Relationship Id="rId246" Target="http://discuss.jiucaishuo.com/?/invest/showData/search_gu-sz399612" TargetMode="External" Type="http://schemas.openxmlformats.org/officeDocument/2006/relationships/hyperlink" /><Relationship Id="rId247" Target="http://discuss.jiucaishuo.com/?/invest/showData/search_gu-si801210" TargetMode="External" Type="http://schemas.openxmlformats.org/officeDocument/2006/relationships/hyperlink" /><Relationship Id="rId248" Target="http://discuss.jiucaishuo.com/?/invest/showData/search_gu-si801101" TargetMode="External" Type="http://schemas.openxmlformats.org/officeDocument/2006/relationships/hyperlink" /><Relationship Id="rId249" Target="http://discuss.jiucaishuo.com/?/invest/showData/search_gu-csi930836" TargetMode="External" Type="http://schemas.openxmlformats.org/officeDocument/2006/relationships/hyperlink" /><Relationship Id="rId250" Target="http://discuss.jiucaishuo.com/?/invest/showData/search_gu-csi930791" TargetMode="External" Type="http://schemas.openxmlformats.org/officeDocument/2006/relationships/hyperlink" /><Relationship Id="rId251" Target="http://discuss.jiucaishuo.com/?/invest/showData/search_gu-sz399001" TargetMode="External" Type="http://schemas.openxmlformats.org/officeDocument/2006/relationships/hyperlink" /><Relationship Id="rId252" Target="http://discuss.jiucaishuo.com/?/invest/showData/search_gu-sz399102" TargetMode="External" Type="http://schemas.openxmlformats.org/officeDocument/2006/relationships/hyperlink" /><Relationship Id="rId253" Target="http://discuss.jiucaishuo.com/?/invest/showData/search_gu-si801144" TargetMode="External" Type="http://schemas.openxmlformats.org/officeDocument/2006/relationships/hyperlink" /><Relationship Id="rId254" Target="http://discuss.jiucaishuo.com/?/invest/showData/search_gu-sz399348" TargetMode="External" Type="http://schemas.openxmlformats.org/officeDocument/2006/relationships/hyperlink" /><Relationship Id="rId255" Target="http://discuss.jiucaishuo.com/?/invest/showData/search_gu-si801750" TargetMode="External" Type="http://schemas.openxmlformats.org/officeDocument/2006/relationships/hyperlink" /><Relationship Id="rId256" Target="http://discuss.jiucaishuo.com/?/invest/showData/search_gu-sz399007" TargetMode="External" Type="http://schemas.openxmlformats.org/officeDocument/2006/relationships/hyperlink" /><Relationship Id="rId257" Target="http://discuss.jiucaishuo.com/?/invest/showData/search_gu-csi930652" TargetMode="External" Type="http://schemas.openxmlformats.org/officeDocument/2006/relationships/hyperlink" /><Relationship Id="rId258" Target="http://discuss.jiucaishuo.com/?/invest/showData/search_gu-si801151" TargetMode="External" Type="http://schemas.openxmlformats.org/officeDocument/2006/relationships/hyperlink" /><Relationship Id="rId259" Target="http://discuss.jiucaishuo.com/?/invest/showData/search_gu-sz399966" TargetMode="External" Type="http://schemas.openxmlformats.org/officeDocument/2006/relationships/hyperlink" /><Relationship Id="rId260" Target="http://discuss.jiucaishuo.com/?/invest/showData/search_gu-sh000814" TargetMode="External" Type="http://schemas.openxmlformats.org/officeDocument/2006/relationships/hyperlink" /><Relationship Id="rId261" Target="http://discuss.jiucaishuo.com/?/invest/showData/search_gu-sh000044" TargetMode="External" Type="http://schemas.openxmlformats.org/officeDocument/2006/relationships/hyperlink" /><Relationship Id="rId262" Target="http://discuss.jiucaishuo.com/?/invest/showData/search_gu-sh000993" TargetMode="External" Type="http://schemas.openxmlformats.org/officeDocument/2006/relationships/hyperlink" /><Relationship Id="rId263" Target="http://discuss.jiucaishuo.com/?/invest/showData/search_gu-sz399809" TargetMode="External" Type="http://schemas.openxmlformats.org/officeDocument/2006/relationships/hyperlink" /><Relationship Id="rId264" Target="http://discuss.jiucaishuo.com/?/invest/showData/search_gu-csih30124" TargetMode="External" Type="http://schemas.openxmlformats.org/officeDocument/2006/relationships/hyperlink" /><Relationship Id="rId265" Target="http://discuss.jiucaishuo.com/?/invest/showData/search_gu-csi930697" TargetMode="External" Type="http://schemas.openxmlformats.org/officeDocument/2006/relationships/hyperlink" /><Relationship Id="rId266" Target="http://discuss.jiucaishuo.com/?/invest/showData/search_gu-si801080" TargetMode="External" Type="http://schemas.openxmlformats.org/officeDocument/2006/relationships/hyperlink" /><Relationship Id="rId267" Target="http://discuss.jiucaishuo.com/?/invest/showData/search_gu-si801222" TargetMode="External" Type="http://schemas.openxmlformats.org/officeDocument/2006/relationships/hyperlink" /><Relationship Id="rId268" Target="http://discuss.jiucaishuo.com/?/invest/showData/search_gu-si801152" TargetMode="External" Type="http://schemas.openxmlformats.org/officeDocument/2006/relationships/hyperlink" /><Relationship Id="rId269" Target="http://discuss.jiucaishuo.com/?/invest/showData/search_gu-csih30035" TargetMode="External" Type="http://schemas.openxmlformats.org/officeDocument/2006/relationships/hyperlink" /><Relationship Id="rId270" Target="http://discuss.jiucaishuo.com/?/invest/showData/search_gu-sz399703" TargetMode="External" Type="http://schemas.openxmlformats.org/officeDocument/2006/relationships/hyperlink" /><Relationship Id="rId271" Target="http://discuss.jiucaishuo.com/?/invest/showData/search_gu-sh000065" TargetMode="External" Type="http://schemas.openxmlformats.org/officeDocument/2006/relationships/hyperlink" /><Relationship Id="rId272" Target="http://discuss.jiucaishuo.com/?/invest/showData/search_gu-si801085" TargetMode="External" Type="http://schemas.openxmlformats.org/officeDocument/2006/relationships/hyperlink" /><Relationship Id="rId273" Target="http://discuss.jiucaishuo.com/?/invest/showData/search_gu-sz399994" TargetMode="External" Type="http://schemas.openxmlformats.org/officeDocument/2006/relationships/hyperlink" /><Relationship Id="rId274" Target="http://discuss.jiucaishuo.com/?/invest/showData/search_gu-si801215" TargetMode="External" Type="http://schemas.openxmlformats.org/officeDocument/2006/relationships/hyperlink" /><Relationship Id="rId275" Target="http://discuss.jiucaishuo.com/?/invest/showData/search_gu-sh000037" TargetMode="External" Type="http://schemas.openxmlformats.org/officeDocument/2006/relationships/hyperlink" /><Relationship Id="rId276" Target="http://discuss.jiucaishuo.com/?/invest/showData/search_gu-sh000998" TargetMode="External" Type="http://schemas.openxmlformats.org/officeDocument/2006/relationships/hyperlink" /><Relationship Id="rId277" Target="http://discuss.jiucaishuo.com/?/invest/showData/search_gu-csi930651" TargetMode="External" Type="http://schemas.openxmlformats.org/officeDocument/2006/relationships/hyperlink" /><Relationship Id="rId278" Target="http://discuss.jiucaishuo.com/?/invest/showData/search_gu-si801770" TargetMode="External" Type="http://schemas.openxmlformats.org/officeDocument/2006/relationships/hyperlink" /><Relationship Id="rId279" Target="http://discuss.jiucaishuo.com/?/invest/showData/search_gu-sh000952" TargetMode="External" Type="http://schemas.openxmlformats.org/officeDocument/2006/relationships/hyperlink" /><Relationship Id="rId280" Target="http://discuss.jiucaishuo.com/?/invest/showData/search_gu-si801194" TargetMode="External" Type="http://schemas.openxmlformats.org/officeDocument/2006/relationships/hyperlink" /><Relationship Id="rId281" Target="http://discuss.jiucaishuo.com/?/invest/showData/search_gu-gigdaxi" TargetMode="External" Type="http://schemas.openxmlformats.org/officeDocument/2006/relationships/hyperlink" /><Relationship Id="rId282" Target="http://discuss.jiucaishuo.com/?/invest/showData/search_gu-sz399337" TargetMode="External" Type="http://schemas.openxmlformats.org/officeDocument/2006/relationships/hyperlink" /><Relationship Id="rId283" Target="http://discuss.jiucaishuo.com/?/invest/showData/search_gu-sz399702" TargetMode="External" Type="http://schemas.openxmlformats.org/officeDocument/2006/relationships/hyperlink" /><Relationship Id="rId284" Target="http://discuss.jiucaishuo.com/?/invest/showData/search_gu-si801018" TargetMode="External" Type="http://schemas.openxmlformats.org/officeDocument/2006/relationships/hyperlink" /><Relationship Id="rId285" Target="http://discuss.jiucaishuo.com/?/invest/showData/search_gu-sh000935" TargetMode="External" Type="http://schemas.openxmlformats.org/officeDocument/2006/relationships/hyperlink" /><Relationship Id="rId286" Target="http://discuss.jiucaishuo.com/?/invest/showData/search_gu-csi931009" TargetMode="External" Type="http://schemas.openxmlformats.org/officeDocument/2006/relationships/hyperlink" /><Relationship Id="rId287" Target="http://discuss.jiucaishuo.com/?/invest/showData/search_gu-csih11136" TargetMode="External" Type="http://schemas.openxmlformats.org/officeDocument/2006/relationships/hyperlink" /><Relationship Id="rId288" Target="http://discuss.jiucaishuo.com/?/invest/showData/search_gu-sz399673" TargetMode="External" Type="http://schemas.openxmlformats.org/officeDocument/2006/relationships/hyperlink" /><Relationship Id="rId289" Target="http://discuss.jiucaishuo.com/?/invest/showData/search_gu-sz399804" TargetMode="External" Type="http://schemas.openxmlformats.org/officeDocument/2006/relationships/hyperlink" /><Relationship Id="rId290" Target="http://discuss.jiucaishuo.com/?/invest/showData/search_gu-si801881" TargetMode="External" Type="http://schemas.openxmlformats.org/officeDocument/2006/relationships/hyperlink" /><Relationship Id="rId291" Target="http://discuss.jiucaishuo.com/?/invest/showData/search_gu-sz399006" TargetMode="External" Type="http://schemas.openxmlformats.org/officeDocument/2006/relationships/hyperlink" /><Relationship Id="rId292" Target="http://discuss.jiucaishuo.com/?/invest/showData/search_gu-sz399812" TargetMode="External" Type="http://schemas.openxmlformats.org/officeDocument/2006/relationships/hyperlink" /><Relationship Id="rId293" Target="http://discuss.jiucaishuo.com/?/invest/showData/search_gu-si801081" TargetMode="External" Type="http://schemas.openxmlformats.org/officeDocument/2006/relationships/hyperlink" /><Relationship Id="rId294" Target="http://discuss.jiucaishuo.com/?/invest/showData/search_gu-sz399610" TargetMode="External" Type="http://schemas.openxmlformats.org/officeDocument/2006/relationships/hyperlink" /><Relationship Id="rId295" Target="http://discuss.jiucaishuo.com/?/invest/showData/search_gu-si801010" TargetMode="External" Type="http://schemas.openxmlformats.org/officeDocument/2006/relationships/hyperlink" /><Relationship Id="rId296" Target="http://discuss.jiucaishuo.com/?/invest/showData/search_gu-sz399441" TargetMode="External" Type="http://schemas.openxmlformats.org/officeDocument/2006/relationships/hyperlink" /><Relationship Id="rId297" Target="http://discuss.jiucaishuo.com/?/invest/showData/search_gu-csi930729" TargetMode="External" Type="http://schemas.openxmlformats.org/officeDocument/2006/relationships/hyperlink" /><Relationship Id="rId298" Target="http://discuss.jiucaishuo.com/?/invest/showData/search_gu-sz399813" TargetMode="External" Type="http://schemas.openxmlformats.org/officeDocument/2006/relationships/hyperlink" /><Relationship Id="rId299" Target="http://discuss.jiucaishuo.com/?/invest/showData/search_gu-si801156" TargetMode="External" Type="http://schemas.openxmlformats.org/officeDocument/2006/relationships/hyperlink" /><Relationship Id="rId300" Target="http://discuss.jiucaishuo.com/?/invest/showData/search_gu-sz399326" TargetMode="External" Type="http://schemas.openxmlformats.org/officeDocument/2006/relationships/hyperlink" /><Relationship Id="rId301" Target="http://discuss.jiucaishuo.com/?/invest/showData/search_gu-sz399701" TargetMode="External" Type="http://schemas.openxmlformats.org/officeDocument/2006/relationships/hyperlink" /><Relationship Id="rId302" Target="http://discuss.jiucaishuo.com/?/invest/showData/search_gu-sz399811" TargetMode="External" Type="http://schemas.openxmlformats.org/officeDocument/2006/relationships/hyperlink" /><Relationship Id="rId303" Target="http://discuss.jiucaishuo.com/?/invest/showData/search_gu-sz399976" TargetMode="External" Type="http://schemas.openxmlformats.org/officeDocument/2006/relationships/hyperlink" /><Relationship Id="rId304" Target="http://discuss.jiucaishuo.com/?/invest/showData/search_gu-sz399550" TargetMode="External" Type="http://schemas.openxmlformats.org/officeDocument/2006/relationships/hyperlink" /><Relationship Id="rId305" Target="http://discuss.jiucaishuo.com/?/invest/showData/search_gu-sz399989" TargetMode="External" Type="http://schemas.openxmlformats.org/officeDocument/2006/relationships/hyperlink" /><Relationship Id="rId306" Target="http://discuss.jiucaishuo.com/?/invest/showData/search_gu-si801111" TargetMode="External" Type="http://schemas.openxmlformats.org/officeDocument/2006/relationships/hyperlink" /><Relationship Id="rId307" Target="http://discuss.jiucaishuo.com/?/invest/showData/search_gu-si801214" TargetMode="External" Type="http://schemas.openxmlformats.org/officeDocument/2006/relationships/hyperlink" /><Relationship Id="rId308" Target="http://discuss.jiucaishuo.com/?/invest/showData/search_gu-sh000913" TargetMode="External" Type="http://schemas.openxmlformats.org/officeDocument/2006/relationships/hyperlink" /><Relationship Id="rId309" Target="http://discuss.jiucaishuo.com/?/invest/showData/search_gu-sh000064" TargetMode="External" Type="http://schemas.openxmlformats.org/officeDocument/2006/relationships/hyperlink" /><Relationship Id="rId310" Target="http://discuss.jiucaishuo.com/?/invest/showData/search_gu-csi930723" TargetMode="External" Type="http://schemas.openxmlformats.org/officeDocument/2006/relationships/hyperlink" /><Relationship Id="rId311" Target="http://discuss.jiucaishuo.com/?/invest/showData/search_gu-sz399993" TargetMode="External" Type="http://schemas.openxmlformats.org/officeDocument/2006/relationships/hyperlink" /><Relationship Id="rId312" Target="http://discuss.jiucaishuo.com/?/invest/showData/search_gu-sz399330" TargetMode="External" Type="http://schemas.openxmlformats.org/officeDocument/2006/relationships/hyperlink" /><Relationship Id="rId313" Target="http://discuss.jiucaishuo.com/?/invest/showData/search_gu-sz399004" TargetMode="External" Type="http://schemas.openxmlformats.org/officeDocument/2006/relationships/hyperlink" /><Relationship Id="rId314" Target="http://discuss.jiucaishuo.com/?/invest/showData/search_gu-si801014" TargetMode="External" Type="http://schemas.openxmlformats.org/officeDocument/2006/relationships/hyperlink" /><Relationship Id="rId315" Target="http://discuss.jiucaishuo.com/?/invest/showData/search_gu-si801124" TargetMode="External" Type="http://schemas.openxmlformats.org/officeDocument/2006/relationships/hyperlink" /><Relationship Id="rId316" Target="http://discuss.jiucaishuo.com/?/invest/showData/search_gu-sz399324" TargetMode="External" Type="http://schemas.openxmlformats.org/officeDocument/2006/relationships/hyperlink" /><Relationship Id="rId317" Target="http://discuss.jiucaishuo.com/?/invest/showData/search_gu-si801110" TargetMode="External" Type="http://schemas.openxmlformats.org/officeDocument/2006/relationships/hyperlink" /><Relationship Id="rId318" Target="http://discuss.jiucaishuo.com/?/invest/showData/search_gu-si801083" TargetMode="External" Type="http://schemas.openxmlformats.org/officeDocument/2006/relationships/hyperlink" /><Relationship Id="rId319" Target="http://discuss.jiucaishuo.com/?/invest/showData/search_gu-csih30344" TargetMode="External" Type="http://schemas.openxmlformats.org/officeDocument/2006/relationships/hyperlink" /><Relationship Id="rId320" Target="http://discuss.jiucaishuo.com/?/invest/showData/search_gu-sz399394" TargetMode="External" Type="http://schemas.openxmlformats.org/officeDocument/2006/relationships/hyperlink" /><Relationship Id="rId321" Target="http://discuss.jiucaishuo.com/?/invest/showData/search_gu-sh000808" TargetMode="External" Type="http://schemas.openxmlformats.org/officeDocument/2006/relationships/hyperlink" /><Relationship Id="rId322" Target="http://discuss.jiucaishuo.com/?/invest/showData/search_gu-csi930629" TargetMode="External" Type="http://schemas.openxmlformats.org/officeDocument/2006/relationships/hyperlink" /><Relationship Id="rId323" Target="http://discuss.jiucaishuo.com/?/invest/showData/search_gu-csih30535" TargetMode="External" Type="http://schemas.openxmlformats.org/officeDocument/2006/relationships/hyperlink" /><Relationship Id="rId324" Target="http://discuss.jiucaishuo.com/?/invest/showData/search_gu-sh000049" TargetMode="External" Type="http://schemas.openxmlformats.org/officeDocument/2006/relationships/hyperlink" /><Relationship Id="rId325" Target="http://discuss.jiucaishuo.com/?/invest/showData/search_gu-si801153" TargetMode="External" Type="http://schemas.openxmlformats.org/officeDocument/2006/relationships/hyperlink" /><Relationship Id="rId326" Target="http://discuss.jiucaishuo.com/?/invest/showData/search_gu-sz399814" TargetMode="External" Type="http://schemas.openxmlformats.org/officeDocument/2006/relationships/hyperlink" /><Relationship Id="rId327" Target="http://discuss.jiucaishuo.com/?/invest/showData/search_gu-sh000069" TargetMode="External" Type="http://schemas.openxmlformats.org/officeDocument/2006/relationships/hyperlink" /><Relationship Id="rId328" Target="http://discuss.jiucaishuo.com/?/invest/showData/search_gu-sh000028" TargetMode="External" Type="http://schemas.openxmlformats.org/officeDocument/2006/relationships/hyperlink" /><Relationship Id="rId329" Target="http://discuss.jiucaishuo.com/?/invest/showData/search_gu-csi930743" TargetMode="External" Type="http://schemas.openxmlformats.org/officeDocument/2006/relationships/hyperlink" /><Relationship Id="rId330" Target="http://discuss.jiucaishuo.com/?/invest/showData/search_gu-si801120" TargetMode="External" Type="http://schemas.openxmlformats.org/officeDocument/2006/relationships/hyperlink" /><Relationship Id="rId331" Target="http://discuss.jiucaishuo.com/?/invest/showData/search_gu-sz399632" TargetMode="External" Type="http://schemas.openxmlformats.org/officeDocument/2006/relationships/hyperlink" /><Relationship Id="rId332" Target="http://discuss.jiucaishuo.com/?/invest/showData/search_gu-sz399970" TargetMode="External" Type="http://schemas.openxmlformats.org/officeDocument/2006/relationships/hyperlink" /><Relationship Id="rId333" Target="http://discuss.jiucaishuo.com/?/invest/showData/search_gu-csi000978" TargetMode="External" Type="http://schemas.openxmlformats.org/officeDocument/2006/relationships/hyperlink" /><Relationship Id="rId334" Target="http://discuss.jiucaishuo.com/?/invest/showData/search_gu-spisphcmshp" TargetMode="External" Type="http://schemas.openxmlformats.org/officeDocument/2006/relationships/hyperlink" /><Relationship Id="rId335" Target="http://discuss.jiucaishuo.com/?/invest/showData/search_gu-sh000918" TargetMode="External" Type="http://schemas.openxmlformats.org/officeDocument/2006/relationships/hyperlink" /><Relationship Id="rId336" Target="http://discuss.jiucaishuo.com/?/invest/showData/search_gu-si801174" TargetMode="External" Type="http://schemas.openxmlformats.org/officeDocument/2006/relationships/hyperlink" /><Relationship Id="rId337" Target="http://discuss.jiucaishuo.com/?/invest/showData/search_gu-si801123" TargetMode="External" Type="http://schemas.openxmlformats.org/officeDocument/2006/relationships/hyperlink" /><Relationship Id="rId338" Target="http://discuss.jiucaishuo.com/?/invest/showData/search_gu-sh000828" TargetMode="External" Type="http://schemas.openxmlformats.org/officeDocument/2006/relationships/hyperlink" /><Relationship Id="rId339" Target="http://discuss.jiucaishuo.com/?/invest/showData/search_gu-sz399803" TargetMode="External" Type="http://schemas.openxmlformats.org/officeDocument/2006/relationships/hyperlink" /><Relationship Id="rId340" Target="http://discuss.jiucaishuo.com/?/invest/showData/search_gu-si801017" TargetMode="External" Type="http://schemas.openxmlformats.org/officeDocument/2006/relationships/hyperlink" /><Relationship Id="rId341" Target="http://discuss.jiucaishuo.com/?/invest/showData/search_gu-csi930721" TargetMode="External" Type="http://schemas.openxmlformats.org/officeDocument/2006/relationships/hyperlink" /><Relationship Id="rId342" Target="http://discuss.jiucaishuo.com/?/invest/showData/search_gu-sh000932" TargetMode="External" Type="http://schemas.openxmlformats.org/officeDocument/2006/relationships/hyperlink" /><Relationship Id="rId343" Target="http://discuss.jiucaishuo.com/?/invest/showData/search_gu-csi930719" TargetMode="External" Type="http://schemas.openxmlformats.org/officeDocument/2006/relationships/hyperlink" /><Relationship Id="rId344" Target="http://discuss.jiucaishuo.com/?/invest/showData/search_gu-sh000990" TargetMode="External" Type="http://schemas.openxmlformats.org/officeDocument/2006/relationships/hyperlink" /><Relationship Id="rId345" Target="http://discuss.jiucaishuo.com/?/invest/showData/search_gu-sz399997" TargetMode="External" Type="http://schemas.openxmlformats.org/officeDocument/2006/relationships/hyperlink" /><Relationship Id="rId346" Target="http://discuss.jiucaishuo.com/?/invest/showData/search_gu-giixic" TargetMode="External" Type="http://schemas.openxmlformats.org/officeDocument/2006/relationships/hyperlink" /><Relationship Id="rId347" Target="http://discuss.jiucaishuo.com/?/invest/showData/search_gu-csi930653" TargetMode="External" Type="http://schemas.openxmlformats.org/officeDocument/2006/relationships/hyperlink" /><Relationship Id="rId348" Target="http://discuss.jiucaishuo.com/?/invest/showData/search_gu-sz399987" TargetMode="External" Type="http://schemas.openxmlformats.org/officeDocument/2006/relationships/hyperlink" /><Relationship Id="rId349" Target="http://discuss.jiucaishuo.com/?/invest/showData/search_gu-csih30021" TargetMode="External" Type="http://schemas.openxmlformats.org/officeDocument/2006/relationships/hyperlink" /><Relationship Id="rId350" Target="http://discuss.jiucaishuo.com/?/invest/showData/search_gu-sz399396" TargetMode="External" Type="http://schemas.openxmlformats.org/officeDocument/2006/relationships/hyperlink" /><Relationship Id="rId351" Target="http://discuss.jiucaishuo.com/?/invest/showData/search_gu-spisp500" TargetMode="External" Type="http://schemas.openxmlformats.org/officeDocument/2006/relationships/hyperlink" /><Relationship Id="rId352" Target="http://discuss.jiucaishuo.com/?/invest/showData/search_gu-spispxewtr" TargetMode="External" Type="http://schemas.openxmlformats.org/officeDocument/2006/relationships/hyperlink" /><Relationship Id="rId353" Target="http://discuss.jiucaishuo.com/?/invest/showData/search_gu-gispx" TargetMode="External" Type="http://schemas.openxmlformats.org/officeDocument/2006/relationships/hyperlink" /><Relationship Id="rId354" Target="http://discuss.jiucaishuo.com/?/invest/showData/search_gu-csi133333" TargetMode="External" Type="http://schemas.openxmlformats.org/officeDocument/2006/relationships/hyperlink" /><Relationship Id="rId355" Target="http://discuss.jiucaishuo.com/?/invest/showData/search_gu-sh000036" TargetMode="External" Type="http://schemas.openxmlformats.org/officeDocument/2006/relationships/hyperlink" /><Relationship Id="rId356" Target="http://discuss.jiucaishuo.com/?/invest/showData/search_gu-gidji" TargetMode="External" Type="http://schemas.openxmlformats.org/officeDocument/2006/relationships/hyperlink" /><Relationship Id="rId357" Target="http://discuss.jiucaishuo.com/?/invest/showData/search_gu-gindx" TargetMode="External" Type="http://schemas.openxmlformats.org/officeDocument/2006/relationships/hyperlink" /></Relationships>
</file>

<file path=xl/worksheets/_rels/sheet10.xml.rels><Relationships xmlns="http://schemas.openxmlformats.org/package/2006/relationships"><Relationship Id="rId1" Target="/xl/drawings/drawing1.xml" Type="http://schemas.openxmlformats.org/officeDocument/2006/relationships/drawing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351"/>
  <sheetViews>
    <sheetView workbookViewId="0" zoomScale="116">
      <pane activePane="topRight" state="frozen" topLeftCell="B1" xSplit="1"/>
      <selection activeCell="B18" pane="topRight" sqref="B18"/>
    </sheetView>
  </sheetViews>
  <sheetFormatPr baseColWidth="10" defaultRowHeight="16"/>
  <cols>
    <col customWidth="1" max="1" min="1" style="155" width="17.5"/>
    <col bestFit="1" customWidth="1" max="3" min="3" style="155" width="20.6640625"/>
    <col bestFit="1" customWidth="1" max="4" min="4" style="2" width="13.6640625"/>
    <col customWidth="1" max="5" min="5" style="89" width="19.6640625"/>
    <col customWidth="1" max="6" min="6" style="3" width="15"/>
    <col customWidth="1" max="7" min="7" style="91" width="21"/>
    <col customWidth="1" max="8" min="8" style="92" width="25.83203125"/>
    <col customWidth="1" max="9" min="9" style="92" width="25.33203125"/>
    <col customWidth="1" max="10" min="10" style="92" width="21"/>
    <col customWidth="1" max="11" min="11" style="2" width="21.6640625"/>
    <col bestFit="1" customWidth="1" max="12" min="12" style="78" width="13.6640625"/>
    <col customWidth="1" max="13" min="13" style="30" width="19.6640625"/>
    <col customWidth="1" max="14" min="14" style="7" width="10.83203125"/>
    <col customWidth="1" max="15" min="15" style="96" width="21.83203125"/>
    <col customWidth="1" max="16" min="16" style="78" width="19.33203125"/>
    <col customWidth="1" max="17" min="17" style="155" width="16.6640625"/>
    <col customWidth="1" max="18" min="18" style="155" width="18.6640625"/>
    <col customWidth="1" max="19" min="19" style="99" width="23.6640625"/>
    <col bestFit="1" customWidth="1" max="20" min="20" style="155" width="12.6640625"/>
    <col customWidth="1" max="21" min="21" style="155" width="15.1640625"/>
    <col customWidth="1" max="22" min="22" style="99" width="19.1640625"/>
    <col bestFit="1" customWidth="1" max="24" min="23" style="155" width="20.33203125"/>
    <col customWidth="1" max="28" min="25" style="155" width="20.33203125"/>
    <col customWidth="1" max="29" min="29" style="117" width="20.33203125"/>
    <col customWidth="1" max="32" min="30" style="117" width="24.5"/>
    <col customWidth="1" max="33" min="33" style="155" width="10.83203125"/>
    <col customWidth="1" max="34" min="34" style="99" width="10.83203125"/>
    <col customWidth="1" max="35" min="35" style="101" width="10.83203125"/>
    <col customWidth="1" max="39" min="36" style="155" width="10.83203125"/>
  </cols>
  <sheetData>
    <row customFormat="1" r="1" s="127">
      <c r="A1" t="inlineStr">
        <is>
          <t>2023-02-17T00:00:00+08:00</t>
        </is>
      </c>
      <c r="C1" s="127" t="inlineStr">
        <is>
          <t>current</t>
        </is>
      </c>
      <c r="D1" s="4" t="inlineStr">
        <is>
          <t>lowest_y10</t>
        </is>
      </c>
      <c r="E1" s="28" t="inlineStr">
        <is>
          <t>falling_to_lowest_y10</t>
        </is>
      </c>
      <c r="F1" s="6" t="inlineStr">
        <is>
          <t>highest_y10</t>
        </is>
      </c>
      <c r="G1" s="5" t="inlineStr">
        <is>
          <t>rising_to_highest_y10</t>
        </is>
      </c>
      <c r="H1" s="5" t="inlineStr">
        <is>
          <t>rising_to_chance_y10_col</t>
        </is>
      </c>
      <c r="I1" s="5" t="inlineStr">
        <is>
          <t>rising_to_median_y10_col</t>
        </is>
      </c>
      <c r="J1" s="5" t="inlineStr">
        <is>
          <t>rising_to_risk_y10_col</t>
        </is>
      </c>
      <c r="K1" s="4" t="inlineStr">
        <is>
          <t>highest_to_lowest_y10</t>
        </is>
      </c>
      <c r="L1" s="8" t="inlineStr">
        <is>
          <t>lowest_y5</t>
        </is>
      </c>
      <c r="M1" s="31" t="inlineStr">
        <is>
          <t>falling_to_lowest_y5</t>
        </is>
      </c>
      <c r="N1" s="10" t="inlineStr">
        <is>
          <t>highest_y5</t>
        </is>
      </c>
      <c r="O1" s="9" t="inlineStr">
        <is>
          <t>rising_to_highest_y5</t>
        </is>
      </c>
      <c r="P1" s="8" t="inlineStr">
        <is>
          <t>highest_to_lowest_y5</t>
        </is>
      </c>
      <c r="Q1" s="127" t="inlineStr">
        <is>
          <t>roe_weighted</t>
        </is>
      </c>
      <c r="R1" s="127" t="inlineStr">
        <is>
          <t>roe_equal</t>
        </is>
      </c>
      <c r="S1" s="69" t="inlineStr">
        <is>
          <t>dividend(weighted/equal)</t>
        </is>
      </c>
      <c r="T1" s="127" t="inlineStr">
        <is>
          <t>close_point</t>
        </is>
      </c>
      <c r="U1" s="68" t="inlineStr">
        <is>
          <t>dividend ratio</t>
        </is>
      </c>
      <c r="V1" s="69" t="inlineStr">
        <is>
          <t>return</t>
        </is>
      </c>
      <c r="W1" s="127" t="inlineStr">
        <is>
          <t>3 yrs average return</t>
        </is>
      </c>
      <c r="X1" s="127" t="inlineStr">
        <is>
          <t>5yrs average return</t>
        </is>
      </c>
      <c r="Y1" s="127" t="inlineStr">
        <is>
          <t>1yrs worst return</t>
        </is>
      </c>
      <c r="Z1" s="127" t="inlineStr">
        <is>
          <t>position</t>
        </is>
      </c>
      <c r="AA1" s="127" t="inlineStr">
        <is>
          <t>worst loss</t>
        </is>
      </c>
      <c r="AB1" s="127" t="inlineStr">
        <is>
          <t>SUM</t>
        </is>
      </c>
      <c r="AC1" s="69" t="inlineStr">
        <is>
          <t>risk point</t>
        </is>
      </c>
      <c r="AD1" s="127" t="inlineStr">
        <is>
          <t>total worst loss</t>
        </is>
      </c>
      <c r="AE1" s="69" t="n"/>
      <c r="AF1" s="69" t="n"/>
      <c r="AH1" s="69" t="n"/>
      <c r="AI1" s="71" t="n"/>
    </row>
    <row customFormat="1" r="2" s="128">
      <c r="A2" s="33" t="inlineStr">
        <is>
          <t>上证50</t>
        </is>
      </c>
      <c r="B2" s="128" t="inlineStr">
        <is>
          <t>pe weighted</t>
        </is>
      </c>
      <c r="C2" s="159" t="n">
        <v>9.520222632508732</v>
      </c>
      <c r="D2" s="19" t="n">
        <v>6.939849715900098</v>
      </c>
      <c r="E2" s="29" t="n">
        <v>0.2710412367666095</v>
      </c>
      <c r="F2" s="19" t="n">
        <v>15.11080165085712</v>
      </c>
      <c r="G2" s="39" t="n">
        <v>0.5872319623343911</v>
      </c>
      <c r="H2" s="21" t="n">
        <v>-0.05464010595630642</v>
      </c>
      <c r="I2" s="21" t="n">
        <v>0.04767680896469639</v>
      </c>
      <c r="J2" s="21" t="n">
        <v>0.1973266430274085</v>
      </c>
      <c r="K2" s="19" t="n">
        <v>2.177396092056044</v>
      </c>
      <c r="L2" s="22" t="n">
        <v>8.312646034312261</v>
      </c>
      <c r="M2" s="32" t="n">
        <v>0.126843314994857</v>
      </c>
      <c r="N2" s="34" t="n">
        <v>15.11080165085712</v>
      </c>
      <c r="O2" s="24" t="n">
        <v>0.5872319623343911</v>
      </c>
      <c r="P2" s="25" t="n">
        <v>1.817808864768689</v>
      </c>
      <c r="Q2" s="35" t="n">
        <v>0.133457488349468</v>
      </c>
      <c r="R2" s="35" t="n">
        <v>0.146635743650923</v>
      </c>
      <c r="S2" s="36" t="n">
        <v>0.03825871980564995</v>
      </c>
      <c r="T2" t="n">
        <v>2714.29</v>
      </c>
      <c r="U2" s="117">
        <f>C2*S2</f>
        <v/>
      </c>
      <c r="V2" s="117">
        <f>(1+S2)*Q2*(1-U2)+S2</f>
        <v/>
      </c>
      <c r="W2" s="117">
        <f>V2+I2/3</f>
        <v/>
      </c>
      <c r="X2" s="117">
        <f>V2+I2/5</f>
        <v/>
      </c>
      <c r="Y2" s="117">
        <f>V2-E2</f>
        <v/>
      </c>
      <c r="Z2" s="100" t="n"/>
      <c r="AA2" s="100" t="n"/>
      <c r="AB2" s="100">
        <f>SUM(Z2:Z324)</f>
        <v/>
      </c>
      <c r="AC2" s="117">
        <f>SUM(AA2:AA325)/AB2</f>
        <v/>
      </c>
      <c r="AD2" s="76">
        <f>AB2*AC2</f>
        <v/>
      </c>
      <c r="AE2" s="117" t="n"/>
      <c r="AF2" s="117" t="n"/>
      <c r="AH2" s="27" t="n"/>
      <c r="AI2" s="58" t="n"/>
      <c r="AJ2" s="27" t="n"/>
      <c r="AK2" s="27" t="n"/>
      <c r="AM2" s="70" t="n"/>
      <c r="AN2" s="37" t="n"/>
      <c r="AO2" s="37" t="n"/>
      <c r="AP2" s="37" t="n"/>
      <c r="AS2" s="37" t="n"/>
      <c r="AU2" s="37" t="n"/>
      <c r="AW2" s="37" t="n"/>
      <c r="AX2" s="37" t="n"/>
      <c r="AY2" s="37" t="n"/>
      <c r="AZ2" s="37" t="n"/>
      <c r="BB2" s="37" t="n"/>
      <c r="BC2" s="37" t="n"/>
      <c r="BD2" s="37" t="n"/>
      <c r="BE2" s="37" t="n"/>
      <c r="BH2" s="37" t="n"/>
      <c r="BI2" s="37" t="n"/>
      <c r="BJ2" s="37" t="n"/>
      <c r="BL2" s="37" t="n"/>
      <c r="BM2" s="37" t="n"/>
      <c r="BN2" s="37" t="n"/>
      <c r="BO2" s="37" t="n"/>
      <c r="BQ2" s="37" t="n"/>
      <c r="BR2" s="37" t="n"/>
      <c r="BS2" s="37" t="n"/>
      <c r="BT2" s="37" t="n"/>
      <c r="BV2" s="37" t="n"/>
      <c r="BW2" s="37" t="n"/>
      <c r="BX2" s="37" t="n"/>
      <c r="BY2" s="37" t="n"/>
      <c r="CA2" s="37" t="n"/>
      <c r="CB2" s="37" t="n"/>
      <c r="CC2" s="37" t="n"/>
      <c r="CD2" s="37" t="n"/>
      <c r="CF2" s="37" t="n"/>
      <c r="CG2" s="37" t="n"/>
      <c r="CH2" s="37" t="n"/>
      <c r="CI2" s="37" t="n"/>
      <c r="CK2" s="37" t="n"/>
      <c r="CL2" s="37" t="n"/>
      <c r="CM2" s="37" t="n"/>
      <c r="CN2" s="37" t="n"/>
      <c r="CP2" s="37" t="n"/>
      <c r="CQ2" s="37" t="n"/>
      <c r="CR2" s="37" t="n"/>
      <c r="CS2" s="37" t="n"/>
      <c r="CU2" s="37" t="n"/>
      <c r="CV2" s="37" t="n"/>
      <c r="CW2" s="37" t="n"/>
      <c r="CX2" s="37" t="n"/>
      <c r="CZ2" s="37" t="n"/>
      <c r="DA2" s="37" t="n"/>
      <c r="DB2" s="37" t="n"/>
      <c r="DC2" s="37" t="n"/>
      <c r="DE2" s="37" t="n"/>
      <c r="DF2" s="37" t="n"/>
      <c r="DG2" s="37" t="n"/>
      <c r="DH2" s="37" t="n"/>
      <c r="DL2" s="37" t="n"/>
      <c r="DM2" s="37" t="n"/>
      <c r="DP2" s="37" t="n"/>
      <c r="DQ2" s="37" t="n"/>
      <c r="DR2" s="37" t="n"/>
    </row>
    <row customFormat="1" r="3" s="128">
      <c r="A3" s="128" t="inlineStr">
        <is>
          <t>000016</t>
        </is>
      </c>
      <c r="B3" s="128" t="inlineStr">
        <is>
          <t>pe equal</t>
        </is>
      </c>
      <c r="C3" s="159" t="n">
        <v>10.92656697586942</v>
      </c>
      <c r="D3" s="19" t="n">
        <v>9.578742980228741</v>
      </c>
      <c r="E3" s="29" t="n">
        <v>0.123352924904708</v>
      </c>
      <c r="F3" s="19" t="n">
        <v>19.70050410963026</v>
      </c>
      <c r="G3" s="39" t="n">
        <v>0.8029912005424462</v>
      </c>
      <c r="H3" s="21" t="n">
        <v>-0.01182163931730595</v>
      </c>
      <c r="I3" s="21" t="n">
        <v>0.102743008659985</v>
      </c>
      <c r="J3" s="21" t="n">
        <v>0.2787702592458801</v>
      </c>
      <c r="K3" s="19" t="n">
        <v>2.056689917486418</v>
      </c>
      <c r="L3" s="22" t="n">
        <v>9.707879874618206</v>
      </c>
      <c r="M3" s="32" t="n">
        <v>0.1115343093528466</v>
      </c>
      <c r="N3" s="34" t="n">
        <v>16.33489868140774</v>
      </c>
      <c r="O3" s="24" t="n">
        <v>0.4949708099060068</v>
      </c>
      <c r="P3" s="25" t="n">
        <v>1.68264326427403</v>
      </c>
      <c r="Q3" s="26" t="n"/>
      <c r="S3" s="27" t="n">
        <v>0.02940905198301591</v>
      </c>
      <c r="U3" s="117">
        <f>C3*S3</f>
        <v/>
      </c>
      <c r="V3" s="117">
        <f>(1+S3)*R2*(1-U3)+S3</f>
        <v/>
      </c>
      <c r="W3" s="117">
        <f>V3+I3/3</f>
        <v/>
      </c>
      <c r="X3" s="117">
        <f>V3+I3/5</f>
        <v/>
      </c>
      <c r="Y3" s="117">
        <f>V3-E3</f>
        <v/>
      </c>
      <c r="Z3" s="100" t="n"/>
      <c r="AA3" s="100" t="n"/>
      <c r="AB3" s="100" t="n"/>
      <c r="AC3" s="117" t="n"/>
      <c r="AD3" s="117" t="n"/>
      <c r="AE3" s="117" t="n"/>
      <c r="AF3" s="117" t="n"/>
      <c r="AH3" s="27" t="n"/>
      <c r="AI3" s="58" t="n"/>
    </row>
    <row customFormat="1" r="4" s="128">
      <c r="A4" s="128" t="inlineStr">
        <is>
          <t>2004-01-01T16:00:00.000Z</t>
        </is>
      </c>
      <c r="B4" s="128" t="inlineStr">
        <is>
          <t>pb weighted</t>
        </is>
      </c>
      <c r="C4" s="158" t="n">
        <v>1.270545001062376</v>
      </c>
      <c r="D4" s="19" t="n">
        <v>1.030019919220791</v>
      </c>
      <c r="E4" s="29" t="n">
        <v>0.1893085893380149</v>
      </c>
      <c r="F4" s="20" t="n">
        <v>2.067119667541717</v>
      </c>
      <c r="G4" s="39" t="n">
        <v>0.6269550986492252</v>
      </c>
      <c r="H4" s="21" t="n">
        <v>-0.07332114586024807</v>
      </c>
      <c r="I4" s="21" t="n">
        <v>-0.01186488150631171</v>
      </c>
      <c r="J4" s="21" t="n">
        <v>0.1052724325166894</v>
      </c>
      <c r="K4" s="19" t="n">
        <v>2.006873487558854</v>
      </c>
      <c r="L4" s="22" t="n">
        <v>1.030019919220791</v>
      </c>
      <c r="M4" s="32" t="n">
        <v>0.1893085893380149</v>
      </c>
      <c r="N4" s="23" t="n">
        <v>1.648165222279163</v>
      </c>
      <c r="O4" s="24" t="n">
        <v>0.2972112132203406</v>
      </c>
      <c r="P4" s="25" t="n">
        <v>1.600129464997142</v>
      </c>
      <c r="Q4" s="26" t="n"/>
      <c r="S4" s="27" t="n"/>
      <c r="V4" s="99" t="n"/>
      <c r="W4" s="117">
        <f>V2+I4/3</f>
        <v/>
      </c>
      <c r="X4" s="117">
        <f>V2+I4/5</f>
        <v/>
      </c>
      <c r="Y4" s="117">
        <f>V2-E4</f>
        <v/>
      </c>
      <c r="Z4" s="100" t="n"/>
      <c r="AA4" s="100" t="n"/>
      <c r="AB4" s="100" t="n"/>
      <c r="AC4" s="117" t="n"/>
      <c r="AD4" s="117" t="n"/>
      <c r="AE4" s="117" t="n"/>
      <c r="AF4" s="117" t="n"/>
      <c r="AH4" s="27" t="n"/>
      <c r="AI4" s="58" t="n"/>
    </row>
    <row customFormat="1" r="5" s="128">
      <c r="A5" s="128" t="n">
        <v>2.49</v>
      </c>
      <c r="B5" s="128" t="inlineStr">
        <is>
          <t>pb equal</t>
        </is>
      </c>
      <c r="C5" s="158" t="n">
        <v>1.60222527405823</v>
      </c>
      <c r="D5" s="19" t="n">
        <v>1.21700295907771</v>
      </c>
      <c r="E5" s="29" t="n">
        <v>0.240429558325966</v>
      </c>
      <c r="F5" s="20" t="n">
        <v>2.785034658730494</v>
      </c>
      <c r="G5" s="39" t="n">
        <v>0.7382291390750317</v>
      </c>
      <c r="H5" s="21" t="n">
        <v>-0.1306083959298284</v>
      </c>
      <c r="I5" s="21" t="n">
        <v>-0.05991313391526121</v>
      </c>
      <c r="J5" s="21" t="n">
        <v>0.02557579346717875</v>
      </c>
      <c r="K5" s="19" t="n">
        <v>2.288437047713587</v>
      </c>
      <c r="L5" s="22" t="n">
        <v>1.21700295907771</v>
      </c>
      <c r="M5" s="32" t="n">
        <v>0.240429558325966</v>
      </c>
      <c r="N5" s="23" t="n">
        <v>1.736396425472542</v>
      </c>
      <c r="O5" s="24" t="n">
        <v>0.08374050365244434</v>
      </c>
      <c r="P5" s="25" t="n">
        <v>1.426780775281309</v>
      </c>
      <c r="S5" s="27" t="n"/>
      <c r="V5" s="99" t="n"/>
      <c r="W5" s="117">
        <f>V3+I5/3</f>
        <v/>
      </c>
      <c r="X5" s="117">
        <f>V3+I5/5</f>
        <v/>
      </c>
      <c r="Y5" s="117">
        <f>V3-E5</f>
        <v/>
      </c>
      <c r="Z5" s="100" t="n"/>
      <c r="AA5" s="100" t="n"/>
      <c r="AB5" s="100" t="n"/>
      <c r="AC5" s="117" t="n"/>
      <c r="AD5" s="117" t="n"/>
      <c r="AE5" s="117" t="n"/>
      <c r="AF5" s="117" t="n"/>
      <c r="AH5" s="27" t="n"/>
      <c r="AI5" s="58" t="n"/>
    </row>
    <row r="6">
      <c r="C6" s="1" t="n"/>
      <c r="D6" s="88" t="n"/>
      <c r="K6" s="88" t="n"/>
      <c r="L6" s="93" t="n"/>
      <c r="M6" s="94" t="n"/>
      <c r="N6" s="95" t="n"/>
      <c r="P6" s="97" t="n"/>
    </row>
    <row customFormat="1" r="7" s="128">
      <c r="A7" s="33" t="inlineStr">
        <is>
          <t>沪深300</t>
        </is>
      </c>
      <c r="B7" s="128" t="inlineStr">
        <is>
          <t>pe weighted</t>
        </is>
      </c>
      <c r="C7" s="159" t="n">
        <v>11.75772578884165</v>
      </c>
      <c r="D7" s="19" t="n">
        <v>8.011307841795849</v>
      </c>
      <c r="E7" s="29" t="n">
        <v>0.3186345739242563</v>
      </c>
      <c r="F7" s="20" t="n">
        <v>19.01219329481535</v>
      </c>
      <c r="G7" s="39" t="n">
        <v>0.6169958065239418</v>
      </c>
      <c r="H7" s="21" t="n">
        <v>-0.08199090427816424</v>
      </c>
      <c r="I7" s="21" t="n">
        <v>0.05113708041317055</v>
      </c>
      <c r="J7" s="21" t="n">
        <v>0.1975279064991899</v>
      </c>
      <c r="K7" s="19" t="n">
        <v>2.373169733364471</v>
      </c>
      <c r="L7" s="22" t="n">
        <v>10.07994741101024</v>
      </c>
      <c r="M7" s="32" t="n">
        <v>0.1426958246826658</v>
      </c>
      <c r="N7" s="23" t="n">
        <v>17.62788723026891</v>
      </c>
      <c r="O7" s="24" t="n">
        <v>0.4992599374105302</v>
      </c>
      <c r="P7" s="25" t="n">
        <v>1.748807460147472</v>
      </c>
      <c r="Q7" s="26" t="n">
        <v>0.1178994662198077</v>
      </c>
      <c r="R7" s="26" t="n">
        <v>0.1114607534272416</v>
      </c>
      <c r="S7" s="27" t="n">
        <v>0.02967665708036483</v>
      </c>
      <c r="T7" t="n">
        <v>4034.51</v>
      </c>
      <c r="U7" s="117">
        <f>C7*S7</f>
        <v/>
      </c>
      <c r="V7" s="117">
        <f>(1+S7)*Q7*(1-U7)+S7</f>
        <v/>
      </c>
      <c r="W7" s="117">
        <f>V7+I7/3</f>
        <v/>
      </c>
      <c r="X7" s="117">
        <f>V7+I7/5</f>
        <v/>
      </c>
      <c r="Y7" s="117">
        <f>V7-E7</f>
        <v/>
      </c>
      <c r="Z7" s="100" t="n"/>
      <c r="AA7" s="100" t="n"/>
      <c r="AB7" s="100" t="n"/>
      <c r="AC7" s="117" t="n"/>
      <c r="AD7" s="117" t="n"/>
      <c r="AE7" s="117" t="n"/>
      <c r="AF7" s="117" t="n"/>
      <c r="AH7" s="27" t="n"/>
      <c r="AI7" s="58" t="n"/>
    </row>
    <row customFormat="1" customHeight="1" ht="17" r="8" s="128">
      <c r="A8" s="128" t="inlineStr">
        <is>
          <t>000300</t>
        </is>
      </c>
      <c r="B8" s="129" t="inlineStr">
        <is>
          <t>pe equal</t>
        </is>
      </c>
      <c r="C8" s="160" t="n">
        <v>15.88901792058081</v>
      </c>
      <c r="D8" s="19" t="n">
        <v>13.65323138420666</v>
      </c>
      <c r="E8" s="29" t="n">
        <v>0.1407126952433086</v>
      </c>
      <c r="F8" s="20" t="n">
        <v>36.41282603347769</v>
      </c>
      <c r="G8" s="39" t="n">
        <v>1.291697713193003</v>
      </c>
      <c r="H8" s="21" t="n">
        <v>0.02690833799858483</v>
      </c>
      <c r="I8" s="21" t="n">
        <v>0.1738324013679076</v>
      </c>
      <c r="J8" s="21" t="n">
        <v>0.4528970406570301</v>
      </c>
      <c r="K8" s="19" t="n">
        <v>2.666974945989573</v>
      </c>
      <c r="L8" s="22" t="n">
        <v>13.65323138420666</v>
      </c>
      <c r="M8" s="32" t="n">
        <v>0.1407126952433086</v>
      </c>
      <c r="N8" s="23" t="n">
        <v>23.38156258326949</v>
      </c>
      <c r="O8" s="24" t="n">
        <v>0.4715549255554488</v>
      </c>
      <c r="P8" s="25" t="n">
        <v>1.712529578185869</v>
      </c>
      <c r="Q8" s="26" t="n"/>
      <c r="R8" s="26" t="n"/>
      <c r="S8" s="27" t="n">
        <v>0.02040450644248337</v>
      </c>
      <c r="U8" s="117">
        <f>C8*S8</f>
        <v/>
      </c>
      <c r="V8" s="117">
        <f>(1+S8)*R7*(1-U8)+S8</f>
        <v/>
      </c>
      <c r="W8" s="117">
        <f>V8+I8/3</f>
        <v/>
      </c>
      <c r="X8" s="117">
        <f>V8+I8/5</f>
        <v/>
      </c>
      <c r="Y8" s="117">
        <f>V8-E8</f>
        <v/>
      </c>
      <c r="Z8" s="100" t="n"/>
      <c r="AA8" s="100" t="n"/>
      <c r="AB8" s="100" t="n"/>
      <c r="AC8" s="117" t="n"/>
      <c r="AD8" s="117" t="n"/>
      <c r="AE8" s="117" t="n"/>
      <c r="AF8" s="117" t="n"/>
      <c r="AH8" s="27" t="n"/>
      <c r="AI8" s="58" t="n"/>
    </row>
    <row customFormat="1" r="9" s="128">
      <c r="A9" s="128" t="inlineStr">
        <is>
          <t>2005-04-07T16:00:00.000Z</t>
        </is>
      </c>
      <c r="B9" s="128" t="inlineStr">
        <is>
          <t>pb weighted</t>
        </is>
      </c>
      <c r="C9" s="159" t="n">
        <v>1.386229594463297</v>
      </c>
      <c r="D9" s="19" t="n">
        <v>1.170066885588457</v>
      </c>
      <c r="E9" s="29" t="n">
        <v>0.1559357192619538</v>
      </c>
      <c r="F9" s="20" t="n">
        <v>2.530007995933097</v>
      </c>
      <c r="G9" s="39" t="n">
        <v>0.8251002619177474</v>
      </c>
      <c r="H9" s="21" t="n">
        <v>-0.01426980258689414</v>
      </c>
      <c r="I9" s="21" t="n">
        <v>0.08439653596324459</v>
      </c>
      <c r="J9" s="21" t="n">
        <v>0.2139386261962983</v>
      </c>
      <c r="K9" s="19" t="n">
        <v>2.162276385303128</v>
      </c>
      <c r="L9" s="22" t="n">
        <v>1.203285238026119</v>
      </c>
      <c r="M9" s="32" t="n">
        <v>0.1319726235595252</v>
      </c>
      <c r="N9" s="23" t="n">
        <v>1.92284943185633</v>
      </c>
      <c r="O9" s="24" t="n">
        <v>0.3871074745022987</v>
      </c>
      <c r="P9" s="25" t="n">
        <v>1.597999685436672</v>
      </c>
      <c r="Q9" s="26" t="n"/>
      <c r="R9" s="26" t="n"/>
      <c r="S9" s="27" t="n"/>
      <c r="V9" s="99" t="n"/>
      <c r="W9" s="117">
        <f>V7+I9/3</f>
        <v/>
      </c>
      <c r="X9" s="117">
        <f>V7+I9/5</f>
        <v/>
      </c>
      <c r="Y9" s="117">
        <f>V7-E9</f>
        <v/>
      </c>
      <c r="Z9" s="100" t="n"/>
      <c r="AA9" s="100" t="n"/>
      <c r="AB9" s="100" t="n"/>
      <c r="AC9" s="117" t="n"/>
      <c r="AD9" s="117" t="n"/>
      <c r="AE9" s="117" t="n"/>
      <c r="AF9" s="117" t="n"/>
      <c r="AH9" s="27" t="n"/>
      <c r="AI9" s="58" t="n"/>
    </row>
    <row customFormat="1" r="10" s="128">
      <c r="A10" s="128" t="n">
        <v>2.66</v>
      </c>
      <c r="B10" s="128" t="inlineStr">
        <is>
          <t>pb equal</t>
        </is>
      </c>
      <c r="C10" s="159" t="n">
        <v>1.771001908646882</v>
      </c>
      <c r="D10" s="19" t="n">
        <v>1.476537426433681</v>
      </c>
      <c r="E10" s="29" t="n">
        <v>0.1662699970990904</v>
      </c>
      <c r="F10" s="20" t="n">
        <v>4.014765315865202</v>
      </c>
      <c r="G10" s="39" t="n">
        <v>1.266945787163295</v>
      </c>
      <c r="H10" s="21" t="n">
        <v>-0.04041736100437809</v>
      </c>
      <c r="I10" s="21" t="n">
        <v>0.07159174330331153</v>
      </c>
      <c r="J10" s="21" t="n">
        <v>0.2680830249509623</v>
      </c>
      <c r="K10" s="19" t="n">
        <v>2.719040671770961</v>
      </c>
      <c r="L10" s="22" t="n">
        <v>1.476537426433681</v>
      </c>
      <c r="M10" s="32" t="n">
        <v>0.1662699970990904</v>
      </c>
      <c r="N10" s="23" t="n">
        <v>2.167139531255937</v>
      </c>
      <c r="O10" s="24" t="n">
        <v>0.2236799523901818</v>
      </c>
      <c r="P10" s="25" t="n">
        <v>1.467717304322103</v>
      </c>
      <c r="Q10" s="26" t="n"/>
      <c r="R10" s="26" t="n"/>
      <c r="S10" s="27" t="n"/>
      <c r="V10" s="99" t="n"/>
      <c r="W10" s="117">
        <f>V8+I10/3</f>
        <v/>
      </c>
      <c r="X10" s="117">
        <f>V8+I10/5</f>
        <v/>
      </c>
      <c r="Y10" s="117">
        <f>V8-E10</f>
        <v/>
      </c>
      <c r="Z10" s="100" t="n"/>
      <c r="AA10" s="100" t="n"/>
      <c r="AB10" s="100" t="n"/>
      <c r="AC10" s="117" t="n"/>
      <c r="AD10" s="117" t="n"/>
      <c r="AE10" s="117" t="n"/>
      <c r="AF10" s="117" t="n"/>
      <c r="AH10" s="27" t="n"/>
      <c r="AI10" s="58" t="n"/>
    </row>
    <row r="11">
      <c r="C11" s="1" t="n"/>
      <c r="D11" s="88" t="n"/>
      <c r="K11" s="88" t="n"/>
      <c r="L11" s="93" t="n"/>
      <c r="M11" s="94" t="n"/>
      <c r="N11" s="95" t="n"/>
      <c r="P11" s="97" t="n"/>
      <c r="Q11" s="98" t="n"/>
      <c r="R11" s="98" t="n"/>
    </row>
    <row customFormat="1" r="12" s="128">
      <c r="A12" s="128" t="inlineStr">
        <is>
          <t>中证200</t>
        </is>
      </c>
      <c r="B12" s="128" t="inlineStr">
        <is>
          <t>pe weighted</t>
        </is>
      </c>
      <c r="C12" s="160" t="n">
        <v>15.71457428461909</v>
      </c>
      <c r="D12" s="19" t="n">
        <v>11.94737839032659</v>
      </c>
      <c r="E12" s="29" t="n">
        <v>0.2397262455897204</v>
      </c>
      <c r="F12" s="20" t="n">
        <v>52.14850409428738</v>
      </c>
      <c r="G12" s="39" t="n">
        <v>2.318480230503515</v>
      </c>
      <c r="H12" s="21" t="n">
        <v>0.003263912724688955</v>
      </c>
      <c r="I12" s="21" t="n">
        <v>0.2172438615384986</v>
      </c>
      <c r="J12" s="21" t="n">
        <v>0.5314432508752369</v>
      </c>
      <c r="K12" s="19" t="n">
        <v>4.364849123428647</v>
      </c>
      <c r="L12" s="22" t="n">
        <v>11.94737839032659</v>
      </c>
      <c r="M12" s="32" t="n">
        <v>0.2397262455897204</v>
      </c>
      <c r="N12" s="23" t="n">
        <v>23.38500479095891</v>
      </c>
      <c r="O12" s="24" t="n">
        <v>0.4881093415204627</v>
      </c>
      <c r="P12" s="25" t="n">
        <v>1.957333569504503</v>
      </c>
      <c r="Q12" s="26" t="n">
        <v>0.09734949259330385</v>
      </c>
      <c r="R12" s="26" t="n">
        <v>0.09591844246784381</v>
      </c>
      <c r="S12" s="27" t="n">
        <v>0.02411112525705873</v>
      </c>
      <c r="T12" s="128" t="n">
        <v>4727.61</v>
      </c>
      <c r="U12" s="36">
        <f>C12*S12</f>
        <v/>
      </c>
      <c r="V12" s="36">
        <f>(1+S12)*Q12*(1-U12)+S12</f>
        <v/>
      </c>
      <c r="W12" s="36">
        <f>V12+I12/3</f>
        <v/>
      </c>
      <c r="X12" s="36">
        <f>V12+I12/5</f>
        <v/>
      </c>
      <c r="Y12" s="36">
        <f>V12-E12</f>
        <v/>
      </c>
      <c r="Z12" s="75" t="n"/>
      <c r="AA12" s="75" t="n"/>
      <c r="AB12" s="75" t="n"/>
      <c r="AC12" s="36" t="n"/>
      <c r="AD12" s="36" t="n"/>
      <c r="AE12" s="36" t="n"/>
      <c r="AF12" s="36" t="n"/>
      <c r="AH12" s="27" t="n"/>
      <c r="AI12" s="58" t="n"/>
    </row>
    <row customFormat="1" customHeight="1" ht="17" r="13" s="128">
      <c r="A13" s="128" t="inlineStr">
        <is>
          <t>000904</t>
        </is>
      </c>
      <c r="B13" s="128" t="inlineStr">
        <is>
          <t>pe equal</t>
        </is>
      </c>
      <c r="C13" s="160" t="n">
        <v>20.30670235953519</v>
      </c>
      <c r="D13" s="19" t="n">
        <v>15.10157721677782</v>
      </c>
      <c r="E13" s="29" t="n">
        <v>0.2563254757271438</v>
      </c>
      <c r="F13" s="20" t="n">
        <v>53.60564197214831</v>
      </c>
      <c r="G13" s="39" t="n">
        <v>1.639800447312771</v>
      </c>
      <c r="H13" s="21" t="n">
        <v>0.002275869994704971</v>
      </c>
      <c r="I13" s="21" t="n">
        <v>0.1931426097864168</v>
      </c>
      <c r="J13" s="21" t="n">
        <v>0.4911594342151937</v>
      </c>
      <c r="K13" s="19" t="n">
        <v>3.549671746378422</v>
      </c>
      <c r="L13" s="22" t="n">
        <v>15.10157721677782</v>
      </c>
      <c r="M13" s="32" t="n">
        <v>0.2563254757271438</v>
      </c>
      <c r="N13" s="23" t="n">
        <v>35.09085319109913</v>
      </c>
      <c r="O13" s="24" t="n">
        <v>0.7280429175454926</v>
      </c>
      <c r="P13" s="25" t="n">
        <v>2.323654853223759</v>
      </c>
      <c r="Q13" s="26" t="n"/>
      <c r="R13" s="26" t="n"/>
      <c r="S13" s="27" t="n">
        <v>0.01715401129069955</v>
      </c>
      <c r="U13" s="36">
        <f>C13*S13</f>
        <v/>
      </c>
      <c r="V13" s="36">
        <f>(1+S13)*R12*(1-U13)+S13</f>
        <v/>
      </c>
      <c r="W13" s="36">
        <f>V13+I13/3</f>
        <v/>
      </c>
      <c r="X13" s="36">
        <f>V13+I13/5</f>
        <v/>
      </c>
      <c r="Y13" s="36">
        <f>V13-E13</f>
        <v/>
      </c>
      <c r="Z13" s="75" t="n"/>
      <c r="AA13" s="75" t="n"/>
      <c r="AB13" s="75" t="n"/>
      <c r="AC13" s="36" t="n"/>
      <c r="AD13" s="36" t="n"/>
      <c r="AE13" s="36" t="n"/>
      <c r="AF13" s="36" t="n"/>
      <c r="AH13" s="27" t="n"/>
      <c r="AI13" s="58" t="n"/>
    </row>
    <row customFormat="1" r="14" s="128">
      <c r="A14" s="128" t="inlineStr">
        <is>
          <t>2007-01-14T16:00:00.000Z</t>
        </is>
      </c>
      <c r="B14" s="128" t="inlineStr">
        <is>
          <t>pb weighted</t>
        </is>
      </c>
      <c r="C14" s="160" t="n">
        <v>1.529805832927449</v>
      </c>
      <c r="D14" s="19" t="n">
        <v>1.325791692683778</v>
      </c>
      <c r="E14" s="29" t="n">
        <v>0.1333594995211044</v>
      </c>
      <c r="F14" s="20" t="n">
        <v>5.005453774071278</v>
      </c>
      <c r="G14" s="39" t="n">
        <v>2.271953646883932</v>
      </c>
      <c r="H14" s="21" t="n">
        <v>0.1299581623439001</v>
      </c>
      <c r="I14" s="21" t="n">
        <v>0.3326381282499631</v>
      </c>
      <c r="J14" s="21" t="n">
        <v>0.4607121534026963</v>
      </c>
      <c r="K14" s="19" t="n">
        <v>3.775445118334405</v>
      </c>
      <c r="L14" s="22" t="n">
        <v>1.325791692683778</v>
      </c>
      <c r="M14" s="32" t="n">
        <v>0.1333594995211044</v>
      </c>
      <c r="N14" s="23" t="n">
        <v>2.340650554608257</v>
      </c>
      <c r="O14" s="24" t="n">
        <v>0.5300311348200111</v>
      </c>
      <c r="P14" s="25" t="n">
        <v>1.765473842930873</v>
      </c>
      <c r="Q14" s="26" t="n"/>
      <c r="R14" s="26" t="n"/>
      <c r="S14" s="27" t="n"/>
      <c r="V14" s="27" t="n"/>
      <c r="W14" s="36">
        <f>V12+I14/3</f>
        <v/>
      </c>
      <c r="X14" s="36">
        <f>V12+I14/5</f>
        <v/>
      </c>
      <c r="Y14" s="36">
        <f>V12-E14</f>
        <v/>
      </c>
      <c r="Z14" s="75" t="n"/>
      <c r="AA14" s="75" t="n"/>
      <c r="AB14" s="75" t="n"/>
      <c r="AC14" s="36" t="n"/>
      <c r="AD14" s="36" t="n"/>
      <c r="AE14" s="36" t="n"/>
      <c r="AF14" s="36" t="n"/>
      <c r="AH14" s="27" t="n"/>
      <c r="AI14" s="58" t="n"/>
    </row>
    <row customFormat="1" r="15" s="128">
      <c r="A15" s="128" t="n">
        <v>2.93</v>
      </c>
      <c r="B15" s="128" t="inlineStr">
        <is>
          <t>pb equal</t>
        </is>
      </c>
      <c r="C15" s="159" t="n">
        <v>1.947787261984704</v>
      </c>
      <c r="D15" s="19" t="n">
        <v>1.507960004052607</v>
      </c>
      <c r="E15" s="29" t="n">
        <v>0.2258086735221451</v>
      </c>
      <c r="F15" s="20" t="n">
        <v>4.862517331565622</v>
      </c>
      <c r="G15" s="39" t="n">
        <v>1.496431425786687</v>
      </c>
      <c r="H15" s="21" t="n">
        <v>-0.04770298406810058</v>
      </c>
      <c r="I15" s="21" t="n">
        <v>0.1021847012010071</v>
      </c>
      <c r="J15" s="21" t="n">
        <v>0.291454409234756</v>
      </c>
      <c r="K15" s="19" t="n">
        <v>3.224566512704395</v>
      </c>
      <c r="L15" s="22" t="n">
        <v>1.507960004052607</v>
      </c>
      <c r="M15" s="32" t="n">
        <v>0.2258086735221451</v>
      </c>
      <c r="N15" s="23" t="n">
        <v>2.585111291218686</v>
      </c>
      <c r="O15" s="24" t="n">
        <v>0.3272041262784409</v>
      </c>
      <c r="P15" s="25" t="n">
        <v>1.714310249788628</v>
      </c>
      <c r="Q15" s="26" t="n"/>
      <c r="R15" s="26" t="n"/>
      <c r="S15" s="27" t="n"/>
      <c r="V15" s="27" t="n"/>
      <c r="W15" s="36">
        <f>V13+I15/3</f>
        <v/>
      </c>
      <c r="X15" s="36">
        <f>V13+I15/5</f>
        <v/>
      </c>
      <c r="Y15" s="36">
        <f>V13-E15</f>
        <v/>
      </c>
      <c r="Z15" s="75" t="n"/>
      <c r="AA15" s="75" t="n"/>
      <c r="AB15" s="75" t="n"/>
      <c r="AC15" s="36" t="n"/>
      <c r="AD15" s="36" t="n"/>
      <c r="AE15" s="36" t="n"/>
      <c r="AF15" s="36" t="n"/>
      <c r="AH15" s="27" t="n"/>
      <c r="AI15" s="58" t="n"/>
    </row>
    <row r="16">
      <c r="C16" s="1" t="n"/>
      <c r="D16" s="88" t="n"/>
      <c r="K16" s="88" t="n"/>
      <c r="L16" s="93" t="n"/>
      <c r="M16" s="94" t="n"/>
      <c r="N16" s="95" t="n"/>
      <c r="P16" s="97" t="n"/>
      <c r="Q16" s="98" t="n"/>
      <c r="R16" s="98" t="n"/>
    </row>
    <row customFormat="1" r="17" s="128">
      <c r="A17" s="128" t="inlineStr">
        <is>
          <t>中证500</t>
        </is>
      </c>
      <c r="B17" s="128" t="inlineStr">
        <is>
          <t>pe weighted</t>
        </is>
      </c>
      <c r="C17" s="159" t="n">
        <v>24.02899518370467</v>
      </c>
      <c r="D17" s="19" t="n">
        <v>15.70277159982329</v>
      </c>
      <c r="E17" s="29" t="n">
        <v>0.3465073558101937</v>
      </c>
      <c r="F17" s="20" t="n">
        <v>81.43928125748197</v>
      </c>
      <c r="G17" s="39" t="n">
        <v>2.389208771938588</v>
      </c>
      <c r="H17" s="21" t="n">
        <v>-0.07297899381792672</v>
      </c>
      <c r="I17" s="21" t="n">
        <v>0.1977815000768142</v>
      </c>
      <c r="J17" s="21" t="n">
        <v>0.7360457487853904</v>
      </c>
      <c r="K17" s="19" t="n">
        <v>5.186299803176048</v>
      </c>
      <c r="L17" s="22" t="n">
        <v>15.70277159982329</v>
      </c>
      <c r="M17" s="32" t="n">
        <v>0.3465073558101937</v>
      </c>
      <c r="N17" s="23" t="n">
        <v>34.51762647391482</v>
      </c>
      <c r="O17" s="24" t="n">
        <v>0.4364989551174843</v>
      </c>
      <c r="P17" s="25" t="n">
        <v>2.198186877678541</v>
      </c>
      <c r="Q17" s="26" t="n">
        <v>0.07429444076515128</v>
      </c>
      <c r="R17" s="26" t="n">
        <v>0.0579321824779967</v>
      </c>
      <c r="S17" s="27" t="n">
        <v>0.01770098031454672</v>
      </c>
      <c r="T17" s="128" t="n">
        <v>6237.41</v>
      </c>
      <c r="U17" s="117">
        <f>C17*S17</f>
        <v/>
      </c>
      <c r="V17" s="117">
        <f>(1+S17)*Q17*(1-U17)+S17</f>
        <v/>
      </c>
      <c r="W17" s="102">
        <f>V17+I17/3</f>
        <v/>
      </c>
      <c r="X17" s="117">
        <f>V17+I17/5</f>
        <v/>
      </c>
      <c r="Y17" s="117">
        <f>V17-E17</f>
        <v/>
      </c>
      <c r="Z17" s="100" t="n">
        <v>15.6</v>
      </c>
      <c r="AA17" s="76">
        <f>Z17*E19</f>
        <v/>
      </c>
      <c r="AB17" s="100" t="n"/>
      <c r="AC17" s="117" t="n"/>
      <c r="AD17" s="36" t="n"/>
      <c r="AE17" s="117" t="n"/>
      <c r="AF17" s="117" t="n"/>
      <c r="AH17" s="27" t="n"/>
      <c r="AI17" s="58" t="n"/>
    </row>
    <row customFormat="1" r="18" s="128">
      <c r="A18" s="128" t="inlineStr">
        <is>
          <t>000905</t>
        </is>
      </c>
      <c r="B18" s="129" t="inlineStr">
        <is>
          <t>pe equal</t>
        </is>
      </c>
      <c r="C18" s="159" t="n">
        <v>28.03564621731585</v>
      </c>
      <c r="D18" s="19" t="n">
        <v>16.88893345298814</v>
      </c>
      <c r="E18" s="29" t="n">
        <v>0.3975907199686051</v>
      </c>
      <c r="F18" s="20" t="n">
        <v>144.153146997768</v>
      </c>
      <c r="G18" s="39" t="n">
        <v>4.141780784376346</v>
      </c>
      <c r="H18" s="21" t="n">
        <v>-0.1173104642848878</v>
      </c>
      <c r="I18" s="21" t="n">
        <v>0.1041734426143706</v>
      </c>
      <c r="J18" s="21" t="n">
        <v>0.5590226668677551</v>
      </c>
      <c r="K18" s="19" t="n">
        <v>8.535361181866886</v>
      </c>
      <c r="L18" s="22" t="n">
        <v>16.88893345298814</v>
      </c>
      <c r="M18" s="32" t="n">
        <v>0.3975907199686051</v>
      </c>
      <c r="N18" s="23" t="n">
        <v>144.153146997768</v>
      </c>
      <c r="O18" s="24" t="n">
        <v>4.141780784376346</v>
      </c>
      <c r="P18" s="25" t="n">
        <v>8.535361181866886</v>
      </c>
      <c r="Q18" s="26" t="n"/>
      <c r="R18" s="26" t="n"/>
      <c r="S18" s="27" t="n">
        <v>0.01846908053719938</v>
      </c>
      <c r="U18" s="117">
        <f>C18*S18</f>
        <v/>
      </c>
      <c r="V18" s="117">
        <f>(1+S18)*R17*(1-U18)+S18</f>
        <v/>
      </c>
      <c r="W18" s="117">
        <f>V18+I18/3</f>
        <v/>
      </c>
      <c r="X18" s="117">
        <f>V18+I18/5</f>
        <v/>
      </c>
      <c r="Y18" s="117">
        <f>V18-E18</f>
        <v/>
      </c>
      <c r="Z18" s="100" t="n"/>
      <c r="AA18" s="117">
        <f>AA17/($AB$2)</f>
        <v/>
      </c>
      <c r="AB18" s="100" t="n"/>
      <c r="AC18" s="117" t="n"/>
      <c r="AD18" s="117" t="n"/>
      <c r="AE18" s="117" t="n"/>
      <c r="AF18" s="117" t="n"/>
      <c r="AH18" s="27" t="n"/>
      <c r="AI18" s="58" t="n"/>
    </row>
    <row customFormat="1" r="19" s="128">
      <c r="A19" s="128" t="inlineStr">
        <is>
          <t>2007-01-14T16:00:00.000Z</t>
        </is>
      </c>
      <c r="B19" s="128" t="inlineStr">
        <is>
          <t>pb weighted</t>
        </is>
      </c>
      <c r="C19" s="160" t="n">
        <v>1.785220759321852</v>
      </c>
      <c r="D19" s="19" t="n">
        <v>1.443837886609814</v>
      </c>
      <c r="E19" s="29" t="n">
        <v>0.1912272591103624</v>
      </c>
      <c r="F19" s="20" t="n">
        <v>5.864903495168779</v>
      </c>
      <c r="G19" s="39" t="n">
        <v>2.28525391862274</v>
      </c>
      <c r="H19" s="21" t="n">
        <v>0.02607444610540566</v>
      </c>
      <c r="I19" s="21" t="n">
        <v>0.2544897384522429</v>
      </c>
      <c r="J19" s="21" t="n">
        <v>0.5987352069989405</v>
      </c>
      <c r="K19" s="19" t="n">
        <v>4.062023548183649</v>
      </c>
      <c r="L19" s="22" t="n">
        <v>1.443837886609814</v>
      </c>
      <c r="M19" s="32" t="n">
        <v>0.1912272591103624</v>
      </c>
      <c r="N19" s="23" t="n">
        <v>2.477543482095258</v>
      </c>
      <c r="O19" s="24" t="n">
        <v>0.3878079050774632</v>
      </c>
      <c r="P19" s="25" t="n">
        <v>1.715942977443696</v>
      </c>
      <c r="Q19" s="26" t="n"/>
      <c r="R19" s="26" t="n"/>
      <c r="S19" s="27" t="n"/>
      <c r="V19" s="99" t="n"/>
      <c r="W19" s="102">
        <f>V17+I19/3</f>
        <v/>
      </c>
      <c r="X19" s="117">
        <f>V17+I19/5</f>
        <v/>
      </c>
      <c r="Y19" s="117">
        <f>V17-E19</f>
        <v/>
      </c>
      <c r="Z19" s="100" t="n"/>
      <c r="AA19" s="100" t="n"/>
      <c r="AB19" s="100" t="n"/>
      <c r="AC19" s="117" t="n"/>
      <c r="AD19" s="117" t="n"/>
      <c r="AE19" s="117" t="n"/>
      <c r="AF19" s="117" t="n"/>
      <c r="AH19" s="27" t="n"/>
      <c r="AI19" s="58" t="n"/>
    </row>
    <row customFormat="1" r="20" s="128">
      <c r="A20" s="128" t="n">
        <v>3.41</v>
      </c>
      <c r="B20" s="128" t="inlineStr">
        <is>
          <t>pb equal</t>
        </is>
      </c>
      <c r="C20" s="159" t="n">
        <v>1.6241661725501</v>
      </c>
      <c r="D20" s="19" t="n">
        <v>1.345826177367811</v>
      </c>
      <c r="E20" s="29" t="n">
        <v>0.171374087138675</v>
      </c>
      <c r="F20" s="20" t="n">
        <v>5.485663354670264</v>
      </c>
      <c r="G20" s="39" t="n">
        <v>2.377525925230444</v>
      </c>
      <c r="H20" s="21" t="n">
        <v>-0.000352778055679237</v>
      </c>
      <c r="I20" s="21" t="n">
        <v>0.2270647490155639</v>
      </c>
      <c r="J20" s="21" t="n">
        <v>0.6752027404409919</v>
      </c>
      <c r="K20" s="19" t="n">
        <v>4.076056363682282</v>
      </c>
      <c r="L20" s="22" t="n">
        <v>1.345826177367811</v>
      </c>
      <c r="M20" s="32" t="n">
        <v>0.171374087138675</v>
      </c>
      <c r="N20" s="23" t="n">
        <v>2.297699851190654</v>
      </c>
      <c r="O20" s="24" t="n">
        <v>0.4146950540061058</v>
      </c>
      <c r="P20" s="25" t="n">
        <v>1.707278317088863</v>
      </c>
      <c r="Q20" s="26" t="n"/>
      <c r="R20" s="26" t="n"/>
      <c r="S20" s="27" t="n"/>
      <c r="T20" s="58">
        <f>T17/C19</f>
        <v/>
      </c>
      <c r="U20" s="58" t="n"/>
      <c r="V20" s="58">
        <f>T17/C17</f>
        <v/>
      </c>
      <c r="W20" s="117">
        <f>V18+I20/3</f>
        <v/>
      </c>
      <c r="X20" s="117">
        <f>V18+I20/5</f>
        <v/>
      </c>
      <c r="Y20" s="117">
        <f>V18-E20</f>
        <v/>
      </c>
      <c r="Z20" s="100" t="n"/>
      <c r="AA20" s="100" t="n"/>
      <c r="AB20" s="100" t="n"/>
      <c r="AC20" s="117" t="n"/>
      <c r="AD20" s="117" t="n"/>
      <c r="AE20" s="117" t="n"/>
      <c r="AF20" s="117" t="n"/>
      <c r="AH20" s="27" t="n"/>
      <c r="AI20" s="58" t="n"/>
    </row>
    <row r="21">
      <c r="C21" s="1" t="n"/>
      <c r="D21" s="88" t="n"/>
      <c r="K21" s="88" t="n"/>
      <c r="L21" s="93" t="n"/>
      <c r="M21" s="94" t="n"/>
      <c r="N21" s="95" t="n"/>
      <c r="P21" s="97" t="n"/>
      <c r="Q21" s="98" t="n"/>
      <c r="R21" s="98" t="n"/>
    </row>
    <row customFormat="1" r="22" s="128">
      <c r="A22" s="33" t="inlineStr">
        <is>
          <t>300地产</t>
        </is>
      </c>
      <c r="B22" s="128" t="inlineStr">
        <is>
          <t>pe weighted</t>
        </is>
      </c>
      <c r="C22" s="160" t="n">
        <v>15.70440405830424</v>
      </c>
      <c r="D22" s="19" t="n">
        <v>12.67892556129514</v>
      </c>
      <c r="E22" s="29" t="n">
        <v>0.1926515954235951</v>
      </c>
      <c r="F22" s="20" t="n">
        <v>66.31178951107346</v>
      </c>
      <c r="G22" s="39" t="n">
        <v>3.222496394316144</v>
      </c>
      <c r="H22" s="21" t="n">
        <v>0.42147509056409</v>
      </c>
      <c r="I22" s="21" t="n">
        <v>0.7658121097611676</v>
      </c>
      <c r="J22" s="21" t="n">
        <v>1.141436842911645</v>
      </c>
      <c r="K22" s="19" t="n">
        <v>5.230079567112764</v>
      </c>
      <c r="L22" s="22" t="n">
        <v>12.67892556129514</v>
      </c>
      <c r="M22" s="32" t="n">
        <v>0.1926515954235951</v>
      </c>
      <c r="N22" s="23" t="n">
        <v>39.54808171973082</v>
      </c>
      <c r="O22" s="24" t="n">
        <v>1.518279685934242</v>
      </c>
      <c r="P22" s="25" t="n">
        <v>3.119198194558295</v>
      </c>
      <c r="Q22" s="26" t="n">
        <v>0.2699226299713475</v>
      </c>
      <c r="R22" s="26" t="n">
        <v>0.265895762863281</v>
      </c>
      <c r="S22" s="27" t="n">
        <v>0.007242459718218925</v>
      </c>
      <c r="T22" s="128" t="n">
        <v>1304</v>
      </c>
      <c r="U22" s="36">
        <f>C22*S22</f>
        <v/>
      </c>
      <c r="V22" s="36">
        <f>(1+S22)*Q22*(1-U22)+S22</f>
        <v/>
      </c>
      <c r="W22" s="117">
        <f>V22+I22/3</f>
        <v/>
      </c>
      <c r="X22" s="36">
        <f>V22+I22/5</f>
        <v/>
      </c>
      <c r="Y22" s="117">
        <f>V22-E22</f>
        <v/>
      </c>
      <c r="Z22" s="75" t="n">
        <v>6</v>
      </c>
      <c r="AA22" s="76">
        <f>Z22*E25</f>
        <v/>
      </c>
      <c r="AB22" s="75" t="n"/>
      <c r="AC22" s="36" t="n"/>
      <c r="AD22" s="36" t="n"/>
      <c r="AE22" s="36" t="n"/>
      <c r="AF22" s="36" t="n"/>
      <c r="AH22" s="27" t="n"/>
      <c r="AI22" s="58" t="n"/>
    </row>
    <row customFormat="1" r="23" s="128">
      <c r="A23" s="128" t="inlineStr">
        <is>
          <t>000958</t>
        </is>
      </c>
      <c r="B23" s="128" t="inlineStr">
        <is>
          <t>pe equal</t>
        </is>
      </c>
      <c r="C23" s="160" t="n">
        <v>11.23149013083838</v>
      </c>
      <c r="D23" s="19" t="n">
        <v>10.45905808375754</v>
      </c>
      <c r="E23" s="29" t="n">
        <v>0.06877378140234192</v>
      </c>
      <c r="F23" s="20" t="n">
        <v>69.70580720002464</v>
      </c>
      <c r="G23" s="39" t="n">
        <v>5.206283083366911</v>
      </c>
      <c r="H23" s="21" t="n">
        <v>0.5035193122456239</v>
      </c>
      <c r="I23" s="21" t="n">
        <v>1.101570683133778</v>
      </c>
      <c r="J23" s="21" t="n">
        <v>2.04353842662901</v>
      </c>
      <c r="K23" s="19" t="n">
        <v>6.66463525126366</v>
      </c>
      <c r="L23" s="22" t="n">
        <v>10.45905808375754</v>
      </c>
      <c r="M23" s="32" t="n">
        <v>0.06877378140234192</v>
      </c>
      <c r="N23" s="23" t="n">
        <v>26.14656464580813</v>
      </c>
      <c r="O23" s="24" t="n">
        <v>1.327969338103884</v>
      </c>
      <c r="P23" s="25" t="n">
        <v>2.499896686338572</v>
      </c>
      <c r="Q23" s="26" t="n"/>
      <c r="R23" s="26" t="n"/>
      <c r="S23" s="27" t="n">
        <v>0.01329857959391551</v>
      </c>
      <c r="U23" s="36">
        <f>C23*S23</f>
        <v/>
      </c>
      <c r="V23" s="72">
        <f>(1+S23)*R22*(1-U23)+S23</f>
        <v/>
      </c>
      <c r="W23" s="102">
        <f>V23+I23/3</f>
        <v/>
      </c>
      <c r="X23" s="36">
        <f>V23+I23/5</f>
        <v/>
      </c>
      <c r="Y23" s="117">
        <f>V23-E23</f>
        <v/>
      </c>
      <c r="Z23" s="75" t="n"/>
      <c r="AA23" s="117">
        <f>AA22/($AB$2)</f>
        <v/>
      </c>
      <c r="AB23" s="75" t="n"/>
      <c r="AC23" s="36" t="n"/>
      <c r="AD23" s="36" t="n"/>
      <c r="AE23" s="36" t="n"/>
      <c r="AF23" s="36" t="n"/>
      <c r="AH23" s="27" t="n"/>
      <c r="AI23" s="58" t="n"/>
    </row>
    <row customFormat="1" r="24" s="128">
      <c r="A24" s="128" t="inlineStr">
        <is>
          <t>2009-10-27T16:00:00.000Z</t>
        </is>
      </c>
      <c r="B24" s="128" t="inlineStr">
        <is>
          <t>pb weighted</t>
        </is>
      </c>
      <c r="C24" s="160" t="n">
        <v>4.238974045550183</v>
      </c>
      <c r="D24" s="19" t="n">
        <v>2.681475065659082</v>
      </c>
      <c r="E24" s="29" t="n">
        <v>0.3674235706930238</v>
      </c>
      <c r="F24" s="20" t="n">
        <v>10.88760150475712</v>
      </c>
      <c r="G24" s="39" t="n">
        <v>1.568452032912601</v>
      </c>
      <c r="H24" s="21" t="n">
        <v>0.04420375491827921</v>
      </c>
      <c r="I24" s="21" t="n">
        <v>0.3391303694825021</v>
      </c>
      <c r="J24" s="21" t="n">
        <v>0.543149912241254</v>
      </c>
      <c r="K24" s="19" t="n">
        <v>4.060303093693339</v>
      </c>
      <c r="L24" s="22" t="n">
        <v>2.681475065659082</v>
      </c>
      <c r="M24" s="32" t="n">
        <v>0.3674235706930238</v>
      </c>
      <c r="N24" s="23" t="n">
        <v>9.005152818519365</v>
      </c>
      <c r="O24" s="24" t="n">
        <v>1.12437083165735</v>
      </c>
      <c r="P24" s="25" t="n">
        <v>3.35828325754205</v>
      </c>
      <c r="Q24" s="26" t="n"/>
      <c r="R24" s="26" t="n"/>
      <c r="S24" s="27" t="n"/>
      <c r="V24" s="27" t="n"/>
      <c r="W24" s="77">
        <f>V22+I24/3</f>
        <v/>
      </c>
      <c r="X24" s="36">
        <f>V22+I24/5</f>
        <v/>
      </c>
      <c r="Y24" s="117">
        <f>V22-E24</f>
        <v/>
      </c>
      <c r="Z24" s="75" t="n"/>
      <c r="AA24" s="75" t="n"/>
      <c r="AB24" s="75" t="n"/>
      <c r="AC24" s="36" t="n"/>
      <c r="AD24" s="36" t="n"/>
      <c r="AE24" s="36" t="n"/>
      <c r="AF24" s="36" t="n"/>
      <c r="AH24" s="27" t="n"/>
      <c r="AI24" s="58" t="n"/>
    </row>
    <row customFormat="1" r="25" s="128">
      <c r="A25" s="128" t="n">
        <v>4.3</v>
      </c>
      <c r="B25" s="128" t="inlineStr">
        <is>
          <t>pb equal</t>
        </is>
      </c>
      <c r="C25" s="160" t="n">
        <v>2.986405636430682</v>
      </c>
      <c r="D25" s="19" t="n">
        <v>2.200940486206702</v>
      </c>
      <c r="E25" s="29" t="n">
        <v>0.2630135506852175</v>
      </c>
      <c r="F25" s="20" t="n">
        <v>10.27852329283846</v>
      </c>
      <c r="G25" s="39" t="n">
        <v>2.441770658162576</v>
      </c>
      <c r="H25" s="21" t="n">
        <v>0.06099917634278396</v>
      </c>
      <c r="I25" s="21" t="n">
        <v>0.3359127347122262</v>
      </c>
      <c r="J25" s="21" t="n">
        <v>0.8038852365869513</v>
      </c>
      <c r="K25" s="19" t="n">
        <v>4.670059620991108</v>
      </c>
      <c r="L25" s="22" t="n">
        <v>2.200940486206702</v>
      </c>
      <c r="M25" s="32" t="n">
        <v>0.2630135506852175</v>
      </c>
      <c r="N25" s="23" t="n">
        <v>4.934003333621836</v>
      </c>
      <c r="O25" s="24" t="n">
        <v>0.6521544405866111</v>
      </c>
      <c r="P25" s="25" t="n">
        <v>2.241770445199788</v>
      </c>
      <c r="Q25" s="26" t="n"/>
      <c r="R25" s="26" t="n"/>
      <c r="S25" s="27" t="n"/>
      <c r="T25" s="58">
        <f>T22/C25</f>
        <v/>
      </c>
      <c r="U25" s="58" t="n"/>
      <c r="V25" s="58">
        <f>T22/C23</f>
        <v/>
      </c>
      <c r="W25" s="102">
        <f>V23+I25/3</f>
        <v/>
      </c>
      <c r="X25" s="36">
        <f>V23+I25/5</f>
        <v/>
      </c>
      <c r="Y25" s="117">
        <f>V23-E25</f>
        <v/>
      </c>
      <c r="Z25" s="75" t="n"/>
      <c r="AA25" s="75" t="n"/>
      <c r="AB25" s="75" t="n"/>
      <c r="AC25" s="36" t="n"/>
      <c r="AD25" s="36" t="n"/>
      <c r="AE25" s="36" t="n"/>
      <c r="AF25" s="36" t="n"/>
      <c r="AH25" s="27" t="n"/>
      <c r="AI25" s="58" t="n"/>
    </row>
    <row r="26">
      <c r="C26" s="1" t="n"/>
      <c r="D26" s="88" t="n"/>
      <c r="K26" s="88" t="n"/>
      <c r="L26" s="93" t="n"/>
      <c r="M26" s="94" t="n"/>
      <c r="N26" s="95" t="n"/>
      <c r="P26" s="97" t="n"/>
      <c r="Q26" s="98" t="n"/>
      <c r="R26" s="98" t="n"/>
    </row>
    <row customFormat="1" r="27" s="128">
      <c r="A27" s="33" t="inlineStr">
        <is>
          <t>创业成长</t>
        </is>
      </c>
      <c r="B27" s="128" t="inlineStr">
        <is>
          <t>pe weighted</t>
        </is>
      </c>
      <c r="C27" s="159" t="n">
        <v>17.69233446002561</v>
      </c>
      <c r="D27" s="19" t="n">
        <v>11.44987372577837</v>
      </c>
      <c r="E27" s="29" t="n">
        <v>0.3528342033297851</v>
      </c>
      <c r="F27" s="20" t="n">
        <v>31.15689497399638</v>
      </c>
      <c r="G27" s="39" t="n">
        <v>0.7610392254562475</v>
      </c>
      <c r="H27" s="21" t="n">
        <v>-0.1995044426370487</v>
      </c>
      <c r="I27" s="21" t="n">
        <v>0.02617191662401552</v>
      </c>
      <c r="J27" s="21" t="n">
        <v>0.2041145136979201</v>
      </c>
      <c r="K27" s="19" t="n">
        <v>2.72115620837367</v>
      </c>
      <c r="L27" s="22" t="n">
        <v>12.94996265421991</v>
      </c>
      <c r="M27" s="32" t="n">
        <v>0.268046696523893</v>
      </c>
      <c r="N27" s="23" t="n">
        <v>25.10441890759424</v>
      </c>
      <c r="O27" s="24" t="n">
        <v>0.4189432697146684</v>
      </c>
      <c r="P27" s="25" t="n">
        <v>1.938570757145284</v>
      </c>
      <c r="Q27" s="26" t="n">
        <v>0.09450110223856818</v>
      </c>
      <c r="R27" s="26" t="n">
        <v>0.012709619368724</v>
      </c>
      <c r="S27" s="27" t="n">
        <v>0.02195376918194931</v>
      </c>
      <c r="T27" s="128" t="n">
        <v>5054.7732</v>
      </c>
      <c r="U27" s="117">
        <f>C27*S27</f>
        <v/>
      </c>
      <c r="V27" s="117">
        <f>(1+S27)*Q27*(1-U27)+S27</f>
        <v/>
      </c>
      <c r="W27" s="117">
        <f>V27+I27/3</f>
        <v/>
      </c>
      <c r="X27" s="117">
        <f>V27+I27/5</f>
        <v/>
      </c>
      <c r="Y27" s="117">
        <f>V27-E27</f>
        <v/>
      </c>
      <c r="Z27" s="100" t="n"/>
      <c r="AA27" s="100" t="n"/>
      <c r="AB27" s="100" t="n"/>
      <c r="AC27" s="117" t="n"/>
      <c r="AD27" s="117" t="n"/>
      <c r="AE27" s="117" t="n"/>
      <c r="AF27" s="117" t="n"/>
      <c r="AH27" s="27" t="n"/>
      <c r="AI27" s="58" t="n"/>
    </row>
    <row customFormat="1" r="28" s="128">
      <c r="A28" s="128" t="inlineStr">
        <is>
          <t>1000002</t>
        </is>
      </c>
      <c r="B28" s="128" t="inlineStr">
        <is>
          <t>pe equal</t>
        </is>
      </c>
      <c r="C28" s="157" t="n">
        <v>174.1068106287198</v>
      </c>
      <c r="D28" s="19" t="n">
        <v>31.99898904366762</v>
      </c>
      <c r="E28" s="29" t="n">
        <v>0.8162105840195706</v>
      </c>
      <c r="F28" s="20" t="n">
        <v>-18.97963089795163</v>
      </c>
      <c r="G28" s="39" t="n">
        <v>-1.109011421376418</v>
      </c>
      <c r="H28" s="21" t="n">
        <v>-0.7584557898812575</v>
      </c>
      <c r="I28" s="21" t="n">
        <v>-0.5639081977142462</v>
      </c>
      <c r="J28" s="21" t="n">
        <v>-2.206981783656036</v>
      </c>
      <c r="K28" s="19" t="n">
        <v>-0.5931322040221633</v>
      </c>
      <c r="L28" s="22" t="n">
        <v>31.99898904366762</v>
      </c>
      <c r="M28" s="32" t="n">
        <v>0.8162105840195706</v>
      </c>
      <c r="N28" s="23" t="n">
        <v>-18.97963089795163</v>
      </c>
      <c r="O28" s="24" t="n">
        <v>-1.109011421376418</v>
      </c>
      <c r="P28" s="25" t="n">
        <v>-0.5931322040221633</v>
      </c>
      <c r="Q28" s="26" t="n"/>
      <c r="R28" s="26" t="n"/>
      <c r="S28" s="27" t="n">
        <v>0.01036317407898604</v>
      </c>
      <c r="U28" s="117">
        <f>C28*S28</f>
        <v/>
      </c>
      <c r="V28" s="117">
        <f>(1+S28)*R27*(1-U28)+S28</f>
        <v/>
      </c>
      <c r="W28" s="117">
        <f>V28+I28/3</f>
        <v/>
      </c>
      <c r="X28" s="117">
        <f>V28+I28/5</f>
        <v/>
      </c>
      <c r="Y28" s="117">
        <f>V28-E28</f>
        <v/>
      </c>
      <c r="Z28" s="100" t="n"/>
      <c r="AA28" s="100" t="n"/>
      <c r="AB28" s="100" t="n"/>
      <c r="AC28" s="117" t="n"/>
      <c r="AD28" s="117" t="n"/>
      <c r="AE28" s="117" t="n"/>
      <c r="AF28" s="117" t="n"/>
      <c r="AH28" s="27" t="n"/>
      <c r="AI28" s="58" t="n"/>
    </row>
    <row customFormat="1" r="29" s="128">
      <c r="A29" s="128" t="inlineStr">
        <is>
          <t>2010-03-23T16:00:00.000Z</t>
        </is>
      </c>
      <c r="B29" s="128" t="inlineStr">
        <is>
          <t>pb weighted</t>
        </is>
      </c>
      <c r="C29" s="159" t="n">
        <v>1.671945107645823</v>
      </c>
      <c r="D29" s="19" t="n">
        <v>1.399281175332533</v>
      </c>
      <c r="E29" s="29" t="n">
        <v>0.1630818685771411</v>
      </c>
      <c r="F29" s="20" t="n">
        <v>3.569778766677854</v>
      </c>
      <c r="G29" s="39" t="n">
        <v>1.135105243798506</v>
      </c>
      <c r="H29" s="21" t="n">
        <v>-0.02991385450632378</v>
      </c>
      <c r="I29" s="21" t="n">
        <v>0.1306973484368965</v>
      </c>
      <c r="J29" s="21" t="n">
        <v>0.2530883148543381</v>
      </c>
      <c r="K29" s="19" t="n">
        <v>2.551151855401408</v>
      </c>
      <c r="L29" s="22" t="n">
        <v>1.399281175332533</v>
      </c>
      <c r="M29" s="32" t="n">
        <v>0.1630818685771411</v>
      </c>
      <c r="N29" s="23" t="n">
        <v>2.139919418311008</v>
      </c>
      <c r="O29" s="24" t="n">
        <v>0.2798981309405033</v>
      </c>
      <c r="P29" s="25" t="n">
        <v>1.529299083011293</v>
      </c>
      <c r="Q29" s="26" t="n"/>
      <c r="R29" s="26" t="n"/>
      <c r="S29" s="27" t="n"/>
      <c r="V29" s="99" t="n"/>
      <c r="W29" s="117">
        <f>V27+I29/3</f>
        <v/>
      </c>
      <c r="X29" s="117">
        <f>V27+I29/5</f>
        <v/>
      </c>
      <c r="Y29" s="117">
        <f>V27-E29</f>
        <v/>
      </c>
      <c r="Z29" s="100" t="n"/>
      <c r="AA29" s="100" t="n"/>
      <c r="AB29" s="100" t="n"/>
      <c r="AC29" s="117" t="n"/>
      <c r="AD29" s="117" t="n"/>
      <c r="AE29" s="117" t="n"/>
      <c r="AF29" s="117" t="n"/>
      <c r="AH29" s="27" t="n"/>
      <c r="AI29" s="58" t="n"/>
    </row>
    <row customFormat="1" r="30" s="128">
      <c r="A30" s="128" t="n">
        <v>5.04</v>
      </c>
      <c r="B30" s="128" t="inlineStr">
        <is>
          <t>pb equal</t>
        </is>
      </c>
      <c r="C30" s="159" t="n">
        <v>2.212831292593538</v>
      </c>
      <c r="D30" s="19" t="n">
        <v>1.654831065303109</v>
      </c>
      <c r="E30" s="29" t="n">
        <v>0.2521657340792697</v>
      </c>
      <c r="F30" s="20" t="n">
        <v>6.216782858867069</v>
      </c>
      <c r="G30" s="39" t="n">
        <v>1.809424685774721</v>
      </c>
      <c r="H30" s="21" t="n">
        <v>-0.04676092968730206</v>
      </c>
      <c r="I30" s="21" t="n">
        <v>0.06496333968295787</v>
      </c>
      <c r="J30" s="21" t="n">
        <v>0.4692060972036698</v>
      </c>
      <c r="K30" s="19" t="n">
        <v>3.756747736499837</v>
      </c>
      <c r="L30" s="22" t="n">
        <v>1.654831065303109</v>
      </c>
      <c r="M30" s="32" t="n">
        <v>0.2521657340792697</v>
      </c>
      <c r="N30" s="23" t="n">
        <v>2.721470751107647</v>
      </c>
      <c r="O30" s="24" t="n">
        <v>0.2298591222098818</v>
      </c>
      <c r="P30" s="25" t="n">
        <v>1.644561072225923</v>
      </c>
      <c r="Q30" s="26" t="n"/>
      <c r="R30" s="26" t="n"/>
      <c r="S30" s="27" t="n"/>
      <c r="V30" s="99" t="n"/>
      <c r="W30" s="117">
        <f>V28+I30/3</f>
        <v/>
      </c>
      <c r="X30" s="117">
        <f>V28+I30/5</f>
        <v/>
      </c>
      <c r="Y30" s="117">
        <f>V28-E30</f>
        <v/>
      </c>
      <c r="Z30" s="100" t="n"/>
      <c r="AA30" s="100" t="n"/>
      <c r="AB30" s="100" t="n"/>
      <c r="AC30" s="117" t="n"/>
      <c r="AD30" s="117" t="n"/>
      <c r="AE30" s="117" t="n"/>
      <c r="AF30" s="117" t="n"/>
      <c r="AH30" s="27" t="n"/>
      <c r="AI30" s="58" t="n"/>
    </row>
    <row r="31">
      <c r="M31" s="94" t="n"/>
      <c r="N31" s="95" t="n"/>
      <c r="P31" s="97" t="n"/>
      <c r="Q31" s="98" t="n"/>
      <c r="R31" s="98" t="n"/>
    </row>
    <row customFormat="1" r="32" s="128">
      <c r="A32" s="128" t="inlineStr">
        <is>
          <t>沪深A股</t>
        </is>
      </c>
      <c r="B32" s="128" t="inlineStr">
        <is>
          <t>pe weighted</t>
        </is>
      </c>
      <c r="C32" s="160" t="n">
        <v>30.50688744963702</v>
      </c>
      <c r="D32" s="19" t="n">
        <v>23.5983360066353</v>
      </c>
      <c r="E32" s="29" t="n">
        <v>0.2264587449115172</v>
      </c>
      <c r="F32" s="20" t="n">
        <v>74.99500782187475</v>
      </c>
      <c r="G32" s="39" t="n">
        <v>1.458297587575329</v>
      </c>
      <c r="H32" s="21" t="n">
        <v>0.1044034178622624</v>
      </c>
      <c r="I32" s="21" t="n">
        <v>0.2415771728655018</v>
      </c>
      <c r="J32" s="21" t="n">
        <v>0.4666739552176877</v>
      </c>
      <c r="K32" s="19" t="n">
        <v>3.177978642256297</v>
      </c>
      <c r="L32" s="22" t="n">
        <v>23.5983360066353</v>
      </c>
      <c r="M32" s="32" t="n">
        <v>0.2264587449115172</v>
      </c>
      <c r="N32" s="23" t="n">
        <v>73.59225989209462</v>
      </c>
      <c r="O32" s="24" t="n">
        <v>1.412316235590604</v>
      </c>
      <c r="P32" s="25" t="n">
        <v>3.118535979460678</v>
      </c>
      <c r="Q32" s="26" t="n">
        <v>0.1215284897723625</v>
      </c>
      <c r="R32" s="26" t="n">
        <v>0.08516092088906103</v>
      </c>
      <c r="S32" s="27" t="n">
        <v>0.009849167596392214</v>
      </c>
      <c r="T32" t="n">
        <v>11584.09</v>
      </c>
      <c r="U32" s="117">
        <f>C32*S32</f>
        <v/>
      </c>
      <c r="V32" s="117">
        <f>(1+S32)*Q32*(1-U32)+S32</f>
        <v/>
      </c>
      <c r="W32" s="117">
        <f>V32+I32/3</f>
        <v/>
      </c>
      <c r="X32" s="117">
        <f>V32+I32/5</f>
        <v/>
      </c>
      <c r="Y32" s="117">
        <f>V32-E32</f>
        <v/>
      </c>
      <c r="Z32" s="100" t="n"/>
      <c r="AA32" s="100" t="n"/>
      <c r="AB32" s="100" t="n"/>
      <c r="AC32" s="117" t="n"/>
      <c r="AD32" s="117" t="n"/>
      <c r="AE32" s="117" t="n"/>
      <c r="AF32" s="117" t="n"/>
      <c r="AH32" s="27" t="n"/>
      <c r="AI32" s="58" t="n"/>
    </row>
    <row customFormat="1" r="33" s="128">
      <c r="A33" s="128" t="inlineStr">
        <is>
          <t>000991</t>
        </is>
      </c>
      <c r="B33" s="128" t="inlineStr">
        <is>
          <t>pe equal</t>
        </is>
      </c>
      <c r="C33" s="160" t="n">
        <v>32.91246863581699</v>
      </c>
      <c r="D33" s="19" t="n">
        <v>22.27093978838889</v>
      </c>
      <c r="E33" s="29" t="n">
        <v>0.3233281880243846</v>
      </c>
      <c r="F33" s="20" t="n">
        <v>-457.3940058552347</v>
      </c>
      <c r="G33" s="39" t="n">
        <v>-14.89728649395432</v>
      </c>
      <c r="H33" s="21" t="n">
        <v>0.0110668721980387</v>
      </c>
      <c r="I33" s="21" t="n">
        <v>0.3110827028244958</v>
      </c>
      <c r="J33" s="21" t="n">
        <v>0.5772958569897617</v>
      </c>
      <c r="K33" s="19" t="n">
        <v>-20.53770564696602</v>
      </c>
      <c r="L33" s="22" t="n">
        <v>22.27093978838889</v>
      </c>
      <c r="M33" s="32" t="n">
        <v>0.3233281880243846</v>
      </c>
      <c r="N33" s="23" t="n">
        <v>-457.3940058552347</v>
      </c>
      <c r="O33" s="24" t="n">
        <v>-14.89728649395432</v>
      </c>
      <c r="P33" s="25" t="n">
        <v>-20.53770564696602</v>
      </c>
      <c r="Q33" s="26" t="n"/>
      <c r="R33" s="26" t="n"/>
      <c r="S33" s="27" t="n">
        <v>0.01160934579728112</v>
      </c>
      <c r="U33" s="117">
        <f>C33*S33</f>
        <v/>
      </c>
      <c r="V33" s="117">
        <f>(1+S33)*R32*(1-U33)+S33</f>
        <v/>
      </c>
      <c r="W33" s="117">
        <f>V33+I33/3</f>
        <v/>
      </c>
      <c r="X33" s="117">
        <f>V33+I33/5</f>
        <v/>
      </c>
      <c r="Y33" s="117">
        <f>V33-E33</f>
        <v/>
      </c>
      <c r="Z33" s="100" t="n"/>
      <c r="AA33" s="100" t="n"/>
      <c r="AB33" s="100" t="n"/>
      <c r="AC33" s="117" t="n"/>
      <c r="AD33" s="117" t="n"/>
      <c r="AE33" s="117" t="n"/>
      <c r="AF33" s="117" t="n"/>
      <c r="AH33" s="27" t="n"/>
      <c r="AI33" s="58" t="n"/>
    </row>
    <row customFormat="1" r="34" s="128">
      <c r="A34" s="128" t="inlineStr">
        <is>
          <t>1993-12-31T16:00:00.000Z</t>
        </is>
      </c>
      <c r="B34" s="128" t="inlineStr">
        <is>
          <t>pb weighted</t>
        </is>
      </c>
      <c r="C34" s="160" t="n">
        <v>3.707455959409825</v>
      </c>
      <c r="D34" s="19" t="n">
        <v>2.768478375642144</v>
      </c>
      <c r="E34" s="29" t="n">
        <v>0.2532673601649885</v>
      </c>
      <c r="F34" s="20" t="n">
        <v>8.412701579475838</v>
      </c>
      <c r="G34" s="39" t="n">
        <v>1.269130549784069</v>
      </c>
      <c r="H34" s="21" t="n">
        <v>0.04286880715526897</v>
      </c>
      <c r="I34" s="21" t="n">
        <v>0.1825594888682183</v>
      </c>
      <c r="J34" s="21" t="n">
        <v>0.3698421687493936</v>
      </c>
      <c r="K34" s="19" t="n">
        <v>3.038745634964378</v>
      </c>
      <c r="L34" s="22" t="n">
        <v>2.768478375642144</v>
      </c>
      <c r="M34" s="32" t="n">
        <v>0.2532673601649885</v>
      </c>
      <c r="N34" s="23" t="n">
        <v>6.565010581216101</v>
      </c>
      <c r="O34" s="24" t="n">
        <v>0.7707588850930431</v>
      </c>
      <c r="P34" s="25" t="n">
        <v>2.371342553720817</v>
      </c>
      <c r="Q34" s="26" t="n"/>
      <c r="R34" s="26" t="n"/>
      <c r="S34" s="27" t="n"/>
      <c r="V34" s="99" t="n"/>
      <c r="W34" s="117">
        <f>V32+I34/3</f>
        <v/>
      </c>
      <c r="X34" s="117">
        <f>V32+I34/5</f>
        <v/>
      </c>
      <c r="Y34" s="117">
        <f>V32-E34</f>
        <v/>
      </c>
      <c r="Z34" s="100" t="n"/>
      <c r="AA34" s="100" t="n"/>
      <c r="AB34" s="100" t="n"/>
      <c r="AC34" s="117" t="n"/>
      <c r="AD34" s="117" t="n"/>
      <c r="AE34" s="117" t="n"/>
      <c r="AF34" s="117" t="n"/>
      <c r="AH34" s="27" t="n"/>
      <c r="AI34" s="58" t="n"/>
    </row>
    <row customFormat="1" r="35" s="128">
      <c r="A35" s="128" t="n">
        <v>4.3</v>
      </c>
      <c r="B35" s="128" t="inlineStr">
        <is>
          <t>pb equal</t>
        </is>
      </c>
      <c r="C35" s="159" t="n">
        <v>2.802856137758513</v>
      </c>
      <c r="D35" s="19" t="n">
        <v>2.14522662087571</v>
      </c>
      <c r="E35" s="29" t="n">
        <v>0.2346283521382295</v>
      </c>
      <c r="F35" s="20" t="n">
        <v>8.311330254728905</v>
      </c>
      <c r="G35" s="39" t="n">
        <v>1.965307474316396</v>
      </c>
      <c r="H35" s="21" t="n">
        <v>-0.02262190259542329</v>
      </c>
      <c r="I35" s="21" t="n">
        <v>0.2713610887693299</v>
      </c>
      <c r="J35" s="21" t="n">
        <v>0.5522646689083177</v>
      </c>
      <c r="K35" s="19" t="n">
        <v>3.874336712890551</v>
      </c>
      <c r="L35" s="22" t="n">
        <v>2.14522662087571</v>
      </c>
      <c r="M35" s="32" t="n">
        <v>0.2346283521382295</v>
      </c>
      <c r="N35" s="23" t="n">
        <v>3.948621362624964</v>
      </c>
      <c r="O35" s="24" t="n">
        <v>0.4087848853286979</v>
      </c>
      <c r="P35" s="25" t="n">
        <v>1.840654653545686</v>
      </c>
      <c r="Q35" s="26" t="n"/>
      <c r="R35" s="26" t="n"/>
      <c r="S35" s="27" t="n"/>
      <c r="V35" s="99" t="n"/>
      <c r="W35" s="117">
        <f>V33+I35/3</f>
        <v/>
      </c>
      <c r="X35" s="117">
        <f>V33+I35/5</f>
        <v/>
      </c>
      <c r="Y35" s="117">
        <f>V33-E35</f>
        <v/>
      </c>
      <c r="Z35" s="100" t="n"/>
      <c r="AA35" s="100" t="n"/>
      <c r="AB35" s="100" t="n"/>
      <c r="AC35" s="117" t="n"/>
      <c r="AD35" s="117" t="n"/>
      <c r="AE35" s="117" t="n"/>
      <c r="AF35" s="117" t="n"/>
      <c r="AH35" s="27" t="n"/>
      <c r="AI35" s="58" t="n"/>
    </row>
    <row r="36">
      <c r="C36" s="1" t="n"/>
      <c r="D36" s="88" t="n"/>
      <c r="K36" s="88" t="n"/>
      <c r="L36" s="93" t="n"/>
      <c r="M36" s="94" t="n"/>
      <c r="N36" s="95" t="n"/>
      <c r="P36" s="97" t="n"/>
      <c r="Q36" s="98" t="n"/>
      <c r="R36" s="98" t="n"/>
    </row>
    <row customFormat="1" r="37" s="128">
      <c r="A37" s="33" t="inlineStr">
        <is>
          <t>全指医药</t>
        </is>
      </c>
      <c r="B37" s="128" t="inlineStr">
        <is>
          <t>pe weighted</t>
        </is>
      </c>
      <c r="C37" s="160" t="n">
        <v>5.321368898408865</v>
      </c>
      <c r="D37" s="19" t="n">
        <v>5.17624120015468</v>
      </c>
      <c r="E37" s="29" t="n">
        <v>0.02727262496264449</v>
      </c>
      <c r="F37" s="20" t="n">
        <v>12.54061899269618</v>
      </c>
      <c r="G37" s="39" t="n">
        <v>1.356652814738315</v>
      </c>
      <c r="H37" s="21" t="n">
        <v>0.186164407082712</v>
      </c>
      <c r="I37" s="21" t="n">
        <v>0.4778568470836204</v>
      </c>
      <c r="J37" s="21" t="n">
        <v>0.7101295057864847</v>
      </c>
      <c r="K37" s="19" t="n">
        <v>2.42272693790263</v>
      </c>
      <c r="L37" s="22" t="n">
        <v>5.17624120015468</v>
      </c>
      <c r="M37" s="32" t="n">
        <v>0.02727262496264449</v>
      </c>
      <c r="N37" s="23" t="n">
        <v>10.41217002437267</v>
      </c>
      <c r="O37" s="24" t="n">
        <v>0.9566713421213855</v>
      </c>
      <c r="P37" s="25" t="n">
        <v>2.011531074723012</v>
      </c>
      <c r="Q37" s="26" t="n">
        <v>0.117827366940336</v>
      </c>
      <c r="R37" s="26" t="n">
        <v>0.1148375869159134</v>
      </c>
      <c r="S37" s="27" t="n">
        <v>0.06568605397141132</v>
      </c>
      <c r="T37" t="n">
        <v>5069.23</v>
      </c>
      <c r="U37" s="117">
        <f>C37*S37</f>
        <v/>
      </c>
      <c r="V37" s="117">
        <f>(1+S37)*Q37*(1-U37)+S37</f>
        <v/>
      </c>
      <c r="W37" s="117">
        <f>V37+I37/3</f>
        <v/>
      </c>
      <c r="X37" s="117">
        <f>V37+I37/5</f>
        <v/>
      </c>
      <c r="Y37" s="117">
        <f>V37-E37</f>
        <v/>
      </c>
      <c r="Z37" s="100" t="n">
        <v>6</v>
      </c>
      <c r="AA37" s="76">
        <f>Z37*E39</f>
        <v/>
      </c>
      <c r="AB37" s="100" t="n"/>
      <c r="AC37" s="117" t="n"/>
      <c r="AD37" s="117" t="n"/>
      <c r="AE37" s="117" t="n"/>
      <c r="AF37" s="117" t="n"/>
      <c r="AH37" s="27" t="n"/>
      <c r="AI37" s="58" t="n"/>
    </row>
    <row customFormat="1" r="38" s="128">
      <c r="A38" s="128" t="inlineStr">
        <is>
          <t>000922</t>
        </is>
      </c>
      <c r="B38" s="128" t="inlineStr">
        <is>
          <t>pe equal</t>
        </is>
      </c>
      <c r="C38" s="160" t="n">
        <v>7.890110528685016</v>
      </c>
      <c r="D38" s="19" t="n">
        <v>7.453506572113203</v>
      </c>
      <c r="E38" s="29" t="n">
        <v>0.05533559447418512</v>
      </c>
      <c r="F38" s="20" t="n">
        <v>23.6348037693164</v>
      </c>
      <c r="G38" s="39" t="n">
        <v>1.99549717122346</v>
      </c>
      <c r="H38" s="21" t="n">
        <v>0.2689118904748813</v>
      </c>
      <c r="I38" s="21" t="n">
        <v>0.504213863405822</v>
      </c>
      <c r="J38" s="21" t="n">
        <v>0.8584985137032701</v>
      </c>
      <c r="K38" s="19" t="n">
        <v>3.170964369675938</v>
      </c>
      <c r="L38" s="22" t="n">
        <v>7.453506572113203</v>
      </c>
      <c r="M38" s="32" t="n">
        <v>0.05533559447418512</v>
      </c>
      <c r="N38" s="23" t="n">
        <v>14.49895871605185</v>
      </c>
      <c r="O38" s="24" t="n">
        <v>0.8376116105522131</v>
      </c>
      <c r="P38" s="25" t="n">
        <v>1.945253361726242</v>
      </c>
      <c r="Q38" s="26" t="n"/>
      <c r="R38" s="26" t="n"/>
      <c r="S38" s="27" t="n">
        <v>0.05860798225946379</v>
      </c>
      <c r="U38" s="117">
        <f>C38*S38</f>
        <v/>
      </c>
      <c r="V38" s="117">
        <f>(1+S38)*R37*(1-U38)+S38</f>
        <v/>
      </c>
      <c r="W38" s="117">
        <f>V38+I38/3</f>
        <v/>
      </c>
      <c r="X38" s="117">
        <f>V38+I38/5</f>
        <v/>
      </c>
      <c r="Y38" s="117">
        <f>V38-E38</f>
        <v/>
      </c>
      <c r="Z38" s="100" t="n"/>
      <c r="AA38" s="117">
        <f>AA37/($AB$2)</f>
        <v/>
      </c>
      <c r="AB38" s="100" t="n"/>
      <c r="AC38" s="117" t="n"/>
      <c r="AD38" s="117" t="n"/>
      <c r="AE38" s="117" t="n"/>
      <c r="AF38" s="117" t="n"/>
      <c r="AH38" s="27" t="n"/>
      <c r="AI38" s="58" t="n"/>
    </row>
    <row customFormat="1" r="39" s="128">
      <c r="A39" s="128" t="inlineStr">
        <is>
          <t>2011-08-01T16:00:00.000Z</t>
        </is>
      </c>
      <c r="B39" s="128" t="inlineStr">
        <is>
          <t>pb weighted</t>
        </is>
      </c>
      <c r="C39" s="160" t="n">
        <v>0.6270028858177129</v>
      </c>
      <c r="D39" s="19" t="n">
        <v>0.5910976942311641</v>
      </c>
      <c r="E39" s="29" t="n">
        <v>0.05726479478594848</v>
      </c>
      <c r="F39" s="20" t="n">
        <v>1.792336717780532</v>
      </c>
      <c r="G39" s="39" t="n">
        <v>1.85857809959365</v>
      </c>
      <c r="H39" s="21" t="n">
        <v>0.3709936215393355</v>
      </c>
      <c r="I39" s="21" t="n">
        <v>0.7008979622906839</v>
      </c>
      <c r="J39" s="21" t="n">
        <v>0.9906246616488998</v>
      </c>
      <c r="K39" s="19" t="n">
        <v>3.032217407161112</v>
      </c>
      <c r="L39" s="22" t="n">
        <v>0.5910976942311641</v>
      </c>
      <c r="M39" s="32" t="n">
        <v>0.05726479478594848</v>
      </c>
      <c r="N39" s="23" t="n">
        <v>1.392430332104878</v>
      </c>
      <c r="O39" s="24" t="n">
        <v>1.22077180759531</v>
      </c>
      <c r="P39" s="25" t="n">
        <v>2.355668691815827</v>
      </c>
      <c r="Q39" s="26" t="n"/>
      <c r="R39" s="26" t="n"/>
      <c r="S39" s="27" t="n"/>
      <c r="V39" s="99" t="n"/>
      <c r="W39" s="117">
        <f>V37+I39/3</f>
        <v/>
      </c>
      <c r="X39" s="117">
        <f>V37+I39/5</f>
        <v/>
      </c>
      <c r="Y39" s="117">
        <f>V37-E39</f>
        <v/>
      </c>
      <c r="Z39" s="100" t="n"/>
      <c r="AA39" s="100" t="n"/>
      <c r="AB39" s="100" t="n"/>
      <c r="AC39" s="117" t="n"/>
      <c r="AD39" s="117" t="n"/>
      <c r="AE39" s="117" t="n"/>
      <c r="AF39" s="117" t="n"/>
      <c r="AH39" s="27" t="n"/>
      <c r="AI39" s="58" t="n"/>
    </row>
    <row customFormat="1" r="40" s="128">
      <c r="A40" s="128" t="n">
        <v>3</v>
      </c>
      <c r="B40" s="128" t="inlineStr">
        <is>
          <t>pb equal</t>
        </is>
      </c>
      <c r="C40" s="160" t="n">
        <v>0.9060812536140289</v>
      </c>
      <c r="D40" s="19" t="n">
        <v>0.8448308501385033</v>
      </c>
      <c r="E40" s="29" t="n">
        <v>0.06759923928590283</v>
      </c>
      <c r="F40" s="20" t="n">
        <v>3.040151203264813</v>
      </c>
      <c r="G40" s="39" t="n">
        <v>2.355274365448744</v>
      </c>
      <c r="H40" s="21" t="n">
        <v>0.2768076847803422</v>
      </c>
      <c r="I40" s="21" t="n">
        <v>0.5353490986233549</v>
      </c>
      <c r="J40" s="21" t="n">
        <v>0.8760719307694369</v>
      </c>
      <c r="K40" s="19" t="n">
        <v>3.598532419556417</v>
      </c>
      <c r="L40" s="22" t="n">
        <v>0.8448308501385033</v>
      </c>
      <c r="M40" s="32" t="n">
        <v>0.06759923928590283</v>
      </c>
      <c r="N40" s="23" t="n">
        <v>1.59283777945297</v>
      </c>
      <c r="O40" s="24" t="n">
        <v>0.7579414352738445</v>
      </c>
      <c r="P40" s="25" t="n">
        <v>1.885392536496314</v>
      </c>
      <c r="Q40" s="26" t="n"/>
      <c r="R40" s="26" t="n"/>
      <c r="S40" s="27" t="n"/>
      <c r="T40" s="58">
        <f>T37/C39</f>
        <v/>
      </c>
      <c r="U40" s="58" t="n"/>
      <c r="V40" s="58">
        <f>T37/C37</f>
        <v/>
      </c>
      <c r="W40" s="117">
        <f>V38+I40/3</f>
        <v/>
      </c>
      <c r="X40" s="117">
        <f>V38+I40/5</f>
        <v/>
      </c>
      <c r="Y40" s="117">
        <f>V38-E40</f>
        <v/>
      </c>
      <c r="Z40" s="100" t="n"/>
      <c r="AA40" s="100" t="n"/>
      <c r="AB40" s="100" t="n"/>
      <c r="AC40" s="117" t="n"/>
      <c r="AD40" s="117" t="n"/>
      <c r="AE40" s="117" t="n"/>
      <c r="AF40" s="117" t="n"/>
      <c r="AH40" s="27" t="n"/>
      <c r="AI40" s="58" t="n"/>
    </row>
    <row r="41">
      <c r="C41" s="1" t="n"/>
      <c r="D41" s="88" t="n"/>
      <c r="K41" s="88" t="n"/>
      <c r="L41" s="93" t="n"/>
      <c r="M41" s="94" t="n"/>
      <c r="N41" s="95" t="n"/>
      <c r="P41" s="97" t="n"/>
      <c r="Q41" s="98" t="n"/>
      <c r="R41" s="98" t="n"/>
    </row>
    <row customFormat="1" r="42" s="128">
      <c r="A42" s="33" t="inlineStr">
        <is>
          <t>中证红利</t>
        </is>
      </c>
      <c r="B42" s="128" t="inlineStr">
        <is>
          <t>pe weighted</t>
        </is>
      </c>
      <c r="C42" s="160" t="n">
        <v>23.9690622167954</v>
      </c>
      <c r="D42" s="19" t="n">
        <v>16.72502197975431</v>
      </c>
      <c r="E42" s="29" t="n">
        <v>0.302224599841253</v>
      </c>
      <c r="F42" s="20" t="n">
        <v>59.4424780886372</v>
      </c>
      <c r="G42" s="39" t="n">
        <v>1.479966781803635</v>
      </c>
      <c r="H42" s="21" t="n">
        <v>0.03926696429112964</v>
      </c>
      <c r="I42" s="21" t="n">
        <v>0.3000767909777011</v>
      </c>
      <c r="J42" s="21" t="n">
        <v>0.5409031096496326</v>
      </c>
      <c r="K42" s="19" t="n">
        <v>3.554104632005416</v>
      </c>
      <c r="L42" s="22" t="n">
        <v>16.72502197975431</v>
      </c>
      <c r="M42" s="32" t="n">
        <v>0.302224599841253</v>
      </c>
      <c r="N42" s="23" t="n">
        <v>50.65508328250736</v>
      </c>
      <c r="O42" s="24" t="n">
        <v>1.113352738807309</v>
      </c>
      <c r="P42" s="25" t="n">
        <v>3.028700550816942</v>
      </c>
      <c r="Q42" s="26" t="n">
        <v>0.1393227954361218</v>
      </c>
      <c r="R42" s="26" t="n">
        <v>0.1067030804263837</v>
      </c>
      <c r="S42" s="27" t="n">
        <v>0.009449161134242549</v>
      </c>
      <c r="T42" s="128" t="n">
        <v>2143.8</v>
      </c>
      <c r="U42" s="117">
        <f>C42*S42</f>
        <v/>
      </c>
      <c r="V42" s="102">
        <f>(1+S42)*Q42*(1-U42)+S42</f>
        <v/>
      </c>
      <c r="W42" s="102">
        <f>V42+I42/3</f>
        <v/>
      </c>
      <c r="X42" s="117">
        <f>V42+I42/5</f>
        <v/>
      </c>
      <c r="Y42" s="117">
        <f>V42-E42</f>
        <v/>
      </c>
      <c r="Z42" s="100" t="n">
        <v>6.6</v>
      </c>
      <c r="AA42" s="76">
        <f>Z42*E44</f>
        <v/>
      </c>
      <c r="AB42" s="100" t="n"/>
      <c r="AC42" s="117" t="n"/>
      <c r="AD42" s="36" t="n"/>
      <c r="AE42" s="117" t="n"/>
      <c r="AF42" s="117" t="n"/>
      <c r="AH42" s="27" t="n"/>
      <c r="AI42" s="58" t="n"/>
    </row>
    <row customFormat="1" r="43" s="128">
      <c r="A43" s="128" t="inlineStr">
        <is>
          <t>000827</t>
        </is>
      </c>
      <c r="B43" s="128" t="inlineStr">
        <is>
          <t>pe equal</t>
        </is>
      </c>
      <c r="C43" s="160" t="n">
        <v>26.34251427777985</v>
      </c>
      <c r="D43" s="19" t="n">
        <v>19.37378761712582</v>
      </c>
      <c r="E43" s="29" t="n">
        <v>0.2645429584727307</v>
      </c>
      <c r="F43" s="20" t="n">
        <v>182.8081229919003</v>
      </c>
      <c r="G43" s="39" t="n">
        <v>5.939661152470194</v>
      </c>
      <c r="H43" s="21" t="n">
        <v>0.05997644652441947</v>
      </c>
      <c r="I43" s="21" t="n">
        <v>0.3365716791331839</v>
      </c>
      <c r="J43" s="21" t="n">
        <v>0.6955279852218723</v>
      </c>
      <c r="K43" s="19" t="n">
        <v>9.435848405311495</v>
      </c>
      <c r="L43" s="22" t="n">
        <v>19.37378761712582</v>
      </c>
      <c r="M43" s="32" t="n">
        <v>0.2645429584727307</v>
      </c>
      <c r="N43" s="23" t="n">
        <v>64.04010335996126</v>
      </c>
      <c r="O43" s="24" t="n">
        <v>1.431055087781794</v>
      </c>
      <c r="P43" s="25" t="n">
        <v>3.305502497784781</v>
      </c>
      <c r="Q43" s="26" t="n"/>
      <c r="R43" s="26" t="n"/>
      <c r="S43" s="27" t="n">
        <v>0.007666199085353111</v>
      </c>
      <c r="U43" s="117">
        <f>C43*S43</f>
        <v/>
      </c>
      <c r="V43" s="117">
        <f>(1+S43)*R42*(1-U43)+S43</f>
        <v/>
      </c>
      <c r="W43" s="117">
        <f>V43+I43/3</f>
        <v/>
      </c>
      <c r="X43" s="117">
        <f>V43+I43/5</f>
        <v/>
      </c>
      <c r="Y43" s="117">
        <f>V43-E43</f>
        <v/>
      </c>
      <c r="Z43" s="100" t="n"/>
      <c r="AA43" s="117">
        <f>AA42/($AB$2)</f>
        <v/>
      </c>
      <c r="AB43" s="100" t="n"/>
      <c r="AC43" s="117" t="n"/>
      <c r="AD43" s="117" t="n"/>
      <c r="AE43" s="117" t="n"/>
      <c r="AF43" s="117" t="n"/>
      <c r="AH43" s="27" t="n"/>
      <c r="AI43" s="58" t="n"/>
    </row>
    <row customFormat="1" r="44" s="128">
      <c r="A44" s="128" t="inlineStr">
        <is>
          <t>2008-05-25T16:00:00.000Z</t>
        </is>
      </c>
      <c r="B44" s="128" t="inlineStr">
        <is>
          <t>pb weighted</t>
        </is>
      </c>
      <c r="C44" s="158" t="n">
        <v>3.339436752026262</v>
      </c>
      <c r="D44" s="19" t="n">
        <v>1.787842779486416</v>
      </c>
      <c r="E44" s="29" t="n">
        <v>0.4646274470083582</v>
      </c>
      <c r="F44" s="20" t="n">
        <v>5.980683403585696</v>
      </c>
      <c r="G44" s="39" t="n">
        <v>0.7909257900922397</v>
      </c>
      <c r="H44" s="21" t="n">
        <v>-0.2788428807272157</v>
      </c>
      <c r="I44" s="21" t="n">
        <v>-0.1274133852613067</v>
      </c>
      <c r="J44" s="21" t="n">
        <v>0.1270087441635668</v>
      </c>
      <c r="K44" s="19" t="n">
        <v>3.345195378591251</v>
      </c>
      <c r="L44" s="22" t="n">
        <v>1.787842779486416</v>
      </c>
      <c r="M44" s="32" t="n">
        <v>0.4646274470083582</v>
      </c>
      <c r="N44" s="23" t="n">
        <v>5.458880361326933</v>
      </c>
      <c r="O44" s="24" t="n">
        <v>0.6346709839659823</v>
      </c>
      <c r="P44" s="25" t="n">
        <v>3.053333561519921</v>
      </c>
      <c r="Q44" s="26" t="n"/>
      <c r="R44" s="26" t="n"/>
      <c r="S44" s="27" t="n"/>
      <c r="V44" s="99" t="n"/>
      <c r="W44" s="102">
        <f>V42+I44/3</f>
        <v/>
      </c>
      <c r="X44" s="117">
        <f>V42+I44/5</f>
        <v/>
      </c>
      <c r="Y44" s="117">
        <f>V42-E44</f>
        <v/>
      </c>
      <c r="Z44" s="100" t="n"/>
      <c r="AA44" s="100" t="n"/>
      <c r="AB44" s="100" t="n"/>
      <c r="AC44" s="117" t="n"/>
      <c r="AD44" s="117" t="n"/>
      <c r="AE44" s="117" t="n"/>
      <c r="AF44" s="117" t="n"/>
      <c r="AH44" s="27" t="n"/>
      <c r="AI44" s="58" t="n"/>
    </row>
    <row customFormat="1" r="45" s="128">
      <c r="A45" s="128" t="n">
        <v>2.14</v>
      </c>
      <c r="B45" s="128" t="inlineStr">
        <is>
          <t>pb equal</t>
        </is>
      </c>
      <c r="C45" s="158" t="n">
        <v>2.810827419615104</v>
      </c>
      <c r="D45" s="19" t="n">
        <v>1.455562325135044</v>
      </c>
      <c r="E45" s="29" t="n">
        <v>0.4821587711228607</v>
      </c>
      <c r="F45" s="20" t="n">
        <v>6.546235963468927</v>
      </c>
      <c r="G45" s="39" t="n">
        <v>1.328935571706258</v>
      </c>
      <c r="H45" s="21" t="n">
        <v>-0.2614488729779416</v>
      </c>
      <c r="I45" s="21" t="n">
        <v>-0.0198651298560476</v>
      </c>
      <c r="J45" s="21" t="n">
        <v>0.1256680020090355</v>
      </c>
      <c r="K45" s="19" t="n">
        <v>4.497393103975525</v>
      </c>
      <c r="L45" s="22" t="n">
        <v>1.455562325135044</v>
      </c>
      <c r="M45" s="32" t="n">
        <v>0.4821587711228607</v>
      </c>
      <c r="N45" s="23" t="n">
        <v>3.700767415381082</v>
      </c>
      <c r="O45" s="24" t="n">
        <v>0.3166113968988677</v>
      </c>
      <c r="P45" s="25" t="n">
        <v>2.542500139963249</v>
      </c>
      <c r="Q45" s="26" t="n"/>
      <c r="R45" s="26" t="n"/>
      <c r="S45" s="27" t="n"/>
      <c r="T45" s="58">
        <f>T42/C44</f>
        <v/>
      </c>
      <c r="U45" s="58" t="n"/>
      <c r="V45" s="58">
        <f>T42/C42</f>
        <v/>
      </c>
      <c r="W45" s="117">
        <f>V43+I45/3</f>
        <v/>
      </c>
      <c r="X45" s="117">
        <f>V43+I45/5</f>
        <v/>
      </c>
      <c r="Y45" s="117">
        <f>V43-E45</f>
        <v/>
      </c>
      <c r="Z45" s="100" t="n"/>
      <c r="AA45" s="100" t="n"/>
      <c r="AB45" s="100" t="n"/>
      <c r="AC45" s="117" t="n"/>
      <c r="AD45" s="117" t="n"/>
      <c r="AE45" s="117" t="n"/>
      <c r="AF45" s="117" t="n"/>
      <c r="AH45" s="27" t="n"/>
      <c r="AI45" s="58" t="n"/>
    </row>
    <row r="46">
      <c r="C46" s="1" t="n"/>
      <c r="D46" s="88" t="n"/>
      <c r="K46" s="88" t="n"/>
      <c r="L46" s="93" t="n"/>
      <c r="M46" s="94" t="n"/>
      <c r="N46" s="95" t="n"/>
      <c r="P46" s="97" t="n"/>
      <c r="Q46" s="98" t="n"/>
      <c r="R46" s="98" t="n"/>
    </row>
    <row customFormat="1" r="47" s="128">
      <c r="A47" s="128" t="inlineStr">
        <is>
          <t>中证环保</t>
        </is>
      </c>
      <c r="B47" s="128" t="inlineStr">
        <is>
          <t>pe weighted</t>
        </is>
      </c>
      <c r="C47" s="160" t="n">
        <v>30.58257918920594</v>
      </c>
      <c r="D47" s="19" t="n">
        <v>18.93443476695908</v>
      </c>
      <c r="E47" s="29" t="n">
        <v>0.3808751495478199</v>
      </c>
      <c r="F47" s="20" t="n">
        <v>144.6814214780545</v>
      </c>
      <c r="G47" s="39" t="n">
        <v>3.730844334055366</v>
      </c>
      <c r="H47" s="21" t="n">
        <v>0.01315049257193257</v>
      </c>
      <c r="I47" s="21" t="n">
        <v>0.3394890633417778</v>
      </c>
      <c r="J47" s="21" t="n">
        <v>1.28497059110492</v>
      </c>
      <c r="K47" s="19" t="n">
        <v>7.641179853466028</v>
      </c>
      <c r="L47" s="22" t="n">
        <v>18.93443476695908</v>
      </c>
      <c r="M47" s="32" t="n">
        <v>0.3808751495478199</v>
      </c>
      <c r="N47" s="23" t="n">
        <v>58.83497031040833</v>
      </c>
      <c r="O47" s="24" t="n">
        <v>0.9238066857086409</v>
      </c>
      <c r="P47" s="25" t="n">
        <v>3.107300061213149</v>
      </c>
      <c r="Q47" s="26" t="n">
        <v>0.07855303733252914</v>
      </c>
      <c r="R47" s="26" t="n">
        <v>0.06593977793946529</v>
      </c>
      <c r="S47" s="27" t="n">
        <v>0.01097901198563438</v>
      </c>
      <c r="T47" s="128" t="n">
        <v>6868.55</v>
      </c>
      <c r="U47" s="117">
        <f>C47*S47</f>
        <v/>
      </c>
      <c r="V47" s="117">
        <f>(1+S47)*Q47*(1-U47)+S47</f>
        <v/>
      </c>
      <c r="W47" s="117">
        <f>V47+I47/3</f>
        <v/>
      </c>
      <c r="X47" s="117">
        <f>V47+I47/5</f>
        <v/>
      </c>
      <c r="Y47" s="117">
        <f>V47-E47</f>
        <v/>
      </c>
      <c r="Z47" s="100" t="n"/>
      <c r="AA47" s="100" t="n"/>
      <c r="AB47" s="100" t="n"/>
      <c r="AC47" s="117" t="n"/>
      <c r="AD47" s="36" t="n"/>
      <c r="AE47" s="117" t="n"/>
      <c r="AF47" s="117" t="n"/>
      <c r="AH47" s="27" t="n"/>
      <c r="AI47" s="58" t="n"/>
    </row>
    <row customFormat="1" r="48" s="128">
      <c r="A48" s="128" t="inlineStr">
        <is>
          <t>000852</t>
        </is>
      </c>
      <c r="B48" s="128" t="inlineStr">
        <is>
          <t>pe equal</t>
        </is>
      </c>
      <c r="C48" s="160" t="n">
        <v>33.63833702805059</v>
      </c>
      <c r="D48" s="19" t="n">
        <v>21.82352044380236</v>
      </c>
      <c r="E48" s="29" t="n">
        <v>0.3512306977124344</v>
      </c>
      <c r="F48" s="20" t="n">
        <v>-224.7557729206028</v>
      </c>
      <c r="G48" s="39" t="n">
        <v>-7.681536389066491</v>
      </c>
      <c r="H48" s="21" t="n">
        <v>0.07137397774693288</v>
      </c>
      <c r="I48" s="21" t="n">
        <v>0.5559940733398241</v>
      </c>
      <c r="J48" s="21" t="n">
        <v>1.363346896682065</v>
      </c>
      <c r="K48" s="19" t="n">
        <v>-10.29878627966419</v>
      </c>
      <c r="L48" s="22" t="n">
        <v>21.82352044380236</v>
      </c>
      <c r="M48" s="32" t="n">
        <v>0.3512306977124344</v>
      </c>
      <c r="N48" s="23" t="n">
        <v>-224.7557729206028</v>
      </c>
      <c r="O48" s="24" t="n">
        <v>-7.681536389066491</v>
      </c>
      <c r="P48" s="25" t="n">
        <v>-10.29878627966419</v>
      </c>
      <c r="Q48" s="26" t="n"/>
      <c r="R48" s="26" t="n"/>
      <c r="S48" s="27" t="n">
        <v>0.01137981332839619</v>
      </c>
      <c r="U48" s="117">
        <f>C48*S48</f>
        <v/>
      </c>
      <c r="V48" s="117">
        <f>(1+S48)*R47*(1-U48)+S48</f>
        <v/>
      </c>
      <c r="W48" s="102">
        <f>V48+I48/3</f>
        <v/>
      </c>
      <c r="X48" s="117">
        <f>V48+I48/5</f>
        <v/>
      </c>
      <c r="Y48" s="117">
        <f>V48-E48</f>
        <v/>
      </c>
      <c r="Z48" s="100" t="n"/>
      <c r="AA48" s="100" t="n"/>
      <c r="AB48" s="100" t="n"/>
      <c r="AC48" s="117" t="n"/>
      <c r="AD48" s="117" t="n"/>
      <c r="AE48" s="117" t="n"/>
      <c r="AF48" s="117" t="n"/>
      <c r="AH48" s="27" t="n"/>
      <c r="AI48" s="58" t="n"/>
    </row>
    <row customFormat="1" r="49" s="128">
      <c r="A49" s="128" t="inlineStr">
        <is>
          <t>2012-09-24T16:00:00.000Z</t>
        </is>
      </c>
      <c r="B49" s="128" t="inlineStr">
        <is>
          <t>pb weighted</t>
        </is>
      </c>
      <c r="C49" s="159" t="n">
        <v>2.402354484774722</v>
      </c>
      <c r="D49" s="19" t="n">
        <v>1.711461748993171</v>
      </c>
      <c r="E49" s="29" t="n">
        <v>0.2875898374532928</v>
      </c>
      <c r="F49" s="20" t="n">
        <v>8.112476351322321</v>
      </c>
      <c r="G49" s="39" t="n">
        <v>2.376885635628023</v>
      </c>
      <c r="H49" s="21" t="n">
        <v>-0.04389332982170946</v>
      </c>
      <c r="I49" s="21" t="n">
        <v>0.1662970508156778</v>
      </c>
      <c r="J49" s="21" t="n">
        <v>0.5995919504802512</v>
      </c>
      <c r="K49" s="19" t="n">
        <v>4.740086277765061</v>
      </c>
      <c r="L49" s="22" t="n">
        <v>1.711461748993171</v>
      </c>
      <c r="M49" s="32" t="n">
        <v>0.2875898374532928</v>
      </c>
      <c r="N49" s="23" t="n">
        <v>3.160386130908269</v>
      </c>
      <c r="O49" s="24" t="n">
        <v>0.3155369663127086</v>
      </c>
      <c r="P49" s="25" t="n">
        <v>1.846600505542983</v>
      </c>
      <c r="Q49" s="26" t="n"/>
      <c r="R49" s="26" t="n"/>
      <c r="S49" s="27" t="n"/>
      <c r="V49" s="99" t="n"/>
      <c r="W49" s="117">
        <f>V47+I49/3</f>
        <v/>
      </c>
      <c r="X49" s="117">
        <f>V47+I49/5</f>
        <v/>
      </c>
      <c r="Y49" s="117">
        <f>V47-E49</f>
        <v/>
      </c>
      <c r="Z49" s="100" t="n"/>
      <c r="AA49" s="100" t="n"/>
      <c r="AB49" s="100" t="n"/>
      <c r="AC49" s="117" t="n"/>
      <c r="AD49" s="117" t="n"/>
      <c r="AE49" s="117" t="n"/>
      <c r="AF49" s="117" t="n"/>
      <c r="AH49" s="27" t="n"/>
      <c r="AI49" s="58" t="n"/>
    </row>
    <row customFormat="1" r="50" s="128">
      <c r="A50" s="128" t="n">
        <v>2.7</v>
      </c>
      <c r="B50" s="128" t="inlineStr">
        <is>
          <t>pb equal</t>
        </is>
      </c>
      <c r="C50" s="159" t="n">
        <v>2.218104473882548</v>
      </c>
      <c r="D50" s="19" t="n">
        <v>1.566313911022177</v>
      </c>
      <c r="E50" s="29" t="n">
        <v>0.2938502539149942</v>
      </c>
      <c r="F50" s="20" t="n">
        <v>7.184924180680325</v>
      </c>
      <c r="G50" s="39" t="n">
        <v>2.23921810955275</v>
      </c>
      <c r="H50" s="21" t="n">
        <v>-0.08492327759436546</v>
      </c>
      <c r="I50" s="21" t="n">
        <v>0.07185663226035266</v>
      </c>
      <c r="J50" s="21" t="n">
        <v>0.6587948404069843</v>
      </c>
      <c r="K50" s="19" t="n">
        <v>4.587154675777247</v>
      </c>
      <c r="L50" s="22" t="n">
        <v>1.566313911022177</v>
      </c>
      <c r="M50" s="32" t="n">
        <v>0.2938502539149942</v>
      </c>
      <c r="N50" s="23" t="n">
        <v>2.701497563805171</v>
      </c>
      <c r="O50" s="24" t="n">
        <v>0.2179307131897608</v>
      </c>
      <c r="P50" s="25" t="n">
        <v>1.724748496961361</v>
      </c>
      <c r="Q50" s="26" t="n"/>
      <c r="R50" s="26" t="n"/>
      <c r="S50" s="27" t="n"/>
      <c r="T50" s="58">
        <f>T47/C50</f>
        <v/>
      </c>
      <c r="U50" s="58" t="n"/>
      <c r="V50" s="58">
        <f>T47/C48</f>
        <v/>
      </c>
      <c r="W50" s="102">
        <f>V48+I50/3</f>
        <v/>
      </c>
      <c r="X50" s="117">
        <f>V48+I50/5</f>
        <v/>
      </c>
      <c r="Y50" s="117">
        <f>V48-E50</f>
        <v/>
      </c>
      <c r="Z50" s="100" t="n"/>
      <c r="AA50" s="100" t="n"/>
      <c r="AB50" s="100" t="n"/>
      <c r="AC50" s="117" t="n"/>
      <c r="AD50" s="117" t="n"/>
      <c r="AE50" s="117" t="n"/>
      <c r="AF50" s="117" t="n"/>
      <c r="AH50" s="27" t="n"/>
      <c r="AI50" s="58" t="n"/>
    </row>
    <row r="51">
      <c r="C51" s="1" t="n"/>
      <c r="D51" s="88" t="n"/>
      <c r="K51" s="88" t="n"/>
      <c r="L51" s="93" t="n"/>
      <c r="M51" s="94" t="n"/>
      <c r="N51" s="95" t="n"/>
      <c r="P51" s="97" t="n"/>
      <c r="Q51" s="98" t="n"/>
      <c r="R51" s="98" t="n"/>
    </row>
    <row r="52">
      <c r="A52" t="inlineStr">
        <is>
          <t>中证1000</t>
        </is>
      </c>
      <c r="B52" t="inlineStr">
        <is>
          <t>pe weighted</t>
        </is>
      </c>
      <c r="C52" s="161" t="n">
        <v>42.32979613670425</v>
      </c>
      <c r="D52" s="88" t="n">
        <v>17.11504691055717</v>
      </c>
      <c r="E52" s="89" t="n">
        <v>0.5956737694818077</v>
      </c>
      <c r="F52" s="90" t="n">
        <v>67.70390442147411</v>
      </c>
      <c r="G52" s="91" t="n">
        <v>0.5994384712561351</v>
      </c>
      <c r="H52" s="92" t="n">
        <v>-0.4495160587584771</v>
      </c>
      <c r="I52" s="92" t="n">
        <v>-0.3003020091467167</v>
      </c>
      <c r="J52" s="92" t="n">
        <v>-0.09840961051680042</v>
      </c>
      <c r="K52" s="88" t="n">
        <v>3.955811793873142</v>
      </c>
      <c r="L52" s="93" t="n">
        <v>20.60239509213093</v>
      </c>
      <c r="M52" s="94" t="n">
        <v>0.5132885822177029</v>
      </c>
      <c r="N52" s="95" t="n">
        <v>67.70390442147411</v>
      </c>
      <c r="O52" s="96" t="n">
        <v>0.5994384712561351</v>
      </c>
      <c r="P52" s="97" t="n">
        <v>3.28621522491497</v>
      </c>
      <c r="Q52" s="98" t="n">
        <v>0.1616887328805218</v>
      </c>
      <c r="R52" s="98" t="n">
        <v>0.0839519779980222</v>
      </c>
      <c r="S52" s="99" t="n">
        <v>0.0164891776216909</v>
      </c>
      <c r="T52" t="n">
        <v>22532.58</v>
      </c>
      <c r="U52" s="117">
        <f>C52*S52</f>
        <v/>
      </c>
      <c r="V52" s="117">
        <f>(1+S52)*Q52*(1-U52)+S52</f>
        <v/>
      </c>
      <c r="W52" s="117">
        <f>V52+I52/3</f>
        <v/>
      </c>
      <c r="X52" s="117">
        <f>V52+I52/5</f>
        <v/>
      </c>
      <c r="Y52" s="117">
        <f>V52-E52</f>
        <v/>
      </c>
      <c r="Z52" s="100" t="n"/>
      <c r="AA52" s="100" t="n"/>
      <c r="AB52" s="100" t="n"/>
      <c r="AI52" s="58" t="n"/>
    </row>
    <row r="53">
      <c r="A53" t="inlineStr">
        <is>
          <t>000932</t>
        </is>
      </c>
      <c r="B53" t="inlineStr">
        <is>
          <t>pe equal</t>
        </is>
      </c>
      <c r="C53" s="161" t="n">
        <v>44.14008315939445</v>
      </c>
      <c r="D53" s="88" t="n">
        <v>24.50378657966988</v>
      </c>
      <c r="E53" s="89" t="n">
        <v>0.4448631532662921</v>
      </c>
      <c r="F53" s="90" t="n">
        <v>-69.34777415746856</v>
      </c>
      <c r="G53" s="91" t="n">
        <v>-2.571083903649354</v>
      </c>
      <c r="H53" s="92" t="n">
        <v>-0.3388626623713236</v>
      </c>
      <c r="I53" s="92" t="n">
        <v>-0.2746989160313471</v>
      </c>
      <c r="J53" s="92" t="n">
        <v>-0.05054122163136299</v>
      </c>
      <c r="K53" s="88" t="n">
        <v>-2.830083992610535</v>
      </c>
      <c r="L53" s="93" t="n">
        <v>24.50378657966988</v>
      </c>
      <c r="M53" s="94" t="n">
        <v>0.4448631532662921</v>
      </c>
      <c r="N53" s="95" t="n">
        <v>-69.34777415746856</v>
      </c>
      <c r="O53" s="96" t="n">
        <v>-2.571083903649354</v>
      </c>
      <c r="P53" s="97" t="n">
        <v>-2.830083992610535</v>
      </c>
      <c r="Q53" s="98" t="n"/>
      <c r="R53" s="98" t="n"/>
      <c r="S53" s="99" t="n">
        <v>0.01527304238765894</v>
      </c>
      <c r="U53" s="117">
        <f>C53*S53</f>
        <v/>
      </c>
      <c r="V53" s="117">
        <f>(1+S53)*R52*(1-U53)+S53</f>
        <v/>
      </c>
      <c r="W53" s="117">
        <f>V53+I53/3</f>
        <v/>
      </c>
      <c r="X53" s="117">
        <f>V53+I53/5</f>
        <v/>
      </c>
      <c r="Y53" s="117">
        <f>V53-E53</f>
        <v/>
      </c>
      <c r="Z53" s="100" t="n"/>
      <c r="AA53" s="100" t="n"/>
      <c r="AB53" s="100" t="n"/>
      <c r="AI53" s="58" t="n"/>
    </row>
    <row r="54">
      <c r="A54" t="inlineStr">
        <is>
          <t>2014-10-16T16:00:00.000Z</t>
        </is>
      </c>
      <c r="B54" t="inlineStr">
        <is>
          <t>pb weighted</t>
        </is>
      </c>
      <c r="C54" s="163" t="n">
        <v>6.844251100434519</v>
      </c>
      <c r="D54" s="88" t="n">
        <v>2.783571998367763</v>
      </c>
      <c r="E54" s="89" t="n">
        <v>0.5932977973015859</v>
      </c>
      <c r="F54" s="90" t="n">
        <v>11.19902332264879</v>
      </c>
      <c r="G54" s="91" t="n">
        <v>0.6362671617845528</v>
      </c>
      <c r="H54" s="92" t="n">
        <v>-0.4786252738265339</v>
      </c>
      <c r="I54" s="92" t="n">
        <v>-0.2751548480475683</v>
      </c>
      <c r="J54" s="92" t="n">
        <v>0.02729522659240069</v>
      </c>
      <c r="K54" s="88" t="n">
        <v>4.02325620792841</v>
      </c>
      <c r="L54" s="93" t="n">
        <v>3.824680726658997</v>
      </c>
      <c r="M54" s="94" t="n">
        <v>0.4411834588569989</v>
      </c>
      <c r="N54" s="95" t="n">
        <v>11.19902332264879</v>
      </c>
      <c r="O54" s="96" t="n">
        <v>0.6362671617845528</v>
      </c>
      <c r="P54" s="97" t="n">
        <v>2.928093643108235</v>
      </c>
      <c r="Q54" s="98" t="n"/>
      <c r="R54" s="98" t="n"/>
      <c r="W54" s="117">
        <f>V52+I54/3</f>
        <v/>
      </c>
      <c r="X54" s="117">
        <f>V52+I54/5</f>
        <v/>
      </c>
      <c r="Y54" s="117">
        <f>V52-E54</f>
        <v/>
      </c>
      <c r="Z54" s="100" t="n"/>
      <c r="AA54" s="100" t="n"/>
      <c r="AB54" s="100" t="n"/>
      <c r="AI54" s="58" t="n"/>
    </row>
    <row r="55">
      <c r="A55" t="n">
        <v>3.76</v>
      </c>
      <c r="B55" t="inlineStr">
        <is>
          <t>pb equal</t>
        </is>
      </c>
      <c r="C55" s="163" t="n">
        <v>3.705647290228353</v>
      </c>
      <c r="D55" s="88" t="n">
        <v>2.165825978035129</v>
      </c>
      <c r="E55" s="89" t="n">
        <v>0.4155336953556461</v>
      </c>
      <c r="F55" s="90" t="n">
        <v>5.725484646897884</v>
      </c>
      <c r="G55" s="91" t="n">
        <v>0.5450700507832362</v>
      </c>
      <c r="H55" s="92" t="n">
        <v>-0.1996007015772914</v>
      </c>
      <c r="I55" s="92" t="n">
        <v>-0.09935137802003779</v>
      </c>
      <c r="J55" s="92" t="n">
        <v>0.01799972780638059</v>
      </c>
      <c r="K55" s="88" t="n">
        <v>2.643557102446491</v>
      </c>
      <c r="L55" s="93" t="n">
        <v>2.165825978035129</v>
      </c>
      <c r="M55" s="94" t="n">
        <v>0.4155336953556461</v>
      </c>
      <c r="N55" s="95" t="n">
        <v>5.061858543373234</v>
      </c>
      <c r="O55" s="96" t="n">
        <v>0.3659849810102427</v>
      </c>
      <c r="P55" s="97" t="n">
        <v>2.337149242232947</v>
      </c>
      <c r="Q55" s="98" t="n"/>
      <c r="R55" s="98" t="n"/>
      <c r="W55" s="117">
        <f>V53+I55/3</f>
        <v/>
      </c>
      <c r="X55" s="117">
        <f>V53+I55/5</f>
        <v/>
      </c>
      <c r="Y55" s="117">
        <f>V53-E55</f>
        <v/>
      </c>
      <c r="Z55" s="100" t="n"/>
      <c r="AA55" s="100" t="n"/>
      <c r="AB55" s="100" t="n"/>
      <c r="AI55" s="58" t="n"/>
    </row>
    <row r="56">
      <c r="C56" s="1" t="n"/>
      <c r="D56" s="88" t="n"/>
      <c r="K56" s="88" t="n"/>
      <c r="L56" s="93" t="n"/>
      <c r="M56" s="94" t="n"/>
      <c r="N56" s="95" t="n"/>
      <c r="P56" s="97" t="n"/>
      <c r="Q56" s="98" t="n"/>
      <c r="R56" s="98" t="n"/>
    </row>
    <row r="57">
      <c r="A57" s="128" t="inlineStr">
        <is>
          <t>中证消费</t>
        </is>
      </c>
      <c r="B57" t="inlineStr">
        <is>
          <t>pe weighted</t>
        </is>
      </c>
      <c r="C57" s="164" t="n">
        <v>6.682811059130417</v>
      </c>
      <c r="D57" s="88" t="n">
        <v>5.668473699874764</v>
      </c>
      <c r="E57" s="89" t="n">
        <v>0.151783037150184</v>
      </c>
      <c r="F57" s="90" t="n">
        <v>12.00320999046833</v>
      </c>
      <c r="G57" s="91" t="n">
        <v>0.7961318798724528</v>
      </c>
      <c r="H57" s="92" t="n">
        <v>0.01487567292769643</v>
      </c>
      <c r="I57" s="92" t="n">
        <v>0.2208288931524014</v>
      </c>
      <c r="J57" s="92" t="n">
        <v>0.3688043650868493</v>
      </c>
      <c r="K57" s="88" t="n">
        <v>2.117538269734501</v>
      </c>
      <c r="L57" s="93" t="n">
        <v>5.93104625134558</v>
      </c>
      <c r="M57" s="94" t="n">
        <v>0.1124923031839625</v>
      </c>
      <c r="N57" s="95" t="n">
        <v>10.62109622534176</v>
      </c>
      <c r="O57" s="96" t="n">
        <v>0.5893156534525454</v>
      </c>
      <c r="P57" s="97" t="n">
        <v>1.790762670739946</v>
      </c>
      <c r="Q57" s="98" t="n">
        <v>0.1050258247100379</v>
      </c>
      <c r="R57" s="98" t="n">
        <v>0.0215422885329906</v>
      </c>
      <c r="S57" s="99" t="n">
        <v>0.04549672547607101</v>
      </c>
      <c r="T57" t="n">
        <v>4772.66</v>
      </c>
      <c r="U57" s="117">
        <f>C57*S57</f>
        <v/>
      </c>
      <c r="V57" s="117">
        <f>(1+S57)*Q57*(1-U57)+S57</f>
        <v/>
      </c>
      <c r="W57" s="117">
        <f>V57+I57/3</f>
        <v/>
      </c>
      <c r="X57" s="117">
        <f>V57+I57/5</f>
        <v/>
      </c>
      <c r="Y57" s="117">
        <f>V57-E57</f>
        <v/>
      </c>
      <c r="Z57" s="100" t="n"/>
      <c r="AA57" s="100" t="n"/>
      <c r="AB57" s="100" t="n"/>
      <c r="AI57" s="58" t="n"/>
    </row>
    <row r="58">
      <c r="A58" t="inlineStr">
        <is>
          <t>000992</t>
        </is>
      </c>
      <c r="B58" t="inlineStr">
        <is>
          <t>pe equal</t>
        </is>
      </c>
      <c r="C58" s="161" t="n">
        <v>39.1300599096397</v>
      </c>
      <c r="D58" s="88" t="n">
        <v>9.857030473174108</v>
      </c>
      <c r="E58" s="89" t="n">
        <v>0.7480956968648589</v>
      </c>
      <c r="F58" s="90" t="n">
        <v>1287.611543462379</v>
      </c>
      <c r="G58" s="91" t="n">
        <v>31.90594357472925</v>
      </c>
      <c r="H58" s="92" t="n">
        <v>-0.6941882693530785</v>
      </c>
      <c r="I58" s="92" t="n">
        <v>-0.6206609300321668</v>
      </c>
      <c r="J58" s="92" t="n">
        <v>-0.491614099636001</v>
      </c>
      <c r="K58" s="88" t="n">
        <v>130.6287473663201</v>
      </c>
      <c r="L58" s="93" t="n">
        <v>9.857030473174108</v>
      </c>
      <c r="M58" s="94" t="n">
        <v>0.7480956968648589</v>
      </c>
      <c r="N58" s="95" t="n">
        <v>1287.611543462379</v>
      </c>
      <c r="O58" s="96" t="n">
        <v>31.90594357472925</v>
      </c>
      <c r="P58" s="97" t="n">
        <v>130.6287473663201</v>
      </c>
      <c r="Q58" s="98" t="n"/>
      <c r="R58" s="98" t="n"/>
      <c r="S58" s="99" t="n">
        <v>0.02545721369978143</v>
      </c>
      <c r="U58" s="117">
        <f>C58*S58</f>
        <v/>
      </c>
      <c r="V58" s="117">
        <f>(1+S58)*R57*(1-U58)+S58</f>
        <v/>
      </c>
      <c r="W58" s="117">
        <f>V58+I58/3</f>
        <v/>
      </c>
      <c r="X58" s="117">
        <f>V58+I58/5</f>
        <v/>
      </c>
      <c r="Y58" s="117">
        <f>V58-E58</f>
        <v/>
      </c>
      <c r="Z58" s="100" t="n"/>
      <c r="AA58" s="100" t="n"/>
      <c r="AB58" s="100" t="n"/>
      <c r="AI58" s="58" t="n"/>
    </row>
    <row r="59">
      <c r="A59" t="inlineStr">
        <is>
          <t>2009-07-02T16:00:00.000Z</t>
        </is>
      </c>
      <c r="B59" t="inlineStr">
        <is>
          <t>pb weighted</t>
        </is>
      </c>
      <c r="C59" s="164" t="n">
        <v>0.7018677428665339</v>
      </c>
      <c r="D59" s="88" t="n">
        <v>0.6187910616361491</v>
      </c>
      <c r="E59" s="89" t="n">
        <v>0.1183651508061719</v>
      </c>
      <c r="F59" s="90" t="n">
        <v>1.924203345445207</v>
      </c>
      <c r="G59" s="91" t="n">
        <v>1.741546915358255</v>
      </c>
      <c r="H59" s="92" t="n">
        <v>0.3588878095366317</v>
      </c>
      <c r="I59" s="92" t="n">
        <v>0.5820936840797151</v>
      </c>
      <c r="J59" s="92" t="n">
        <v>0.8368919220604178</v>
      </c>
      <c r="K59" s="88" t="n">
        <v>3.10961722743281</v>
      </c>
      <c r="L59" s="93" t="n">
        <v>0.6187910616361491</v>
      </c>
      <c r="M59" s="94" t="n">
        <v>0.1183651508061719</v>
      </c>
      <c r="N59" s="95" t="n">
        <v>1.378959150780418</v>
      </c>
      <c r="O59" s="96" t="n">
        <v>0.9646994249209131</v>
      </c>
      <c r="P59" s="97" t="n">
        <v>2.228472963287971</v>
      </c>
      <c r="Q59" s="98" t="n"/>
      <c r="R59" s="98" t="n"/>
      <c r="W59" s="117">
        <f>V57+I59/3</f>
        <v/>
      </c>
      <c r="X59" s="117">
        <f>V57+I59/5</f>
        <v/>
      </c>
      <c r="Y59" s="117">
        <f>V57-E59</f>
        <v/>
      </c>
      <c r="Z59" s="100" t="n"/>
      <c r="AA59" s="100" t="n"/>
      <c r="AB59" s="100" t="n"/>
      <c r="AI59" s="58" t="n"/>
    </row>
    <row r="60">
      <c r="A60" t="n">
        <v>3.57</v>
      </c>
      <c r="B60" t="inlineStr">
        <is>
          <t>pb equal</t>
        </is>
      </c>
      <c r="C60" s="164" t="n">
        <v>0.8429510408866666</v>
      </c>
      <c r="D60" s="88" t="n">
        <v>0.7595707754005881</v>
      </c>
      <c r="E60" s="89" t="n">
        <v>0.09891471917322037</v>
      </c>
      <c r="F60" s="90" t="n">
        <v>3.546363809248488</v>
      </c>
      <c r="G60" s="91" t="n">
        <v>3.207081594582538</v>
      </c>
      <c r="H60" s="92" t="n">
        <v>0.2900725008522451</v>
      </c>
      <c r="I60" s="92" t="n">
        <v>0.7370338319918237</v>
      </c>
      <c r="J60" s="92" t="n">
        <v>1.273439651240935</v>
      </c>
      <c r="K60" s="88" t="n">
        <v>4.668905023864537</v>
      </c>
      <c r="L60" s="93" t="n">
        <v>0.7595707754005881</v>
      </c>
      <c r="M60" s="94" t="n">
        <v>0.09891471917322037</v>
      </c>
      <c r="N60" s="95" t="n">
        <v>1.670613551559106</v>
      </c>
      <c r="O60" s="96" t="n">
        <v>0.9818630863802644</v>
      </c>
      <c r="P60" s="97" t="n">
        <v>2.199417889238886</v>
      </c>
      <c r="Q60" s="98" t="n"/>
      <c r="R60" s="98" t="n"/>
      <c r="W60" s="117">
        <f>V58+I60/3</f>
        <v/>
      </c>
      <c r="X60" s="117">
        <f>V58+I60/5</f>
        <v/>
      </c>
      <c r="Y60" s="117">
        <f>V58-E60</f>
        <v/>
      </c>
      <c r="Z60" s="100" t="n"/>
      <c r="AA60" s="100" t="n"/>
      <c r="AB60" s="100" t="n"/>
      <c r="AI60" s="58" t="n"/>
    </row>
    <row r="61">
      <c r="A61" s="98">
        <f>1.24/C64-1</f>
        <v/>
      </c>
      <c r="B61" s="98">
        <f>1.31/C64-1</f>
        <v/>
      </c>
      <c r="C61" s="98">
        <f>1.38/C64-1</f>
        <v/>
      </c>
      <c r="D61" s="98">
        <f>1.48/C64-1</f>
        <v/>
      </c>
      <c r="K61" s="88" t="n"/>
      <c r="L61" s="93" t="n"/>
      <c r="M61" s="94" t="n"/>
      <c r="N61" s="95" t="n"/>
      <c r="P61" s="97" t="n"/>
      <c r="Q61" s="98" t="n"/>
      <c r="R61" s="98" t="n"/>
    </row>
    <row customFormat="1" r="62" s="128">
      <c r="A62" s="128" t="inlineStr">
        <is>
          <t>全指金融</t>
        </is>
      </c>
      <c r="B62" s="128" t="inlineStr">
        <is>
          <t>pe weighted</t>
        </is>
      </c>
      <c r="C62" s="159" t="n">
        <v>44.70304830947461</v>
      </c>
      <c r="D62" s="19" t="n">
        <v>27.31632433827322</v>
      </c>
      <c r="E62" s="29" t="n">
        <v>0.3889382185043599</v>
      </c>
      <c r="F62" s="20" t="n">
        <v>133.7209720357033</v>
      </c>
      <c r="G62" s="39" t="n">
        <v>1.991316634829167</v>
      </c>
      <c r="H62" s="21" t="n">
        <v>-0.05678715534611267</v>
      </c>
      <c r="I62" s="21" t="n">
        <v>0.2456602955853209</v>
      </c>
      <c r="J62" s="21" t="n">
        <v>0.567314474455761</v>
      </c>
      <c r="K62" s="19" t="n">
        <v>4.895276918657219</v>
      </c>
      <c r="L62" s="22" t="n">
        <v>27.31632433827322</v>
      </c>
      <c r="M62" s="32" t="n">
        <v>0.3889382185043599</v>
      </c>
      <c r="N62" s="23" t="n">
        <v>96.23510932268115</v>
      </c>
      <c r="O62" s="24" t="n">
        <v>1.1527639157056</v>
      </c>
      <c r="P62" s="25" t="n">
        <v>3.522988969194696</v>
      </c>
      <c r="Q62" s="26" t="n">
        <v>0.07479907710925671</v>
      </c>
      <c r="R62" s="26" t="n">
        <v>0.03511468929397833</v>
      </c>
      <c r="S62" s="27" t="n">
        <v>0.00824687180807337</v>
      </c>
      <c r="T62" s="128" t="n">
        <v>5464.9</v>
      </c>
      <c r="U62" s="117">
        <f>C62*S62</f>
        <v/>
      </c>
      <c r="V62" s="102">
        <f>(1+S62)*Q62*(1-U62)+S62</f>
        <v/>
      </c>
      <c r="W62" s="117">
        <f>V62+I62/3</f>
        <v/>
      </c>
      <c r="X62" s="117">
        <f>V62+I62/5</f>
        <v/>
      </c>
      <c r="Y62" s="117">
        <f>V62-E62</f>
        <v/>
      </c>
      <c r="AB62" s="100" t="n"/>
      <c r="AC62" s="117" t="n"/>
      <c r="AD62" s="117" t="n"/>
      <c r="AE62" s="117" t="n"/>
      <c r="AF62" s="117" t="n"/>
      <c r="AH62" s="27" t="n"/>
      <c r="AI62" s="58" t="n"/>
    </row>
    <row customFormat="1" r="63" s="128">
      <c r="A63" s="128" t="inlineStr">
        <is>
          <t>000993</t>
        </is>
      </c>
      <c r="B63" s="128" t="inlineStr">
        <is>
          <t>pe equal</t>
        </is>
      </c>
      <c r="C63" s="158" t="n">
        <v>86.30883941571742</v>
      </c>
      <c r="D63" s="19" t="n">
        <v>35.41501732376354</v>
      </c>
      <c r="E63" s="29" t="n">
        <v>0.5896710283267437</v>
      </c>
      <c r="F63" s="20" t="n">
        <v>-60.56983174630747</v>
      </c>
      <c r="G63" s="39" t="n">
        <v>-1.701780167087698</v>
      </c>
      <c r="H63" s="21" t="n">
        <v>-0.3348176734082051</v>
      </c>
      <c r="I63" s="21" t="n">
        <v>-0.1310353527152582</v>
      </c>
      <c r="J63" s="21" t="n">
        <v>0.8915512447576683</v>
      </c>
      <c r="K63" s="19" t="n">
        <v>-1.710286661519293</v>
      </c>
      <c r="L63" s="22" t="n">
        <v>35.41501732376354</v>
      </c>
      <c r="M63" s="32" t="n">
        <v>0.5896710283267437</v>
      </c>
      <c r="N63" s="23" t="n">
        <v>-60.56983174630747</v>
      </c>
      <c r="O63" s="24" t="n">
        <v>-1.701780167087698</v>
      </c>
      <c r="P63" s="25" t="n">
        <v>-1.710286661519293</v>
      </c>
      <c r="Q63" s="26" t="n"/>
      <c r="R63" s="26" t="n"/>
      <c r="S63" s="27" t="n">
        <v>0.006040956866032187</v>
      </c>
      <c r="U63" s="117">
        <f>C63*S63</f>
        <v/>
      </c>
      <c r="V63" s="117">
        <f>(1+S63)*R62*(1-U63)+S63</f>
        <v/>
      </c>
      <c r="W63" s="117">
        <f>V63+I63/3</f>
        <v/>
      </c>
      <c r="X63" s="117">
        <f>V63+I63/5</f>
        <v/>
      </c>
      <c r="Y63" s="117">
        <f>V63-E63</f>
        <v/>
      </c>
      <c r="AB63" s="100" t="n"/>
      <c r="AC63" s="117" t="n"/>
      <c r="AD63" s="117" t="n"/>
      <c r="AE63" s="117" t="n"/>
      <c r="AF63" s="117" t="n"/>
      <c r="AH63" s="27" t="n"/>
      <c r="AI63" s="58" t="n"/>
    </row>
    <row customFormat="1" r="64" s="128">
      <c r="A64" s="128" t="inlineStr">
        <is>
          <t>2011-08-01T16:00:00.000Z</t>
        </is>
      </c>
      <c r="B64" s="128" t="inlineStr">
        <is>
          <t>pb weighted</t>
        </is>
      </c>
      <c r="C64" s="160" t="n">
        <v>3.343746757519219</v>
      </c>
      <c r="D64" s="19" t="n">
        <v>2.52653299653801</v>
      </c>
      <c r="E64" s="29" t="n">
        <v>0.2444006141145429</v>
      </c>
      <c r="F64" s="20" t="n">
        <v>11.23463500133827</v>
      </c>
      <c r="G64" s="39" t="n">
        <v>2.359894099657664</v>
      </c>
      <c r="H64" s="21" t="n">
        <v>0.03479211324338438</v>
      </c>
      <c r="I64" s="21" t="n">
        <v>0.2793327957882923</v>
      </c>
      <c r="J64" s="21" t="n">
        <v>0.4663080021946326</v>
      </c>
      <c r="K64" s="19" t="n">
        <v>4.446660707274578</v>
      </c>
      <c r="L64" s="22" t="n">
        <v>2.52653299653801</v>
      </c>
      <c r="M64" s="32" t="n">
        <v>0.2444006141145429</v>
      </c>
      <c r="N64" s="23" t="n">
        <v>5.726734348157258</v>
      </c>
      <c r="O64" s="24" t="n">
        <v>0.7126698770710784</v>
      </c>
      <c r="P64" s="25" t="n">
        <v>2.266637465651283</v>
      </c>
      <c r="Q64" s="26" t="n"/>
      <c r="R64" s="26" t="n"/>
      <c r="S64" s="27" t="n"/>
      <c r="V64" s="99" t="n"/>
      <c r="W64" s="102">
        <f>V62+I64/3</f>
        <v/>
      </c>
      <c r="X64" s="117">
        <f>V62+I64/5</f>
        <v/>
      </c>
      <c r="Y64" s="117">
        <f>V62-E64</f>
        <v/>
      </c>
      <c r="Z64" s="100" t="n"/>
      <c r="AA64" s="100" t="n"/>
      <c r="AB64" s="100" t="n"/>
      <c r="AC64" s="117" t="n"/>
      <c r="AD64" s="117" t="n"/>
      <c r="AE64" s="117" t="n"/>
      <c r="AF64" s="117" t="n"/>
      <c r="AH64" s="27" t="n"/>
      <c r="AI64" s="58" t="n"/>
    </row>
    <row customFormat="1" r="65" s="128">
      <c r="A65" s="128" t="n">
        <v>2.36</v>
      </c>
      <c r="B65" s="128" t="inlineStr">
        <is>
          <t>pb equal</t>
        </is>
      </c>
      <c r="C65" s="159" t="n">
        <v>3.030708079406787</v>
      </c>
      <c r="D65" s="19" t="n">
        <v>2.109232918903536</v>
      </c>
      <c r="E65" s="29" t="n">
        <v>0.3040461622696486</v>
      </c>
      <c r="F65" s="20" t="n">
        <v>10.42479831392837</v>
      </c>
      <c r="G65" s="39" t="n">
        <v>2.439723668789923</v>
      </c>
      <c r="H65" s="21" t="n">
        <v>-0.04037888173609683</v>
      </c>
      <c r="I65" s="21" t="n">
        <v>0.1497944221370342</v>
      </c>
      <c r="J65" s="21" t="n">
        <v>0.5883362421733505</v>
      </c>
      <c r="K65" s="19" t="n">
        <v>4.942459517153565</v>
      </c>
      <c r="L65" s="22" t="n">
        <v>2.109232918903536</v>
      </c>
      <c r="M65" s="32" t="n">
        <v>0.3040461622696486</v>
      </c>
      <c r="N65" s="23" t="n">
        <v>4.228680911263712</v>
      </c>
      <c r="O65" s="24" t="n">
        <v>0.3952781991762826</v>
      </c>
      <c r="P65" s="25" t="n">
        <v>2.004843027702199</v>
      </c>
      <c r="Q65" s="26" t="n"/>
      <c r="R65" s="26" t="n"/>
      <c r="S65" s="27" t="n"/>
      <c r="T65" s="58">
        <f>T62/C64</f>
        <v/>
      </c>
      <c r="U65" s="58" t="n"/>
      <c r="V65" s="58">
        <f>T62/C62</f>
        <v/>
      </c>
      <c r="W65" s="117">
        <f>V63+I65/3</f>
        <v/>
      </c>
      <c r="X65" s="117">
        <f>V63+I65/5</f>
        <v/>
      </c>
      <c r="Y65" s="117">
        <f>V63-E65</f>
        <v/>
      </c>
      <c r="Z65" s="100" t="n"/>
      <c r="AA65" s="100" t="n"/>
      <c r="AB65" s="100" t="n"/>
      <c r="AC65" s="117" t="n"/>
      <c r="AD65" s="117" t="n"/>
      <c r="AE65" s="117" t="n"/>
      <c r="AF65" s="117" t="n"/>
      <c r="AH65" s="27" t="n"/>
      <c r="AI65" s="58" t="n"/>
    </row>
    <row r="66">
      <c r="C66" s="1" t="n"/>
      <c r="D66" s="88" t="n"/>
      <c r="K66" s="88" t="n"/>
      <c r="L66" s="93" t="n"/>
      <c r="M66" s="94" t="n"/>
      <c r="N66" s="95" t="n"/>
      <c r="P66" s="97" t="n"/>
      <c r="Q66" s="98" t="n"/>
      <c r="R66" s="98" t="n"/>
    </row>
    <row customFormat="1" r="67" s="128">
      <c r="A67" s="128" t="inlineStr">
        <is>
          <t>全指信息</t>
        </is>
      </c>
      <c r="B67" s="128" t="inlineStr">
        <is>
          <t>pe weighted</t>
        </is>
      </c>
      <c r="C67" s="159" t="n">
        <v>19.32100063019322</v>
      </c>
      <c r="D67" s="19" t="n">
        <v>10.30814432108231</v>
      </c>
      <c r="E67" s="29" t="n">
        <v>0.4664797896143322</v>
      </c>
      <c r="F67" s="20" t="n">
        <v>57.36400986011208</v>
      </c>
      <c r="G67" s="39" t="n">
        <v>1.968997877390909</v>
      </c>
      <c r="H67" s="21" t="n">
        <v>-0.06083902894900195</v>
      </c>
      <c r="I67" s="21" t="n">
        <v>0.2348510894542586</v>
      </c>
      <c r="J67" s="21" t="n">
        <v>0.5496044536847513</v>
      </c>
      <c r="K67" s="19" t="n">
        <v>5.564921102510246</v>
      </c>
      <c r="L67" s="22" t="n">
        <v>13.79678612493524</v>
      </c>
      <c r="M67" s="32" t="n">
        <v>0.2859176194334989</v>
      </c>
      <c r="N67" s="23" t="n">
        <v>46.02496855272067</v>
      </c>
      <c r="O67" s="24" t="n">
        <v>1.382121373196207</v>
      </c>
      <c r="P67" s="25" t="n">
        <v>3.335919549375249</v>
      </c>
      <c r="Q67" s="26" t="n">
        <v>0.06820168812254944</v>
      </c>
      <c r="R67" s="26" t="n">
        <v>0.04496158701579824</v>
      </c>
      <c r="S67" s="27" t="n">
        <v>0.02154159412572286</v>
      </c>
      <c r="T67" s="128" t="n">
        <v>664</v>
      </c>
      <c r="U67" s="117">
        <f>C67*S67</f>
        <v/>
      </c>
      <c r="V67" s="117">
        <f>(1+S67)*Q67*(1-U67)+S67</f>
        <v/>
      </c>
      <c r="W67" s="117">
        <f>V67+I67/3</f>
        <v/>
      </c>
      <c r="X67" s="117">
        <f>V67+I67/5</f>
        <v/>
      </c>
      <c r="Y67" s="117">
        <f>V67-E67</f>
        <v/>
      </c>
      <c r="Z67" s="100" t="n"/>
      <c r="AA67" s="100" t="n"/>
      <c r="AB67" s="100" t="n"/>
      <c r="AC67" s="117" t="n"/>
      <c r="AD67" s="117" t="n"/>
      <c r="AE67" s="117" t="n"/>
      <c r="AF67" s="117" t="n"/>
      <c r="AH67" s="27" t="n"/>
      <c r="AI67" s="58" t="n"/>
    </row>
    <row customFormat="1" r="68" s="128">
      <c r="A68" s="128" t="inlineStr">
        <is>
          <t>399975</t>
        </is>
      </c>
      <c r="B68" s="128" t="inlineStr">
        <is>
          <t>pe equal</t>
        </is>
      </c>
      <c r="C68" s="159" t="n">
        <v>27.60864810640061</v>
      </c>
      <c r="D68" s="19" t="n">
        <v>11.39021055382755</v>
      </c>
      <c r="E68" s="29" t="n">
        <v>0.5874404820572536</v>
      </c>
      <c r="F68" s="20" t="n">
        <v>66.82549772478465</v>
      </c>
      <c r="G68" s="39" t="n">
        <v>1.420455267032516</v>
      </c>
      <c r="H68" s="21" t="n">
        <v>-0.1827975741813305</v>
      </c>
      <c r="I68" s="21" t="n">
        <v>0.04254516330311819</v>
      </c>
      <c r="J68" s="21" t="n">
        <v>0.3569710548547154</v>
      </c>
      <c r="K68" s="19" t="n">
        <v>5.866923829808282</v>
      </c>
      <c r="L68" s="22" t="n">
        <v>16.93096831419257</v>
      </c>
      <c r="M68" s="32" t="n">
        <v>0.3867512726830182</v>
      </c>
      <c r="N68" s="23" t="n">
        <v>66.82549772478465</v>
      </c>
      <c r="O68" s="24" t="n">
        <v>1.420455267032516</v>
      </c>
      <c r="P68" s="25" t="n">
        <v>3.946938915996165</v>
      </c>
      <c r="Q68" s="26" t="n"/>
      <c r="R68" s="26" t="n"/>
      <c r="S68" s="27" t="n">
        <v>0.01789780303909526</v>
      </c>
      <c r="U68" s="117">
        <f>C68*S68</f>
        <v/>
      </c>
      <c r="V68" s="117">
        <f>(1+S68)*R67*(1-U68)+S68</f>
        <v/>
      </c>
      <c r="W68" s="117">
        <f>V68+I68/3</f>
        <v/>
      </c>
      <c r="X68" s="117">
        <f>V68+I68/5</f>
        <v/>
      </c>
      <c r="Y68" s="117">
        <f>V68-E68</f>
        <v/>
      </c>
      <c r="Z68" s="100" t="n"/>
      <c r="AA68" s="100" t="n"/>
      <c r="AB68" s="100" t="n"/>
      <c r="AC68" s="117" t="n"/>
      <c r="AD68" s="117" t="n"/>
      <c r="AE68" s="117" t="n"/>
      <c r="AF68" s="117" t="n"/>
      <c r="AH68" s="27" t="n"/>
      <c r="AI68" s="58" t="n"/>
    </row>
    <row customFormat="1" r="69" s="128">
      <c r="A69" s="128" t="inlineStr">
        <is>
          <t>2011-08-01T16:00:00.000Z</t>
        </is>
      </c>
      <c r="B69" s="128" t="inlineStr">
        <is>
          <t>pb weighted</t>
        </is>
      </c>
      <c r="C69" s="160" t="n">
        <v>1.317724859196019</v>
      </c>
      <c r="D69" s="19" t="n">
        <v>1.054030485481906</v>
      </c>
      <c r="E69" s="29" t="n">
        <v>0.2001133786570596</v>
      </c>
      <c r="F69" s="20" t="n">
        <v>5.518350620348697</v>
      </c>
      <c r="G69" s="39" t="n">
        <v>3.187786685390147</v>
      </c>
      <c r="H69" s="21" t="n">
        <v>0.1616681225963261</v>
      </c>
      <c r="I69" s="21" t="n">
        <v>0.381853233064279</v>
      </c>
      <c r="J69" s="21" t="n">
        <v>0.5722472659741979</v>
      </c>
      <c r="K69" s="19" t="n">
        <v>5.235475345692389</v>
      </c>
      <c r="L69" s="22" t="n">
        <v>1.054030485481906</v>
      </c>
      <c r="M69" s="32" t="n">
        <v>0.2001133786570596</v>
      </c>
      <c r="N69" s="23" t="n">
        <v>2.41990893377274</v>
      </c>
      <c r="O69" s="24" t="n">
        <v>0.836429598246476</v>
      </c>
      <c r="P69" s="25" t="n">
        <v>2.295862375049191</v>
      </c>
      <c r="Q69" s="26" t="n"/>
      <c r="R69" s="26" t="n"/>
      <c r="S69" s="27" t="n"/>
      <c r="V69" s="99" t="n"/>
      <c r="W69" s="117">
        <f>V67+I69/3</f>
        <v/>
      </c>
      <c r="X69" s="117">
        <f>V67+I69/5</f>
        <v/>
      </c>
      <c r="Y69" s="117">
        <f>V67-E69</f>
        <v/>
      </c>
      <c r="Z69" s="100" t="n"/>
      <c r="AA69" s="100" t="n"/>
      <c r="AB69" s="100" t="n"/>
      <c r="AC69" s="117" t="n"/>
      <c r="AD69" s="117" t="n"/>
      <c r="AE69" s="117" t="n"/>
      <c r="AF69" s="117" t="n"/>
      <c r="AH69" s="27" t="n"/>
      <c r="AI69" s="58" t="n"/>
    </row>
    <row customFormat="1" r="70" s="128">
      <c r="A70" s="128" t="n">
        <v>3.34</v>
      </c>
      <c r="B70" s="128" t="inlineStr">
        <is>
          <t>pb equal</t>
        </is>
      </c>
      <c r="C70" s="160" t="n">
        <v>1.241328634224484</v>
      </c>
      <c r="D70" s="19" t="n">
        <v>1.029996908481526</v>
      </c>
      <c r="E70" s="29" t="n">
        <v>0.1702463956089979</v>
      </c>
      <c r="F70" s="20" t="n">
        <v>5.835581887501398</v>
      </c>
      <c r="G70" s="39" t="n">
        <v>3.701077318777196</v>
      </c>
      <c r="H70" s="21" t="n">
        <v>0.2429783685596973</v>
      </c>
      <c r="I70" s="21" t="n">
        <v>0.5101137395195889</v>
      </c>
      <c r="J70" s="21" t="n">
        <v>0.7824019967294598</v>
      </c>
      <c r="K70" s="19" t="n">
        <v>5.665630488255069</v>
      </c>
      <c r="L70" s="22" t="n">
        <v>1.029996908481526</v>
      </c>
      <c r="M70" s="32" t="n">
        <v>0.1702463956089979</v>
      </c>
      <c r="N70" s="23" t="n">
        <v>2.343517133296838</v>
      </c>
      <c r="O70" s="24" t="n">
        <v>0.8879103153541146</v>
      </c>
      <c r="P70" s="25" t="n">
        <v>2.275266181868226</v>
      </c>
      <c r="Q70" s="26" t="n"/>
      <c r="R70" s="26" t="n"/>
      <c r="S70" s="27" t="n"/>
      <c r="V70" s="99" t="n"/>
      <c r="W70" s="117">
        <f>V68+I70/3</f>
        <v/>
      </c>
      <c r="X70" s="117">
        <f>V68+I70/5</f>
        <v/>
      </c>
      <c r="Y70" s="117">
        <f>V68-E70</f>
        <v/>
      </c>
      <c r="Z70" s="100" t="n"/>
      <c r="AA70" s="100" t="n"/>
      <c r="AB70" s="100" t="n"/>
      <c r="AC70" s="117" t="n"/>
      <c r="AD70" s="117" t="n"/>
      <c r="AE70" s="117" t="n"/>
      <c r="AF70" s="117" t="n"/>
      <c r="AH70" s="27" t="n"/>
      <c r="AI70" s="58" t="n"/>
    </row>
    <row r="71">
      <c r="C71" s="99" t="n"/>
      <c r="D71" s="12" t="n"/>
      <c r="K71" s="88" t="n"/>
      <c r="L71" s="93" t="n"/>
      <c r="M71" s="94" t="n"/>
      <c r="N71" s="95" t="n"/>
      <c r="P71" s="97" t="n"/>
      <c r="Q71" s="98" t="n"/>
      <c r="R71" s="98" t="n"/>
    </row>
    <row customFormat="1" r="72" s="128">
      <c r="A72" s="128" t="inlineStr">
        <is>
          <t>证券公司</t>
        </is>
      </c>
      <c r="B72" s="128" t="inlineStr">
        <is>
          <t>pe weighted</t>
        </is>
      </c>
      <c r="C72" s="160" t="n">
        <v>24.44571003998438</v>
      </c>
      <c r="D72" s="19" t="n">
        <v>18.52706571824788</v>
      </c>
      <c r="E72" s="29" t="n">
        <v>0.2421138233275176</v>
      </c>
      <c r="F72" s="20" t="n">
        <v>64.5688352166175</v>
      </c>
      <c r="G72" s="39" t="n">
        <v>1.641315597338189</v>
      </c>
      <c r="H72" s="21" t="n">
        <v>0.08390598686992479</v>
      </c>
      <c r="I72" s="21" t="n">
        <v>0.3087884516245551</v>
      </c>
      <c r="J72" s="21" t="n">
        <v>0.4572862013670536</v>
      </c>
      <c r="K72" s="19" t="n">
        <v>3.485108554077274</v>
      </c>
      <c r="L72" s="22" t="n">
        <v>18.52706571824788</v>
      </c>
      <c r="M72" s="32" t="n">
        <v>0.2421138233275176</v>
      </c>
      <c r="N72" s="23" t="n">
        <v>44.0181073733524</v>
      </c>
      <c r="O72" s="24" t="n">
        <v>0.8006475288038115</v>
      </c>
      <c r="P72" s="25" t="n">
        <v>2.375881213072915</v>
      </c>
      <c r="Q72" s="26" t="n">
        <v>0.139519345254771</v>
      </c>
      <c r="R72" s="26" t="n">
        <v>0.1260947950614388</v>
      </c>
      <c r="S72" s="27" t="n">
        <v>0.01061966219437504</v>
      </c>
      <c r="T72" s="128" t="n">
        <v>7683.73</v>
      </c>
      <c r="U72" s="117">
        <f>C72*S72</f>
        <v/>
      </c>
      <c r="V72" s="117">
        <f>(1+S72)*Q72*(1-U72)+S72</f>
        <v/>
      </c>
      <c r="W72" s="117">
        <f>V72+I72/3</f>
        <v/>
      </c>
      <c r="X72" s="117">
        <f>V72+I72/5</f>
        <v/>
      </c>
      <c r="Y72" s="117">
        <f>V72-E72</f>
        <v/>
      </c>
      <c r="Z72" s="100" t="n">
        <v>10.5</v>
      </c>
      <c r="AA72" s="76">
        <f>Z72*E74</f>
        <v/>
      </c>
      <c r="AB72" s="100" t="n"/>
      <c r="AC72" s="117" t="n"/>
      <c r="AD72" s="117" t="n"/>
      <c r="AE72" s="117" t="n"/>
      <c r="AF72" s="117" t="n"/>
      <c r="AH72" s="27" t="n"/>
      <c r="AI72" s="58" t="n"/>
    </row>
    <row customFormat="1" r="73" s="128">
      <c r="A73" s="128" t="inlineStr">
        <is>
          <t>399005</t>
        </is>
      </c>
      <c r="B73" s="128" t="inlineStr">
        <is>
          <t>pe equal</t>
        </is>
      </c>
      <c r="C73" s="160" t="n">
        <v>23.02426812628835</v>
      </c>
      <c r="D73" s="19" t="n">
        <v>17.45461530583676</v>
      </c>
      <c r="E73" s="29" t="n">
        <v>0.2419035771257521</v>
      </c>
      <c r="F73" s="20" t="n">
        <v>2773.720838797298</v>
      </c>
      <c r="G73" s="39" t="n">
        <v>119.4694465675699</v>
      </c>
      <c r="H73" s="21" t="n">
        <v>0.1335878652823241</v>
      </c>
      <c r="I73" s="21" t="n">
        <v>0.3794651932917641</v>
      </c>
      <c r="J73" s="21" t="n">
        <v>0.7012495094748366</v>
      </c>
      <c r="K73" s="19" t="n">
        <v>158.9104537795099</v>
      </c>
      <c r="L73" s="22" t="n">
        <v>17.45461530583676</v>
      </c>
      <c r="M73" s="32" t="n">
        <v>0.2419035771257521</v>
      </c>
      <c r="N73" s="23" t="n">
        <v>2773.720838797298</v>
      </c>
      <c r="O73" s="24" t="n">
        <v>119.4694465675699</v>
      </c>
      <c r="P73" s="25" t="n">
        <v>158.9104537795099</v>
      </c>
      <c r="Q73" s="26" t="n"/>
      <c r="R73" s="26" t="n"/>
      <c r="S73" s="27" t="n">
        <v>0.01227929076542879</v>
      </c>
      <c r="U73" s="117">
        <f>C73*S73</f>
        <v/>
      </c>
      <c r="V73" s="117">
        <f>(1+S73)*R72*(1-U73)+S73</f>
        <v/>
      </c>
      <c r="W73" s="117">
        <f>V73+I73/3</f>
        <v/>
      </c>
      <c r="X73" s="117">
        <f>V73+I73/5</f>
        <v/>
      </c>
      <c r="Y73" s="117">
        <f>V73-E73</f>
        <v/>
      </c>
      <c r="Z73" s="100" t="n"/>
      <c r="AA73" s="117">
        <f>AA72/($AB$2)</f>
        <v/>
      </c>
      <c r="AB73" s="100" t="n"/>
      <c r="AC73" s="117" t="n"/>
      <c r="AD73" s="117" t="n"/>
      <c r="AE73" s="117" t="n"/>
      <c r="AF73" s="117" t="n"/>
      <c r="AH73" s="27" t="n"/>
      <c r="AI73" s="58" t="n"/>
    </row>
    <row customFormat="1" r="74" s="128">
      <c r="A74" s="128" t="inlineStr">
        <is>
          <t>2013-07-14T16:00:00.000Z</t>
        </is>
      </c>
      <c r="B74" s="128" t="inlineStr">
        <is>
          <t>pb weighted</t>
        </is>
      </c>
      <c r="C74" s="160" t="n">
        <v>3.410649459066603</v>
      </c>
      <c r="D74" s="19" t="n">
        <v>2.557244887232302</v>
      </c>
      <c r="E74" s="29" t="n">
        <v>0.2502176145853034</v>
      </c>
      <c r="F74" s="20" t="n">
        <v>7.672171499985196</v>
      </c>
      <c r="G74" s="39" t="n">
        <v>1.249475236920082</v>
      </c>
      <c r="H74" s="21" t="n">
        <v>0.009663448080730053</v>
      </c>
      <c r="I74" s="21" t="n">
        <v>0.1745662408690996</v>
      </c>
      <c r="J74" s="21" t="n">
        <v>0.3104584478783117</v>
      </c>
      <c r="K74" s="19" t="n">
        <v>3.000170823799657</v>
      </c>
      <c r="L74" s="22" t="n">
        <v>2.557244887232302</v>
      </c>
      <c r="M74" s="32" t="n">
        <v>0.2502176145853034</v>
      </c>
      <c r="N74" s="23" t="n">
        <v>5.369739119448464</v>
      </c>
      <c r="O74" s="24" t="n">
        <v>0.5744036975638087</v>
      </c>
      <c r="P74" s="25" t="n">
        <v>2.099814197012675</v>
      </c>
      <c r="Q74" s="26" t="n"/>
      <c r="R74" s="26" t="n"/>
      <c r="S74" s="27" t="n"/>
      <c r="V74" s="99" t="n"/>
      <c r="W74" s="117">
        <f>V72+I74/3</f>
        <v/>
      </c>
      <c r="X74" s="117">
        <f>V72+I74/5</f>
        <v/>
      </c>
      <c r="Y74" s="117">
        <f>V72-E74</f>
        <v/>
      </c>
      <c r="Z74" s="100" t="n"/>
      <c r="AA74" s="100" t="n"/>
      <c r="AB74" s="100" t="n"/>
      <c r="AC74" s="117" t="n"/>
      <c r="AD74" s="117" t="n"/>
      <c r="AE74" s="117" t="n"/>
      <c r="AF74" s="117" t="n"/>
      <c r="AH74" s="27" t="n"/>
      <c r="AI74" s="58" t="n"/>
    </row>
    <row customFormat="1" r="75" s="128">
      <c r="A75" s="128" t="n">
        <v>2.72</v>
      </c>
      <c r="B75" s="128" t="inlineStr">
        <is>
          <t>pb equal</t>
        </is>
      </c>
      <c r="C75" s="159" t="n">
        <v>2.903240370823947</v>
      </c>
      <c r="D75" s="19" t="n">
        <v>2.148382288995428</v>
      </c>
      <c r="E75" s="29" t="n">
        <v>0.2600053682824368</v>
      </c>
      <c r="F75" s="20" t="n">
        <v>7.465036590097342</v>
      </c>
      <c r="G75" s="39" t="n">
        <v>1.571277481918849</v>
      </c>
      <c r="H75" s="21" t="n">
        <v>-0.02397284793248755</v>
      </c>
      <c r="I75" s="21" t="n">
        <v>0.108700494980138</v>
      </c>
      <c r="J75" s="21" t="n">
        <v>0.3761700931911502</v>
      </c>
      <c r="K75" s="19" t="n">
        <v>3.474724507055936</v>
      </c>
      <c r="L75" s="22" t="n">
        <v>2.148382288995428</v>
      </c>
      <c r="M75" s="32" t="n">
        <v>0.2600053682824368</v>
      </c>
      <c r="N75" s="23" t="n">
        <v>3.951328925000667</v>
      </c>
      <c r="O75" s="24" t="n">
        <v>0.3610064687407435</v>
      </c>
      <c r="P75" s="25" t="n">
        <v>1.839211273170701</v>
      </c>
      <c r="Q75" s="26" t="n"/>
      <c r="R75" s="26" t="n"/>
      <c r="S75" s="27" t="n"/>
      <c r="T75" s="58">
        <f>T72/C74</f>
        <v/>
      </c>
      <c r="U75" s="58" t="n"/>
      <c r="V75" s="58">
        <f>T72/C72</f>
        <v/>
      </c>
      <c r="W75" s="117">
        <f>V73+I75/3</f>
        <v/>
      </c>
      <c r="X75" s="117">
        <f>V73+I75/5</f>
        <v/>
      </c>
      <c r="Y75" s="117">
        <f>V73-E75</f>
        <v/>
      </c>
      <c r="Z75" s="100" t="n"/>
      <c r="AA75" s="100" t="n"/>
      <c r="AB75" s="100" t="n"/>
      <c r="AC75" s="117" t="n"/>
      <c r="AD75" s="117" t="n"/>
      <c r="AE75" s="117" t="n"/>
      <c r="AF75" s="117" t="n"/>
      <c r="AH75" s="27" t="n"/>
      <c r="AI75" s="58" t="n"/>
    </row>
    <row r="76">
      <c r="M76" s="94" t="n"/>
      <c r="N76" s="95" t="n"/>
      <c r="P76" s="97" t="n"/>
      <c r="Q76" s="98" t="n"/>
      <c r="R76" s="98" t="n"/>
    </row>
    <row customFormat="1" r="77" s="128">
      <c r="A77" s="128" t="inlineStr">
        <is>
          <t>中小板指</t>
        </is>
      </c>
      <c r="B77" s="128" t="inlineStr">
        <is>
          <t>pe weighted</t>
        </is>
      </c>
      <c r="C77" s="160" t="n">
        <v>40.76303189666481</v>
      </c>
      <c r="D77" s="19" t="n">
        <v>27.2207524753695</v>
      </c>
      <c r="E77" s="29" t="n">
        <v>0.3322196311507272</v>
      </c>
      <c r="F77" s="20" t="n">
        <v>138.1733604886787</v>
      </c>
      <c r="G77" s="39" t="n">
        <v>2.389673291205404</v>
      </c>
      <c r="H77" s="21" t="n">
        <v>0.01945469012871537</v>
      </c>
      <c r="I77" s="21" t="n">
        <v>0.3164917996376448</v>
      </c>
      <c r="J77" s="21" t="n">
        <v>0.5392029730600878</v>
      </c>
      <c r="K77" s="19" t="n">
        <v>5.076030158009181</v>
      </c>
      <c r="L77" s="22" t="n">
        <v>27.2207524753695</v>
      </c>
      <c r="M77" s="32" t="n">
        <v>0.3322196311507272</v>
      </c>
      <c r="N77" s="23" t="n">
        <v>79.68261682168112</v>
      </c>
      <c r="O77" s="24" t="n">
        <v>0.9547765000326354</v>
      </c>
      <c r="P77" s="25" t="n">
        <v>2.927274581912508</v>
      </c>
      <c r="Q77" s="26" t="n">
        <v>0.1259952318693528</v>
      </c>
      <c r="R77" s="26" t="n">
        <v>0.1128007566485874</v>
      </c>
      <c r="S77" s="27" t="n">
        <v>0.005320133972940344</v>
      </c>
      <c r="T77" s="128" t="n">
        <v>2449.35</v>
      </c>
      <c r="U77" s="117">
        <f>C77*S77</f>
        <v/>
      </c>
      <c r="V77" s="102">
        <f>(1+S77)*Q77*(1-U77)+S77</f>
        <v/>
      </c>
      <c r="W77" s="102">
        <f>V77+I77/3</f>
        <v/>
      </c>
      <c r="X77" s="117">
        <f>V77+I77/5</f>
        <v/>
      </c>
      <c r="Y77" s="117">
        <f>V77-E77</f>
        <v/>
      </c>
      <c r="Z77" s="100" t="n"/>
      <c r="AA77" s="100" t="n"/>
      <c r="AB77" s="100" t="n"/>
      <c r="AC77" s="117" t="n"/>
      <c r="AD77" s="36" t="n"/>
      <c r="AE77" s="117" t="n"/>
      <c r="AF77" s="117" t="n"/>
      <c r="AH77" s="27" t="n"/>
      <c r="AI77" s="58" t="n"/>
    </row>
    <row customFormat="1" r="78" s="128">
      <c r="A78" s="128" t="inlineStr">
        <is>
          <t>399006</t>
        </is>
      </c>
      <c r="B78" s="128" t="inlineStr">
        <is>
          <t>pe equal</t>
        </is>
      </c>
      <c r="C78" s="160" t="n">
        <v>33.84622026513058</v>
      </c>
      <c r="D78" s="19" t="n">
        <v>25.55331927016013</v>
      </c>
      <c r="E78" s="29" t="n">
        <v>0.2450170485805782</v>
      </c>
      <c r="F78" s="20" t="n">
        <v>224.9279481178088</v>
      </c>
      <c r="G78" s="39" t="n">
        <v>5.645585425960739</v>
      </c>
      <c r="H78" s="21" t="n">
        <v>0.1962384721691246</v>
      </c>
      <c r="I78" s="21" t="n">
        <v>0.6350154802827312</v>
      </c>
      <c r="J78" s="21" t="n">
        <v>1.029958906840455</v>
      </c>
      <c r="K78" s="19" t="n">
        <v>8.802298665773266</v>
      </c>
      <c r="L78" s="22" t="n">
        <v>25.55331927016013</v>
      </c>
      <c r="M78" s="32" t="n">
        <v>0.2450170485805782</v>
      </c>
      <c r="N78" s="23" t="n">
        <v>224.9279481178088</v>
      </c>
      <c r="O78" s="24" t="n">
        <v>5.645585425960739</v>
      </c>
      <c r="P78" s="25" t="n">
        <v>8.802298665773266</v>
      </c>
      <c r="Q78" s="26" t="n"/>
      <c r="R78" s="26" t="n"/>
      <c r="S78" s="27" t="n">
        <v>0.007562767114255562</v>
      </c>
      <c r="U78" s="117">
        <f>C78*S78</f>
        <v/>
      </c>
      <c r="V78" s="117">
        <f>(1+S78)*R77*(1-U78)+S78</f>
        <v/>
      </c>
      <c r="W78" s="117">
        <f>V78+I78/3</f>
        <v/>
      </c>
      <c r="X78" s="117">
        <f>V78+I78/5</f>
        <v/>
      </c>
      <c r="Y78" s="117">
        <f>V78-E78</f>
        <v/>
      </c>
      <c r="Z78" s="100" t="n"/>
      <c r="AA78" s="100" t="n"/>
      <c r="AB78" s="100" t="n"/>
      <c r="AC78" s="117" t="n"/>
      <c r="AD78" s="117" t="n"/>
      <c r="AE78" s="117" t="n"/>
      <c r="AF78" s="117" t="n"/>
      <c r="AH78" s="27" t="n"/>
      <c r="AI78" s="58" t="n"/>
    </row>
    <row customFormat="1" r="79" s="128">
      <c r="A79" s="128" t="inlineStr">
        <is>
          <t>2006-01-23T16:00:00.000Z</t>
        </is>
      </c>
      <c r="B79" s="128" t="inlineStr">
        <is>
          <t>pb weighted</t>
        </is>
      </c>
      <c r="C79" s="159" t="n">
        <v>5.135947655518107</v>
      </c>
      <c r="D79" s="19" t="n">
        <v>3.157271244538579</v>
      </c>
      <c r="E79" s="29" t="n">
        <v>0.3852602369990318</v>
      </c>
      <c r="F79" s="20" t="n">
        <v>15.04658790429591</v>
      </c>
      <c r="G79" s="39" t="n">
        <v>1.929661459483475</v>
      </c>
      <c r="H79" s="21" t="n">
        <v>-0.1110419226787376</v>
      </c>
      <c r="I79" s="21" t="n">
        <v>0.1396041698924761</v>
      </c>
      <c r="J79" s="21" t="n">
        <v>0.4952436660851658</v>
      </c>
      <c r="K79" s="19" t="n">
        <v>4.765693771266363</v>
      </c>
      <c r="L79" s="22" t="n">
        <v>3.157271244538579</v>
      </c>
      <c r="M79" s="32" t="n">
        <v>0.3852602369990318</v>
      </c>
      <c r="N79" s="23" t="n">
        <v>9.580371248407541</v>
      </c>
      <c r="O79" s="24" t="n">
        <v>0.8653560921934838</v>
      </c>
      <c r="P79" s="25" t="n">
        <v>3.0343833349699</v>
      </c>
      <c r="Q79" s="26" t="n"/>
      <c r="R79" s="26" t="n"/>
      <c r="S79" s="27" t="n"/>
      <c r="V79" s="99" t="n"/>
      <c r="W79" s="102">
        <f>V77+I79/3</f>
        <v/>
      </c>
      <c r="X79" s="117">
        <f>V77+I79/5</f>
        <v/>
      </c>
      <c r="Y79" s="117">
        <f>V77-E79</f>
        <v/>
      </c>
      <c r="Z79" s="100" t="n"/>
      <c r="AA79" s="100" t="n"/>
      <c r="AB79" s="100" t="n"/>
      <c r="AC79" s="117" t="n"/>
      <c r="AD79" s="117" t="n"/>
      <c r="AE79" s="117" t="n"/>
      <c r="AF79" s="117" t="n"/>
      <c r="AH79" s="27" t="n"/>
      <c r="AI79" s="58" t="n"/>
    </row>
    <row customFormat="1" r="80" s="128">
      <c r="A80" s="128" t="n">
        <v>5.21</v>
      </c>
      <c r="B80" s="128" t="inlineStr">
        <is>
          <t>pb equal</t>
        </is>
      </c>
      <c r="C80" s="159" t="n">
        <v>3.817879255601481</v>
      </c>
      <c r="D80" s="19" t="n">
        <v>2.428096719071096</v>
      </c>
      <c r="E80" s="29" t="n">
        <v>0.3640195101747485</v>
      </c>
      <c r="F80" s="20" t="n">
        <v>12.52596643521449</v>
      </c>
      <c r="G80" s="39" t="n">
        <v>2.280870241466321</v>
      </c>
      <c r="H80" s="21" t="n">
        <v>-0.08609527901491743</v>
      </c>
      <c r="I80" s="21" t="n">
        <v>0.176019566794595</v>
      </c>
      <c r="J80" s="21" t="n">
        <v>0.4676012625981647</v>
      </c>
      <c r="K80" s="19" t="n">
        <v>5.158759260630474</v>
      </c>
      <c r="L80" s="22" t="n">
        <v>2.428096719071096</v>
      </c>
      <c r="M80" s="32" t="n">
        <v>0.3640195101747485</v>
      </c>
      <c r="N80" s="23" t="n">
        <v>6.109353397441173</v>
      </c>
      <c r="O80" s="24" t="n">
        <v>0.600195550573714</v>
      </c>
      <c r="P80" s="25" t="n">
        <v>2.516107924967007</v>
      </c>
      <c r="Q80" s="26" t="n"/>
      <c r="R80" s="26" t="n"/>
      <c r="S80" s="27" t="n"/>
      <c r="V80" s="99" t="n"/>
      <c r="W80" s="117">
        <f>V78+I80/3</f>
        <v/>
      </c>
      <c r="X80" s="117">
        <f>V78+I80/5</f>
        <v/>
      </c>
      <c r="Y80" s="117">
        <f>V78-E80</f>
        <v/>
      </c>
      <c r="Z80" s="100" t="n"/>
      <c r="AA80" s="100" t="n"/>
      <c r="AB80" s="100" t="n"/>
      <c r="AC80" s="117" t="n"/>
      <c r="AD80" s="117" t="n"/>
      <c r="AE80" s="117" t="n"/>
      <c r="AF80" s="117" t="n"/>
      <c r="AH80" s="27" t="n"/>
      <c r="AI80" s="58" t="n"/>
    </row>
    <row r="81">
      <c r="C81" s="1" t="n"/>
      <c r="D81" s="88" t="n"/>
      <c r="K81" s="88" t="n"/>
      <c r="L81" s="93" t="n"/>
      <c r="M81" s="94" t="n"/>
      <c r="N81" s="95" t="n"/>
      <c r="P81" s="97" t="n"/>
      <c r="Q81" s="98" t="n"/>
      <c r="R81" s="98" t="n"/>
    </row>
    <row r="82">
      <c r="A82" t="inlineStr">
        <is>
          <t>创业板指</t>
        </is>
      </c>
      <c r="B82" t="inlineStr">
        <is>
          <t>pe weighted</t>
        </is>
      </c>
      <c r="C82" s="164" t="n">
        <v>38.6357473338147</v>
      </c>
      <c r="D82" s="88" t="n">
        <v>27.42840832294443</v>
      </c>
      <c r="E82" s="89" t="n">
        <v>0.2900769309323391</v>
      </c>
      <c r="F82" s="90" t="n">
        <v>142.3028730323945</v>
      </c>
      <c r="G82" s="91" t="n">
        <v>2.683191936288714</v>
      </c>
      <c r="H82" s="92" t="n">
        <v>0.06660934127799312</v>
      </c>
      <c r="I82" s="92" t="n">
        <v>0.3779663308207744</v>
      </c>
      <c r="J82" s="92" t="n">
        <v>0.8278865550418093</v>
      </c>
      <c r="K82" s="88" t="n">
        <v>5.188156430986016</v>
      </c>
      <c r="L82" s="93" t="n">
        <v>27.42840832294443</v>
      </c>
      <c r="M82" s="94" t="n">
        <v>0.2900769309323391</v>
      </c>
      <c r="N82" s="95" t="n">
        <v>106.7499380564177</v>
      </c>
      <c r="O82" s="96" t="n">
        <v>1.762983646571998</v>
      </c>
      <c r="P82" s="97" t="n">
        <v>3.891947968673019</v>
      </c>
      <c r="Q82" s="98" t="n">
        <v>0.1526099434108266</v>
      </c>
      <c r="R82" s="98" t="n">
        <v>0.1283461454358168</v>
      </c>
      <c r="S82" s="99" t="n">
        <v>0.004327771169111912</v>
      </c>
      <c r="T82" t="n">
        <v>2428.33</v>
      </c>
      <c r="U82" s="117">
        <f>C82*S82</f>
        <v/>
      </c>
      <c r="V82" s="117">
        <f>(1+S82)*Q82*(1-U82)+S82</f>
        <v/>
      </c>
      <c r="W82" s="117">
        <f>V82+I82/3</f>
        <v/>
      </c>
      <c r="X82" s="117">
        <f>V82+I82/5</f>
        <v/>
      </c>
      <c r="Y82" s="117">
        <f>V82-E82</f>
        <v/>
      </c>
      <c r="Z82" s="100" t="n"/>
      <c r="AA82" s="100" t="n"/>
      <c r="AB82" s="100" t="n"/>
      <c r="AI82" s="58" t="n"/>
    </row>
    <row r="83">
      <c r="A83" t="inlineStr">
        <is>
          <t>399673</t>
        </is>
      </c>
      <c r="B83" t="inlineStr">
        <is>
          <t>pe equal</t>
        </is>
      </c>
      <c r="C83" s="164" t="n">
        <v>32.02896633257832</v>
      </c>
      <c r="D83" s="88" t="n">
        <v>23.32142531763616</v>
      </c>
      <c r="E83" s="89" t="n">
        <v>0.2718645654850644</v>
      </c>
      <c r="F83" s="90" t="n">
        <v>271.3430174164093</v>
      </c>
      <c r="G83" s="91" t="n">
        <v>7.471800638174583</v>
      </c>
      <c r="H83" s="92" t="n">
        <v>0.06277753945583542</v>
      </c>
      <c r="I83" s="92" t="n">
        <v>0.7569484447381722</v>
      </c>
      <c r="J83" s="92" t="n">
        <v>1.555836990493062</v>
      </c>
      <c r="K83" s="88" t="n">
        <v>11.63492426902458</v>
      </c>
      <c r="L83" s="93" t="n">
        <v>23.32142531763616</v>
      </c>
      <c r="M83" s="94" t="n">
        <v>0.2718645654850644</v>
      </c>
      <c r="N83" s="95" t="n">
        <v>271.3430174164093</v>
      </c>
      <c r="O83" s="96" t="n">
        <v>7.471800638174583</v>
      </c>
      <c r="P83" s="97" t="n">
        <v>11.63492426902458</v>
      </c>
      <c r="Q83" s="98" t="n"/>
      <c r="R83" s="98" t="n"/>
      <c r="S83" s="99" t="n">
        <v>0.005262028363791665</v>
      </c>
      <c r="U83" s="117">
        <f>C83*S83</f>
        <v/>
      </c>
      <c r="V83" s="117">
        <f>(1+S83)*R82*(1-U83)+S83</f>
        <v/>
      </c>
      <c r="W83" s="117">
        <f>V83+I83/3</f>
        <v/>
      </c>
      <c r="X83" s="117">
        <f>V83+I83/5</f>
        <v/>
      </c>
      <c r="Y83" s="117">
        <f>V83-E83</f>
        <v/>
      </c>
      <c r="Z83" s="100" t="n"/>
      <c r="AA83" s="100" t="n"/>
      <c r="AB83" s="100" t="n"/>
      <c r="AI83" s="58" t="n"/>
    </row>
    <row r="84">
      <c r="A84" t="inlineStr">
        <is>
          <t>2010-05-31T16:00:00.000Z</t>
        </is>
      </c>
      <c r="B84" t="inlineStr">
        <is>
          <t>pb weighted</t>
        </is>
      </c>
      <c r="C84" s="162" t="n">
        <v>5.896199214248456</v>
      </c>
      <c r="D84" s="88" t="n">
        <v>3.14732632607552</v>
      </c>
      <c r="E84" s="89" t="n">
        <v>0.4662109925882676</v>
      </c>
      <c r="F84" s="90" t="n">
        <v>16.23817136821915</v>
      </c>
      <c r="G84" s="91" t="n">
        <v>1.754006569007845</v>
      </c>
      <c r="H84" s="92" t="n">
        <v>-0.1918040979536476</v>
      </c>
      <c r="I84" s="92" t="n">
        <v>0.0849955702846048</v>
      </c>
      <c r="J84" s="92" t="n">
        <v>0.5446950064136671</v>
      </c>
      <c r="K84" s="88" t="n">
        <v>5.159354221926814</v>
      </c>
      <c r="L84" s="93" t="n">
        <v>3.14732632607552</v>
      </c>
      <c r="M84" s="94" t="n">
        <v>0.4662109925882676</v>
      </c>
      <c r="N84" s="95" t="n">
        <v>11.72880976133206</v>
      </c>
      <c r="O84" s="96" t="n">
        <v>0.9892153122962353</v>
      </c>
      <c r="P84" s="97" t="n">
        <v>3.72659474937796</v>
      </c>
      <c r="Q84" s="98" t="n"/>
      <c r="R84" s="98" t="n"/>
      <c r="W84" s="117">
        <f>V82+I84/3</f>
        <v/>
      </c>
      <c r="X84" s="117">
        <f>V82+I84/5</f>
        <v/>
      </c>
      <c r="Y84" s="117">
        <f>V82-E84</f>
        <v/>
      </c>
      <c r="Z84" s="100" t="n"/>
      <c r="AA84" s="100" t="n"/>
      <c r="AB84" s="100" t="n"/>
      <c r="AI84" s="58" t="n"/>
    </row>
    <row r="85">
      <c r="A85" t="n">
        <v>5.13</v>
      </c>
      <c r="B85" t="inlineStr">
        <is>
          <t>pb equal</t>
        </is>
      </c>
      <c r="C85" s="162" t="n">
        <v>4.110794371079978</v>
      </c>
      <c r="D85" s="88" t="n">
        <v>2.60957623713522</v>
      </c>
      <c r="E85" s="89" t="n">
        <v>0.36518930367961</v>
      </c>
      <c r="F85" s="90" t="n">
        <v>13.04346469936333</v>
      </c>
      <c r="G85" s="91" t="n">
        <v>2.172979118373315</v>
      </c>
      <c r="H85" s="92" t="n">
        <v>-0.1022037224029902</v>
      </c>
      <c r="I85" s="92" t="n">
        <v>0.1502625279351255</v>
      </c>
      <c r="J85" s="92" t="n">
        <v>0.4456099747231808</v>
      </c>
      <c r="K85" s="88" t="n">
        <v>4.998307584867642</v>
      </c>
      <c r="L85" s="93" t="n">
        <v>2.60957623713522</v>
      </c>
      <c r="M85" s="94" t="n">
        <v>0.36518930367961</v>
      </c>
      <c r="N85" s="95" t="n">
        <v>6.713339507490582</v>
      </c>
      <c r="O85" s="96" t="n">
        <v>0.6331002967990513</v>
      </c>
      <c r="P85" s="97" t="n">
        <v>2.572578417889201</v>
      </c>
      <c r="Q85" s="98" t="n"/>
      <c r="R85" s="98" t="n"/>
      <c r="W85" s="117">
        <f>V83+I85/3</f>
        <v/>
      </c>
      <c r="X85" s="117">
        <f>V83+I85/5</f>
        <v/>
      </c>
      <c r="Y85" s="117">
        <f>V83-E85</f>
        <v/>
      </c>
      <c r="Z85" s="100" t="n"/>
      <c r="AA85" s="100" t="n"/>
      <c r="AB85" s="100" t="n"/>
      <c r="AI85" s="58" t="n"/>
    </row>
    <row r="86">
      <c r="C86" s="1" t="n"/>
      <c r="D86" s="88" t="n"/>
      <c r="K86" s="88" t="n"/>
      <c r="L86" s="93" t="n"/>
      <c r="M86" s="94" t="n"/>
      <c r="N86" s="95" t="n"/>
      <c r="P86" s="97" t="n"/>
      <c r="Q86" s="98" t="n"/>
      <c r="R86" s="98" t="n"/>
    </row>
    <row r="87">
      <c r="A87" t="inlineStr">
        <is>
          <t>创业板50</t>
        </is>
      </c>
      <c r="B87" t="inlineStr">
        <is>
          <t>pe weighted</t>
        </is>
      </c>
      <c r="C87" s="163" t="n">
        <v>22.89833985474784</v>
      </c>
      <c r="D87" s="88" t="n">
        <v>17.03623931364481</v>
      </c>
      <c r="E87" s="89" t="n">
        <v>0.2560054824187422</v>
      </c>
      <c r="F87" s="90" t="n">
        <v>36.18820873402941</v>
      </c>
      <c r="G87" s="91" t="n">
        <v>0.5803856944906853</v>
      </c>
      <c r="H87" s="92" t="n">
        <v>-0.1290025271351908</v>
      </c>
      <c r="I87" s="92" t="n">
        <v>-0.01182063533986066</v>
      </c>
      <c r="J87" s="92" t="n">
        <v>0.1761980133466452</v>
      </c>
      <c r="K87" s="88" t="n">
        <v>2.124189973373128</v>
      </c>
      <c r="L87" s="93" t="n">
        <v>17.03623931364481</v>
      </c>
      <c r="M87" s="94" t="n">
        <v>0.2560054824187422</v>
      </c>
      <c r="N87" s="95" t="n">
        <v>31.43668918870973</v>
      </c>
      <c r="O87" s="96" t="n">
        <v>0.372880714851977</v>
      </c>
      <c r="P87" s="97" t="n">
        <v>1.845283375629221</v>
      </c>
      <c r="Q87" s="98" t="n">
        <v>0.1043180964875464</v>
      </c>
      <c r="R87" s="98" t="n">
        <v>0.07446916318117799</v>
      </c>
      <c r="S87" s="99" t="n">
        <v>0.01986771816131135</v>
      </c>
      <c r="T87" t="n">
        <v>6839.08</v>
      </c>
      <c r="U87" s="117">
        <f>C87*S87</f>
        <v/>
      </c>
      <c r="V87" s="117">
        <f>(1+S87)*Q87*(1-U87)+S87</f>
        <v/>
      </c>
      <c r="W87" s="117">
        <f>V87+I87/3</f>
        <v/>
      </c>
      <c r="X87" s="117">
        <f>V87+I87/5</f>
        <v/>
      </c>
      <c r="Y87" s="117">
        <f>V87-E87</f>
        <v/>
      </c>
      <c r="Z87" s="100" t="n"/>
      <c r="AA87" s="100" t="n"/>
      <c r="AB87" s="100" t="n"/>
      <c r="AI87" s="58" t="n"/>
    </row>
    <row r="88">
      <c r="A88" t="inlineStr">
        <is>
          <t>399812</t>
        </is>
      </c>
      <c r="B88" t="inlineStr">
        <is>
          <t>pe equal</t>
        </is>
      </c>
      <c r="C88" s="163" t="n">
        <v>32.67580084403836</v>
      </c>
      <c r="D88" s="88" t="n">
        <v>19.17483982745222</v>
      </c>
      <c r="E88" s="89" t="n">
        <v>0.4131791927924351</v>
      </c>
      <c r="F88" s="90" t="n">
        <v>61.2660567265816</v>
      </c>
      <c r="G88" s="91" t="n">
        <v>0.8749672584615311</v>
      </c>
      <c r="H88" s="92" t="n">
        <v>-0.1724038963219346</v>
      </c>
      <c r="I88" s="92" t="n">
        <v>-0.0522585880492209</v>
      </c>
      <c r="J88" s="92" t="n">
        <v>0.1034954745681722</v>
      </c>
      <c r="K88" s="88" t="n">
        <v>3.195127431461943</v>
      </c>
      <c r="L88" s="93" t="n">
        <v>19.17483982745222</v>
      </c>
      <c r="M88" s="94" t="n">
        <v>0.4131791927924351</v>
      </c>
      <c r="N88" s="95" t="n">
        <v>61.2660567265816</v>
      </c>
      <c r="O88" s="96" t="n">
        <v>0.8749672584615311</v>
      </c>
      <c r="P88" s="97" t="n">
        <v>3.195127431461943</v>
      </c>
      <c r="Q88" s="98" t="n"/>
      <c r="R88" s="98" t="n"/>
      <c r="S88" s="99" t="n">
        <v>0.01497127275791484</v>
      </c>
      <c r="U88" s="117">
        <f>C88*S88</f>
        <v/>
      </c>
      <c r="V88" s="117">
        <f>(1+S88)*R87*(1-U88)+S88</f>
        <v/>
      </c>
      <c r="W88" s="117">
        <f>V88+I88/3</f>
        <v/>
      </c>
      <c r="X88" s="117">
        <f>V88+I88/5</f>
        <v/>
      </c>
      <c r="Y88" s="117">
        <f>V88-E88</f>
        <v/>
      </c>
      <c r="Z88" s="100" t="n"/>
      <c r="AA88" s="100" t="n"/>
      <c r="AB88" s="100" t="n"/>
      <c r="AI88" s="58" t="n"/>
    </row>
    <row r="89">
      <c r="A89" t="inlineStr">
        <is>
          <t>2014-06-17T16:00:00.000Z</t>
        </is>
      </c>
      <c r="B89" t="inlineStr">
        <is>
          <t>pb weighted</t>
        </is>
      </c>
      <c r="C89" s="164" t="n">
        <v>2.388711226372214</v>
      </c>
      <c r="D89" s="88" t="n">
        <v>2.004955158384123</v>
      </c>
      <c r="E89" s="89" t="n">
        <v>0.1606540228686032</v>
      </c>
      <c r="F89" s="90" t="n">
        <v>4.757604390620189</v>
      </c>
      <c r="G89" s="91" t="n">
        <v>0.9917034500003852</v>
      </c>
      <c r="H89" s="92" t="n">
        <v>0.1413553959354934</v>
      </c>
      <c r="I89" s="92" t="n">
        <v>0.2702677728006684</v>
      </c>
      <c r="J89" s="92" t="n">
        <v>0.4892594124366176</v>
      </c>
      <c r="K89" s="88" t="n">
        <v>2.372923090436866</v>
      </c>
      <c r="L89" s="93" t="n">
        <v>2.004955158384123</v>
      </c>
      <c r="M89" s="94" t="n">
        <v>0.1606540228686032</v>
      </c>
      <c r="N89" s="95" t="n">
        <v>4.295396281969364</v>
      </c>
      <c r="O89" s="96" t="n">
        <v>0.7982065954840731</v>
      </c>
      <c r="P89" s="97" t="n">
        <v>2.142390199604864</v>
      </c>
      <c r="Q89" s="98" t="n"/>
      <c r="R89" s="98" t="n"/>
      <c r="W89" s="117">
        <f>V87+I89/3</f>
        <v/>
      </c>
      <c r="X89" s="117">
        <f>V87+I89/5</f>
        <v/>
      </c>
      <c r="Y89" s="117">
        <f>V87-E89</f>
        <v/>
      </c>
      <c r="Z89" s="100" t="n"/>
      <c r="AA89" s="100" t="n"/>
      <c r="AB89" s="100" t="n"/>
      <c r="AI89" s="58" t="n"/>
    </row>
    <row r="90">
      <c r="A90" t="n">
        <v>3.37</v>
      </c>
      <c r="B90" t="inlineStr">
        <is>
          <t>pb equal</t>
        </is>
      </c>
      <c r="C90" s="164" t="n">
        <v>2.433339545130366</v>
      </c>
      <c r="D90" s="88" t="n">
        <v>2.005672984775815</v>
      </c>
      <c r="E90" s="89" t="n">
        <v>0.1757529323067156</v>
      </c>
      <c r="F90" s="90" t="n">
        <v>6.769096600985304</v>
      </c>
      <c r="G90" s="91" t="n">
        <v>1.781813419558202</v>
      </c>
      <c r="H90" s="92" t="n">
        <v>0.2051008368249709</v>
      </c>
      <c r="I90" s="92" t="n">
        <v>0.4805106176037717</v>
      </c>
      <c r="J90" s="92" t="n">
        <v>0.6376478749858336</v>
      </c>
      <c r="K90" s="88" t="n">
        <v>3.374975209002939</v>
      </c>
      <c r="L90" s="93" t="n">
        <v>2.005672984775815</v>
      </c>
      <c r="M90" s="94" t="n">
        <v>0.1757529323067156</v>
      </c>
      <c r="N90" s="95" t="n">
        <v>4.367888714554367</v>
      </c>
      <c r="O90" s="96" t="n">
        <v>0.795018177095526</v>
      </c>
      <c r="P90" s="97" t="n">
        <v>2.1777671373694</v>
      </c>
      <c r="Q90" s="98" t="n"/>
      <c r="R90" s="98" t="n"/>
      <c r="W90" s="117">
        <f>V88+I90/3</f>
        <v/>
      </c>
      <c r="X90" s="117">
        <f>V88+I90/5</f>
        <v/>
      </c>
      <c r="Y90" s="117">
        <f>V88-E90</f>
        <v/>
      </c>
      <c r="Z90" s="100" t="n"/>
      <c r="AA90" s="100" t="n"/>
      <c r="AB90" s="100" t="n"/>
      <c r="AI90" s="58" t="n"/>
    </row>
    <row r="91">
      <c r="M91" s="94" t="n"/>
      <c r="N91" s="95" t="n"/>
      <c r="P91" s="97" t="n"/>
      <c r="Q91" s="98" t="n"/>
      <c r="R91" s="98" t="n"/>
    </row>
    <row customFormat="1" r="92" s="128">
      <c r="A92" s="33" t="inlineStr">
        <is>
          <t>养老产业</t>
        </is>
      </c>
      <c r="B92" s="128" t="inlineStr">
        <is>
          <t>pe weighted</t>
        </is>
      </c>
      <c r="C92" s="160" t="n">
        <v>54.22756937457941</v>
      </c>
      <c r="D92" s="19" t="n">
        <v>44.82415354104698</v>
      </c>
      <c r="E92" s="29" t="n">
        <v>0.1734065520912048</v>
      </c>
      <c r="F92" s="20" t="n">
        <v>248.7878627924928</v>
      </c>
      <c r="G92" s="39" t="n">
        <v>3.587848315198849</v>
      </c>
      <c r="H92" s="21" t="n">
        <v>0.06075423843033145</v>
      </c>
      <c r="I92" s="21" t="n">
        <v>0.2550992279933069</v>
      </c>
      <c r="J92" s="21" t="n">
        <v>1.149373232351234</v>
      </c>
      <c r="K92" s="19" t="n">
        <v>5.550308107093856</v>
      </c>
      <c r="L92" s="22" t="n">
        <v>44.82415354104698</v>
      </c>
      <c r="M92" s="32" t="n">
        <v>0.1734065520912048</v>
      </c>
      <c r="N92" s="23" t="n">
        <v>81.2363447633021</v>
      </c>
      <c r="O92" s="24" t="n">
        <v>0.4980635440647974</v>
      </c>
      <c r="P92" s="25" t="n">
        <v>1.812334162404456</v>
      </c>
      <c r="Q92" s="26" t="n">
        <v>0.05898907434801458</v>
      </c>
      <c r="R92" s="26" t="n">
        <v>0.05673497332196244</v>
      </c>
      <c r="S92" s="27" t="n">
        <v>0.005140773209118252</v>
      </c>
      <c r="T92" s="128" t="n">
        <v>11424.6</v>
      </c>
      <c r="U92" s="117">
        <f>C92*S92</f>
        <v/>
      </c>
      <c r="V92" s="117">
        <f>(1+S92)*Q92*(1-U92)+S92</f>
        <v/>
      </c>
      <c r="W92" s="117">
        <f>V92+I92/3</f>
        <v/>
      </c>
      <c r="X92" s="117">
        <f>V92+I92/5</f>
        <v/>
      </c>
      <c r="Y92" s="117">
        <f>V92-E92</f>
        <v/>
      </c>
      <c r="Z92" s="100" t="n"/>
      <c r="AA92" s="100" t="n"/>
      <c r="AB92" s="100" t="n"/>
      <c r="AC92" s="117" t="n"/>
      <c r="AD92" s="117" t="n"/>
      <c r="AE92" s="117" t="n"/>
      <c r="AF92" s="117" t="n"/>
      <c r="AH92" s="27" t="n"/>
      <c r="AI92" s="58" t="n"/>
    </row>
    <row customFormat="1" r="93" s="128">
      <c r="A93" s="128" t="inlineStr">
        <is>
          <t>399967</t>
        </is>
      </c>
      <c r="B93" s="128" t="inlineStr">
        <is>
          <t>pe equal</t>
        </is>
      </c>
      <c r="C93" s="159" t="n">
        <v>59.13561891298366</v>
      </c>
      <c r="D93" s="19" t="n">
        <v>42.8237242259692</v>
      </c>
      <c r="E93" s="29" t="n">
        <v>0.2758387413010243</v>
      </c>
      <c r="F93" s="20" t="n">
        <v>-774.8885505257375</v>
      </c>
      <c r="G93" s="39" t="n">
        <v>-14.10358401196347</v>
      </c>
      <c r="H93" s="21" t="n">
        <v>-0.0255709279245242</v>
      </c>
      <c r="I93" s="21" t="n">
        <v>0.1614403522007548</v>
      </c>
      <c r="J93" s="21" t="n">
        <v>0.819852324540016</v>
      </c>
      <c r="K93" s="19" t="n">
        <v>-18.09484262594398</v>
      </c>
      <c r="L93" s="22" t="n">
        <v>42.8237242259692</v>
      </c>
      <c r="M93" s="32" t="n">
        <v>0.2758387413010243</v>
      </c>
      <c r="N93" s="23" t="n">
        <v>78.1773785045939</v>
      </c>
      <c r="O93" s="24" t="n">
        <v>0.3220015270260321</v>
      </c>
      <c r="P93" s="25" t="n">
        <v>1.825562346984887</v>
      </c>
      <c r="Q93" s="26" t="n"/>
      <c r="R93" s="26" t="n"/>
      <c r="S93" s="27" t="n">
        <v>0.005108332086952592</v>
      </c>
      <c r="U93" s="117">
        <f>C93*S93</f>
        <v/>
      </c>
      <c r="V93" s="102">
        <f>(1+S93)*R92*(1-U93)+S93</f>
        <v/>
      </c>
      <c r="W93" s="102">
        <f>V93+I93/3</f>
        <v/>
      </c>
      <c r="X93" s="117">
        <f>V93+I93/5</f>
        <v/>
      </c>
      <c r="Y93" s="117">
        <f>V93-E93</f>
        <v/>
      </c>
      <c r="Z93" s="100" t="n"/>
      <c r="AA93" s="100" t="n"/>
      <c r="AB93" s="100" t="n"/>
      <c r="AC93" s="117" t="n"/>
      <c r="AD93" s="117" t="n"/>
      <c r="AE93" s="117" t="n"/>
      <c r="AF93" s="117" t="n"/>
      <c r="AH93" s="27" t="n"/>
      <c r="AI93" s="58" t="n"/>
    </row>
    <row customFormat="1" r="94" s="128">
      <c r="A94" s="128" t="inlineStr">
        <is>
          <t>2014-06-05T16:00:00.000Z</t>
        </is>
      </c>
      <c r="B94" s="128" t="inlineStr">
        <is>
          <t>pb weighted</t>
        </is>
      </c>
      <c r="C94" s="159" t="n">
        <v>3.198834121549183</v>
      </c>
      <c r="D94" s="19" t="n">
        <v>2.042506840481153</v>
      </c>
      <c r="E94" s="29" t="n">
        <v>0.3614839773273473</v>
      </c>
      <c r="F94" s="20" t="n">
        <v>9.253616727516055</v>
      </c>
      <c r="G94" s="39" t="n">
        <v>1.892809184814674</v>
      </c>
      <c r="H94" s="21" t="n">
        <v>-0.1670810219048261</v>
      </c>
      <c r="I94" s="21" t="n">
        <v>0.05673818559044341</v>
      </c>
      <c r="J94" s="21" t="n">
        <v>0.3216364743318452</v>
      </c>
      <c r="K94" s="19" t="n">
        <v>4.53051933247684</v>
      </c>
      <c r="L94" s="22" t="n">
        <v>2.042506840481153</v>
      </c>
      <c r="M94" s="32" t="n">
        <v>0.3614839773273473</v>
      </c>
      <c r="N94" s="23" t="n">
        <v>4.869873771890634</v>
      </c>
      <c r="O94" s="24" t="n">
        <v>0.5223902168244263</v>
      </c>
      <c r="P94" s="25" t="n">
        <v>2.384263139477877</v>
      </c>
      <c r="Q94" s="26" t="n"/>
      <c r="R94" s="26" t="n"/>
      <c r="S94" s="27" t="n"/>
      <c r="V94" s="99" t="n"/>
      <c r="W94" s="117">
        <f>V92+I94/3</f>
        <v/>
      </c>
      <c r="X94" s="117">
        <f>V92+I94/5</f>
        <v/>
      </c>
      <c r="Y94" s="117">
        <f>V92-E94</f>
        <v/>
      </c>
      <c r="Z94" s="100" t="n"/>
      <c r="AA94" s="100" t="n"/>
      <c r="AB94" s="100" t="n"/>
      <c r="AC94" s="117" t="n"/>
      <c r="AD94" s="117" t="n"/>
      <c r="AE94" s="117" t="n"/>
      <c r="AF94" s="117" t="n"/>
      <c r="AH94" s="27" t="n"/>
      <c r="AI94" s="58" t="n"/>
    </row>
    <row customFormat="1" r="95" s="128">
      <c r="A95" s="128" t="n">
        <v>3.11</v>
      </c>
      <c r="B95" s="128" t="inlineStr">
        <is>
          <t>pb equal</t>
        </is>
      </c>
      <c r="C95" s="159" t="n">
        <v>3.355057761405865</v>
      </c>
      <c r="D95" s="19" t="n">
        <v>2.223346928021063</v>
      </c>
      <c r="E95" s="29" t="n">
        <v>0.3373148583023451</v>
      </c>
      <c r="F95" s="20" t="n">
        <v>9.770134815103271</v>
      </c>
      <c r="G95" s="39" t="n">
        <v>1.91206158281141</v>
      </c>
      <c r="H95" s="21" t="n">
        <v>-0.09779547317618842</v>
      </c>
      <c r="I95" s="21" t="n">
        <v>0.0866286348677745</v>
      </c>
      <c r="J95" s="21" t="n">
        <v>0.3676026012834475</v>
      </c>
      <c r="K95" s="19" t="n">
        <v>4.394336615653314</v>
      </c>
      <c r="L95" s="22" t="n">
        <v>2.223346928021063</v>
      </c>
      <c r="M95" s="32" t="n">
        <v>0.3373148583023451</v>
      </c>
      <c r="N95" s="23" t="n">
        <v>4.597427516502392</v>
      </c>
      <c r="O95" s="24" t="n">
        <v>0.3702975756148943</v>
      </c>
      <c r="P95" s="25" t="n">
        <v>2.067795834541409</v>
      </c>
      <c r="Q95" s="26" t="n"/>
      <c r="R95" s="26" t="n"/>
      <c r="S95" s="27" t="n"/>
      <c r="T95" s="58">
        <f>T92/C95</f>
        <v/>
      </c>
      <c r="U95" s="58" t="n"/>
      <c r="V95" s="58">
        <f>T92/C93</f>
        <v/>
      </c>
      <c r="W95" s="102">
        <f>V93+I95/3</f>
        <v/>
      </c>
      <c r="X95" s="117">
        <f>V93+I95/5</f>
        <v/>
      </c>
      <c r="Y95" s="117">
        <f>V93-E95</f>
        <v/>
      </c>
      <c r="Z95" s="100" t="n"/>
      <c r="AA95" s="100" t="n"/>
      <c r="AB95" s="100" t="n"/>
      <c r="AC95" s="117" t="n"/>
      <c r="AD95" s="117" t="n"/>
      <c r="AE95" s="117" t="n"/>
      <c r="AF95" s="117" t="n"/>
      <c r="AH95" s="27" t="n"/>
      <c r="AI95" s="58" t="n"/>
    </row>
    <row r="96">
      <c r="Q96" s="98" t="n"/>
      <c r="R96" s="98" t="n"/>
    </row>
    <row customFormat="1" r="97" s="128">
      <c r="A97" s="128" t="inlineStr">
        <is>
          <t>中证军工</t>
        </is>
      </c>
      <c r="B97" s="128" t="inlineStr">
        <is>
          <t>pe weighted</t>
        </is>
      </c>
      <c r="C97" s="160" t="n">
        <v>4.518770862465093</v>
      </c>
      <c r="D97" s="19" t="n">
        <v>4.118254372850062</v>
      </c>
      <c r="E97" s="29" t="n">
        <v>0.08863394533719282</v>
      </c>
      <c r="F97" s="20" t="n">
        <v>9.084638393652934</v>
      </c>
      <c r="G97" s="39" t="n">
        <v>1.010422451183342</v>
      </c>
      <c r="H97" s="21" t="n">
        <v>0.1637467812604352</v>
      </c>
      <c r="I97" s="21" t="n">
        <v>0.3725041416499582</v>
      </c>
      <c r="J97" s="21" t="n">
        <v>0.5009196753589826</v>
      </c>
      <c r="K97" s="19" t="n">
        <v>2.205943968285246</v>
      </c>
      <c r="L97" s="22" t="n">
        <v>4.118254372850062</v>
      </c>
      <c r="M97" s="32" t="n">
        <v>0.08863394533719282</v>
      </c>
      <c r="N97" s="23" t="n">
        <v>8.27991327058561</v>
      </c>
      <c r="O97" s="24" t="n">
        <v>0.832337492339394</v>
      </c>
      <c r="P97" s="25" t="n">
        <v>2.010539544417565</v>
      </c>
      <c r="Q97" s="26" t="n">
        <v>0.1177003169704419</v>
      </c>
      <c r="R97" s="26" t="n">
        <v>0.109941770506394</v>
      </c>
      <c r="S97" s="27" t="n">
        <v>0.0593653505352404</v>
      </c>
      <c r="T97" s="128" t="n">
        <v>5598.16</v>
      </c>
      <c r="U97" s="117">
        <f>C97*S97</f>
        <v/>
      </c>
      <c r="V97" s="117">
        <f>(1+S97)*Q97*(1-U97)+S97</f>
        <v/>
      </c>
      <c r="W97" s="117">
        <f>V97+I97/3</f>
        <v/>
      </c>
      <c r="X97" s="117">
        <f>V97+I97/5</f>
        <v/>
      </c>
      <c r="Y97" s="117">
        <f>V97-E97</f>
        <v/>
      </c>
      <c r="Z97" s="100" t="n"/>
      <c r="AA97" s="100" t="n"/>
      <c r="AB97" s="100" t="n"/>
      <c r="AC97" s="117" t="n"/>
      <c r="AD97" s="117" t="n"/>
      <c r="AE97" s="117" t="n"/>
      <c r="AF97" s="117" t="n"/>
      <c r="AH97" s="27" t="n"/>
      <c r="AI97" s="58" t="n"/>
    </row>
    <row customFormat="1" r="98" s="128">
      <c r="A98" s="128" t="inlineStr">
        <is>
          <t>399986</t>
        </is>
      </c>
      <c r="B98" s="128" t="inlineStr">
        <is>
          <t>pe equal</t>
        </is>
      </c>
      <c r="C98" s="160" t="n">
        <v>5.01782230692496</v>
      </c>
      <c r="D98" s="19" t="n">
        <v>4.571919583312054</v>
      </c>
      <c r="E98" s="29" t="n">
        <v>0.0888637931633266</v>
      </c>
      <c r="F98" s="20" t="n">
        <v>9.826408451626936</v>
      </c>
      <c r="G98" s="39" t="n">
        <v>0.9583014006027628</v>
      </c>
      <c r="H98" s="21" t="n">
        <v>0.08756322674727524</v>
      </c>
      <c r="I98" s="21" t="n">
        <v>0.3259744331507952</v>
      </c>
      <c r="J98" s="21" t="n">
        <v>0.4614804854475536</v>
      </c>
      <c r="K98" s="19" t="n">
        <v>2.149295995383268</v>
      </c>
      <c r="L98" s="22" t="n">
        <v>4.624648259826527</v>
      </c>
      <c r="M98" s="32" t="n">
        <v>0.07835551421496612</v>
      </c>
      <c r="N98" s="23" t="n">
        <v>9.081514787672107</v>
      </c>
      <c r="O98" s="24" t="n">
        <v>0.8098518106428274</v>
      </c>
      <c r="P98" s="25" t="n">
        <v>1.963720109605213</v>
      </c>
      <c r="Q98" s="26" t="n"/>
      <c r="R98" s="26" t="n"/>
      <c r="S98" s="27" t="n">
        <v>0.04653467559127265</v>
      </c>
      <c r="U98" s="117">
        <f>C98*S98</f>
        <v/>
      </c>
      <c r="V98" s="117">
        <f>(1+S98)*R97*(1-U98)+S98</f>
        <v/>
      </c>
      <c r="W98" s="117">
        <f>V98+I98/3</f>
        <v/>
      </c>
      <c r="X98" s="117">
        <f>V98+I98/5</f>
        <v/>
      </c>
      <c r="Y98" s="117">
        <f>V98-E98</f>
        <v/>
      </c>
      <c r="Z98" s="100" t="n"/>
      <c r="AA98" s="100" t="n"/>
      <c r="AB98" s="100" t="n"/>
      <c r="AC98" s="117" t="n"/>
      <c r="AD98" s="117" t="n"/>
      <c r="AE98" s="117" t="n"/>
      <c r="AF98" s="117" t="n"/>
      <c r="AH98" s="27" t="n"/>
      <c r="AI98" s="58" t="n"/>
    </row>
    <row customFormat="1" r="99" s="128">
      <c r="A99" s="128" t="inlineStr">
        <is>
          <t>2013-12-25T16:00:00.000Z</t>
        </is>
      </c>
      <c r="B99" s="128" t="inlineStr">
        <is>
          <t>pb weighted</t>
        </is>
      </c>
      <c r="C99" s="160" t="n">
        <v>0.5318607628289386</v>
      </c>
      <c r="D99" s="19" t="n">
        <v>0.484775809454944</v>
      </c>
      <c r="E99" s="29" t="n">
        <v>0.08852872154650449</v>
      </c>
      <c r="F99" s="20" t="n">
        <v>1.431324950837465</v>
      </c>
      <c r="G99" s="39" t="n">
        <v>1.691164776330416</v>
      </c>
      <c r="H99" s="21" t="n">
        <v>0.3528738088458527</v>
      </c>
      <c r="I99" s="21" t="n">
        <v>0.6720527832804311</v>
      </c>
      <c r="J99" s="21" t="n">
        <v>0.9634311455327458</v>
      </c>
      <c r="K99" s="19" t="n">
        <v>2.952550277718622</v>
      </c>
      <c r="L99" s="22" t="n">
        <v>0.484775809454944</v>
      </c>
      <c r="M99" s="32" t="n">
        <v>0.08852872154650449</v>
      </c>
      <c r="N99" s="23" t="n">
        <v>1.131644796751708</v>
      </c>
      <c r="O99" s="24" t="n">
        <v>1.12770874604953</v>
      </c>
      <c r="P99" s="25" t="n">
        <v>2.334367298615969</v>
      </c>
      <c r="Q99" s="26" t="n"/>
      <c r="R99" s="26" t="n"/>
      <c r="S99" s="27" t="n"/>
      <c r="V99" s="99" t="n"/>
      <c r="W99" s="117">
        <f>V97+I99/3</f>
        <v/>
      </c>
      <c r="X99" s="117">
        <f>V97+I99/5</f>
        <v/>
      </c>
      <c r="Y99" s="117">
        <f>V97-E99</f>
        <v/>
      </c>
      <c r="Z99" s="100" t="n"/>
      <c r="AA99" s="100" t="n"/>
      <c r="AB99" s="100" t="n"/>
      <c r="AC99" s="117" t="n"/>
      <c r="AD99" s="117" t="n"/>
      <c r="AE99" s="117" t="n"/>
      <c r="AF99" s="117" t="n"/>
      <c r="AH99" s="27" t="n"/>
      <c r="AI99" s="58" t="n"/>
    </row>
    <row customFormat="1" r="100" s="128">
      <c r="A100" s="128" t="n">
        <v>2.16</v>
      </c>
      <c r="B100" s="128" t="inlineStr">
        <is>
          <t>pb equal</t>
        </is>
      </c>
      <c r="C100" s="160" t="n">
        <v>0.5516682685098087</v>
      </c>
      <c r="D100" s="19" t="n">
        <v>0.5115892761700012</v>
      </c>
      <c r="E100" s="29" t="n">
        <v>0.07265053045024805</v>
      </c>
      <c r="F100" s="20" t="n">
        <v>1.521258747308089</v>
      </c>
      <c r="G100" s="39" t="n">
        <v>1.757560719265913</v>
      </c>
      <c r="H100" s="21" t="n">
        <v>0.3500529095854599</v>
      </c>
      <c r="I100" s="21" t="n">
        <v>0.6530987071307492</v>
      </c>
      <c r="J100" s="21" t="n">
        <v>0.9500478225253768</v>
      </c>
      <c r="K100" s="19" t="n">
        <v>2.973593892930966</v>
      </c>
      <c r="L100" s="22" t="n">
        <v>0.5115892761700012</v>
      </c>
      <c r="M100" s="32" t="n">
        <v>0.07265053045024805</v>
      </c>
      <c r="N100" s="23" t="n">
        <v>1.170373160276302</v>
      </c>
      <c r="O100" s="24" t="n">
        <v>1.121516184785772</v>
      </c>
      <c r="P100" s="25" t="n">
        <v>2.287720276387082</v>
      </c>
      <c r="Q100" s="26" t="n"/>
      <c r="R100" s="26" t="n"/>
      <c r="S100" s="27" t="n"/>
      <c r="V100" s="99" t="n"/>
      <c r="W100" s="117">
        <f>V98+I100/3</f>
        <v/>
      </c>
      <c r="X100" s="117">
        <f>V98+I100/5</f>
        <v/>
      </c>
      <c r="Y100" s="117">
        <f>V98-E100</f>
        <v/>
      </c>
      <c r="Z100" s="100" t="n"/>
      <c r="AA100" s="100" t="n"/>
      <c r="AB100" s="100" t="n"/>
      <c r="AC100" s="117" t="n"/>
      <c r="AD100" s="117" t="n"/>
      <c r="AE100" s="117" t="n"/>
      <c r="AF100" s="117" t="n"/>
      <c r="AH100" s="27" t="n"/>
      <c r="AI100" s="58" t="n"/>
    </row>
    <row r="101">
      <c r="A101" s="99">
        <f>1.02/C104-1</f>
        <v/>
      </c>
      <c r="B101" s="99">
        <f>1.07/C104-1</f>
        <v/>
      </c>
      <c r="C101" s="99">
        <f>1.13/C104-1</f>
        <v/>
      </c>
      <c r="D101" s="99">
        <f>1.2/C104-1</f>
        <v/>
      </c>
      <c r="F101" s="90" t="n"/>
      <c r="K101" s="88" t="n"/>
      <c r="L101" s="93" t="n"/>
      <c r="M101" s="94" t="n"/>
      <c r="N101" s="95" t="n"/>
      <c r="P101" s="97" t="n"/>
      <c r="Q101" s="98" t="n"/>
      <c r="R101" s="98" t="n"/>
    </row>
    <row customFormat="1" r="102" s="128">
      <c r="A102" s="128" t="inlineStr">
        <is>
          <t>中证银行</t>
        </is>
      </c>
      <c r="B102" s="128" t="inlineStr">
        <is>
          <t>pe weighted</t>
        </is>
      </c>
      <c r="C102" s="159" t="n">
        <v>36.70086638218553</v>
      </c>
      <c r="D102" s="19" t="n">
        <v>19.16838160341743</v>
      </c>
      <c r="E102" s="29" t="n">
        <v>0.4777131034508305</v>
      </c>
      <c r="F102" s="20" t="n">
        <v>121.6112449066021</v>
      </c>
      <c r="G102" s="39" t="n">
        <v>2.313579675209841</v>
      </c>
      <c r="H102" s="21" t="n">
        <v>-0.2182143561393681</v>
      </c>
      <c r="I102" s="21" t="n">
        <v>0.007396743398915495</v>
      </c>
      <c r="J102" s="21" t="n">
        <v>0.423819740687291</v>
      </c>
      <c r="K102" s="19" t="n">
        <v>6.344366854889861</v>
      </c>
      <c r="L102" s="22" t="n">
        <v>19.16838160341743</v>
      </c>
      <c r="M102" s="32" t="n">
        <v>0.4777131034508305</v>
      </c>
      <c r="N102" s="23" t="n">
        <v>78.9086922733118</v>
      </c>
      <c r="O102" s="24" t="n">
        <v>1.150049850365761</v>
      </c>
      <c r="P102" s="25" t="n">
        <v>4.116606915799485</v>
      </c>
      <c r="Q102" s="26" t="n">
        <v>0.05479137136339143</v>
      </c>
      <c r="R102" s="26" t="n">
        <v>0.04140677525013619</v>
      </c>
      <c r="S102" s="27" t="n">
        <v>0.02076152826486243</v>
      </c>
      <c r="T102" s="128" t="n">
        <v>1041.96</v>
      </c>
      <c r="U102" s="117">
        <f>C102*S102</f>
        <v/>
      </c>
      <c r="V102" s="102">
        <f>(1+S102)*Q102*(1-U102)+S102</f>
        <v/>
      </c>
      <c r="W102" s="102">
        <f>V102+I102/3</f>
        <v/>
      </c>
      <c r="X102" s="117">
        <f>V102+I102/5</f>
        <v/>
      </c>
      <c r="Y102" s="117">
        <f>V102-E102</f>
        <v/>
      </c>
      <c r="Z102" s="100" t="n">
        <v>2.2</v>
      </c>
      <c r="AA102" s="76">
        <f>Z102*E104</f>
        <v/>
      </c>
      <c r="AB102" s="100" t="n"/>
      <c r="AC102" s="117" t="n"/>
      <c r="AD102" s="117" t="n"/>
      <c r="AE102" s="117" t="n"/>
      <c r="AF102" s="117" t="n"/>
      <c r="AH102" s="27" t="n"/>
      <c r="AI102" s="58" t="n"/>
    </row>
    <row customFormat="1" r="103" s="128">
      <c r="A103" s="128" t="inlineStr">
        <is>
          <t>399971</t>
        </is>
      </c>
      <c r="B103" s="128" t="inlineStr">
        <is>
          <t>pe equal</t>
        </is>
      </c>
      <c r="C103" s="159" t="n">
        <v>42.60168670616117</v>
      </c>
      <c r="D103" s="19" t="n">
        <v>18.0369786764379</v>
      </c>
      <c r="E103" s="29" t="n">
        <v>0.5766135082668136</v>
      </c>
      <c r="F103" s="20" t="n">
        <v>-17.96663430299807</v>
      </c>
      <c r="G103" s="39" t="n">
        <v>-1.421735280739476</v>
      </c>
      <c r="H103" s="21" t="n">
        <v>-0.2738047816812755</v>
      </c>
      <c r="I103" s="21" t="n">
        <v>0.008506384693388824</v>
      </c>
      <c r="J103" s="21" t="n">
        <v>0.2580705813817008</v>
      </c>
      <c r="K103" s="19" t="n">
        <v>-0.9960999913177409</v>
      </c>
      <c r="L103" s="22" t="n">
        <v>18.0369786764379</v>
      </c>
      <c r="M103" s="32" t="n">
        <v>0.5766135082668136</v>
      </c>
      <c r="N103" s="23" t="n">
        <v>-17.96663430299807</v>
      </c>
      <c r="O103" s="24" t="n">
        <v>-1.421735280739476</v>
      </c>
      <c r="P103" s="25" t="n">
        <v>-0.9960999913177409</v>
      </c>
      <c r="Q103" s="26" t="n"/>
      <c r="R103" s="26" t="n"/>
      <c r="S103" s="27" t="n">
        <v>0.01600157925092547</v>
      </c>
      <c r="U103" s="117">
        <f>C103*S103</f>
        <v/>
      </c>
      <c r="V103" s="117">
        <f>(1+S103)*R102*(1-U103)+S103</f>
        <v/>
      </c>
      <c r="W103" s="117">
        <f>V103+I103/3</f>
        <v/>
      </c>
      <c r="X103" s="117">
        <f>V103+I103/5</f>
        <v/>
      </c>
      <c r="Y103" s="117">
        <f>V103-E103</f>
        <v/>
      </c>
      <c r="Z103" s="100" t="n"/>
      <c r="AA103" s="117">
        <f>AA102/($AB$2)</f>
        <v/>
      </c>
      <c r="AB103" s="100" t="n"/>
      <c r="AC103" s="117" t="n"/>
      <c r="AD103" s="117" t="n"/>
      <c r="AE103" s="117" t="n"/>
      <c r="AF103" s="117" t="n"/>
      <c r="AH103" s="27" t="n"/>
      <c r="AI103" s="58" t="n"/>
    </row>
    <row customFormat="1" r="104" s="128">
      <c r="A104" s="128" t="inlineStr">
        <is>
          <t>2013-07-14T16:00:00.000Z</t>
        </is>
      </c>
      <c r="B104" s="128" t="inlineStr">
        <is>
          <t>pb weighted</t>
        </is>
      </c>
      <c r="C104" s="160" t="n">
        <v>2.010890799304536</v>
      </c>
      <c r="D104" s="19" t="n">
        <v>1.535925446078556</v>
      </c>
      <c r="E104" s="29" t="n">
        <v>0.2361964923158661</v>
      </c>
      <c r="F104" s="20" t="n">
        <v>10.81670726590663</v>
      </c>
      <c r="G104" s="39" t="n">
        <v>4.379062487951896</v>
      </c>
      <c r="H104" s="21" t="n">
        <v>0.2345536543644178</v>
      </c>
      <c r="I104" s="21" t="n">
        <v>0.5917126025847885</v>
      </c>
      <c r="J104" s="21" t="n">
        <v>1.474903099645308</v>
      </c>
      <c r="K104" s="19" t="n">
        <v>7.042468951551835</v>
      </c>
      <c r="L104" s="22" t="n">
        <v>1.535925446078556</v>
      </c>
      <c r="M104" s="32" t="n">
        <v>0.2361964923158661</v>
      </c>
      <c r="N104" s="23" t="n">
        <v>3.66575101556738</v>
      </c>
      <c r="O104" s="24" t="n">
        <v>0.8229488228973827</v>
      </c>
      <c r="P104" s="25" t="n">
        <v>2.386672494375676</v>
      </c>
      <c r="Q104" s="26" t="n"/>
      <c r="R104" s="26" t="n"/>
      <c r="S104" s="27" t="n"/>
      <c r="V104" s="99" t="n"/>
      <c r="W104" s="102">
        <f>V102+I104/3</f>
        <v/>
      </c>
      <c r="X104" s="117">
        <f>V102+I104/5</f>
        <v/>
      </c>
      <c r="Y104" s="117">
        <f>V102-E104</f>
        <v/>
      </c>
      <c r="Z104" s="100" t="n"/>
      <c r="AA104" s="100" t="n"/>
      <c r="AB104" s="100" t="n"/>
      <c r="AC104" s="117" t="n"/>
      <c r="AD104" s="117" t="n"/>
      <c r="AE104" s="117" t="n"/>
      <c r="AF104" s="117" t="n"/>
      <c r="AH104" s="27" t="n"/>
      <c r="AI104" s="58" t="n"/>
    </row>
    <row customFormat="1" r="105" s="128">
      <c r="A105" s="128" t="n">
        <v>3.13</v>
      </c>
      <c r="B105" s="128" t="inlineStr">
        <is>
          <t>pb equal</t>
        </is>
      </c>
      <c r="C105" s="160" t="n">
        <v>1.76399846671873</v>
      </c>
      <c r="D105" s="19" t="n">
        <v>1.425666435595525</v>
      </c>
      <c r="E105" s="29" t="n">
        <v>0.1917983702970829</v>
      </c>
      <c r="F105" s="20" t="n">
        <v>10.19979417958062</v>
      </c>
      <c r="G105" s="39" t="n">
        <v>4.782201272858012</v>
      </c>
      <c r="H105" s="21" t="n">
        <v>0.08585727385412567</v>
      </c>
      <c r="I105" s="21" t="n">
        <v>0.3607436117635028</v>
      </c>
      <c r="J105" s="21" t="n">
        <v>1.578861726973397</v>
      </c>
      <c r="K105" s="19" t="n">
        <v>7.154404371819274</v>
      </c>
      <c r="L105" s="22" t="n">
        <v>1.425666435595525</v>
      </c>
      <c r="M105" s="32" t="n">
        <v>0.1917983702970829</v>
      </c>
      <c r="N105" s="23" t="n">
        <v>2.790134442422546</v>
      </c>
      <c r="O105" s="24" t="n">
        <v>0.581710242420201</v>
      </c>
      <c r="P105" s="25" t="n">
        <v>1.957073809665064</v>
      </c>
      <c r="Q105" s="26" t="n"/>
      <c r="R105" s="26" t="n"/>
      <c r="S105" s="27" t="n"/>
      <c r="T105" s="58">
        <f>T102/C104</f>
        <v/>
      </c>
      <c r="U105" s="58" t="n"/>
      <c r="V105" s="58">
        <f>T102/C102</f>
        <v/>
      </c>
      <c r="W105" s="117">
        <f>V103+I105/3</f>
        <v/>
      </c>
      <c r="X105" s="117">
        <f>V103+I105/5</f>
        <v/>
      </c>
      <c r="Y105" s="117">
        <f>V103-E105</f>
        <v/>
      </c>
      <c r="Z105" s="100" t="n"/>
      <c r="AA105" s="100" t="n"/>
      <c r="AB105" s="100" t="n"/>
      <c r="AC105" s="117" t="n"/>
      <c r="AD105" s="117" t="n"/>
      <c r="AE105" s="117" t="n"/>
      <c r="AF105" s="117" t="n"/>
      <c r="AH105" s="27" t="n"/>
      <c r="AI105" s="58" t="n"/>
    </row>
    <row r="106">
      <c r="C106" s="1" t="n"/>
      <c r="D106" s="88" t="n"/>
      <c r="F106" s="90" t="n"/>
      <c r="K106" s="88" t="n"/>
      <c r="L106" s="93" t="n"/>
      <c r="M106" s="94" t="n"/>
      <c r="N106" s="95" t="n"/>
      <c r="P106" s="97" t="n"/>
      <c r="Q106" s="98" t="n"/>
      <c r="R106" s="98" t="n"/>
    </row>
    <row customFormat="1" r="107" s="128">
      <c r="A107" s="128" t="inlineStr">
        <is>
          <t>中证传媒</t>
        </is>
      </c>
      <c r="B107" s="128" t="inlineStr">
        <is>
          <t>pe weighted</t>
        </is>
      </c>
      <c r="C107" s="160" t="n">
        <v>30.07385497679292</v>
      </c>
      <c r="D107" s="19" t="n">
        <v>22.66510868394845</v>
      </c>
      <c r="E107" s="29" t="n">
        <v>0.2463517330439207</v>
      </c>
      <c r="F107" s="20" t="n">
        <v>63.04722501603193</v>
      </c>
      <c r="G107" s="39" t="n">
        <v>1.09641314905201</v>
      </c>
      <c r="H107" s="21" t="n">
        <v>0.02798150949953704</v>
      </c>
      <c r="I107" s="21" t="n">
        <v>0.130916686282063</v>
      </c>
      <c r="J107" s="21" t="n">
        <v>0.3541818771266818</v>
      </c>
      <c r="K107" s="19" t="n">
        <v>2.781686419208849</v>
      </c>
      <c r="L107" s="22" t="n">
        <v>22.66510868394845</v>
      </c>
      <c r="M107" s="32" t="n">
        <v>0.2463517330439207</v>
      </c>
      <c r="N107" s="23" t="n">
        <v>63.04722501603193</v>
      </c>
      <c r="O107" s="24" t="n">
        <v>1.09641314905201</v>
      </c>
      <c r="P107" s="25" t="n">
        <v>2.781686419208849</v>
      </c>
      <c r="Q107" s="26" t="n">
        <v>0.1411152442595255</v>
      </c>
      <c r="R107" s="26" t="n">
        <v>0.1292775997330506</v>
      </c>
      <c r="S107" s="27" t="n">
        <v>0.009466385716689349</v>
      </c>
      <c r="T107" s="128" t="n">
        <v>10794.87</v>
      </c>
      <c r="U107" s="117">
        <f>C107*S107</f>
        <v/>
      </c>
      <c r="V107" s="102">
        <f>(1+S107)*Q107*(1-U107)+S107</f>
        <v/>
      </c>
      <c r="W107" s="102">
        <f>V107+I107/3</f>
        <v/>
      </c>
      <c r="X107" s="117">
        <f>V107+I107/5</f>
        <v/>
      </c>
      <c r="Y107" s="117">
        <f>V107-E107</f>
        <v/>
      </c>
      <c r="Z107" s="100" t="n"/>
      <c r="AA107" s="100" t="n"/>
      <c r="AB107" s="100" t="n"/>
      <c r="AC107" s="117" t="n"/>
      <c r="AD107" s="36" t="n"/>
      <c r="AE107" s="117" t="n"/>
      <c r="AF107" s="117" t="n"/>
      <c r="AH107" s="27" t="n"/>
      <c r="AI107" s="58" t="n"/>
    </row>
    <row customFormat="1" r="108" s="128">
      <c r="A108" s="128" t="inlineStr">
        <is>
          <t>000933</t>
        </is>
      </c>
      <c r="B108" s="128" t="inlineStr">
        <is>
          <t>pe equal</t>
        </is>
      </c>
      <c r="C108" s="160" t="n">
        <v>23.90106746544684</v>
      </c>
      <c r="D108" s="19" t="n">
        <v>18.25543697943797</v>
      </c>
      <c r="E108" s="29" t="n">
        <v>0.23620829882057</v>
      </c>
      <c r="F108" s="20" t="n">
        <v>103.6816300894998</v>
      </c>
      <c r="G108" s="39" t="n">
        <v>3.337949768954449</v>
      </c>
      <c r="H108" s="21" t="n">
        <v>0.05150550933482467</v>
      </c>
      <c r="I108" s="21" t="n">
        <v>0.4091009110218911</v>
      </c>
      <c r="J108" s="21" t="n">
        <v>0.63905427731572</v>
      </c>
      <c r="K108" s="19" t="n">
        <v>5.679493194618224</v>
      </c>
      <c r="L108" s="22" t="n">
        <v>18.25543697943797</v>
      </c>
      <c r="M108" s="32" t="n">
        <v>0.23620829882057</v>
      </c>
      <c r="N108" s="23" t="n">
        <v>103.6816300894998</v>
      </c>
      <c r="O108" s="24" t="n">
        <v>3.337949768954449</v>
      </c>
      <c r="P108" s="25" t="n">
        <v>5.679493194618224</v>
      </c>
      <c r="Q108" s="26" t="n"/>
      <c r="R108" s="26" t="n"/>
      <c r="S108" s="27" t="n">
        <v>0.01255499131177743</v>
      </c>
      <c r="U108" s="117">
        <f>C108*S108</f>
        <v/>
      </c>
      <c r="V108" s="117">
        <f>(1+S108)*R107*(1-U108)+S108</f>
        <v/>
      </c>
      <c r="W108" s="117">
        <f>V108+I108/3</f>
        <v/>
      </c>
      <c r="X108" s="117">
        <f>V108+I108/5</f>
        <v/>
      </c>
      <c r="Y108" s="117">
        <f>V108-E108</f>
        <v/>
      </c>
      <c r="Z108" s="100" t="n"/>
      <c r="AA108" s="100" t="n"/>
      <c r="AB108" s="100" t="n"/>
      <c r="AC108" s="117" t="n"/>
      <c r="AD108" s="117" t="n"/>
      <c r="AE108" s="117" t="n"/>
      <c r="AF108" s="117" t="n"/>
      <c r="AH108" s="27" t="n"/>
      <c r="AI108" s="58" t="n"/>
    </row>
    <row customFormat="1" r="109" s="128">
      <c r="A109" s="128" t="inlineStr">
        <is>
          <t>2014-04-14T16:00:00.000Z</t>
        </is>
      </c>
      <c r="B109" s="128" t="inlineStr">
        <is>
          <t>pb weighted</t>
        </is>
      </c>
      <c r="C109" s="159" t="n">
        <v>4.24387939087568</v>
      </c>
      <c r="D109" s="19" t="n">
        <v>2.944933659356374</v>
      </c>
      <c r="E109" s="29" t="n">
        <v>0.3060750817546873</v>
      </c>
      <c r="F109" s="20" t="n">
        <v>7.754717720965166</v>
      </c>
      <c r="G109" s="39" t="n">
        <v>0.8272709958812146</v>
      </c>
      <c r="H109" s="21" t="n">
        <v>-0.06144261914735949</v>
      </c>
      <c r="I109" s="21" t="n">
        <v>0.0229082770721869</v>
      </c>
      <c r="J109" s="21" t="n">
        <v>0.2414908339317949</v>
      </c>
      <c r="K109" s="19" t="n">
        <v>2.633240207747155</v>
      </c>
      <c r="L109" s="22" t="n">
        <v>2.944933659356374</v>
      </c>
      <c r="M109" s="32" t="n">
        <v>0.3060750817546873</v>
      </c>
      <c r="N109" s="23" t="n">
        <v>7.023177586100688</v>
      </c>
      <c r="O109" s="24" t="n">
        <v>0.6548956601359797</v>
      </c>
      <c r="P109" s="25" t="n">
        <v>2.384833887102105</v>
      </c>
      <c r="Q109" s="26" t="n"/>
      <c r="R109" s="26" t="n"/>
      <c r="S109" s="27" t="n"/>
      <c r="V109" s="99" t="n"/>
      <c r="W109" s="102">
        <f>V107+I109/3</f>
        <v/>
      </c>
      <c r="X109" s="117">
        <f>V107+I109/5</f>
        <v/>
      </c>
      <c r="Y109" s="117">
        <f>V107-E109</f>
        <v/>
      </c>
      <c r="Z109" s="100" t="n"/>
      <c r="AA109" s="100" t="n"/>
      <c r="AB109" s="100" t="n"/>
      <c r="AC109" s="117" t="n"/>
      <c r="AD109" s="117" t="n"/>
      <c r="AE109" s="117" t="n"/>
      <c r="AF109" s="117" t="n"/>
      <c r="AH109" s="27" t="n"/>
      <c r="AI109" s="58" t="n"/>
    </row>
    <row customFormat="1" r="110" s="128">
      <c r="A110" s="58" t="n">
        <v>4.1</v>
      </c>
      <c r="B110" s="128" t="inlineStr">
        <is>
          <t>pb equal</t>
        </is>
      </c>
      <c r="C110" s="159" t="n">
        <v>3.089872632990676</v>
      </c>
      <c r="D110" s="19" t="n">
        <v>2.180226728063061</v>
      </c>
      <c r="E110" s="29" t="n">
        <v>0.2943959227365214</v>
      </c>
      <c r="F110" s="20" t="n">
        <v>7.433264839596299</v>
      </c>
      <c r="G110" s="39" t="n">
        <v>1.405686486954535</v>
      </c>
      <c r="H110" s="21" t="n">
        <v>-0.06188285156353446</v>
      </c>
      <c r="I110" s="21" t="n">
        <v>0.1243178215475824</v>
      </c>
      <c r="J110" s="21" t="n">
        <v>0.2698157363486584</v>
      </c>
      <c r="K110" s="19" t="n">
        <v>3.409399923374069</v>
      </c>
      <c r="L110" s="22" t="n">
        <v>2.180226728063061</v>
      </c>
      <c r="M110" s="32" t="n">
        <v>0.2943959227365214</v>
      </c>
      <c r="N110" s="23" t="n">
        <v>4.194437575795422</v>
      </c>
      <c r="O110" s="24" t="n">
        <v>0.3574791177510905</v>
      </c>
      <c r="P110" s="25" t="n">
        <v>1.923853845935468</v>
      </c>
      <c r="Q110" s="26" t="n"/>
      <c r="R110" s="26" t="n"/>
      <c r="S110" s="27" t="n"/>
      <c r="T110" s="58">
        <f>T107/C109</f>
        <v/>
      </c>
      <c r="U110" s="58" t="n"/>
      <c r="V110" s="58">
        <f>T107/C107</f>
        <v/>
      </c>
      <c r="W110" s="117">
        <f>V108+I110/3</f>
        <v/>
      </c>
      <c r="X110" s="117">
        <f>V108+I110/5</f>
        <v/>
      </c>
      <c r="Y110" s="117">
        <f>V108-E110</f>
        <v/>
      </c>
      <c r="Z110" s="100" t="n"/>
      <c r="AA110" s="100" t="n"/>
      <c r="AB110" s="100" t="n"/>
      <c r="AC110" s="117" t="n"/>
      <c r="AD110" s="117" t="n"/>
      <c r="AE110" s="117" t="n"/>
      <c r="AF110" s="117" t="n"/>
      <c r="AH110" s="27" t="n"/>
      <c r="AI110" s="58" t="n"/>
    </row>
    <row r="111">
      <c r="Q111" s="98" t="n"/>
      <c r="R111" s="98" t="n"/>
    </row>
    <row r="112">
      <c r="A112" t="inlineStr">
        <is>
          <t>中证医药</t>
        </is>
      </c>
      <c r="B112" t="inlineStr">
        <is>
          <t>pe weighted</t>
        </is>
      </c>
      <c r="C112" s="164" t="n">
        <v>25.32688160552288</v>
      </c>
      <c r="D112" s="88" t="n">
        <v>22.93049155008394</v>
      </c>
      <c r="E112" s="89" t="n">
        <v>0.09461844110000373</v>
      </c>
      <c r="F112" s="90" t="n">
        <v>138.3649425200475</v>
      </c>
      <c r="G112" s="91" t="n">
        <v>4.463165370105221</v>
      </c>
      <c r="H112" s="92" t="n">
        <v>0.5101383825265433</v>
      </c>
      <c r="I112" s="92" t="n">
        <v>1.270747645790517</v>
      </c>
      <c r="J112" s="92" t="n">
        <v>1.597681483758139</v>
      </c>
      <c r="K112" s="88" t="n">
        <v>6.034102767393184</v>
      </c>
      <c r="L112" s="93" t="n">
        <v>22.93049155008394</v>
      </c>
      <c r="M112" s="94" t="n">
        <v>0.09461844110000373</v>
      </c>
      <c r="N112" s="95" t="n">
        <v>114.3752732921355</v>
      </c>
      <c r="O112" s="96" t="n">
        <v>3.515963515508138</v>
      </c>
      <c r="P112" s="97" t="n">
        <v>4.987911970500989</v>
      </c>
      <c r="Q112" s="98" t="n">
        <v>0.2295983358596343</v>
      </c>
      <c r="R112" s="98" t="n">
        <v>0.2342164359406185</v>
      </c>
      <c r="S112" s="99" t="n">
        <v>0.008084148204404158</v>
      </c>
      <c r="T112" t="n">
        <v>10852.14</v>
      </c>
      <c r="U112" s="117">
        <f>C112*S112</f>
        <v/>
      </c>
      <c r="V112" s="117">
        <f>(1+S112)*Q112*(1-U112)+S112</f>
        <v/>
      </c>
      <c r="W112" s="117">
        <f>V112+I112/3</f>
        <v/>
      </c>
      <c r="X112" s="117">
        <f>V112+I112/5</f>
        <v/>
      </c>
      <c r="Y112" s="117">
        <f>V112-E112</f>
        <v/>
      </c>
      <c r="Z112" s="100" t="n"/>
      <c r="AA112" s="100" t="n"/>
      <c r="AB112" s="100" t="n"/>
      <c r="AI112" s="58" t="n"/>
    </row>
    <row r="113">
      <c r="A113" t="inlineStr">
        <is>
          <t>399989</t>
        </is>
      </c>
      <c r="B113" t="inlineStr">
        <is>
          <t>pe equal</t>
        </is>
      </c>
      <c r="C113" s="164" t="n">
        <v>16.86063681163091</v>
      </c>
      <c r="D113" s="88" t="n">
        <v>16.1928194259739</v>
      </c>
      <c r="E113" s="89" t="n">
        <v>0.03960807608383643</v>
      </c>
      <c r="F113" s="90" t="n">
        <v>1187.166836126299</v>
      </c>
      <c r="G113" s="91" t="n">
        <v>69.41055740595519</v>
      </c>
      <c r="H113" s="92" t="n">
        <v>0.5087924676224043</v>
      </c>
      <c r="I113" s="92" t="n">
        <v>1.798451469355707</v>
      </c>
      <c r="J113" s="92" t="n">
        <v>2.989151209046761</v>
      </c>
      <c r="K113" s="88" t="n">
        <v>73.31439972844004</v>
      </c>
      <c r="L113" s="93" t="n">
        <v>16.1928194259739</v>
      </c>
      <c r="M113" s="94" t="n">
        <v>0.03960807608383643</v>
      </c>
      <c r="N113" s="95" t="n">
        <v>1187.166836126299</v>
      </c>
      <c r="O113" s="96" t="n">
        <v>69.41055740595519</v>
      </c>
      <c r="P113" s="97" t="n">
        <v>73.31439972844004</v>
      </c>
      <c r="Q113" s="98" t="n"/>
      <c r="R113" s="98" t="n"/>
      <c r="S113" s="99" t="n">
        <v>0.01162846376116635</v>
      </c>
      <c r="U113" s="117">
        <f>C113*S113</f>
        <v/>
      </c>
      <c r="V113" s="117">
        <f>(1+S113)*R112*(1-U113)+S113</f>
        <v/>
      </c>
      <c r="W113" s="117">
        <f>V113+I113/3</f>
        <v/>
      </c>
      <c r="X113" s="117">
        <f>V113+I113/5</f>
        <v/>
      </c>
      <c r="Y113" s="117">
        <f>V113-E113</f>
        <v/>
      </c>
      <c r="Z113" s="100" t="n"/>
      <c r="AA113" s="100" t="n"/>
      <c r="AB113" s="100" t="n"/>
      <c r="AI113" s="58" t="n"/>
    </row>
    <row r="114">
      <c r="A114" t="inlineStr">
        <is>
          <t>2009-07-02T16:00:00.000Z</t>
        </is>
      </c>
      <c r="B114" t="inlineStr">
        <is>
          <t>pb weighted</t>
        </is>
      </c>
      <c r="C114" s="162" t="n">
        <v>5.815009869142035</v>
      </c>
      <c r="D114" s="88" t="n">
        <v>4.206071151105312</v>
      </c>
      <c r="E114" s="89" t="n">
        <v>0.2766871861344082</v>
      </c>
      <c r="F114" s="90" t="n">
        <v>16.2828112814725</v>
      </c>
      <c r="G114" s="91" t="n">
        <v>1.800134762948376</v>
      </c>
      <c r="H114" s="92" t="n">
        <v>-0.06669424054963724</v>
      </c>
      <c r="I114" s="92" t="n">
        <v>0.1280909570085456</v>
      </c>
      <c r="J114" s="92" t="n">
        <v>0.6677438022501532</v>
      </c>
      <c r="K114" s="88" t="n">
        <v>3.87126386989282</v>
      </c>
      <c r="L114" s="93" t="n">
        <v>4.206071151105312</v>
      </c>
      <c r="M114" s="94" t="n">
        <v>0.2766871861344082</v>
      </c>
      <c r="N114" s="95" t="n">
        <v>13.4814005019986</v>
      </c>
      <c r="O114" s="96" t="n">
        <v>1.318379642576202</v>
      </c>
      <c r="P114" s="97" t="n">
        <v>3.205224071983619</v>
      </c>
      <c r="Q114" s="98" t="n"/>
      <c r="R114" s="98" t="n"/>
      <c r="W114" s="117">
        <f>V112+I114/3</f>
        <v/>
      </c>
      <c r="X114" s="117">
        <f>V112+I114/5</f>
        <v/>
      </c>
      <c r="Y114" s="117">
        <f>V112-E114</f>
        <v/>
      </c>
      <c r="Z114" s="100" t="n"/>
      <c r="AA114" s="100" t="n"/>
      <c r="AB114" s="100" t="n"/>
      <c r="AI114" s="58" t="n"/>
    </row>
    <row r="115">
      <c r="A115" t="n">
        <v>3.94</v>
      </c>
      <c r="B115" t="inlineStr">
        <is>
          <t>pb equal</t>
        </is>
      </c>
      <c r="C115" s="162" t="n">
        <v>3.949038261709384</v>
      </c>
      <c r="D115" s="88" t="n">
        <v>2.54853449664249</v>
      </c>
      <c r="E115" s="89" t="n">
        <v>0.3546442632998625</v>
      </c>
      <c r="F115" s="90" t="n">
        <v>13.92178025474899</v>
      </c>
      <c r="G115" s="91" t="n">
        <v>2.525359678010007</v>
      </c>
      <c r="H115" s="92" t="n">
        <v>-0.09070668674207139</v>
      </c>
      <c r="I115" s="92" t="n">
        <v>0.2592268723596092</v>
      </c>
      <c r="J115" s="92" t="n">
        <v>0.5607713522430386</v>
      </c>
      <c r="K115" s="88" t="n">
        <v>5.462661099188546</v>
      </c>
      <c r="L115" s="93" t="n">
        <v>2.54853449664249</v>
      </c>
      <c r="M115" s="94" t="n">
        <v>0.3546442632998625</v>
      </c>
      <c r="N115" s="95" t="n">
        <v>7.585705719853856</v>
      </c>
      <c r="O115" s="96" t="n">
        <v>0.9208995246782694</v>
      </c>
      <c r="P115" s="97" t="n">
        <v>2.976497171157571</v>
      </c>
      <c r="Q115" s="98" t="n"/>
      <c r="R115" s="98" t="n"/>
      <c r="W115" s="117">
        <f>V113+I115/3</f>
        <v/>
      </c>
      <c r="X115" s="117">
        <f>V113+I115/5</f>
        <v/>
      </c>
      <c r="Y115" s="117">
        <f>V113-E115</f>
        <v/>
      </c>
      <c r="Z115" s="100" t="n"/>
      <c r="AA115" s="100" t="n"/>
      <c r="AB115" s="100" t="n"/>
      <c r="AI115" s="58" t="n"/>
    </row>
    <row r="116">
      <c r="C116" s="57" t="n"/>
      <c r="D116" s="88" t="n"/>
      <c r="F116" s="90" t="n"/>
      <c r="K116" s="88" t="n"/>
      <c r="L116" s="93" t="n"/>
      <c r="M116" s="94" t="n"/>
      <c r="N116" s="95" t="n"/>
      <c r="P116" s="97" t="n"/>
      <c r="Q116" s="98" t="n"/>
      <c r="R116" s="98" t="n"/>
    </row>
    <row r="117">
      <c r="A117" t="inlineStr">
        <is>
          <t>中证医疗</t>
        </is>
      </c>
      <c r="B117" t="inlineStr">
        <is>
          <t>pe weighted</t>
        </is>
      </c>
      <c r="C117" s="163" t="n">
        <v>37.19980801983881</v>
      </c>
      <c r="D117" s="88" t="n">
        <v>15.17792555658568</v>
      </c>
      <c r="E117" s="89" t="n">
        <v>0.5919891428339837</v>
      </c>
      <c r="F117" s="90" t="n">
        <v>67.15139072853502</v>
      </c>
      <c r="G117" s="91" t="n">
        <v>0.8051542280197499</v>
      </c>
      <c r="H117" s="92" t="n">
        <v>-0.4011821630156442</v>
      </c>
      <c r="I117" s="92" t="n">
        <v>-0.1949838724740786</v>
      </c>
      <c r="J117" s="92" t="n">
        <v>0.009252051577529841</v>
      </c>
      <c r="K117" s="88" t="n">
        <v>4.424279884506229</v>
      </c>
      <c r="L117" s="93" t="n">
        <v>20.66172180045394</v>
      </c>
      <c r="M117" s="94" t="n">
        <v>0.4445745045395139</v>
      </c>
      <c r="N117" s="95" t="n">
        <v>67.15139072853502</v>
      </c>
      <c r="O117" s="96" t="n">
        <v>0.8051542280197499</v>
      </c>
      <c r="P117" s="97" t="n">
        <v>3.250038470998081</v>
      </c>
      <c r="Q117" s="98" t="n">
        <v>0.2255685544946534</v>
      </c>
      <c r="R117" s="98" t="n">
        <v>0.1115316520973769</v>
      </c>
      <c r="S117" s="99" t="n">
        <v>0.01779857977510557</v>
      </c>
      <c r="T117" t="n">
        <v>30223.5</v>
      </c>
      <c r="U117" s="117">
        <f>C117*S117</f>
        <v/>
      </c>
      <c r="V117" s="102">
        <f>(1+S117)*Q117*(1-U117)+S117</f>
        <v/>
      </c>
      <c r="W117" s="102">
        <f>V117+I117/3</f>
        <v/>
      </c>
      <c r="X117" s="117">
        <f>V117+I117/5</f>
        <v/>
      </c>
      <c r="Y117" s="117">
        <f>V117-E117</f>
        <v/>
      </c>
      <c r="Z117" s="100" t="n"/>
      <c r="AA117" s="100" t="n"/>
      <c r="AB117" s="100" t="n"/>
      <c r="AI117" s="58" t="n"/>
    </row>
    <row r="118">
      <c r="A118" t="inlineStr">
        <is>
          <t>000807</t>
        </is>
      </c>
      <c r="B118" t="inlineStr">
        <is>
          <t>pe equal</t>
        </is>
      </c>
      <c r="C118" s="163" t="n">
        <v>44.079721738313</v>
      </c>
      <c r="D118" s="88" t="n">
        <v>23.91534351148107</v>
      </c>
      <c r="E118" s="89" t="n">
        <v>0.4574524845356625</v>
      </c>
      <c r="F118" s="90" t="n">
        <v>66.2196373874483</v>
      </c>
      <c r="G118" s="91" t="n">
        <v>0.5022698596096589</v>
      </c>
      <c r="H118" s="92" t="n">
        <v>-0.3160105249361289</v>
      </c>
      <c r="I118" s="92" t="n">
        <v>-0.09760948983065931</v>
      </c>
      <c r="J118" s="92" t="n">
        <v>0.06607754276685429</v>
      </c>
      <c r="K118" s="88" t="n">
        <v>2.768918512738826</v>
      </c>
      <c r="L118" s="93" t="n">
        <v>23.91534351148107</v>
      </c>
      <c r="M118" s="94" t="n">
        <v>0.4574524845356625</v>
      </c>
      <c r="N118" s="95" t="n">
        <v>52.17613866495365</v>
      </c>
      <c r="O118" s="96" t="n">
        <v>0.1836766796012561</v>
      </c>
      <c r="P118" s="97" t="n">
        <v>2.181701410222495</v>
      </c>
      <c r="Q118" s="98" t="n"/>
      <c r="R118" s="98" t="n"/>
      <c r="S118" s="99" t="n">
        <v>0.01382788807627733</v>
      </c>
      <c r="U118" s="117">
        <f>C118*S118</f>
        <v/>
      </c>
      <c r="V118" s="117">
        <f>(1+S118)*R117*(1-U118)+S118</f>
        <v/>
      </c>
      <c r="W118" s="117">
        <f>V118+I118/3</f>
        <v/>
      </c>
      <c r="X118" s="117">
        <f>V118+I118/5</f>
        <v/>
      </c>
      <c r="Y118" s="117">
        <f>V118-E118</f>
        <v/>
      </c>
      <c r="Z118" s="100" t="n"/>
      <c r="AA118" s="100" t="n"/>
      <c r="AB118" s="100" t="n"/>
      <c r="AI118" s="58" t="n"/>
    </row>
    <row r="119">
      <c r="A119" t="inlineStr">
        <is>
          <t>2014-10-30T16:00:00.000Z</t>
        </is>
      </c>
      <c r="B119" t="inlineStr">
        <is>
          <t>pb weighted</t>
        </is>
      </c>
      <c r="C119" s="161" t="n">
        <v>8.391106922513652</v>
      </c>
      <c r="D119" s="88" t="n">
        <v>3.028550278234593</v>
      </c>
      <c r="E119" s="89" t="n">
        <v>0.6390761902808222</v>
      </c>
      <c r="F119" s="90" t="n">
        <v>14.67696614867725</v>
      </c>
      <c r="G119" s="91" t="n">
        <v>0.7491096567126807</v>
      </c>
      <c r="H119" s="92" t="n">
        <v>-0.5279065693648163</v>
      </c>
      <c r="I119" s="92" t="n">
        <v>-0.3383720034006802</v>
      </c>
      <c r="J119" s="92" t="n">
        <v>-0.02507115548329064</v>
      </c>
      <c r="K119" s="88" t="n">
        <v>4.846201911903794</v>
      </c>
      <c r="L119" s="93" t="n">
        <v>4.157539708769594</v>
      </c>
      <c r="M119" s="94" t="n">
        <v>0.504530242891464</v>
      </c>
      <c r="N119" s="95" t="n">
        <v>14.67696614867725</v>
      </c>
      <c r="O119" s="96" t="n">
        <v>0.7491096567126807</v>
      </c>
      <c r="P119" s="97" t="n">
        <v>3.530204682764374</v>
      </c>
      <c r="Q119" s="98" t="n"/>
      <c r="R119" s="98" t="n"/>
      <c r="W119" s="102">
        <f>V117+I119/3</f>
        <v/>
      </c>
      <c r="X119" s="117">
        <f>V117+I119/5</f>
        <v/>
      </c>
      <c r="Y119" s="117">
        <f>V117-E119</f>
        <v/>
      </c>
      <c r="Z119" s="100" t="n"/>
      <c r="AA119" s="100" t="n"/>
      <c r="AB119" s="100" t="n"/>
      <c r="AI119" s="58" t="n"/>
    </row>
    <row r="120">
      <c r="B120" t="inlineStr">
        <is>
          <t>pb equal</t>
        </is>
      </c>
      <c r="C120" s="161" t="n">
        <v>4.91628418946671</v>
      </c>
      <c r="D120" s="88" t="n">
        <v>2.378592948931718</v>
      </c>
      <c r="E120" s="89" t="n">
        <v>0.5161807460138439</v>
      </c>
      <c r="F120" s="90" t="n">
        <v>7.004685686451191</v>
      </c>
      <c r="G120" s="91" t="n">
        <v>0.4247926719653323</v>
      </c>
      <c r="H120" s="92" t="n">
        <v>-0.3225295721202253</v>
      </c>
      <c r="I120" s="92" t="n">
        <v>-0.2110296966312687</v>
      </c>
      <c r="J120" s="92" t="n">
        <v>-0.04915450999931559</v>
      </c>
      <c r="K120" s="88" t="n">
        <v>2.944886257060991</v>
      </c>
      <c r="L120" s="93" t="n">
        <v>2.378592948931718</v>
      </c>
      <c r="M120" s="94" t="n">
        <v>0.5161807460138439</v>
      </c>
      <c r="N120" s="95" t="n">
        <v>7.004685686451191</v>
      </c>
      <c r="O120" s="96" t="n">
        <v>0.4247926719653323</v>
      </c>
      <c r="P120" s="97" t="n">
        <v>2.944886257060991</v>
      </c>
      <c r="Q120" s="98" t="n"/>
      <c r="R120" s="98" t="n"/>
      <c r="W120" s="117">
        <f>V118+I120/3</f>
        <v/>
      </c>
      <c r="X120" s="117">
        <f>V118+I120/5</f>
        <v/>
      </c>
      <c r="Y120" s="117">
        <f>V118-E120</f>
        <v/>
      </c>
      <c r="Z120" s="100" t="n"/>
      <c r="AA120" s="100" t="n"/>
      <c r="AB120" s="100" t="n"/>
      <c r="AI120" s="58" t="n"/>
    </row>
    <row r="121">
      <c r="C121" s="57" t="n"/>
      <c r="D121" s="88" t="n"/>
      <c r="F121" s="90" t="n"/>
      <c r="K121" s="88" t="n"/>
      <c r="L121" s="93" t="n"/>
      <c r="M121" s="94" t="n"/>
      <c r="N121" s="95" t="n"/>
      <c r="P121" s="97" t="n"/>
      <c r="Q121" s="98" t="n"/>
      <c r="R121" s="98" t="n"/>
    </row>
    <row r="122">
      <c r="A122" t="inlineStr">
        <is>
          <t>食品饮料</t>
        </is>
      </c>
      <c r="B122" t="inlineStr">
        <is>
          <t>pe weighted</t>
        </is>
      </c>
      <c r="C122" s="164" t="n">
        <v>24.94719859867966</v>
      </c>
      <c r="D122" s="88" t="n">
        <v>17.01722848173306</v>
      </c>
      <c r="E122" s="89" t="n">
        <v>0.3178701642823455</v>
      </c>
      <c r="F122" s="90" t="n">
        <v>69.16951945344049</v>
      </c>
      <c r="G122" s="91" t="n">
        <v>1.772636742351556</v>
      </c>
      <c r="H122" s="92" t="n">
        <v>0.01582894235337462</v>
      </c>
      <c r="I122" s="92" t="n">
        <v>0.1995627083318403</v>
      </c>
      <c r="J122" s="92" t="n">
        <v>0.7542305808149317</v>
      </c>
      <c r="K122" s="88" t="n">
        <v>4.06467595635151</v>
      </c>
      <c r="L122" s="93" t="n">
        <v>17.01722848173306</v>
      </c>
      <c r="M122" s="94" t="n">
        <v>0.3178701642823455</v>
      </c>
      <c r="N122" s="95" t="n">
        <v>39.88716126575878</v>
      </c>
      <c r="O122" s="96" t="n">
        <v>0.5988633396244265</v>
      </c>
      <c r="P122" s="97" t="n">
        <v>2.343928173061505</v>
      </c>
      <c r="Q122" s="98" t="n">
        <v>0.0697416783014196</v>
      </c>
      <c r="R122" s="98" t="n">
        <v>0.05272203519518854</v>
      </c>
      <c r="S122" s="99" t="n">
        <v>0.01016092729237843</v>
      </c>
      <c r="T122" t="n">
        <v>1332.03</v>
      </c>
      <c r="U122" s="117">
        <f>C122*S122</f>
        <v/>
      </c>
      <c r="V122" s="102">
        <f>(1+S122)*Q122*(1-U122)+S122</f>
        <v/>
      </c>
      <c r="W122" s="117">
        <f>V122+I122/3</f>
        <v/>
      </c>
      <c r="X122" s="117">
        <f>V122+I122/5</f>
        <v/>
      </c>
      <c r="Y122" s="117">
        <f>V122-E122</f>
        <v/>
      </c>
      <c r="Z122" s="100" t="n"/>
      <c r="AA122" s="100" t="n"/>
      <c r="AB122" s="100" t="n"/>
      <c r="AI122" s="58" t="n"/>
    </row>
    <row r="123">
      <c r="A123" t="inlineStr">
        <is>
          <t>399806</t>
        </is>
      </c>
      <c r="B123" t="inlineStr">
        <is>
          <t>pe equal</t>
        </is>
      </c>
      <c r="C123" s="162" t="n">
        <v>31.6688898459304</v>
      </c>
      <c r="D123" s="88" t="n">
        <v>21.21655610379091</v>
      </c>
      <c r="E123" s="89" t="n">
        <v>0.3300505257048872</v>
      </c>
      <c r="F123" s="90" t="n">
        <v>100.4335390553145</v>
      </c>
      <c r="G123" s="91" t="n">
        <v>2.171362796230783</v>
      </c>
      <c r="H123" s="92" t="n">
        <v>-0.03603470438068823</v>
      </c>
      <c r="I123" s="92" t="n">
        <v>0.1927271758231561</v>
      </c>
      <c r="J123" s="92" t="n">
        <v>0.7745425634099599</v>
      </c>
      <c r="K123" s="88" t="n">
        <v>4.733734285809437</v>
      </c>
      <c r="L123" s="93" t="n">
        <v>21.21655610379091</v>
      </c>
      <c r="M123" s="94" t="n">
        <v>0.3300505257048872</v>
      </c>
      <c r="N123" s="95" t="n">
        <v>100.4335390553145</v>
      </c>
      <c r="O123" s="96" t="n">
        <v>2.171362796230783</v>
      </c>
      <c r="P123" s="97" t="n">
        <v>4.733734285809437</v>
      </c>
      <c r="Q123" s="98" t="n"/>
      <c r="R123" s="98" t="n"/>
      <c r="S123" s="99" t="n">
        <v>0.0103860357605286</v>
      </c>
      <c r="U123" s="117">
        <f>C123*S123</f>
        <v/>
      </c>
      <c r="V123" s="117">
        <f>(1+S123)*R122*(1-U123)+S123</f>
        <v/>
      </c>
      <c r="W123" s="117">
        <f>V123+I123/3</f>
        <v/>
      </c>
      <c r="X123" s="117">
        <f>V123+I123/5</f>
        <v/>
      </c>
      <c r="Y123" s="117">
        <f>V123-E123</f>
        <v/>
      </c>
      <c r="Z123" s="100" t="n"/>
      <c r="AA123" s="100" t="n"/>
      <c r="AB123" s="100" t="n"/>
      <c r="AI123" s="58" t="n"/>
    </row>
    <row r="124">
      <c r="A124" t="inlineStr">
        <is>
          <t>2012-02-16T16:00:00.000Z</t>
        </is>
      </c>
      <c r="B124" t="inlineStr">
        <is>
          <t>pb weighted</t>
        </is>
      </c>
      <c r="C124" s="162" t="n">
        <v>1.739859499190743</v>
      </c>
      <c r="D124" s="88" t="n">
        <v>1.391002051588188</v>
      </c>
      <c r="E124" s="89" t="n">
        <v>0.2005089765954193</v>
      </c>
      <c r="F124" s="90" t="n">
        <v>6.103411605532894</v>
      </c>
      <c r="G124" s="91" t="n">
        <v>2.507991081102676</v>
      </c>
      <c r="H124" s="92" t="n">
        <v>-0.01134844023696668</v>
      </c>
      <c r="I124" s="92" t="n">
        <v>0.1488952395268828</v>
      </c>
      <c r="J124" s="92" t="n">
        <v>1.247693590884663</v>
      </c>
      <c r="K124" s="88" t="n">
        <v>4.387780448320886</v>
      </c>
      <c r="L124" s="93" t="n">
        <v>1.391002051588188</v>
      </c>
      <c r="M124" s="94" t="n">
        <v>0.2005089765954193</v>
      </c>
      <c r="N124" s="95" t="n">
        <v>3.085272984226534</v>
      </c>
      <c r="O124" s="96" t="n">
        <v>0.7732885820157205</v>
      </c>
      <c r="P124" s="97" t="n">
        <v>2.218021879050356</v>
      </c>
      <c r="Q124" s="98" t="n"/>
      <c r="R124" s="98" t="n"/>
      <c r="W124" s="117">
        <f>V122+I124/3</f>
        <v/>
      </c>
      <c r="X124" s="117">
        <f>V122+I124/5</f>
        <v/>
      </c>
      <c r="Y124" s="117">
        <f>V122-E124</f>
        <v/>
      </c>
      <c r="Z124" s="100" t="n"/>
      <c r="AA124" s="100" t="n"/>
      <c r="AB124" s="100" t="n"/>
      <c r="AI124" s="58" t="n"/>
    </row>
    <row r="125">
      <c r="A125" t="n">
        <v>3.82</v>
      </c>
      <c r="B125" t="inlineStr">
        <is>
          <t>pb equal</t>
        </is>
      </c>
      <c r="C125" s="162" t="n">
        <v>1.669648325049692</v>
      </c>
      <c r="D125" s="88" t="n">
        <v>1.283477506374799</v>
      </c>
      <c r="E125" s="89" t="n">
        <v>0.2312887168400564</v>
      </c>
      <c r="F125" s="90" t="n">
        <v>5.991465096660469</v>
      </c>
      <c r="G125" s="91" t="n">
        <v>2.588459322104343</v>
      </c>
      <c r="H125" s="92" t="n">
        <v>-0.02071916068123381</v>
      </c>
      <c r="I125" s="92" t="n">
        <v>0.111584351487122</v>
      </c>
      <c r="J125" s="92" t="n">
        <v>1.229762776649203</v>
      </c>
      <c r="K125" s="88" t="n">
        <v>4.66814966908415</v>
      </c>
      <c r="L125" s="93" t="n">
        <v>1.283477506374799</v>
      </c>
      <c r="M125" s="94" t="n">
        <v>0.2312887168400564</v>
      </c>
      <c r="N125" s="95" t="n">
        <v>2.848697433863346</v>
      </c>
      <c r="O125" s="96" t="n">
        <v>0.7061661375778421</v>
      </c>
      <c r="P125" s="97" t="n">
        <v>2.21951488804002</v>
      </c>
      <c r="Q125" s="98" t="n"/>
      <c r="R125" s="98" t="n"/>
      <c r="W125" s="117">
        <f>V123+I125/3</f>
        <v/>
      </c>
      <c r="X125" s="117">
        <f>V123+I125/5</f>
        <v/>
      </c>
      <c r="Y125" s="117">
        <f>V123-E125</f>
        <v/>
      </c>
      <c r="Z125" s="100" t="n"/>
      <c r="AA125" s="100" t="n"/>
      <c r="AB125" s="100" t="n"/>
      <c r="AI125" s="58" t="n"/>
    </row>
    <row r="126">
      <c r="C126" s="57" t="n"/>
      <c r="D126" s="88" t="n"/>
      <c r="F126" s="90" t="n"/>
      <c r="K126" s="88" t="n"/>
      <c r="L126" s="93" t="n"/>
      <c r="M126" s="94" t="n"/>
      <c r="N126" s="95" t="n"/>
      <c r="P126" s="97" t="n"/>
      <c r="Q126" s="98" t="n"/>
      <c r="R126" s="98" t="n"/>
    </row>
    <row r="127">
      <c r="A127" t="inlineStr">
        <is>
          <t>环境治理</t>
        </is>
      </c>
      <c r="B127" t="inlineStr">
        <is>
          <t>pe weighted</t>
        </is>
      </c>
      <c r="C127" s="164" t="n">
        <v>33.58158882325237</v>
      </c>
      <c r="D127" s="88" t="n">
        <v>22.37826420001985</v>
      </c>
      <c r="E127" s="89" t="n">
        <v>0.3336150854028437</v>
      </c>
      <c r="F127" s="90" t="n">
        <v>100.9551507302076</v>
      </c>
      <c r="G127" s="91" t="n">
        <v>2.006264869168572</v>
      </c>
      <c r="H127" s="92" t="n">
        <v>0.0728639492161105</v>
      </c>
      <c r="I127" s="92" t="n">
        <v>0.3275491151169545</v>
      </c>
      <c r="J127" s="92" t="n">
        <v>0.5973839674674528</v>
      </c>
      <c r="K127" s="88" t="n">
        <v>4.511303907571081</v>
      </c>
      <c r="L127" s="93" t="n">
        <v>22.37826420001985</v>
      </c>
      <c r="M127" s="94" t="n">
        <v>0.3336150854028437</v>
      </c>
      <c r="N127" s="95" t="n">
        <v>73.83153285142116</v>
      </c>
      <c r="O127" s="96" t="n">
        <v>1.198571760258679</v>
      </c>
      <c r="P127" s="97" t="n">
        <v>3.299251997005008</v>
      </c>
      <c r="Q127" s="98" t="n">
        <v>0.1011442456287675</v>
      </c>
      <c r="R127" s="98" t="n">
        <v>0.07169077021387325</v>
      </c>
      <c r="S127" s="99" t="n">
        <v>0.01001050942966727</v>
      </c>
      <c r="T127" t="n">
        <v>4119.19</v>
      </c>
      <c r="U127" s="117">
        <f>C127*S127</f>
        <v/>
      </c>
      <c r="V127" s="117">
        <f>(1+S127)*Q127*(1-U127)+S127</f>
        <v/>
      </c>
      <c r="W127" s="117">
        <f>V127+I127/3</f>
        <v/>
      </c>
      <c r="X127" s="117">
        <f>V127+I127/5</f>
        <v/>
      </c>
      <c r="Y127" s="117">
        <f>V127-E127</f>
        <v/>
      </c>
      <c r="Z127" s="100" t="n"/>
      <c r="AA127" s="100" t="n"/>
      <c r="AB127" s="100" t="n"/>
      <c r="AI127" s="58" t="n"/>
    </row>
    <row r="128">
      <c r="A128" t="inlineStr">
        <is>
          <t>000935</t>
        </is>
      </c>
      <c r="B128" t="inlineStr">
        <is>
          <t>pe equal</t>
        </is>
      </c>
      <c r="C128" s="162" t="n">
        <v>42.63567730743166</v>
      </c>
      <c r="D128" s="88" t="n">
        <v>25.47347745536371</v>
      </c>
      <c r="E128" s="89" t="n">
        <v>0.4025314228812891</v>
      </c>
      <c r="F128" s="90" t="n">
        <v>-46.7814283072112</v>
      </c>
      <c r="G128" s="91" t="n">
        <v>-2.09723666332039</v>
      </c>
      <c r="H128" s="92" t="n">
        <v>-0.03389826185065115</v>
      </c>
      <c r="I128" s="92" t="n">
        <v>0.2593648226873213</v>
      </c>
      <c r="J128" s="92" t="n">
        <v>0.6668764490430847</v>
      </c>
      <c r="K128" s="88" t="n">
        <v>-1.836475934201943</v>
      </c>
      <c r="L128" s="93" t="n">
        <v>25.47347745536371</v>
      </c>
      <c r="M128" s="94" t="n">
        <v>0.4025314228812891</v>
      </c>
      <c r="N128" s="95" t="n">
        <v>-46.7814283072112</v>
      </c>
      <c r="O128" s="96" t="n">
        <v>-2.09723666332039</v>
      </c>
      <c r="P128" s="97" t="n">
        <v>-1.836475934201943</v>
      </c>
      <c r="Q128" s="98" t="n"/>
      <c r="R128" s="98" t="n"/>
      <c r="S128" s="99" t="n">
        <v>0.007865077075539149</v>
      </c>
      <c r="U128" s="117">
        <f>C128*S128</f>
        <v/>
      </c>
      <c r="V128" s="117">
        <f>(1+S128)*R127*(1-U128)+S128</f>
        <v/>
      </c>
      <c r="W128" s="117">
        <f>V128+I128/3</f>
        <v/>
      </c>
      <c r="X128" s="117">
        <f>V128+I128/5</f>
        <v/>
      </c>
      <c r="Y128" s="117">
        <f>V128-E128</f>
        <v/>
      </c>
      <c r="Z128" s="100" t="n"/>
      <c r="AA128" s="100" t="n"/>
      <c r="AB128" s="100" t="n"/>
      <c r="AI128" s="58" t="n"/>
    </row>
    <row r="129">
      <c r="A129" t="inlineStr">
        <is>
          <t>2014-07-20T16:00:00.000Z</t>
        </is>
      </c>
      <c r="B129" t="inlineStr">
        <is>
          <t>pb weighted</t>
        </is>
      </c>
      <c r="C129" s="164" t="n">
        <v>3.396584468543311</v>
      </c>
      <c r="D129" s="88" t="n">
        <v>2.664670684708131</v>
      </c>
      <c r="E129" s="89" t="n">
        <v>0.2154852295338543</v>
      </c>
      <c r="F129" s="90" t="n">
        <v>9.508383061050598</v>
      </c>
      <c r="G129" s="91" t="n">
        <v>1.799395436536412</v>
      </c>
      <c r="H129" s="92" t="n">
        <v>0.03173465174614498</v>
      </c>
      <c r="I129" s="92" t="n">
        <v>0.2207397200535293</v>
      </c>
      <c r="J129" s="92" t="n">
        <v>0.4132282572069563</v>
      </c>
      <c r="K129" s="88" t="n">
        <v>3.568314507160977</v>
      </c>
      <c r="L129" s="93" t="n">
        <v>2.664670684708131</v>
      </c>
      <c r="M129" s="94" t="n">
        <v>0.2154852295338543</v>
      </c>
      <c r="N129" s="95" t="n">
        <v>6.135457829541465</v>
      </c>
      <c r="O129" s="96" t="n">
        <v>0.8063610330800257</v>
      </c>
      <c r="P129" s="97" t="n">
        <v>2.302520106800177</v>
      </c>
      <c r="Q129" s="98" t="n"/>
      <c r="R129" s="98" t="n"/>
      <c r="W129" s="117">
        <f>V127+I129/3</f>
        <v/>
      </c>
      <c r="X129" s="117">
        <f>V127+I129/5</f>
        <v/>
      </c>
      <c r="Y129" s="117">
        <f>V127-E129</f>
        <v/>
      </c>
      <c r="Z129" s="100" t="n"/>
      <c r="AA129" s="100" t="n"/>
      <c r="AB129" s="100" t="n"/>
      <c r="AI129" s="58" t="n"/>
    </row>
    <row r="130">
      <c r="A130" t="n">
        <v>2.75</v>
      </c>
      <c r="B130" t="inlineStr">
        <is>
          <t>pb equal</t>
        </is>
      </c>
      <c r="C130" s="162" t="n">
        <v>3.056584544759934</v>
      </c>
      <c r="D130" s="88" t="n">
        <v>1.975252444766938</v>
      </c>
      <c r="E130" s="89" t="n">
        <v>0.353771369369377</v>
      </c>
      <c r="F130" s="90" t="n">
        <v>9.103571792932213</v>
      </c>
      <c r="G130" s="91" t="n">
        <v>1.978347779890124</v>
      </c>
      <c r="H130" s="92" t="n">
        <v>-0.07423480052385867</v>
      </c>
      <c r="I130" s="92" t="n">
        <v>0.1080716593145881</v>
      </c>
      <c r="J130" s="92" t="n">
        <v>0.3750343154007576</v>
      </c>
      <c r="K130" s="88" t="n">
        <v>4.608814340187465</v>
      </c>
      <c r="L130" s="93" t="n">
        <v>1.975252444766938</v>
      </c>
      <c r="M130" s="94" t="n">
        <v>0.353771369369377</v>
      </c>
      <c r="N130" s="95" t="n">
        <v>4.503044206956012</v>
      </c>
      <c r="O130" s="96" t="n">
        <v>0.4732274344172229</v>
      </c>
      <c r="P130" s="97" t="n">
        <v>2.279730987745888</v>
      </c>
      <c r="Q130" s="98" t="n"/>
      <c r="R130" s="98" t="n"/>
      <c r="W130" s="117">
        <f>V128+I130/3</f>
        <v/>
      </c>
      <c r="X130" s="117">
        <f>V128+I130/5</f>
        <v/>
      </c>
      <c r="Y130" s="117">
        <f>V128-E130</f>
        <v/>
      </c>
      <c r="Z130" s="100" t="n"/>
      <c r="AA130" s="100" t="n"/>
      <c r="AB130" s="100" t="n"/>
      <c r="AI130" s="58" t="n"/>
    </row>
    <row r="131">
      <c r="C131" s="57" t="n"/>
      <c r="D131" s="88" t="n"/>
      <c r="F131" s="90" t="n"/>
      <c r="K131" s="88" t="n"/>
      <c r="L131" s="93" t="n"/>
      <c r="M131" s="94" t="n"/>
      <c r="N131" s="95" t="n"/>
      <c r="P131" s="97" t="n"/>
      <c r="Q131" s="98" t="n"/>
      <c r="R131" s="98" t="n"/>
    </row>
    <row r="132">
      <c r="A132" t="inlineStr">
        <is>
          <t>中证信息</t>
        </is>
      </c>
      <c r="B132" t="inlineStr">
        <is>
          <t>pe weighted</t>
        </is>
      </c>
      <c r="C132" s="163" t="n">
        <v>29.22109335821405</v>
      </c>
      <c r="D132" s="88" t="n">
        <v>14.8204778819491</v>
      </c>
      <c r="E132" s="89" t="n">
        <v>0.4928157649589433</v>
      </c>
      <c r="F132" s="90" t="n">
        <v>46.17079179153618</v>
      </c>
      <c r="G132" s="91" t="n">
        <v>0.5800501105670492</v>
      </c>
      <c r="H132" s="92" t="n">
        <v>-0.297265903903185</v>
      </c>
      <c r="I132" s="92" t="n">
        <v>-0.09397769709167958</v>
      </c>
      <c r="J132" s="92" t="n">
        <v>0.1038354485641084</v>
      </c>
      <c r="K132" s="88" t="n">
        <v>3.11533758623066</v>
      </c>
      <c r="L132" s="93" t="n">
        <v>14.8204778819491</v>
      </c>
      <c r="M132" s="94" t="n">
        <v>0.4928157649589433</v>
      </c>
      <c r="N132" s="95" t="n">
        <v>46.17079179153618</v>
      </c>
      <c r="O132" s="96" t="n">
        <v>0.5800501105670492</v>
      </c>
      <c r="P132" s="97" t="n">
        <v>3.11533758623066</v>
      </c>
      <c r="Q132" s="98" t="n">
        <v>0.08988772444737134</v>
      </c>
      <c r="R132" s="98" t="n">
        <v>0.04460148272620333</v>
      </c>
      <c r="S132" s="99" t="n">
        <v>0.01613907204399817</v>
      </c>
      <c r="T132" t="n">
        <v>4944.48</v>
      </c>
      <c r="U132" s="117">
        <f>C132*S132</f>
        <v/>
      </c>
      <c r="V132" s="117">
        <f>(1+S132)*Q132*(1-U132)+S132</f>
        <v/>
      </c>
      <c r="W132" s="117">
        <f>V132+I132/3</f>
        <v/>
      </c>
      <c r="X132" s="117">
        <f>V132+I132/5</f>
        <v/>
      </c>
      <c r="Y132" s="117">
        <f>V132-E132</f>
        <v/>
      </c>
      <c r="Z132" s="100" t="n"/>
      <c r="AA132" s="100" t="n"/>
      <c r="AB132" s="100" t="n"/>
      <c r="AI132" s="58" t="n"/>
    </row>
    <row r="133">
      <c r="A133" t="inlineStr">
        <is>
          <t>000989</t>
        </is>
      </c>
      <c r="B133" t="inlineStr">
        <is>
          <t>pe equal</t>
        </is>
      </c>
      <c r="C133" s="163" t="n">
        <v>49.27462107090872</v>
      </c>
      <c r="D133" s="88" t="n">
        <v>21.51306448499891</v>
      </c>
      <c r="E133" s="89" t="n">
        <v>0.5634047707025386</v>
      </c>
      <c r="F133" s="90" t="n">
        <v>-41.70452465692635</v>
      </c>
      <c r="G133" s="91" t="n">
        <v>-1.846369261712057</v>
      </c>
      <c r="H133" s="92" t="n">
        <v>-0.4179495079869511</v>
      </c>
      <c r="I133" s="92" t="n">
        <v>-0.10393136643206</v>
      </c>
      <c r="J133" s="92" t="n">
        <v>0.3829438818959487</v>
      </c>
      <c r="K133" s="88" t="n">
        <v>-1.938567361521506</v>
      </c>
      <c r="L133" s="93" t="n">
        <v>21.51306448499891</v>
      </c>
      <c r="M133" s="94" t="n">
        <v>0.5634047707025386</v>
      </c>
      <c r="N133" s="95" t="n">
        <v>-41.70452465692635</v>
      </c>
      <c r="O133" s="96" t="n">
        <v>-1.846369261712057</v>
      </c>
      <c r="P133" s="97" t="n">
        <v>-1.938567361521506</v>
      </c>
      <c r="Q133" s="98" t="n"/>
      <c r="R133" s="98" t="n"/>
      <c r="S133" s="99" t="n">
        <v>0.01401697068174002</v>
      </c>
      <c r="U133" s="117">
        <f>C133*S133</f>
        <v/>
      </c>
      <c r="V133" s="117">
        <f>(1+S133)*R132*(1-U133)+S133</f>
        <v/>
      </c>
      <c r="W133" s="117">
        <f>V133+I133/3</f>
        <v/>
      </c>
      <c r="X133" s="117">
        <f>V133+I133/5</f>
        <v/>
      </c>
      <c r="Y133" s="117">
        <f>V133-E133</f>
        <v/>
      </c>
      <c r="Z133" s="100" t="n"/>
      <c r="AA133" s="100" t="n"/>
      <c r="AB133" s="100" t="n"/>
      <c r="AI133" s="58" t="n"/>
    </row>
    <row r="134">
      <c r="A134" t="inlineStr">
        <is>
          <t>2009-07-02T16:00:00.000Z</t>
        </is>
      </c>
      <c r="B134" t="inlineStr">
        <is>
          <t>pb weighted</t>
        </is>
      </c>
      <c r="C134" s="162" t="n">
        <v>2.626617587834057</v>
      </c>
      <c r="D134" s="88" t="n">
        <v>1.659872421110901</v>
      </c>
      <c r="E134" s="89" t="n">
        <v>0.3680570674623204</v>
      </c>
      <c r="F134" s="90" t="n">
        <v>5.447046365645092</v>
      </c>
      <c r="G134" s="91" t="n">
        <v>1.073787364736561</v>
      </c>
      <c r="H134" s="92" t="n">
        <v>-0.1782598698098591</v>
      </c>
      <c r="I134" s="92" t="n">
        <v>0.01768736312646735</v>
      </c>
      <c r="J134" s="92" t="n">
        <v>0.1379398500800042</v>
      </c>
      <c r="K134" s="88" t="n">
        <v>3.28160543929006</v>
      </c>
      <c r="L134" s="93" t="n">
        <v>1.659872421110901</v>
      </c>
      <c r="M134" s="94" t="n">
        <v>0.3680570674623204</v>
      </c>
      <c r="N134" s="95" t="n">
        <v>3.225028593853287</v>
      </c>
      <c r="O134" s="96" t="n">
        <v>0.2278257058777586</v>
      </c>
      <c r="P134" s="97" t="n">
        <v>1.942937633541063</v>
      </c>
      <c r="Q134" s="98" t="n"/>
      <c r="R134" s="98" t="n"/>
      <c r="W134" s="117">
        <f>V132+I134/3</f>
        <v/>
      </c>
      <c r="X134" s="117">
        <f>V132+I134/5</f>
        <v/>
      </c>
      <c r="Y134" s="117">
        <f>V132-E134</f>
        <v/>
      </c>
      <c r="Z134" s="100" t="n"/>
      <c r="AA134" s="100" t="n"/>
      <c r="AB134" s="100" t="n"/>
      <c r="AI134" s="58" t="n"/>
    </row>
    <row r="135">
      <c r="A135" t="n">
        <v>6.72</v>
      </c>
      <c r="B135" t="inlineStr">
        <is>
          <t>pb equal</t>
        </is>
      </c>
      <c r="C135" s="163" t="n">
        <v>2.19772116053435</v>
      </c>
      <c r="D135" s="88" t="n">
        <v>1.449467382742531</v>
      </c>
      <c r="E135" s="89" t="n">
        <v>0.3404680226175235</v>
      </c>
      <c r="F135" s="90" t="n">
        <v>5.981965327963513</v>
      </c>
      <c r="G135" s="91" t="n">
        <v>1.721894585803173</v>
      </c>
      <c r="H135" s="92" t="n">
        <v>-0.1530305472149214</v>
      </c>
      <c r="I135" s="92" t="n">
        <v>-0.0136310880615802</v>
      </c>
      <c r="J135" s="92" t="n">
        <v>0.4294361970568508</v>
      </c>
      <c r="K135" s="88" t="n">
        <v>4.127009271947233</v>
      </c>
      <c r="L135" s="93" t="n">
        <v>1.449467382742531</v>
      </c>
      <c r="M135" s="94" t="n">
        <v>0.3404680226175235</v>
      </c>
      <c r="N135" s="95" t="n">
        <v>2.470696684617565</v>
      </c>
      <c r="O135" s="96" t="n">
        <v>0.124208443266226</v>
      </c>
      <c r="P135" s="97" t="n">
        <v>1.704554868935906</v>
      </c>
      <c r="Q135" s="98" t="n"/>
      <c r="R135" s="98" t="n"/>
      <c r="W135" s="117">
        <f>V133+I135/3</f>
        <v/>
      </c>
      <c r="X135" s="117">
        <f>V133+I135/5</f>
        <v/>
      </c>
      <c r="Y135" s="117">
        <f>V133-E135</f>
        <v/>
      </c>
      <c r="Z135" s="100" t="n"/>
      <c r="AA135" s="100" t="n"/>
      <c r="AB135" s="100" t="n"/>
      <c r="AI135" s="58" t="n"/>
    </row>
    <row r="136">
      <c r="C136" s="57" t="n"/>
      <c r="D136" s="88" t="n"/>
      <c r="F136" s="90" t="n"/>
      <c r="K136" s="88" t="n"/>
      <c r="L136" s="93" t="n"/>
      <c r="M136" s="94" t="n"/>
      <c r="N136" s="95" t="n"/>
      <c r="P136" s="97" t="n"/>
      <c r="Q136" s="98" t="n"/>
      <c r="R136" s="98" t="n"/>
    </row>
    <row customFormat="1" r="137" s="128">
      <c r="A137" s="128" t="inlineStr">
        <is>
          <t>全指可选</t>
        </is>
      </c>
      <c r="B137" s="128" t="inlineStr">
        <is>
          <t>pe weighted</t>
        </is>
      </c>
      <c r="C137" s="158" t="n">
        <v>37.22266457956291</v>
      </c>
      <c r="D137" s="19" t="n">
        <v>16.56330034519187</v>
      </c>
      <c r="E137" s="29" t="n">
        <v>0.5550210998519987</v>
      </c>
      <c r="F137" s="20" t="n">
        <v>71.44319454799084</v>
      </c>
      <c r="G137" s="39" t="n">
        <v>0.9193465958161604</v>
      </c>
      <c r="H137" s="21" t="n">
        <v>-0.3972785611610394</v>
      </c>
      <c r="I137" s="21" t="n">
        <v>-0.1741733791702995</v>
      </c>
      <c r="J137" s="21" t="n">
        <v>0.1150779508280413</v>
      </c>
      <c r="K137" s="19" t="n">
        <v>4.313342936435368</v>
      </c>
      <c r="L137" s="22" t="n">
        <v>18.47402606807824</v>
      </c>
      <c r="M137" s="32" t="n">
        <v>0.5036887800283542</v>
      </c>
      <c r="N137" s="23" t="n">
        <v>71.44319454799084</v>
      </c>
      <c r="O137" s="24" t="n">
        <v>0.9193465958161604</v>
      </c>
      <c r="P137" s="25" t="n">
        <v>3.867223867971012</v>
      </c>
      <c r="Q137" s="26" t="n">
        <v>0.2699090559395387</v>
      </c>
      <c r="R137" s="26" t="n">
        <v>0.137783329868196</v>
      </c>
      <c r="S137" s="27" t="n">
        <v>0.01771537382688392</v>
      </c>
      <c r="T137" s="128" t="n">
        <v>17332.93</v>
      </c>
      <c r="U137" s="117">
        <f>C137*S137</f>
        <v/>
      </c>
      <c r="V137" s="117">
        <f>(1+S137)*Q137*(1-U137)+S137</f>
        <v/>
      </c>
      <c r="W137" s="117">
        <f>V137+I137/3</f>
        <v/>
      </c>
      <c r="X137" s="117">
        <f>V137+I137/5</f>
        <v/>
      </c>
      <c r="Y137" s="117">
        <f>V137-E137</f>
        <v/>
      </c>
      <c r="Z137" s="100" t="n"/>
      <c r="AA137" s="100" t="n"/>
      <c r="AB137" s="100" t="n"/>
      <c r="AC137" s="117" t="n"/>
      <c r="AD137" s="117" t="n"/>
      <c r="AE137" s="117" t="n"/>
      <c r="AF137" s="117" t="n"/>
      <c r="AH137" s="27" t="n"/>
      <c r="AI137" s="58" t="n"/>
    </row>
    <row customFormat="1" r="138" s="128">
      <c r="A138" s="128" t="inlineStr">
        <is>
          <t>399997</t>
        </is>
      </c>
      <c r="B138" s="128" t="inlineStr">
        <is>
          <t>pe equal</t>
        </is>
      </c>
      <c r="C138" s="157" t="n">
        <v>46.67193989929521</v>
      </c>
      <c r="D138" s="19" t="n">
        <v>19.10126991179925</v>
      </c>
      <c r="E138" s="29" t="n">
        <v>0.590733319570295</v>
      </c>
      <c r="F138" s="20" t="n">
        <v>72.16707800986707</v>
      </c>
      <c r="G138" s="39" t="n">
        <v>0.5462626615817368</v>
      </c>
      <c r="H138" s="21" t="n">
        <v>-0.3752462278855969</v>
      </c>
      <c r="I138" s="21" t="n">
        <v>-0.2429900943597787</v>
      </c>
      <c r="J138" s="21" t="n">
        <v>-0.0298535024801978</v>
      </c>
      <c r="K138" s="19" t="n">
        <v>3.778129849120029</v>
      </c>
      <c r="L138" s="22" t="n">
        <v>19.10126991179925</v>
      </c>
      <c r="M138" s="32" t="n">
        <v>0.590733319570295</v>
      </c>
      <c r="N138" s="23" t="n">
        <v>72.16707800986707</v>
      </c>
      <c r="O138" s="24" t="n">
        <v>0.5462626615817368</v>
      </c>
      <c r="P138" s="25" t="n">
        <v>3.778129849120029</v>
      </c>
      <c r="Q138" s="26" t="n"/>
      <c r="R138" s="26" t="n"/>
      <c r="S138" s="27" t="n">
        <v>0.009907647301194941</v>
      </c>
      <c r="U138" s="117">
        <f>C138*S138</f>
        <v/>
      </c>
      <c r="V138" s="117">
        <f>(1+S138)*R137*(1-U138)+S138</f>
        <v/>
      </c>
      <c r="W138" s="117">
        <f>V138+I138/3</f>
        <v/>
      </c>
      <c r="X138" s="117">
        <f>V138+I138/5</f>
        <v/>
      </c>
      <c r="Y138" s="117">
        <f>V138-E138</f>
        <v/>
      </c>
      <c r="Z138" s="100" t="n"/>
      <c r="AA138" s="100" t="n"/>
      <c r="AB138" s="100" t="n"/>
      <c r="AC138" s="117" t="n"/>
      <c r="AD138" s="117" t="n"/>
      <c r="AE138" s="117" t="n"/>
      <c r="AF138" s="117" t="n"/>
      <c r="AH138" s="27" t="n"/>
      <c r="AI138" s="58" t="n"/>
    </row>
    <row customFormat="1" r="139" s="128">
      <c r="A139" s="128" t="inlineStr">
        <is>
          <t>2011-08-01T16:00:00.000Z</t>
        </is>
      </c>
      <c r="B139" s="128" t="inlineStr">
        <is>
          <t>pb weighted</t>
        </is>
      </c>
      <c r="C139" s="158" t="n">
        <v>10.04673425622393</v>
      </c>
      <c r="D139" s="19" t="n">
        <v>3.353355955433927</v>
      </c>
      <c r="E139" s="29" t="n">
        <v>0.6662242804564549</v>
      </c>
      <c r="F139" s="20" t="n">
        <v>17.86067963525823</v>
      </c>
      <c r="G139" s="39" t="n">
        <v>0.7777597356268851</v>
      </c>
      <c r="H139" s="21" t="n">
        <v>-0.5487316437877345</v>
      </c>
      <c r="I139" s="21" t="n">
        <v>-0.2639354161358741</v>
      </c>
      <c r="J139" s="21" t="n">
        <v>0.06625117913973977</v>
      </c>
      <c r="K139" s="19" t="n">
        <v>5.326210480672649</v>
      </c>
      <c r="L139" s="22" t="n">
        <v>4.546824108660815</v>
      </c>
      <c r="M139" s="32" t="n">
        <v>0.5474326290810303</v>
      </c>
      <c r="N139" s="23" t="n">
        <v>17.86067963525823</v>
      </c>
      <c r="O139" s="24" t="n">
        <v>0.7777597356268851</v>
      </c>
      <c r="P139" s="25" t="n">
        <v>3.928165948015695</v>
      </c>
      <c r="Q139" s="26" t="n"/>
      <c r="R139" s="26" t="n"/>
      <c r="S139" s="27" t="n"/>
      <c r="V139" s="99" t="n"/>
      <c r="W139" s="117">
        <f>V137+I139/3</f>
        <v/>
      </c>
      <c r="X139" s="117">
        <f>V137+I139/5</f>
        <v/>
      </c>
      <c r="Y139" s="117">
        <f>V137-E139</f>
        <v/>
      </c>
      <c r="Z139" s="100" t="n"/>
      <c r="AA139" s="100" t="n"/>
      <c r="AB139" s="100" t="n"/>
      <c r="AC139" s="117" t="n"/>
      <c r="AD139" s="117" t="n"/>
      <c r="AE139" s="117" t="n"/>
      <c r="AF139" s="117" t="n"/>
      <c r="AH139" s="27" t="n"/>
      <c r="AI139" s="58" t="n"/>
    </row>
    <row customFormat="1" r="140" s="128">
      <c r="A140" s="128" t="n">
        <v>3.48</v>
      </c>
      <c r="B140" s="128" t="inlineStr">
        <is>
          <t>pb equal</t>
        </is>
      </c>
      <c r="C140" s="157" t="n">
        <v>6.430615290733209</v>
      </c>
      <c r="D140" s="19" t="n">
        <v>2.849634973138886</v>
      </c>
      <c r="E140" s="29" t="n">
        <v>0.5568643365673995</v>
      </c>
      <c r="F140" s="20" t="n">
        <v>10.05632142225796</v>
      </c>
      <c r="G140" s="39" t="n">
        <v>0.5638194741255234</v>
      </c>
      <c r="H140" s="21" t="n">
        <v>-0.4350156354872051</v>
      </c>
      <c r="I140" s="21" t="n">
        <v>-0.3384261760878631</v>
      </c>
      <c r="J140" s="21" t="n">
        <v>-0.09797819215473791</v>
      </c>
      <c r="K140" s="19" t="n">
        <v>3.528985823465268</v>
      </c>
      <c r="L140" s="22" t="n">
        <v>2.849634973138886</v>
      </c>
      <c r="M140" s="32" t="n">
        <v>0.5568643365673995</v>
      </c>
      <c r="N140" s="23" t="n">
        <v>10.05632142225796</v>
      </c>
      <c r="O140" s="24" t="n">
        <v>0.5638194741255234</v>
      </c>
      <c r="P140" s="25" t="n">
        <v>3.528985823465268</v>
      </c>
      <c r="Q140" s="26" t="n"/>
      <c r="R140" s="26" t="n"/>
      <c r="S140" s="27" t="n"/>
      <c r="V140" s="99" t="n"/>
      <c r="W140" s="117">
        <f>V138+I140/3</f>
        <v/>
      </c>
      <c r="X140" s="117">
        <f>V138+I140/5</f>
        <v/>
      </c>
      <c r="Y140" s="117">
        <f>V138-E140</f>
        <v/>
      </c>
      <c r="Z140" s="100" t="n"/>
      <c r="AA140" s="100" t="n"/>
      <c r="AB140" s="100" t="n"/>
      <c r="AC140" s="117" t="n"/>
      <c r="AD140" s="117" t="n"/>
      <c r="AE140" s="117" t="n"/>
      <c r="AF140" s="117" t="n"/>
      <c r="AH140" s="27" t="n"/>
      <c r="AI140" s="58" t="n"/>
    </row>
    <row r="141">
      <c r="C141" s="57" t="n"/>
      <c r="D141" s="88" t="n"/>
      <c r="F141" s="90" t="n"/>
      <c r="K141" s="88" t="n"/>
      <c r="L141" s="93" t="n"/>
      <c r="M141" s="94" t="n"/>
      <c r="N141" s="95" t="n"/>
      <c r="P141" s="97" t="n"/>
      <c r="Q141" s="98" t="n"/>
      <c r="R141" s="98" t="n"/>
    </row>
    <row r="142">
      <c r="A142" t="inlineStr">
        <is>
          <t>中证白酒</t>
        </is>
      </c>
      <c r="B142" t="inlineStr">
        <is>
          <t>pe weighted</t>
        </is>
      </c>
      <c r="C142" s="163" t="n">
        <v>22.87922958437502</v>
      </c>
      <c r="D142" s="88" t="n">
        <v>12.99608421956319</v>
      </c>
      <c r="E142" s="89" t="n">
        <v>0.4319701993620166</v>
      </c>
      <c r="F142" s="90" t="n">
        <v>47.16950101318172</v>
      </c>
      <c r="G142" s="91" t="n">
        <v>1.061673485954935</v>
      </c>
      <c r="H142" s="92" t="n">
        <v>-0.2384423016997244</v>
      </c>
      <c r="I142" s="92" t="n">
        <v>-0.1087476113690145</v>
      </c>
      <c r="J142" s="92" t="n">
        <v>0.1910387640755762</v>
      </c>
      <c r="K142" s="88" t="n">
        <v>3.629516415581302</v>
      </c>
      <c r="L142" s="93" t="n">
        <v>12.99608421956319</v>
      </c>
      <c r="M142" s="94" t="n">
        <v>0.4319701993620166</v>
      </c>
      <c r="N142" s="95" t="n">
        <v>47.16950101318172</v>
      </c>
      <c r="O142" s="96" t="n">
        <v>1.061673485954935</v>
      </c>
      <c r="P142" s="97" t="n">
        <v>3.629516415581302</v>
      </c>
      <c r="Q142" s="98" t="n">
        <v>0.1189135697067597</v>
      </c>
      <c r="R142" s="98" t="n">
        <v>0.0828682970589156</v>
      </c>
      <c r="S142" s="99" t="n">
        <v>0.01857252319763696</v>
      </c>
      <c r="T142" t="n">
        <v>5644.38</v>
      </c>
      <c r="U142" s="117">
        <f>C142*S142</f>
        <v/>
      </c>
      <c r="V142" s="102">
        <f>(1+S142)*Q142*(1-U142)+S142</f>
        <v/>
      </c>
      <c r="W142" s="117">
        <f>V142+I142/3</f>
        <v/>
      </c>
      <c r="X142" s="117">
        <f>V142+I142/5</f>
        <v/>
      </c>
      <c r="Y142" s="117">
        <f>V142-E142</f>
        <v/>
      </c>
      <c r="Z142" s="100" t="n"/>
      <c r="AA142" s="100" t="n"/>
      <c r="AB142" s="100" t="n"/>
      <c r="AI142" s="58" t="n"/>
    </row>
    <row r="143">
      <c r="A143" t="inlineStr">
        <is>
          <t>000931</t>
        </is>
      </c>
      <c r="B143" t="inlineStr">
        <is>
          <t>pe equal</t>
        </is>
      </c>
      <c r="C143" s="162" t="n">
        <v>24.29688984720331</v>
      </c>
      <c r="D143" s="88" t="n">
        <v>17.67415412941672</v>
      </c>
      <c r="E143" s="89" t="n">
        <v>0.2725754514028429</v>
      </c>
      <c r="F143" s="90" t="n">
        <v>1586.711828863688</v>
      </c>
      <c r="G143" s="91" t="n">
        <v>64.30514147457133</v>
      </c>
      <c r="H143" s="92" t="n">
        <v>-0.1072051355857275</v>
      </c>
      <c r="I143" s="92" t="n">
        <v>0.08707590957176836</v>
      </c>
      <c r="J143" s="92" t="n">
        <v>0.4740310297845454</v>
      </c>
      <c r="K143" s="88" t="n">
        <v>89.77582843542017</v>
      </c>
      <c r="L143" s="93" t="n">
        <v>17.67415412941672</v>
      </c>
      <c r="M143" s="94" t="n">
        <v>0.2725754514028429</v>
      </c>
      <c r="N143" s="95" t="n">
        <v>1586.711828863688</v>
      </c>
      <c r="O143" s="96" t="n">
        <v>64.30514147457133</v>
      </c>
      <c r="P143" s="97" t="n">
        <v>89.77582843542017</v>
      </c>
      <c r="Q143" s="98" t="n"/>
      <c r="R143" s="98" t="n"/>
      <c r="S143" s="99" t="n">
        <v>0.02280837789159753</v>
      </c>
      <c r="U143" s="117">
        <f>C143*S143</f>
        <v/>
      </c>
      <c r="V143" s="117">
        <f>(1+S143)*R142*(1-U143)+S143</f>
        <v/>
      </c>
      <c r="W143" s="117">
        <f>V143+I143/3</f>
        <v/>
      </c>
      <c r="X143" s="117">
        <f>V143+I143/5</f>
        <v/>
      </c>
      <c r="Y143" s="117">
        <f>V143-E143</f>
        <v/>
      </c>
      <c r="Z143" s="100" t="n"/>
      <c r="AA143" s="100" t="n"/>
      <c r="AB143" s="100" t="n"/>
      <c r="AI143" s="58" t="n"/>
    </row>
    <row r="144">
      <c r="A144" t="inlineStr">
        <is>
          <t>2015-01-20T16:00:00.000Z</t>
        </is>
      </c>
      <c r="B144" t="inlineStr">
        <is>
          <t>pb weighted</t>
        </is>
      </c>
      <c r="C144" s="163" t="n">
        <v>2.720650862018537</v>
      </c>
      <c r="D144" s="88" t="n">
        <v>1.699097706201397</v>
      </c>
      <c r="E144" s="89" t="n">
        <v>0.3754811652161856</v>
      </c>
      <c r="F144" s="90" t="n">
        <v>4.89090511195015</v>
      </c>
      <c r="G144" s="91" t="n">
        <v>0.7976967130289669</v>
      </c>
      <c r="H144" s="92" t="n">
        <v>-0.2182106822715582</v>
      </c>
      <c r="I144" s="92" t="n">
        <v>-0.02760662442103889</v>
      </c>
      <c r="J144" s="92" t="n">
        <v>0.1325292584815039</v>
      </c>
      <c r="K144" s="88" t="n">
        <v>2.878530819092532</v>
      </c>
      <c r="L144" s="93" t="n">
        <v>1.699097706201397</v>
      </c>
      <c r="M144" s="94" t="n">
        <v>0.3754811652161856</v>
      </c>
      <c r="N144" s="95" t="n">
        <v>3.787449175800978</v>
      </c>
      <c r="O144" s="96" t="n">
        <v>0.3921114350523278</v>
      </c>
      <c r="P144" s="97" t="n">
        <v>2.229094396383139</v>
      </c>
      <c r="Q144" s="98" t="n"/>
      <c r="R144" s="98" t="n"/>
      <c r="W144" s="117">
        <f>V142+I144/3</f>
        <v/>
      </c>
      <c r="X144" s="117">
        <f>V142+I144/5</f>
        <v/>
      </c>
      <c r="Y144" s="117">
        <f>V142-E144</f>
        <v/>
      </c>
      <c r="Z144" s="100" t="n"/>
      <c r="AA144" s="100" t="n"/>
      <c r="AB144" s="100" t="n"/>
      <c r="AI144" s="58" t="n"/>
    </row>
    <row r="145">
      <c r="B145" t="inlineStr">
        <is>
          <t>pb equal</t>
        </is>
      </c>
      <c r="C145" s="162" t="n">
        <v>2.013441885465794</v>
      </c>
      <c r="D145" s="88" t="n">
        <v>1.338788244008512</v>
      </c>
      <c r="E145" s="89" t="n">
        <v>0.3350748021720064</v>
      </c>
      <c r="F145" s="90" t="n">
        <v>5.204600833850392</v>
      </c>
      <c r="G145" s="91" t="n">
        <v>1.584927268783002</v>
      </c>
      <c r="H145" s="92" t="n">
        <v>-0.1009447178665991</v>
      </c>
      <c r="I145" s="92" t="n">
        <v>0.02746623482584876</v>
      </c>
      <c r="J145" s="92" t="n">
        <v>0.3483950701071861</v>
      </c>
      <c r="K145" s="88" t="n">
        <v>3.887545963405773</v>
      </c>
      <c r="L145" s="93" t="n">
        <v>1.338788244008512</v>
      </c>
      <c r="M145" s="94" t="n">
        <v>0.3350748021720064</v>
      </c>
      <c r="N145" s="95" t="n">
        <v>2.328492562991154</v>
      </c>
      <c r="O145" s="96" t="n">
        <v>0.1564736880659832</v>
      </c>
      <c r="P145" s="97" t="n">
        <v>1.739253816585164</v>
      </c>
      <c r="Q145" s="98" t="n"/>
      <c r="R145" s="98" t="n"/>
      <c r="W145" s="117">
        <f>V143+I145/3</f>
        <v/>
      </c>
      <c r="X145" s="117">
        <f>V143+I145/5</f>
        <v/>
      </c>
      <c r="Y145" s="117">
        <f>V143-E145</f>
        <v/>
      </c>
      <c r="Z145" s="100" t="n"/>
      <c r="AA145" s="100" t="n"/>
      <c r="AB145" s="100" t="n"/>
      <c r="AI145" s="58" t="n"/>
    </row>
    <row r="146">
      <c r="C146" s="57" t="n"/>
      <c r="D146" s="88" t="n"/>
      <c r="F146" s="90" t="n"/>
      <c r="K146" s="88" t="n"/>
      <c r="L146" s="93" t="n"/>
      <c r="M146" s="94" t="n"/>
      <c r="N146" s="95" t="n"/>
      <c r="P146" s="97" t="n"/>
      <c r="Q146" s="98" t="n"/>
      <c r="R146" s="98" t="n"/>
    </row>
    <row r="147">
      <c r="A147" t="inlineStr">
        <is>
          <t>中证可选</t>
        </is>
      </c>
      <c r="B147" t="inlineStr">
        <is>
          <t>pe weighted</t>
        </is>
      </c>
      <c r="C147" s="164" t="n">
        <v>6.408384070692956</v>
      </c>
      <c r="D147" s="88" t="n">
        <v>5.640902370950881</v>
      </c>
      <c r="E147" s="89" t="n">
        <v>0.119762125876935</v>
      </c>
      <c r="F147" s="90" t="n">
        <v>11.69515754062033</v>
      </c>
      <c r="G147" s="91" t="n">
        <v>0.8249776248750489</v>
      </c>
      <c r="H147" s="92" t="n">
        <v>0.03840191657376968</v>
      </c>
      <c r="I147" s="92" t="n">
        <v>0.2583708901174124</v>
      </c>
      <c r="J147" s="92" t="n">
        <v>0.4069470499447339</v>
      </c>
      <c r="K147" s="88" t="n">
        <v>2.073277779251636</v>
      </c>
      <c r="L147" s="93" t="n">
        <v>5.70825893041218</v>
      </c>
      <c r="M147" s="94" t="n">
        <v>0.1092514325854177</v>
      </c>
      <c r="N147" s="95" t="n">
        <v>10.52799118891919</v>
      </c>
      <c r="O147" s="96" t="n">
        <v>0.6428464762382391</v>
      </c>
      <c r="P147" s="97" t="n">
        <v>1.844343663674518</v>
      </c>
      <c r="Q147" s="98" t="n">
        <v>0.10840162117689</v>
      </c>
      <c r="R147" s="98" t="n">
        <v>0.05271267154204443</v>
      </c>
      <c r="S147" s="99" t="n">
        <v>0.04684359750205339</v>
      </c>
      <c r="T147" t="n">
        <v>4960.49</v>
      </c>
      <c r="U147" s="117">
        <f>C147*S147</f>
        <v/>
      </c>
      <c r="V147" s="102">
        <f>(1+S147)*Q147*(1-U147)+S147</f>
        <v/>
      </c>
      <c r="W147" s="102">
        <f>V147+I147/3</f>
        <v/>
      </c>
      <c r="X147" s="117">
        <f>V147+I147/5</f>
        <v/>
      </c>
      <c r="Y147" s="117">
        <f>V147-E147</f>
        <v/>
      </c>
      <c r="Z147" s="100" t="n"/>
      <c r="AA147" s="100" t="n"/>
      <c r="AB147" s="100" t="n"/>
      <c r="AD147" s="36" t="n"/>
      <c r="AI147" s="58" t="n"/>
    </row>
    <row r="148">
      <c r="A148" t="inlineStr">
        <is>
          <t>000934</t>
        </is>
      </c>
      <c r="B148" t="inlineStr">
        <is>
          <t>pe equal</t>
        </is>
      </c>
      <c r="C148" s="163" t="n">
        <v>14.92016236445337</v>
      </c>
      <c r="D148" s="88" t="n">
        <v>8.901124771778708</v>
      </c>
      <c r="E148" s="89" t="n">
        <v>0.4034163600668821</v>
      </c>
      <c r="F148" s="90" t="n">
        <v>27.57118893083531</v>
      </c>
      <c r="G148" s="91" t="n">
        <v>0.8479148053055003</v>
      </c>
      <c r="H148" s="92" t="n">
        <v>-0.2329380301328472</v>
      </c>
      <c r="I148" s="92" t="n">
        <v>-0.09699449196188992</v>
      </c>
      <c r="J148" s="92" t="n">
        <v>0.08354084080177793</v>
      </c>
      <c r="K148" s="88" t="n">
        <v>3.097494938870042</v>
      </c>
      <c r="L148" s="93" t="n">
        <v>8.901124771778708</v>
      </c>
      <c r="M148" s="94" t="n">
        <v>0.4034163600668821</v>
      </c>
      <c r="N148" s="95" t="n">
        <v>27.57118893083531</v>
      </c>
      <c r="O148" s="96" t="n">
        <v>0.8479148053055003</v>
      </c>
      <c r="P148" s="97" t="n">
        <v>3.097494938870042</v>
      </c>
      <c r="Q148" s="98" t="n"/>
      <c r="R148" s="98" t="n"/>
      <c r="S148" s="99" t="n">
        <v>0.03064070373469035</v>
      </c>
      <c r="U148" s="117">
        <f>C148*S148</f>
        <v/>
      </c>
      <c r="V148" s="117">
        <f>(1+S148)*R147*(1-U148)+S148</f>
        <v/>
      </c>
      <c r="W148" s="117">
        <f>V148+I148/3</f>
        <v/>
      </c>
      <c r="X148" s="117">
        <f>V148+I148/5</f>
        <v/>
      </c>
      <c r="Y148" s="117">
        <f>V148-E148</f>
        <v/>
      </c>
      <c r="Z148" s="100" t="n"/>
      <c r="AA148" s="100" t="n"/>
      <c r="AB148" s="100" t="n"/>
      <c r="AI148" s="58" t="n"/>
    </row>
    <row r="149">
      <c r="A149" t="inlineStr">
        <is>
          <t>2009-07-02T16:00:00.000Z</t>
        </is>
      </c>
      <c r="B149" t="inlineStr">
        <is>
          <t>pb weighted</t>
        </is>
      </c>
      <c r="C149" s="164" t="n">
        <v>0.6946792223872741</v>
      </c>
      <c r="D149" s="88" t="n">
        <v>0.6116626554525532</v>
      </c>
      <c r="E149" s="89" t="n">
        <v>0.1195034546296539</v>
      </c>
      <c r="F149" s="90" t="n">
        <v>1.884403209996751</v>
      </c>
      <c r="G149" s="91" t="n">
        <v>1.712623537984877</v>
      </c>
      <c r="H149" s="92" t="n">
        <v>0.3602623156436255</v>
      </c>
      <c r="I149" s="92" t="n">
        <v>0.5856818026489621</v>
      </c>
      <c r="J149" s="92" t="n">
        <v>0.8371562420096028</v>
      </c>
      <c r="K149" s="88" t="n">
        <v>3.080788394057719</v>
      </c>
      <c r="L149" s="93" t="n">
        <v>0.6116626554525532</v>
      </c>
      <c r="M149" s="94" t="n">
        <v>0.1195034546296539</v>
      </c>
      <c r="N149" s="95" t="n">
        <v>1.368445146843515</v>
      </c>
      <c r="O149" s="96" t="n">
        <v>0.9698950288751054</v>
      </c>
      <c r="P149" s="97" t="n">
        <v>2.237254693653053</v>
      </c>
      <c r="Q149" s="98" t="n"/>
      <c r="R149" s="98" t="n"/>
      <c r="W149" s="102">
        <f>V147+I149/3</f>
        <v/>
      </c>
      <c r="X149" s="117">
        <f>V147+I149/5</f>
        <v/>
      </c>
      <c r="Y149" s="117">
        <f>V147-E149</f>
        <v/>
      </c>
      <c r="Z149" s="100" t="n"/>
      <c r="AA149" s="100" t="n"/>
      <c r="AB149" s="100" t="n"/>
      <c r="AI149" s="58" t="n"/>
    </row>
    <row r="150">
      <c r="A150" t="n">
        <v>3.26</v>
      </c>
      <c r="B150" t="inlineStr">
        <is>
          <t>pb equal</t>
        </is>
      </c>
      <c r="C150" s="164" t="n">
        <v>0.7864816180714035</v>
      </c>
      <c r="D150" s="88" t="n">
        <v>0.6961815165137492</v>
      </c>
      <c r="E150" s="89" t="n">
        <v>0.1148152728338224</v>
      </c>
      <c r="F150" s="90" t="n">
        <v>3.229858830751024</v>
      </c>
      <c r="G150" s="91" t="n">
        <v>3.106718779608896</v>
      </c>
      <c r="H150" s="92" t="n">
        <v>0.3331543732186448</v>
      </c>
      <c r="I150" s="92" t="n">
        <v>0.8037711142770263</v>
      </c>
      <c r="J150" s="92" t="n">
        <v>1.285629597498046</v>
      </c>
      <c r="K150" s="88" t="n">
        <v>4.639391816842693</v>
      </c>
      <c r="L150" s="93" t="n">
        <v>0.6961815165137492</v>
      </c>
      <c r="M150" s="94" t="n">
        <v>0.1148152728338224</v>
      </c>
      <c r="N150" s="95" t="n">
        <v>1.584040285881783</v>
      </c>
      <c r="O150" s="96" t="n">
        <v>1.01408430850061</v>
      </c>
      <c r="P150" s="97" t="n">
        <v>2.275326546751977</v>
      </c>
      <c r="Q150" s="98" t="n"/>
      <c r="R150" s="98" t="n"/>
      <c r="W150" s="117">
        <f>V148+I150/3</f>
        <v/>
      </c>
      <c r="X150" s="117">
        <f>V148+I150/5</f>
        <v/>
      </c>
      <c r="Y150" s="117">
        <f>V148-E150</f>
        <v/>
      </c>
      <c r="Z150" s="100" t="n"/>
      <c r="AA150" s="100" t="n"/>
      <c r="AB150" s="100" t="n"/>
      <c r="AI150" s="58" t="n"/>
    </row>
    <row r="151">
      <c r="C151" s="57" t="n"/>
      <c r="D151" s="88" t="n"/>
      <c r="F151" s="90" t="n"/>
      <c r="K151" s="88" t="n"/>
      <c r="L151" s="93" t="n"/>
      <c r="M151" s="94" t="n"/>
      <c r="N151" s="95" t="n"/>
      <c r="P151" s="97" t="n"/>
      <c r="Q151" s="98" t="n"/>
      <c r="R151" s="98" t="n"/>
    </row>
    <row r="152">
      <c r="A152" t="inlineStr">
        <is>
          <t>中证金融</t>
        </is>
      </c>
      <c r="B152" t="inlineStr">
        <is>
          <t>pe weighted</t>
        </is>
      </c>
      <c r="C152" s="164" t="n">
        <v>6.34873778244634</v>
      </c>
      <c r="D152" s="88" t="n">
        <v>6.162108456954628</v>
      </c>
      <c r="E152" s="89" t="n">
        <v>0.0293962881893981</v>
      </c>
      <c r="F152" s="90" t="n">
        <v>-2608.708070809225</v>
      </c>
      <c r="G152" s="91" t="n">
        <v>-411.9018454065084</v>
      </c>
      <c r="H152" s="92" t="n">
        <v>0.3920603977909733</v>
      </c>
      <c r="I152" s="92" t="n">
        <v>0.6654500540514898</v>
      </c>
      <c r="J152" s="92" t="n">
        <v>4.90418335607867</v>
      </c>
      <c r="K152" s="88" t="n">
        <v>-423.3466660043945</v>
      </c>
      <c r="L152" s="93" t="n">
        <v>6.162108456954628</v>
      </c>
      <c r="M152" s="94" t="n">
        <v>0.0293962881893981</v>
      </c>
      <c r="N152" s="95" t="n">
        <v>14.76113330178565</v>
      </c>
      <c r="O152" s="96" t="n">
        <v>1.325050082017686</v>
      </c>
      <c r="P152" s="97" t="n">
        <v>2.395467948170575</v>
      </c>
      <c r="Q152" s="98" t="n">
        <v>0.2140341605416341</v>
      </c>
      <c r="R152" s="98" t="n">
        <v>0.1681281734403494</v>
      </c>
      <c r="S152" s="99" t="n">
        <v>0.06495189084895998</v>
      </c>
      <c r="T152" t="n">
        <v>2225.43</v>
      </c>
      <c r="U152" s="117">
        <f>C152*S152</f>
        <v/>
      </c>
      <c r="V152" s="117">
        <f>(1+S152)*Q152*(1-U152)+S152</f>
        <v/>
      </c>
      <c r="W152" s="117">
        <f>V152+I152/3</f>
        <v/>
      </c>
      <c r="X152" s="117">
        <f>V152+I152/5</f>
        <v/>
      </c>
      <c r="Y152" s="117">
        <f>V152-E152</f>
        <v/>
      </c>
      <c r="Z152" s="100" t="n"/>
      <c r="AA152" s="100" t="n"/>
      <c r="AB152" s="100" t="n"/>
      <c r="AI152" s="58" t="n"/>
    </row>
    <row r="153">
      <c r="A153" t="inlineStr">
        <is>
          <t>399998</t>
        </is>
      </c>
      <c r="B153" t="inlineStr">
        <is>
          <t>pe equal</t>
        </is>
      </c>
      <c r="C153" s="161" t="n">
        <v>7.172579769644122</v>
      </c>
      <c r="D153" s="88" t="n">
        <v>6.64740103599645</v>
      </c>
      <c r="E153" s="89" t="n">
        <v>0.073220340590751</v>
      </c>
      <c r="F153" s="90" t="n">
        <v>-17.18029728113405</v>
      </c>
      <c r="G153" s="91" t="n">
        <v>-3.395274480437946</v>
      </c>
      <c r="H153" s="92" t="n">
        <v>0.4868079168583088</v>
      </c>
      <c r="I153" s="92" t="n">
        <v>1.447707132427062</v>
      </c>
      <c r="J153" s="92" t="n">
        <v>-11.52028649972078</v>
      </c>
      <c r="K153" s="88" t="n">
        <v>-2.584513434363406</v>
      </c>
      <c r="L153" s="93" t="n">
        <v>6.64740103599645</v>
      </c>
      <c r="M153" s="94" t="n">
        <v>0.073220340590751</v>
      </c>
      <c r="N153" s="95" t="n">
        <v>29.31624276478906</v>
      </c>
      <c r="O153" s="96" t="n">
        <v>3.087266186827452</v>
      </c>
      <c r="P153" s="97" t="n">
        <v>4.410181152910467</v>
      </c>
      <c r="Q153" s="98" t="n"/>
      <c r="R153" s="98" t="n"/>
      <c r="S153" s="99" t="n">
        <v>0.03920760742887736</v>
      </c>
      <c r="U153" s="117">
        <f>C153*S153</f>
        <v/>
      </c>
      <c r="V153" s="117">
        <f>(1+S153)*R152*(1-U153)+S153</f>
        <v/>
      </c>
      <c r="W153" s="117">
        <f>V153+I153/3</f>
        <v/>
      </c>
      <c r="X153" s="117">
        <f>V153+I153/5</f>
        <v/>
      </c>
      <c r="Y153" s="117">
        <f>V153-E153</f>
        <v/>
      </c>
      <c r="Z153" s="100" t="n"/>
      <c r="AA153" s="100" t="n"/>
      <c r="AB153" s="100" t="n"/>
      <c r="AI153" s="58" t="n"/>
    </row>
    <row r="154">
      <c r="A154" t="inlineStr">
        <is>
          <t>2009-07-02T16:00:00.000Z</t>
        </is>
      </c>
      <c r="B154" t="inlineStr">
        <is>
          <t>pb weighted</t>
        </is>
      </c>
      <c r="C154" s="163" t="n">
        <v>1.358846761764858</v>
      </c>
      <c r="D154" s="88" t="n">
        <v>0.8178772955505224</v>
      </c>
      <c r="E154" s="89" t="n">
        <v>0.3981092507529911</v>
      </c>
      <c r="F154" s="90" t="n">
        <v>2.173153059983347</v>
      </c>
      <c r="G154" s="91" t="n">
        <v>0.5992627874837591</v>
      </c>
      <c r="H154" s="92" t="n">
        <v>-0.2155002643037819</v>
      </c>
      <c r="I154" s="92" t="n">
        <v>-0.07651902566365731</v>
      </c>
      <c r="J154" s="92" t="n">
        <v>0.09960948140060522</v>
      </c>
      <c r="K154" s="88" t="n">
        <v>2.657064906686978</v>
      </c>
      <c r="L154" s="93" t="n">
        <v>0.8178772955505224</v>
      </c>
      <c r="M154" s="94" t="n">
        <v>0.3981092507529911</v>
      </c>
      <c r="N154" s="95" t="n">
        <v>1.958693882654152</v>
      </c>
      <c r="O154" s="96" t="n">
        <v>0.44143838567214</v>
      </c>
      <c r="P154" s="97" t="n">
        <v>2.394850539695852</v>
      </c>
      <c r="Q154" s="98" t="n"/>
      <c r="R154" s="98" t="n"/>
      <c r="W154" s="117">
        <f>V152+I154/3</f>
        <v/>
      </c>
      <c r="X154" s="117">
        <f>V152+I154/5</f>
        <v/>
      </c>
      <c r="Y154" s="117">
        <f>V152-E154</f>
        <v/>
      </c>
      <c r="Z154" s="100" t="n"/>
      <c r="AA154" s="100" t="n"/>
      <c r="AB154" s="100" t="n"/>
      <c r="AI154" s="58" t="n"/>
    </row>
    <row r="155">
      <c r="A155" t="n">
        <v>6.4</v>
      </c>
      <c r="B155" t="inlineStr">
        <is>
          <t>pb equal</t>
        </is>
      </c>
      <c r="C155" s="162" t="n">
        <v>1.205912735525468</v>
      </c>
      <c r="D155" s="88" t="n">
        <v>0.7806713275830742</v>
      </c>
      <c r="E155" s="89" t="n">
        <v>0.3526303317106092</v>
      </c>
      <c r="F155" s="90" t="n">
        <v>2.872950340240269</v>
      </c>
      <c r="G155" s="91" t="n">
        <v>1.382386598635929</v>
      </c>
      <c r="H155" s="92" t="n">
        <v>-0.156569812843388</v>
      </c>
      <c r="I155" s="92" t="n">
        <v>0.1000526314829897</v>
      </c>
      <c r="J155" s="92" t="n">
        <v>0.3161965040804049</v>
      </c>
      <c r="K155" s="88" t="n">
        <v>3.680102289826376</v>
      </c>
      <c r="L155" s="93" t="n">
        <v>0.7806713275830742</v>
      </c>
      <c r="M155" s="94" t="n">
        <v>0.3526303317106092</v>
      </c>
      <c r="N155" s="95" t="n">
        <v>1.856680243450038</v>
      </c>
      <c r="O155" s="96" t="n">
        <v>0.5396472636479805</v>
      </c>
      <c r="P155" s="97" t="n">
        <v>2.378312329208045</v>
      </c>
      <c r="Q155" s="98" t="n"/>
      <c r="R155" s="98" t="n"/>
      <c r="W155" s="117">
        <f>V153+I155/3</f>
        <v/>
      </c>
      <c r="X155" s="117">
        <f>V153+I155/5</f>
        <v/>
      </c>
      <c r="Y155" s="117">
        <f>V153-E155</f>
        <v/>
      </c>
      <c r="Z155" s="100" t="n"/>
      <c r="AA155" s="100" t="n"/>
      <c r="AB155" s="100" t="n"/>
      <c r="AI155" s="58" t="n"/>
    </row>
    <row r="156">
      <c r="C156" s="57" t="n"/>
      <c r="D156" s="88" t="n"/>
      <c r="F156" s="90" t="n"/>
      <c r="K156" s="88" t="n"/>
      <c r="L156" s="93" t="n"/>
      <c r="M156" s="94" t="n"/>
      <c r="N156" s="95" t="n"/>
      <c r="P156" s="97" t="n"/>
      <c r="Q156" s="98" t="n"/>
      <c r="R156" s="98" t="n"/>
    </row>
    <row r="157">
      <c r="A157" t="inlineStr">
        <is>
          <t>中证煤炭</t>
        </is>
      </c>
      <c r="B157" t="inlineStr">
        <is>
          <t>pe weighted</t>
        </is>
      </c>
      <c r="C157" s="164" t="n">
        <v>30.90699299138834</v>
      </c>
      <c r="D157" s="88" t="n">
        <v>21.26035686812765</v>
      </c>
      <c r="E157" s="89" t="n">
        <v>0.3121182356998803</v>
      </c>
      <c r="F157" s="90" t="n">
        <v>105.8214398935113</v>
      </c>
      <c r="G157" s="91" t="n">
        <v>2.423867210989969</v>
      </c>
      <c r="H157" s="92" t="n">
        <v>0.03697926674612217</v>
      </c>
      <c r="I157" s="92" t="n">
        <v>0.3375844106109369</v>
      </c>
      <c r="J157" s="92" t="n">
        <v>0.710346529989925</v>
      </c>
      <c r="K157" s="88" t="n">
        <v>4.977406567062521</v>
      </c>
      <c r="L157" s="93" t="n">
        <v>21.26035686812765</v>
      </c>
      <c r="M157" s="94" t="n">
        <v>0.3121182356998803</v>
      </c>
      <c r="N157" s="95" t="n">
        <v>64.0806919912955</v>
      </c>
      <c r="O157" s="96" t="n">
        <v>1.073339583994806</v>
      </c>
      <c r="P157" s="97" t="n">
        <v>3.014092961316267</v>
      </c>
      <c r="Q157" s="98" t="n">
        <v>0.1050689853033932</v>
      </c>
      <c r="R157" s="98" t="n">
        <v>0.06728510129220479</v>
      </c>
      <c r="S157" s="99" t="n">
        <v>0.01154132074994874</v>
      </c>
      <c r="T157" t="n">
        <v>2843.9</v>
      </c>
      <c r="U157" s="117">
        <f>C157*S157</f>
        <v/>
      </c>
      <c r="V157" s="117">
        <f>(1+S157)*Q157*(1-U157)+S157</f>
        <v/>
      </c>
      <c r="W157" s="117">
        <f>V157+I157/3</f>
        <v/>
      </c>
      <c r="X157" s="117">
        <f>V157+I157/5</f>
        <v/>
      </c>
      <c r="Y157" s="117">
        <f>V157-E157</f>
        <v/>
      </c>
      <c r="Z157" s="100" t="n"/>
      <c r="AA157" s="100" t="n"/>
      <c r="AB157" s="100" t="n"/>
      <c r="AI157" s="58" t="n"/>
    </row>
    <row r="158">
      <c r="A158" t="inlineStr">
        <is>
          <t>399970</t>
        </is>
      </c>
      <c r="B158" t="inlineStr">
        <is>
          <t>pe equal</t>
        </is>
      </c>
      <c r="C158" s="163" t="n">
        <v>43.32129603422229</v>
      </c>
      <c r="D158" s="88" t="n">
        <v>22.13794790520316</v>
      </c>
      <c r="E158" s="89" t="n">
        <v>0.4889823266664283</v>
      </c>
      <c r="F158" s="90" t="n">
        <v>107.5395267974449</v>
      </c>
      <c r="G158" s="91" t="n">
        <v>1.482370950132529</v>
      </c>
      <c r="H158" s="92" t="n">
        <v>-0.2281514717017754</v>
      </c>
      <c r="I158" s="92" t="n">
        <v>-0.08803442699567599</v>
      </c>
      <c r="J158" s="92" t="n">
        <v>0.2002929294634344</v>
      </c>
      <c r="K158" s="88" t="n">
        <v>4.857700779581722</v>
      </c>
      <c r="L158" s="93" t="n">
        <v>22.13794790520316</v>
      </c>
      <c r="M158" s="94" t="n">
        <v>0.4889823266664283</v>
      </c>
      <c r="N158" s="95" t="n">
        <v>61.85568342218455</v>
      </c>
      <c r="O158" s="96" t="n">
        <v>0.4278354778056677</v>
      </c>
      <c r="P158" s="97" t="n">
        <v>2.794101950508538</v>
      </c>
      <c r="Q158" s="98" t="n"/>
      <c r="R158" s="98" t="n"/>
      <c r="S158" s="99" t="n">
        <v>0.009239985160633455</v>
      </c>
      <c r="U158" s="117">
        <f>C158*S158</f>
        <v/>
      </c>
      <c r="V158" s="117">
        <f>(1+S158)*R157*(1-U158)+S158</f>
        <v/>
      </c>
      <c r="W158" s="117">
        <f>V158+I158/3</f>
        <v/>
      </c>
      <c r="X158" s="117">
        <f>V158+I158/5</f>
        <v/>
      </c>
      <c r="Y158" s="117">
        <f>V158-E158</f>
        <v/>
      </c>
      <c r="Z158" s="100" t="n"/>
      <c r="AA158" s="100" t="n"/>
      <c r="AB158" s="100" t="n"/>
      <c r="AI158" s="58" t="n"/>
    </row>
    <row r="159">
      <c r="A159" t="inlineStr">
        <is>
          <t>2015-02-12T16:00:00.000Z</t>
        </is>
      </c>
      <c r="B159" t="inlineStr">
        <is>
          <t>pb weighted</t>
        </is>
      </c>
      <c r="C159" s="164" t="n">
        <v>3.247366392384258</v>
      </c>
      <c r="D159" s="88" t="n">
        <v>2.713613371853655</v>
      </c>
      <c r="E159" s="89" t="n">
        <v>0.1643648902022152</v>
      </c>
      <c r="F159" s="90" t="n">
        <v>11.50354065039641</v>
      </c>
      <c r="G159" s="91" t="n">
        <v>2.542421538072999</v>
      </c>
      <c r="H159" s="92" t="n">
        <v>0.1486442397107965</v>
      </c>
      <c r="I159" s="92" t="n">
        <v>0.4393403665773465</v>
      </c>
      <c r="J159" s="92" t="n">
        <v>0.9740778788951197</v>
      </c>
      <c r="K159" s="88" t="n">
        <v>4.23919662606114</v>
      </c>
      <c r="L159" s="93" t="n">
        <v>2.713613371853655</v>
      </c>
      <c r="M159" s="94" t="n">
        <v>0.1643648902022152</v>
      </c>
      <c r="N159" s="95" t="n">
        <v>7.957330695170509</v>
      </c>
      <c r="O159" s="96" t="n">
        <v>1.45039509980521</v>
      </c>
      <c r="P159" s="97" t="n">
        <v>2.932374514993968</v>
      </c>
      <c r="Q159" s="98" t="n"/>
      <c r="R159" s="98" t="n"/>
      <c r="W159" s="117">
        <f>V157+I159/3</f>
        <v/>
      </c>
      <c r="X159" s="117">
        <f>V157+I159/5</f>
        <v/>
      </c>
      <c r="Y159" s="117">
        <f>V157-E159</f>
        <v/>
      </c>
      <c r="Z159" s="100" t="n"/>
      <c r="AA159" s="100" t="n"/>
      <c r="AB159" s="100" t="n"/>
      <c r="AI159" s="58" t="n"/>
    </row>
    <row r="160">
      <c r="B160" t="inlineStr">
        <is>
          <t>pb equal</t>
        </is>
      </c>
      <c r="C160" s="164" t="n">
        <v>2.914877791772236</v>
      </c>
      <c r="D160" s="88" t="n">
        <v>2.269224535023866</v>
      </c>
      <c r="E160" s="89" t="n">
        <v>0.2215026848023753</v>
      </c>
      <c r="F160" s="90" t="n">
        <v>11.35037603208613</v>
      </c>
      <c r="G160" s="91" t="n">
        <v>2.893945764767429</v>
      </c>
      <c r="H160" s="92" t="n">
        <v>0.106936531023168</v>
      </c>
      <c r="I160" s="92" t="n">
        <v>0.4862047640632838</v>
      </c>
      <c r="J160" s="92" t="n">
        <v>0.7468560193247484</v>
      </c>
      <c r="K160" s="88" t="n">
        <v>5.001874365846638</v>
      </c>
      <c r="L160" s="93" t="n">
        <v>2.269224535023866</v>
      </c>
      <c r="M160" s="94" t="n">
        <v>0.2215026848023753</v>
      </c>
      <c r="N160" s="95" t="n">
        <v>6.423922080379963</v>
      </c>
      <c r="O160" s="96" t="n">
        <v>1.2038392479138</v>
      </c>
      <c r="P160" s="97" t="n">
        <v>2.83088869401476</v>
      </c>
      <c r="Q160" s="98" t="n"/>
      <c r="R160" s="98" t="n"/>
      <c r="W160" s="117">
        <f>V158+I160/3</f>
        <v/>
      </c>
      <c r="X160" s="117">
        <f>V158+I160/5</f>
        <v/>
      </c>
      <c r="Y160" s="117">
        <f>V158-E160</f>
        <v/>
      </c>
      <c r="Z160" s="100" t="n"/>
      <c r="AA160" s="100" t="n"/>
      <c r="AB160" s="100" t="n"/>
      <c r="AI160" s="58" t="n"/>
    </row>
    <row r="161">
      <c r="C161" s="57" t="n"/>
      <c r="D161" s="88" t="n"/>
      <c r="F161" s="90" t="n"/>
      <c r="K161" s="88" t="n"/>
      <c r="L161" s="93" t="n"/>
      <c r="M161" s="94" t="n"/>
      <c r="N161" s="95" t="n"/>
      <c r="P161" s="97" t="n"/>
      <c r="Q161" s="98" t="n"/>
      <c r="R161" s="98" t="n"/>
    </row>
    <row r="162">
      <c r="A162" t="inlineStr">
        <is>
          <t>移动互联</t>
        </is>
      </c>
      <c r="B162" t="inlineStr">
        <is>
          <t>pe weighted</t>
        </is>
      </c>
      <c r="C162" s="164" t="n">
        <v>7.048031642088755</v>
      </c>
      <c r="D162" s="88" t="n">
        <v>6.803223993207587</v>
      </c>
      <c r="E162" s="89" t="n">
        <v>0.0347341869777158</v>
      </c>
      <c r="F162" s="90" t="n">
        <v>75.01463508754975</v>
      </c>
      <c r="G162" s="91" t="n">
        <v>9.643345390163203</v>
      </c>
      <c r="H162" s="92" t="n">
        <v>0.5527002438499673</v>
      </c>
      <c r="I162" s="92" t="n">
        <v>1.08485219130359</v>
      </c>
      <c r="J162" s="92" t="n">
        <v>2.941460273585119</v>
      </c>
      <c r="K162" s="88" t="n">
        <v>11.02633621389582</v>
      </c>
      <c r="L162" s="93" t="n">
        <v>6.803223993207587</v>
      </c>
      <c r="M162" s="94" t="n">
        <v>0.0347341869777158</v>
      </c>
      <c r="N162" s="95" t="n">
        <v>28.93199767371491</v>
      </c>
      <c r="O162" s="96" t="n">
        <v>3.104975565226126</v>
      </c>
      <c r="P162" s="97" t="n">
        <v>4.252689269470023</v>
      </c>
      <c r="Q162" s="98" t="n">
        <v>0.1458046418582372</v>
      </c>
      <c r="R162" s="98" t="n">
        <v>0.1406458993245439</v>
      </c>
      <c r="S162" s="99" t="n">
        <v>0.07043952838244391</v>
      </c>
      <c r="T162" t="n">
        <v>2152.49</v>
      </c>
      <c r="U162" s="117">
        <f>C162*S162</f>
        <v/>
      </c>
      <c r="V162" s="117">
        <f>(1+S162)*Q162*(1-U162)+S162</f>
        <v/>
      </c>
      <c r="W162" s="117">
        <f>V162+I162/3</f>
        <v/>
      </c>
      <c r="X162" s="117">
        <f>V162+I162/5</f>
        <v/>
      </c>
      <c r="Y162" s="117">
        <f>V162-E162</f>
        <v/>
      </c>
      <c r="Z162" s="100" t="n"/>
      <c r="AA162" s="100" t="n"/>
      <c r="AB162" s="100" t="n"/>
      <c r="AI162" s="58" t="n"/>
    </row>
    <row r="163">
      <c r="A163" t="inlineStr">
        <is>
          <t>000986</t>
        </is>
      </c>
      <c r="B163" t="inlineStr">
        <is>
          <t>pe equal</t>
        </is>
      </c>
      <c r="C163" s="164" t="n">
        <v>8.97035801311578</v>
      </c>
      <c r="D163" s="88" t="n">
        <v>8.33095614150203</v>
      </c>
      <c r="E163" s="89" t="n">
        <v>0.07127941501095769</v>
      </c>
      <c r="F163" s="90" t="n">
        <v>-36.82087034508717</v>
      </c>
      <c r="G163" s="91" t="n">
        <v>-5.104726956410265</v>
      </c>
      <c r="H163" s="92" t="n">
        <v>0.6630916883616462</v>
      </c>
      <c r="I163" s="92" t="n">
        <v>1.641413026135246</v>
      </c>
      <c r="J163" s="92" t="n">
        <v>17.5580636294888</v>
      </c>
      <c r="K163" s="88" t="n">
        <v>-4.419765236988577</v>
      </c>
      <c r="L163" s="93" t="n">
        <v>8.33095614150203</v>
      </c>
      <c r="M163" s="94" t="n">
        <v>0.07127941501095769</v>
      </c>
      <c r="N163" s="95" t="n">
        <v>26.81905183115641</v>
      </c>
      <c r="O163" s="96" t="n">
        <v>1.989741523353206</v>
      </c>
      <c r="P163" s="97" t="n">
        <v>3.219204539746991</v>
      </c>
      <c r="Q163" s="98" t="n"/>
      <c r="R163" s="98" t="n"/>
      <c r="S163" s="99" t="n">
        <v>0.03392067257558016</v>
      </c>
      <c r="U163" s="117">
        <f>C163*S163</f>
        <v/>
      </c>
      <c r="V163" s="117">
        <f>(1+S163)*R162*(1-U163)+S163</f>
        <v/>
      </c>
      <c r="W163" s="117">
        <f>V163+I163/3</f>
        <v/>
      </c>
      <c r="X163" s="117">
        <f>V163+I163/5</f>
        <v/>
      </c>
      <c r="Y163" s="117">
        <f>V163-E163</f>
        <v/>
      </c>
      <c r="Z163" s="100" t="n"/>
      <c r="AA163" s="100" t="n"/>
      <c r="AB163" s="100" t="n"/>
      <c r="AI163" s="58" t="n"/>
    </row>
    <row r="164">
      <c r="A164" t="inlineStr">
        <is>
          <t>2014-05-04T16:00:00.000Z</t>
        </is>
      </c>
      <c r="B164" t="inlineStr">
        <is>
          <t>pb weighted</t>
        </is>
      </c>
      <c r="C164" s="162" t="n">
        <v>1.027635729380274</v>
      </c>
      <c r="D164" s="88" t="n">
        <v>0.7554294354220187</v>
      </c>
      <c r="E164" s="89" t="n">
        <v>0.2648859767871368</v>
      </c>
      <c r="F164" s="90" t="n">
        <v>2.166364175489927</v>
      </c>
      <c r="G164" s="91" t="n">
        <v>1.108105152003982</v>
      </c>
      <c r="H164" s="92" t="n">
        <v>-0.05607499928337156</v>
      </c>
      <c r="I164" s="92" t="n">
        <v>0.143585929520069</v>
      </c>
      <c r="J164" s="92" t="n">
        <v>0.2801906925551216</v>
      </c>
      <c r="K164" s="88" t="n">
        <v>2.867725394205341</v>
      </c>
      <c r="L164" s="93" t="n">
        <v>0.7554294354220187</v>
      </c>
      <c r="M164" s="94" t="n">
        <v>0.2648859767871368</v>
      </c>
      <c r="N164" s="95" t="n">
        <v>1.373320427443431</v>
      </c>
      <c r="O164" s="96" t="n">
        <v>0.3363883603693161</v>
      </c>
      <c r="P164" s="97" t="n">
        <v>1.817933433684947</v>
      </c>
      <c r="Q164" s="98" t="n"/>
      <c r="R164" s="98" t="n"/>
      <c r="W164" s="117">
        <f>V162+I164/3</f>
        <v/>
      </c>
      <c r="X164" s="117">
        <f>V162+I164/5</f>
        <v/>
      </c>
      <c r="Y164" s="117">
        <f>V162-E164</f>
        <v/>
      </c>
      <c r="Z164" s="100" t="n"/>
      <c r="AA164" s="100" t="n"/>
      <c r="AB164" s="100" t="n"/>
      <c r="AI164" s="58" t="n"/>
    </row>
    <row r="165">
      <c r="B165" t="inlineStr">
        <is>
          <t>pb equal</t>
        </is>
      </c>
      <c r="C165" s="162" t="n">
        <v>1.261644070017798</v>
      </c>
      <c r="D165" s="88" t="n">
        <v>0.8964430551571471</v>
      </c>
      <c r="E165" s="89" t="n">
        <v>0.2894643771087504</v>
      </c>
      <c r="F165" s="90" t="n">
        <v>3.253310955441056</v>
      </c>
      <c r="G165" s="91" t="n">
        <v>1.578628182665784</v>
      </c>
      <c r="H165" s="92" t="n">
        <v>-0.08651956729154464</v>
      </c>
      <c r="I165" s="92" t="n">
        <v>0.1693150995515842</v>
      </c>
      <c r="J165" s="92" t="n">
        <v>0.4814063984566042</v>
      </c>
      <c r="K165" s="88" t="n">
        <v>3.629132867642941</v>
      </c>
      <c r="L165" s="93" t="n">
        <v>0.8964430551571471</v>
      </c>
      <c r="M165" s="94" t="n">
        <v>0.2894643771087504</v>
      </c>
      <c r="N165" s="95" t="n">
        <v>1.738388428136731</v>
      </c>
      <c r="O165" s="96" t="n">
        <v>0.3778754796606056</v>
      </c>
      <c r="P165" s="97" t="n">
        <v>1.939206755115071</v>
      </c>
      <c r="Q165" s="98" t="n"/>
      <c r="R165" s="98" t="n"/>
      <c r="W165" s="117">
        <f>V163+I165/3</f>
        <v/>
      </c>
      <c r="X165" s="117">
        <f>V163+I165/5</f>
        <v/>
      </c>
      <c r="Y165" s="117">
        <f>V163-E165</f>
        <v/>
      </c>
      <c r="Z165" s="100" t="n"/>
      <c r="AA165" s="100" t="n"/>
      <c r="AB165" s="100" t="n"/>
      <c r="AI165" s="58" t="n"/>
    </row>
    <row r="166">
      <c r="C166" s="57" t="n"/>
      <c r="D166" s="88" t="n"/>
      <c r="F166" s="90" t="n"/>
      <c r="K166" s="88" t="n"/>
      <c r="L166" s="93" t="n"/>
      <c r="M166" s="94" t="n"/>
      <c r="N166" s="95" t="n"/>
      <c r="P166" s="97" t="n"/>
      <c r="Q166" s="98" t="n"/>
      <c r="R166" s="98" t="n"/>
    </row>
    <row customFormat="1" r="167" s="128">
      <c r="A167" s="128" t="inlineStr">
        <is>
          <t>全指能源</t>
        </is>
      </c>
      <c r="B167" s="128" t="inlineStr">
        <is>
          <t>pe weighted</t>
        </is>
      </c>
      <c r="C167" s="159" t="n">
        <v>14.37473321933602</v>
      </c>
      <c r="D167" s="19" t="n">
        <v>9.91258374968322</v>
      </c>
      <c r="E167" s="29" t="n">
        <v>0.3104161587952524</v>
      </c>
      <c r="F167" s="20" t="n">
        <v>1750.070485623034</v>
      </c>
      <c r="G167" s="39" t="n">
        <v>120.7462932299116</v>
      </c>
      <c r="H167" s="21" t="n">
        <v>-0.01659738864074267</v>
      </c>
      <c r="I167" s="21" t="n">
        <v>0.7019098282295939</v>
      </c>
      <c r="J167" s="21" t="n">
        <v>2.727487469332162</v>
      </c>
      <c r="K167" s="19" t="n">
        <v>176.5503858344664</v>
      </c>
      <c r="L167" s="22" t="n">
        <v>9.91258374968322</v>
      </c>
      <c r="M167" s="32" t="n">
        <v>0.3104161587952524</v>
      </c>
      <c r="N167" s="23" t="n">
        <v>29.6931618191232</v>
      </c>
      <c r="O167" s="24" t="n">
        <v>1.065649592660388</v>
      </c>
      <c r="P167" s="25" t="n">
        <v>2.995501734860209</v>
      </c>
      <c r="Q167" s="26" t="n">
        <v>0.1327444220173557</v>
      </c>
      <c r="R167" s="26" t="n">
        <v>0.09534610577794558</v>
      </c>
      <c r="S167" s="27" t="n">
        <v>0.02364000498406743</v>
      </c>
      <c r="T167" s="128" t="n">
        <v>3347.79</v>
      </c>
      <c r="U167" s="117">
        <f>C167*S167</f>
        <v/>
      </c>
      <c r="V167" s="117">
        <f>(1+S167)*Q167*(1-U167)+S167</f>
        <v/>
      </c>
      <c r="W167" s="117">
        <f>V167+I167/3</f>
        <v/>
      </c>
      <c r="X167" s="117">
        <f>V167+I167/5</f>
        <v/>
      </c>
      <c r="Y167" s="117">
        <f>V167-E167</f>
        <v/>
      </c>
      <c r="Z167" s="100" t="n"/>
      <c r="AA167" s="100" t="n"/>
      <c r="AB167" s="100" t="n"/>
      <c r="AC167" s="117" t="n"/>
      <c r="AD167" s="117" t="n"/>
      <c r="AE167" s="117" t="n"/>
      <c r="AF167" s="117" t="n"/>
      <c r="AH167" s="27" t="n"/>
      <c r="AI167" s="58" t="n"/>
    </row>
    <row customFormat="1" r="168" s="128">
      <c r="A168" s="128" t="inlineStr">
        <is>
          <t>000929</t>
        </is>
      </c>
      <c r="B168" s="128" t="inlineStr">
        <is>
          <t>pe equal</t>
        </is>
      </c>
      <c r="C168" s="159" t="n">
        <v>16.22636943513078</v>
      </c>
      <c r="D168" s="19" t="n">
        <v>10.3612614736067</v>
      </c>
      <c r="E168" s="29" t="n">
        <v>0.3614553449538668</v>
      </c>
      <c r="F168" s="20" t="n">
        <v>-182.0726867152758</v>
      </c>
      <c r="G168" s="39" t="n">
        <v>-12.22079017386851</v>
      </c>
      <c r="H168" s="21" t="n">
        <v>-0.05698877029345806</v>
      </c>
      <c r="I168" s="21" t="n">
        <v>0.6120204898962012</v>
      </c>
      <c r="J168" s="21" t="n">
        <v>3.34742336457335</v>
      </c>
      <c r="K168" s="19" t="n">
        <v>-17.57244397113908</v>
      </c>
      <c r="L168" s="22" t="n">
        <v>10.3612614736067</v>
      </c>
      <c r="M168" s="32" t="n">
        <v>0.3614553449538668</v>
      </c>
      <c r="N168" s="23" t="n">
        <v>27.60982082701017</v>
      </c>
      <c r="O168" s="24" t="n">
        <v>0.7015402575041667</v>
      </c>
      <c r="P168" s="25" t="n">
        <v>2.664716154238633</v>
      </c>
      <c r="Q168" s="26" t="n"/>
      <c r="R168" s="26" t="n"/>
      <c r="S168" s="27" t="n">
        <v>0.02573738765494173</v>
      </c>
      <c r="U168" s="117">
        <f>C168*S168</f>
        <v/>
      </c>
      <c r="V168" s="117">
        <f>(1+S168)*R167*(1-U168)+S168</f>
        <v/>
      </c>
      <c r="W168" s="117">
        <f>V168+I168/3</f>
        <v/>
      </c>
      <c r="X168" s="117">
        <f>V168+I168/5</f>
        <v/>
      </c>
      <c r="Y168" s="117">
        <f>V168-E168</f>
        <v/>
      </c>
      <c r="Z168" s="100" t="n"/>
      <c r="AA168" s="100" t="n"/>
      <c r="AB168" s="100" t="n"/>
      <c r="AC168" s="117" t="n"/>
      <c r="AD168" s="117" t="n"/>
      <c r="AE168" s="117" t="n"/>
      <c r="AF168" s="117" t="n"/>
      <c r="AH168" s="27" t="n"/>
      <c r="AI168" s="58" t="n"/>
    </row>
    <row customFormat="1" r="169" s="128">
      <c r="A169" s="128" t="inlineStr">
        <is>
          <t>2011-08-01T16:00:00.000Z</t>
        </is>
      </c>
      <c r="B169" s="128" t="inlineStr">
        <is>
          <t>pb weighted</t>
        </is>
      </c>
      <c r="C169" s="159" t="n">
        <v>1.908165652854443</v>
      </c>
      <c r="D169" s="19" t="n">
        <v>1.360559999077464</v>
      </c>
      <c r="E169" s="29" t="n">
        <v>0.2869801439711537</v>
      </c>
      <c r="F169" s="20" t="n">
        <v>3.683034442571073</v>
      </c>
      <c r="G169" s="39" t="n">
        <v>0.9301439773122357</v>
      </c>
      <c r="H169" s="21" t="n">
        <v>-0.1459373815430628</v>
      </c>
      <c r="I169" s="21" t="n">
        <v>0.01496195263035194</v>
      </c>
      <c r="J169" s="21" t="n">
        <v>0.1990951856957635</v>
      </c>
      <c r="K169" s="19" t="n">
        <v>2.706998915937832</v>
      </c>
      <c r="L169" s="22" t="n">
        <v>1.411038930981453</v>
      </c>
      <c r="M169" s="32" t="n">
        <v>0.2605259774639238</v>
      </c>
      <c r="N169" s="23" t="n">
        <v>3.138830410295077</v>
      </c>
      <c r="O169" s="24" t="n">
        <v>0.6449464990629461</v>
      </c>
      <c r="P169" s="25" t="n">
        <v>2.224481792371138</v>
      </c>
      <c r="Q169" s="26" t="n"/>
      <c r="R169" s="26" t="n"/>
      <c r="S169" s="27" t="n"/>
      <c r="V169" s="99" t="n"/>
      <c r="W169" s="117">
        <f>V167+I169/3</f>
        <v/>
      </c>
      <c r="X169" s="117">
        <f>V167+I169/5</f>
        <v/>
      </c>
      <c r="Y169" s="117">
        <f>V167-E169</f>
        <v/>
      </c>
      <c r="Z169" s="100" t="n"/>
      <c r="AA169" s="100" t="n"/>
      <c r="AB169" s="100" t="n"/>
      <c r="AC169" s="117" t="n"/>
      <c r="AD169" s="117" t="n"/>
      <c r="AE169" s="117" t="n"/>
      <c r="AF169" s="117" t="n"/>
      <c r="AH169" s="27" t="n"/>
      <c r="AI169" s="58" t="n"/>
    </row>
    <row customFormat="1" r="170" s="128">
      <c r="B170" s="128" t="inlineStr">
        <is>
          <t>pb equal</t>
        </is>
      </c>
      <c r="C170" s="159" t="n">
        <v>1.547121136554003</v>
      </c>
      <c r="D170" s="19" t="n">
        <v>1.260282165204274</v>
      </c>
      <c r="E170" s="29" t="n">
        <v>0.1854017533420963</v>
      </c>
      <c r="F170" s="20" t="n">
        <v>4.135778992909477</v>
      </c>
      <c r="G170" s="39" t="n">
        <v>1.673209547198967</v>
      </c>
      <c r="H170" s="21" t="n">
        <v>-0.01662584851151472</v>
      </c>
      <c r="I170" s="21" t="n">
        <v>0.1317956821197819</v>
      </c>
      <c r="J170" s="21" t="n">
        <v>0.4352263139421433</v>
      </c>
      <c r="K170" s="19" t="n">
        <v>3.281629389906605</v>
      </c>
      <c r="L170" s="22" t="n">
        <v>1.260282165204274</v>
      </c>
      <c r="M170" s="32" t="n">
        <v>0.1854017533420963</v>
      </c>
      <c r="N170" s="23" t="n">
        <v>2.382544978553617</v>
      </c>
      <c r="O170" s="24" t="n">
        <v>0.5399860568516339</v>
      </c>
      <c r="P170" s="25" t="n">
        <v>1.890485356640305</v>
      </c>
      <c r="Q170" s="26" t="n"/>
      <c r="R170" s="26" t="n"/>
      <c r="S170" s="27" t="n"/>
      <c r="V170" s="99" t="n"/>
      <c r="W170" s="117">
        <f>V168+I170/3</f>
        <v/>
      </c>
      <c r="X170" s="117">
        <f>V168+I170/5</f>
        <v/>
      </c>
      <c r="Y170" s="117">
        <f>V168-E170</f>
        <v/>
      </c>
      <c r="Z170" s="100" t="n"/>
      <c r="AA170" s="100" t="n"/>
      <c r="AB170" s="100" t="n"/>
      <c r="AC170" s="117" t="n"/>
      <c r="AD170" s="117" t="n"/>
      <c r="AE170" s="117" t="n"/>
      <c r="AF170" s="117" t="n"/>
      <c r="AH170" s="27" t="n"/>
      <c r="AI170" s="58" t="n"/>
    </row>
    <row r="171">
      <c r="C171" s="57" t="n"/>
      <c r="D171" s="88" t="n"/>
      <c r="F171" s="90" t="n"/>
      <c r="K171" s="88" t="n"/>
      <c r="L171" s="93" t="n"/>
      <c r="M171" s="94" t="n"/>
      <c r="N171" s="95" t="n"/>
      <c r="P171" s="97" t="n"/>
      <c r="Q171" s="98" t="n"/>
      <c r="R171" s="98" t="n"/>
    </row>
    <row r="172">
      <c r="A172" t="inlineStr">
        <is>
          <t>中证材料</t>
        </is>
      </c>
      <c r="B172" t="inlineStr">
        <is>
          <t>pe weighted</t>
        </is>
      </c>
      <c r="C172" s="164" t="n">
        <v>16.75521050539527</v>
      </c>
      <c r="D172" s="88" t="n">
        <v>11.85337913580334</v>
      </c>
      <c r="E172" s="89" t="n">
        <v>0.2925556421993927</v>
      </c>
      <c r="F172" s="90" t="n">
        <v>-1000.927466640153</v>
      </c>
      <c r="G172" s="91" t="n">
        <v>-60.7382805974207</v>
      </c>
      <c r="H172" s="92" t="n">
        <v>0.007876704928450273</v>
      </c>
      <c r="I172" s="92" t="n">
        <v>0.6842768338775254</v>
      </c>
      <c r="J172" s="92" t="n">
        <v>3.196809152327116</v>
      </c>
      <c r="K172" s="88" t="n">
        <v>-84.44237336649716</v>
      </c>
      <c r="L172" s="93" t="n">
        <v>11.85337913580334</v>
      </c>
      <c r="M172" s="94" t="n">
        <v>0.2925556421993927</v>
      </c>
      <c r="N172" s="95" t="n">
        <v>31.47981435491004</v>
      </c>
      <c r="O172" s="96" t="n">
        <v>0.8788074518534625</v>
      </c>
      <c r="P172" s="97" t="n">
        <v>2.655767101874326</v>
      </c>
      <c r="Q172" s="98" t="n">
        <v>0.1214491755532594</v>
      </c>
      <c r="R172" s="98" t="n">
        <v>0.08005832110717534</v>
      </c>
      <c r="S172" s="99" t="n">
        <v>0.02006794851984067</v>
      </c>
      <c r="T172" t="n">
        <v>3910.41</v>
      </c>
      <c r="U172" s="117">
        <f>C172*S172</f>
        <v/>
      </c>
      <c r="V172" s="117">
        <f>(1+S172)*Q172*(1-U172)+S172</f>
        <v/>
      </c>
      <c r="W172" s="117">
        <f>V172+I172/3</f>
        <v/>
      </c>
      <c r="X172" s="117">
        <f>V172+I172/5</f>
        <v/>
      </c>
      <c r="Y172" s="117">
        <f>V172-E172</f>
        <v/>
      </c>
      <c r="Z172" s="100" t="n"/>
      <c r="AA172" s="100" t="n"/>
      <c r="AB172" s="100" t="n"/>
      <c r="AI172" s="58" t="n"/>
    </row>
    <row r="173">
      <c r="A173" t="inlineStr">
        <is>
          <t>000987</t>
        </is>
      </c>
      <c r="B173" t="inlineStr">
        <is>
          <t>pe equal</t>
        </is>
      </c>
      <c r="C173" s="162" t="n">
        <v>24.60123097004432</v>
      </c>
      <c r="D173" s="88" t="n">
        <v>16.00915719490266</v>
      </c>
      <c r="E173" s="89" t="n">
        <v>0.3492538152096452</v>
      </c>
      <c r="F173" s="90" t="n">
        <v>-624.707089814242</v>
      </c>
      <c r="G173" s="91" t="n">
        <v>-26.39332647926912</v>
      </c>
      <c r="H173" s="92" t="n">
        <v>-0.04192568566561228</v>
      </c>
      <c r="I173" s="92" t="n">
        <v>0.6222391554123081</v>
      </c>
      <c r="J173" s="92" t="n">
        <v>3.025372754427424</v>
      </c>
      <c r="K173" s="88" t="n">
        <v>-39.02185993983179</v>
      </c>
      <c r="L173" s="93" t="n">
        <v>16.00915719490266</v>
      </c>
      <c r="M173" s="94" t="n">
        <v>0.3492538152096452</v>
      </c>
      <c r="N173" s="95" t="n">
        <v>42.23792408777275</v>
      </c>
      <c r="O173" s="96" t="n">
        <v>0.716902871210134</v>
      </c>
      <c r="P173" s="97" t="n">
        <v>2.638360256792367</v>
      </c>
      <c r="Q173" s="98" t="n"/>
      <c r="R173" s="98" t="n"/>
      <c r="S173" s="99" t="n">
        <v>0.01600669556055464</v>
      </c>
      <c r="U173" s="117">
        <f>C173*S173</f>
        <v/>
      </c>
      <c r="V173" s="117">
        <f>(1+S173)*R172*(1-U173)+S173</f>
        <v/>
      </c>
      <c r="W173" s="117">
        <f>V173+I173/3</f>
        <v/>
      </c>
      <c r="X173" s="117">
        <f>V173+I173/5</f>
        <v/>
      </c>
      <c r="Y173" s="117">
        <f>V173-E173</f>
        <v/>
      </c>
      <c r="Z173" s="100" t="n"/>
      <c r="AA173" s="100" t="n"/>
      <c r="AB173" s="100" t="n"/>
      <c r="AI173" s="58" t="n"/>
    </row>
    <row r="174">
      <c r="A174" t="inlineStr">
        <is>
          <t>2009-07-02T16:00:00.000Z</t>
        </is>
      </c>
      <c r="B174" t="inlineStr">
        <is>
          <t>pb weighted</t>
        </is>
      </c>
      <c r="C174" s="162" t="n">
        <v>2.034906502101566</v>
      </c>
      <c r="D174" s="88" t="n">
        <v>1.46475622375033</v>
      </c>
      <c r="E174" s="89" t="n">
        <v>0.2801850000294405</v>
      </c>
      <c r="F174" s="90" t="n">
        <v>4.259158288012494</v>
      </c>
      <c r="G174" s="91" t="n">
        <v>1.093048640620006</v>
      </c>
      <c r="H174" s="92" t="n">
        <v>-0.1460770617147201</v>
      </c>
      <c r="I174" s="92" t="n">
        <v>0.0834379896324402</v>
      </c>
      <c r="J174" s="92" t="n">
        <v>0.2440975902501037</v>
      </c>
      <c r="K174" s="88" t="n">
        <v>2.907759133535161</v>
      </c>
      <c r="L174" s="93" t="n">
        <v>1.503570359178934</v>
      </c>
      <c r="M174" s="94" t="n">
        <v>0.2611108384458405</v>
      </c>
      <c r="N174" s="95" t="n">
        <v>3.321257994918855</v>
      </c>
      <c r="O174" s="96" t="n">
        <v>0.6321427994302435</v>
      </c>
      <c r="P174" s="97" t="n">
        <v>2.208914251763063</v>
      </c>
      <c r="Q174" s="98" t="n"/>
      <c r="R174" s="98" t="n"/>
      <c r="W174" s="117">
        <f>V172+I174/3</f>
        <v/>
      </c>
      <c r="X174" s="117">
        <f>V172+I174/5</f>
        <v/>
      </c>
      <c r="Y174" s="117">
        <f>V172-E174</f>
        <v/>
      </c>
      <c r="Z174" s="100" t="n"/>
      <c r="AA174" s="100" t="n"/>
      <c r="AB174" s="100" t="n"/>
      <c r="AI174" s="58" t="n"/>
    </row>
    <row r="175">
      <c r="A175" t="n">
        <v>3.16</v>
      </c>
      <c r="B175" t="inlineStr">
        <is>
          <t>pb equal</t>
        </is>
      </c>
      <c r="C175" s="162" t="n">
        <v>1.969533248631594</v>
      </c>
      <c r="D175" s="88" t="n">
        <v>1.569370139221211</v>
      </c>
      <c r="E175" s="89" t="n">
        <v>0.2031766204954456</v>
      </c>
      <c r="F175" s="90" t="n">
        <v>4.998691692216314</v>
      </c>
      <c r="G175" s="91" t="n">
        <v>1.538008279722791</v>
      </c>
      <c r="H175" s="92" t="n">
        <v>-0.06710651660152189</v>
      </c>
      <c r="I175" s="92" t="n">
        <v>0.07156399485360621</v>
      </c>
      <c r="J175" s="92" t="n">
        <v>0.4059201062211697</v>
      </c>
      <c r="K175" s="88" t="n">
        <v>3.185157896974438</v>
      </c>
      <c r="L175" s="93" t="n">
        <v>1.579337638759914</v>
      </c>
      <c r="M175" s="94" t="n">
        <v>0.1981157769957848</v>
      </c>
      <c r="N175" s="95" t="n">
        <v>2.73665573735694</v>
      </c>
      <c r="O175" s="96" t="n">
        <v>0.3894945613425576</v>
      </c>
      <c r="P175" s="97" t="n">
        <v>1.732787005257308</v>
      </c>
      <c r="Q175" s="98" t="n"/>
      <c r="R175" s="98" t="n"/>
      <c r="W175" s="117">
        <f>V173+I175/3</f>
        <v/>
      </c>
      <c r="X175" s="117">
        <f>V173+I175/5</f>
        <v/>
      </c>
      <c r="Y175" s="117">
        <f>V173-E175</f>
        <v/>
      </c>
      <c r="Z175" s="100" t="n"/>
      <c r="AA175" s="100" t="n"/>
      <c r="AB175" s="100" t="n"/>
      <c r="AI175" s="58" t="n"/>
    </row>
    <row r="176">
      <c r="C176" s="57" t="n"/>
      <c r="D176" s="88" t="n"/>
      <c r="F176" s="90" t="n"/>
      <c r="K176" s="88" t="n"/>
      <c r="L176" s="93" t="n"/>
      <c r="M176" s="94" t="n"/>
      <c r="N176" s="95" t="n"/>
      <c r="P176" s="97" t="n"/>
      <c r="Q176" s="98" t="n"/>
      <c r="R176" s="98" t="n"/>
    </row>
    <row customFormat="1" r="177" s="128">
      <c r="A177" s="128" t="inlineStr">
        <is>
          <t>全指材料</t>
        </is>
      </c>
      <c r="B177" s="128" t="inlineStr">
        <is>
          <t>pe weighted</t>
        </is>
      </c>
      <c r="C177" s="160" t="n">
        <v>7.173035479026199</v>
      </c>
      <c r="D177" s="19" t="n">
        <v>6.96117105898881</v>
      </c>
      <c r="E177" s="29" t="n">
        <v>0.02953622920963883</v>
      </c>
      <c r="F177" s="20" t="n">
        <v>68.96474952203833</v>
      </c>
      <c r="G177" s="39" t="n">
        <v>8.614444222908109</v>
      </c>
      <c r="H177" s="21" t="n">
        <v>0.4856653128235147</v>
      </c>
      <c r="I177" s="21" t="n">
        <v>1.040290562202926</v>
      </c>
      <c r="J177" s="21" t="n">
        <v>2.694933243026637</v>
      </c>
      <c r="K177" s="19" t="n">
        <v>9.907061461014615</v>
      </c>
      <c r="L177" s="22" t="n">
        <v>6.96117105898881</v>
      </c>
      <c r="M177" s="32" t="n">
        <v>0.02953622920963883</v>
      </c>
      <c r="N177" s="23" t="n">
        <v>28.04114056825711</v>
      </c>
      <c r="O177" s="24" t="n">
        <v>2.909243255557399</v>
      </c>
      <c r="P177" s="25" t="n">
        <v>4.028221736060944</v>
      </c>
      <c r="Q177" s="26" t="n">
        <v>0.1311317791883034</v>
      </c>
      <c r="R177" s="26" t="n">
        <v>0.1596030940642385</v>
      </c>
      <c r="S177" s="27" t="n">
        <v>0.06833614603705776</v>
      </c>
      <c r="T177" s="128" t="n">
        <v>2445.52</v>
      </c>
      <c r="U177" s="117">
        <f>C177*S177</f>
        <v/>
      </c>
      <c r="V177" s="117">
        <f>(1+S177)*Q177*(1-U177)+S177</f>
        <v/>
      </c>
      <c r="W177" s="117">
        <f>V177+I177/3</f>
        <v/>
      </c>
      <c r="X177" s="117">
        <f>V177+I177/5</f>
        <v/>
      </c>
      <c r="Y177" s="117">
        <f>V177-E177</f>
        <v/>
      </c>
      <c r="Z177" s="100" t="n"/>
      <c r="AA177" s="100" t="n"/>
      <c r="AB177" s="100" t="n"/>
      <c r="AC177" s="117" t="n"/>
      <c r="AD177" s="117" t="n"/>
      <c r="AE177" s="117" t="n"/>
      <c r="AF177" s="117" t="n"/>
      <c r="AH177" s="27" t="n"/>
      <c r="AI177" s="58" t="n"/>
    </row>
    <row customFormat="1" r="178" s="128">
      <c r="A178" s="128" t="inlineStr">
        <is>
          <t>000928</t>
        </is>
      </c>
      <c r="B178" s="128" t="inlineStr">
        <is>
          <t>pe equal</t>
        </is>
      </c>
      <c r="C178" s="160" t="n">
        <v>7.867737178467025</v>
      </c>
      <c r="D178" s="19" t="n">
        <v>7.436097183064346</v>
      </c>
      <c r="E178" s="29" t="n">
        <v>0.0548620252064369</v>
      </c>
      <c r="F178" s="20" t="n">
        <v>-86.85644566637211</v>
      </c>
      <c r="G178" s="39" t="n">
        <v>-12.03957131461978</v>
      </c>
      <c r="H178" s="21" t="n">
        <v>0.4801767430652943</v>
      </c>
      <c r="I178" s="21" t="n">
        <v>1.491992727714898</v>
      </c>
      <c r="J178" s="21" t="n">
        <v>7.270605228935615</v>
      </c>
      <c r="K178" s="19" t="n">
        <v>-11.68038065239209</v>
      </c>
      <c r="L178" s="22" t="n">
        <v>7.436097183064346</v>
      </c>
      <c r="M178" s="32" t="n">
        <v>0.0548620252064369</v>
      </c>
      <c r="N178" s="23" t="n">
        <v>25.0928168511581</v>
      </c>
      <c r="O178" s="24" t="n">
        <v>2.189330843413769</v>
      </c>
      <c r="P178" s="25" t="n">
        <v>3.374460585091169</v>
      </c>
      <c r="Q178" s="26" t="n"/>
      <c r="R178" s="26" t="n"/>
      <c r="S178" s="27" t="n">
        <v>0.04397885701520117</v>
      </c>
      <c r="U178" s="117">
        <f>C178*S178</f>
        <v/>
      </c>
      <c r="V178" s="117">
        <f>(1+S178)*R177*(1-U178)+S178</f>
        <v/>
      </c>
      <c r="W178" s="117">
        <f>V178+I178/3</f>
        <v/>
      </c>
      <c r="X178" s="117">
        <f>V178+I178/5</f>
        <v/>
      </c>
      <c r="Y178" s="117">
        <f>V178-E178</f>
        <v/>
      </c>
      <c r="Z178" s="100" t="n"/>
      <c r="AA178" s="100" t="n"/>
      <c r="AB178" s="100" t="n"/>
      <c r="AC178" s="117" t="n"/>
      <c r="AD178" s="117" t="n"/>
      <c r="AE178" s="117" t="n"/>
      <c r="AF178" s="117" t="n"/>
      <c r="AH178" s="27" t="n"/>
      <c r="AI178" s="58" t="n"/>
    </row>
    <row customFormat="1" r="179" s="128">
      <c r="A179" s="128" t="inlineStr">
        <is>
          <t>2011-08-01T16:00:00.000Z</t>
        </is>
      </c>
      <c r="B179" s="128" t="inlineStr">
        <is>
          <t>pb weighted</t>
        </is>
      </c>
      <c r="C179" s="159" t="n">
        <v>0.9406129045455294</v>
      </c>
      <c r="D179" s="19" t="n">
        <v>0.7281274984864116</v>
      </c>
      <c r="E179" s="29" t="n">
        <v>0.2259010109602773</v>
      </c>
      <c r="F179" s="20" t="n">
        <v>2.142434288021538</v>
      </c>
      <c r="G179" s="39" t="n">
        <v>1.277700292722102</v>
      </c>
      <c r="H179" s="21" t="n">
        <v>-0.004471866932493906</v>
      </c>
      <c r="I179" s="21" t="n">
        <v>0.2293796671500798</v>
      </c>
      <c r="J179" s="21" t="n">
        <v>0.3768333077167814</v>
      </c>
      <c r="K179" s="19" t="n">
        <v>2.942388925669068</v>
      </c>
      <c r="L179" s="22" t="n">
        <v>0.7281274984864116</v>
      </c>
      <c r="M179" s="32" t="n">
        <v>0.2259010109602773</v>
      </c>
      <c r="N179" s="23" t="n">
        <v>1.353338643504519</v>
      </c>
      <c r="O179" s="24" t="n">
        <v>0.4387838365436885</v>
      </c>
      <c r="P179" s="25" t="n">
        <v>1.858656136896023</v>
      </c>
      <c r="Q179" s="26" t="n"/>
      <c r="R179" s="26" t="n"/>
      <c r="S179" s="27" t="n"/>
      <c r="V179" s="99" t="n"/>
      <c r="W179" s="117">
        <f>V177+I179/3</f>
        <v/>
      </c>
      <c r="X179" s="117">
        <f>V177+I179/5</f>
        <v/>
      </c>
      <c r="Y179" s="117">
        <f>V177-E179</f>
        <v/>
      </c>
      <c r="Z179" s="100" t="n"/>
      <c r="AA179" s="100" t="n"/>
      <c r="AB179" s="100" t="n"/>
      <c r="AC179" s="117" t="n"/>
      <c r="AD179" s="117" t="n"/>
      <c r="AE179" s="117" t="n"/>
      <c r="AF179" s="117" t="n"/>
      <c r="AH179" s="27" t="n"/>
      <c r="AI179" s="58" t="n"/>
    </row>
    <row customFormat="1" r="180" s="128">
      <c r="A180" s="128" t="n">
        <v>3.4</v>
      </c>
      <c r="B180" s="128" t="inlineStr">
        <is>
          <t>pb equal</t>
        </is>
      </c>
      <c r="C180" s="159" t="n">
        <v>1.255715196967579</v>
      </c>
      <c r="D180" s="19" t="n">
        <v>0.8246765977716962</v>
      </c>
      <c r="E180" s="29" t="n">
        <v>0.3432614339913985</v>
      </c>
      <c r="F180" s="20" t="n">
        <v>2.904408678032608</v>
      </c>
      <c r="G180" s="39" t="n">
        <v>1.312951762506699</v>
      </c>
      <c r="H180" s="21" t="n">
        <v>-0.1130775955234913</v>
      </c>
      <c r="I180" s="21" t="n">
        <v>0.1075652368568312</v>
      </c>
      <c r="J180" s="21" t="n">
        <v>0.334836127138606</v>
      </c>
      <c r="K180" s="19" t="n">
        <v>3.521875952198011</v>
      </c>
      <c r="L180" s="22" t="n">
        <v>0.8246765977716962</v>
      </c>
      <c r="M180" s="32" t="n">
        <v>0.3432614339913985</v>
      </c>
      <c r="N180" s="23" t="n">
        <v>1.790360193155319</v>
      </c>
      <c r="O180" s="24" t="n">
        <v>0.4257693125629538</v>
      </c>
      <c r="P180" s="25" t="n">
        <v>2.170984599287687</v>
      </c>
      <c r="Q180" s="26" t="n"/>
      <c r="R180" s="26" t="n"/>
      <c r="S180" s="27" t="n"/>
      <c r="V180" s="99" t="n"/>
      <c r="W180" s="117">
        <f>V178+I180/3</f>
        <v/>
      </c>
      <c r="X180" s="117">
        <f>V178+I180/5</f>
        <v/>
      </c>
      <c r="Y180" s="117">
        <f>V178-E180</f>
        <v/>
      </c>
      <c r="Z180" s="100" t="n"/>
      <c r="AA180" s="100" t="n"/>
      <c r="AB180" s="100" t="n"/>
      <c r="AC180" s="117" t="n"/>
      <c r="AD180" s="117" t="n"/>
      <c r="AE180" s="117" t="n"/>
      <c r="AF180" s="117" t="n"/>
      <c r="AH180" s="27" t="n"/>
      <c r="AI180" s="58" t="n"/>
    </row>
    <row r="181">
      <c r="C181" s="57" t="n"/>
      <c r="D181" s="88" t="n"/>
      <c r="F181" s="90" t="n"/>
      <c r="K181" s="88" t="n"/>
      <c r="L181" s="93" t="n"/>
      <c r="M181" s="94" t="n"/>
      <c r="N181" s="95" t="n"/>
      <c r="P181" s="97" t="n"/>
      <c r="Q181" s="98" t="n"/>
      <c r="R181" s="98" t="n"/>
    </row>
    <row r="182">
      <c r="A182" t="inlineStr">
        <is>
          <t>中证能源</t>
        </is>
      </c>
      <c r="B182" t="inlineStr">
        <is>
          <t>pe weighted</t>
        </is>
      </c>
      <c r="C182" s="162" t="n">
        <v>24.96334669923441</v>
      </c>
      <c r="D182" s="88" t="n">
        <v>15.87505864383981</v>
      </c>
      <c r="E182" s="89" t="n">
        <v>0.3640652899986891</v>
      </c>
      <c r="F182" s="90" t="n">
        <v>59.76774157518356</v>
      </c>
      <c r="G182" s="91" t="n">
        <v>1.394219905499151</v>
      </c>
      <c r="H182" s="92" t="n">
        <v>-0.1996241409878355</v>
      </c>
      <c r="I182" s="92" t="n">
        <v>0.0400079992927953</v>
      </c>
      <c r="J182" s="92" t="n">
        <v>0.2640740324641349</v>
      </c>
      <c r="K182" s="88" t="n">
        <v>3.764883199242602</v>
      </c>
      <c r="L182" s="93" t="n">
        <v>15.87505864383981</v>
      </c>
      <c r="M182" s="94" t="n">
        <v>0.3640652899986891</v>
      </c>
      <c r="N182" s="95" t="n">
        <v>33.48883555019792</v>
      </c>
      <c r="O182" s="96" t="n">
        <v>0.341520267842331</v>
      </c>
      <c r="P182" s="97" t="n">
        <v>2.10952515524678</v>
      </c>
      <c r="Q182" s="98" t="n">
        <v>0.08647988528137783</v>
      </c>
      <c r="R182" s="98" t="n">
        <v>0.05029866662542452</v>
      </c>
      <c r="S182" s="99" t="n">
        <v>0.01193019806081636</v>
      </c>
      <c r="T182" t="n">
        <v>4046.53</v>
      </c>
      <c r="U182" s="117">
        <f>C182*S182</f>
        <v/>
      </c>
      <c r="V182" s="117">
        <f>(1+S182)*Q182*(1-U182)+S182</f>
        <v/>
      </c>
      <c r="W182" s="117">
        <f>V182+I182/3</f>
        <v/>
      </c>
      <c r="X182" s="117">
        <f>V182+I182/5</f>
        <v/>
      </c>
      <c r="Y182" s="117">
        <f>V182-E182</f>
        <v/>
      </c>
      <c r="Z182" s="100" t="n"/>
      <c r="AA182" s="100" t="n"/>
      <c r="AB182" s="100" t="n"/>
      <c r="AI182" s="58" t="n"/>
    </row>
    <row r="183">
      <c r="A183" t="inlineStr">
        <is>
          <t>000988</t>
        </is>
      </c>
      <c r="B183" t="inlineStr">
        <is>
          <t>pe equal</t>
        </is>
      </c>
      <c r="C183" s="163" t="n">
        <v>44.17488142176503</v>
      </c>
      <c r="D183" s="88" t="n">
        <v>25.29729554101881</v>
      </c>
      <c r="E183" s="89" t="n">
        <v>0.4273375563934215</v>
      </c>
      <c r="F183" s="90" t="n">
        <v>122.3386301672166</v>
      </c>
      <c r="G183" s="91" t="n">
        <v>1.769416153020847</v>
      </c>
      <c r="H183" s="92" t="n">
        <v>-0.2297171700997598</v>
      </c>
      <c r="I183" s="92" t="n">
        <v>-0.006095829658238183</v>
      </c>
      <c r="J183" s="92" t="n">
        <v>0.2412485572802856</v>
      </c>
      <c r="K183" s="88" t="n">
        <v>4.836035929961294</v>
      </c>
      <c r="L183" s="93" t="n">
        <v>25.29729554101881</v>
      </c>
      <c r="M183" s="94" t="n">
        <v>0.4273375563934215</v>
      </c>
      <c r="N183" s="95" t="n">
        <v>122.3386301672166</v>
      </c>
      <c r="O183" s="96" t="n">
        <v>1.769416153020847</v>
      </c>
      <c r="P183" s="97" t="n">
        <v>4.836035929961294</v>
      </c>
      <c r="Q183" s="98" t="n"/>
      <c r="R183" s="98" t="n"/>
      <c r="S183" s="99" t="n">
        <v>0.009837220757417192</v>
      </c>
      <c r="U183" s="117">
        <f>C183*S183</f>
        <v/>
      </c>
      <c r="V183" s="117">
        <f>(1+S183)*R182*(1-U183)+S183</f>
        <v/>
      </c>
      <c r="W183" s="117">
        <f>V183+I183/3</f>
        <v/>
      </c>
      <c r="X183" s="117">
        <f>V183+I183/5</f>
        <v/>
      </c>
      <c r="Y183" s="117">
        <f>V183-E183</f>
        <v/>
      </c>
      <c r="Z183" s="100" t="n"/>
      <c r="AA183" s="100" t="n"/>
      <c r="AB183" s="100" t="n"/>
      <c r="AI183" s="58" t="n"/>
    </row>
    <row r="184">
      <c r="A184" t="inlineStr">
        <is>
          <t>2009-07-02T16:00:00.000Z</t>
        </is>
      </c>
      <c r="B184" t="inlineStr">
        <is>
          <t>pb weighted</t>
        </is>
      </c>
      <c r="C184" s="163" t="n">
        <v>2.158827358789054</v>
      </c>
      <c r="D184" s="88" t="n">
        <v>1.477857773851931</v>
      </c>
      <c r="E184" s="89" t="n">
        <v>0.3154349430327295</v>
      </c>
      <c r="F184" s="90" t="n">
        <v>5.037175701099772</v>
      </c>
      <c r="G184" s="91" t="n">
        <v>1.333292507431101</v>
      </c>
      <c r="H184" s="92" t="n">
        <v>-0.2081919745413793</v>
      </c>
      <c r="I184" s="92" t="n">
        <v>-0.008535216707507676</v>
      </c>
      <c r="J184" s="92" t="n">
        <v>0.1925958886380985</v>
      </c>
      <c r="K184" s="88" t="n">
        <v>3.408430628592042</v>
      </c>
      <c r="L184" s="93" t="n">
        <v>1.477857773851931</v>
      </c>
      <c r="M184" s="94" t="n">
        <v>0.3154349430327295</v>
      </c>
      <c r="N184" s="95" t="n">
        <v>2.772832683464177</v>
      </c>
      <c r="O184" s="96" t="n">
        <v>0.2844161309033697</v>
      </c>
      <c r="P184" s="97" t="n">
        <v>1.876251377178865</v>
      </c>
      <c r="Q184" s="98" t="n"/>
      <c r="R184" s="98" t="n"/>
      <c r="W184" s="117">
        <f>V182+I184/3</f>
        <v/>
      </c>
      <c r="X184" s="117">
        <f>V182+I184/5</f>
        <v/>
      </c>
      <c r="Y184" s="117">
        <f>V182-E184</f>
        <v/>
      </c>
      <c r="Z184" s="100" t="n"/>
      <c r="AA184" s="100" t="n"/>
      <c r="AB184" s="100" t="n"/>
      <c r="AI184" s="58" t="n"/>
    </row>
    <row r="185">
      <c r="A185" t="n">
        <v>6.44</v>
      </c>
      <c r="B185" t="inlineStr">
        <is>
          <t>pb equal</t>
        </is>
      </c>
      <c r="C185" s="163" t="n">
        <v>2.221937633851018</v>
      </c>
      <c r="D185" s="88" t="n">
        <v>1.534175556432102</v>
      </c>
      <c r="E185" s="89" t="n">
        <v>0.3095325750556289</v>
      </c>
      <c r="F185" s="90" t="n">
        <v>6.112525343703571</v>
      </c>
      <c r="G185" s="91" t="n">
        <v>1.75098870939481</v>
      </c>
      <c r="H185" s="92" t="n">
        <v>-0.1347637252025681</v>
      </c>
      <c r="I185" s="92" t="n">
        <v>-0.0254389343848952</v>
      </c>
      <c r="J185" s="92" t="n">
        <v>0.3876869917586494</v>
      </c>
      <c r="K185" s="88" t="n">
        <v>3.984241124215888</v>
      </c>
      <c r="L185" s="93" t="n">
        <v>1.534175556432102</v>
      </c>
      <c r="M185" s="94" t="n">
        <v>0.3095325750556289</v>
      </c>
      <c r="N185" s="95" t="n">
        <v>2.531697874270149</v>
      </c>
      <c r="O185" s="96" t="n">
        <v>0.1394099616928766</v>
      </c>
      <c r="P185" s="97" t="n">
        <v>1.650200893669495</v>
      </c>
      <c r="Q185" s="98" t="n"/>
      <c r="R185" s="98" t="n"/>
      <c r="W185" s="117">
        <f>V183+I185/3</f>
        <v/>
      </c>
      <c r="X185" s="117">
        <f>V183+I185/5</f>
        <v/>
      </c>
      <c r="Y185" s="117">
        <f>V183-E185</f>
        <v/>
      </c>
      <c r="Z185" s="100" t="n"/>
      <c r="AA185" s="100" t="n"/>
      <c r="AB185" s="100" t="n"/>
      <c r="AI185" s="58" t="n"/>
    </row>
    <row r="186">
      <c r="C186" s="57" t="n"/>
      <c r="D186" s="88" t="n"/>
      <c r="F186" s="90" t="n"/>
      <c r="K186" s="88" t="n"/>
      <c r="L186" s="93" t="n"/>
      <c r="M186" s="94" t="n"/>
      <c r="N186" s="95" t="n"/>
      <c r="P186" s="97" t="n"/>
      <c r="Q186" s="98" t="n"/>
      <c r="R186" s="98" t="n"/>
    </row>
    <row r="187">
      <c r="A187" t="inlineStr">
        <is>
          <t>全指工业</t>
        </is>
      </c>
      <c r="B187" t="inlineStr">
        <is>
          <t>pe weighted</t>
        </is>
      </c>
      <c r="C187" s="162" t="n">
        <v>19.9919254090432</v>
      </c>
      <c r="D187" s="88" t="n">
        <v>13.8401275333308</v>
      </c>
      <c r="E187" s="89" t="n">
        <v>0.3077141270710065</v>
      </c>
      <c r="F187" s="90" t="n">
        <v>49.64696377449754</v>
      </c>
      <c r="G187" s="91" t="n">
        <v>1.483350790816781</v>
      </c>
      <c r="H187" s="92" t="n">
        <v>-0.1903553842463764</v>
      </c>
      <c r="I187" s="92" t="n">
        <v>0.0542444738408836</v>
      </c>
      <c r="J187" s="92" t="n">
        <v>0.2819923337524</v>
      </c>
      <c r="K187" s="88" t="n">
        <v>3.58717530997703</v>
      </c>
      <c r="L187" s="93" t="n">
        <v>13.8401275333308</v>
      </c>
      <c r="M187" s="94" t="n">
        <v>0.3077141270710065</v>
      </c>
      <c r="N187" s="95" t="n">
        <v>26.41246099454052</v>
      </c>
      <c r="O187" s="96" t="n">
        <v>0.3211564396190194</v>
      </c>
      <c r="P187" s="97" t="n">
        <v>1.908397226176719</v>
      </c>
      <c r="Q187" s="98" t="n">
        <v>0.102321739971436</v>
      </c>
      <c r="R187" s="98" t="n">
        <v>0.07997228671205484</v>
      </c>
      <c r="S187" s="99" t="n">
        <v>0.01355956966383441</v>
      </c>
      <c r="T187" t="n">
        <v>3388.29</v>
      </c>
      <c r="U187" s="117">
        <f>C187*S187</f>
        <v/>
      </c>
      <c r="V187" s="117">
        <f>(1+S187)*Q187*(1-U187)+S187</f>
        <v/>
      </c>
      <c r="W187" s="117">
        <f>V187+I187/3</f>
        <v/>
      </c>
      <c r="X187" s="117">
        <f>V187+I187/5</f>
        <v/>
      </c>
      <c r="Y187" s="117">
        <f>V187-E187</f>
        <v/>
      </c>
      <c r="Z187" s="100" t="n"/>
      <c r="AA187" s="100" t="n"/>
      <c r="AB187" s="100" t="n"/>
      <c r="AI187" s="58" t="n"/>
    </row>
    <row r="188">
      <c r="A188" t="inlineStr">
        <is>
          <t>000930</t>
        </is>
      </c>
      <c r="B188" t="inlineStr">
        <is>
          <t>pe equal</t>
        </is>
      </c>
      <c r="C188" s="162" t="n">
        <v>24.00686312047813</v>
      </c>
      <c r="D188" s="88" t="n">
        <v>17.94176742627928</v>
      </c>
      <c r="E188" s="89" t="n">
        <v>0.2526400747886656</v>
      </c>
      <c r="F188" s="90" t="n">
        <v>65.66271748936501</v>
      </c>
      <c r="G188" s="91" t="n">
        <v>1.735164405271838</v>
      </c>
      <c r="H188" s="92" t="n">
        <v>-0.05384432978144837</v>
      </c>
      <c r="I188" s="92" t="n">
        <v>0.06814166448947168</v>
      </c>
      <c r="J188" s="92" t="n">
        <v>0.5237935147128994</v>
      </c>
      <c r="K188" s="88" t="n">
        <v>3.659768624198579</v>
      </c>
      <c r="L188" s="93" t="n">
        <v>17.94176742627928</v>
      </c>
      <c r="M188" s="94" t="n">
        <v>0.2526400747886656</v>
      </c>
      <c r="N188" s="95" t="n">
        <v>31.25900374087818</v>
      </c>
      <c r="O188" s="96" t="n">
        <v>0.3020861402843542</v>
      </c>
      <c r="P188" s="97" t="n">
        <v>1.742247739489319</v>
      </c>
      <c r="Q188" s="98" t="n"/>
      <c r="R188" s="98" t="n"/>
      <c r="S188" s="99" t="n">
        <v>0.01448133255655419</v>
      </c>
      <c r="U188" s="117">
        <f>C188*S188</f>
        <v/>
      </c>
      <c r="V188" s="117">
        <f>(1+S188)*R187*(1-U188)+S188</f>
        <v/>
      </c>
      <c r="W188" s="117">
        <f>V188+I188/3</f>
        <v/>
      </c>
      <c r="X188" s="117">
        <f>V188+I188/5</f>
        <v/>
      </c>
      <c r="Y188" s="117">
        <f>V188-E188</f>
        <v/>
      </c>
      <c r="Z188" s="100" t="n"/>
      <c r="AA188" s="100" t="n"/>
      <c r="AB188" s="100" t="n"/>
      <c r="AI188" s="58" t="n"/>
    </row>
    <row r="189">
      <c r="A189" t="inlineStr">
        <is>
          <t>2011-08-01T16:00:00.000Z</t>
        </is>
      </c>
      <c r="B189" t="inlineStr">
        <is>
          <t>pb weighted</t>
        </is>
      </c>
      <c r="C189" s="163" t="n">
        <v>2.045608593232462</v>
      </c>
      <c r="D189" s="88" t="n">
        <v>1.33933840697334</v>
      </c>
      <c r="E189" s="89" t="n">
        <v>0.3452616441853505</v>
      </c>
      <c r="F189" s="90" t="n">
        <v>4.529801610964455</v>
      </c>
      <c r="G189" s="91" t="n">
        <v>1.214402904813028</v>
      </c>
      <c r="H189" s="92" t="n">
        <v>-0.2443769267182179</v>
      </c>
      <c r="I189" s="92" t="n">
        <v>-0.04967841908062176</v>
      </c>
      <c r="J189" s="92" t="n">
        <v>0.1053616887616642</v>
      </c>
      <c r="K189" s="88" t="n">
        <v>3.382118803865991</v>
      </c>
      <c r="L189" s="93" t="n">
        <v>1.380450193378009</v>
      </c>
      <c r="M189" s="94" t="n">
        <v>0.3251640622037928</v>
      </c>
      <c r="N189" s="95" t="n">
        <v>2.634184950445618</v>
      </c>
      <c r="O189" s="96" t="n">
        <v>0.2877267719544969</v>
      </c>
      <c r="P189" s="97" t="n">
        <v>1.908207165373839</v>
      </c>
      <c r="Q189" s="98" t="n"/>
      <c r="R189" s="98" t="n"/>
      <c r="W189" s="117">
        <f>V187+I189/3</f>
        <v/>
      </c>
      <c r="X189" s="117">
        <f>V187+I189/5</f>
        <v/>
      </c>
      <c r="Y189" s="117">
        <f>V187-E189</f>
        <v/>
      </c>
      <c r="Z189" s="100" t="n"/>
      <c r="AA189" s="100" t="n"/>
      <c r="AB189" s="100" t="n"/>
      <c r="AI189" s="58" t="n"/>
    </row>
    <row r="190">
      <c r="B190" t="inlineStr">
        <is>
          <t>pb equal</t>
        </is>
      </c>
      <c r="C190" s="163" t="n">
        <v>1.919883740527933</v>
      </c>
      <c r="D190" s="88" t="n">
        <v>1.350924184895923</v>
      </c>
      <c r="E190" s="89" t="n">
        <v>0.2963510464834482</v>
      </c>
      <c r="F190" s="90" t="n">
        <v>5.020361837185315</v>
      </c>
      <c r="G190" s="91" t="n">
        <v>1.61493012894875</v>
      </c>
      <c r="H190" s="92" t="n">
        <v>-0.1574626378457207</v>
      </c>
      <c r="I190" s="92" t="n">
        <v>-0.04916519931544638</v>
      </c>
      <c r="J190" s="92" t="n">
        <v>0.25029714295008</v>
      </c>
      <c r="K190" s="88" t="n">
        <v>3.716242475570227</v>
      </c>
      <c r="L190" s="93" t="n">
        <v>1.350924184895923</v>
      </c>
      <c r="M190" s="94" t="n">
        <v>0.2963510464834482</v>
      </c>
      <c r="N190" s="95" t="n">
        <v>2.145952126143043</v>
      </c>
      <c r="O190" s="96" t="n">
        <v>0.1177510808820881</v>
      </c>
      <c r="P190" s="97" t="n">
        <v>1.58850670536213</v>
      </c>
      <c r="Q190" s="98" t="n"/>
      <c r="R190" s="98" t="n"/>
      <c r="W190" s="117">
        <f>V188+I190/3</f>
        <v/>
      </c>
      <c r="X190" s="117">
        <f>V188+I190/5</f>
        <v/>
      </c>
      <c r="Y190" s="117">
        <f>V188-E190</f>
        <v/>
      </c>
      <c r="Z190" s="100" t="n"/>
      <c r="AA190" s="100" t="n"/>
      <c r="AB190" s="100" t="n"/>
      <c r="AI190" s="58" t="n"/>
    </row>
    <row r="191">
      <c r="C191" s="57" t="n"/>
      <c r="D191" s="88" t="n"/>
      <c r="F191" s="90" t="n"/>
      <c r="K191" s="88" t="n"/>
      <c r="L191" s="93" t="n"/>
      <c r="M191" s="94" t="n"/>
      <c r="N191" s="95" t="n"/>
      <c r="P191" s="97" t="n"/>
      <c r="Q191" s="98" t="n"/>
      <c r="R191" s="98" t="n"/>
    </row>
    <row r="192">
      <c r="A192" t="inlineStr">
        <is>
          <t>中证工业</t>
        </is>
      </c>
      <c r="B192" t="inlineStr">
        <is>
          <t>pe weighted</t>
        </is>
      </c>
      <c r="C192" s="161" t="n">
        <v>30.29224415796373</v>
      </c>
      <c r="D192" s="88" t="n">
        <v>9.243867189260078</v>
      </c>
      <c r="E192" s="89" t="n">
        <v>0.6948437645934562</v>
      </c>
      <c r="F192" s="90" t="n">
        <v>46.53280120697529</v>
      </c>
      <c r="G192" s="91" t="n">
        <v>0.5361292139440907</v>
      </c>
      <c r="H192" s="92" t="n">
        <v>-0.5231773741233468</v>
      </c>
      <c r="I192" s="92" t="n">
        <v>-0.4087486742589056</v>
      </c>
      <c r="J192" s="92" t="n">
        <v>-0.3117138535281772</v>
      </c>
      <c r="K192" s="88" t="n">
        <v>5.033910619252417</v>
      </c>
      <c r="L192" s="93" t="n">
        <v>13.44596018409927</v>
      </c>
      <c r="M192" s="94" t="n">
        <v>0.5561253199339353</v>
      </c>
      <c r="N192" s="95" t="n">
        <v>46.53280120697529</v>
      </c>
      <c r="O192" s="96" t="n">
        <v>0.5361292139440907</v>
      </c>
      <c r="P192" s="97" t="n">
        <v>3.460727279410168</v>
      </c>
      <c r="Q192" s="98" t="n">
        <v>0.06006551580730172</v>
      </c>
      <c r="R192" s="98" t="n">
        <v>0.05277267058699869</v>
      </c>
      <c r="S192" s="99" t="n">
        <v>0.02177662352951976</v>
      </c>
      <c r="T192" t="n">
        <v>2183.04</v>
      </c>
      <c r="U192" s="117">
        <f>C192*S192</f>
        <v/>
      </c>
      <c r="V192" s="117">
        <f>(1+S192)*Q192*(1-U192)+S192</f>
        <v/>
      </c>
      <c r="W192" s="117">
        <f>V192+I192/3</f>
        <v/>
      </c>
      <c r="X192" s="117">
        <f>V192+I192/5</f>
        <v/>
      </c>
      <c r="Y192" s="117">
        <f>V192-E192</f>
        <v/>
      </c>
      <c r="Z192" s="100" t="n"/>
      <c r="AA192" s="100" t="n"/>
      <c r="AB192" s="100" t="n"/>
      <c r="AI192" s="58" t="n"/>
    </row>
    <row r="193">
      <c r="A193" t="inlineStr">
        <is>
          <t>000937</t>
        </is>
      </c>
      <c r="B193" t="inlineStr">
        <is>
          <t>pe equal</t>
        </is>
      </c>
      <c r="C193" s="163" t="n">
        <v>28.98837075504076</v>
      </c>
      <c r="D193" s="88" t="n">
        <v>11.42439488780953</v>
      </c>
      <c r="E193" s="89" t="n">
        <v>0.6058973101886742</v>
      </c>
      <c r="F193" s="90" t="n">
        <v>-10.48732618175894</v>
      </c>
      <c r="G193" s="91" t="n">
        <v>-1.361777012940105</v>
      </c>
      <c r="H193" s="92" t="n">
        <v>-0.471795175600608</v>
      </c>
      <c r="I193" s="92" t="n">
        <v>-0.2540241360302095</v>
      </c>
      <c r="J193" s="92" t="n">
        <v>0.4279566337402523</v>
      </c>
      <c r="K193" s="88" t="n">
        <v>-0.9179765129573301</v>
      </c>
      <c r="L193" s="93" t="n">
        <v>12.00959709280947</v>
      </c>
      <c r="M193" s="94" t="n">
        <v>0.5857098284586713</v>
      </c>
      <c r="N193" s="95" t="n">
        <v>-10.48732618175894</v>
      </c>
      <c r="O193" s="96" t="n">
        <v>-1.361777012940105</v>
      </c>
      <c r="P193" s="97" t="n">
        <v>-0.8732454636665571</v>
      </c>
      <c r="Q193" s="98" t="n"/>
      <c r="R193" s="98" t="n"/>
      <c r="S193" s="99" t="n">
        <v>0.0195073754018142</v>
      </c>
      <c r="U193" s="117">
        <f>C193*S193</f>
        <v/>
      </c>
      <c r="V193" s="117">
        <f>(1+S193)*R192*(1-U193)+S193</f>
        <v/>
      </c>
      <c r="W193" s="117">
        <f>V193+I193/3</f>
        <v/>
      </c>
      <c r="X193" s="117">
        <f>V193+I193/5</f>
        <v/>
      </c>
      <c r="Y193" s="117">
        <f>V193-E193</f>
        <v/>
      </c>
      <c r="Z193" s="100" t="n"/>
      <c r="AA193" s="100" t="n"/>
      <c r="AB193" s="100" t="n"/>
      <c r="AI193" s="58" t="n"/>
    </row>
    <row r="194">
      <c r="A194" t="inlineStr">
        <is>
          <t>2009-07-02T16:00:00.000Z</t>
        </is>
      </c>
      <c r="B194" t="inlineStr">
        <is>
          <t>pb weighted</t>
        </is>
      </c>
      <c r="C194" s="163" t="n">
        <v>1.819519270308813</v>
      </c>
      <c r="D194" s="88" t="n">
        <v>1.342306943232273</v>
      </c>
      <c r="E194" s="89" t="n">
        <v>0.2622738515957278</v>
      </c>
      <c r="F194" s="90" t="n">
        <v>3.697861535206115</v>
      </c>
      <c r="G194" s="91" t="n">
        <v>1.032328865952876</v>
      </c>
      <c r="H194" s="92" t="n">
        <v>-0.1497413474147137</v>
      </c>
      <c r="I194" s="92" t="n">
        <v>-0.04795909334302051</v>
      </c>
      <c r="J194" s="92" t="n">
        <v>0.1280255252323035</v>
      </c>
      <c r="K194" s="88" t="n">
        <v>2.754855403117912</v>
      </c>
      <c r="L194" s="93" t="n">
        <v>1.342306943232273</v>
      </c>
      <c r="M194" s="94" t="n">
        <v>0.2622738515957278</v>
      </c>
      <c r="N194" s="95" t="n">
        <v>2.25569239111392</v>
      </c>
      <c r="O194" s="96" t="n">
        <v>0.2397188795538714</v>
      </c>
      <c r="P194" s="97" t="n">
        <v>1.680459452651133</v>
      </c>
      <c r="Q194" s="98" t="n"/>
      <c r="R194" s="98" t="n"/>
      <c r="W194" s="117">
        <f>V192+I194/3</f>
        <v/>
      </c>
      <c r="X194" s="117">
        <f>V192+I194/5</f>
        <v/>
      </c>
      <c r="Y194" s="117">
        <f>V192-E194</f>
        <v/>
      </c>
      <c r="Z194" s="100" t="n"/>
      <c r="AA194" s="100" t="n"/>
      <c r="AB194" s="100" t="n"/>
      <c r="AI194" s="58" t="n"/>
    </row>
    <row r="195">
      <c r="A195" t="n">
        <v>7.4</v>
      </c>
      <c r="B195" t="inlineStr">
        <is>
          <t>pb equal</t>
        </is>
      </c>
      <c r="C195" s="162" t="n">
        <v>1.529793740709552</v>
      </c>
      <c r="D195" s="88" t="n">
        <v>1.099842977496524</v>
      </c>
      <c r="E195" s="89" t="n">
        <v>0.2810514592729393</v>
      </c>
      <c r="F195" s="90" t="n">
        <v>4.598077508917429</v>
      </c>
      <c r="G195" s="91" t="n">
        <v>2.005684613917127</v>
      </c>
      <c r="H195" s="92" t="n">
        <v>-0.08996601070669652</v>
      </c>
      <c r="I195" s="92" t="n">
        <v>0.07123468779320441</v>
      </c>
      <c r="J195" s="92" t="n">
        <v>0.3293019512294715</v>
      </c>
      <c r="K195" s="88" t="n">
        <v>4.180667243412899</v>
      </c>
      <c r="L195" s="93" t="n">
        <v>1.099842977496524</v>
      </c>
      <c r="M195" s="94" t="n">
        <v>0.2810514592729393</v>
      </c>
      <c r="N195" s="95" t="n">
        <v>1.957655907861395</v>
      </c>
      <c r="O195" s="96" t="n">
        <v>0.2796861797547889</v>
      </c>
      <c r="P195" s="97" t="n">
        <v>1.77994127154172</v>
      </c>
      <c r="Q195" s="98" t="n"/>
      <c r="R195" s="98" t="n"/>
      <c r="W195" s="117">
        <f>V193+I195/3</f>
        <v/>
      </c>
      <c r="X195" s="117">
        <f>V193+I195/5</f>
        <v/>
      </c>
      <c r="Y195" s="117">
        <f>V193-E195</f>
        <v/>
      </c>
      <c r="Z195" s="100" t="n"/>
      <c r="AA195" s="100" t="n"/>
      <c r="AB195" s="100" t="n"/>
      <c r="AI195" s="58" t="n"/>
    </row>
    <row r="196">
      <c r="C196" s="57" t="n"/>
      <c r="D196" s="88" t="n"/>
      <c r="F196" s="90" t="n"/>
      <c r="K196" s="88" t="n"/>
      <c r="L196" s="93" t="n"/>
      <c r="M196" s="94" t="n"/>
      <c r="N196" s="95" t="n"/>
      <c r="P196" s="97" t="n"/>
      <c r="Q196" s="98" t="n"/>
      <c r="R196" s="98" t="n"/>
    </row>
    <row r="197">
      <c r="A197" t="inlineStr">
        <is>
          <t>中证公用</t>
        </is>
      </c>
      <c r="B197" t="inlineStr">
        <is>
          <t>pe weighted</t>
        </is>
      </c>
      <c r="C197" s="161" t="n">
        <v>38.98975768665612</v>
      </c>
      <c r="D197" s="88" t="n">
        <v>9.803715142326975</v>
      </c>
      <c r="E197" s="89" t="n">
        <v>0.7485566537469863</v>
      </c>
      <c r="F197" s="90" t="n">
        <v>55.01069384058994</v>
      </c>
      <c r="G197" s="91" t="n">
        <v>0.4109011469803732</v>
      </c>
      <c r="H197" s="92" t="n">
        <v>-0.6074431127525382</v>
      </c>
      <c r="I197" s="92" t="n">
        <v>-0.5245081504460352</v>
      </c>
      <c r="J197" s="92" t="n">
        <v>-0.4093677914982283</v>
      </c>
      <c r="K197" s="88" t="n">
        <v>5.611208918452194</v>
      </c>
      <c r="L197" s="93" t="n">
        <v>14.41244666082515</v>
      </c>
      <c r="M197" s="94" t="n">
        <v>0.63035300766289</v>
      </c>
      <c r="N197" s="95" t="n">
        <v>55.01069384058994</v>
      </c>
      <c r="O197" s="96" t="n">
        <v>0.4109011469803732</v>
      </c>
      <c r="P197" s="97" t="n">
        <v>3.816887939652603</v>
      </c>
      <c r="Q197" s="98" t="n">
        <v>0.04445359783108269</v>
      </c>
      <c r="R197" s="98" t="n">
        <v>0.01884875062879419</v>
      </c>
      <c r="S197" s="99" t="n">
        <v>0.01833744004159854</v>
      </c>
      <c r="T197" t="n">
        <v>2317.24</v>
      </c>
      <c r="U197" s="117">
        <f>C197*S197</f>
        <v/>
      </c>
      <c r="V197" s="117">
        <f>(1+S197)*Q197*(1-U197)+S197</f>
        <v/>
      </c>
      <c r="W197" s="117">
        <f>V197+I197/3</f>
        <v/>
      </c>
      <c r="X197" s="117">
        <f>V197+I197/5</f>
        <v/>
      </c>
      <c r="Y197" s="117">
        <f>V197-E197</f>
        <v/>
      </c>
      <c r="Z197" s="100" t="n"/>
      <c r="AA197" s="100" t="n"/>
      <c r="AB197" s="100" t="n"/>
      <c r="AI197" s="58" t="n"/>
    </row>
    <row r="198">
      <c r="A198" t="inlineStr">
        <is>
          <t>000995</t>
        </is>
      </c>
      <c r="B198" t="inlineStr">
        <is>
          <t>pe equal</t>
        </is>
      </c>
      <c r="C198" s="161" t="n">
        <v>83.5556092925035</v>
      </c>
      <c r="D198" s="88" t="n">
        <v>13.72045966249147</v>
      </c>
      <c r="E198" s="89" t="n">
        <v>0.8357924766671236</v>
      </c>
      <c r="F198" s="90" t="n">
        <v>198.8859131291368</v>
      </c>
      <c r="G198" s="91" t="n">
        <v>1.380282003963324</v>
      </c>
      <c r="H198" s="92" t="n">
        <v>-0.7701956340562065</v>
      </c>
      <c r="I198" s="92" t="n">
        <v>-0.6905487068410359</v>
      </c>
      <c r="J198" s="92" t="n">
        <v>-0.5939892758141847</v>
      </c>
      <c r="K198" s="88" t="n">
        <v>14.49557216168525</v>
      </c>
      <c r="L198" s="93" t="n">
        <v>16.96544102853178</v>
      </c>
      <c r="M198" s="94" t="n">
        <v>0.7969562884863806</v>
      </c>
      <c r="N198" s="95" t="n">
        <v>198.8859131291368</v>
      </c>
      <c r="O198" s="96" t="n">
        <v>1.380282003963324</v>
      </c>
      <c r="P198" s="97" t="n">
        <v>11.72300282643161</v>
      </c>
      <c r="Q198" s="98" t="n"/>
      <c r="R198" s="98" t="n"/>
      <c r="S198" s="99" t="n">
        <v>0.01273504483527908</v>
      </c>
      <c r="U198" s="117">
        <f>C198*S198</f>
        <v/>
      </c>
      <c r="V198" s="117">
        <f>(1+S198)*R197*(1-U198)+S198</f>
        <v/>
      </c>
      <c r="W198" s="117">
        <f>V198+I198/3</f>
        <v/>
      </c>
      <c r="X198" s="117">
        <f>V198+I198/5</f>
        <v/>
      </c>
      <c r="Y198" s="117">
        <f>V198-E198</f>
        <v/>
      </c>
      <c r="Z198" s="100" t="n"/>
      <c r="AA198" s="100" t="n"/>
      <c r="AB198" s="100" t="n"/>
      <c r="AI198" s="58" t="n"/>
    </row>
    <row r="199">
      <c r="A199" t="inlineStr">
        <is>
          <t>2009-07-02T16:00:00.000Z</t>
        </is>
      </c>
      <c r="B199" t="inlineStr">
        <is>
          <t>pb weighted</t>
        </is>
      </c>
      <c r="C199" s="163" t="n">
        <v>1.733235007733976</v>
      </c>
      <c r="D199" s="88" t="n">
        <v>1.283861055737948</v>
      </c>
      <c r="E199" s="89" t="n">
        <v>0.259268910442524</v>
      </c>
      <c r="F199" s="90" t="n">
        <v>3.727916900619163</v>
      </c>
      <c r="G199" s="91" t="n">
        <v>1.150843298216683</v>
      </c>
      <c r="H199" s="92" t="n">
        <v>-0.1394978104704732</v>
      </c>
      <c r="I199" s="92" t="n">
        <v>-0.02847297471438859</v>
      </c>
      <c r="J199" s="92" t="n">
        <v>0.1058276090737806</v>
      </c>
      <c r="K199" s="88" t="n">
        <v>2.903676284873677</v>
      </c>
      <c r="L199" s="93" t="n">
        <v>1.283861055737948</v>
      </c>
      <c r="M199" s="94" t="n">
        <v>0.259268910442524</v>
      </c>
      <c r="N199" s="95" t="n">
        <v>2.126826130961798</v>
      </c>
      <c r="O199" s="96" t="n">
        <v>0.2270846835377516</v>
      </c>
      <c r="P199" s="97" t="n">
        <v>1.656585906595105</v>
      </c>
      <c r="Q199" s="98" t="n"/>
      <c r="R199" s="98" t="n"/>
      <c r="W199" s="117">
        <f>V197+I199/3</f>
        <v/>
      </c>
      <c r="X199" s="117">
        <f>V197+I199/5</f>
        <v/>
      </c>
      <c r="Y199" s="117">
        <f>V197-E199</f>
        <v/>
      </c>
      <c r="Z199" s="100" t="n"/>
      <c r="AA199" s="100" t="n"/>
      <c r="AB199" s="100" t="n"/>
      <c r="AI199" s="58" t="n"/>
    </row>
    <row r="200">
      <c r="A200" t="n">
        <v>4.27</v>
      </c>
      <c r="B200" t="inlineStr">
        <is>
          <t>pb equal</t>
        </is>
      </c>
      <c r="C200" s="162" t="n">
        <v>1.574918843191357</v>
      </c>
      <c r="D200" s="88" t="n">
        <v>1.10523925087702</v>
      </c>
      <c r="E200" s="89" t="n">
        <v>0.2982246319198236</v>
      </c>
      <c r="F200" s="90" t="n">
        <v>4.419741651738732</v>
      </c>
      <c r="G200" s="91" t="n">
        <v>1.806329780639828</v>
      </c>
      <c r="H200" s="92" t="n">
        <v>-0.1366529177205722</v>
      </c>
      <c r="I200" s="92" t="n">
        <v>0.04235762446114388</v>
      </c>
      <c r="J200" s="92" t="n">
        <v>0.3071590415869099</v>
      </c>
      <c r="K200" s="88" t="n">
        <v>3.998900372233086</v>
      </c>
      <c r="L200" s="93" t="n">
        <v>1.10523925087702</v>
      </c>
      <c r="M200" s="94" t="n">
        <v>0.2982246319198236</v>
      </c>
      <c r="N200" s="95" t="n">
        <v>1.8678631709756</v>
      </c>
      <c r="O200" s="96" t="n">
        <v>0.1860059831341097</v>
      </c>
      <c r="P200" s="97" t="n">
        <v>1.690007995547958</v>
      </c>
      <c r="Q200" s="98" t="n"/>
      <c r="R200" s="98" t="n"/>
      <c r="W200" s="117">
        <f>V198+I200/3</f>
        <v/>
      </c>
      <c r="X200" s="117">
        <f>V198+I200/5</f>
        <v/>
      </c>
      <c r="Y200" s="117">
        <f>V198-E200</f>
        <v/>
      </c>
      <c r="Z200" s="100" t="n"/>
      <c r="AA200" s="100" t="n"/>
      <c r="AB200" s="100" t="n"/>
      <c r="AI200" s="58" t="n"/>
    </row>
    <row r="201">
      <c r="C201" s="57" t="n"/>
      <c r="D201" s="88" t="n"/>
      <c r="F201" s="90" t="n"/>
      <c r="K201" s="88" t="n"/>
      <c r="L201" s="93" t="n"/>
      <c r="M201" s="94" t="n"/>
      <c r="N201" s="95" t="n"/>
      <c r="P201" s="97" t="n"/>
      <c r="Q201" s="98" t="n"/>
      <c r="R201" s="98" t="n"/>
    </row>
    <row customFormat="1" r="202" s="128">
      <c r="A202" s="128" t="inlineStr">
        <is>
          <t>全指公用</t>
        </is>
      </c>
      <c r="B202" s="128" t="inlineStr">
        <is>
          <t>pe weighted</t>
        </is>
      </c>
      <c r="C202" s="160" t="n">
        <v>21.57184567042882</v>
      </c>
      <c r="D202" s="19" t="n">
        <v>17.60243615701308</v>
      </c>
      <c r="E202" s="29" t="n">
        <v>0.1840088036072453</v>
      </c>
      <c r="F202" s="20" t="n">
        <v>109.2407332180785</v>
      </c>
      <c r="G202" s="39" t="n">
        <v>4.064042033632209</v>
      </c>
      <c r="H202" s="21" t="n">
        <v>0.6606878833904117</v>
      </c>
      <c r="I202" s="21" t="n">
        <v>1.243109074482244</v>
      </c>
      <c r="J202" s="21" t="n">
        <v>1.991403964186004</v>
      </c>
      <c r="K202" s="19" t="n">
        <v>6.206000819639693</v>
      </c>
      <c r="L202" s="22" t="n">
        <v>17.60243615701308</v>
      </c>
      <c r="M202" s="32" t="n">
        <v>0.1840088036072453</v>
      </c>
      <c r="N202" s="23" t="n">
        <v>80.59275644054884</v>
      </c>
      <c r="O202" s="24" t="n">
        <v>2.736015808375045</v>
      </c>
      <c r="P202" s="25" t="n">
        <v>4.578500141779491</v>
      </c>
      <c r="Q202" s="26" t="n">
        <v>0.07758993273148848</v>
      </c>
      <c r="R202" s="26" t="n">
        <v>0.02977265557448663</v>
      </c>
      <c r="S202" s="27" t="n">
        <v>0.03006181192700308</v>
      </c>
      <c r="T202" s="128" t="n">
        <v>5275.57</v>
      </c>
      <c r="U202" s="117">
        <f>C202*S202</f>
        <v/>
      </c>
      <c r="V202" s="117">
        <f>(1+S202)*Q202*(1-U202)+S202</f>
        <v/>
      </c>
      <c r="W202" s="117">
        <f>V202+I202/3</f>
        <v/>
      </c>
      <c r="X202" s="117">
        <f>V202+I202/5</f>
        <v/>
      </c>
      <c r="Y202" s="117">
        <f>V202-E202</f>
        <v/>
      </c>
      <c r="Z202" s="100" t="n"/>
      <c r="AA202" s="100" t="n"/>
      <c r="AB202" s="100" t="n"/>
      <c r="AC202" s="117" t="n"/>
      <c r="AD202" s="117" t="n"/>
      <c r="AE202" s="117" t="n"/>
      <c r="AF202" s="117" t="n"/>
      <c r="AH202" s="27" t="n"/>
      <c r="AI202" s="58" t="n"/>
    </row>
    <row customFormat="1" r="203" s="128">
      <c r="A203" s="128" t="inlineStr">
        <is>
          <t>000994</t>
        </is>
      </c>
      <c r="B203" s="128" t="inlineStr">
        <is>
          <t>pe equal</t>
        </is>
      </c>
      <c r="C203" s="159" t="n">
        <v>80.01398635492578</v>
      </c>
      <c r="D203" s="19" t="n">
        <v>40.49267047815685</v>
      </c>
      <c r="E203" s="29" t="n">
        <v>0.4939300949394073</v>
      </c>
      <c r="F203" s="20" t="n">
        <v>-21.55907852899418</v>
      </c>
      <c r="G203" s="39" t="n">
        <v>-1.269441375328589</v>
      </c>
      <c r="H203" s="21" t="n">
        <v>-0.2263017576685424</v>
      </c>
      <c r="I203" s="21" t="n">
        <v>0.11583179961396</v>
      </c>
      <c r="J203" s="21" t="n">
        <v>8.668115663727031</v>
      </c>
      <c r="K203" s="19" t="n">
        <v>-0.5324192816728129</v>
      </c>
      <c r="L203" s="22" t="n">
        <v>40.49267047815685</v>
      </c>
      <c r="M203" s="32" t="n">
        <v>0.4939300949394073</v>
      </c>
      <c r="N203" s="23" t="n">
        <v>-21.55907852899418</v>
      </c>
      <c r="O203" s="24" t="n">
        <v>-1.269441375328589</v>
      </c>
      <c r="P203" s="25" t="n">
        <v>-0.5324192816728129</v>
      </c>
      <c r="Q203" s="26" t="n"/>
      <c r="R203" s="26" t="n"/>
      <c r="S203" s="27" t="n">
        <v>0.007850308065087266</v>
      </c>
      <c r="U203" s="117">
        <f>C203*S203</f>
        <v/>
      </c>
      <c r="V203" s="117">
        <f>(1+S203)*R202*(1-U203)+S203</f>
        <v/>
      </c>
      <c r="W203" s="117">
        <f>V203+I203/3</f>
        <v/>
      </c>
      <c r="X203" s="117">
        <f>V203+I203/5</f>
        <v/>
      </c>
      <c r="Y203" s="117">
        <f>V203-E203</f>
        <v/>
      </c>
      <c r="Z203" s="100" t="n"/>
      <c r="AA203" s="100" t="n"/>
      <c r="AB203" s="100" t="n"/>
      <c r="AC203" s="117" t="n"/>
      <c r="AD203" s="117" t="n"/>
      <c r="AE203" s="117" t="n"/>
      <c r="AF203" s="117" t="n"/>
      <c r="AH203" s="27" t="n"/>
      <c r="AI203" s="58" t="n"/>
    </row>
    <row customFormat="1" r="204" s="128">
      <c r="A204" s="128" t="inlineStr">
        <is>
          <t>2011-08-01T16:00:00.000Z</t>
        </is>
      </c>
      <c r="B204" s="128" t="inlineStr">
        <is>
          <t>pb weighted</t>
        </is>
      </c>
      <c r="C204" s="160" t="n">
        <v>1.673758054462623</v>
      </c>
      <c r="D204" s="19" t="n">
        <v>1.386462554860709</v>
      </c>
      <c r="E204" s="29" t="n">
        <v>0.1716469706215418</v>
      </c>
      <c r="F204" s="20" t="n">
        <v>6.279046733920331</v>
      </c>
      <c r="G204" s="39" t="n">
        <v>2.751466179463006</v>
      </c>
      <c r="H204" s="21" t="n">
        <v>0.2384158687195523</v>
      </c>
      <c r="I204" s="21" t="n">
        <v>0.6720977849961318</v>
      </c>
      <c r="J204" s="21" t="n">
        <v>0.958790309296415</v>
      </c>
      <c r="K204" s="19" t="n">
        <v>4.528825327382287</v>
      </c>
      <c r="L204" s="22" t="n">
        <v>1.386462554860709</v>
      </c>
      <c r="M204" s="32" t="n">
        <v>0.1716469706215418</v>
      </c>
      <c r="N204" s="23" t="n">
        <v>3.776602691206953</v>
      </c>
      <c r="O204" s="24" t="n">
        <v>1.256361175462405</v>
      </c>
      <c r="P204" s="25" t="n">
        <v>2.723912505221874</v>
      </c>
      <c r="Q204" s="26" t="n"/>
      <c r="R204" s="26" t="n"/>
      <c r="S204" s="27" t="n"/>
      <c r="V204" s="99" t="n"/>
      <c r="W204" s="117">
        <f>V202+I204/3</f>
        <v/>
      </c>
      <c r="X204" s="117">
        <f>V202+I204/5</f>
        <v/>
      </c>
      <c r="Y204" s="117">
        <f>V202-E204</f>
        <v/>
      </c>
      <c r="Z204" s="100" t="n"/>
      <c r="AA204" s="100" t="n"/>
      <c r="AB204" s="100" t="n"/>
      <c r="AC204" s="117" t="n"/>
      <c r="AD204" s="117" t="n"/>
      <c r="AE204" s="117" t="n"/>
      <c r="AF204" s="117" t="n"/>
      <c r="AH204" s="27" t="n"/>
      <c r="AI204" s="58" t="n"/>
    </row>
    <row customFormat="1" r="205" s="128">
      <c r="A205" s="128" t="n">
        <v>2.4</v>
      </c>
      <c r="B205" s="128" t="inlineStr">
        <is>
          <t>pb equal</t>
        </is>
      </c>
      <c r="C205" s="160" t="n">
        <v>2.382228856886878</v>
      </c>
      <c r="D205" s="19" t="n">
        <v>1.781992228922922</v>
      </c>
      <c r="E205" s="29" t="n">
        <v>0.2519643006710746</v>
      </c>
      <c r="F205" s="20" t="n">
        <v>8.588210655820657</v>
      </c>
      <c r="G205" s="39" t="n">
        <v>2.605115701202537</v>
      </c>
      <c r="H205" s="21" t="n">
        <v>0.07076593060315584</v>
      </c>
      <c r="I205" s="21" t="n">
        <v>0.30074634901611</v>
      </c>
      <c r="J205" s="21" t="n">
        <v>0.7192655237181238</v>
      </c>
      <c r="K205" s="19" t="n">
        <v>4.819443382764677</v>
      </c>
      <c r="L205" s="22" t="n">
        <v>1.781992228922922</v>
      </c>
      <c r="M205" s="32" t="n">
        <v>0.2519643006710746</v>
      </c>
      <c r="N205" s="23" t="n">
        <v>3.809783514492666</v>
      </c>
      <c r="O205" s="24" t="n">
        <v>0.5992516854452565</v>
      </c>
      <c r="P205" s="25" t="n">
        <v>2.137934976739706</v>
      </c>
      <c r="Q205" s="26" t="n"/>
      <c r="R205" s="26" t="n"/>
      <c r="S205" s="27" t="n"/>
      <c r="V205" s="99" t="n"/>
      <c r="W205" s="117">
        <f>V203+I205/3</f>
        <v/>
      </c>
      <c r="X205" s="117">
        <f>V203+I205/5</f>
        <v/>
      </c>
      <c r="Y205" s="117">
        <f>V203-E205</f>
        <v/>
      </c>
      <c r="Z205" s="100" t="n"/>
      <c r="AA205" s="100" t="n"/>
      <c r="AB205" s="100" t="n"/>
      <c r="AC205" s="117" t="n"/>
      <c r="AD205" s="117" t="n"/>
      <c r="AE205" s="117" t="n"/>
      <c r="AF205" s="117" t="n"/>
      <c r="AH205" s="27" t="n"/>
      <c r="AI205" s="58" t="n"/>
    </row>
    <row r="206">
      <c r="C206" s="57" t="n"/>
      <c r="D206" s="88" t="n"/>
      <c r="F206" s="90" t="n"/>
      <c r="K206" s="88" t="n"/>
      <c r="L206" s="93" t="n"/>
      <c r="M206" s="94" t="n"/>
      <c r="N206" s="95" t="n"/>
      <c r="P206" s="97" t="n"/>
      <c r="Q206" s="98" t="n"/>
      <c r="R206" s="98" t="n"/>
    </row>
    <row customFormat="1" r="207" s="128">
      <c r="A207" s="128" t="inlineStr">
        <is>
          <t>全指电信</t>
        </is>
      </c>
      <c r="B207" s="128" t="inlineStr">
        <is>
          <t>pe weighted</t>
        </is>
      </c>
      <c r="C207" s="160" t="n">
        <v>16.94805742459583</v>
      </c>
      <c r="D207" s="19" t="n">
        <v>14.1835620465833</v>
      </c>
      <c r="E207" s="29" t="n">
        <v>0.1631157665303026</v>
      </c>
      <c r="F207" s="20" t="n">
        <v>123.1724726736339</v>
      </c>
      <c r="G207" s="39" t="n">
        <v>6.267645464481378</v>
      </c>
      <c r="H207" s="21" t="n">
        <v>0.5516321079863935</v>
      </c>
      <c r="I207" s="21" t="n">
        <v>1.134354826751628</v>
      </c>
      <c r="J207" s="21" t="n">
        <v>2.674110909873078</v>
      </c>
      <c r="K207" s="19" t="n">
        <v>8.684170610252668</v>
      </c>
      <c r="L207" s="22" t="n">
        <v>14.1835620465833</v>
      </c>
      <c r="M207" s="32" t="n">
        <v>0.1631157665303026</v>
      </c>
      <c r="N207" s="23" t="n">
        <v>115.3395322848426</v>
      </c>
      <c r="O207" s="24" t="n">
        <v>5.805472119622179</v>
      </c>
      <c r="P207" s="25" t="n">
        <v>8.131915798445492</v>
      </c>
      <c r="Q207" s="26" t="n">
        <v>0.08701218616755199</v>
      </c>
      <c r="R207" s="26" t="n">
        <v>0.06092740228438969</v>
      </c>
      <c r="S207" s="27" t="n">
        <v>0.0395943236252588</v>
      </c>
      <c r="T207" s="128" t="n">
        <v>4357.21</v>
      </c>
      <c r="U207" s="117">
        <f>C207*S207</f>
        <v/>
      </c>
      <c r="V207" s="117">
        <f>(1+S207)*Q207*(1-U207)+S207</f>
        <v/>
      </c>
      <c r="W207" s="117">
        <f>V207+I207/3</f>
        <v/>
      </c>
      <c r="X207" s="117">
        <f>V207+I207/5</f>
        <v/>
      </c>
      <c r="Y207" s="117">
        <f>V207-E207</f>
        <v/>
      </c>
      <c r="Z207" s="100" t="n"/>
      <c r="AA207" s="100" t="n"/>
      <c r="AB207" s="100" t="n"/>
      <c r="AC207" s="117" t="n"/>
      <c r="AD207" s="117" t="n"/>
      <c r="AE207" s="117" t="n"/>
      <c r="AF207" s="117" t="n"/>
      <c r="AH207" s="27" t="n"/>
      <c r="AI207" s="58" t="n"/>
    </row>
    <row customFormat="1" r="208" s="128">
      <c r="A208" s="128" t="inlineStr">
        <is>
          <t>000936</t>
        </is>
      </c>
      <c r="B208" s="128" t="inlineStr">
        <is>
          <t>pe equal</t>
        </is>
      </c>
      <c r="C208" s="160" t="n">
        <v>30.3074558663341</v>
      </c>
      <c r="D208" s="19" t="n">
        <v>24.11681540786284</v>
      </c>
      <c r="E208" s="29" t="n">
        <v>0.2042613040756054</v>
      </c>
      <c r="F208" s="20" t="n">
        <v>-15.4077319146054</v>
      </c>
      <c r="G208" s="39" t="n">
        <v>-1.508380907409668</v>
      </c>
      <c r="H208" s="21" t="n">
        <v>0.05150839581986122</v>
      </c>
      <c r="I208" s="21" t="n">
        <v>0.3367310211922836</v>
      </c>
      <c r="J208" s="21" t="n">
        <v>1.233377890024173</v>
      </c>
      <c r="K208" s="19" t="n">
        <v>-0.6388792074753781</v>
      </c>
      <c r="L208" s="22" t="n">
        <v>24.11681540786284</v>
      </c>
      <c r="M208" s="32" t="n">
        <v>0.2042613040756054</v>
      </c>
      <c r="N208" s="23" t="n">
        <v>-15.4077319146054</v>
      </c>
      <c r="O208" s="24" t="n">
        <v>-1.508380907409668</v>
      </c>
      <c r="P208" s="25" t="n">
        <v>-0.6388792074753781</v>
      </c>
      <c r="Q208" s="26" t="n"/>
      <c r="R208" s="26" t="n"/>
      <c r="S208" s="27" t="n">
        <v>0.0196642957413354</v>
      </c>
      <c r="U208" s="117">
        <f>C208*S208</f>
        <v/>
      </c>
      <c r="V208" s="117">
        <f>(1+S208)*R207*(1-U208)+S208</f>
        <v/>
      </c>
      <c r="W208" s="117">
        <f>V208+I208/3</f>
        <v/>
      </c>
      <c r="X208" s="117">
        <f>V208+I208/5</f>
        <v/>
      </c>
      <c r="Y208" s="117">
        <f>V208-E208</f>
        <v/>
      </c>
      <c r="Z208" s="100" t="n"/>
      <c r="AA208" s="100" t="n"/>
      <c r="AB208" s="100" t="n"/>
      <c r="AC208" s="117" t="n"/>
      <c r="AD208" s="117" t="n"/>
      <c r="AE208" s="117" t="n"/>
      <c r="AF208" s="117" t="n"/>
      <c r="AH208" s="27" t="n"/>
      <c r="AI208" s="58" t="n"/>
    </row>
    <row customFormat="1" r="209" s="128">
      <c r="A209" s="128" t="inlineStr">
        <is>
          <t>2011-08-01T16:00:00.000Z</t>
        </is>
      </c>
      <c r="B209" s="128" t="inlineStr">
        <is>
          <t>pb weighted</t>
        </is>
      </c>
      <c r="C209" s="160" t="n">
        <v>1.474687527807294</v>
      </c>
      <c r="D209" s="19" t="n">
        <v>1.21493882191785</v>
      </c>
      <c r="E209" s="29" t="n">
        <v>0.1761381316323085</v>
      </c>
      <c r="F209" s="20" t="n">
        <v>4.9414165263694</v>
      </c>
      <c r="G209" s="39" t="n">
        <v>2.350822756137883</v>
      </c>
      <c r="H209" s="21" t="n">
        <v>0.1122400577907787</v>
      </c>
      <c r="I209" s="21" t="n">
        <v>0.6800868546003398</v>
      </c>
      <c r="J209" s="21" t="n">
        <v>0.9676084042434971</v>
      </c>
      <c r="K209" s="19" t="n">
        <v>4.067214280443434</v>
      </c>
      <c r="L209" s="22" t="n">
        <v>1.21493882191785</v>
      </c>
      <c r="M209" s="32" t="n">
        <v>0.1761381316323085</v>
      </c>
      <c r="N209" s="23" t="n">
        <v>3.623236788718093</v>
      </c>
      <c r="O209" s="24" t="n">
        <v>1.456952215568993</v>
      </c>
      <c r="P209" s="25" t="n">
        <v>2.982238054586657</v>
      </c>
      <c r="Q209" s="26" t="n"/>
      <c r="R209" s="26" t="n"/>
      <c r="S209" s="27" t="n"/>
      <c r="V209" s="99" t="n"/>
      <c r="W209" s="117">
        <f>V207+I209/3</f>
        <v/>
      </c>
      <c r="X209" s="117">
        <f>V207+I209/5</f>
        <v/>
      </c>
      <c r="Y209" s="117">
        <f>V207-E209</f>
        <v/>
      </c>
      <c r="Z209" s="100" t="n"/>
      <c r="AA209" s="100" t="n"/>
      <c r="AB209" s="100" t="n"/>
      <c r="AC209" s="117" t="n"/>
      <c r="AD209" s="117" t="n"/>
      <c r="AE209" s="117" t="n"/>
      <c r="AF209" s="117" t="n"/>
      <c r="AH209" s="27" t="n"/>
      <c r="AI209" s="58" t="n"/>
    </row>
    <row customFormat="1" r="210" s="128">
      <c r="B210" s="128" t="inlineStr">
        <is>
          <t>pb equal</t>
        </is>
      </c>
      <c r="C210" s="160" t="n">
        <v>1.846554555784524</v>
      </c>
      <c r="D210" s="19" t="n">
        <v>1.479816165773508</v>
      </c>
      <c r="E210" s="29" t="n">
        <v>0.1986068534299026</v>
      </c>
      <c r="F210" s="20" t="n">
        <v>6.251248798705847</v>
      </c>
      <c r="G210" s="39" t="n">
        <v>2.385358303724718</v>
      </c>
      <c r="H210" s="21" t="n">
        <v>0.1805630264936819</v>
      </c>
      <c r="I210" s="21" t="n">
        <v>0.4479209613500799</v>
      </c>
      <c r="J210" s="21" t="n">
        <v>0.8381723018277643</v>
      </c>
      <c r="K210" s="19" t="n">
        <v>4.22434147111664</v>
      </c>
      <c r="L210" s="22" t="n">
        <v>1.479816165773508</v>
      </c>
      <c r="M210" s="32" t="n">
        <v>0.1986068534299026</v>
      </c>
      <c r="N210" s="23" t="n">
        <v>3.716532282829101</v>
      </c>
      <c r="O210" s="24" t="n">
        <v>1.012684797850503</v>
      </c>
      <c r="P210" s="25" t="n">
        <v>2.511482418416782</v>
      </c>
      <c r="Q210" s="26" t="n"/>
      <c r="R210" s="26" t="n"/>
      <c r="S210" s="27" t="n"/>
      <c r="V210" s="99" t="n"/>
      <c r="W210" s="117">
        <f>V208+I210/3</f>
        <v/>
      </c>
      <c r="X210" s="117">
        <f>V208+I210/5</f>
        <v/>
      </c>
      <c r="Y210" s="117">
        <f>V208-E210</f>
        <v/>
      </c>
      <c r="Z210" s="100" t="n"/>
      <c r="AA210" s="100" t="n"/>
      <c r="AB210" s="100" t="n"/>
      <c r="AC210" s="117" t="n"/>
      <c r="AD210" s="117" t="n"/>
      <c r="AE210" s="117" t="n"/>
      <c r="AF210" s="117" t="n"/>
      <c r="AH210" s="27" t="n"/>
      <c r="AI210" s="58" t="n"/>
    </row>
    <row r="211">
      <c r="C211" s="57" t="n"/>
      <c r="D211" s="88" t="n"/>
      <c r="F211" s="90" t="n"/>
      <c r="K211" s="88" t="n"/>
      <c r="L211" s="93" t="n"/>
      <c r="M211" s="94" t="n"/>
      <c r="N211" s="95" t="n"/>
      <c r="P211" s="97" t="n"/>
      <c r="Q211" s="98" t="n"/>
      <c r="R211" s="98" t="n"/>
    </row>
    <row r="212">
      <c r="A212" t="inlineStr">
        <is>
          <t>中证电信</t>
        </is>
      </c>
      <c r="B212" t="inlineStr">
        <is>
          <t>pe weighted</t>
        </is>
      </c>
      <c r="C212" s="164" t="n">
        <v>27.44941672168551</v>
      </c>
      <c r="D212" s="88" t="n">
        <v>23.47052537910731</v>
      </c>
      <c r="E212" s="89" t="n">
        <v>0.1449535843665053</v>
      </c>
      <c r="F212" s="90" t="n">
        <v>66.33523200653021</v>
      </c>
      <c r="G212" s="91" t="n">
        <v>1.416635394446259</v>
      </c>
      <c r="H212" s="92" t="n">
        <v>0.1899292582293843</v>
      </c>
      <c r="I212" s="92" t="n">
        <v>0.3058297929232512</v>
      </c>
      <c r="J212" s="92" t="n">
        <v>0.5164078475733989</v>
      </c>
      <c r="K212" s="88" t="n">
        <v>2.82632071225724</v>
      </c>
      <c r="L212" s="93" t="n">
        <v>23.47052537910731</v>
      </c>
      <c r="M212" s="94" t="n">
        <v>0.1449535843665053</v>
      </c>
      <c r="N212" s="95" t="n">
        <v>66.33523200653021</v>
      </c>
      <c r="O212" s="96" t="n">
        <v>1.416635394446259</v>
      </c>
      <c r="P212" s="97" t="n">
        <v>2.82632071225724</v>
      </c>
      <c r="Q212" s="98" t="n">
        <v>0.1443308362341334</v>
      </c>
      <c r="R212" s="98" t="n">
        <v>0.1390004946486113</v>
      </c>
      <c r="S212" s="99" t="n">
        <v>0.009459739680986885</v>
      </c>
      <c r="T212" t="n">
        <v>11029.29</v>
      </c>
      <c r="U212" s="117">
        <f>C212*S212</f>
        <v/>
      </c>
      <c r="V212" s="117">
        <f>(1+S212)*Q212*(1-U212)+S212</f>
        <v/>
      </c>
      <c r="W212" s="117">
        <f>V212+I212/3</f>
        <v/>
      </c>
      <c r="X212" s="117">
        <f>V212+I212/5</f>
        <v/>
      </c>
      <c r="Y212" s="117">
        <f>V212-E212</f>
        <v/>
      </c>
      <c r="Z212" s="100" t="n"/>
      <c r="AA212" s="100" t="n"/>
      <c r="AB212" s="100" t="n"/>
      <c r="AI212" s="58" t="n"/>
    </row>
    <row r="213">
      <c r="A213" t="inlineStr">
        <is>
          <t>000808</t>
        </is>
      </c>
      <c r="B213" t="inlineStr">
        <is>
          <t>pe equal</t>
        </is>
      </c>
      <c r="C213" s="164" t="n">
        <v>21.3835054129355</v>
      </c>
      <c r="D213" s="88" t="n">
        <v>18.20755932204101</v>
      </c>
      <c r="E213" s="89" t="n">
        <v>0.1485231737998047</v>
      </c>
      <c r="F213" s="90" t="n">
        <v>72.97314220920798</v>
      </c>
      <c r="G213" s="91" t="n">
        <v>2.412590255901843</v>
      </c>
      <c r="H213" s="92" t="n">
        <v>0.2634032590311786</v>
      </c>
      <c r="I213" s="92" t="n">
        <v>0.6988333821412485</v>
      </c>
      <c r="J213" s="92" t="n">
        <v>0.8951000989946194</v>
      </c>
      <c r="K213" s="88" t="n">
        <v>4.007848658818919</v>
      </c>
      <c r="L213" s="93" t="n">
        <v>18.20755932204101</v>
      </c>
      <c r="M213" s="94" t="n">
        <v>0.1485231737998047</v>
      </c>
      <c r="N213" s="95" t="n">
        <v>54.6671487862408</v>
      </c>
      <c r="O213" s="96" t="n">
        <v>1.556510157271552</v>
      </c>
      <c r="P213" s="97" t="n">
        <v>3.00244243719497</v>
      </c>
      <c r="Q213" s="98" t="n"/>
      <c r="R213" s="98" t="n"/>
      <c r="S213" s="99" t="n">
        <v>0.0119819207225601</v>
      </c>
      <c r="U213" s="117">
        <f>C213*S213</f>
        <v/>
      </c>
      <c r="V213" s="117">
        <f>(1+S213)*R212*(1-U213)+S213</f>
        <v/>
      </c>
      <c r="W213" s="117">
        <f>V213+I213/3</f>
        <v/>
      </c>
      <c r="X213" s="117">
        <f>V213+I213/5</f>
        <v/>
      </c>
      <c r="Y213" s="117">
        <f>V213-E213</f>
        <v/>
      </c>
      <c r="Z213" s="100" t="n"/>
      <c r="AA213" s="100" t="n"/>
      <c r="AB213" s="100" t="n"/>
      <c r="AI213" s="58" t="n"/>
    </row>
    <row r="214">
      <c r="A214" t="inlineStr">
        <is>
          <t>2009-07-02T16:00:00.000Z</t>
        </is>
      </c>
      <c r="B214" t="inlineStr">
        <is>
          <t>pb weighted</t>
        </is>
      </c>
      <c r="C214" s="164" t="n">
        <v>3.961797269580074</v>
      </c>
      <c r="D214" s="88" t="n">
        <v>3.103221868721316</v>
      </c>
      <c r="E214" s="89" t="n">
        <v>0.2167136131500645</v>
      </c>
      <c r="F214" s="90" t="n">
        <v>7.929871129173482</v>
      </c>
      <c r="G214" s="91" t="n">
        <v>1.00158427844391</v>
      </c>
      <c r="H214" s="92" t="n">
        <v>0.04932479249292854</v>
      </c>
      <c r="I214" s="92" t="n">
        <v>0.1294592208578202</v>
      </c>
      <c r="J214" s="92" t="n">
        <v>0.4030343415512829</v>
      </c>
      <c r="K214" s="88" t="n">
        <v>2.555367119928486</v>
      </c>
      <c r="L214" s="93" t="n">
        <v>3.103221868721316</v>
      </c>
      <c r="M214" s="94" t="n">
        <v>0.2167136131500645</v>
      </c>
      <c r="N214" s="95" t="n">
        <v>7.929871129173482</v>
      </c>
      <c r="O214" s="96" t="n">
        <v>1.00158427844391</v>
      </c>
      <c r="P214" s="97" t="n">
        <v>2.555367119928486</v>
      </c>
      <c r="Q214" s="98" t="n"/>
      <c r="R214" s="98" t="n"/>
      <c r="W214" s="117">
        <f>V212+I214/3</f>
        <v/>
      </c>
      <c r="X214" s="117">
        <f>V212+I214/5</f>
        <v/>
      </c>
      <c r="Y214" s="117">
        <f>V212-E214</f>
        <v/>
      </c>
      <c r="Z214" s="100" t="n"/>
      <c r="AA214" s="100" t="n"/>
      <c r="AB214" s="100" t="n"/>
      <c r="AI214" s="58" t="n"/>
    </row>
    <row r="215">
      <c r="B215" t="inlineStr">
        <is>
          <t>pb equal</t>
        </is>
      </c>
      <c r="C215" s="164" t="n">
        <v>2.97231782971929</v>
      </c>
      <c r="D215" s="88" t="n">
        <v>2.42979591595067</v>
      </c>
      <c r="E215" s="89" t="n">
        <v>0.1825248660638207</v>
      </c>
      <c r="F215" s="90" t="n">
        <v>8.081194883825791</v>
      </c>
      <c r="G215" s="91" t="n">
        <v>1.718819233604298</v>
      </c>
      <c r="H215" s="92" t="n">
        <v>0.07008642262220022</v>
      </c>
      <c r="I215" s="92" t="n">
        <v>0.309280992989025</v>
      </c>
      <c r="J215" s="92" t="n">
        <v>0.4534331269433165</v>
      </c>
      <c r="K215" s="88" t="n">
        <v>3.325873926602589</v>
      </c>
      <c r="L215" s="93" t="n">
        <v>2.42979591595067</v>
      </c>
      <c r="M215" s="94" t="n">
        <v>0.1825248660638207</v>
      </c>
      <c r="N215" s="95" t="n">
        <v>4.684951031736012</v>
      </c>
      <c r="O215" s="96" t="n">
        <v>0.5761945054773854</v>
      </c>
      <c r="P215" s="97" t="n">
        <v>1.928125321547016</v>
      </c>
      <c r="Q215" s="98" t="n"/>
      <c r="R215" s="98" t="n"/>
      <c r="W215" s="117">
        <f>V213+I215/3</f>
        <v/>
      </c>
      <c r="X215" s="117">
        <f>V213+I215/5</f>
        <v/>
      </c>
      <c r="Y215" s="117">
        <f>V213-E215</f>
        <v/>
      </c>
      <c r="Z215" s="100" t="n"/>
      <c r="AA215" s="100" t="n"/>
      <c r="AB215" s="100" t="n"/>
      <c r="AI215" s="58" t="n"/>
    </row>
    <row r="216">
      <c r="C216" s="57" t="n"/>
      <c r="D216" s="88" t="n"/>
      <c r="F216" s="90" t="n"/>
      <c r="K216" s="88" t="n"/>
      <c r="L216" s="93" t="n"/>
      <c r="M216" s="94" t="n"/>
      <c r="N216" s="95" t="n"/>
      <c r="P216" s="97" t="n"/>
      <c r="Q216" s="98" t="n"/>
      <c r="R216" s="98" t="n"/>
    </row>
    <row r="217">
      <c r="A217" t="inlineStr">
        <is>
          <t>医药生物</t>
        </is>
      </c>
      <c r="B217" t="inlineStr">
        <is>
          <t>pe weighted</t>
        </is>
      </c>
      <c r="C217" s="161" t="n">
        <v>49.3447909441333</v>
      </c>
      <c r="D217" s="88" t="n">
        <v>18.9744143779061</v>
      </c>
      <c r="E217" s="89" t="n">
        <v>0.6154727983468737</v>
      </c>
      <c r="F217" s="90" t="n">
        <v>75.72395631898161</v>
      </c>
      <c r="G217" s="91" t="n">
        <v>0.5345886540428149</v>
      </c>
      <c r="H217" s="92" t="n">
        <v>-0.4835879297479301</v>
      </c>
      <c r="I217" s="92" t="n">
        <v>-0.3578434873080371</v>
      </c>
      <c r="J217" s="92" t="n">
        <v>-0.2092305528162616</v>
      </c>
      <c r="K217" s="88" t="n">
        <v>3.990845504415405</v>
      </c>
      <c r="L217" s="93" t="n">
        <v>21.65856572653254</v>
      </c>
      <c r="M217" s="94" t="n">
        <v>0.5610769584361252</v>
      </c>
      <c r="N217" s="95" t="n">
        <v>75.72395631898161</v>
      </c>
      <c r="O217" s="96" t="n">
        <v>0.5345886540428149</v>
      </c>
      <c r="P217" s="97" t="n">
        <v>3.496259044809093</v>
      </c>
      <c r="Q217" s="98" t="n">
        <v>0.1228413651341698</v>
      </c>
      <c r="R217" s="98" t="n">
        <v>0.02352873937056404</v>
      </c>
      <c r="S217" s="99" t="n">
        <v>0.01491469599421105</v>
      </c>
      <c r="T217" t="n">
        <v>19484.59</v>
      </c>
      <c r="U217" s="117">
        <f>C217*S217</f>
        <v/>
      </c>
      <c r="V217" s="117">
        <f>(1+S217)*Q217*(1-U217)+S217</f>
        <v/>
      </c>
      <c r="W217" s="117">
        <f>V217+I217/3</f>
        <v/>
      </c>
      <c r="X217" s="117">
        <f>V217+I217/5</f>
        <v/>
      </c>
      <c r="Y217" s="117">
        <f>V217-E217</f>
        <v/>
      </c>
      <c r="Z217" s="100" t="n"/>
      <c r="AA217" s="100" t="n"/>
      <c r="AB217" s="100" t="n"/>
      <c r="AI217" s="58" t="n"/>
    </row>
    <row r="218">
      <c r="A218" t="inlineStr">
        <is>
          <t>000990</t>
        </is>
      </c>
      <c r="B218" t="inlineStr">
        <is>
          <t>pe equal</t>
        </is>
      </c>
      <c r="C218" s="161" t="n">
        <v>135.9432512584373</v>
      </c>
      <c r="D218" s="88" t="n">
        <v>24.21000090399786</v>
      </c>
      <c r="E218" s="89" t="n">
        <v>0.8219109762354218</v>
      </c>
      <c r="F218" s="90" t="n">
        <v>-299.3040863857773</v>
      </c>
      <c r="G218" s="91" t="n">
        <v>-3.201684038119554</v>
      </c>
      <c r="H218" s="92" t="n">
        <v>-0.7399734844430543</v>
      </c>
      <c r="I218" s="92" t="n">
        <v>-0.6755100692938576</v>
      </c>
      <c r="J218" s="92" t="n">
        <v>-0.5363234056488526</v>
      </c>
      <c r="K218" s="88" t="n">
        <v>-12.36282838536997</v>
      </c>
      <c r="L218" s="93" t="n">
        <v>24.21000090399786</v>
      </c>
      <c r="M218" s="94" t="n">
        <v>0.8219109762354218</v>
      </c>
      <c r="N218" s="95" t="n">
        <v>-299.3040863857773</v>
      </c>
      <c r="O218" s="96" t="n">
        <v>-3.201684038119554</v>
      </c>
      <c r="P218" s="97" t="n">
        <v>-12.36282838536997</v>
      </c>
      <c r="Q218" s="98" t="n"/>
      <c r="R218" s="98" t="n"/>
      <c r="S218" s="99" t="n">
        <v>0.008967970439072027</v>
      </c>
      <c r="U218" s="117">
        <f>C218*S218</f>
        <v/>
      </c>
      <c r="V218" s="117">
        <f>(1+S218)*R217*(1-U218)+S218</f>
        <v/>
      </c>
      <c r="W218" s="117">
        <f>V218+I218/3</f>
        <v/>
      </c>
      <c r="X218" s="117">
        <f>V218+I218/5</f>
        <v/>
      </c>
      <c r="Y218" s="117">
        <f>V218-E218</f>
        <v/>
      </c>
      <c r="Z218" s="100" t="n"/>
      <c r="AA218" s="100" t="n"/>
      <c r="AB218" s="100" t="n"/>
      <c r="AI218" s="58" t="n"/>
    </row>
    <row r="219">
      <c r="A219" t="inlineStr">
        <is>
          <t>2012-02-16T16:00:00.000Z</t>
        </is>
      </c>
      <c r="B219" t="inlineStr">
        <is>
          <t>pb weighted</t>
        </is>
      </c>
      <c r="C219" s="163" t="n">
        <v>6.061581481837557</v>
      </c>
      <c r="D219" s="88" t="n">
        <v>2.764665412324741</v>
      </c>
      <c r="E219" s="89" t="n">
        <v>0.5439036131728057</v>
      </c>
      <c r="F219" s="90" t="n">
        <v>9.657915271480615</v>
      </c>
      <c r="G219" s="91" t="n">
        <v>0.5932995869838305</v>
      </c>
      <c r="H219" s="92" t="n">
        <v>-0.4101154165360573</v>
      </c>
      <c r="I219" s="92" t="n">
        <v>-0.2666629291497777</v>
      </c>
      <c r="J219" s="92" t="n">
        <v>0.007875059235175286</v>
      </c>
      <c r="K219" s="88" t="n">
        <v>3.493339638288999</v>
      </c>
      <c r="L219" s="93" t="n">
        <v>3.361237606839499</v>
      </c>
      <c r="M219" s="94" t="n">
        <v>0.4454850410060731</v>
      </c>
      <c r="N219" s="95" t="n">
        <v>9.657915271480615</v>
      </c>
      <c r="O219" s="96" t="n">
        <v>0.5932995869838305</v>
      </c>
      <c r="P219" s="97" t="n">
        <v>2.873321199259623</v>
      </c>
      <c r="Q219" s="98" t="n"/>
      <c r="R219" s="98" t="n"/>
      <c r="W219" s="117">
        <f>V217+I219/3</f>
        <v/>
      </c>
      <c r="X219" s="117">
        <f>V217+I219/5</f>
        <v/>
      </c>
      <c r="Y219" s="117">
        <f>V217-E219</f>
        <v/>
      </c>
      <c r="Z219" s="100" t="n"/>
      <c r="AA219" s="100" t="n"/>
      <c r="AB219" s="100" t="n"/>
      <c r="AI219" s="58" t="n"/>
    </row>
    <row r="220">
      <c r="B220" t="inlineStr">
        <is>
          <t>pb equal</t>
        </is>
      </c>
      <c r="C220" s="163" t="n">
        <v>3.198573328046873</v>
      </c>
      <c r="D220" s="88" t="n">
        <v>1.964203736370194</v>
      </c>
      <c r="E220" s="89" t="n">
        <v>0.3859125507153578</v>
      </c>
      <c r="F220" s="90" t="n">
        <v>6.441436659275059</v>
      </c>
      <c r="G220" s="91" t="n">
        <v>1.013846799381759</v>
      </c>
      <c r="H220" s="92" t="n">
        <v>-0.1433560422981346</v>
      </c>
      <c r="I220" s="92" t="n">
        <v>-0.01974409400891985</v>
      </c>
      <c r="J220" s="92" t="n">
        <v>0.1227917689983626</v>
      </c>
      <c r="K220" s="88" t="n">
        <v>3.279413708467277</v>
      </c>
      <c r="L220" s="93" t="n">
        <v>1.964203736370194</v>
      </c>
      <c r="M220" s="94" t="n">
        <v>0.3859125507153578</v>
      </c>
      <c r="N220" s="95" t="n">
        <v>4.005234215473645</v>
      </c>
      <c r="O220" s="96" t="n">
        <v>0.2521939642132069</v>
      </c>
      <c r="P220" s="97" t="n">
        <v>2.039113428668673</v>
      </c>
      <c r="Q220" s="98" t="n"/>
      <c r="R220" s="98" t="n"/>
      <c r="W220" s="117">
        <f>V218+I220/3</f>
        <v/>
      </c>
      <c r="X220" s="117">
        <f>V218+I220/5</f>
        <v/>
      </c>
      <c r="Y220" s="117">
        <f>V218-E220</f>
        <v/>
      </c>
      <c r="Z220" s="100" t="n"/>
      <c r="AA220" s="100" t="n"/>
      <c r="AB220" s="100" t="n"/>
      <c r="AI220" s="58" t="n"/>
    </row>
    <row r="221">
      <c r="Q221" s="98" t="n"/>
      <c r="R221" s="98" t="n"/>
    </row>
    <row customFormat="1" r="222" s="128">
      <c r="A222" s="128" t="inlineStr">
        <is>
          <t>全指消费</t>
        </is>
      </c>
      <c r="B222" s="128" t="inlineStr">
        <is>
          <t>pe weighted</t>
        </is>
      </c>
      <c r="C222" s="160" t="n">
        <v>28.24053628919332</v>
      </c>
      <c r="D222" s="19" t="n">
        <v>15.35658998878866</v>
      </c>
      <c r="E222" s="29" t="n">
        <v>0.4562217292358894</v>
      </c>
      <c r="F222" s="20" t="n">
        <v>231.254354262742</v>
      </c>
      <c r="G222" s="39" t="n">
        <v>7.188738057047276</v>
      </c>
      <c r="H222" s="21" t="n">
        <v>0.1563573462797778</v>
      </c>
      <c r="I222" s="21" t="n">
        <v>0.6463407933550258</v>
      </c>
      <c r="J222" s="21" t="n">
        <v>2.739386080798792</v>
      </c>
      <c r="K222" s="19" t="n">
        <v>15.05896520201251</v>
      </c>
      <c r="L222" s="22" t="n">
        <v>15.35658998878866</v>
      </c>
      <c r="M222" s="32" t="n">
        <v>0.4562217292358894</v>
      </c>
      <c r="N222" s="23" t="n">
        <v>231.254354262742</v>
      </c>
      <c r="O222" s="24" t="n">
        <v>7.188738057047276</v>
      </c>
      <c r="P222" s="25" t="n">
        <v>15.05896520201251</v>
      </c>
      <c r="Q222" s="26" t="n">
        <v>0.1822019596127561</v>
      </c>
      <c r="R222" s="26" t="n">
        <v>0.1495210908014878</v>
      </c>
      <c r="S222" s="27" t="n">
        <v>0.00323880486269463</v>
      </c>
      <c r="T222" s="128" t="n">
        <v>4300.7</v>
      </c>
      <c r="U222" s="117">
        <f>C222*S222</f>
        <v/>
      </c>
      <c r="V222" s="117">
        <f>(1+S222)*Q222*(1-U222)+S222</f>
        <v/>
      </c>
      <c r="W222" s="117">
        <f>V222+I222/3</f>
        <v/>
      </c>
      <c r="X222" s="117">
        <f>V222+I222/5</f>
        <v/>
      </c>
      <c r="Y222" s="117">
        <f>V222-E222</f>
        <v/>
      </c>
      <c r="Z222" s="100" t="n"/>
      <c r="AA222" s="100" t="n"/>
      <c r="AB222" s="100" t="n"/>
      <c r="AC222" s="117" t="n"/>
      <c r="AD222" s="117" t="n"/>
      <c r="AE222" s="117" t="n"/>
      <c r="AF222" s="117" t="n"/>
      <c r="AH222" s="27" t="n"/>
      <c r="AI222" s="58" t="n"/>
    </row>
    <row customFormat="1" r="223" s="128">
      <c r="A223" s="128" t="inlineStr">
        <is>
          <t>399976</t>
        </is>
      </c>
      <c r="B223" s="128" t="inlineStr">
        <is>
          <t>pe equal</t>
        </is>
      </c>
      <c r="C223" s="160" t="n">
        <v>24.2027989209839</v>
      </c>
      <c r="D223" s="19" t="n">
        <v>16.72458553804931</v>
      </c>
      <c r="E223" s="29" t="n">
        <v>0.3089813458083545</v>
      </c>
      <c r="F223" s="20" t="n">
        <v>-114.319165614107</v>
      </c>
      <c r="G223" s="39" t="n">
        <v>-5.723386166506216</v>
      </c>
      <c r="H223" s="21" t="n">
        <v>0.3040670459791093</v>
      </c>
      <c r="I223" s="21" t="n">
        <v>1.121397628462236</v>
      </c>
      <c r="J223" s="21" t="n">
        <v>2.877621306900121</v>
      </c>
      <c r="K223" s="19" t="n">
        <v>-6.835396031430785</v>
      </c>
      <c r="L223" s="22" t="n">
        <v>16.72458553804931</v>
      </c>
      <c r="M223" s="32" t="n">
        <v>0.3089813458083545</v>
      </c>
      <c r="N223" s="23" t="n">
        <v>-114.319165614107</v>
      </c>
      <c r="O223" s="24" t="n">
        <v>-5.723386166506216</v>
      </c>
      <c r="P223" s="25" t="n">
        <v>-6.835396031430785</v>
      </c>
      <c r="Q223" s="26" t="n"/>
      <c r="R223" s="26" t="n"/>
      <c r="S223" s="27" t="n">
        <v>0.006138379239352744</v>
      </c>
      <c r="U223" s="117">
        <f>C223*S223</f>
        <v/>
      </c>
      <c r="V223" s="117">
        <f>(1+S223)*R222*(1-U223)+S223</f>
        <v/>
      </c>
      <c r="W223" s="117">
        <f>V223+I223/3</f>
        <v/>
      </c>
      <c r="X223" s="117">
        <f>V223+I223/5</f>
        <v/>
      </c>
      <c r="Y223" s="117">
        <f>V223-E223</f>
        <v/>
      </c>
      <c r="Z223" s="100" t="n"/>
      <c r="AA223" s="100" t="n"/>
      <c r="AB223" s="100" t="n"/>
      <c r="AC223" s="117" t="n"/>
      <c r="AD223" s="117" t="n"/>
      <c r="AE223" s="117" t="n"/>
      <c r="AF223" s="117" t="n"/>
      <c r="AH223" s="27" t="n"/>
      <c r="AI223" s="58" t="n"/>
    </row>
    <row customFormat="1" r="224" s="128">
      <c r="A224" s="128" t="inlineStr">
        <is>
          <t>2011-08-01T16:00:00.000Z</t>
        </is>
      </c>
      <c r="B224" s="128" t="inlineStr">
        <is>
          <t>pb weighted</t>
        </is>
      </c>
      <c r="C224" s="158" t="n">
        <v>5.145481052406176</v>
      </c>
      <c r="D224" s="19" t="n">
        <v>2.089577505592519</v>
      </c>
      <c r="E224" s="29" t="n">
        <v>0.5939004566705436</v>
      </c>
      <c r="F224" s="20" t="n">
        <v>11.98704110052112</v>
      </c>
      <c r="G224" s="39" t="n">
        <v>1.329624961871278</v>
      </c>
      <c r="H224" s="21" t="n">
        <v>-0.3164467118133845</v>
      </c>
      <c r="I224" s="21" t="n">
        <v>-0.1413310146723827</v>
      </c>
      <c r="J224" s="21" t="n">
        <v>0.3878021301685248</v>
      </c>
      <c r="K224" s="19" t="n">
        <v>5.736586017239923</v>
      </c>
      <c r="L224" s="22" t="n">
        <v>2.089577505592519</v>
      </c>
      <c r="M224" s="32" t="n">
        <v>0.5939004566705436</v>
      </c>
      <c r="N224" s="23" t="n">
        <v>11.98704110052112</v>
      </c>
      <c r="O224" s="24" t="n">
        <v>1.329624961871278</v>
      </c>
      <c r="P224" s="25" t="n">
        <v>5.736586017239923</v>
      </c>
      <c r="Q224" s="26" t="n"/>
      <c r="R224" s="26" t="n"/>
      <c r="S224" s="27" t="n"/>
      <c r="V224" s="99" t="n"/>
      <c r="W224" s="117">
        <f>V222+I224/3</f>
        <v/>
      </c>
      <c r="X224" s="117">
        <f>V222+I224/5</f>
        <v/>
      </c>
      <c r="Y224" s="117">
        <f>V222-E224</f>
        <v/>
      </c>
      <c r="Z224" s="100" t="n"/>
      <c r="AA224" s="100" t="n"/>
      <c r="AB224" s="100" t="n"/>
      <c r="AC224" s="117" t="n"/>
      <c r="AD224" s="117" t="n"/>
      <c r="AE224" s="117" t="n"/>
      <c r="AF224" s="117" t="n"/>
      <c r="AH224" s="27" t="n"/>
      <c r="AI224" s="58" t="n"/>
    </row>
    <row customFormat="1" r="225" s="128">
      <c r="B225" s="128" t="inlineStr">
        <is>
          <t>pb equal</t>
        </is>
      </c>
      <c r="C225" s="159" t="n">
        <v>3.618828895114584</v>
      </c>
      <c r="D225" s="19" t="n">
        <v>1.995135210265554</v>
      </c>
      <c r="E225" s="29" t="n">
        <v>0.4486793191689763</v>
      </c>
      <c r="F225" s="20" t="n">
        <v>7.326708774726</v>
      </c>
      <c r="G225" s="39" t="n">
        <v>1.024607680295979</v>
      </c>
      <c r="H225" s="21" t="n">
        <v>-0.1053943971399889</v>
      </c>
      <c r="I225" s="21" t="n">
        <v>0.07741926919816322</v>
      </c>
      <c r="J225" s="21" t="n">
        <v>0.3600732852733561</v>
      </c>
      <c r="K225" s="19" t="n">
        <v>3.672286839021206</v>
      </c>
      <c r="L225" s="22" t="n">
        <v>1.995135210265554</v>
      </c>
      <c r="M225" s="32" t="n">
        <v>0.4486793191689763</v>
      </c>
      <c r="N225" s="23" t="n">
        <v>7.202424872508197</v>
      </c>
      <c r="O225" s="24" t="n">
        <v>0.9902640001110481</v>
      </c>
      <c r="P225" s="25" t="n">
        <v>3.609993365587262</v>
      </c>
      <c r="Q225" s="26" t="n"/>
      <c r="R225" s="26" t="n"/>
      <c r="S225" s="27" t="n"/>
      <c r="V225" s="99" t="n"/>
      <c r="W225" s="117">
        <f>V223+I225/3</f>
        <v/>
      </c>
      <c r="X225" s="117">
        <f>V223+I225/5</f>
        <v/>
      </c>
      <c r="Y225" s="117">
        <f>V223-E225</f>
        <v/>
      </c>
      <c r="Z225" s="100" t="n"/>
      <c r="AA225" s="100" t="n"/>
      <c r="AB225" s="100" t="n"/>
      <c r="AC225" s="117" t="n"/>
      <c r="AD225" s="117" t="n"/>
      <c r="AE225" s="117" t="n"/>
      <c r="AF225" s="117" t="n"/>
      <c r="AH225" s="27" t="n"/>
      <c r="AI225" s="58" t="n"/>
    </row>
    <row r="227">
      <c r="A227" t="inlineStr">
        <is>
          <t>CS新能车</t>
        </is>
      </c>
      <c r="B227" t="inlineStr">
        <is>
          <t>pe weighted</t>
        </is>
      </c>
      <c r="C227" s="164" t="n">
        <v>4.829873023157387</v>
      </c>
      <c r="D227" s="88" t="n">
        <v>4.664607205756182</v>
      </c>
      <c r="E227" s="89" t="n">
        <v>0.03421742489063773</v>
      </c>
      <c r="F227" s="90" t="n">
        <v>11.1005168397597</v>
      </c>
      <c r="G227" s="91" t="n">
        <v>1.298304072702736</v>
      </c>
      <c r="H227" s="92" t="n">
        <v>0.2247098495040341</v>
      </c>
      <c r="I227" s="92" t="n">
        <v>0.5088397808512293</v>
      </c>
      <c r="J227" s="92" t="n">
        <v>0.6917897316337598</v>
      </c>
      <c r="K227" s="88" t="n">
        <v>2.379732386911706</v>
      </c>
      <c r="L227" s="93" t="n">
        <v>4.664607205756182</v>
      </c>
      <c r="M227" s="94" t="n">
        <v>0.03421742489063773</v>
      </c>
      <c r="N227" s="95" t="n">
        <v>9.590721284596039</v>
      </c>
      <c r="O227" s="96" t="n">
        <v>0.985708783359772</v>
      </c>
      <c r="P227" s="97" t="n">
        <v>2.056061927949898</v>
      </c>
      <c r="Q227" s="98" t="n">
        <v>0.1202702963322895</v>
      </c>
      <c r="R227" s="98" t="n">
        <v>0.1263512674262666</v>
      </c>
      <c r="S227" s="99" t="n">
        <v>0.07130091865499467</v>
      </c>
      <c r="T227" t="n">
        <v>2797.94</v>
      </c>
      <c r="U227" s="117">
        <f>C227*S227</f>
        <v/>
      </c>
      <c r="V227" s="117">
        <f>(1+S227)*Q227*(1-U227)+S227</f>
        <v/>
      </c>
      <c r="W227" s="117">
        <f>V227+I227/3</f>
        <v/>
      </c>
      <c r="X227" s="117">
        <f>V227+I227/5</f>
        <v/>
      </c>
      <c r="Y227" s="117">
        <f>V227-E227</f>
        <v/>
      </c>
      <c r="Z227" s="100" t="n"/>
      <c r="AA227" s="100" t="n"/>
      <c r="AB227" s="100" t="n"/>
    </row>
    <row r="228">
      <c r="A228" t="inlineStr">
        <is>
          <t>000015</t>
        </is>
      </c>
      <c r="B228" t="inlineStr">
        <is>
          <t>pe equal</t>
        </is>
      </c>
      <c r="C228" s="164" t="n">
        <v>6.987068694223412</v>
      </c>
      <c r="D228" s="88" t="n">
        <v>6.481780984424137</v>
      </c>
      <c r="E228" s="89" t="n">
        <v>0.07231755288409047</v>
      </c>
      <c r="F228" s="90" t="n">
        <v>17.12889494014097</v>
      </c>
      <c r="G228" s="91" t="n">
        <v>1.451513744855887</v>
      </c>
      <c r="H228" s="92" t="n">
        <v>0.1973216940724885</v>
      </c>
      <c r="I228" s="92" t="n">
        <v>0.4245930286146113</v>
      </c>
      <c r="J228" s="92" t="n">
        <v>0.6870686198208007</v>
      </c>
      <c r="K228" s="88" t="n">
        <v>2.642621677792274</v>
      </c>
      <c r="L228" s="93" t="n">
        <v>6.481780984424137</v>
      </c>
      <c r="M228" s="94" t="n">
        <v>0.07231755288409047</v>
      </c>
      <c r="N228" s="95" t="n">
        <v>12.54252138166582</v>
      </c>
      <c r="O228" s="96" t="n">
        <v>0.7951049188961612</v>
      </c>
      <c r="P228" s="97" t="n">
        <v>1.93504245388818</v>
      </c>
      <c r="Q228" s="98" t="n"/>
      <c r="R228" s="98" t="n"/>
      <c r="S228" s="99" t="n">
        <v>0.06716021474903507</v>
      </c>
      <c r="U228" s="117">
        <f>C228*S228</f>
        <v/>
      </c>
      <c r="V228" s="102">
        <f>(1+S228)*R227*(1-U228)+S228</f>
        <v/>
      </c>
      <c r="W228" s="102">
        <f>V228+I228/3</f>
        <v/>
      </c>
      <c r="X228" s="117">
        <f>V228+I228/5</f>
        <v/>
      </c>
      <c r="Y228" s="117">
        <f>V228-E228</f>
        <v/>
      </c>
      <c r="Z228" s="100" t="n"/>
      <c r="AA228" s="100" t="n"/>
      <c r="AB228" s="100" t="n"/>
    </row>
    <row r="229">
      <c r="A229" t="inlineStr">
        <is>
          <t>2014-11-27T16:00:00.000Z</t>
        </is>
      </c>
      <c r="B229" t="inlineStr">
        <is>
          <t>pb weighted</t>
        </is>
      </c>
      <c r="C229" s="164" t="n">
        <v>0.58089025974247</v>
      </c>
      <c r="D229" s="88" t="n">
        <v>0.5525254994162393</v>
      </c>
      <c r="E229" s="89" t="n">
        <v>0.04882980881587828</v>
      </c>
      <c r="F229" s="90" t="n">
        <v>1.630099307524989</v>
      </c>
      <c r="G229" s="91" t="n">
        <v>1.806208711861811</v>
      </c>
      <c r="H229" s="92" t="n">
        <v>0.2643217534743079</v>
      </c>
      <c r="I229" s="92" t="n">
        <v>0.7309291816145369</v>
      </c>
      <c r="J229" s="92" t="n">
        <v>1.011568916663032</v>
      </c>
      <c r="K229" s="88" t="n">
        <v>2.95026982328823</v>
      </c>
      <c r="L229" s="93" t="n">
        <v>0.5525254994162393</v>
      </c>
      <c r="M229" s="94" t="n">
        <v>0.04882980881587828</v>
      </c>
      <c r="N229" s="95" t="n">
        <v>1.274123926053172</v>
      </c>
      <c r="O229" s="96" t="n">
        <v>1.193398675023468</v>
      </c>
      <c r="P229" s="97" t="n">
        <v>2.306000225146756</v>
      </c>
      <c r="Q229" s="98" t="n"/>
      <c r="R229" s="98" t="n"/>
      <c r="W229" s="117">
        <f>V227+I229/3</f>
        <v/>
      </c>
      <c r="X229" s="117">
        <f>V227+I229/5</f>
        <v/>
      </c>
      <c r="Y229" s="117">
        <f>V227-E229</f>
        <v/>
      </c>
      <c r="Z229" s="100" t="n"/>
      <c r="AA229" s="100" t="n"/>
      <c r="AB229" s="100" t="n"/>
    </row>
    <row r="230">
      <c r="B230" t="inlineStr">
        <is>
          <t>pb equal</t>
        </is>
      </c>
      <c r="C230" s="164" t="n">
        <v>0.8828249851095175</v>
      </c>
      <c r="D230" s="88" t="n">
        <v>0.7889643241959283</v>
      </c>
      <c r="E230" s="89" t="n">
        <v>0.1063185370789493</v>
      </c>
      <c r="F230" s="90" t="n">
        <v>2.414546497070656</v>
      </c>
      <c r="G230" s="91" t="n">
        <v>1.735022838950489</v>
      </c>
      <c r="H230" s="92" t="n">
        <v>0.08297063098634405</v>
      </c>
      <c r="I230" s="92" t="n">
        <v>0.4086818866394668</v>
      </c>
      <c r="J230" s="92" t="n">
        <v>0.6510317931920653</v>
      </c>
      <c r="K230" s="88" t="n">
        <v>3.060400100513337</v>
      </c>
      <c r="L230" s="93" t="n">
        <v>0.7889643241959283</v>
      </c>
      <c r="M230" s="94" t="n">
        <v>0.1063185370789493</v>
      </c>
      <c r="N230" s="95" t="n">
        <v>1.433273997200452</v>
      </c>
      <c r="O230" s="96" t="n">
        <v>0.6235086470991187</v>
      </c>
      <c r="P230" s="97" t="n">
        <v>1.8166524812908</v>
      </c>
      <c r="Q230" s="98" t="n"/>
      <c r="R230" s="98" t="n"/>
      <c r="W230" s="102">
        <f>V228+I230/3</f>
        <v/>
      </c>
      <c r="X230" s="117">
        <f>V228+I230/5</f>
        <v/>
      </c>
      <c r="Y230" s="117">
        <f>V228-E230</f>
        <v/>
      </c>
      <c r="Z230" s="100" t="n"/>
      <c r="AA230" s="100" t="n"/>
      <c r="AB230" s="100" t="n"/>
    </row>
    <row r="231">
      <c r="C231" s="99">
        <f>C230/C228</f>
        <v/>
      </c>
    </row>
    <row customFormat="1" r="232" s="128">
      <c r="A232" s="128" t="inlineStr">
        <is>
          <t>红利指数</t>
        </is>
      </c>
      <c r="B232" s="128" t="inlineStr">
        <is>
          <t>pe weighted</t>
        </is>
      </c>
      <c r="C232" s="160" t="n">
        <v>28.01154868977135</v>
      </c>
      <c r="D232" s="19" t="n">
        <v>23.7466982693058</v>
      </c>
      <c r="E232" s="29" t="n">
        <v>0.1522532890879719</v>
      </c>
      <c r="F232" s="20" t="n">
        <v>66.40774270052256</v>
      </c>
      <c r="G232" s="39" t="n">
        <v>1.370727282378782</v>
      </c>
      <c r="H232" s="21" t="n">
        <v>0.1530685836066603</v>
      </c>
      <c r="I232" s="21" t="n">
        <v>0.2717241100759229</v>
      </c>
      <c r="J232" s="21" t="n">
        <v>0.4928732225029442</v>
      </c>
      <c r="K232" s="19" t="n">
        <v>2.796504252818971</v>
      </c>
      <c r="L232" s="22" t="n">
        <v>23.7466982693058</v>
      </c>
      <c r="M232" s="32" t="n">
        <v>0.1522532890879719</v>
      </c>
      <c r="N232" s="23" t="n">
        <v>66.40774270052256</v>
      </c>
      <c r="O232" s="24" t="n">
        <v>1.370727282378782</v>
      </c>
      <c r="P232" s="25" t="n">
        <v>2.796504252818971</v>
      </c>
      <c r="Q232" s="26" t="n">
        <v>0.1482459620782341</v>
      </c>
      <c r="R232" s="26" t="n">
        <v>0.146013506502729</v>
      </c>
      <c r="S232" s="27" t="n">
        <v>0.009263499151233172</v>
      </c>
      <c r="T232" s="128" t="n">
        <v>14209.35</v>
      </c>
      <c r="U232" s="117">
        <f>C232*S232</f>
        <v/>
      </c>
      <c r="V232" s="102">
        <f>(1+S232)*Q232*(1-U232)+S232</f>
        <v/>
      </c>
      <c r="W232" s="102">
        <f>V232+I232/3</f>
        <v/>
      </c>
      <c r="X232" s="117">
        <f>V232+I232/5</f>
        <v/>
      </c>
      <c r="Y232" s="117">
        <f>V232-E232</f>
        <v/>
      </c>
      <c r="Z232" s="100" t="n"/>
      <c r="AA232" s="100" t="n"/>
      <c r="AB232" s="100" t="n"/>
      <c r="AC232" s="117" t="n"/>
      <c r="AD232" s="36" t="n"/>
      <c r="AE232" s="117" t="n"/>
      <c r="AF232" s="117" t="n"/>
      <c r="AH232" s="27" t="n"/>
      <c r="AI232" s="58" t="n"/>
    </row>
    <row customFormat="1" r="233" s="128">
      <c r="A233" s="128" t="inlineStr">
        <is>
          <t>000978</t>
        </is>
      </c>
      <c r="B233" s="128" t="inlineStr">
        <is>
          <t>pe equal</t>
        </is>
      </c>
      <c r="C233" s="160" t="n">
        <v>21.38340835267635</v>
      </c>
      <c r="D233" s="19" t="n">
        <v>19.70168982285167</v>
      </c>
      <c r="E233" s="29" t="n">
        <v>0.07864595307203215</v>
      </c>
      <c r="F233" s="20" t="n">
        <v>71.98393454359221</v>
      </c>
      <c r="G233" s="39" t="n">
        <v>2.36634522225652</v>
      </c>
      <c r="H233" s="21" t="n">
        <v>0.3054591346435946</v>
      </c>
      <c r="I233" s="21" t="n">
        <v>0.6740651375128113</v>
      </c>
      <c r="J233" s="21" t="n">
        <v>0.8800592705632699</v>
      </c>
      <c r="K233" s="19" t="n">
        <v>3.653693423804654</v>
      </c>
      <c r="L233" s="22" t="n">
        <v>19.70168982285167</v>
      </c>
      <c r="M233" s="32" t="n">
        <v>0.07864595307203215</v>
      </c>
      <c r="N233" s="23" t="n">
        <v>54.73612954953437</v>
      </c>
      <c r="O233" s="24" t="n">
        <v>1.559747662616356</v>
      </c>
      <c r="P233" s="25" t="n">
        <v>2.77824542167174</v>
      </c>
      <c r="Q233" s="26" t="n"/>
      <c r="R233" s="26" t="n"/>
      <c r="S233" s="27" t="n">
        <v>0.01186492798896907</v>
      </c>
      <c r="U233" s="117">
        <f>C233*S233</f>
        <v/>
      </c>
      <c r="V233" s="117">
        <f>(1+S233)*R232*(1-U233)+S233</f>
        <v/>
      </c>
      <c r="W233" s="117">
        <f>V233+I233/3</f>
        <v/>
      </c>
      <c r="X233" s="117">
        <f>V233+I233/5</f>
        <v/>
      </c>
      <c r="Y233" s="117">
        <f>V233-E233</f>
        <v/>
      </c>
      <c r="Z233" s="100" t="n"/>
      <c r="AA233" s="100" t="n"/>
      <c r="AB233" s="100" t="n"/>
      <c r="AC233" s="117" t="n"/>
      <c r="AD233" s="117" t="n"/>
      <c r="AE233" s="117" t="n"/>
      <c r="AF233" s="117" t="n"/>
      <c r="AH233" s="27" t="n"/>
      <c r="AI233" s="58" t="n"/>
    </row>
    <row customFormat="1" r="234" s="128">
      <c r="A234" s="128" t="inlineStr">
        <is>
          <t>2005-01-03T16:00:00.000Z</t>
        </is>
      </c>
      <c r="B234" s="128" t="inlineStr">
        <is>
          <t>pb weighted</t>
        </is>
      </c>
      <c r="C234" s="159" t="n">
        <v>4.152598984816452</v>
      </c>
      <c r="D234" s="19" t="n">
        <v>3.06662020436768</v>
      </c>
      <c r="E234" s="29" t="n">
        <v>0.2615178553044829</v>
      </c>
      <c r="F234" s="20" t="n">
        <v>7.805216990828602</v>
      </c>
      <c r="G234" s="39" t="n">
        <v>0.8795980587982537</v>
      </c>
      <c r="H234" s="21" t="n">
        <v>-0.002658150492669042</v>
      </c>
      <c r="I234" s="21" t="n">
        <v>0.07045841144734566</v>
      </c>
      <c r="J234" s="21" t="n">
        <v>0.3459346837945052</v>
      </c>
      <c r="K234" s="19" t="n">
        <v>2.545218015492073</v>
      </c>
      <c r="L234" s="22" t="n">
        <v>3.06662020436768</v>
      </c>
      <c r="M234" s="32" t="n">
        <v>0.2615178553044829</v>
      </c>
      <c r="N234" s="23" t="n">
        <v>7.805216990828602</v>
      </c>
      <c r="O234" s="24" t="n">
        <v>0.8795980587982537</v>
      </c>
      <c r="P234" s="25" t="n">
        <v>2.545218015492073</v>
      </c>
      <c r="Q234" s="26" t="n"/>
      <c r="R234" s="26" t="n"/>
      <c r="S234" s="27" t="n"/>
      <c r="V234" s="99" t="n"/>
      <c r="W234" s="102">
        <f>V232+I234/3</f>
        <v/>
      </c>
      <c r="X234" s="117">
        <f>V232+I234/5</f>
        <v/>
      </c>
      <c r="Y234" s="117">
        <f>V232-E234</f>
        <v/>
      </c>
      <c r="Z234" s="100" t="n"/>
      <c r="AA234" s="100" t="n"/>
      <c r="AB234" s="100" t="n"/>
      <c r="AC234" s="117" t="n"/>
      <c r="AD234" s="117" t="n"/>
      <c r="AE234" s="117" t="n"/>
      <c r="AF234" s="117" t="n"/>
      <c r="AH234" s="27" t="n"/>
      <c r="AI234" s="58" t="n"/>
    </row>
    <row customFormat="1" r="235" s="128">
      <c r="B235" s="128" t="inlineStr">
        <is>
          <t>pb equal</t>
        </is>
      </c>
      <c r="C235" s="160" t="n">
        <v>3.122266434554019</v>
      </c>
      <c r="D235" s="19" t="n">
        <v>2.438323168460808</v>
      </c>
      <c r="E235" s="29" t="n">
        <v>0.2190534601800902</v>
      </c>
      <c r="F235" s="20" t="n">
        <v>7.986081075786805</v>
      </c>
      <c r="G235" s="39" t="n">
        <v>1.557783342063672</v>
      </c>
      <c r="H235" s="21" t="n">
        <v>0.03012230550605977</v>
      </c>
      <c r="I235" s="21" t="n">
        <v>0.2266952393337616</v>
      </c>
      <c r="J235" s="21" t="n">
        <v>0.3698912965128414</v>
      </c>
      <c r="K235" s="19" t="n">
        <v>3.275234874148377</v>
      </c>
      <c r="L235" s="22" t="n">
        <v>2.438323168460808</v>
      </c>
      <c r="M235" s="32" t="n">
        <v>0.2190534601800902</v>
      </c>
      <c r="N235" s="23" t="n">
        <v>4.568183713762707</v>
      </c>
      <c r="O235" s="24" t="n">
        <v>0.4630986206707952</v>
      </c>
      <c r="P235" s="25" t="n">
        <v>1.873493953898807</v>
      </c>
      <c r="Q235" s="26" t="n"/>
      <c r="R235" s="26" t="n"/>
      <c r="S235" s="27" t="n"/>
      <c r="V235" s="99" t="n"/>
      <c r="W235" s="117">
        <f>V233+I235/3</f>
        <v/>
      </c>
      <c r="X235" s="117">
        <f>V233+I235/5</f>
        <v/>
      </c>
      <c r="Y235" s="117">
        <f>V233-E235</f>
        <v/>
      </c>
      <c r="Z235" s="100" t="n"/>
      <c r="AA235" s="100" t="n"/>
      <c r="AB235" s="100" t="n"/>
      <c r="AC235" s="117" t="n"/>
      <c r="AD235" s="117" t="n"/>
      <c r="AE235" s="117" t="n"/>
      <c r="AF235" s="117" t="n"/>
      <c r="AH235" s="27" t="n"/>
      <c r="AI235" s="58" t="n"/>
    </row>
    <row r="236">
      <c r="Q236" s="98" t="n"/>
      <c r="R236" s="98" t="n"/>
    </row>
    <row customFormat="1" r="237" s="128">
      <c r="A237" s="128" t="inlineStr">
        <is>
          <t>医药100</t>
        </is>
      </c>
      <c r="B237" s="128" t="inlineStr">
        <is>
          <t>pe weighted</t>
        </is>
      </c>
      <c r="C237" s="159" t="n">
        <v>11.86099446767533</v>
      </c>
      <c r="D237" s="19" t="n">
        <v>8.540816770720657</v>
      </c>
      <c r="E237" s="29" t="n">
        <v>0.2799240574644164</v>
      </c>
      <c r="F237" s="20" t="n">
        <v>59.74024693603583</v>
      </c>
      <c r="G237" s="39" t="n">
        <v>4.03669798505053</v>
      </c>
      <c r="H237" s="21" t="n">
        <v>-0.09242062980849597</v>
      </c>
      <c r="I237" s="21" t="n">
        <v>0.2996402304170704</v>
      </c>
      <c r="J237" s="21" t="n">
        <v>0.6300073982128425</v>
      </c>
      <c r="K237" s="19" t="n">
        <v>6.994676099461044</v>
      </c>
      <c r="L237" s="22" t="n">
        <v>8.540816770720657</v>
      </c>
      <c r="M237" s="32" t="n">
        <v>0.2799240574644164</v>
      </c>
      <c r="N237" s="23" t="n">
        <v>23.52428851237833</v>
      </c>
      <c r="O237" s="24" t="n">
        <v>0.983331884732674</v>
      </c>
      <c r="P237" s="25" t="n">
        <v>2.754337101929585</v>
      </c>
      <c r="Q237" s="26" t="n">
        <v>0.1286183329739385</v>
      </c>
      <c r="R237" s="26" t="n">
        <v>0.1150668473464875</v>
      </c>
      <c r="S237" s="27" t="n">
        <v>0.03013510771578344</v>
      </c>
      <c r="T237" s="128" t="n">
        <v>1740.79</v>
      </c>
      <c r="U237" s="117">
        <f>C237*S237</f>
        <v/>
      </c>
      <c r="V237" s="102">
        <f>(1+S237)*Q237*(1-U237)+S237</f>
        <v/>
      </c>
      <c r="W237" s="117">
        <f>V237+I237/3</f>
        <v/>
      </c>
      <c r="X237" s="117">
        <f>V237+I237/5</f>
        <v/>
      </c>
      <c r="Y237" s="117">
        <f>V237-E237</f>
        <v/>
      </c>
      <c r="Z237" s="100" t="n"/>
      <c r="AA237" s="100" t="n"/>
      <c r="AB237" s="100" t="n"/>
      <c r="AC237" s="117" t="n"/>
      <c r="AD237" s="117" t="n"/>
      <c r="AE237" s="117" t="n"/>
      <c r="AF237" s="117" t="n"/>
      <c r="AH237" s="27" t="n"/>
      <c r="AI237" s="58" t="n"/>
    </row>
    <row customFormat="1" r="238" s="128">
      <c r="A238" s="128" t="inlineStr">
        <is>
          <t>399974</t>
        </is>
      </c>
      <c r="B238" s="128" t="inlineStr">
        <is>
          <t>pe equal</t>
        </is>
      </c>
      <c r="C238" s="160" t="n">
        <v>16.25491036029311</v>
      </c>
      <c r="D238" s="19" t="n">
        <v>14.25592124106359</v>
      </c>
      <c r="E238" s="29" t="n">
        <v>0.1229775541618842</v>
      </c>
      <c r="F238" s="20" t="n">
        <v>63.43326449602758</v>
      </c>
      <c r="G238" s="39" t="n">
        <v>2.902406293853209</v>
      </c>
      <c r="H238" s="21" t="n">
        <v>0.100975971976744</v>
      </c>
      <c r="I238" s="21" t="n">
        <v>0.3565737295831459</v>
      </c>
      <c r="J238" s="21" t="n">
        <v>1.156403856573018</v>
      </c>
      <c r="K238" s="19" t="n">
        <v>4.44960823109142</v>
      </c>
      <c r="L238" s="22" t="n">
        <v>14.25592124106359</v>
      </c>
      <c r="M238" s="32" t="n">
        <v>0.1229775541618842</v>
      </c>
      <c r="N238" s="23" t="n">
        <v>27.9707357605428</v>
      </c>
      <c r="O238" s="24" t="n">
        <v>0.7207560755836997</v>
      </c>
      <c r="P238" s="25" t="n">
        <v>1.962043370439944</v>
      </c>
      <c r="Q238" s="26" t="n"/>
      <c r="R238" s="26" t="n"/>
      <c r="S238" s="27" t="n">
        <v>0.02122738405675329</v>
      </c>
      <c r="U238" s="117">
        <f>C238*S238</f>
        <v/>
      </c>
      <c r="V238" s="117">
        <f>(1+S238)*R237*(1-U238)+S238</f>
        <v/>
      </c>
      <c r="W238" s="102">
        <f>V238+I238/3</f>
        <v/>
      </c>
      <c r="X238" s="117">
        <f>V238+I238/5</f>
        <v/>
      </c>
      <c r="Y238" s="117">
        <f>V238-E238</f>
        <v/>
      </c>
      <c r="Z238" s="100" t="n"/>
      <c r="AA238" s="100" t="n"/>
      <c r="AB238" s="100" t="n"/>
      <c r="AC238" s="117" t="n"/>
      <c r="AD238" s="117" t="n"/>
      <c r="AE238" s="117" t="n"/>
      <c r="AF238" s="117" t="n"/>
      <c r="AH238" s="27" t="n"/>
      <c r="AI238" s="58" t="n"/>
    </row>
    <row customFormat="1" r="239" s="128">
      <c r="A239" s="128" t="inlineStr">
        <is>
          <t>2011-03-17T16:00:00.000Z</t>
        </is>
      </c>
      <c r="B239" s="128" t="inlineStr">
        <is>
          <t>pb weighted</t>
        </is>
      </c>
      <c r="C239" s="159" t="n">
        <v>1.525541335845508</v>
      </c>
      <c r="D239" s="19" t="n">
        <v>1.076814309349513</v>
      </c>
      <c r="E239" s="29" t="n">
        <v>0.2941428173411605</v>
      </c>
      <c r="F239" s="20" t="n">
        <v>4.689353689781554</v>
      </c>
      <c r="G239" s="39" t="n">
        <v>2.073894872329075</v>
      </c>
      <c r="H239" s="21" t="n">
        <v>-0.09425590540886786</v>
      </c>
      <c r="I239" s="21" t="n">
        <v>0.1502649080794274</v>
      </c>
      <c r="J239" s="21" t="n">
        <v>0.292454684677653</v>
      </c>
      <c r="K239" s="19" t="n">
        <v>4.354839686904162</v>
      </c>
      <c r="L239" s="22" t="n">
        <v>1.076814309349513</v>
      </c>
      <c r="M239" s="32" t="n">
        <v>0.2941428173411605</v>
      </c>
      <c r="N239" s="23" t="n">
        <v>2.89696555572892</v>
      </c>
      <c r="O239" s="24" t="n">
        <v>0.8989754572093065</v>
      </c>
      <c r="P239" s="25" t="n">
        <v>2.690311161892836</v>
      </c>
      <c r="Q239" s="26" t="n"/>
      <c r="R239" s="26" t="n"/>
      <c r="S239" s="27" t="n"/>
      <c r="V239" s="99" t="n"/>
      <c r="W239" s="117">
        <f>V237+I239/3</f>
        <v/>
      </c>
      <c r="X239" s="117">
        <f>V237+I239/5</f>
        <v/>
      </c>
      <c r="Y239" s="117">
        <f>V237-E239</f>
        <v/>
      </c>
      <c r="Z239" s="100" t="n"/>
      <c r="AA239" s="100" t="n"/>
      <c r="AB239" s="100" t="n"/>
      <c r="AC239" s="117" t="n"/>
      <c r="AD239" s="117" t="n"/>
      <c r="AE239" s="117" t="n"/>
      <c r="AF239" s="117" t="n"/>
      <c r="AH239" s="27" t="n"/>
      <c r="AI239" s="58" t="n"/>
    </row>
    <row customFormat="1" r="240" s="128">
      <c r="B240" s="128" t="inlineStr">
        <is>
          <t>pb equal</t>
        </is>
      </c>
      <c r="C240" s="160" t="n">
        <v>1.870401289058686</v>
      </c>
      <c r="D240" s="19" t="n">
        <v>1.648257469537933</v>
      </c>
      <c r="E240" s="29" t="n">
        <v>0.1187679995839561</v>
      </c>
      <c r="F240" s="20" t="n">
        <v>4.815466453796061</v>
      </c>
      <c r="G240" s="39" t="n">
        <v>1.574563267233168</v>
      </c>
      <c r="H240" s="21" t="n">
        <v>0.02487561244326431</v>
      </c>
      <c r="I240" s="21" t="n">
        <v>0.1644047130578055</v>
      </c>
      <c r="J240" s="21" t="n">
        <v>0.3030694411707093</v>
      </c>
      <c r="K240" s="19" t="n">
        <v>2.921549905152871</v>
      </c>
      <c r="L240" s="22" t="n">
        <v>1.648257469537933</v>
      </c>
      <c r="M240" s="32" t="n">
        <v>0.1187679995839561</v>
      </c>
      <c r="N240" s="23" t="n">
        <v>2.625982272167576</v>
      </c>
      <c r="O240" s="24" t="n">
        <v>0.4039673130727734</v>
      </c>
      <c r="P240" s="25" t="n">
        <v>1.593186938751586</v>
      </c>
      <c r="Q240" s="26" t="n"/>
      <c r="R240" s="26" t="n"/>
      <c r="S240" s="27" t="n"/>
      <c r="T240" s="58">
        <f>T237/C240</f>
        <v/>
      </c>
      <c r="U240" s="58" t="n"/>
      <c r="V240" s="58">
        <f>T237/C238</f>
        <v/>
      </c>
      <c r="W240" s="102">
        <f>V238+I240/3</f>
        <v/>
      </c>
      <c r="X240" s="117">
        <f>V238+I240/5</f>
        <v/>
      </c>
      <c r="Y240" s="117">
        <f>V238-E240</f>
        <v/>
      </c>
      <c r="Z240" s="100" t="n"/>
      <c r="AA240" s="100" t="n"/>
      <c r="AB240" s="100" t="n"/>
      <c r="AC240" s="117" t="n"/>
      <c r="AD240" s="117" t="n"/>
      <c r="AE240" s="117" t="n"/>
      <c r="AF240" s="117" t="n"/>
      <c r="AH240" s="27" t="n"/>
      <c r="AI240" s="58" t="n"/>
    </row>
    <row r="241">
      <c r="C241" s="99">
        <f>C240/C238</f>
        <v/>
      </c>
    </row>
    <row customFormat="1" r="242" s="128">
      <c r="A242" s="128" t="inlineStr">
        <is>
          <t>国企改革</t>
        </is>
      </c>
      <c r="B242" s="128" t="inlineStr">
        <is>
          <t>pe weighted</t>
        </is>
      </c>
      <c r="C242" s="160" t="n">
        <v>6.147643826646684</v>
      </c>
      <c r="D242" s="19" t="n">
        <v>5.453706131619187</v>
      </c>
      <c r="E242" s="29" t="n">
        <v>0.1128786433624628</v>
      </c>
      <c r="F242" s="20" t="n">
        <v>22.87248512799527</v>
      </c>
      <c r="G242" s="39" t="n">
        <v>2.720528672929216</v>
      </c>
      <c r="H242" s="21" t="n">
        <v>0.6457957744457306</v>
      </c>
      <c r="I242" s="21" t="n">
        <v>0.9840512734776421</v>
      </c>
      <c r="J242" s="21" t="n">
        <v>1.579846226988447</v>
      </c>
      <c r="K242" s="19" t="n">
        <v>4.193934285418585</v>
      </c>
      <c r="L242" s="22" t="n">
        <v>5.453706131619187</v>
      </c>
      <c r="M242" s="32" t="n">
        <v>0.1128786433624628</v>
      </c>
      <c r="N242" s="23" t="n">
        <v>19.52634007874605</v>
      </c>
      <c r="O242" s="24" t="n">
        <v>2.176231517205016</v>
      </c>
      <c r="P242" s="25" t="n">
        <v>3.580379948515624</v>
      </c>
      <c r="Q242" s="26" t="n">
        <v>0.1163432964426508</v>
      </c>
      <c r="R242" s="26" t="n">
        <v>0.1024984938424436</v>
      </c>
      <c r="S242" s="27" t="n">
        <v>0.05007725015638455</v>
      </c>
      <c r="T242" s="128" t="n">
        <v>1734.92</v>
      </c>
      <c r="U242" s="117">
        <f>C242*S242</f>
        <v/>
      </c>
      <c r="V242" s="117">
        <f>(1+S242)*Q242*(1-U242)+S242</f>
        <v/>
      </c>
      <c r="W242" s="117">
        <f>V242+I242/3</f>
        <v/>
      </c>
      <c r="X242" s="117">
        <f>V242+I242/5</f>
        <v/>
      </c>
      <c r="Y242" s="117">
        <f>V242-E242</f>
        <v/>
      </c>
      <c r="Z242" s="100" t="n"/>
      <c r="AA242" s="100" t="n"/>
      <c r="AB242" s="100" t="n"/>
      <c r="AC242" s="117" t="n"/>
      <c r="AD242" s="117" t="n"/>
      <c r="AE242" s="117" t="n"/>
      <c r="AF242" s="117" t="n"/>
      <c r="AH242" s="27" t="n"/>
      <c r="AI242" s="58" t="n"/>
    </row>
    <row customFormat="1" r="243" s="128">
      <c r="A243" s="128" t="inlineStr">
        <is>
          <t>399809</t>
        </is>
      </c>
      <c r="B243" s="128" t="inlineStr">
        <is>
          <t>pe equal</t>
        </is>
      </c>
      <c r="C243" s="160" t="n">
        <v>7.545574814255748</v>
      </c>
      <c r="D243" s="19" t="n">
        <v>6.879458041859555</v>
      </c>
      <c r="E243" s="29" t="n">
        <v>0.08827912899858981</v>
      </c>
      <c r="F243" s="20" t="n">
        <v>-4.752049807774621</v>
      </c>
      <c r="G243" s="39" t="n">
        <v>-1.629779695351591</v>
      </c>
      <c r="H243" s="21" t="n">
        <v>0.6862687097771196</v>
      </c>
      <c r="I243" s="21" t="n">
        <v>0.9257851728202862</v>
      </c>
      <c r="J243" s="21" t="n">
        <v>1.636122509345619</v>
      </c>
      <c r="K243" s="19" t="n">
        <v>-0.6907593270952077</v>
      </c>
      <c r="L243" s="22" t="n">
        <v>6.879458041859555</v>
      </c>
      <c r="M243" s="32" t="n">
        <v>0.08827912899858981</v>
      </c>
      <c r="N243" s="23" t="n">
        <v>-4.752049807774621</v>
      </c>
      <c r="O243" s="24" t="n">
        <v>-1.629779695351591</v>
      </c>
      <c r="P243" s="25" t="n">
        <v>-0.6907593270952077</v>
      </c>
      <c r="Q243" s="26" t="n"/>
      <c r="R243" s="26" t="n"/>
      <c r="S243" s="27" t="n">
        <v>0.03893304442443715</v>
      </c>
      <c r="U243" s="117">
        <f>C243*S243</f>
        <v/>
      </c>
      <c r="V243" s="117">
        <f>(1+S243)*R242*(1-U243)+S243</f>
        <v/>
      </c>
      <c r="W243" s="117">
        <f>V243+I243/3</f>
        <v/>
      </c>
      <c r="X243" s="117">
        <f>V243+I243/5</f>
        <v/>
      </c>
      <c r="Y243" s="117">
        <f>V243-E243</f>
        <v/>
      </c>
      <c r="Z243" s="100" t="n"/>
      <c r="AA243" s="100" t="n"/>
      <c r="AB243" s="100" t="n"/>
      <c r="AC243" s="117" t="n"/>
      <c r="AD243" s="117" t="n"/>
      <c r="AE243" s="117" t="n"/>
      <c r="AF243" s="117" t="n"/>
      <c r="AH243" s="27" t="n"/>
      <c r="AI243" s="58" t="n"/>
    </row>
    <row customFormat="1" r="244" s="128">
      <c r="A244" s="128" t="inlineStr">
        <is>
          <t>2014-08-06T16:00:00.000Z</t>
        </is>
      </c>
      <c r="B244" s="128" t="inlineStr">
        <is>
          <t>pb weighted</t>
        </is>
      </c>
      <c r="C244" s="160" t="n">
        <v>0.7152371481473876</v>
      </c>
      <c r="D244" s="19" t="n">
        <v>0.6352284709192115</v>
      </c>
      <c r="E244" s="29" t="n">
        <v>0.1118631455810357</v>
      </c>
      <c r="F244" s="20" t="n">
        <v>2.128310540790257</v>
      </c>
      <c r="G244" s="39" t="n">
        <v>1.975671141107564</v>
      </c>
      <c r="H244" s="21" t="n">
        <v>0.6605120445455177</v>
      </c>
      <c r="I244" s="21" t="n">
        <v>0.9380820175854285</v>
      </c>
      <c r="J244" s="21" t="n">
        <v>1.23791825444953</v>
      </c>
      <c r="K244" s="19" t="n">
        <v>3.350464656772187</v>
      </c>
      <c r="L244" s="22" t="n">
        <v>0.6352284709192115</v>
      </c>
      <c r="M244" s="32" t="n">
        <v>0.1118631455810357</v>
      </c>
      <c r="N244" s="23" t="n">
        <v>1.777263022174776</v>
      </c>
      <c r="O244" s="24" t="n">
        <v>1.484858381277113</v>
      </c>
      <c r="P244" s="25" t="n">
        <v>2.797832753942807</v>
      </c>
      <c r="Q244" s="26" t="n"/>
      <c r="R244" s="26" t="n"/>
      <c r="S244" s="27" t="n"/>
      <c r="V244" s="99" t="n"/>
      <c r="W244" s="117">
        <f>V242+I244/3</f>
        <v/>
      </c>
      <c r="X244" s="117">
        <f>V242+I244/5</f>
        <v/>
      </c>
      <c r="Y244" s="117">
        <f>V242-E244</f>
        <v/>
      </c>
      <c r="Z244" s="100" t="n"/>
      <c r="AA244" s="100" t="n"/>
      <c r="AB244" s="100" t="n"/>
      <c r="AC244" s="117" t="n"/>
      <c r="AD244" s="117" t="n"/>
      <c r="AE244" s="117" t="n"/>
      <c r="AF244" s="117" t="n"/>
      <c r="AH244" s="27" t="n"/>
      <c r="AI244" s="58" t="n"/>
    </row>
    <row customFormat="1" r="245" s="128">
      <c r="B245" s="128" t="inlineStr">
        <is>
          <t>pb equal</t>
        </is>
      </c>
      <c r="C245" s="160" t="n">
        <v>0.7734100536366901</v>
      </c>
      <c r="D245" s="19" t="n">
        <v>0.7361472700295093</v>
      </c>
      <c r="E245" s="29" t="n">
        <v>0.04817985418209347</v>
      </c>
      <c r="F245" s="20" t="n">
        <v>3.048467397979231</v>
      </c>
      <c r="G245" s="39" t="n">
        <v>2.941592669561095</v>
      </c>
      <c r="H245" s="21" t="n">
        <v>0.3864670024582402</v>
      </c>
      <c r="I245" s="21" t="n">
        <v>0.613922076623129</v>
      </c>
      <c r="J245" s="21" t="n">
        <v>1.294674633586414</v>
      </c>
      <c r="K245" s="19" t="n">
        <v>4.141110783249974</v>
      </c>
      <c r="L245" s="22" t="n">
        <v>0.7361472700295093</v>
      </c>
      <c r="M245" s="32" t="n">
        <v>0.04817985418209347</v>
      </c>
      <c r="N245" s="23" t="n">
        <v>1.810073785927777</v>
      </c>
      <c r="O245" s="24" t="n">
        <v>1.340380471415569</v>
      </c>
      <c r="P245" s="25" t="n">
        <v>2.458847379621768</v>
      </c>
      <c r="Q245" s="26" t="n"/>
      <c r="R245" s="26" t="n"/>
      <c r="S245" s="27" t="n"/>
      <c r="V245" s="99" t="n"/>
      <c r="W245" s="117">
        <f>V243+I245/3</f>
        <v/>
      </c>
      <c r="X245" s="117">
        <f>V243+I245/5</f>
        <v/>
      </c>
      <c r="Y245" s="117">
        <f>V243-E245</f>
        <v/>
      </c>
      <c r="Z245" s="100" t="n"/>
      <c r="AA245" s="100" t="n"/>
      <c r="AB245" s="100" t="n"/>
      <c r="AC245" s="117" t="n"/>
      <c r="AD245" s="117" t="n"/>
      <c r="AE245" s="117" t="n"/>
      <c r="AF245" s="117" t="n"/>
      <c r="AH245" s="27" t="n"/>
      <c r="AI245" s="58" t="n"/>
    </row>
    <row customFormat="1" r="247" s="128">
      <c r="A247" s="128" t="inlineStr">
        <is>
          <t>保险主题</t>
        </is>
      </c>
      <c r="B247" s="128" t="inlineStr">
        <is>
          <t>pe weighted</t>
        </is>
      </c>
      <c r="C247" s="160" t="n">
        <v>10.8130058073661</v>
      </c>
      <c r="D247" s="19" t="n">
        <v>9.933265281112217</v>
      </c>
      <c r="E247" s="29" t="n">
        <v>0.08135947967905277</v>
      </c>
      <c r="F247" s="20" t="n">
        <v>55.62975292098509</v>
      </c>
      <c r="G247" s="39" t="n">
        <v>4.144707578265487</v>
      </c>
      <c r="H247" s="21" t="n">
        <v>0.2679473850731784</v>
      </c>
      <c r="I247" s="21" t="n">
        <v>0.6669261986449078</v>
      </c>
      <c r="J247" s="21" t="n">
        <v>1.690786068053092</v>
      </c>
      <c r="K247" s="19" t="n">
        <v>5.60034906414543</v>
      </c>
      <c r="L247" s="22" t="n">
        <v>9.933265281112217</v>
      </c>
      <c r="M247" s="32" t="n">
        <v>0.08135947967905277</v>
      </c>
      <c r="N247" s="23" t="n">
        <v>30.45548810695156</v>
      </c>
      <c r="O247" s="24" t="n">
        <v>1.816560783330431</v>
      </c>
      <c r="P247" s="25" t="n">
        <v>3.066009740509164</v>
      </c>
      <c r="Q247" s="26" t="n">
        <v>0.1329575087171767</v>
      </c>
      <c r="R247" s="26" t="n">
        <v>0.1271951942880516</v>
      </c>
      <c r="S247" s="27" t="n">
        <v>0.03863811284133542</v>
      </c>
      <c r="T247" s="128" t="n">
        <v>5470.6</v>
      </c>
      <c r="U247" s="117">
        <f>C247*S247</f>
        <v/>
      </c>
      <c r="V247" s="117">
        <f>(1+S247)*Q247*(1-U247)+S247</f>
        <v/>
      </c>
      <c r="W247" s="117">
        <f>V247+I247/3</f>
        <v/>
      </c>
      <c r="X247" s="117">
        <f>V247+I247/5</f>
        <v/>
      </c>
      <c r="Y247" s="117">
        <f>V247-E247</f>
        <v/>
      </c>
      <c r="Z247" s="100" t="n"/>
      <c r="AA247" s="100" t="n"/>
      <c r="AB247" s="100" t="n"/>
      <c r="AC247" s="117" t="n"/>
      <c r="AD247" s="117" t="n"/>
      <c r="AE247" s="117" t="n"/>
      <c r="AF247" s="117" t="n"/>
      <c r="AH247" s="27" t="n"/>
      <c r="AI247" s="58" t="n"/>
    </row>
    <row customFormat="1" r="248" s="128">
      <c r="A248" s="128" t="inlineStr">
        <is>
          <t>000979</t>
        </is>
      </c>
      <c r="B248" s="128" t="inlineStr">
        <is>
          <t>pe equal</t>
        </is>
      </c>
      <c r="C248" s="160" t="n">
        <v>13.10271645586832</v>
      </c>
      <c r="D248" s="19" t="n">
        <v>11.5722242013745</v>
      </c>
      <c r="E248" s="29" t="n">
        <v>0.1168072483021909</v>
      </c>
      <c r="F248" s="20" t="n">
        <v>151.043554797335</v>
      </c>
      <c r="G248" s="39" t="n">
        <v>10.52765194195186</v>
      </c>
      <c r="H248" s="21" t="n">
        <v>0.4363923564995633</v>
      </c>
      <c r="I248" s="21" t="n">
        <v>1.06181449702853</v>
      </c>
      <c r="J248" s="21" t="n">
        <v>3.558322826988507</v>
      </c>
      <c r="K248" s="19" t="n">
        <v>13.05224926245334</v>
      </c>
      <c r="L248" s="22" t="n">
        <v>11.5722242013745</v>
      </c>
      <c r="M248" s="32" t="n">
        <v>0.1168072483021909</v>
      </c>
      <c r="N248" s="23" t="n">
        <v>62.29573623526146</v>
      </c>
      <c r="O248" s="24" t="n">
        <v>3.754413822895561</v>
      </c>
      <c r="P248" s="25" t="n">
        <v>5.383212004124688</v>
      </c>
      <c r="Q248" s="26" t="n"/>
      <c r="R248" s="26" t="n"/>
      <c r="S248" s="27" t="n">
        <v>0.02626543153455135</v>
      </c>
      <c r="U248" s="117">
        <f>C248*S248</f>
        <v/>
      </c>
      <c r="V248" s="117">
        <f>(1+S248)*R247*(1-U248)+S248</f>
        <v/>
      </c>
      <c r="W248" s="117">
        <f>V248+I248/3</f>
        <v/>
      </c>
      <c r="X248" s="117">
        <f>V248+I248/5</f>
        <v/>
      </c>
      <c r="Y248" s="117">
        <f>V248-E248</f>
        <v/>
      </c>
      <c r="Z248" s="100" t="n"/>
      <c r="AA248" s="100" t="n"/>
      <c r="AB248" s="100" t="n"/>
      <c r="AC248" s="117" t="n"/>
      <c r="AD248" s="117" t="n"/>
      <c r="AE248" s="117" t="n"/>
      <c r="AF248" s="117" t="n"/>
      <c r="AH248" s="27" t="n"/>
      <c r="AI248" s="58" t="n"/>
    </row>
    <row customFormat="1" r="249" s="128">
      <c r="A249" s="128" t="inlineStr">
        <is>
          <t>2015-02-12T16:00:00.000Z</t>
        </is>
      </c>
      <c r="B249" s="128" t="inlineStr">
        <is>
          <t>pb weighted</t>
        </is>
      </c>
      <c r="C249" s="159" t="n">
        <v>1.43767031389176</v>
      </c>
      <c r="D249" s="19" t="n">
        <v>1.138088925922756</v>
      </c>
      <c r="E249" s="29" t="n">
        <v>0.2083797551317866</v>
      </c>
      <c r="F249" s="20" t="n">
        <v>2.468651114077467</v>
      </c>
      <c r="G249" s="39" t="n">
        <v>0.7171190711971032</v>
      </c>
      <c r="H249" s="21" t="n">
        <v>-0.07650566067793474</v>
      </c>
      <c r="I249" s="21" t="n">
        <v>0.001599478552947842</v>
      </c>
      <c r="J249" s="21" t="n">
        <v>0.1237429617846748</v>
      </c>
      <c r="K249" s="19" t="n">
        <v>2.169119703959774</v>
      </c>
      <c r="L249" s="22" t="n">
        <v>1.138088925922756</v>
      </c>
      <c r="M249" s="32" t="n">
        <v>0.2083797551317866</v>
      </c>
      <c r="N249" s="23" t="n">
        <v>1.94940567930286</v>
      </c>
      <c r="O249" s="24" t="n">
        <v>0.3559476470136174</v>
      </c>
      <c r="P249" s="25" t="n">
        <v>1.712876414927149</v>
      </c>
      <c r="Q249" s="26" t="n"/>
      <c r="R249" s="26" t="n"/>
      <c r="S249" s="27" t="n"/>
      <c r="V249" s="99" t="n"/>
      <c r="W249" s="117">
        <f>V247+I249/3</f>
        <v/>
      </c>
      <c r="X249" s="117">
        <f>V247+I249/5</f>
        <v/>
      </c>
      <c r="Y249" s="117">
        <f>V247-E249</f>
        <v/>
      </c>
      <c r="Z249" s="100" t="n"/>
      <c r="AA249" s="100" t="n"/>
      <c r="AB249" s="100" t="n"/>
      <c r="AC249" s="117" t="n"/>
      <c r="AD249" s="117" t="n"/>
      <c r="AE249" s="117" t="n"/>
      <c r="AF249" s="117" t="n"/>
      <c r="AH249" s="27" t="n"/>
      <c r="AI249" s="58" t="n"/>
    </row>
    <row customFormat="1" r="250" s="128">
      <c r="B250" s="128" t="inlineStr">
        <is>
          <t>pb equal</t>
        </is>
      </c>
      <c r="C250" s="159" t="n">
        <v>1.666602565305422</v>
      </c>
      <c r="D250" s="19" t="n">
        <v>1.296183911434297</v>
      </c>
      <c r="E250" s="29" t="n">
        <v>0.2222597406138291</v>
      </c>
      <c r="F250" s="20" t="n">
        <v>4.146744155048066</v>
      </c>
      <c r="G250" s="39" t="n">
        <v>1.488142189009611</v>
      </c>
      <c r="H250" s="21" t="n">
        <v>-0.04445808243427085</v>
      </c>
      <c r="I250" s="21" t="n">
        <v>0.1206948834383559</v>
      </c>
      <c r="J250" s="21" t="n">
        <v>0.3779043051269679</v>
      </c>
      <c r="K250" s="19" t="n">
        <v>3.199194279814407</v>
      </c>
      <c r="L250" s="22" t="n">
        <v>1.296183911434297</v>
      </c>
      <c r="M250" s="32" t="n">
        <v>0.2222597406138291</v>
      </c>
      <c r="N250" s="23" t="n">
        <v>2.590689257845258</v>
      </c>
      <c r="O250" s="24" t="n">
        <v>0.5544733410214613</v>
      </c>
      <c r="P250" s="25" t="n">
        <v>1.998704994709062</v>
      </c>
      <c r="Q250" s="26" t="n"/>
      <c r="R250" s="26" t="n"/>
      <c r="S250" s="27" t="n"/>
      <c r="T250" s="58">
        <f>T247/C249</f>
        <v/>
      </c>
      <c r="U250" s="58" t="n"/>
      <c r="V250" s="58">
        <f>T247/C247</f>
        <v/>
      </c>
      <c r="W250" s="117">
        <f>V248+I250/3</f>
        <v/>
      </c>
      <c r="X250" s="117">
        <f>V248+I250/5</f>
        <v/>
      </c>
      <c r="Y250" s="117">
        <f>V248-E250</f>
        <v/>
      </c>
      <c r="Z250" s="100" t="n"/>
      <c r="AA250" s="100" t="n"/>
      <c r="AB250" s="100" t="n"/>
      <c r="AC250" s="117" t="n"/>
      <c r="AD250" s="117" t="n"/>
      <c r="AE250" s="117" t="n"/>
      <c r="AF250" s="117" t="n"/>
      <c r="AH250" s="27" t="n"/>
      <c r="AI250" s="58" t="n"/>
    </row>
    <row customFormat="1" r="252" s="128">
      <c r="A252" s="128" t="inlineStr">
        <is>
          <t>大宗商品</t>
        </is>
      </c>
      <c r="B252" s="128" t="inlineStr">
        <is>
          <t>pe weighted</t>
        </is>
      </c>
      <c r="C252" s="159" t="n">
        <v>33.03076310269874</v>
      </c>
      <c r="D252" s="19" t="n">
        <v>22.86559427425244</v>
      </c>
      <c r="E252" s="29" t="n">
        <v>0.3077485311750418</v>
      </c>
      <c r="F252" s="20" t="n">
        <v>67.14900427692</v>
      </c>
      <c r="G252" s="39" t="n">
        <v>1.032923189456488</v>
      </c>
      <c r="H252" s="21" t="n">
        <v>-0.02877247329033361</v>
      </c>
      <c r="I252" s="21" t="n">
        <v>0.09268004022727383</v>
      </c>
      <c r="J252" s="21" t="n">
        <v>0.2971057439920046</v>
      </c>
      <c r="K252" s="19" t="n">
        <v>2.936683100011637</v>
      </c>
      <c r="L252" s="22" t="n">
        <v>22.86559427425244</v>
      </c>
      <c r="M252" s="32" t="n">
        <v>0.3077485311750418</v>
      </c>
      <c r="N252" s="23" t="n">
        <v>65.85763799140682</v>
      </c>
      <c r="O252" s="24" t="n">
        <v>0.99382732353604</v>
      </c>
      <c r="P252" s="25" t="n">
        <v>2.88020670713838</v>
      </c>
      <c r="Q252" s="26" t="n">
        <v>0.1369363257303127</v>
      </c>
      <c r="R252" s="26" t="n">
        <v>0.1257370231207172</v>
      </c>
      <c r="S252" s="27" t="n">
        <v>0.008720556870139517</v>
      </c>
      <c r="T252" s="128" t="n">
        <v>11525.81</v>
      </c>
      <c r="U252" s="117">
        <f>C252*S252</f>
        <v/>
      </c>
      <c r="V252" s="117">
        <f>(1+S252)*Q252*(1-U252)+S252</f>
        <v/>
      </c>
      <c r="W252" s="117">
        <f>V252+I252/3</f>
        <v/>
      </c>
      <c r="X252" s="117">
        <f>V252+I252/5</f>
        <v/>
      </c>
      <c r="Y252" s="117">
        <f>V252-E252</f>
        <v/>
      </c>
      <c r="Z252" s="100" t="n"/>
      <c r="AA252" s="100" t="n"/>
      <c r="AB252" s="100" t="n"/>
      <c r="AC252" s="117" t="n"/>
      <c r="AD252" s="117" t="n"/>
      <c r="AE252" s="117" t="n"/>
      <c r="AF252" s="117" t="n"/>
      <c r="AH252" s="27" t="n"/>
      <c r="AI252" s="58" t="n"/>
    </row>
    <row customFormat="1" r="253" s="128">
      <c r="A253" s="128" t="inlineStr">
        <is>
          <t>399394</t>
        </is>
      </c>
      <c r="B253" s="128" t="inlineStr">
        <is>
          <t>pe equal</t>
        </is>
      </c>
      <c r="C253" s="159" t="n">
        <v>28.07870369995017</v>
      </c>
      <c r="D253" s="19" t="n">
        <v>19.47304687759685</v>
      </c>
      <c r="E253" s="29" t="n">
        <v>0.3064834087183514</v>
      </c>
      <c r="F253" s="20" t="n">
        <v>78.19781053937919</v>
      </c>
      <c r="G253" s="39" t="n">
        <v>1.784950878609042</v>
      </c>
      <c r="H253" s="21" t="n">
        <v>-0.01987171497399576</v>
      </c>
      <c r="I253" s="21" t="n">
        <v>0.2638590584208573</v>
      </c>
      <c r="J253" s="21" t="n">
        <v>0.5147516751900914</v>
      </c>
      <c r="K253" s="19" t="n">
        <v>4.015694669196498</v>
      </c>
      <c r="L253" s="22" t="n">
        <v>19.47304687759685</v>
      </c>
      <c r="M253" s="32" t="n">
        <v>0.3064834087183514</v>
      </c>
      <c r="N253" s="23" t="n">
        <v>50.88391965354144</v>
      </c>
      <c r="O253" s="24" t="n">
        <v>0.8121890596264152</v>
      </c>
      <c r="P253" s="25" t="n">
        <v>2.61304355570991</v>
      </c>
      <c r="Q253" s="26" t="n"/>
      <c r="R253" s="26" t="n"/>
      <c r="S253" s="27" t="n">
        <v>0.01074235528218022</v>
      </c>
      <c r="U253" s="117">
        <f>C253*S253</f>
        <v/>
      </c>
      <c r="V253" s="117">
        <f>(1+S253)*R252*(1-U253)+S253</f>
        <v/>
      </c>
      <c r="W253" s="117">
        <f>V253+I253/3</f>
        <v/>
      </c>
      <c r="X253" s="117">
        <f>V253+I253/5</f>
        <v/>
      </c>
      <c r="Y253" s="117">
        <f>V253-E253</f>
        <v/>
      </c>
      <c r="Z253" s="100" t="n"/>
      <c r="AA253" s="100" t="n"/>
      <c r="AB253" s="100" t="n"/>
      <c r="AC253" s="117" t="n"/>
      <c r="AD253" s="117" t="n"/>
      <c r="AE253" s="117" t="n"/>
      <c r="AF253" s="117" t="n"/>
      <c r="AH253" s="27" t="n"/>
      <c r="AI253" s="58" t="n"/>
    </row>
    <row customFormat="1" r="254" s="128">
      <c r="A254" s="128" t="inlineStr">
        <is>
          <t>2011-08-21T16:00:00.000Z</t>
        </is>
      </c>
      <c r="B254" s="128" t="inlineStr">
        <is>
          <t>pb weighted</t>
        </is>
      </c>
      <c r="C254" s="159" t="n">
        <v>4.523111335351949</v>
      </c>
      <c r="D254" s="19" t="n">
        <v>3.159307932785142</v>
      </c>
      <c r="E254" s="29" t="n">
        <v>0.3015188664288512</v>
      </c>
      <c r="F254" s="20" t="n">
        <v>8.607490304768854</v>
      </c>
      <c r="G254" s="39" t="n">
        <v>0.9030020856426906</v>
      </c>
      <c r="H254" s="21" t="n">
        <v>-0.02885814338933756</v>
      </c>
      <c r="I254" s="21" t="n">
        <v>0.05267778205285212</v>
      </c>
      <c r="J254" s="21" t="n">
        <v>0.2861514377984726</v>
      </c>
      <c r="K254" s="19" t="n">
        <v>2.724486022855257</v>
      </c>
      <c r="L254" s="22" t="n">
        <v>3.159307932785142</v>
      </c>
      <c r="M254" s="32" t="n">
        <v>0.3015188664288512</v>
      </c>
      <c r="N254" s="23" t="n">
        <v>8.607490304768854</v>
      </c>
      <c r="O254" s="24" t="n">
        <v>0.9030020856426906</v>
      </c>
      <c r="P254" s="25" t="n">
        <v>2.724486022855257</v>
      </c>
      <c r="Q254" s="26" t="n"/>
      <c r="R254" s="26" t="n"/>
      <c r="S254" s="27" t="n"/>
      <c r="V254" s="99" t="n"/>
      <c r="W254" s="117">
        <f>V252+I254/3</f>
        <v/>
      </c>
      <c r="X254" s="117">
        <f>V252+I254/5</f>
        <v/>
      </c>
      <c r="Y254" s="117">
        <f>V252-E254</f>
        <v/>
      </c>
      <c r="Z254" s="100" t="n"/>
      <c r="AA254" s="100" t="n"/>
      <c r="AB254" s="100" t="n"/>
      <c r="AC254" s="117" t="n"/>
      <c r="AD254" s="117" t="n"/>
      <c r="AE254" s="117" t="n"/>
      <c r="AF254" s="117" t="n"/>
      <c r="AH254" s="27" t="n"/>
      <c r="AI254" s="58" t="n"/>
    </row>
    <row customFormat="1" r="255" s="128">
      <c r="B255" s="128" t="inlineStr">
        <is>
          <t>pb equal</t>
        </is>
      </c>
      <c r="C255" s="159" t="n">
        <v>3.530532616320401</v>
      </c>
      <c r="D255" s="19" t="n">
        <v>2.542117214049959</v>
      </c>
      <c r="E255" s="29" t="n">
        <v>0.2799621217777023</v>
      </c>
      <c r="F255" s="20" t="n">
        <v>8.175629099818714</v>
      </c>
      <c r="G255" s="39" t="n">
        <v>1.315692839665516</v>
      </c>
      <c r="H255" s="21" t="n">
        <v>-0.003716467804857349</v>
      </c>
      <c r="I255" s="21" t="n">
        <v>0.1592366986883866</v>
      </c>
      <c r="J255" s="21" t="n">
        <v>0.311926744090941</v>
      </c>
      <c r="K255" s="19" t="n">
        <v>3.216070861970113</v>
      </c>
      <c r="L255" s="22" t="n">
        <v>2.542117214049959</v>
      </c>
      <c r="M255" s="32" t="n">
        <v>0.2799621217777023</v>
      </c>
      <c r="N255" s="23" t="n">
        <v>5.323002394609014</v>
      </c>
      <c r="O255" s="24" t="n">
        <v>0.5077052028928044</v>
      </c>
      <c r="P255" s="25" t="n">
        <v>2.093924845475046</v>
      </c>
      <c r="Q255" s="26" t="n"/>
      <c r="R255" s="26" t="n"/>
      <c r="S255" s="27" t="n"/>
      <c r="V255" s="99" t="n"/>
      <c r="W255" s="117">
        <f>V253+I255/3</f>
        <v/>
      </c>
      <c r="X255" s="117">
        <f>V253+I255/5</f>
        <v/>
      </c>
      <c r="Y255" s="117">
        <f>V253-E255</f>
        <v/>
      </c>
      <c r="Z255" s="100" t="n"/>
      <c r="AA255" s="100" t="n"/>
      <c r="AB255" s="100" t="n"/>
      <c r="AC255" s="117" t="n"/>
      <c r="AD255" s="117" t="n"/>
      <c r="AE255" s="117" t="n"/>
      <c r="AF255" s="117" t="n"/>
      <c r="AH255" s="27" t="n"/>
      <c r="AI255" s="58" t="n"/>
    </row>
    <row customHeight="1" ht="19" r="256" s="155"/>
    <row customFormat="1" r="257" s="128">
      <c r="A257" s="128" t="inlineStr">
        <is>
          <t>国证医药</t>
        </is>
      </c>
      <c r="B257" s="128" t="inlineStr">
        <is>
          <t>pe weighted</t>
        </is>
      </c>
      <c r="C257" s="157" t="n">
        <v>19.50471803071712</v>
      </c>
      <c r="D257" s="19" t="n">
        <v>11.12635258750265</v>
      </c>
      <c r="E257" s="29" t="n">
        <v>0.4295558351584347</v>
      </c>
      <c r="F257" s="20" t="n">
        <v>27.11262578695835</v>
      </c>
      <c r="G257" s="39" t="n">
        <v>0.3900547418455302</v>
      </c>
      <c r="H257" s="21" t="n">
        <v>-0.3098945779797265</v>
      </c>
      <c r="I257" s="21" t="n">
        <v>-0.2026604446299021</v>
      </c>
      <c r="J257" s="21" t="n">
        <v>-0.09490379880257449</v>
      </c>
      <c r="K257" s="19" t="n">
        <v>2.436793690810393</v>
      </c>
      <c r="L257" s="22" t="n">
        <v>11.70647641198922</v>
      </c>
      <c r="M257" s="32" t="n">
        <v>0.399813091706673</v>
      </c>
      <c r="N257" s="23" t="n">
        <v>23.41323960765243</v>
      </c>
      <c r="O257" s="24" t="n">
        <v>0.2003885198842634</v>
      </c>
      <c r="P257" s="25" t="n">
        <v>2.000024497864592</v>
      </c>
      <c r="Q257" s="26" t="n">
        <v>0.1049599925863892</v>
      </c>
      <c r="R257" s="26" t="n">
        <v>0.01067999290711713</v>
      </c>
      <c r="S257" s="27" t="n">
        <v>0.03005133408543126</v>
      </c>
      <c r="T257" s="128" t="n">
        <v>9601.610000000001</v>
      </c>
      <c r="U257" s="117">
        <f>C257*S257</f>
        <v/>
      </c>
      <c r="V257" s="102">
        <f>(1+S257)*Q257*(1-U257)+S257</f>
        <v/>
      </c>
      <c r="W257" s="102">
        <f>V257+I257/3</f>
        <v/>
      </c>
      <c r="X257" s="117">
        <f>V257+I257/5</f>
        <v/>
      </c>
      <c r="Y257" s="117">
        <f>V257-E257</f>
        <v/>
      </c>
      <c r="Z257" s="100" t="n"/>
      <c r="AA257" s="100" t="n"/>
      <c r="AB257" s="100" t="n"/>
      <c r="AC257" s="117" t="n"/>
      <c r="AD257" s="117" t="n"/>
      <c r="AE257" s="117" t="n"/>
      <c r="AF257" s="117" t="n"/>
      <c r="AH257" s="27" t="n"/>
      <c r="AI257" s="58" t="n"/>
    </row>
    <row customFormat="1" r="258" s="128">
      <c r="A258" s="128" t="inlineStr">
        <is>
          <t>399324</t>
        </is>
      </c>
      <c r="B258" s="128" t="inlineStr">
        <is>
          <t>pe equal</t>
        </is>
      </c>
      <c r="C258" s="157" t="n">
        <v>103.9280508832265</v>
      </c>
      <c r="D258" s="19" t="n">
        <v>10.1395954547185</v>
      </c>
      <c r="E258" s="29" t="n">
        <v>0.9024363935573916</v>
      </c>
      <c r="F258" s="20" t="n">
        <v>103.9280508832265</v>
      </c>
      <c r="G258" s="39" t="n">
        <v>0</v>
      </c>
      <c r="H258" s="21" t="n">
        <v>-0.86924090498832</v>
      </c>
      <c r="I258" s="21" t="n">
        <v>-0.8427468914017067</v>
      </c>
      <c r="J258" s="21" t="n">
        <v>-0.8140606273722855</v>
      </c>
      <c r="K258" s="19" t="n">
        <v>10.24972360557671</v>
      </c>
      <c r="L258" s="22" t="n">
        <v>10.1395954547185</v>
      </c>
      <c r="M258" s="32" t="n">
        <v>0.9024363935573916</v>
      </c>
      <c r="N258" s="23" t="n">
        <v>103.9280508832265</v>
      </c>
      <c r="O258" s="24" t="n">
        <v>0</v>
      </c>
      <c r="P258" s="25" t="n">
        <v>10.24972360557671</v>
      </c>
      <c r="Q258" s="26" t="n"/>
      <c r="R258" s="26" t="n"/>
      <c r="S258" s="27" t="n">
        <v>0.03795354165677813</v>
      </c>
      <c r="U258" s="117" t="n"/>
      <c r="V258" s="117">
        <f>(1+S258)*R257*(1-U258)+S258</f>
        <v/>
      </c>
      <c r="W258" s="117">
        <f>V258+I258/3</f>
        <v/>
      </c>
      <c r="X258" s="117">
        <f>V258+I258/5</f>
        <v/>
      </c>
      <c r="Y258" s="117">
        <f>V258-E258</f>
        <v/>
      </c>
      <c r="Z258" s="100" t="n"/>
      <c r="AA258" s="100" t="n"/>
      <c r="AB258" s="100" t="n"/>
      <c r="AC258" s="117" t="n"/>
      <c r="AD258" s="117" t="n"/>
      <c r="AE258" s="117" t="n"/>
      <c r="AF258" s="117" t="n"/>
      <c r="AH258" s="27" t="n"/>
      <c r="AI258" s="58" t="n"/>
    </row>
    <row customFormat="1" r="259" s="128">
      <c r="A259" s="128" t="inlineStr">
        <is>
          <t>2012-10-28T16:00:00.000Z</t>
        </is>
      </c>
      <c r="B259" s="128" t="inlineStr">
        <is>
          <t>pb weighted</t>
        </is>
      </c>
      <c r="C259" s="159" t="n">
        <v>2.04721505990368</v>
      </c>
      <c r="D259" s="19" t="n">
        <v>1.525620766574918</v>
      </c>
      <c r="E259" s="29" t="n">
        <v>0.2547823643664006</v>
      </c>
      <c r="F259" s="20" t="n">
        <v>3.819406626369734</v>
      </c>
      <c r="G259" s="39" t="n">
        <v>0.8656596960308769</v>
      </c>
      <c r="H259" s="21" t="n">
        <v>-0.06873624860402638</v>
      </c>
      <c r="I259" s="21" t="n">
        <v>0.06195201890776803</v>
      </c>
      <c r="J259" s="21" t="n">
        <v>0.2562873692947245</v>
      </c>
      <c r="K259" s="19" t="n">
        <v>2.503509856479248</v>
      </c>
      <c r="L259" s="22" t="n">
        <v>1.600063695376103</v>
      </c>
      <c r="M259" s="32" t="n">
        <v>0.2184193411260932</v>
      </c>
      <c r="N259" s="23" t="n">
        <v>3.725355178903949</v>
      </c>
      <c r="O259" s="24" t="n">
        <v>0.8197185297568221</v>
      </c>
      <c r="P259" s="25" t="n">
        <v>2.328254299919158</v>
      </c>
      <c r="Q259" s="26" t="n"/>
      <c r="R259" s="26" t="n"/>
      <c r="S259" s="27" t="n"/>
      <c r="V259" s="99" t="n"/>
      <c r="W259" s="102">
        <f>V257+I259/3</f>
        <v/>
      </c>
      <c r="X259" s="117">
        <f>V257+I259/5</f>
        <v/>
      </c>
      <c r="Y259" s="117">
        <f>V257-E259</f>
        <v/>
      </c>
      <c r="Z259" s="100" t="n"/>
      <c r="AA259" s="100" t="n"/>
      <c r="AB259" s="100" t="n"/>
      <c r="AC259" s="117" t="n"/>
      <c r="AD259" s="117" t="n"/>
      <c r="AE259" s="117" t="n"/>
      <c r="AF259" s="117" t="n"/>
      <c r="AH259" s="27" t="n"/>
      <c r="AI259" s="58" t="n"/>
    </row>
    <row customFormat="1" r="260" s="128">
      <c r="B260" s="128" t="inlineStr">
        <is>
          <t>pb equal</t>
        </is>
      </c>
      <c r="C260" s="160" t="n">
        <v>1.109950846283367</v>
      </c>
      <c r="D260" s="19" t="n">
        <v>0.9680524479682322</v>
      </c>
      <c r="E260" s="29" t="n">
        <v>0.1278420560606593</v>
      </c>
      <c r="F260" s="20" t="n">
        <v>3.613519300182552</v>
      </c>
      <c r="G260" s="39" t="n">
        <v>2.255566958016475</v>
      </c>
      <c r="H260" s="21" t="n">
        <v>0.321704633931315</v>
      </c>
      <c r="I260" s="21" t="n">
        <v>0.5742721460272902</v>
      </c>
      <c r="J260" s="21" t="n">
        <v>0.8421307512438361</v>
      </c>
      <c r="K260" s="19" t="n">
        <v>3.732772235395591</v>
      </c>
      <c r="L260" s="22" t="n">
        <v>0.9680524479682322</v>
      </c>
      <c r="M260" s="32" t="n">
        <v>0.1278420560606593</v>
      </c>
      <c r="N260" s="23" t="n">
        <v>2.064881558514049</v>
      </c>
      <c r="O260" s="24" t="n">
        <v>0.8603360368868909</v>
      </c>
      <c r="P260" s="25" t="n">
        <v>2.133026534717064</v>
      </c>
      <c r="Q260" s="26" t="n"/>
      <c r="R260" s="26" t="n"/>
      <c r="S260" s="27" t="n"/>
      <c r="T260" s="58">
        <f>T257/C259</f>
        <v/>
      </c>
      <c r="U260" s="58" t="n"/>
      <c r="V260" s="58">
        <f>T257/C257</f>
        <v/>
      </c>
      <c r="W260" s="117">
        <f>V258+I260/3</f>
        <v/>
      </c>
      <c r="X260" s="117">
        <f>V258+I260/5</f>
        <v/>
      </c>
      <c r="Y260" s="117">
        <f>V258-E260</f>
        <v/>
      </c>
      <c r="Z260" s="100" t="n"/>
      <c r="AA260" s="100" t="n"/>
      <c r="AB260" s="100" t="n"/>
      <c r="AC260" s="117" t="n"/>
      <c r="AD260" s="117" t="n"/>
      <c r="AE260" s="117" t="n"/>
      <c r="AF260" s="117" t="n"/>
      <c r="AH260" s="27" t="n"/>
      <c r="AI260" s="58" t="n"/>
    </row>
    <row r="261">
      <c r="E261" s="16" t="n"/>
      <c r="F261" s="16" t="n"/>
      <c r="G261" s="16" t="n"/>
      <c r="H261" s="16" t="n"/>
      <c r="I261" s="16" t="n"/>
      <c r="J261" s="16" t="n"/>
      <c r="M261" s="14" t="n"/>
      <c r="O261" s="78" t="n"/>
      <c r="P261" s="7" t="n"/>
      <c r="T261" s="99" t="n"/>
    </row>
    <row r="262">
      <c r="A262" t="inlineStr">
        <is>
          <t>深证红利</t>
        </is>
      </c>
      <c r="B262" t="inlineStr">
        <is>
          <t>pe weighted</t>
        </is>
      </c>
      <c r="C262" s="164" t="n">
        <v>6.655505487814199</v>
      </c>
      <c r="D262" s="88" t="n">
        <v>5.957734488721845</v>
      </c>
      <c r="E262" s="89" t="n">
        <v>0.1048411725255021</v>
      </c>
      <c r="F262" s="90" t="n">
        <v>13.96247570491461</v>
      </c>
      <c r="G262" s="91" t="n">
        <v>1.097883583820793</v>
      </c>
      <c r="H262" s="92" t="n">
        <v>0.04657035588421365</v>
      </c>
      <c r="I262" s="92" t="n">
        <v>0.2579590383719739</v>
      </c>
      <c r="J262" s="92" t="n">
        <v>0.4593778562861714</v>
      </c>
      <c r="K262" s="88" t="n">
        <v>2.343588109095153</v>
      </c>
      <c r="L262" s="93" t="n">
        <v>5.957734488721845</v>
      </c>
      <c r="M262" s="94" t="n">
        <v>0.1048411725255021</v>
      </c>
      <c r="N262" s="95" t="n">
        <v>11.30018865152276</v>
      </c>
      <c r="O262" s="96" t="n">
        <v>0.6978708337349699</v>
      </c>
      <c r="P262" s="97" t="n">
        <v>1.896725789461469</v>
      </c>
      <c r="Q262" s="98" t="n">
        <v>0.1171650572581703</v>
      </c>
      <c r="R262" s="98" t="n">
        <v>0.1143152269608461</v>
      </c>
      <c r="S262" s="99" t="n">
        <v>0.05217893172996367</v>
      </c>
      <c r="T262" t="n">
        <v>4271.4</v>
      </c>
      <c r="U262" s="117">
        <f>C262*S262</f>
        <v/>
      </c>
      <c r="V262" s="102">
        <f>(1+S262)*Q262*(1-U262)+S262</f>
        <v/>
      </c>
      <c r="W262" s="102">
        <f>V262+I262/3</f>
        <v/>
      </c>
      <c r="X262" s="117">
        <f>V262+I262/5</f>
        <v/>
      </c>
      <c r="Y262" s="117">
        <f>V262-E262</f>
        <v/>
      </c>
      <c r="Z262" s="100" t="n"/>
      <c r="AA262" s="100" t="n"/>
      <c r="AB262" s="100" t="n"/>
      <c r="AI262" s="58" t="n"/>
    </row>
    <row r="263">
      <c r="A263" t="inlineStr">
        <is>
          <t>000919</t>
        </is>
      </c>
      <c r="B263" t="inlineStr">
        <is>
          <t>pe equal</t>
        </is>
      </c>
      <c r="C263" s="164" t="n">
        <v>7.684417703102206</v>
      </c>
      <c r="D263" s="88" t="n">
        <v>6.999231814565316</v>
      </c>
      <c r="E263" s="89" t="n">
        <v>0.08916562256373439</v>
      </c>
      <c r="F263" s="90" t="n">
        <v>20.265599227196</v>
      </c>
      <c r="G263" s="91" t="n">
        <v>1.637232905625987</v>
      </c>
      <c r="H263" s="92" t="n">
        <v>0.1245734631964199</v>
      </c>
      <c r="I263" s="92" t="n">
        <v>0.2501512463414692</v>
      </c>
      <c r="J263" s="92" t="n">
        <v>0.6458267604965238</v>
      </c>
      <c r="K263" s="88" t="n">
        <v>2.895403347696462</v>
      </c>
      <c r="L263" s="93" t="n">
        <v>6.999231814565316</v>
      </c>
      <c r="M263" s="94" t="n">
        <v>0.08916562256373439</v>
      </c>
      <c r="N263" s="95" t="n">
        <v>12.82391161202334</v>
      </c>
      <c r="O263" s="96" t="n">
        <v>0.6688202161168724</v>
      </c>
      <c r="P263" s="97" t="n">
        <v>1.832188438927961</v>
      </c>
      <c r="Q263" s="98" t="n"/>
      <c r="R263" s="98" t="n"/>
      <c r="S263" s="99" t="n">
        <v>0.04320502422202023</v>
      </c>
      <c r="U263" s="117" t="n"/>
      <c r="V263" s="117">
        <f>(1+S263)*R262*(1-U263)+S263</f>
        <v/>
      </c>
      <c r="W263" s="117">
        <f>V263+I263/3</f>
        <v/>
      </c>
      <c r="X263" s="117">
        <f>V263+I263/5</f>
        <v/>
      </c>
      <c r="Y263" s="117">
        <f>V263-E263</f>
        <v/>
      </c>
      <c r="Z263" s="100" t="n"/>
      <c r="AA263" s="100" t="n"/>
      <c r="AB263" s="100" t="n"/>
      <c r="AI263" s="58" t="n"/>
    </row>
    <row r="264">
      <c r="A264" t="inlineStr">
        <is>
          <t>2006-01-23T16:00:00.000Z</t>
        </is>
      </c>
      <c r="B264" t="inlineStr">
        <is>
          <t>pb weighted</t>
        </is>
      </c>
      <c r="C264" s="164" t="n">
        <v>0.7797926815618169</v>
      </c>
      <c r="D264" s="88" t="n">
        <v>0.6917108659689348</v>
      </c>
      <c r="E264" s="89" t="n">
        <v>0.112955427353417</v>
      </c>
      <c r="F264" s="90" t="n">
        <v>1.935341701113203</v>
      </c>
      <c r="G264" s="91" t="n">
        <v>1.481866971663521</v>
      </c>
      <c r="H264" s="92" t="n">
        <v>0.180600292825615</v>
      </c>
      <c r="I264" s="92" t="n">
        <v>0.3808167729267009</v>
      </c>
      <c r="J264" s="92" t="n">
        <v>0.6355339710480188</v>
      </c>
      <c r="K264" s="88" t="n">
        <v>2.797905593693711</v>
      </c>
      <c r="L264" s="93" t="n">
        <v>0.6917108659689348</v>
      </c>
      <c r="M264" s="94" t="n">
        <v>0.112955427353417</v>
      </c>
      <c r="N264" s="95" t="n">
        <v>1.420492826102008</v>
      </c>
      <c r="O264" s="96" t="n">
        <v>0.8216288248011732</v>
      </c>
      <c r="P264" s="97" t="n">
        <v>2.053593337893008</v>
      </c>
      <c r="Q264" s="98" t="n"/>
      <c r="R264" s="98" t="n"/>
      <c r="U264" s="128" t="n"/>
      <c r="W264" s="102">
        <f>V262+I264/3</f>
        <v/>
      </c>
      <c r="X264" s="117">
        <f>V262+I264/5</f>
        <v/>
      </c>
      <c r="Y264" s="117">
        <f>V262-E264</f>
        <v/>
      </c>
      <c r="Z264" s="100" t="n"/>
      <c r="AA264" s="100" t="n"/>
      <c r="AB264" s="100" t="n"/>
      <c r="AI264" s="58" t="n"/>
    </row>
    <row r="265">
      <c r="B265" t="inlineStr">
        <is>
          <t>pb equal</t>
        </is>
      </c>
      <c r="C265" s="164" t="n">
        <v>0.8784459537920721</v>
      </c>
      <c r="D265" s="88" t="n">
        <v>0.7626592383198981</v>
      </c>
      <c r="E265" s="89" t="n">
        <v>0.1318085819307908</v>
      </c>
      <c r="F265" s="90" t="n">
        <v>2.464029185067734</v>
      </c>
      <c r="G265" s="91" t="n">
        <v>1.804986663585872</v>
      </c>
      <c r="H265" s="92" t="n">
        <v>0.159183963614774</v>
      </c>
      <c r="I265" s="92" t="n">
        <v>0.3109610996308263</v>
      </c>
      <c r="J265" s="92" t="n">
        <v>0.7545047537712657</v>
      </c>
      <c r="K265" s="88" t="n">
        <v>3.230838966162493</v>
      </c>
      <c r="L265" s="93" t="n">
        <v>0.7626592383198981</v>
      </c>
      <c r="M265" s="94" t="n">
        <v>0.1318085819307908</v>
      </c>
      <c r="N265" s="95" t="n">
        <v>1.534141470034578</v>
      </c>
      <c r="O265" s="96" t="n">
        <v>0.7464267020776885</v>
      </c>
      <c r="P265" s="97" t="n">
        <v>2.011568722899389</v>
      </c>
      <c r="Q265" s="98" t="n"/>
      <c r="R265" s="98" t="n"/>
      <c r="U265" s="128" t="n"/>
      <c r="W265" s="117">
        <f>V263+I265/3</f>
        <v/>
      </c>
      <c r="X265" s="117">
        <f>V263+I265/5</f>
        <v/>
      </c>
      <c r="Y265" s="117">
        <f>V263-E265</f>
        <v/>
      </c>
      <c r="Z265" s="100" t="n"/>
      <c r="AA265" s="100" t="n"/>
      <c r="AB265" s="100" t="n"/>
      <c r="AI265" s="58" t="n"/>
    </row>
    <row r="266">
      <c r="C266" s="87" t="n"/>
      <c r="D266" s="88" t="n"/>
      <c r="F266" s="90" t="n"/>
      <c r="K266" s="88" t="n"/>
      <c r="L266" s="93" t="n"/>
      <c r="M266" s="94" t="n"/>
      <c r="N266" s="95" t="n"/>
      <c r="P266" s="97" t="n"/>
      <c r="Q266" s="98" t="n"/>
      <c r="R266" s="98" t="n"/>
      <c r="Z266" s="100" t="n"/>
      <c r="AA266" s="100" t="n"/>
      <c r="AB266" s="100" t="n"/>
      <c r="AI266" s="58" t="n"/>
    </row>
    <row r="267">
      <c r="A267" t="inlineStr">
        <is>
          <t>300价值</t>
        </is>
      </c>
      <c r="B267" t="inlineStr">
        <is>
          <t>pe weighted</t>
        </is>
      </c>
      <c r="C267" s="162" t="n">
        <v>18.57335626577899</v>
      </c>
      <c r="D267" s="88" t="n">
        <v>13.06174051687291</v>
      </c>
      <c r="E267" s="89" t="n">
        <v>0.2967485073799564</v>
      </c>
      <c r="F267" s="90" t="n">
        <v>34.72075792452814</v>
      </c>
      <c r="G267" s="91" t="n">
        <v>0.869385232678727</v>
      </c>
      <c r="H267" s="92" t="n">
        <v>-0.1008140345252614</v>
      </c>
      <c r="I267" s="92" t="n">
        <v>0.05111686133257964</v>
      </c>
      <c r="J267" s="92" t="n">
        <v>0.5073475202267943</v>
      </c>
      <c r="K267" s="88" t="n">
        <v>2.658203007453449</v>
      </c>
      <c r="L267" s="93" t="n">
        <v>13.06174051687291</v>
      </c>
      <c r="M267" s="94" t="n">
        <v>0.2967485073799564</v>
      </c>
      <c r="N267" s="95" t="n">
        <v>28.04625817474892</v>
      </c>
      <c r="O267" s="96" t="n">
        <v>0.5100263933677704</v>
      </c>
      <c r="P267" s="97" t="n">
        <v>2.147206808963881</v>
      </c>
      <c r="Q267" s="98" t="n">
        <v>0.07255265185703885</v>
      </c>
      <c r="R267" s="98" t="n">
        <v>0.06858743659901276</v>
      </c>
      <c r="S267" s="99" t="n">
        <v>0.0253275611980224</v>
      </c>
      <c r="T267" t="n">
        <v>15739.03</v>
      </c>
      <c r="U267" s="117">
        <f>C267*S267</f>
        <v/>
      </c>
      <c r="V267" s="102">
        <f>(1+S267)*Q267*(1-U267)+S267</f>
        <v/>
      </c>
      <c r="W267" s="102">
        <f>V267+I267/3</f>
        <v/>
      </c>
      <c r="X267" s="117">
        <f>V267+I267/5</f>
        <v/>
      </c>
      <c r="Y267" s="117">
        <f>V267-E267</f>
        <v/>
      </c>
      <c r="Z267" s="100" t="n"/>
      <c r="AA267" s="100" t="n"/>
      <c r="AB267" s="100" t="n"/>
      <c r="AI267" s="58" t="n"/>
    </row>
    <row r="268">
      <c r="A268" t="inlineStr">
        <is>
          <t>930782</t>
        </is>
      </c>
      <c r="B268" s="129" t="inlineStr">
        <is>
          <t>pe equal</t>
        </is>
      </c>
      <c r="C268" s="162" t="n">
        <v>18.96650993313859</v>
      </c>
      <c r="D268" s="88" t="n">
        <v>12.83855857740758</v>
      </c>
      <c r="E268" s="89" t="n">
        <v>0.3230932510690411</v>
      </c>
      <c r="F268" s="90" t="n">
        <v>41.31176229481911</v>
      </c>
      <c r="G268" s="91" t="n">
        <v>1.178142549180255</v>
      </c>
      <c r="H268" s="92" t="n">
        <v>-0.1434685818300738</v>
      </c>
      <c r="I268" s="92" t="n">
        <v>0.004732639956352092</v>
      </c>
      <c r="J268" s="92" t="n">
        <v>0.5248736710441384</v>
      </c>
      <c r="K268" s="88" t="n">
        <v>3.217788199955463</v>
      </c>
      <c r="L268" s="93" t="n">
        <v>12.83855857740758</v>
      </c>
      <c r="M268" s="94" t="n">
        <v>0.3230932510690411</v>
      </c>
      <c r="N268" s="95" t="n">
        <v>36.47170652772584</v>
      </c>
      <c r="O268" s="96" t="n">
        <v>0.9229529658486029</v>
      </c>
      <c r="P268" s="97" t="n">
        <v>2.840794494789022</v>
      </c>
      <c r="Q268" s="98" t="n"/>
      <c r="R268" s="98" t="n"/>
      <c r="S268" s="99" t="n">
        <v>0.02603792791964293</v>
      </c>
      <c r="U268" s="117" t="n"/>
      <c r="V268" s="117">
        <f>(1+S268)*R267*(1-U268)+S268</f>
        <v/>
      </c>
      <c r="W268" s="117">
        <f>V268+I268/3</f>
        <v/>
      </c>
      <c r="X268" s="117">
        <f>V268+I268/5</f>
        <v/>
      </c>
      <c r="Y268" s="117">
        <f>V268-E268</f>
        <v/>
      </c>
      <c r="Z268" s="100" t="n"/>
      <c r="AA268" s="100" t="n"/>
      <c r="AB268" s="100" t="n"/>
      <c r="AI268" s="58" t="n"/>
    </row>
    <row r="269">
      <c r="A269" t="inlineStr">
        <is>
          <t>2008-01-20T16:00:00.000Z</t>
        </is>
      </c>
      <c r="B269" t="inlineStr">
        <is>
          <t>pb weighted</t>
        </is>
      </c>
      <c r="C269" s="164" t="n">
        <v>1.347546250967814</v>
      </c>
      <c r="D269" s="88" t="n">
        <v>1.099649574424937</v>
      </c>
      <c r="E269" s="89" t="n">
        <v>0.183961534800632</v>
      </c>
      <c r="F269" s="90" t="n">
        <v>2.726705486861975</v>
      </c>
      <c r="G269" s="91" t="n">
        <v>1.023459665969641</v>
      </c>
      <c r="H269" s="92" t="n">
        <v>0.01257498959039305</v>
      </c>
      <c r="I269" s="92" t="n">
        <v>0.1128546810502744</v>
      </c>
      <c r="J269" s="92" t="n">
        <v>0.6152807130813196</v>
      </c>
      <c r="K269" s="88" t="n">
        <v>2.479613097006751</v>
      </c>
      <c r="L269" s="93" t="n">
        <v>1.099649574424937</v>
      </c>
      <c r="M269" s="94" t="n">
        <v>0.183961534800632</v>
      </c>
      <c r="N269" s="95" t="n">
        <v>2.062399684291021</v>
      </c>
      <c r="O269" s="96" t="n">
        <v>0.5304852674331555</v>
      </c>
      <c r="P269" s="97" t="n">
        <v>1.875506281507502</v>
      </c>
      <c r="Q269" s="98" t="n"/>
      <c r="R269" s="98" t="n"/>
      <c r="U269" s="128" t="n"/>
      <c r="W269" s="102">
        <f>V267+I269/3</f>
        <v/>
      </c>
      <c r="X269" s="117">
        <f>V267+I269/5</f>
        <v/>
      </c>
      <c r="Y269" s="117">
        <f>V267-E269</f>
        <v/>
      </c>
      <c r="Z269" s="100" t="n"/>
      <c r="AA269" s="100" t="n"/>
      <c r="AB269" s="100" t="n"/>
      <c r="AI269" s="58" t="n"/>
    </row>
    <row r="270">
      <c r="B270" t="inlineStr">
        <is>
          <t>pb equal</t>
        </is>
      </c>
      <c r="C270" s="162" t="n">
        <v>1.300864297543689</v>
      </c>
      <c r="D270" s="88" t="n">
        <v>1.096962717603419</v>
      </c>
      <c r="E270" s="89" t="n">
        <v>0.1567431593943194</v>
      </c>
      <c r="F270" s="90" t="n">
        <v>2.51152880519171</v>
      </c>
      <c r="G270" s="91" t="n">
        <v>0.9306616454414316</v>
      </c>
      <c r="H270" s="92" t="n">
        <v>-0.009137817672088211</v>
      </c>
      <c r="I270" s="92" t="n">
        <v>0.07276149030619683</v>
      </c>
      <c r="J270" s="92" t="n">
        <v>0.6338119807973548</v>
      </c>
      <c r="K270" s="88" t="n">
        <v>2.289529776070014</v>
      </c>
      <c r="L270" s="93" t="n">
        <v>1.096962717603419</v>
      </c>
      <c r="M270" s="94" t="n">
        <v>0.1567431593943194</v>
      </c>
      <c r="N270" s="95" t="n">
        <v>1.937635517508153</v>
      </c>
      <c r="O270" s="96" t="n">
        <v>0.4894985750372465</v>
      </c>
      <c r="P270" s="97" t="n">
        <v>1.766364058152667</v>
      </c>
      <c r="Q270" s="98" t="n"/>
      <c r="R270" s="98" t="n"/>
      <c r="T270" s="58">
        <f>T267/C269</f>
        <v/>
      </c>
      <c r="U270" s="58" t="n"/>
      <c r="V270" s="58">
        <f>T267/C267</f>
        <v/>
      </c>
      <c r="W270" s="117">
        <f>V268+I270/3</f>
        <v/>
      </c>
      <c r="X270" s="117">
        <f>V268+I270/5</f>
        <v/>
      </c>
      <c r="Y270" s="117">
        <f>V268-E270</f>
        <v/>
      </c>
      <c r="Z270" s="100" t="n"/>
      <c r="AA270" s="100" t="n"/>
      <c r="AB270" s="100" t="n"/>
      <c r="AI270" s="58" t="n"/>
    </row>
    <row r="271">
      <c r="C271" s="124" t="n"/>
      <c r="D271" s="88" t="n"/>
      <c r="F271" s="90" t="n"/>
      <c r="K271" s="88" t="n"/>
      <c r="L271" s="93" t="n"/>
      <c r="M271" s="94" t="n"/>
      <c r="N271" s="95" t="n"/>
      <c r="P271" s="97" t="n"/>
      <c r="Q271" s="98" t="n"/>
      <c r="R271" s="98" t="n"/>
      <c r="T271" s="58" t="n"/>
      <c r="U271" s="58" t="n"/>
      <c r="V271" s="58" t="n"/>
      <c r="W271" s="117" t="n"/>
      <c r="X271" s="117" t="n"/>
      <c r="Y271" s="117" t="n"/>
      <c r="Z271" s="100" t="n"/>
      <c r="AA271" s="100" t="n"/>
      <c r="AB271" s="100" t="n"/>
      <c r="AI271" s="58" t="n"/>
    </row>
    <row r="272">
      <c r="A272" t="inlineStr">
        <is>
          <t>500SNLV</t>
        </is>
      </c>
      <c r="B272" t="inlineStr">
        <is>
          <t>pe weighted</t>
        </is>
      </c>
      <c r="C272" s="162" t="n">
        <v>8.215821007314309</v>
      </c>
      <c r="D272" s="88" t="n">
        <v>6.318815595196133</v>
      </c>
      <c r="E272" s="89" t="n">
        <v>0.2308966335110425</v>
      </c>
      <c r="F272" s="90" t="n">
        <v>13.50098253401791</v>
      </c>
      <c r="G272" s="91" t="n">
        <v>0.6432907340603424</v>
      </c>
      <c r="H272" s="92" t="n">
        <v>-0.03195588282397399</v>
      </c>
      <c r="I272" s="92" t="n">
        <v>0.08185466529619223</v>
      </c>
      <c r="J272" s="92" t="n">
        <v>0.1887858251207151</v>
      </c>
      <c r="K272" s="88" t="n">
        <v>2.136631830857987</v>
      </c>
      <c r="L272" s="93" t="n">
        <v>6.318815595196133</v>
      </c>
      <c r="M272" s="94" t="n">
        <v>0.2308966335110425</v>
      </c>
      <c r="N272" s="95" t="n">
        <v>13.50098253401791</v>
      </c>
      <c r="O272" s="96" t="n">
        <v>0.6432907340603424</v>
      </c>
      <c r="P272" s="97" t="n">
        <v>2.136631830857987</v>
      </c>
      <c r="Q272" s="98" t="n">
        <v>0.1362492317376461</v>
      </c>
      <c r="R272" s="98" t="n">
        <v>0.1480359549989188</v>
      </c>
      <c r="S272" s="99" t="n">
        <v>0.0459176798853212</v>
      </c>
      <c r="T272" t="n">
        <v>5220.45</v>
      </c>
      <c r="U272" s="117" t="n"/>
      <c r="V272" s="102" t="n"/>
      <c r="W272" s="102" t="n"/>
      <c r="X272" s="117" t="n"/>
      <c r="Y272" s="117" t="n"/>
      <c r="Z272" s="100" t="n"/>
      <c r="AA272" s="100" t="n"/>
      <c r="AB272" s="100" t="n"/>
      <c r="AI272" s="58" t="n"/>
    </row>
    <row r="273">
      <c r="A273" t="inlineStr">
        <is>
          <t>950090</t>
        </is>
      </c>
      <c r="B273" s="129" t="inlineStr">
        <is>
          <t>pe equal</t>
        </is>
      </c>
      <c r="C273" s="164" t="n">
        <v>8.810642013922632</v>
      </c>
      <c r="D273" s="88" t="n">
        <v>7.052410197777807</v>
      </c>
      <c r="E273" s="89" t="n">
        <v>0.1995577408963451</v>
      </c>
      <c r="F273" s="90" t="n">
        <v>13.41400309171292</v>
      </c>
      <c r="G273" s="91" t="n">
        <v>0.5224773711740902</v>
      </c>
      <c r="H273" s="92" t="n">
        <v>0.01494505497505805</v>
      </c>
      <c r="I273" s="92" t="n">
        <v>0.1121620519769169</v>
      </c>
      <c r="J273" s="92" t="n">
        <v>0.3484539132362261</v>
      </c>
      <c r="K273" s="88" t="n">
        <v>1.90204521795111</v>
      </c>
      <c r="L273" s="93" t="n">
        <v>7.052410197777807</v>
      </c>
      <c r="M273" s="94" t="n">
        <v>0.1995577408963451</v>
      </c>
      <c r="N273" s="95" t="n">
        <v>12.39866710884003</v>
      </c>
      <c r="O273" s="96" t="n">
        <v>0.4072376438910554</v>
      </c>
      <c r="P273" s="97" t="n">
        <v>1.75807514893941</v>
      </c>
      <c r="Q273" s="98" t="n"/>
      <c r="R273" s="98" t="n"/>
      <c r="S273" s="99" t="n">
        <v>0.03709457062784965</v>
      </c>
      <c r="U273" s="117" t="n"/>
      <c r="V273" s="117" t="n"/>
      <c r="W273" s="117" t="n"/>
      <c r="X273" s="117" t="n"/>
      <c r="Y273" s="117" t="n"/>
      <c r="Z273" s="100" t="n"/>
      <c r="AA273" s="100" t="n"/>
      <c r="AB273" s="100" t="n"/>
      <c r="AI273" s="58" t="n"/>
    </row>
    <row r="274">
      <c r="A274" t="inlineStr">
        <is>
          <t>2016-02-03T16:00:00.000Z</t>
        </is>
      </c>
      <c r="B274" t="inlineStr">
        <is>
          <t>pb weighted</t>
        </is>
      </c>
      <c r="C274" s="163" t="n">
        <v>1.119399300340588</v>
      </c>
      <c r="D274" s="88" t="n">
        <v>0.8294389879156487</v>
      </c>
      <c r="E274" s="89" t="n">
        <v>0.2590320650876914</v>
      </c>
      <c r="F274" s="90" t="n">
        <v>1.540298989330847</v>
      </c>
      <c r="G274" s="91" t="n">
        <v>0.3760049598585566</v>
      </c>
      <c r="H274" s="92" t="n">
        <v>-0.1242560251946119</v>
      </c>
      <c r="I274" s="92" t="n">
        <v>-0.0618044379247592</v>
      </c>
      <c r="J274" s="92" t="n">
        <v>0.0321163889995093</v>
      </c>
      <c r="K274" s="88" t="n">
        <v>1.857037119995486</v>
      </c>
      <c r="L274" s="93" t="n">
        <v>0.8294389879156487</v>
      </c>
      <c r="M274" s="94" t="n">
        <v>0.2590320650876914</v>
      </c>
      <c r="N274" s="95" t="n">
        <v>1.540298989330847</v>
      </c>
      <c r="O274" s="96" t="n">
        <v>0.3760049598585566</v>
      </c>
      <c r="P274" s="97" t="n">
        <v>1.857037119995486</v>
      </c>
      <c r="Q274" s="98" t="n"/>
      <c r="R274" s="98" t="n"/>
      <c r="U274" s="128" t="n"/>
      <c r="W274" s="102" t="n"/>
      <c r="X274" s="117" t="n"/>
      <c r="Y274" s="117" t="n"/>
      <c r="Z274" s="100" t="n"/>
      <c r="AA274" s="100" t="n"/>
      <c r="AB274" s="100" t="n"/>
      <c r="AI274" s="58" t="n"/>
    </row>
    <row r="275">
      <c r="B275" t="inlineStr">
        <is>
          <t>pb equal</t>
        </is>
      </c>
      <c r="C275" s="161" t="n">
        <v>1.304291804684633</v>
      </c>
      <c r="D275" s="88" t="n">
        <v>0.8969337805346431</v>
      </c>
      <c r="E275" s="89" t="n">
        <v>0.3123212326312869</v>
      </c>
      <c r="F275" s="90" t="n">
        <v>1.440712489781026</v>
      </c>
      <c r="G275" s="91" t="n">
        <v>0.1045936841789614</v>
      </c>
      <c r="H275" s="92" t="n">
        <v>-0.1990489654237878</v>
      </c>
      <c r="I275" s="92" t="n">
        <v>-0.1293678469397519</v>
      </c>
      <c r="J275" s="92" t="n">
        <v>-0.02677804083246638</v>
      </c>
      <c r="K275" s="88" t="n">
        <v>1.606264053208307</v>
      </c>
      <c r="L275" s="93" t="n">
        <v>0.8969337805346431</v>
      </c>
      <c r="M275" s="94" t="n">
        <v>0.3123212326312869</v>
      </c>
      <c r="N275" s="95" t="n">
        <v>1.37726615358035</v>
      </c>
      <c r="O275" s="96" t="n">
        <v>0.05594940383249658</v>
      </c>
      <c r="P275" s="97" t="n">
        <v>1.535527129727895</v>
      </c>
      <c r="Q275" s="98" t="n"/>
      <c r="R275" s="98" t="n"/>
      <c r="U275" s="128" t="n"/>
      <c r="W275" s="117" t="n"/>
      <c r="X275" s="117" t="n"/>
      <c r="Y275" s="117" t="n"/>
      <c r="Z275" s="100" t="n"/>
      <c r="AA275" s="100" t="n"/>
      <c r="AB275" s="100" t="n"/>
      <c r="AI275" s="58" t="n"/>
    </row>
    <row r="276">
      <c r="E276" s="16" t="n"/>
      <c r="F276" s="16" t="n"/>
      <c r="G276" s="16" t="n"/>
      <c r="H276" s="16" t="n"/>
      <c r="I276" s="16" t="n"/>
      <c r="J276" s="16" t="n"/>
      <c r="M276" s="14" t="n"/>
      <c r="O276" s="78" t="n"/>
      <c r="P276" s="7" t="n"/>
      <c r="Q276" s="99" t="n"/>
      <c r="T276" s="99" t="n"/>
      <c r="W276" s="117" t="n"/>
      <c r="X276" s="117" t="n"/>
      <c r="Y276" s="117" t="n"/>
      <c r="Z276" s="100" t="n"/>
      <c r="AA276" s="100" t="n"/>
      <c r="AB276" s="100" t="n"/>
    </row>
    <row r="277">
      <c r="A277" t="inlineStr">
        <is>
          <t>上证50优选</t>
        </is>
      </c>
      <c r="B277" t="inlineStr">
        <is>
          <t>pe weighted</t>
        </is>
      </c>
      <c r="C277" s="162" t="n">
        <v>43.45205759591095</v>
      </c>
      <c r="D277" s="88" t="n">
        <v>30.7926876522494</v>
      </c>
      <c r="E277" s="89" t="n">
        <v>0.291341092782977</v>
      </c>
      <c r="F277" s="90" t="n">
        <v>135.2725937947832</v>
      </c>
      <c r="G277" s="91" t="n">
        <v>2.113145873384671</v>
      </c>
      <c r="H277" s="92" t="n">
        <v>0</v>
      </c>
      <c r="I277" s="92" t="n">
        <v>0.1912946384393561</v>
      </c>
      <c r="J277" s="92" t="n">
        <v>0.6643574546788487</v>
      </c>
      <c r="K277" s="88" t="n">
        <v>4.393010292653087</v>
      </c>
      <c r="L277" s="93" t="n">
        <v>30.7926876522494</v>
      </c>
      <c r="M277" s="94" t="n">
        <v>0.291341092782977</v>
      </c>
      <c r="N277" s="95" t="n">
        <v>135.2725937947832</v>
      </c>
      <c r="O277" s="96" t="n">
        <v>2.113145873384671</v>
      </c>
      <c r="P277" s="97" t="n">
        <v>4.393010292653087</v>
      </c>
      <c r="Q277" s="98" t="n">
        <v>0.07003320069308246</v>
      </c>
      <c r="R277" s="98" t="n">
        <v>0.003418174353560919</v>
      </c>
      <c r="S277" s="99" t="n">
        <v>0.004010881298568746</v>
      </c>
      <c r="T277" t="n">
        <v>4435.5388</v>
      </c>
      <c r="U277" s="117" t="n"/>
      <c r="V277" s="102" t="n"/>
      <c r="W277" s="102" t="n"/>
      <c r="X277" s="117" t="n"/>
      <c r="Y277" s="117" t="n"/>
      <c r="Z277" s="100" t="n"/>
      <c r="AA277" s="100" t="n"/>
      <c r="AB277" s="100" t="n"/>
      <c r="AI277" s="58" t="n"/>
    </row>
    <row r="278">
      <c r="A278" t="inlineStr">
        <is>
          <t>H11136</t>
        </is>
      </c>
      <c r="B278" t="inlineStr">
        <is>
          <t>pe equal</t>
        </is>
      </c>
      <c r="C278" s="161" t="n">
        <v>523.6221423547521</v>
      </c>
      <c r="D278" s="88" t="n">
        <v>19.26574505985734</v>
      </c>
      <c r="E278" s="89" t="n">
        <v>0.96320677927557</v>
      </c>
      <c r="F278" s="90" t="n">
        <v>-4.404120903903736</v>
      </c>
      <c r="G278" s="91" t="n">
        <v>-1.008410875987975</v>
      </c>
      <c r="H278" s="92" t="n">
        <v>-0.2459928326572494</v>
      </c>
      <c r="I278" s="92" t="n">
        <v>-1.061721547401127</v>
      </c>
      <c r="J278" s="92" t="n">
        <v>-1.024434476861299</v>
      </c>
      <c r="K278" s="88" t="n">
        <v>-0.2285985250100858</v>
      </c>
      <c r="L278" s="93" t="n">
        <v>22.44999181318045</v>
      </c>
      <c r="M278" s="94" t="n">
        <v>0.9571255873324572</v>
      </c>
      <c r="N278" s="95" t="n">
        <v>-4.404120903903736</v>
      </c>
      <c r="O278" s="96" t="n">
        <v>-1.008410875987975</v>
      </c>
      <c r="P278" s="97" t="n">
        <v>-0.1961747220468056</v>
      </c>
      <c r="Q278" s="98" t="n"/>
      <c r="R278" s="98" t="n"/>
      <c r="S278" s="99" t="n">
        <v>0.006426611236635979</v>
      </c>
      <c r="U278" s="117" t="n"/>
      <c r="V278" s="117" t="n"/>
      <c r="W278" s="117" t="n"/>
      <c r="X278" s="117" t="n"/>
      <c r="Y278" s="117" t="n"/>
      <c r="Z278" s="100" t="n"/>
      <c r="AA278" s="100" t="n"/>
      <c r="AB278" s="100" t="n"/>
      <c r="AI278" s="58" t="n"/>
    </row>
    <row r="279">
      <c r="A279" t="inlineStr">
        <is>
          <t>2015-12-09T16:00:00.000Z</t>
        </is>
      </c>
      <c r="B279" t="inlineStr">
        <is>
          <t>pb weighted</t>
        </is>
      </c>
      <c r="C279" s="164" t="n">
        <v>3.04308667014181</v>
      </c>
      <c r="D279" s="88" t="n">
        <v>1.74175815471947</v>
      </c>
      <c r="E279" s="89" t="n">
        <v>0.4276343911564296</v>
      </c>
      <c r="F279" s="90" t="n">
        <v>10.20537884397576</v>
      </c>
      <c r="G279" s="91" t="n">
        <v>2.353627402107539</v>
      </c>
      <c r="H279" s="92" t="n">
        <v>0.5435157196888916</v>
      </c>
      <c r="I279" s="92" t="n">
        <v>0.991780871079933</v>
      </c>
      <c r="J279" s="92" t="n">
        <v>1.505439716193536</v>
      </c>
      <c r="K279" s="88" t="n">
        <v>5.859239881451539</v>
      </c>
      <c r="L279" s="93" t="n">
        <v>1.74175815471947</v>
      </c>
      <c r="M279" s="94" t="n">
        <v>0.4276343911564296</v>
      </c>
      <c r="N279" s="95" t="n">
        <v>9.545875760951036</v>
      </c>
      <c r="O279" s="96" t="n">
        <v>2.136905647352526</v>
      </c>
      <c r="P279" s="97" t="n">
        <v>5.48059771391655</v>
      </c>
      <c r="Q279" s="98" t="n"/>
      <c r="R279" s="98" t="n"/>
      <c r="U279" s="128" t="n"/>
      <c r="W279" s="102" t="n"/>
      <c r="X279" s="117" t="n"/>
      <c r="Y279" s="117" t="n"/>
      <c r="Z279" s="100" t="n"/>
      <c r="AA279" s="100" t="n"/>
      <c r="AB279" s="100" t="n"/>
      <c r="AI279" s="58" t="n"/>
    </row>
    <row r="280">
      <c r="B280" t="inlineStr">
        <is>
          <t>pb equal</t>
        </is>
      </c>
      <c r="C280" s="162" t="n">
        <v>1.789831777953638</v>
      </c>
      <c r="D280" s="88" t="n">
        <v>0.843580986161899</v>
      </c>
      <c r="E280" s="89" t="n">
        <v>0.5286814121009812</v>
      </c>
      <c r="F280" s="90" t="n">
        <v>5.864133729420353</v>
      </c>
      <c r="G280" s="91" t="n">
        <v>2.276360271201002</v>
      </c>
      <c r="H280" s="92" t="n">
        <v>-0.07962766632601437</v>
      </c>
      <c r="I280" s="92" t="n">
        <v>0.1377674418972481</v>
      </c>
      <c r="J280" s="92" t="n">
        <v>0.6166853340993776</v>
      </c>
      <c r="K280" s="88" t="n">
        <v>6.951476889137608</v>
      </c>
      <c r="L280" s="93" t="n">
        <v>0.843580986161899</v>
      </c>
      <c r="M280" s="94" t="n">
        <v>0.5286814121009812</v>
      </c>
      <c r="N280" s="95" t="n">
        <v>5.864133729420353</v>
      </c>
      <c r="O280" s="96" t="n">
        <v>2.276360271201002</v>
      </c>
      <c r="P280" s="97" t="n">
        <v>6.951476889137608</v>
      </c>
      <c r="Q280" s="98" t="n"/>
      <c r="R280" s="98" t="n"/>
      <c r="U280" s="128" t="n"/>
      <c r="W280" s="117" t="n"/>
      <c r="X280" s="117" t="n"/>
      <c r="Y280" s="117" t="n"/>
      <c r="Z280" s="100" t="n"/>
      <c r="AA280" s="100" t="n"/>
      <c r="AB280" s="100" t="n"/>
      <c r="AI280" s="58" t="n"/>
    </row>
    <row r="281">
      <c r="E281" s="16" t="n"/>
      <c r="F281" s="16" t="n"/>
      <c r="G281" s="16" t="n"/>
      <c r="H281" s="16" t="n"/>
      <c r="I281" s="16" t="n"/>
      <c r="J281" s="16" t="n"/>
      <c r="M281" s="14" t="n"/>
      <c r="O281" s="78" t="n"/>
      <c r="P281" s="7" t="n"/>
      <c r="Q281" s="99" t="n"/>
      <c r="T281" s="99" t="n"/>
      <c r="W281" s="117" t="n"/>
      <c r="X281" s="117" t="n"/>
      <c r="Y281" s="117" t="n"/>
      <c r="Z281" s="100" t="n"/>
      <c r="AA281" s="100" t="n"/>
      <c r="AB281" s="100" t="n"/>
    </row>
    <row r="282">
      <c r="A282" t="inlineStr">
        <is>
          <t>中国互联网</t>
        </is>
      </c>
      <c r="B282" t="inlineStr">
        <is>
          <t>pe weighted</t>
        </is>
      </c>
      <c r="C282" s="131" t="n">
        <v>59.29572641057871</v>
      </c>
      <c r="D282" s="88" t="n">
        <v>31.78610136482062</v>
      </c>
      <c r="E282" s="89" t="n">
        <v>0.4639394221309381</v>
      </c>
      <c r="F282" s="90" t="n">
        <v>135.2725937947832</v>
      </c>
      <c r="G282" s="91" t="n">
        <v>1.281321133636535</v>
      </c>
      <c r="H282" s="92" t="n">
        <v>-0.2202652884553822</v>
      </c>
      <c r="I282" s="92" t="n">
        <v>-0.005037068484172624</v>
      </c>
      <c r="J282" s="92" t="n">
        <v>0.2967526097542907</v>
      </c>
      <c r="K282" s="88" t="n">
        <v>4.255715170671943</v>
      </c>
      <c r="L282" s="93" t="n">
        <v>31.78610136482062</v>
      </c>
      <c r="M282" s="94" t="n">
        <v>0.4639394221309381</v>
      </c>
      <c r="N282" s="95" t="n">
        <v>135.2725937947832</v>
      </c>
      <c r="O282" s="96" t="n">
        <v>1.281321133636535</v>
      </c>
      <c r="P282" s="97" t="n">
        <v>4.255715170671943</v>
      </c>
      <c r="Q282" s="98" t="n">
        <v>0.1336777660269112</v>
      </c>
      <c r="R282" s="98" t="n">
        <v>0.03548520595233926</v>
      </c>
      <c r="S282" s="99" t="n">
        <v>0.0007913955747161635</v>
      </c>
      <c r="T282" t="n">
        <v>10701.86</v>
      </c>
      <c r="U282" s="117" t="n"/>
      <c r="V282" s="102" t="n"/>
      <c r="W282" s="102" t="n"/>
      <c r="X282" s="117" t="n"/>
      <c r="Y282" s="117" t="n"/>
      <c r="Z282" s="100" t="n"/>
      <c r="AA282" s="100" t="n"/>
      <c r="AB282" s="100" t="n"/>
      <c r="AI282" s="58" t="n"/>
    </row>
    <row r="283">
      <c r="A283" t="inlineStr">
        <is>
          <t>H11136</t>
        </is>
      </c>
      <c r="B283" t="inlineStr">
        <is>
          <t>pe equal</t>
        </is>
      </c>
      <c r="C283" s="130" t="n">
        <v>150.3002459138679</v>
      </c>
      <c r="D283" s="88" t="n">
        <v>19.26574505985734</v>
      </c>
      <c r="E283" s="89" t="n">
        <v>0.8718182731989813</v>
      </c>
      <c r="F283" s="90" t="n">
        <v>-5.419150941741266</v>
      </c>
      <c r="G283" s="91" t="n">
        <v>-1.036055502828963</v>
      </c>
      <c r="H283" s="92" t="n">
        <v>0.3740998475794595</v>
      </c>
      <c r="I283" s="92" t="n">
        <v>-1.250122207462469</v>
      </c>
      <c r="J283" s="92" t="n">
        <v>-1.086707289019103</v>
      </c>
      <c r="K283" s="88" t="n">
        <v>-0.2812842651506256</v>
      </c>
      <c r="L283" s="93" t="n">
        <v>22.44686014107828</v>
      </c>
      <c r="M283" s="94" t="n">
        <v>0.8506532041608114</v>
      </c>
      <c r="N283" s="95" t="n">
        <v>-5.419150941741266</v>
      </c>
      <c r="O283" s="96" t="n">
        <v>-1.036055502828963</v>
      </c>
      <c r="P283" s="97" t="n">
        <v>-0.241421334996608</v>
      </c>
      <c r="Q283" s="98" t="n"/>
      <c r="R283" s="98" t="n"/>
      <c r="S283" s="99" t="n">
        <v>0.001806028492009564</v>
      </c>
      <c r="U283" s="117" t="n"/>
      <c r="V283" s="117" t="n"/>
      <c r="W283" s="117" t="n"/>
      <c r="X283" s="117" t="n"/>
      <c r="Y283" s="117" t="n"/>
      <c r="Z283" s="100" t="n"/>
      <c r="AA283" s="100" t="n"/>
      <c r="AB283" s="100" t="n"/>
      <c r="AI283" s="58" t="n"/>
    </row>
    <row r="284">
      <c r="A284" t="inlineStr">
        <is>
          <t>2011-09-19T16:00:00.000Z</t>
        </is>
      </c>
      <c r="B284" t="inlineStr">
        <is>
          <t>pb weighted</t>
        </is>
      </c>
      <c r="C284" s="131" t="n">
        <v>7.926520241509079</v>
      </c>
      <c r="D284" s="88" t="n">
        <v>4.452607094892604</v>
      </c>
      <c r="E284" s="89" t="n">
        <v>0.4382645903588962</v>
      </c>
      <c r="F284" s="90" t="n">
        <v>10.20537884397576</v>
      </c>
      <c r="G284" s="91" t="n">
        <v>0.2874979856271487</v>
      </c>
      <c r="H284" s="92" t="n">
        <v>-0.2921931788889407</v>
      </c>
      <c r="I284" s="92" t="n">
        <v>-0.1645328604576708</v>
      </c>
      <c r="J284" s="92" t="n">
        <v>0.01779651572868612</v>
      </c>
      <c r="K284" s="88" t="n">
        <v>2.292000759663235</v>
      </c>
      <c r="L284" s="93" t="n">
        <v>4.452607094892604</v>
      </c>
      <c r="M284" s="94" t="n">
        <v>0.4382645903588962</v>
      </c>
      <c r="N284" s="95" t="n">
        <v>10.20537884397576</v>
      </c>
      <c r="O284" s="96" t="n">
        <v>0.2874979856271487</v>
      </c>
      <c r="P284" s="97" t="n">
        <v>2.292000759663235</v>
      </c>
      <c r="Q284" s="98" t="n"/>
      <c r="R284" s="98" t="n"/>
      <c r="U284" s="128" t="n"/>
      <c r="W284" s="102" t="n"/>
      <c r="X284" s="117" t="n"/>
      <c r="Y284" s="117" t="n"/>
      <c r="Z284" s="100" t="n"/>
      <c r="AA284" s="100" t="n"/>
      <c r="AB284" s="100" t="n"/>
      <c r="AI284" s="58" t="n"/>
    </row>
    <row r="285">
      <c r="B285" t="inlineStr">
        <is>
          <t>pb equal</t>
        </is>
      </c>
      <c r="C285" s="130" t="n">
        <v>5.333435180940839</v>
      </c>
      <c r="D285" s="88" t="n">
        <v>0.9729130821747949</v>
      </c>
      <c r="E285" s="89" t="n">
        <v>0.8175822806187796</v>
      </c>
      <c r="F285" s="90" t="n">
        <v>5.864133729420353</v>
      </c>
      <c r="G285" s="91" t="n">
        <v>0.0995040776676126</v>
      </c>
      <c r="H285" s="92" t="n">
        <v>-0.6758270346420856</v>
      </c>
      <c r="I285" s="92" t="n">
        <v>-0.6089753144901772</v>
      </c>
      <c r="J285" s="92" t="n">
        <v>-0.4592748179554765</v>
      </c>
      <c r="K285" s="88" t="n">
        <v>6.027397346032187</v>
      </c>
      <c r="L285" s="93" t="n">
        <v>0.9729130821747949</v>
      </c>
      <c r="M285" s="94" t="n">
        <v>0.8175822806187796</v>
      </c>
      <c r="N285" s="95" t="n">
        <v>5.864133729420353</v>
      </c>
      <c r="O285" s="96" t="n">
        <v>0.0995040776676126</v>
      </c>
      <c r="P285" s="97" t="n">
        <v>6.027397346032187</v>
      </c>
      <c r="Q285" s="98" t="n"/>
      <c r="R285" s="98" t="n"/>
      <c r="U285" s="128" t="n"/>
      <c r="W285" s="117" t="n"/>
      <c r="X285" s="117" t="n"/>
      <c r="Y285" s="117" t="n"/>
      <c r="Z285" s="100" t="n"/>
      <c r="AA285" s="100" t="n"/>
      <c r="AB285" s="100" t="n"/>
      <c r="AI285" s="58" t="n"/>
    </row>
    <row r="287">
      <c r="C287" s="103" t="n"/>
      <c r="D287" s="88" t="n"/>
      <c r="W287" s="117" t="n"/>
      <c r="X287" s="117" t="n"/>
      <c r="Y287" s="117" t="n"/>
      <c r="Z287" s="100" t="n"/>
      <c r="AA287" s="100" t="n"/>
      <c r="AB287" s="100" t="n"/>
    </row>
    <row r="289">
      <c r="W289" s="117">
        <f>#REF!+I289/3</f>
        <v/>
      </c>
      <c r="X289" s="117">
        <f>#REF!+I289/5</f>
        <v/>
      </c>
      <c r="Y289" s="117">
        <f>#REF!-E289</f>
        <v/>
      </c>
      <c r="Z289" s="100" t="n"/>
      <c r="AA289" s="100" t="n"/>
      <c r="AB289" s="100" t="n"/>
    </row>
    <row customHeight="1" ht="18" r="290" s="155">
      <c r="C290" s="126" t="n"/>
      <c r="D290" s="126" t="n"/>
    </row>
    <row r="291">
      <c r="C291" s="61" t="n"/>
      <c r="Q291" s="98" t="n"/>
      <c r="R291" s="98" t="n"/>
      <c r="U291" s="117" t="n"/>
      <c r="V291" s="102" t="n"/>
      <c r="W291" s="102" t="n"/>
      <c r="X291" s="117" t="n"/>
      <c r="Y291" s="117" t="n"/>
      <c r="Z291" s="100" t="n"/>
      <c r="AA291" s="76" t="n"/>
      <c r="AB291" s="100" t="n"/>
      <c r="AD291" s="36" t="n"/>
    </row>
    <row r="292">
      <c r="C292" s="60" t="n"/>
      <c r="Q292" s="98" t="n"/>
      <c r="R292" s="98" t="n"/>
      <c r="U292" s="117" t="n"/>
      <c r="V292" s="117" t="n"/>
      <c r="W292" s="117" t="n"/>
      <c r="X292" s="117" t="n"/>
      <c r="Y292" s="117" t="n"/>
      <c r="Z292" s="100" t="n"/>
      <c r="AA292" s="117" t="n"/>
      <c r="AB292" s="100" t="n"/>
    </row>
    <row r="293">
      <c r="C293" s="60" t="n"/>
      <c r="Q293" s="98" t="n"/>
      <c r="R293" s="98" t="n"/>
      <c r="W293" s="102" t="n"/>
      <c r="X293" s="117" t="n"/>
      <c r="Y293" s="117" t="n"/>
      <c r="Z293" s="100" t="n"/>
      <c r="AA293" s="100" t="n"/>
      <c r="AB293" s="100" t="n"/>
    </row>
    <row r="294">
      <c r="C294" s="60" t="n"/>
      <c r="Q294" s="98" t="n"/>
      <c r="R294" s="98" t="n"/>
      <c r="W294" s="117" t="n"/>
      <c r="X294" s="117" t="n"/>
      <c r="Y294" s="117" t="n"/>
      <c r="Z294" s="100" t="n"/>
      <c r="AA294" s="100" t="n"/>
      <c r="AB294" s="100" t="n"/>
    </row>
    <row customHeight="1" ht="18" r="296" s="155">
      <c r="A296" t="inlineStr">
        <is>
          <t>价值指数（等权）</t>
        </is>
      </c>
      <c r="B296" t="inlineStr">
        <is>
          <t>pe weighted</t>
        </is>
      </c>
      <c r="C296" s="60" t="n">
        <v>10.52</v>
      </c>
      <c r="D296" s="38" t="n">
        <v>7.82</v>
      </c>
      <c r="E296" s="89">
        <f>1-D296/C296</f>
        <v/>
      </c>
      <c r="H296" s="92">
        <f>11.5/C296-1</f>
        <v/>
      </c>
      <c r="I296" s="92">
        <f>13.42/C296-1</f>
        <v/>
      </c>
      <c r="J296" s="92">
        <f>15.64/C296-1</f>
        <v/>
      </c>
      <c r="Q296" s="98">
        <f>C298/C296</f>
        <v/>
      </c>
      <c r="R296" s="98" t="n"/>
      <c r="S296" s="99" t="n">
        <v>0.0221</v>
      </c>
      <c r="U296" s="117">
        <f>C296*S296</f>
        <v/>
      </c>
      <c r="V296" s="102">
        <f>(1+S296)*Q296*(1-U296)+S296</f>
        <v/>
      </c>
      <c r="W296" s="102">
        <f>V296+I296/3</f>
        <v/>
      </c>
      <c r="X296" s="117">
        <f>V296+I296/5</f>
        <v/>
      </c>
      <c r="Y296" s="117">
        <f>V296-E296</f>
        <v/>
      </c>
      <c r="Z296" s="100" t="n"/>
      <c r="AA296" s="100" t="n"/>
      <c r="AB296" s="100" t="n"/>
      <c r="AD296" s="36" t="n"/>
    </row>
    <row r="297">
      <c r="A297" s="65" t="n">
        <v>399959</v>
      </c>
      <c r="C297" s="41" t="inlineStr">
        <is>
          <t>.</t>
        </is>
      </c>
      <c r="Q297" s="98" t="n"/>
      <c r="R297" s="98" t="n"/>
      <c r="U297" s="117" t="n"/>
      <c r="V297" s="117">
        <f>(1+S297)*R296*(1-U297)+S297</f>
        <v/>
      </c>
      <c r="W297" s="117">
        <f>V297+I297/3</f>
        <v/>
      </c>
      <c r="X297" s="117">
        <f>V297+I297/5</f>
        <v/>
      </c>
      <c r="Y297" s="117">
        <f>V297-E297</f>
        <v/>
      </c>
      <c r="Z297" s="100" t="n"/>
      <c r="AA297" s="100" t="n"/>
      <c r="AB297" s="100" t="n"/>
    </row>
    <row customHeight="1" ht="18" r="298" s="155">
      <c r="A298" t="inlineStr">
        <is>
          <t>2008-12-11T</t>
        </is>
      </c>
      <c r="B298" t="inlineStr">
        <is>
          <t>pb weighted</t>
        </is>
      </c>
      <c r="C298" s="62" t="n">
        <v>1.76</v>
      </c>
      <c r="D298" s="38" t="n">
        <v>1.35</v>
      </c>
      <c r="E298" s="89">
        <f>1-D298/C298</f>
        <v/>
      </c>
      <c r="H298" s="92">
        <f>2.3/C298-1</f>
        <v/>
      </c>
      <c r="I298" s="92">
        <f>2.54/C298-1</f>
        <v/>
      </c>
      <c r="J298" s="92">
        <f>2.83/C298-1</f>
        <v/>
      </c>
      <c r="W298" s="102">
        <f>V296+I298/3</f>
        <v/>
      </c>
      <c r="X298" s="117">
        <f>V296+I298/5</f>
        <v/>
      </c>
      <c r="Y298" s="117">
        <f>V296-E298</f>
        <v/>
      </c>
      <c r="Z298" s="100" t="n"/>
      <c r="AA298" s="100" t="n"/>
      <c r="AB298" s="100" t="n"/>
    </row>
    <row customHeight="1" ht="18" r="299" s="155">
      <c r="A299" s="112" t="n"/>
      <c r="C299" s="60" t="n"/>
      <c r="D299" s="38" t="n"/>
      <c r="W299" s="117">
        <f>V297+I299/3</f>
        <v/>
      </c>
      <c r="X299" s="117">
        <f>V297+I299/5</f>
        <v/>
      </c>
      <c r="Y299" s="117">
        <f>V297-E299</f>
        <v/>
      </c>
      <c r="Z299" s="100" t="n"/>
      <c r="AA299" s="100" t="n"/>
      <c r="AB299" s="100" t="n"/>
    </row>
    <row r="301">
      <c r="A301" t="inlineStr">
        <is>
          <t>标普红利</t>
        </is>
      </c>
      <c r="B301" t="inlineStr">
        <is>
          <t>pe weighted</t>
        </is>
      </c>
      <c r="C301" s="60" t="n">
        <v>10.8</v>
      </c>
      <c r="D301" s="2" t="n">
        <v>7.76</v>
      </c>
      <c r="E301" s="89">
        <f>1-D301/C301</f>
        <v/>
      </c>
      <c r="H301" s="92">
        <f>11.2/C301-1</f>
        <v/>
      </c>
      <c r="I301" s="92">
        <f>12.42/C301-1</f>
        <v/>
      </c>
      <c r="J301" s="92">
        <f>14.24/C301-1</f>
        <v/>
      </c>
      <c r="Q301" s="98">
        <f>C303/C301</f>
        <v/>
      </c>
      <c r="S301" s="99" t="n">
        <v>0.0405</v>
      </c>
      <c r="U301" s="117">
        <f>C301*S301</f>
        <v/>
      </c>
      <c r="V301" s="102">
        <f>(1+S301)*Q301*(1-U301)+S301</f>
        <v/>
      </c>
      <c r="W301" s="102">
        <f>V301+I301/3</f>
        <v/>
      </c>
      <c r="X301" s="117">
        <f>V301+I301/5</f>
        <v/>
      </c>
      <c r="Y301" s="117">
        <f>V301-E301</f>
        <v/>
      </c>
      <c r="Z301" s="100" t="n"/>
      <c r="AA301" s="100" t="n"/>
      <c r="AB301" s="100" t="n"/>
      <c r="AD301" s="36" t="n"/>
    </row>
    <row r="302">
      <c r="A302" t="inlineStr">
        <is>
          <t>CSPSAPRP</t>
        </is>
      </c>
      <c r="C302" s="60" t="n"/>
      <c r="Q302" s="98" t="n"/>
      <c r="U302" s="117" t="n"/>
      <c r="V302" s="117">
        <f>(1+S302)*R301*(1-U302)+S302</f>
        <v/>
      </c>
      <c r="W302" s="117">
        <f>V302+I302/3</f>
        <v/>
      </c>
      <c r="X302" s="117">
        <f>V302+I302/5</f>
        <v/>
      </c>
      <c r="Y302" s="117">
        <f>V302-E302</f>
        <v/>
      </c>
      <c r="Z302" s="100" t="n"/>
      <c r="AA302" s="100" t="n"/>
      <c r="AB302" s="100" t="n"/>
    </row>
    <row r="303">
      <c r="A303" t="inlineStr">
        <is>
          <t>2009-01-06T</t>
        </is>
      </c>
      <c r="B303" t="inlineStr">
        <is>
          <t>pb weighted</t>
        </is>
      </c>
      <c r="C303" s="60" t="n">
        <v>1.37</v>
      </c>
      <c r="D303" s="2" t="n">
        <v>1.15</v>
      </c>
      <c r="E303" s="89">
        <f>1-D303/C303</f>
        <v/>
      </c>
      <c r="H303" s="92">
        <f>1.61/C303-1</f>
        <v/>
      </c>
      <c r="I303" s="92">
        <f>1.78/C303-1</f>
        <v/>
      </c>
      <c r="J303" s="92">
        <f>2.02/C303-1</f>
        <v/>
      </c>
      <c r="W303" s="102">
        <f>V301+I303/3</f>
        <v/>
      </c>
      <c r="X303" s="117">
        <f>V301+I303/5</f>
        <v/>
      </c>
      <c r="Y303" s="117">
        <f>V301-E303</f>
        <v/>
      </c>
      <c r="Z303" s="100" t="n"/>
      <c r="AA303" s="100" t="n"/>
      <c r="AB303" s="100" t="n"/>
    </row>
    <row r="304">
      <c r="C304" s="60" t="n"/>
      <c r="W304" s="117">
        <f>V302+I304/3</f>
        <v/>
      </c>
      <c r="X304" s="117">
        <f>V302+I304/5</f>
        <v/>
      </c>
      <c r="Y304" s="117">
        <f>V302-E304</f>
        <v/>
      </c>
      <c r="Z304" s="100" t="n"/>
      <c r="AA304" s="100" t="n"/>
      <c r="AB304" s="100" t="n"/>
    </row>
    <row r="306">
      <c r="A306" t="inlineStr">
        <is>
          <t>标普价值</t>
        </is>
      </c>
      <c r="B306" t="inlineStr">
        <is>
          <t>pe weighted</t>
        </is>
      </c>
      <c r="C306" s="60" t="n">
        <v>6.06</v>
      </c>
      <c r="D306" s="2" t="n">
        <v>5.75</v>
      </c>
      <c r="E306" s="89">
        <f>1-D306/C306</f>
        <v/>
      </c>
      <c r="H306" s="92">
        <f>7.23/C306-1</f>
        <v/>
      </c>
      <c r="I306" s="92">
        <f>7.88/C306-1</f>
        <v/>
      </c>
      <c r="J306" s="92">
        <f>8.72/C306-1</f>
        <v/>
      </c>
      <c r="Q306" s="98">
        <f>C308/C306</f>
        <v/>
      </c>
      <c r="S306" s="99" t="n">
        <v>0.0394</v>
      </c>
      <c r="U306" s="117">
        <f>C306*S306</f>
        <v/>
      </c>
      <c r="V306" s="102">
        <f>(1+S306)*Q306*(1-U306)+S306</f>
        <v/>
      </c>
      <c r="W306" s="102">
        <f>V306+I306/3</f>
        <v/>
      </c>
      <c r="X306" s="117">
        <f>V306+I306/5</f>
        <v/>
      </c>
      <c r="Y306" s="117">
        <f>V306-E306</f>
        <v/>
      </c>
      <c r="Z306" s="100" t="n"/>
      <c r="AA306" s="100" t="n"/>
      <c r="AB306" s="100" t="n"/>
      <c r="AD306" s="36" t="n"/>
    </row>
    <row r="307">
      <c r="A307" t="inlineStr">
        <is>
          <t>SPACEVCP</t>
        </is>
      </c>
      <c r="C307" s="60" t="n"/>
      <c r="Q307" s="98" t="n"/>
      <c r="U307" s="117" t="n"/>
      <c r="V307" s="117">
        <f>(1+S307)*R306*(1-U307)+S307</f>
        <v/>
      </c>
      <c r="W307" s="117">
        <f>V307+I307/3</f>
        <v/>
      </c>
      <c r="X307" s="117">
        <f>V307+I307/5</f>
        <v/>
      </c>
      <c r="Y307" s="117">
        <f>V307-E307</f>
        <v/>
      </c>
      <c r="Z307" s="100" t="n"/>
      <c r="AA307" s="100" t="n"/>
      <c r="AB307" s="100" t="n"/>
    </row>
    <row r="308">
      <c r="A308" t="inlineStr">
        <is>
          <t>2012-11-30T</t>
        </is>
      </c>
      <c r="B308" t="inlineStr">
        <is>
          <t>pb weighted</t>
        </is>
      </c>
      <c r="C308" s="60" t="n">
        <v>0.67</v>
      </c>
      <c r="D308" s="2" t="n">
        <v>0.63</v>
      </c>
      <c r="E308" s="89">
        <f>1-D308/C308</f>
        <v/>
      </c>
      <c r="H308" s="92">
        <f>0.88/C308-1</f>
        <v/>
      </c>
      <c r="I308" s="92">
        <f>0.95/C308-1</f>
        <v/>
      </c>
      <c r="J308" s="92">
        <f>1.02/C308-1</f>
        <v/>
      </c>
      <c r="W308" s="102">
        <f>V306+I308/3</f>
        <v/>
      </c>
      <c r="X308" s="117">
        <f>V306+I308/5</f>
        <v/>
      </c>
      <c r="Y308" s="117">
        <f>V306-E308</f>
        <v/>
      </c>
      <c r="Z308" s="100" t="n"/>
      <c r="AA308" s="100" t="n"/>
      <c r="AB308" s="100" t="n"/>
    </row>
    <row r="309">
      <c r="C309" s="60" t="n"/>
      <c r="W309" s="117">
        <f>V307+I309/3</f>
        <v/>
      </c>
      <c r="X309" s="117">
        <f>V307+I309/5</f>
        <v/>
      </c>
      <c r="Y309" s="117">
        <f>V307-E309</f>
        <v/>
      </c>
      <c r="Z309" s="100" t="n"/>
      <c r="AA309" s="100" t="n"/>
      <c r="AB309" s="100" t="n"/>
    </row>
    <row r="311">
      <c r="A311" t="inlineStr">
        <is>
          <t>HKC非银</t>
        </is>
      </c>
      <c r="B311" t="inlineStr">
        <is>
          <t>pe weighted</t>
        </is>
      </c>
      <c r="C311" t="n">
        <v>11.37</v>
      </c>
      <c r="D311" s="2" t="n">
        <v>10.68</v>
      </c>
      <c r="E311" s="89">
        <f>1-D311/C311</f>
        <v/>
      </c>
      <c r="H311" s="92">
        <f>11.71/C311-1</f>
        <v/>
      </c>
      <c r="I311" s="92">
        <f>13.15/C311-1</f>
        <v/>
      </c>
      <c r="J311" s="92">
        <f>15.66/C311-1</f>
        <v/>
      </c>
      <c r="Q311" s="98">
        <f>C313/C311</f>
        <v/>
      </c>
      <c r="S311" s="99" t="n">
        <v>0.0138</v>
      </c>
      <c r="U311" s="117">
        <f>C311*S311</f>
        <v/>
      </c>
      <c r="V311" s="117">
        <f>(1+S311)*Q311*(1-U311)+S311</f>
        <v/>
      </c>
      <c r="W311" s="117">
        <f>V311+I311/3</f>
        <v/>
      </c>
      <c r="X311" s="117">
        <f>V311+I311/5</f>
        <v/>
      </c>
      <c r="Y311" s="117">
        <f>V311-E311</f>
        <v/>
      </c>
      <c r="Z311" s="100" t="n"/>
      <c r="AA311" s="100" t="n"/>
      <c r="AB311" s="100" t="n"/>
    </row>
    <row r="312">
      <c r="U312" s="117" t="n"/>
      <c r="V312" s="117">
        <f>(1+S312)*R311*(1-U312)+S312</f>
        <v/>
      </c>
      <c r="W312" s="117">
        <f>V312+I312/3</f>
        <v/>
      </c>
      <c r="X312" s="117">
        <f>V312+I312/5</f>
        <v/>
      </c>
      <c r="Y312" s="117">
        <f>V312-E312</f>
        <v/>
      </c>
      <c r="Z312" s="100" t="n"/>
      <c r="AA312" s="100" t="n"/>
      <c r="AB312" s="100" t="n"/>
    </row>
    <row r="313">
      <c r="B313" t="inlineStr">
        <is>
          <t>pb weighted</t>
        </is>
      </c>
      <c r="C313" t="n">
        <v>1.44</v>
      </c>
      <c r="D313" s="2" t="n">
        <v>1.29</v>
      </c>
      <c r="E313" s="89">
        <f>1-D313/C313</f>
        <v/>
      </c>
      <c r="H313" s="92">
        <f>1.35/C313-1</f>
        <v/>
      </c>
      <c r="I313" s="92">
        <f>1.42/C313-1</f>
        <v/>
      </c>
      <c r="J313" s="92">
        <f>1.65/C313-1</f>
        <v/>
      </c>
      <c r="W313" s="117">
        <f>V311+I313/3</f>
        <v/>
      </c>
      <c r="X313" s="117">
        <f>V311+I313/5</f>
        <v/>
      </c>
      <c r="Y313" s="117">
        <f>V311-E313</f>
        <v/>
      </c>
      <c r="Z313" s="100" t="n"/>
      <c r="AA313" s="100" t="n"/>
      <c r="AB313" s="100" t="n"/>
    </row>
    <row r="314">
      <c r="W314" s="117">
        <f>V312+I314/3</f>
        <v/>
      </c>
      <c r="X314" s="117">
        <f>V312+I314/5</f>
        <v/>
      </c>
      <c r="Y314" s="117">
        <f>V312-E314</f>
        <v/>
      </c>
      <c r="Z314" s="100" t="n"/>
      <c r="AA314" s="100" t="n"/>
      <c r="AB314" s="100" t="n"/>
    </row>
    <row r="316">
      <c r="A316" t="inlineStr">
        <is>
          <t>SHS红利成长LV</t>
        </is>
      </c>
      <c r="B316" t="inlineStr">
        <is>
          <t>pe weighted</t>
        </is>
      </c>
      <c r="C316" t="n">
        <v>8.15</v>
      </c>
      <c r="D316" s="2" t="n">
        <v>5.92</v>
      </c>
      <c r="E316" s="89">
        <f>1-D316/C316</f>
        <v/>
      </c>
      <c r="H316" s="92">
        <f>9.7/C316-1</f>
        <v/>
      </c>
      <c r="I316" s="92">
        <f>11.76/C316-1</f>
        <v/>
      </c>
      <c r="J316" s="92">
        <f>13.5/C316-1</f>
        <v/>
      </c>
      <c r="Q316" s="98">
        <f>C318/C316</f>
        <v/>
      </c>
      <c r="S316" s="99" t="n">
        <v>0.0138</v>
      </c>
      <c r="U316" s="117">
        <f>C316*S316</f>
        <v/>
      </c>
      <c r="V316" s="117">
        <f>(1+S316)*Q316*(1-U316)+S316</f>
        <v/>
      </c>
      <c r="W316" s="117">
        <f>V316+I316/3</f>
        <v/>
      </c>
      <c r="X316" s="117">
        <f>V316+I316/5</f>
        <v/>
      </c>
      <c r="Y316" s="117">
        <f>V316-E316</f>
        <v/>
      </c>
      <c r="Z316" s="100" t="n"/>
      <c r="AA316" s="100" t="n"/>
      <c r="AB316" s="100" t="n"/>
    </row>
    <row r="317">
      <c r="U317" s="117" t="n"/>
      <c r="V317" s="117">
        <f>(1+S317)*R316*(1-U317)+S317</f>
        <v/>
      </c>
      <c r="W317" s="117">
        <f>V317+I317/3</f>
        <v/>
      </c>
      <c r="X317" s="117">
        <f>V317+I317/5</f>
        <v/>
      </c>
      <c r="Y317" s="117">
        <f>V317-E317</f>
        <v/>
      </c>
      <c r="Z317" s="100" t="n"/>
      <c r="AA317" s="100" t="n"/>
      <c r="AB317" s="100" t="n"/>
    </row>
    <row r="318">
      <c r="B318" t="inlineStr">
        <is>
          <t>pb weighted</t>
        </is>
      </c>
      <c r="C318" t="n">
        <v>1.04</v>
      </c>
      <c r="D318" s="2" t="n">
        <v>0.96</v>
      </c>
      <c r="E318" s="89">
        <f>1-D318/C318</f>
        <v/>
      </c>
      <c r="H318" s="92">
        <f>1.53/C318-1</f>
        <v/>
      </c>
      <c r="I318" s="92">
        <f>1.85/C318-1</f>
        <v/>
      </c>
      <c r="J318" s="92">
        <f>2.1/C318-1</f>
        <v/>
      </c>
      <c r="W318" s="117">
        <f>V316+I318/3</f>
        <v/>
      </c>
      <c r="X318" s="117">
        <f>V316+I318/5</f>
        <v/>
      </c>
      <c r="Y318" s="117">
        <f>V316-E318</f>
        <v/>
      </c>
      <c r="Z318" s="100" t="n"/>
      <c r="AA318" s="100" t="n"/>
      <c r="AB318" s="100" t="n"/>
    </row>
    <row r="319">
      <c r="W319" s="117">
        <f>V317+I319/3</f>
        <v/>
      </c>
      <c r="X319" s="117">
        <f>V317+I319/5</f>
        <v/>
      </c>
      <c r="Y319" s="117">
        <f>V317-E319</f>
        <v/>
      </c>
      <c r="Z319" s="100" t="n"/>
      <c r="AA319" s="100" t="n"/>
      <c r="AB319" s="100" t="n"/>
    </row>
    <row r="320">
      <c r="W320" s="117" t="n"/>
      <c r="X320" s="117" t="n"/>
      <c r="Y320" s="117" t="n"/>
      <c r="Z320" s="100" t="n"/>
      <c r="AA320" s="100" t="n"/>
      <c r="AB320" s="100" t="n"/>
    </row>
    <row r="321">
      <c r="A321" t="inlineStr">
        <is>
          <t>中证中药（max 10%）</t>
        </is>
      </c>
      <c r="B321" t="inlineStr">
        <is>
          <t>pe weighted</t>
        </is>
      </c>
      <c r="C321" t="n">
        <v>25.34</v>
      </c>
      <c r="D321" s="2" t="n">
        <v>17.19</v>
      </c>
      <c r="E321" s="89">
        <f>1-D321/C321</f>
        <v/>
      </c>
      <c r="I321" s="92">
        <f>29.87/C321-1</f>
        <v/>
      </c>
      <c r="Q321" s="98">
        <f>C323/C321</f>
        <v/>
      </c>
      <c r="S321" s="99" t="n">
        <v>0.0138</v>
      </c>
      <c r="U321" s="117">
        <f>C321*S321</f>
        <v/>
      </c>
      <c r="V321" s="117">
        <f>(1+S321)*Q321*(1-U321)+S321</f>
        <v/>
      </c>
      <c r="W321" s="117">
        <f>V321+I321/3</f>
        <v/>
      </c>
      <c r="X321" s="117">
        <f>V321+I321/5</f>
        <v/>
      </c>
      <c r="Y321" s="117">
        <f>V321-E321</f>
        <v/>
      </c>
      <c r="Z321" s="100" t="n"/>
      <c r="AA321" s="100" t="n"/>
      <c r="AB321" s="100" t="n"/>
    </row>
    <row r="322">
      <c r="U322" s="117" t="n"/>
      <c r="V322" s="117">
        <f>(1+S322)*R321*(1-U322)+S322</f>
        <v/>
      </c>
      <c r="W322" s="117">
        <f>V322+I322/3</f>
        <v/>
      </c>
      <c r="X322" s="117">
        <f>V322+I322/5</f>
        <v/>
      </c>
      <c r="Y322" s="117">
        <f>V322-E322</f>
        <v/>
      </c>
      <c r="Z322" s="100" t="n"/>
      <c r="AA322" s="100" t="n"/>
      <c r="AB322" s="100" t="n"/>
    </row>
    <row r="323">
      <c r="B323" t="inlineStr">
        <is>
          <t>pb weighted</t>
        </is>
      </c>
      <c r="C323" t="n">
        <v>3.01</v>
      </c>
      <c r="D323" s="2" t="n">
        <v>2.23</v>
      </c>
      <c r="E323" s="89">
        <f>1-D323/C323</f>
        <v/>
      </c>
      <c r="I323" s="92">
        <f>3.43/C323-1</f>
        <v/>
      </c>
      <c r="W323" s="117">
        <f>V321+I323/3</f>
        <v/>
      </c>
      <c r="X323" s="117">
        <f>V321+I323/5</f>
        <v/>
      </c>
      <c r="Y323" s="117">
        <f>V321-E323</f>
        <v/>
      </c>
      <c r="Z323" s="100" t="n"/>
      <c r="AA323" s="100" t="n"/>
      <c r="AB323" s="100" t="n"/>
    </row>
    <row r="324">
      <c r="W324" s="117">
        <f>V322+I324/3</f>
        <v/>
      </c>
      <c r="X324" s="117">
        <f>V322+I324/5</f>
        <v/>
      </c>
      <c r="Y324" s="117">
        <f>V322-E324</f>
        <v/>
      </c>
      <c r="Z324" s="100" t="n"/>
      <c r="AA324" s="100" t="n"/>
      <c r="AB324" s="100" t="n"/>
    </row>
    <row r="328">
      <c r="A328" t="inlineStr">
        <is>
          <t>医药，红利，地产，500snlv，互联网</t>
        </is>
      </c>
    </row>
    <row r="335">
      <c r="E335" s="16" t="n"/>
      <c r="F335" s="16" t="n"/>
      <c r="G335" s="16" t="n"/>
      <c r="H335" s="16" t="n"/>
      <c r="I335" s="16" t="n"/>
      <c r="J335" s="16" t="n"/>
      <c r="M335" s="14" t="n"/>
      <c r="O335" s="78" t="n"/>
      <c r="P335" s="7" t="n"/>
      <c r="T335" s="99" t="n"/>
    </row>
    <row r="336">
      <c r="E336" s="16" t="n"/>
      <c r="F336" s="16" t="n"/>
      <c r="G336" s="16" t="n"/>
      <c r="H336" s="16" t="n"/>
      <c r="I336" s="16" t="n"/>
      <c r="J336" s="16" t="n"/>
      <c r="M336" s="14" t="n"/>
      <c r="O336" s="78" t="n"/>
      <c r="P336" s="7" t="n"/>
      <c r="Q336" s="99" t="n"/>
      <c r="S336" s="98" t="n"/>
      <c r="T336" s="99" t="n"/>
      <c r="U336" s="117" t="n"/>
      <c r="V336" s="117" t="n"/>
      <c r="W336" s="117" t="n"/>
      <c r="X336" s="117" t="n"/>
      <c r="Y336" s="117" t="n"/>
      <c r="Z336" s="100" t="n"/>
      <c r="AA336" s="100" t="n"/>
      <c r="AB336" s="100" t="n"/>
    </row>
    <row r="337">
      <c r="E337" s="16" t="n"/>
      <c r="F337" s="16" t="n"/>
      <c r="G337" s="16" t="n"/>
      <c r="H337" s="16" t="n"/>
      <c r="I337" s="16" t="n"/>
      <c r="J337" s="16" t="n"/>
      <c r="M337" s="14" t="n"/>
      <c r="O337" s="78" t="n"/>
      <c r="P337" s="7" t="n"/>
      <c r="Q337" s="99" t="n"/>
      <c r="T337" s="99" t="n"/>
      <c r="U337" s="117" t="n"/>
      <c r="V337" s="117" t="n"/>
      <c r="W337" s="117" t="n"/>
      <c r="X337" s="117" t="n"/>
      <c r="Y337" s="117" t="n"/>
      <c r="Z337" s="100" t="n"/>
      <c r="AA337" s="100" t="n"/>
      <c r="AB337" s="100" t="n"/>
    </row>
    <row r="338">
      <c r="E338" s="16" t="n"/>
      <c r="F338" s="16" t="n"/>
      <c r="G338" s="16" t="n"/>
      <c r="H338" s="16" t="n"/>
      <c r="I338" s="16" t="n"/>
      <c r="J338" s="16" t="n"/>
      <c r="M338" s="14" t="n"/>
      <c r="O338" s="78" t="n"/>
      <c r="P338" s="7" t="n"/>
      <c r="Q338" s="99" t="n"/>
      <c r="T338" s="99" t="n"/>
      <c r="W338" s="117" t="n"/>
      <c r="X338" s="117" t="n"/>
      <c r="Y338" s="117" t="n"/>
      <c r="Z338" s="100" t="n"/>
      <c r="AA338" s="100" t="n"/>
      <c r="AB338" s="100" t="n"/>
    </row>
    <row r="339">
      <c r="E339" s="16" t="n"/>
      <c r="F339" s="16" t="n"/>
      <c r="G339" s="16" t="n"/>
      <c r="H339" s="16" t="n"/>
      <c r="I339" s="16" t="n"/>
      <c r="J339" s="16" t="n"/>
      <c r="M339" s="14" t="n"/>
      <c r="O339" s="78" t="n"/>
      <c r="P339" s="7" t="n"/>
      <c r="Q339" s="99" t="n"/>
      <c r="T339" s="99" t="n"/>
      <c r="W339" s="117" t="n"/>
      <c r="X339" s="117" t="n"/>
      <c r="Y339" s="117" t="n"/>
      <c r="Z339" s="100" t="n"/>
      <c r="AA339" s="100" t="n"/>
      <c r="AB339" s="100" t="n"/>
    </row>
    <row r="340">
      <c r="E340" s="16" t="n"/>
      <c r="F340" s="16" t="n"/>
      <c r="G340" s="16" t="n"/>
      <c r="H340" s="16" t="n"/>
      <c r="I340" s="16" t="n"/>
      <c r="J340" s="16" t="n"/>
      <c r="M340" s="14" t="n"/>
      <c r="O340" s="78" t="n"/>
      <c r="P340" s="7" t="n"/>
      <c r="Q340" s="99" t="n"/>
      <c r="T340" s="99" t="n"/>
      <c r="U340" s="117" t="n"/>
      <c r="V340" s="117" t="n"/>
    </row>
    <row r="341">
      <c r="E341" s="16" t="n"/>
      <c r="F341" s="16" t="n"/>
      <c r="G341" s="16" t="n"/>
      <c r="H341" s="16" t="n"/>
      <c r="I341" s="16" t="n"/>
      <c r="J341" s="16" t="n"/>
      <c r="M341" s="14" t="n"/>
      <c r="O341" s="78" t="n"/>
      <c r="P341" s="7" t="n"/>
      <c r="Q341" s="99" t="n"/>
      <c r="S341" s="98" t="n"/>
      <c r="T341" s="99" t="n"/>
      <c r="U341" s="117" t="n"/>
      <c r="V341" s="117" t="n"/>
      <c r="W341" s="117" t="n"/>
      <c r="X341" s="117" t="n"/>
      <c r="Y341" s="117" t="n"/>
      <c r="Z341" s="100" t="n"/>
      <c r="AA341" s="100" t="n"/>
      <c r="AB341" s="100" t="n"/>
    </row>
    <row r="342">
      <c r="E342" s="16" t="n"/>
      <c r="F342" s="16" t="n"/>
      <c r="G342" s="16" t="n"/>
      <c r="H342" s="16" t="n"/>
      <c r="I342" s="16" t="n"/>
      <c r="J342" s="16" t="n"/>
      <c r="M342" s="14" t="n"/>
      <c r="O342" s="78" t="n"/>
      <c r="P342" s="7" t="n"/>
      <c r="Q342" s="99" t="n"/>
      <c r="T342" s="99" t="n"/>
      <c r="U342" s="117" t="n"/>
      <c r="V342" s="117" t="n"/>
      <c r="W342" s="117" t="n"/>
      <c r="X342" s="117" t="n"/>
      <c r="Y342" s="117" t="n"/>
      <c r="Z342" s="100" t="n"/>
      <c r="AA342" s="100" t="n"/>
      <c r="AB342" s="100" t="n"/>
    </row>
    <row r="343">
      <c r="E343" s="16" t="n"/>
      <c r="F343" s="16" t="n"/>
      <c r="G343" s="16" t="n"/>
      <c r="H343" s="16" t="n"/>
      <c r="I343" s="16" t="n"/>
      <c r="J343" s="16" t="n"/>
      <c r="M343" s="14" t="n"/>
      <c r="O343" s="78" t="n"/>
      <c r="P343" s="7" t="n"/>
      <c r="Q343" s="99" t="n"/>
      <c r="T343" s="99" t="n"/>
      <c r="W343" s="117" t="n"/>
      <c r="X343" s="117" t="n"/>
      <c r="Y343" s="117" t="n"/>
      <c r="Z343" s="100" t="n"/>
      <c r="AA343" s="100" t="n"/>
      <c r="AB343" s="100" t="n"/>
    </row>
    <row r="344">
      <c r="E344" s="16" t="n"/>
      <c r="F344" s="16" t="n"/>
      <c r="G344" s="16" t="n"/>
      <c r="H344" s="16" t="n"/>
      <c r="I344" s="16" t="n"/>
      <c r="J344" s="16" t="n"/>
      <c r="M344" s="14" t="n"/>
      <c r="O344" s="78" t="n"/>
      <c r="P344" s="7" t="n"/>
      <c r="Q344" s="99" t="n"/>
      <c r="T344" s="99" t="n"/>
      <c r="W344" s="117" t="n"/>
      <c r="X344" s="117" t="n"/>
      <c r="Y344" s="117" t="n"/>
      <c r="Z344" s="100" t="n"/>
      <c r="AA344" s="100" t="n"/>
      <c r="AB344" s="100" t="n"/>
    </row>
    <row r="345">
      <c r="E345" s="16" t="n"/>
      <c r="F345" s="16" t="n"/>
      <c r="G345" s="16" t="n"/>
      <c r="H345" s="16" t="n"/>
      <c r="I345" s="16" t="n"/>
      <c r="J345" s="16" t="n"/>
      <c r="M345" s="14" t="n"/>
      <c r="O345" s="78" t="n"/>
      <c r="P345" s="7" t="n"/>
      <c r="Q345" s="99" t="n"/>
      <c r="T345" s="99" t="n"/>
      <c r="U345" s="117" t="n"/>
      <c r="V345" s="117" t="n"/>
    </row>
    <row r="346">
      <c r="E346" s="16" t="n"/>
      <c r="F346" s="16" t="n"/>
      <c r="G346" s="16" t="n"/>
      <c r="H346" s="16" t="n"/>
      <c r="I346" s="16" t="n"/>
      <c r="J346" s="16" t="n"/>
      <c r="M346" s="14" t="n"/>
      <c r="O346" s="78" t="n"/>
      <c r="P346" s="7" t="n"/>
      <c r="Q346" s="99" t="n"/>
      <c r="T346" s="99" t="n"/>
    </row>
    <row r="347">
      <c r="E347" s="16" t="n"/>
      <c r="F347" s="16" t="n"/>
      <c r="G347" s="16" t="n"/>
      <c r="H347" s="16" t="n"/>
      <c r="I347" s="16" t="n"/>
      <c r="J347" s="16" t="n"/>
      <c r="M347" s="14" t="n"/>
      <c r="O347" s="78" t="n"/>
      <c r="P347" s="7" t="n"/>
      <c r="Q347" s="99" t="n"/>
      <c r="T347" s="99" t="n"/>
    </row>
    <row r="348">
      <c r="E348" s="16" t="n"/>
      <c r="F348" s="16" t="n"/>
      <c r="G348" s="16" t="n"/>
      <c r="H348" s="16" t="n"/>
      <c r="I348" s="16" t="n"/>
      <c r="J348" s="16" t="n"/>
      <c r="M348" s="14" t="n"/>
      <c r="O348" s="78" t="n"/>
      <c r="P348" s="7" t="n"/>
      <c r="Q348" s="99" t="n"/>
      <c r="T348" s="99" t="n"/>
    </row>
    <row customHeight="1" ht="26" r="349" s="155">
      <c r="A349" s="56" t="n"/>
      <c r="Q349" s="98" t="n"/>
      <c r="R349" s="98" t="n"/>
    </row>
    <row r="350">
      <c r="Q350" s="98" t="n"/>
      <c r="R350" s="98" t="n"/>
    </row>
    <row customHeight="1" ht="26" r="351" s="155">
      <c r="A351" s="56" t="n"/>
      <c r="C351" s="38" t="n"/>
      <c r="Q351" s="98" t="n"/>
      <c r="R351" s="98" t="n"/>
    </row>
  </sheetData>
  <conditionalFormatting sqref="E1 E3:E96 E111 E221 E236 E291:E294 E349:E1048576">
    <cfRule priority="893" type="dataBar">
      <dataBar>
        <cfvo type="min"/>
        <cfvo type="max"/>
        <color rgb="FF638EC6"/>
      </dataBar>
    </cfRule>
  </conditionalFormatting>
  <conditionalFormatting sqref="E1 E3:E96 E111 E221 E236 E291:E294 E349:E1048576 M1 M3:M72 M74:M96 M111 M221 M236 M291:M294 M296:M299 M325 M349:M1048576">
    <cfRule priority="909" type="dataBar">
      <dataBar>
        <cfvo type="percent" val="0"/>
        <cfvo type="percentile" val="100"/>
        <color rgb="FF638EC6"/>
      </dataBar>
    </cfRule>
    <cfRule priority="910" type="dataBar">
      <dataBar>
        <cfvo type="percent" val="0"/>
        <cfvo type="percent" val="100"/>
        <color rgb="FF638EC6"/>
      </dataBar>
    </cfRule>
  </conditionalFormatting>
  <conditionalFormatting sqref="Q2:R75">
    <cfRule priority="908" type="dataBar">
      <dataBar>
        <cfvo type="min"/>
        <cfvo type="max"/>
        <color rgb="FF638EC6"/>
      </dataBar>
    </cfRule>
  </conditionalFormatting>
  <conditionalFormatting sqref="Q77:R87">
    <cfRule priority="907" type="dataBar">
      <dataBar>
        <cfvo type="min"/>
        <cfvo type="max"/>
        <color rgb="FF638EC6"/>
      </dataBar>
    </cfRule>
  </conditionalFormatting>
  <conditionalFormatting sqref="Q1:R111 Q298:R299 Q303:Q304 Q325:R325 Q352:R1048576">
    <cfRule priority="906" type="dataBar">
      <dataBar>
        <cfvo type="min"/>
        <cfvo type="max"/>
        <color rgb="FF638EC6"/>
      </dataBar>
    </cfRule>
  </conditionalFormatting>
  <conditionalFormatting sqref="M1">
    <cfRule priority="905" type="dataBar">
      <dataBar>
        <cfvo type="min"/>
        <cfvo type="max"/>
        <color rgb="FF638EC6"/>
      </dataBar>
    </cfRule>
  </conditionalFormatting>
  <conditionalFormatting sqref="G1">
    <cfRule priority="902" type="dataBar">
      <dataBar>
        <cfvo type="percent" val="0"/>
        <cfvo type="percentile" val="100"/>
        <color rgb="FF638EC6"/>
      </dataBar>
    </cfRule>
    <cfRule priority="903" type="dataBar">
      <dataBar>
        <cfvo type="percent" val="0"/>
        <cfvo type="percent" val="100"/>
        <color rgb="FF638EC6"/>
      </dataBar>
    </cfRule>
    <cfRule priority="904" type="dataBar">
      <dataBar>
        <cfvo type="min"/>
        <cfvo type="max"/>
        <color rgb="FF638EC6"/>
      </dataBar>
    </cfRule>
  </conditionalFormatting>
  <conditionalFormatting sqref="O1">
    <cfRule priority="899" type="dataBar">
      <dataBar>
        <cfvo type="percent" val="0"/>
        <cfvo type="percentile" val="100"/>
        <color rgb="FF638EC6"/>
      </dataBar>
    </cfRule>
    <cfRule priority="900" type="dataBar">
      <dataBar>
        <cfvo type="percent" val="0"/>
        <cfvo type="percent" val="100"/>
        <color rgb="FF638EC6"/>
      </dataBar>
    </cfRule>
    <cfRule priority="901" type="dataBar">
      <dataBar>
        <cfvo type="min"/>
        <cfvo type="max"/>
        <color rgb="FF638EC6"/>
      </dataBar>
    </cfRule>
  </conditionalFormatting>
  <conditionalFormatting sqref="O1 O3:O72 O74:O96 O111 O221 O236 O291:O294 O296:O299 O325 O349:O1048576">
    <cfRule priority="898" type="dataBar">
      <dataBar>
        <cfvo type="min"/>
        <cfvo type="max"/>
        <color rgb="FF638EC6"/>
      </dataBar>
    </cfRule>
  </conditionalFormatting>
  <conditionalFormatting sqref="G1 G3:G72 G74:G96 G111 G221 G236 G291:G294 G296:G299 G325 G349:G1048576">
    <cfRule priority="897" type="dataBar">
      <dataBar>
        <cfvo type="min"/>
        <cfvo type="max"/>
        <color rgb="FF638EC6"/>
      </dataBar>
    </cfRule>
  </conditionalFormatting>
  <conditionalFormatting sqref="P1 P3:P96 P111 P221 P236 P291:P294 P296:P299 P325 P349:P1048576">
    <cfRule priority="896" type="dataBar">
      <dataBar>
        <cfvo type="min"/>
        <cfvo type="max"/>
        <color rgb="FF638EC6"/>
      </dataBar>
    </cfRule>
  </conditionalFormatting>
  <conditionalFormatting sqref="K1 K3:K72 K74:K96 K111 K221 K236 K291:K294 K296:K299 K325 K349:K1048576">
    <cfRule priority="895" type="dataBar">
      <dataBar>
        <cfvo type="min"/>
        <cfvo type="max"/>
        <color rgb="FF638EC6"/>
      </dataBar>
    </cfRule>
  </conditionalFormatting>
  <conditionalFormatting sqref="M1 M3:M72 M74:M96 M111 M221 M236 M291:M294 M296:M299 M325 M349:M1048576">
    <cfRule priority="894" type="dataBar">
      <dataBar>
        <cfvo type="min"/>
        <cfvo type="max"/>
        <color rgb="FF638EC6"/>
      </dataBar>
    </cfRule>
  </conditionalFormatting>
  <conditionalFormatting sqref="E97:E110">
    <cfRule priority="890" type="dataBar">
      <dataBar>
        <cfvo type="min"/>
        <cfvo type="max"/>
        <color rgb="FF638EC6"/>
      </dataBar>
    </cfRule>
    <cfRule priority="891" type="dataBar">
      <dataBar>
        <cfvo type="percent" val="0"/>
        <cfvo type="percentile" val="100"/>
        <color rgb="FF638EC6"/>
      </dataBar>
    </cfRule>
    <cfRule priority="892" type="dataBar">
      <dataBar>
        <cfvo type="percent" val="0"/>
        <cfvo type="percent" val="100"/>
        <color rgb="FF638EC6"/>
      </dataBar>
    </cfRule>
  </conditionalFormatting>
  <conditionalFormatting sqref="M98:M110">
    <cfRule priority="883" type="dataBar">
      <dataBar>
        <cfvo type="min"/>
        <cfvo type="max"/>
        <color rgb="FF638EC6"/>
      </dataBar>
    </cfRule>
    <cfRule priority="888" type="dataBar">
      <dataBar>
        <cfvo type="percent" val="0"/>
        <cfvo type="percentile" val="100"/>
        <color rgb="FF638EC6"/>
      </dataBar>
    </cfRule>
    <cfRule priority="889" type="dataBar">
      <dataBar>
        <cfvo type="percent" val="0"/>
        <cfvo type="percent" val="100"/>
        <color rgb="FF638EC6"/>
      </dataBar>
    </cfRule>
  </conditionalFormatting>
  <conditionalFormatting sqref="O98:O110">
    <cfRule priority="887" type="dataBar">
      <dataBar>
        <cfvo type="min"/>
        <cfvo type="max"/>
        <color rgb="FF638EC6"/>
      </dataBar>
    </cfRule>
  </conditionalFormatting>
  <conditionalFormatting sqref="G98:G110">
    <cfRule priority="886" type="dataBar">
      <dataBar>
        <cfvo type="min"/>
        <cfvo type="max"/>
        <color rgb="FF638EC6"/>
      </dataBar>
    </cfRule>
  </conditionalFormatting>
  <conditionalFormatting sqref="P98:P110">
    <cfRule priority="885" type="dataBar">
      <dataBar>
        <cfvo type="min"/>
        <cfvo type="max"/>
        <color rgb="FF638EC6"/>
      </dataBar>
    </cfRule>
  </conditionalFormatting>
  <conditionalFormatting sqref="K98:K110">
    <cfRule priority="884" type="dataBar">
      <dataBar>
        <cfvo type="min"/>
        <cfvo type="max"/>
        <color rgb="FF638EC6"/>
      </dataBar>
    </cfRule>
  </conditionalFormatting>
  <conditionalFormatting sqref="M97">
    <cfRule priority="876" type="dataBar">
      <dataBar>
        <cfvo type="min"/>
        <cfvo type="max"/>
        <color rgb="FF638EC6"/>
      </dataBar>
    </cfRule>
    <cfRule priority="881" type="dataBar">
      <dataBar>
        <cfvo type="percent" val="0"/>
        <cfvo type="percentile" val="100"/>
        <color rgb="FF638EC6"/>
      </dataBar>
    </cfRule>
    <cfRule priority="882" type="dataBar">
      <dataBar>
        <cfvo type="percent" val="0"/>
        <cfvo type="percent" val="100"/>
        <color rgb="FF638EC6"/>
      </dataBar>
    </cfRule>
  </conditionalFormatting>
  <conditionalFormatting sqref="O97">
    <cfRule priority="880" type="dataBar">
      <dataBar>
        <cfvo type="min"/>
        <cfvo type="max"/>
        <color rgb="FF638EC6"/>
      </dataBar>
    </cfRule>
  </conditionalFormatting>
  <conditionalFormatting sqref="G97">
    <cfRule priority="879" type="dataBar">
      <dataBar>
        <cfvo type="min"/>
        <cfvo type="max"/>
        <color rgb="FF638EC6"/>
      </dataBar>
    </cfRule>
  </conditionalFormatting>
  <conditionalFormatting sqref="P97">
    <cfRule priority="878" type="dataBar">
      <dataBar>
        <cfvo type="min"/>
        <cfvo type="max"/>
        <color rgb="FF638EC6"/>
      </dataBar>
    </cfRule>
  </conditionalFormatting>
  <conditionalFormatting sqref="K97">
    <cfRule priority="877" type="dataBar">
      <dataBar>
        <cfvo type="min"/>
        <cfvo type="max"/>
        <color rgb="FF638EC6"/>
      </dataBar>
    </cfRule>
  </conditionalFormatting>
  <conditionalFormatting sqref="M73">
    <cfRule priority="870" type="dataBar">
      <dataBar>
        <cfvo type="min"/>
        <cfvo type="max"/>
        <color rgb="FF638EC6"/>
      </dataBar>
    </cfRule>
    <cfRule priority="874" type="dataBar">
      <dataBar>
        <cfvo type="percent" val="0"/>
        <cfvo type="percentile" val="100"/>
        <color rgb="FF638EC6"/>
      </dataBar>
    </cfRule>
    <cfRule priority="875" type="dataBar">
      <dataBar>
        <cfvo type="percent" val="0"/>
        <cfvo type="percent" val="100"/>
        <color rgb="FF638EC6"/>
      </dataBar>
    </cfRule>
  </conditionalFormatting>
  <conditionalFormatting sqref="O73">
    <cfRule priority="873" type="dataBar">
      <dataBar>
        <cfvo type="min"/>
        <cfvo type="max"/>
        <color rgb="FF638EC6"/>
      </dataBar>
    </cfRule>
  </conditionalFormatting>
  <conditionalFormatting sqref="G73">
    <cfRule priority="872" type="dataBar">
      <dataBar>
        <cfvo type="min"/>
        <cfvo type="max"/>
        <color rgb="FF638EC6"/>
      </dataBar>
    </cfRule>
  </conditionalFormatting>
  <conditionalFormatting sqref="K73">
    <cfRule priority="871" type="dataBar">
      <dataBar>
        <cfvo type="min"/>
        <cfvo type="max"/>
        <color rgb="FF638EC6"/>
      </dataBar>
    </cfRule>
  </conditionalFormatting>
  <conditionalFormatting sqref="E2">
    <cfRule priority="862" type="dataBar">
      <dataBar>
        <cfvo type="min"/>
        <cfvo type="max"/>
        <color rgb="FF638EC6"/>
      </dataBar>
    </cfRule>
  </conditionalFormatting>
  <conditionalFormatting sqref="E2 M2">
    <cfRule priority="868" type="dataBar">
      <dataBar>
        <cfvo type="percent" val="0"/>
        <cfvo type="percentile" val="100"/>
        <color rgb="FF638EC6"/>
      </dataBar>
    </cfRule>
    <cfRule priority="869" type="dataBar">
      <dataBar>
        <cfvo type="percent" val="0"/>
        <cfvo type="percent" val="100"/>
        <color rgb="FF638EC6"/>
      </dataBar>
    </cfRule>
  </conditionalFormatting>
  <conditionalFormatting sqref="O2">
    <cfRule priority="867" type="dataBar">
      <dataBar>
        <cfvo type="min"/>
        <cfvo type="max"/>
        <color rgb="FF638EC6"/>
      </dataBar>
    </cfRule>
  </conditionalFormatting>
  <conditionalFormatting sqref="G2">
    <cfRule priority="866" type="dataBar">
      <dataBar>
        <cfvo type="min"/>
        <cfvo type="max"/>
        <color rgb="FF638EC6"/>
      </dataBar>
    </cfRule>
  </conditionalFormatting>
  <conditionalFormatting sqref="P2">
    <cfRule priority="865" type="dataBar">
      <dataBar>
        <cfvo type="min"/>
        <cfvo type="max"/>
        <color rgb="FF638EC6"/>
      </dataBar>
    </cfRule>
  </conditionalFormatting>
  <conditionalFormatting sqref="K2">
    <cfRule priority="864" type="dataBar">
      <dataBar>
        <cfvo type="min"/>
        <cfvo type="max"/>
        <color rgb="FF638EC6"/>
      </dataBar>
    </cfRule>
  </conditionalFormatting>
  <conditionalFormatting sqref="M2">
    <cfRule priority="863" type="dataBar">
      <dataBar>
        <cfvo type="min"/>
        <cfvo type="max"/>
        <color rgb="FF638EC6"/>
      </dataBar>
    </cfRule>
  </conditionalFormatting>
  <conditionalFormatting sqref="E112:E220">
    <cfRule priority="852" type="dataBar">
      <dataBar>
        <cfvo type="min"/>
        <cfvo type="max"/>
        <color rgb="FF638EC6"/>
      </dataBar>
    </cfRule>
  </conditionalFormatting>
  <conditionalFormatting sqref="E112:E220 M112:M220">
    <cfRule priority="859" type="dataBar">
      <dataBar>
        <cfvo type="percent" val="0"/>
        <cfvo type="percentile" val="100"/>
        <color rgb="FF638EC6"/>
      </dataBar>
    </cfRule>
    <cfRule priority="860" type="dataBar">
      <dataBar>
        <cfvo type="percent" val="0"/>
        <cfvo type="percent" val="100"/>
        <color rgb="FF638EC6"/>
      </dataBar>
    </cfRule>
  </conditionalFormatting>
  <conditionalFormatting sqref="O112:O220">
    <cfRule priority="857" type="dataBar">
      <dataBar>
        <cfvo type="min"/>
        <cfvo type="max"/>
        <color rgb="FF638EC6"/>
      </dataBar>
    </cfRule>
  </conditionalFormatting>
  <conditionalFormatting sqref="G112:G220">
    <cfRule priority="856" type="dataBar">
      <dataBar>
        <cfvo type="min"/>
        <cfvo type="max"/>
        <color rgb="FF638EC6"/>
      </dataBar>
    </cfRule>
  </conditionalFormatting>
  <conditionalFormatting sqref="P112:P220">
    <cfRule priority="855" type="dataBar">
      <dataBar>
        <cfvo type="min"/>
        <cfvo type="max"/>
        <color rgb="FF638EC6"/>
      </dataBar>
    </cfRule>
  </conditionalFormatting>
  <conditionalFormatting sqref="K112:K220">
    <cfRule priority="854" type="dataBar">
      <dataBar>
        <cfvo type="min"/>
        <cfvo type="max"/>
        <color rgb="FF638EC6"/>
      </dataBar>
    </cfRule>
  </conditionalFormatting>
  <conditionalFormatting sqref="M112:M220">
    <cfRule priority="853" type="dataBar">
      <dataBar>
        <cfvo type="min"/>
        <cfvo type="max"/>
        <color rgb="FF638EC6"/>
      </dataBar>
    </cfRule>
  </conditionalFormatting>
  <conditionalFormatting sqref="Q112:R221 Q236:R236 Q291:R294 Q296:R297 Q301:Q302 Q349:R351">
    <cfRule priority="849" type="dataBar">
      <dataBar>
        <cfvo type="min"/>
        <cfvo type="max"/>
        <color rgb="FF638EC6"/>
      </dataBar>
    </cfRule>
  </conditionalFormatting>
  <conditionalFormatting sqref="E222:E225">
    <cfRule priority="840" type="dataBar">
      <dataBar>
        <cfvo type="min"/>
        <cfvo type="max"/>
        <color rgb="FF638EC6"/>
      </dataBar>
    </cfRule>
  </conditionalFormatting>
  <conditionalFormatting sqref="E222:E225 M222:M225">
    <cfRule priority="846" type="dataBar">
      <dataBar>
        <cfvo type="percent" val="0"/>
        <cfvo type="percentile" val="100"/>
        <color rgb="FF638EC6"/>
      </dataBar>
    </cfRule>
    <cfRule priority="847" type="dataBar">
      <dataBar>
        <cfvo type="percent" val="0"/>
        <cfvo type="percent" val="100"/>
        <color rgb="FF638EC6"/>
      </dataBar>
    </cfRule>
  </conditionalFormatting>
  <conditionalFormatting sqref="O222:O225">
    <cfRule priority="845" type="dataBar">
      <dataBar>
        <cfvo type="min"/>
        <cfvo type="max"/>
        <color rgb="FF638EC6"/>
      </dataBar>
    </cfRule>
  </conditionalFormatting>
  <conditionalFormatting sqref="G222:G225">
    <cfRule priority="844" type="dataBar">
      <dataBar>
        <cfvo type="min"/>
        <cfvo type="max"/>
        <color rgb="FF638EC6"/>
      </dataBar>
    </cfRule>
  </conditionalFormatting>
  <conditionalFormatting sqref="P222:P225">
    <cfRule priority="843" type="dataBar">
      <dataBar>
        <cfvo type="min"/>
        <cfvo type="max"/>
        <color rgb="FF638EC6"/>
      </dataBar>
    </cfRule>
  </conditionalFormatting>
  <conditionalFormatting sqref="K222:K225">
    <cfRule priority="842" type="dataBar">
      <dataBar>
        <cfvo type="min"/>
        <cfvo type="max"/>
        <color rgb="FF638EC6"/>
      </dataBar>
    </cfRule>
  </conditionalFormatting>
  <conditionalFormatting sqref="M222:M225">
    <cfRule priority="841" type="dataBar">
      <dataBar>
        <cfvo type="min"/>
        <cfvo type="max"/>
        <color rgb="FF638EC6"/>
      </dataBar>
    </cfRule>
  </conditionalFormatting>
  <conditionalFormatting sqref="Q222:R225">
    <cfRule priority="839" type="dataBar">
      <dataBar>
        <cfvo type="min"/>
        <cfvo type="max"/>
        <color rgb="FF638EC6"/>
      </dataBar>
    </cfRule>
  </conditionalFormatting>
  <conditionalFormatting sqref="E1:E225 E236 E291:E294 E349:E1048576">
    <cfRule priority="788" type="dataBar">
      <dataBar>
        <cfvo type="min"/>
        <cfvo type="max"/>
        <color rgb="FF638EC6"/>
      </dataBar>
    </cfRule>
  </conditionalFormatting>
  <conditionalFormatting sqref="I1">
    <cfRule priority="820" type="dataBar">
      <dataBar>
        <cfvo type="percent" val="0"/>
        <cfvo type="percentile" val="100"/>
        <color rgb="FF638EC6"/>
      </dataBar>
    </cfRule>
    <cfRule priority="821" type="dataBar">
      <dataBar>
        <cfvo type="percent" val="0"/>
        <cfvo type="percent" val="100"/>
        <color rgb="FF638EC6"/>
      </dataBar>
    </cfRule>
    <cfRule priority="822" type="dataBar">
      <dataBar>
        <cfvo type="min"/>
        <cfvo type="max"/>
        <color rgb="FF638EC6"/>
      </dataBar>
    </cfRule>
  </conditionalFormatting>
  <conditionalFormatting sqref="I1 I3:I72 I74:I96 I111 I221 I236 I291:I294 I296:I299 I325 I349:I1048576">
    <cfRule priority="819" type="dataBar">
      <dataBar>
        <cfvo type="min"/>
        <cfvo type="max"/>
        <color rgb="FF638EC6"/>
      </dataBar>
    </cfRule>
  </conditionalFormatting>
  <conditionalFormatting sqref="I98:I110">
    <cfRule priority="818" type="dataBar">
      <dataBar>
        <cfvo type="min"/>
        <cfvo type="max"/>
        <color rgb="FF638EC6"/>
      </dataBar>
    </cfRule>
  </conditionalFormatting>
  <conditionalFormatting sqref="I97">
    <cfRule priority="817" type="dataBar">
      <dataBar>
        <cfvo type="min"/>
        <cfvo type="max"/>
        <color rgb="FF638EC6"/>
      </dataBar>
    </cfRule>
  </conditionalFormatting>
  <conditionalFormatting sqref="I73">
    <cfRule priority="816" type="dataBar">
      <dataBar>
        <cfvo type="min"/>
        <cfvo type="max"/>
        <color rgb="FF638EC6"/>
      </dataBar>
    </cfRule>
  </conditionalFormatting>
  <conditionalFormatting sqref="I2">
    <cfRule priority="815" type="dataBar">
      <dataBar>
        <cfvo type="min"/>
        <cfvo type="max"/>
        <color rgb="FF638EC6"/>
      </dataBar>
    </cfRule>
  </conditionalFormatting>
  <conditionalFormatting sqref="I112:I220">
    <cfRule priority="814" type="dataBar">
      <dataBar>
        <cfvo type="min"/>
        <cfvo type="max"/>
        <color rgb="FF638EC6"/>
      </dataBar>
    </cfRule>
  </conditionalFormatting>
  <conditionalFormatting sqref="I222:I225">
    <cfRule priority="813" type="dataBar">
      <dataBar>
        <cfvo type="min"/>
        <cfvo type="max"/>
        <color rgb="FF638EC6"/>
      </dataBar>
    </cfRule>
  </conditionalFormatting>
  <conditionalFormatting sqref="H1">
    <cfRule priority="810" type="dataBar">
      <dataBar>
        <cfvo type="percent" val="0"/>
        <cfvo type="percentile" val="100"/>
        <color rgb="FF638EC6"/>
      </dataBar>
    </cfRule>
    <cfRule priority="811" type="dataBar">
      <dataBar>
        <cfvo type="percent" val="0"/>
        <cfvo type="percent" val="100"/>
        <color rgb="FF638EC6"/>
      </dataBar>
    </cfRule>
    <cfRule priority="812" type="dataBar">
      <dataBar>
        <cfvo type="min"/>
        <cfvo type="max"/>
        <color rgb="FF638EC6"/>
      </dataBar>
    </cfRule>
  </conditionalFormatting>
  <conditionalFormatting sqref="H1 H3:H72 H74:H96 H111 H221 H236 H291:H294 H296 H298:H299 H325 H349:H1048576">
    <cfRule priority="809" type="dataBar">
      <dataBar>
        <cfvo type="min"/>
        <cfvo type="max"/>
        <color rgb="FF638EC6"/>
      </dataBar>
    </cfRule>
  </conditionalFormatting>
  <conditionalFormatting sqref="H98:H110">
    <cfRule priority="808" type="dataBar">
      <dataBar>
        <cfvo type="min"/>
        <cfvo type="max"/>
        <color rgb="FF638EC6"/>
      </dataBar>
    </cfRule>
  </conditionalFormatting>
  <conditionalFormatting sqref="H97">
    <cfRule priority="807" type="dataBar">
      <dataBar>
        <cfvo type="min"/>
        <cfvo type="max"/>
        <color rgb="FF638EC6"/>
      </dataBar>
    </cfRule>
  </conditionalFormatting>
  <conditionalFormatting sqref="H73">
    <cfRule priority="806" type="dataBar">
      <dataBar>
        <cfvo type="min"/>
        <cfvo type="max"/>
        <color rgb="FF638EC6"/>
      </dataBar>
    </cfRule>
  </conditionalFormatting>
  <conditionalFormatting sqref="H2">
    <cfRule priority="805" type="dataBar">
      <dataBar>
        <cfvo type="min"/>
        <cfvo type="max"/>
        <color rgb="FF638EC6"/>
      </dataBar>
    </cfRule>
  </conditionalFormatting>
  <conditionalFormatting sqref="H112:H220">
    <cfRule priority="804" type="dataBar">
      <dataBar>
        <cfvo type="min"/>
        <cfvo type="max"/>
        <color rgb="FF638EC6"/>
      </dataBar>
    </cfRule>
  </conditionalFormatting>
  <conditionalFormatting sqref="H222:H225">
    <cfRule priority="803" type="dataBar">
      <dataBar>
        <cfvo type="min"/>
        <cfvo type="max"/>
        <color rgb="FF638EC6"/>
      </dataBar>
    </cfRule>
  </conditionalFormatting>
  <conditionalFormatting sqref="J1">
    <cfRule priority="800" type="dataBar">
      <dataBar>
        <cfvo type="percent" val="0"/>
        <cfvo type="percentile" val="100"/>
        <color rgb="FF638EC6"/>
      </dataBar>
    </cfRule>
    <cfRule priority="801" type="dataBar">
      <dataBar>
        <cfvo type="percent" val="0"/>
        <cfvo type="percent" val="100"/>
        <color rgb="FF638EC6"/>
      </dataBar>
    </cfRule>
    <cfRule priority="802" type="dataBar">
      <dataBar>
        <cfvo type="min"/>
        <cfvo type="max"/>
        <color rgb="FF638EC6"/>
      </dataBar>
    </cfRule>
  </conditionalFormatting>
  <conditionalFormatting sqref="J1 J3:J72 J74:J96 J111 J221 J236 J291:J294 J296:J299 J325 J349:J1048576">
    <cfRule priority="799" type="dataBar">
      <dataBar>
        <cfvo type="min"/>
        <cfvo type="max"/>
        <color rgb="FF638EC6"/>
      </dataBar>
    </cfRule>
  </conditionalFormatting>
  <conditionalFormatting sqref="J98:J110">
    <cfRule priority="798" type="dataBar">
      <dataBar>
        <cfvo type="min"/>
        <cfvo type="max"/>
        <color rgb="FF638EC6"/>
      </dataBar>
    </cfRule>
  </conditionalFormatting>
  <conditionalFormatting sqref="J97">
    <cfRule priority="797" type="dataBar">
      <dataBar>
        <cfvo type="min"/>
        <cfvo type="max"/>
        <color rgb="FF638EC6"/>
      </dataBar>
    </cfRule>
  </conditionalFormatting>
  <conditionalFormatting sqref="J73">
    <cfRule priority="796" type="dataBar">
      <dataBar>
        <cfvo type="min"/>
        <cfvo type="max"/>
        <color rgb="FF638EC6"/>
      </dataBar>
    </cfRule>
  </conditionalFormatting>
  <conditionalFormatting sqref="J2">
    <cfRule priority="795" type="dataBar">
      <dataBar>
        <cfvo type="min"/>
        <cfvo type="max"/>
        <color rgb="FF638EC6"/>
      </dataBar>
    </cfRule>
  </conditionalFormatting>
  <conditionalFormatting sqref="J112:J220">
    <cfRule priority="794" type="dataBar">
      <dataBar>
        <cfvo type="min"/>
        <cfvo type="max"/>
        <color rgb="FF638EC6"/>
      </dataBar>
    </cfRule>
  </conditionalFormatting>
  <conditionalFormatting sqref="J222:J225">
    <cfRule priority="793" type="dataBar">
      <dataBar>
        <cfvo type="min"/>
        <cfvo type="max"/>
        <color rgb="FF638EC6"/>
      </dataBar>
    </cfRule>
  </conditionalFormatting>
  <conditionalFormatting sqref="H1:H225 H236 H291:H294 H296 H298:H299 H325 H349:H1048576">
    <cfRule priority="792" type="dataBar">
      <dataBar>
        <cfvo type="min"/>
        <cfvo type="max"/>
        <color rgb="FF638EC6"/>
      </dataBar>
    </cfRule>
  </conditionalFormatting>
  <conditionalFormatting sqref="G1:G225 G236 G291:G294 G296:G299 G325 G349:G1048576">
    <cfRule priority="791" type="dataBar">
      <dataBar>
        <cfvo type="min"/>
        <cfvo type="max"/>
        <color rgb="FF638EC6"/>
      </dataBar>
    </cfRule>
  </conditionalFormatting>
  <conditionalFormatting sqref="I1:I225 I236 I291:I294 I296:I299 I325 I349:I1048576">
    <cfRule priority="790" type="dataBar">
      <dataBar>
        <cfvo type="min"/>
        <cfvo type="max"/>
        <color rgb="FF638EC6"/>
      </dataBar>
    </cfRule>
  </conditionalFormatting>
  <conditionalFormatting sqref="J1:J225 J236 J291:J294 J296:J299 J325 J349:J1048576">
    <cfRule priority="789" type="dataBar">
      <dataBar>
        <cfvo type="min"/>
        <cfvo type="max"/>
        <color rgb="FF638EC6"/>
      </dataBar>
    </cfRule>
  </conditionalFormatting>
  <conditionalFormatting sqref="E296:E299 E301:E304">
    <cfRule priority="787" type="dataBar">
      <dataBar>
        <cfvo type="min"/>
        <cfvo type="max"/>
        <color rgb="FF638EC6"/>
      </dataBar>
    </cfRule>
  </conditionalFormatting>
  <conditionalFormatting sqref="E226">
    <cfRule priority="769" type="dataBar">
      <dataBar>
        <cfvo type="min"/>
        <cfvo type="max"/>
        <color rgb="FF638EC6"/>
      </dataBar>
    </cfRule>
    <cfRule priority="778" type="dataBar">
      <dataBar>
        <cfvo type="min"/>
        <cfvo type="max"/>
        <color rgb="FF638EC6"/>
      </dataBar>
    </cfRule>
  </conditionalFormatting>
  <conditionalFormatting sqref="E226 M226">
    <cfRule priority="785" type="dataBar">
      <dataBar>
        <cfvo type="percent" val="0"/>
        <cfvo type="percentile" val="100"/>
        <color rgb="FF638EC6"/>
      </dataBar>
    </cfRule>
    <cfRule priority="786" type="dataBar">
      <dataBar>
        <cfvo type="percent" val="0"/>
        <cfvo type="percent" val="100"/>
        <color rgb="FF638EC6"/>
      </dataBar>
    </cfRule>
  </conditionalFormatting>
  <conditionalFormatting sqref="Q226:R226">
    <cfRule priority="784" type="dataBar">
      <dataBar>
        <cfvo type="min"/>
        <cfvo type="max"/>
        <color rgb="FF638EC6"/>
      </dataBar>
    </cfRule>
  </conditionalFormatting>
  <conditionalFormatting sqref="O226">
    <cfRule priority="783" type="dataBar">
      <dataBar>
        <cfvo type="min"/>
        <cfvo type="max"/>
        <color rgb="FF638EC6"/>
      </dataBar>
    </cfRule>
  </conditionalFormatting>
  <conditionalFormatting sqref="G226">
    <cfRule priority="772" type="dataBar">
      <dataBar>
        <cfvo type="min"/>
        <cfvo type="max"/>
        <color rgb="FF638EC6"/>
      </dataBar>
    </cfRule>
    <cfRule priority="782" type="dataBar">
      <dataBar>
        <cfvo type="min"/>
        <cfvo type="max"/>
        <color rgb="FF638EC6"/>
      </dataBar>
    </cfRule>
  </conditionalFormatting>
  <conditionalFormatting sqref="P226">
    <cfRule priority="781" type="dataBar">
      <dataBar>
        <cfvo type="min"/>
        <cfvo type="max"/>
        <color rgb="FF638EC6"/>
      </dataBar>
    </cfRule>
  </conditionalFormatting>
  <conditionalFormatting sqref="K226">
    <cfRule priority="780" type="dataBar">
      <dataBar>
        <cfvo type="min"/>
        <cfvo type="max"/>
        <color rgb="FF638EC6"/>
      </dataBar>
    </cfRule>
  </conditionalFormatting>
  <conditionalFormatting sqref="M226">
    <cfRule priority="779" type="dataBar">
      <dataBar>
        <cfvo type="min"/>
        <cfvo type="max"/>
        <color rgb="FF638EC6"/>
      </dataBar>
    </cfRule>
  </conditionalFormatting>
  <conditionalFormatting sqref="I226">
    <cfRule priority="771" type="dataBar">
      <dataBar>
        <cfvo type="min"/>
        <cfvo type="max"/>
        <color rgb="FF638EC6"/>
      </dataBar>
    </cfRule>
    <cfRule priority="776" type="dataBar">
      <dataBar>
        <cfvo type="min"/>
        <cfvo type="max"/>
        <color rgb="FF638EC6"/>
      </dataBar>
    </cfRule>
  </conditionalFormatting>
  <conditionalFormatting sqref="H226">
    <cfRule priority="773" type="dataBar">
      <dataBar>
        <cfvo type="min"/>
        <cfvo type="max"/>
        <color rgb="FF638EC6"/>
      </dataBar>
    </cfRule>
    <cfRule priority="775" type="dataBar">
      <dataBar>
        <cfvo type="min"/>
        <cfvo type="max"/>
        <color rgb="FF638EC6"/>
      </dataBar>
    </cfRule>
  </conditionalFormatting>
  <conditionalFormatting sqref="J226">
    <cfRule priority="770" type="dataBar">
      <dataBar>
        <cfvo type="min"/>
        <cfvo type="max"/>
        <color rgb="FF638EC6"/>
      </dataBar>
    </cfRule>
    <cfRule priority="774" type="dataBar">
      <dataBar>
        <cfvo type="min"/>
        <cfvo type="max"/>
        <color rgb="FF638EC6"/>
      </dataBar>
    </cfRule>
  </conditionalFormatting>
  <conditionalFormatting sqref="E227:E230">
    <cfRule priority="751" type="dataBar">
      <dataBar>
        <cfvo type="min"/>
        <cfvo type="max"/>
        <color rgb="FF638EC6"/>
      </dataBar>
    </cfRule>
    <cfRule priority="761" type="dataBar">
      <dataBar>
        <cfvo type="min"/>
        <cfvo type="max"/>
        <color rgb="FF638EC6"/>
      </dataBar>
    </cfRule>
  </conditionalFormatting>
  <conditionalFormatting sqref="E227:E230 M227:M230">
    <cfRule priority="767" type="dataBar">
      <dataBar>
        <cfvo type="percent" val="0"/>
        <cfvo type="percentile" val="100"/>
        <color rgb="FF638EC6"/>
      </dataBar>
    </cfRule>
    <cfRule priority="768" type="dataBar">
      <dataBar>
        <cfvo type="percent" val="0"/>
        <cfvo type="percent" val="100"/>
        <color rgb="FF638EC6"/>
      </dataBar>
    </cfRule>
  </conditionalFormatting>
  <conditionalFormatting sqref="O227:O230">
    <cfRule priority="766" type="dataBar">
      <dataBar>
        <cfvo type="min"/>
        <cfvo type="max"/>
        <color rgb="FF638EC6"/>
      </dataBar>
    </cfRule>
  </conditionalFormatting>
  <conditionalFormatting sqref="G227:G230">
    <cfRule priority="754" type="dataBar">
      <dataBar>
        <cfvo type="min"/>
        <cfvo type="max"/>
        <color rgb="FF638EC6"/>
      </dataBar>
    </cfRule>
    <cfRule priority="765" type="dataBar">
      <dataBar>
        <cfvo type="min"/>
        <cfvo type="max"/>
        <color rgb="FF638EC6"/>
      </dataBar>
    </cfRule>
  </conditionalFormatting>
  <conditionalFormatting sqref="P227:P230">
    <cfRule priority="764" type="dataBar">
      <dataBar>
        <cfvo type="min"/>
        <cfvo type="max"/>
        <color rgb="FF638EC6"/>
      </dataBar>
    </cfRule>
  </conditionalFormatting>
  <conditionalFormatting sqref="K227:K230">
    <cfRule priority="763" type="dataBar">
      <dataBar>
        <cfvo type="min"/>
        <cfvo type="max"/>
        <color rgb="FF638EC6"/>
      </dataBar>
    </cfRule>
  </conditionalFormatting>
  <conditionalFormatting sqref="M227:M230">
    <cfRule priority="762" type="dataBar">
      <dataBar>
        <cfvo type="min"/>
        <cfvo type="max"/>
        <color rgb="FF638EC6"/>
      </dataBar>
    </cfRule>
  </conditionalFormatting>
  <conditionalFormatting sqref="Q227:R230">
    <cfRule priority="760" type="dataBar">
      <dataBar>
        <cfvo type="min"/>
        <cfvo type="max"/>
        <color rgb="FF638EC6"/>
      </dataBar>
    </cfRule>
  </conditionalFormatting>
  <conditionalFormatting sqref="I227:I230">
    <cfRule priority="753" type="dataBar">
      <dataBar>
        <cfvo type="min"/>
        <cfvo type="max"/>
        <color rgb="FF638EC6"/>
      </dataBar>
    </cfRule>
    <cfRule priority="758" type="dataBar">
      <dataBar>
        <cfvo type="min"/>
        <cfvo type="max"/>
        <color rgb="FF638EC6"/>
      </dataBar>
    </cfRule>
  </conditionalFormatting>
  <conditionalFormatting sqref="H227:H230">
    <cfRule priority="755" type="dataBar">
      <dataBar>
        <cfvo type="min"/>
        <cfvo type="max"/>
        <color rgb="FF638EC6"/>
      </dataBar>
    </cfRule>
    <cfRule priority="757" type="dataBar">
      <dataBar>
        <cfvo type="min"/>
        <cfvo type="max"/>
        <color rgb="FF638EC6"/>
      </dataBar>
    </cfRule>
  </conditionalFormatting>
  <conditionalFormatting sqref="J227:J230">
    <cfRule priority="752" type="dataBar">
      <dataBar>
        <cfvo type="min"/>
        <cfvo type="max"/>
        <color rgb="FF638EC6"/>
      </dataBar>
    </cfRule>
    <cfRule priority="756" type="dataBar">
      <dataBar>
        <cfvo type="min"/>
        <cfvo type="max"/>
        <color rgb="FF638EC6"/>
      </dataBar>
    </cfRule>
  </conditionalFormatting>
  <conditionalFormatting sqref="E231">
    <cfRule priority="733" type="dataBar">
      <dataBar>
        <cfvo type="min"/>
        <cfvo type="max"/>
        <color rgb="FF638EC6"/>
      </dataBar>
    </cfRule>
    <cfRule priority="742" type="dataBar">
      <dataBar>
        <cfvo type="min"/>
        <cfvo type="max"/>
        <color rgb="FF638EC6"/>
      </dataBar>
    </cfRule>
  </conditionalFormatting>
  <conditionalFormatting sqref="E231 M231">
    <cfRule priority="749" type="dataBar">
      <dataBar>
        <cfvo type="percent" val="0"/>
        <cfvo type="percentile" val="100"/>
        <color rgb="FF638EC6"/>
      </dataBar>
    </cfRule>
    <cfRule priority="750" type="dataBar">
      <dataBar>
        <cfvo type="percent" val="0"/>
        <cfvo type="percent" val="100"/>
        <color rgb="FF638EC6"/>
      </dataBar>
    </cfRule>
  </conditionalFormatting>
  <conditionalFormatting sqref="Q231:R231">
    <cfRule priority="748" type="dataBar">
      <dataBar>
        <cfvo type="min"/>
        <cfvo type="max"/>
        <color rgb="FF638EC6"/>
      </dataBar>
    </cfRule>
  </conditionalFormatting>
  <conditionalFormatting sqref="O231">
    <cfRule priority="747" type="dataBar">
      <dataBar>
        <cfvo type="min"/>
        <cfvo type="max"/>
        <color rgb="FF638EC6"/>
      </dataBar>
    </cfRule>
  </conditionalFormatting>
  <conditionalFormatting sqref="G231">
    <cfRule priority="736" type="dataBar">
      <dataBar>
        <cfvo type="min"/>
        <cfvo type="max"/>
        <color rgb="FF638EC6"/>
      </dataBar>
    </cfRule>
    <cfRule priority="746" type="dataBar">
      <dataBar>
        <cfvo type="min"/>
        <cfvo type="max"/>
        <color rgb="FF638EC6"/>
      </dataBar>
    </cfRule>
  </conditionalFormatting>
  <conditionalFormatting sqref="P231">
    <cfRule priority="745" type="dataBar">
      <dataBar>
        <cfvo type="min"/>
        <cfvo type="max"/>
        <color rgb="FF638EC6"/>
      </dataBar>
    </cfRule>
  </conditionalFormatting>
  <conditionalFormatting sqref="K231">
    <cfRule priority="744" type="dataBar">
      <dataBar>
        <cfvo type="min"/>
        <cfvo type="max"/>
        <color rgb="FF638EC6"/>
      </dataBar>
    </cfRule>
  </conditionalFormatting>
  <conditionalFormatting sqref="M231">
    <cfRule priority="743" type="dataBar">
      <dataBar>
        <cfvo type="min"/>
        <cfvo type="max"/>
        <color rgb="FF638EC6"/>
      </dataBar>
    </cfRule>
  </conditionalFormatting>
  <conditionalFormatting sqref="I231">
    <cfRule priority="735" type="dataBar">
      <dataBar>
        <cfvo type="min"/>
        <cfvo type="max"/>
        <color rgb="FF638EC6"/>
      </dataBar>
    </cfRule>
    <cfRule priority="740" type="dataBar">
      <dataBar>
        <cfvo type="min"/>
        <cfvo type="max"/>
        <color rgb="FF638EC6"/>
      </dataBar>
    </cfRule>
  </conditionalFormatting>
  <conditionalFormatting sqref="H231">
    <cfRule priority="737" type="dataBar">
      <dataBar>
        <cfvo type="min"/>
        <cfvo type="max"/>
        <color rgb="FF638EC6"/>
      </dataBar>
    </cfRule>
    <cfRule priority="739" type="dataBar">
      <dataBar>
        <cfvo type="min"/>
        <cfvo type="max"/>
        <color rgb="FF638EC6"/>
      </dataBar>
    </cfRule>
  </conditionalFormatting>
  <conditionalFormatting sqref="J231">
    <cfRule priority="734" type="dataBar">
      <dataBar>
        <cfvo type="min"/>
        <cfvo type="max"/>
        <color rgb="FF638EC6"/>
      </dataBar>
    </cfRule>
    <cfRule priority="738" type="dataBar">
      <dataBar>
        <cfvo type="min"/>
        <cfvo type="max"/>
        <color rgb="FF638EC6"/>
      </dataBar>
    </cfRule>
  </conditionalFormatting>
  <conditionalFormatting sqref="E232:E235">
    <cfRule priority="715" type="dataBar">
      <dataBar>
        <cfvo type="min"/>
        <cfvo type="max"/>
        <color rgb="FF638EC6"/>
      </dataBar>
    </cfRule>
    <cfRule priority="725" type="dataBar">
      <dataBar>
        <cfvo type="min"/>
        <cfvo type="max"/>
        <color rgb="FF638EC6"/>
      </dataBar>
    </cfRule>
  </conditionalFormatting>
  <conditionalFormatting sqref="E232:E235 M232:M235">
    <cfRule priority="731" type="dataBar">
      <dataBar>
        <cfvo type="percent" val="0"/>
        <cfvo type="percentile" val="100"/>
        <color rgb="FF638EC6"/>
      </dataBar>
    </cfRule>
    <cfRule priority="732" type="dataBar">
      <dataBar>
        <cfvo type="percent" val="0"/>
        <cfvo type="percent" val="100"/>
        <color rgb="FF638EC6"/>
      </dataBar>
    </cfRule>
  </conditionalFormatting>
  <conditionalFormatting sqref="O232:O235">
    <cfRule priority="730" type="dataBar">
      <dataBar>
        <cfvo type="min"/>
        <cfvo type="max"/>
        <color rgb="FF638EC6"/>
      </dataBar>
    </cfRule>
  </conditionalFormatting>
  <conditionalFormatting sqref="G232:G235">
    <cfRule priority="718" type="dataBar">
      <dataBar>
        <cfvo type="min"/>
        <cfvo type="max"/>
        <color rgb="FF638EC6"/>
      </dataBar>
    </cfRule>
    <cfRule priority="729" type="dataBar">
      <dataBar>
        <cfvo type="min"/>
        <cfvo type="max"/>
        <color rgb="FF638EC6"/>
      </dataBar>
    </cfRule>
  </conditionalFormatting>
  <conditionalFormatting sqref="P232:P235">
    <cfRule priority="728" type="dataBar">
      <dataBar>
        <cfvo type="min"/>
        <cfvo type="max"/>
        <color rgb="FF638EC6"/>
      </dataBar>
    </cfRule>
  </conditionalFormatting>
  <conditionalFormatting sqref="K232:K235">
    <cfRule priority="727" type="dataBar">
      <dataBar>
        <cfvo type="min"/>
        <cfvo type="max"/>
        <color rgb="FF638EC6"/>
      </dataBar>
    </cfRule>
  </conditionalFormatting>
  <conditionalFormatting sqref="M232:M235">
    <cfRule priority="726" type="dataBar">
      <dataBar>
        <cfvo type="min"/>
        <cfvo type="max"/>
        <color rgb="FF638EC6"/>
      </dataBar>
    </cfRule>
  </conditionalFormatting>
  <conditionalFormatting sqref="Q232:R235">
    <cfRule priority="724" type="dataBar">
      <dataBar>
        <cfvo type="min"/>
        <cfvo type="max"/>
        <color rgb="FF638EC6"/>
      </dataBar>
    </cfRule>
  </conditionalFormatting>
  <conditionalFormatting sqref="I232:I235">
    <cfRule priority="717" type="dataBar">
      <dataBar>
        <cfvo type="min"/>
        <cfvo type="max"/>
        <color rgb="FF638EC6"/>
      </dataBar>
    </cfRule>
    <cfRule priority="722" type="dataBar">
      <dataBar>
        <cfvo type="min"/>
        <cfvo type="max"/>
        <color rgb="FF638EC6"/>
      </dataBar>
    </cfRule>
  </conditionalFormatting>
  <conditionalFormatting sqref="H232:H235">
    <cfRule priority="719" type="dataBar">
      <dataBar>
        <cfvo type="min"/>
        <cfvo type="max"/>
        <color rgb="FF638EC6"/>
      </dataBar>
    </cfRule>
    <cfRule priority="721" type="dataBar">
      <dataBar>
        <cfvo type="min"/>
        <cfvo type="max"/>
        <color rgb="FF638EC6"/>
      </dataBar>
    </cfRule>
  </conditionalFormatting>
  <conditionalFormatting sqref="J232:J235">
    <cfRule priority="716" type="dataBar">
      <dataBar>
        <cfvo type="min"/>
        <cfvo type="max"/>
        <color rgb="FF638EC6"/>
      </dataBar>
    </cfRule>
    <cfRule priority="720" type="dataBar">
      <dataBar>
        <cfvo type="min"/>
        <cfvo type="max"/>
        <color rgb="FF638EC6"/>
      </dataBar>
    </cfRule>
  </conditionalFormatting>
  <conditionalFormatting sqref="E241">
    <cfRule priority="697" type="dataBar">
      <dataBar>
        <cfvo type="min"/>
        <cfvo type="max"/>
        <color rgb="FF638EC6"/>
      </dataBar>
    </cfRule>
    <cfRule priority="706" type="dataBar">
      <dataBar>
        <cfvo type="min"/>
        <cfvo type="max"/>
        <color rgb="FF638EC6"/>
      </dataBar>
    </cfRule>
  </conditionalFormatting>
  <conditionalFormatting sqref="E241 M241">
    <cfRule priority="713" type="dataBar">
      <dataBar>
        <cfvo type="percent" val="0"/>
        <cfvo type="percentile" val="100"/>
        <color rgb="FF638EC6"/>
      </dataBar>
    </cfRule>
    <cfRule priority="714" type="dataBar">
      <dataBar>
        <cfvo type="percent" val="0"/>
        <cfvo type="percent" val="100"/>
        <color rgb="FF638EC6"/>
      </dataBar>
    </cfRule>
  </conditionalFormatting>
  <conditionalFormatting sqref="Q241:R241">
    <cfRule priority="712" type="dataBar">
      <dataBar>
        <cfvo type="min"/>
        <cfvo type="max"/>
        <color rgb="FF638EC6"/>
      </dataBar>
    </cfRule>
  </conditionalFormatting>
  <conditionalFormatting sqref="O241">
    <cfRule priority="711" type="dataBar">
      <dataBar>
        <cfvo type="min"/>
        <cfvo type="max"/>
        <color rgb="FF638EC6"/>
      </dataBar>
    </cfRule>
  </conditionalFormatting>
  <conditionalFormatting sqref="G241">
    <cfRule priority="700" type="dataBar">
      <dataBar>
        <cfvo type="min"/>
        <cfvo type="max"/>
        <color rgb="FF638EC6"/>
      </dataBar>
    </cfRule>
    <cfRule priority="710" type="dataBar">
      <dataBar>
        <cfvo type="min"/>
        <cfvo type="max"/>
        <color rgb="FF638EC6"/>
      </dataBar>
    </cfRule>
  </conditionalFormatting>
  <conditionalFormatting sqref="P241">
    <cfRule priority="709" type="dataBar">
      <dataBar>
        <cfvo type="min"/>
        <cfvo type="max"/>
        <color rgb="FF638EC6"/>
      </dataBar>
    </cfRule>
  </conditionalFormatting>
  <conditionalFormatting sqref="K241">
    <cfRule priority="708" type="dataBar">
      <dataBar>
        <cfvo type="min"/>
        <cfvo type="max"/>
        <color rgb="FF638EC6"/>
      </dataBar>
    </cfRule>
  </conditionalFormatting>
  <conditionalFormatting sqref="M241">
    <cfRule priority="707" type="dataBar">
      <dataBar>
        <cfvo type="min"/>
        <cfvo type="max"/>
        <color rgb="FF638EC6"/>
      </dataBar>
    </cfRule>
  </conditionalFormatting>
  <conditionalFormatting sqref="I241">
    <cfRule priority="699" type="dataBar">
      <dataBar>
        <cfvo type="min"/>
        <cfvo type="max"/>
        <color rgb="FF638EC6"/>
      </dataBar>
    </cfRule>
    <cfRule priority="704" type="dataBar">
      <dataBar>
        <cfvo type="min"/>
        <cfvo type="max"/>
        <color rgb="FF638EC6"/>
      </dataBar>
    </cfRule>
  </conditionalFormatting>
  <conditionalFormatting sqref="H241">
    <cfRule priority="701" type="dataBar">
      <dataBar>
        <cfvo type="min"/>
        <cfvo type="max"/>
        <color rgb="FF638EC6"/>
      </dataBar>
    </cfRule>
    <cfRule priority="703" type="dataBar">
      <dataBar>
        <cfvo type="min"/>
        <cfvo type="max"/>
        <color rgb="FF638EC6"/>
      </dataBar>
    </cfRule>
  </conditionalFormatting>
  <conditionalFormatting sqref="J241">
    <cfRule priority="698" type="dataBar">
      <dataBar>
        <cfvo type="min"/>
        <cfvo type="max"/>
        <color rgb="FF638EC6"/>
      </dataBar>
    </cfRule>
    <cfRule priority="702" type="dataBar">
      <dataBar>
        <cfvo type="min"/>
        <cfvo type="max"/>
        <color rgb="FF638EC6"/>
      </dataBar>
    </cfRule>
  </conditionalFormatting>
  <conditionalFormatting sqref="E237:E240">
    <cfRule priority="679" type="dataBar">
      <dataBar>
        <cfvo type="min"/>
        <cfvo type="max"/>
        <color rgb="FF638EC6"/>
      </dataBar>
    </cfRule>
    <cfRule priority="689" type="dataBar">
      <dataBar>
        <cfvo type="min"/>
        <cfvo type="max"/>
        <color rgb="FF638EC6"/>
      </dataBar>
    </cfRule>
  </conditionalFormatting>
  <conditionalFormatting sqref="E237:E240 M237:M240">
    <cfRule priority="695" type="dataBar">
      <dataBar>
        <cfvo type="percent" val="0"/>
        <cfvo type="percentile" val="100"/>
        <color rgb="FF638EC6"/>
      </dataBar>
    </cfRule>
    <cfRule priority="696" type="dataBar">
      <dataBar>
        <cfvo type="percent" val="0"/>
        <cfvo type="percent" val="100"/>
        <color rgb="FF638EC6"/>
      </dataBar>
    </cfRule>
  </conditionalFormatting>
  <conditionalFormatting sqref="O237:O240">
    <cfRule priority="694" type="dataBar">
      <dataBar>
        <cfvo type="min"/>
        <cfvo type="max"/>
        <color rgb="FF638EC6"/>
      </dataBar>
    </cfRule>
  </conditionalFormatting>
  <conditionalFormatting sqref="G237:G240">
    <cfRule priority="682" type="dataBar">
      <dataBar>
        <cfvo type="min"/>
        <cfvo type="max"/>
        <color rgb="FF638EC6"/>
      </dataBar>
    </cfRule>
    <cfRule priority="693" type="dataBar">
      <dataBar>
        <cfvo type="min"/>
        <cfvo type="max"/>
        <color rgb="FF638EC6"/>
      </dataBar>
    </cfRule>
  </conditionalFormatting>
  <conditionalFormatting sqref="P237:P240">
    <cfRule priority="692" type="dataBar">
      <dataBar>
        <cfvo type="min"/>
        <cfvo type="max"/>
        <color rgb="FF638EC6"/>
      </dataBar>
    </cfRule>
  </conditionalFormatting>
  <conditionalFormatting sqref="K237:K240">
    <cfRule priority="691" type="dataBar">
      <dataBar>
        <cfvo type="min"/>
        <cfvo type="max"/>
        <color rgb="FF638EC6"/>
      </dataBar>
    </cfRule>
  </conditionalFormatting>
  <conditionalFormatting sqref="M237:M240">
    <cfRule priority="690" type="dataBar">
      <dataBar>
        <cfvo type="min"/>
        <cfvo type="max"/>
        <color rgb="FF638EC6"/>
      </dataBar>
    </cfRule>
  </conditionalFormatting>
  <conditionalFormatting sqref="Q237:R240">
    <cfRule priority="688" type="dataBar">
      <dataBar>
        <cfvo type="min"/>
        <cfvo type="max"/>
        <color rgb="FF638EC6"/>
      </dataBar>
    </cfRule>
  </conditionalFormatting>
  <conditionalFormatting sqref="I237:I240">
    <cfRule priority="681" type="dataBar">
      <dataBar>
        <cfvo type="min"/>
        <cfvo type="max"/>
        <color rgb="FF638EC6"/>
      </dataBar>
    </cfRule>
    <cfRule priority="686" type="dataBar">
      <dataBar>
        <cfvo type="min"/>
        <cfvo type="max"/>
        <color rgb="FF638EC6"/>
      </dataBar>
    </cfRule>
  </conditionalFormatting>
  <conditionalFormatting sqref="H237:H240">
    <cfRule priority="683" type="dataBar">
      <dataBar>
        <cfvo type="min"/>
        <cfvo type="max"/>
        <color rgb="FF638EC6"/>
      </dataBar>
    </cfRule>
    <cfRule priority="685" type="dataBar">
      <dataBar>
        <cfvo type="min"/>
        <cfvo type="max"/>
        <color rgb="FF638EC6"/>
      </dataBar>
    </cfRule>
  </conditionalFormatting>
  <conditionalFormatting sqref="J237:J240">
    <cfRule priority="680" type="dataBar">
      <dataBar>
        <cfvo type="min"/>
        <cfvo type="max"/>
        <color rgb="FF638EC6"/>
      </dataBar>
    </cfRule>
    <cfRule priority="684" type="dataBar">
      <dataBar>
        <cfvo type="min"/>
        <cfvo type="max"/>
        <color rgb="FF638EC6"/>
      </dataBar>
    </cfRule>
  </conditionalFormatting>
  <conditionalFormatting sqref="E246">
    <cfRule priority="661" type="dataBar">
      <dataBar>
        <cfvo type="min"/>
        <cfvo type="max"/>
        <color rgb="FF638EC6"/>
      </dataBar>
    </cfRule>
    <cfRule priority="670" type="dataBar">
      <dataBar>
        <cfvo type="min"/>
        <cfvo type="max"/>
        <color rgb="FF638EC6"/>
      </dataBar>
    </cfRule>
  </conditionalFormatting>
  <conditionalFormatting sqref="E246 M246">
    <cfRule priority="677" type="dataBar">
      <dataBar>
        <cfvo type="percent" val="0"/>
        <cfvo type="percentile" val="100"/>
        <color rgb="FF638EC6"/>
      </dataBar>
    </cfRule>
    <cfRule priority="678" type="dataBar">
      <dataBar>
        <cfvo type="percent" val="0"/>
        <cfvo type="percent" val="100"/>
        <color rgb="FF638EC6"/>
      </dataBar>
    </cfRule>
  </conditionalFormatting>
  <conditionalFormatting sqref="Q246:R246">
    <cfRule priority="676" type="dataBar">
      <dataBar>
        <cfvo type="min"/>
        <cfvo type="max"/>
        <color rgb="FF638EC6"/>
      </dataBar>
    </cfRule>
  </conditionalFormatting>
  <conditionalFormatting sqref="O246">
    <cfRule priority="675" type="dataBar">
      <dataBar>
        <cfvo type="min"/>
        <cfvo type="max"/>
        <color rgb="FF638EC6"/>
      </dataBar>
    </cfRule>
  </conditionalFormatting>
  <conditionalFormatting sqref="G246">
    <cfRule priority="664" type="dataBar">
      <dataBar>
        <cfvo type="min"/>
        <cfvo type="max"/>
        <color rgb="FF638EC6"/>
      </dataBar>
    </cfRule>
    <cfRule priority="674" type="dataBar">
      <dataBar>
        <cfvo type="min"/>
        <cfvo type="max"/>
        <color rgb="FF638EC6"/>
      </dataBar>
    </cfRule>
  </conditionalFormatting>
  <conditionalFormatting sqref="P246">
    <cfRule priority="673" type="dataBar">
      <dataBar>
        <cfvo type="min"/>
        <cfvo type="max"/>
        <color rgb="FF638EC6"/>
      </dataBar>
    </cfRule>
  </conditionalFormatting>
  <conditionalFormatting sqref="K246">
    <cfRule priority="672" type="dataBar">
      <dataBar>
        <cfvo type="min"/>
        <cfvo type="max"/>
        <color rgb="FF638EC6"/>
      </dataBar>
    </cfRule>
  </conditionalFormatting>
  <conditionalFormatting sqref="M246">
    <cfRule priority="671" type="dataBar">
      <dataBar>
        <cfvo type="min"/>
        <cfvo type="max"/>
        <color rgb="FF638EC6"/>
      </dataBar>
    </cfRule>
  </conditionalFormatting>
  <conditionalFormatting sqref="I246">
    <cfRule priority="663" type="dataBar">
      <dataBar>
        <cfvo type="min"/>
        <cfvo type="max"/>
        <color rgb="FF638EC6"/>
      </dataBar>
    </cfRule>
    <cfRule priority="668" type="dataBar">
      <dataBar>
        <cfvo type="min"/>
        <cfvo type="max"/>
        <color rgb="FF638EC6"/>
      </dataBar>
    </cfRule>
  </conditionalFormatting>
  <conditionalFormatting sqref="H246">
    <cfRule priority="665" type="dataBar">
      <dataBar>
        <cfvo type="min"/>
        <cfvo type="max"/>
        <color rgb="FF638EC6"/>
      </dataBar>
    </cfRule>
    <cfRule priority="667" type="dataBar">
      <dataBar>
        <cfvo type="min"/>
        <cfvo type="max"/>
        <color rgb="FF638EC6"/>
      </dataBar>
    </cfRule>
  </conditionalFormatting>
  <conditionalFormatting sqref="J246">
    <cfRule priority="662" type="dataBar">
      <dataBar>
        <cfvo type="min"/>
        <cfvo type="max"/>
        <color rgb="FF638EC6"/>
      </dataBar>
    </cfRule>
    <cfRule priority="666" type="dataBar">
      <dataBar>
        <cfvo type="min"/>
        <cfvo type="max"/>
        <color rgb="FF638EC6"/>
      </dataBar>
    </cfRule>
  </conditionalFormatting>
  <conditionalFormatting sqref="E242:E245">
    <cfRule priority="643" type="dataBar">
      <dataBar>
        <cfvo type="min"/>
        <cfvo type="max"/>
        <color rgb="FF638EC6"/>
      </dataBar>
    </cfRule>
    <cfRule priority="653" type="dataBar">
      <dataBar>
        <cfvo type="min"/>
        <cfvo type="max"/>
        <color rgb="FF638EC6"/>
      </dataBar>
    </cfRule>
  </conditionalFormatting>
  <conditionalFormatting sqref="E242:E245 M242:M245">
    <cfRule priority="659" type="dataBar">
      <dataBar>
        <cfvo type="percent" val="0"/>
        <cfvo type="percentile" val="100"/>
        <color rgb="FF638EC6"/>
      </dataBar>
    </cfRule>
    <cfRule priority="660" type="dataBar">
      <dataBar>
        <cfvo type="percent" val="0"/>
        <cfvo type="percent" val="100"/>
        <color rgb="FF638EC6"/>
      </dataBar>
    </cfRule>
  </conditionalFormatting>
  <conditionalFormatting sqref="O242:O245">
    <cfRule priority="658" type="dataBar">
      <dataBar>
        <cfvo type="min"/>
        <cfvo type="max"/>
        <color rgb="FF638EC6"/>
      </dataBar>
    </cfRule>
  </conditionalFormatting>
  <conditionalFormatting sqref="G242:G245">
    <cfRule priority="646" type="dataBar">
      <dataBar>
        <cfvo type="min"/>
        <cfvo type="max"/>
        <color rgb="FF638EC6"/>
      </dataBar>
    </cfRule>
    <cfRule priority="657" type="dataBar">
      <dataBar>
        <cfvo type="min"/>
        <cfvo type="max"/>
        <color rgb="FF638EC6"/>
      </dataBar>
    </cfRule>
  </conditionalFormatting>
  <conditionalFormatting sqref="P242:P245">
    <cfRule priority="656" type="dataBar">
      <dataBar>
        <cfvo type="min"/>
        <cfvo type="max"/>
        <color rgb="FF638EC6"/>
      </dataBar>
    </cfRule>
  </conditionalFormatting>
  <conditionalFormatting sqref="K242:K245">
    <cfRule priority="655" type="dataBar">
      <dataBar>
        <cfvo type="min"/>
        <cfvo type="max"/>
        <color rgb="FF638EC6"/>
      </dataBar>
    </cfRule>
  </conditionalFormatting>
  <conditionalFormatting sqref="M242:M245">
    <cfRule priority="654" type="dataBar">
      <dataBar>
        <cfvo type="min"/>
        <cfvo type="max"/>
        <color rgb="FF638EC6"/>
      </dataBar>
    </cfRule>
  </conditionalFormatting>
  <conditionalFormatting sqref="Q242:R245">
    <cfRule priority="652" type="dataBar">
      <dataBar>
        <cfvo type="min"/>
        <cfvo type="max"/>
        <color rgb="FF638EC6"/>
      </dataBar>
    </cfRule>
  </conditionalFormatting>
  <conditionalFormatting sqref="I242:I245">
    <cfRule priority="645" type="dataBar">
      <dataBar>
        <cfvo type="min"/>
        <cfvo type="max"/>
        <color rgb="FF638EC6"/>
      </dataBar>
    </cfRule>
    <cfRule priority="650" type="dataBar">
      <dataBar>
        <cfvo type="min"/>
        <cfvo type="max"/>
        <color rgb="FF638EC6"/>
      </dataBar>
    </cfRule>
  </conditionalFormatting>
  <conditionalFormatting sqref="H242:H245">
    <cfRule priority="647" type="dataBar">
      <dataBar>
        <cfvo type="min"/>
        <cfvo type="max"/>
        <color rgb="FF638EC6"/>
      </dataBar>
    </cfRule>
    <cfRule priority="649" type="dataBar">
      <dataBar>
        <cfvo type="min"/>
        <cfvo type="max"/>
        <color rgb="FF638EC6"/>
      </dataBar>
    </cfRule>
  </conditionalFormatting>
  <conditionalFormatting sqref="J242:J245">
    <cfRule priority="644" type="dataBar">
      <dataBar>
        <cfvo type="min"/>
        <cfvo type="max"/>
        <color rgb="FF638EC6"/>
      </dataBar>
    </cfRule>
    <cfRule priority="648" type="dataBar">
      <dataBar>
        <cfvo type="min"/>
        <cfvo type="max"/>
        <color rgb="FF638EC6"/>
      </dataBar>
    </cfRule>
  </conditionalFormatting>
  <conditionalFormatting sqref="J98">
    <cfRule priority="642" type="dataBar">
      <dataBar>
        <cfvo type="min"/>
        <cfvo type="max"/>
        <color rgb="FF638EC6"/>
      </dataBar>
    </cfRule>
  </conditionalFormatting>
  <conditionalFormatting sqref="E300">
    <cfRule priority="631" type="dataBar">
      <dataBar>
        <cfvo type="min"/>
        <cfvo type="max"/>
        <color rgb="FF638EC6"/>
      </dataBar>
    </cfRule>
    <cfRule priority="641" type="dataBar">
      <dataBar>
        <cfvo type="min"/>
        <cfvo type="max"/>
        <color rgb="FF638EC6"/>
      </dataBar>
    </cfRule>
  </conditionalFormatting>
  <conditionalFormatting sqref="E300 M300:M304">
    <cfRule priority="640" type="dataBar">
      <dataBar>
        <cfvo type="percent" val="0"/>
        <cfvo type="percentile" val="100"/>
        <color rgb="FF638EC6"/>
      </dataBar>
    </cfRule>
    <cfRule priority="911" type="dataBar">
      <dataBar>
        <cfvo type="percent" val="0"/>
        <cfvo type="percent" val="100"/>
        <color rgb="FF638EC6"/>
      </dataBar>
    </cfRule>
  </conditionalFormatting>
  <conditionalFormatting sqref="Q300:R300 R301:R304">
    <cfRule priority="639" type="dataBar">
      <dataBar>
        <cfvo type="min"/>
        <cfvo type="max"/>
        <color rgb="FF638EC6"/>
      </dataBar>
    </cfRule>
  </conditionalFormatting>
  <conditionalFormatting sqref="O300:O304">
    <cfRule priority="638" type="dataBar">
      <dataBar>
        <cfvo type="min"/>
        <cfvo type="max"/>
        <color rgb="FF638EC6"/>
      </dataBar>
    </cfRule>
  </conditionalFormatting>
  <conditionalFormatting sqref="G300:G304">
    <cfRule priority="627" type="dataBar">
      <dataBar>
        <cfvo type="min"/>
        <cfvo type="max"/>
        <color rgb="FF638EC6"/>
      </dataBar>
    </cfRule>
    <cfRule priority="637" type="dataBar">
      <dataBar>
        <cfvo type="min"/>
        <cfvo type="max"/>
        <color rgb="FF638EC6"/>
      </dataBar>
    </cfRule>
  </conditionalFormatting>
  <conditionalFormatting sqref="P300:P304">
    <cfRule priority="636" type="dataBar">
      <dataBar>
        <cfvo type="min"/>
        <cfvo type="max"/>
        <color rgb="FF638EC6"/>
      </dataBar>
    </cfRule>
  </conditionalFormatting>
  <conditionalFormatting sqref="K300:K304">
    <cfRule priority="635" type="dataBar">
      <dataBar>
        <cfvo type="min"/>
        <cfvo type="max"/>
        <color rgb="FF638EC6"/>
      </dataBar>
    </cfRule>
  </conditionalFormatting>
  <conditionalFormatting sqref="M300:M304">
    <cfRule priority="634" type="dataBar">
      <dataBar>
        <cfvo type="min"/>
        <cfvo type="max"/>
        <color rgb="FF638EC6"/>
      </dataBar>
    </cfRule>
  </conditionalFormatting>
  <conditionalFormatting sqref="I300:I304">
    <cfRule priority="626" type="dataBar">
      <dataBar>
        <cfvo type="min"/>
        <cfvo type="max"/>
        <color rgb="FF638EC6"/>
      </dataBar>
    </cfRule>
    <cfRule priority="912" type="dataBar">
      <dataBar>
        <cfvo type="min"/>
        <cfvo type="max"/>
        <color rgb="FF638EC6"/>
      </dataBar>
    </cfRule>
  </conditionalFormatting>
  <conditionalFormatting sqref="H300:H304">
    <cfRule priority="628" type="dataBar">
      <dataBar>
        <cfvo type="min"/>
        <cfvo type="max"/>
        <color rgb="FF638EC6"/>
      </dataBar>
    </cfRule>
    <cfRule priority="630" type="dataBar">
      <dataBar>
        <cfvo type="min"/>
        <cfvo type="max"/>
        <color rgb="FF638EC6"/>
      </dataBar>
    </cfRule>
  </conditionalFormatting>
  <conditionalFormatting sqref="J300:J304">
    <cfRule priority="625" type="dataBar">
      <dataBar>
        <cfvo type="min"/>
        <cfvo type="max"/>
        <color rgb="FF638EC6"/>
      </dataBar>
    </cfRule>
    <cfRule priority="629" type="dataBar">
      <dataBar>
        <cfvo type="min"/>
        <cfvo type="max"/>
        <color rgb="FF638EC6"/>
      </dataBar>
    </cfRule>
  </conditionalFormatting>
  <conditionalFormatting sqref="E305 E325">
    <cfRule priority="606" type="dataBar">
      <dataBar>
        <cfvo type="min"/>
        <cfvo type="max"/>
        <color rgb="FF638EC6"/>
      </dataBar>
    </cfRule>
    <cfRule priority="615" type="dataBar">
      <dataBar>
        <cfvo type="min"/>
        <cfvo type="max"/>
        <color rgb="FF638EC6"/>
      </dataBar>
    </cfRule>
  </conditionalFormatting>
  <conditionalFormatting sqref="E305 E325 M305 M321:M324">
    <cfRule priority="622" type="dataBar">
      <dataBar>
        <cfvo type="percent" val="0"/>
        <cfvo type="percentile" val="100"/>
        <color rgb="FF638EC6"/>
      </dataBar>
    </cfRule>
    <cfRule priority="623" type="dataBar">
      <dataBar>
        <cfvo type="percent" val="0"/>
        <cfvo type="percent" val="100"/>
        <color rgb="FF638EC6"/>
      </dataBar>
    </cfRule>
  </conditionalFormatting>
  <conditionalFormatting sqref="Q322:R324 R305 R321">
    <cfRule priority="621" type="dataBar">
      <dataBar>
        <cfvo type="min"/>
        <cfvo type="max"/>
        <color rgb="FF638EC6"/>
      </dataBar>
    </cfRule>
  </conditionalFormatting>
  <conditionalFormatting sqref="O305 O321:O324">
    <cfRule priority="620" type="dataBar">
      <dataBar>
        <cfvo type="min"/>
        <cfvo type="max"/>
        <color rgb="FF638EC6"/>
      </dataBar>
    </cfRule>
  </conditionalFormatting>
  <conditionalFormatting sqref="G305 G321:G324">
    <cfRule priority="609" type="dataBar">
      <dataBar>
        <cfvo type="min"/>
        <cfvo type="max"/>
        <color rgb="FF638EC6"/>
      </dataBar>
    </cfRule>
    <cfRule priority="619" type="dataBar">
      <dataBar>
        <cfvo type="min"/>
        <cfvo type="max"/>
        <color rgb="FF638EC6"/>
      </dataBar>
    </cfRule>
  </conditionalFormatting>
  <conditionalFormatting sqref="P321:P324">
    <cfRule priority="618" type="dataBar">
      <dataBar>
        <cfvo type="min"/>
        <cfvo type="max"/>
        <color rgb="FF638EC6"/>
      </dataBar>
    </cfRule>
  </conditionalFormatting>
  <conditionalFormatting sqref="K305 K321:K324">
    <cfRule priority="617" type="dataBar">
      <dataBar>
        <cfvo type="min"/>
        <cfvo type="max"/>
        <color rgb="FF638EC6"/>
      </dataBar>
    </cfRule>
  </conditionalFormatting>
  <conditionalFormatting sqref="M305 M321:M324">
    <cfRule priority="616" type="dataBar">
      <dataBar>
        <cfvo type="min"/>
        <cfvo type="max"/>
        <color rgb="FF638EC6"/>
      </dataBar>
    </cfRule>
  </conditionalFormatting>
  <conditionalFormatting sqref="I305 I321:I324">
    <cfRule priority="608" type="dataBar">
      <dataBar>
        <cfvo type="min"/>
        <cfvo type="max"/>
        <color rgb="FF638EC6"/>
      </dataBar>
    </cfRule>
    <cfRule priority="613" type="dataBar">
      <dataBar>
        <cfvo type="min"/>
        <cfvo type="max"/>
        <color rgb="FF638EC6"/>
      </dataBar>
    </cfRule>
  </conditionalFormatting>
  <conditionalFormatting sqref="H305 H321:H324">
    <cfRule priority="610" type="dataBar">
      <dataBar>
        <cfvo type="min"/>
        <cfvo type="max"/>
        <color rgb="FF638EC6"/>
      </dataBar>
    </cfRule>
    <cfRule priority="612" type="dataBar">
      <dataBar>
        <cfvo type="min"/>
        <cfvo type="max"/>
        <color rgb="FF638EC6"/>
      </dataBar>
    </cfRule>
  </conditionalFormatting>
  <conditionalFormatting sqref="J305 J321:J324">
    <cfRule priority="607" type="dataBar">
      <dataBar>
        <cfvo type="min"/>
        <cfvo type="max"/>
        <color rgb="FF638EC6"/>
      </dataBar>
    </cfRule>
    <cfRule priority="611" type="dataBar">
      <dataBar>
        <cfvo type="min"/>
        <cfvo type="max"/>
        <color rgb="FF638EC6"/>
      </dataBar>
    </cfRule>
  </conditionalFormatting>
  <conditionalFormatting sqref="E256">
    <cfRule priority="588" type="dataBar">
      <dataBar>
        <cfvo type="min"/>
        <cfvo type="max"/>
        <color rgb="FF638EC6"/>
      </dataBar>
    </cfRule>
    <cfRule priority="597" type="dataBar">
      <dataBar>
        <cfvo type="min"/>
        <cfvo type="max"/>
        <color rgb="FF638EC6"/>
      </dataBar>
    </cfRule>
  </conditionalFormatting>
  <conditionalFormatting sqref="E256 M256">
    <cfRule priority="604" type="dataBar">
      <dataBar>
        <cfvo type="percent" val="0"/>
        <cfvo type="percentile" val="100"/>
        <color rgb="FF638EC6"/>
      </dataBar>
    </cfRule>
    <cfRule priority="605" type="dataBar">
      <dataBar>
        <cfvo type="percent" val="0"/>
        <cfvo type="percent" val="100"/>
        <color rgb="FF638EC6"/>
      </dataBar>
    </cfRule>
  </conditionalFormatting>
  <conditionalFormatting sqref="Q256:R256">
    <cfRule priority="603" type="dataBar">
      <dataBar>
        <cfvo type="min"/>
        <cfvo type="max"/>
        <color rgb="FF638EC6"/>
      </dataBar>
    </cfRule>
  </conditionalFormatting>
  <conditionalFormatting sqref="O256">
    <cfRule priority="602" type="dataBar">
      <dataBar>
        <cfvo type="min"/>
        <cfvo type="max"/>
        <color rgb="FF638EC6"/>
      </dataBar>
    </cfRule>
  </conditionalFormatting>
  <conditionalFormatting sqref="G256">
    <cfRule priority="591" type="dataBar">
      <dataBar>
        <cfvo type="min"/>
        <cfvo type="max"/>
        <color rgb="FF638EC6"/>
      </dataBar>
    </cfRule>
    <cfRule priority="601" type="dataBar">
      <dataBar>
        <cfvo type="min"/>
        <cfvo type="max"/>
        <color rgb="FF638EC6"/>
      </dataBar>
    </cfRule>
  </conditionalFormatting>
  <conditionalFormatting sqref="P256">
    <cfRule priority="600" type="dataBar">
      <dataBar>
        <cfvo type="min"/>
        <cfvo type="max"/>
        <color rgb="FF638EC6"/>
      </dataBar>
    </cfRule>
  </conditionalFormatting>
  <conditionalFormatting sqref="K256">
    <cfRule priority="599" type="dataBar">
      <dataBar>
        <cfvo type="min"/>
        <cfvo type="max"/>
        <color rgb="FF638EC6"/>
      </dataBar>
    </cfRule>
  </conditionalFormatting>
  <conditionalFormatting sqref="M256">
    <cfRule priority="598" type="dataBar">
      <dataBar>
        <cfvo type="min"/>
        <cfvo type="max"/>
        <color rgb="FF638EC6"/>
      </dataBar>
    </cfRule>
  </conditionalFormatting>
  <conditionalFormatting sqref="I256">
    <cfRule priority="590" type="dataBar">
      <dataBar>
        <cfvo type="min"/>
        <cfvo type="max"/>
        <color rgb="FF638EC6"/>
      </dataBar>
    </cfRule>
    <cfRule priority="595" type="dataBar">
      <dataBar>
        <cfvo type="min"/>
        <cfvo type="max"/>
        <color rgb="FF638EC6"/>
      </dataBar>
    </cfRule>
  </conditionalFormatting>
  <conditionalFormatting sqref="H256">
    <cfRule priority="592" type="dataBar">
      <dataBar>
        <cfvo type="min"/>
        <cfvo type="max"/>
        <color rgb="FF638EC6"/>
      </dataBar>
    </cfRule>
    <cfRule priority="594" type="dataBar">
      <dataBar>
        <cfvo type="min"/>
        <cfvo type="max"/>
        <color rgb="FF638EC6"/>
      </dataBar>
    </cfRule>
  </conditionalFormatting>
  <conditionalFormatting sqref="J256">
    <cfRule priority="589" type="dataBar">
      <dataBar>
        <cfvo type="min"/>
        <cfvo type="max"/>
        <color rgb="FF638EC6"/>
      </dataBar>
    </cfRule>
    <cfRule priority="593" type="dataBar">
      <dataBar>
        <cfvo type="min"/>
        <cfvo type="max"/>
        <color rgb="FF638EC6"/>
      </dataBar>
    </cfRule>
  </conditionalFormatting>
  <conditionalFormatting sqref="Q321">
    <cfRule priority="587" type="dataBar">
      <dataBar>
        <cfvo type="min"/>
        <cfvo type="max"/>
        <color rgb="FF638EC6"/>
      </dataBar>
    </cfRule>
  </conditionalFormatting>
  <conditionalFormatting sqref="Q340 Q346:Q348">
    <cfRule priority="581" type="dataBar">
      <dataBar>
        <cfvo type="min"/>
        <cfvo type="max"/>
        <color rgb="FF638EC6"/>
      </dataBar>
    </cfRule>
  </conditionalFormatting>
  <conditionalFormatting sqref="M335 M340 M346:M348">
    <cfRule priority="586" type="dataBar">
      <dataBar>
        <cfvo type="min"/>
        <cfvo type="max"/>
        <color rgb="FF638EC6"/>
      </dataBar>
    </cfRule>
  </conditionalFormatting>
  <conditionalFormatting sqref="E335 E340 E346:E348">
    <cfRule priority="585" type="dataBar">
      <dataBar>
        <cfvo type="min"/>
        <cfvo type="max"/>
        <color rgb="FF638EC6"/>
      </dataBar>
    </cfRule>
  </conditionalFormatting>
  <conditionalFormatting sqref="G335:J335 G340:J340 G346:J348">
    <cfRule priority="584" type="dataBar">
      <dataBar>
        <cfvo type="min"/>
        <cfvo type="max"/>
        <color rgb="FF638EC6"/>
      </dataBar>
    </cfRule>
  </conditionalFormatting>
  <conditionalFormatting sqref="O335 O340 O346:O348">
    <cfRule priority="583" type="dataBar">
      <dataBar>
        <cfvo type="min"/>
        <cfvo type="max"/>
        <color rgb="FF638EC6"/>
      </dataBar>
    </cfRule>
  </conditionalFormatting>
  <conditionalFormatting sqref="E251">
    <cfRule priority="561" type="dataBar">
      <dataBar>
        <cfvo type="min"/>
        <cfvo type="max"/>
        <color rgb="FF638EC6"/>
      </dataBar>
    </cfRule>
    <cfRule priority="570" type="dataBar">
      <dataBar>
        <cfvo type="min"/>
        <cfvo type="max"/>
        <color rgb="FF638EC6"/>
      </dataBar>
    </cfRule>
  </conditionalFormatting>
  <conditionalFormatting sqref="E251 M251">
    <cfRule priority="577" type="dataBar">
      <dataBar>
        <cfvo type="percent" val="0"/>
        <cfvo type="percentile" val="100"/>
        <color rgb="FF638EC6"/>
      </dataBar>
    </cfRule>
    <cfRule priority="578" type="dataBar">
      <dataBar>
        <cfvo type="percent" val="0"/>
        <cfvo type="percent" val="100"/>
        <color rgb="FF638EC6"/>
      </dataBar>
    </cfRule>
  </conditionalFormatting>
  <conditionalFormatting sqref="Q251:R251">
    <cfRule priority="576" type="dataBar">
      <dataBar>
        <cfvo type="min"/>
        <cfvo type="max"/>
        <color rgb="FF638EC6"/>
      </dataBar>
    </cfRule>
  </conditionalFormatting>
  <conditionalFormatting sqref="O251">
    <cfRule priority="575" type="dataBar">
      <dataBar>
        <cfvo type="min"/>
        <cfvo type="max"/>
        <color rgb="FF638EC6"/>
      </dataBar>
    </cfRule>
  </conditionalFormatting>
  <conditionalFormatting sqref="G251">
    <cfRule priority="564" type="dataBar">
      <dataBar>
        <cfvo type="min"/>
        <cfvo type="max"/>
        <color rgb="FF638EC6"/>
      </dataBar>
    </cfRule>
    <cfRule priority="574" type="dataBar">
      <dataBar>
        <cfvo type="min"/>
        <cfvo type="max"/>
        <color rgb="FF638EC6"/>
      </dataBar>
    </cfRule>
  </conditionalFormatting>
  <conditionalFormatting sqref="P251">
    <cfRule priority="573" type="dataBar">
      <dataBar>
        <cfvo type="min"/>
        <cfvo type="max"/>
        <color rgb="FF638EC6"/>
      </dataBar>
    </cfRule>
  </conditionalFormatting>
  <conditionalFormatting sqref="K251">
    <cfRule priority="572" type="dataBar">
      <dataBar>
        <cfvo type="min"/>
        <cfvo type="max"/>
        <color rgb="FF638EC6"/>
      </dataBar>
    </cfRule>
  </conditionalFormatting>
  <conditionalFormatting sqref="M251">
    <cfRule priority="571" type="dataBar">
      <dataBar>
        <cfvo type="min"/>
        <cfvo type="max"/>
        <color rgb="FF638EC6"/>
      </dataBar>
    </cfRule>
  </conditionalFormatting>
  <conditionalFormatting sqref="I251">
    <cfRule priority="563" type="dataBar">
      <dataBar>
        <cfvo type="min"/>
        <cfvo type="max"/>
        <color rgb="FF638EC6"/>
      </dataBar>
    </cfRule>
    <cfRule priority="568" type="dataBar">
      <dataBar>
        <cfvo type="min"/>
        <cfvo type="max"/>
        <color rgb="FF638EC6"/>
      </dataBar>
    </cfRule>
  </conditionalFormatting>
  <conditionalFormatting sqref="H251">
    <cfRule priority="565" type="dataBar">
      <dataBar>
        <cfvo type="min"/>
        <cfvo type="max"/>
        <color rgb="FF638EC6"/>
      </dataBar>
    </cfRule>
    <cfRule priority="567" type="dataBar">
      <dataBar>
        <cfvo type="min"/>
        <cfvo type="max"/>
        <color rgb="FF638EC6"/>
      </dataBar>
    </cfRule>
  </conditionalFormatting>
  <conditionalFormatting sqref="J251">
    <cfRule priority="562" type="dataBar">
      <dataBar>
        <cfvo type="min"/>
        <cfvo type="max"/>
        <color rgb="FF638EC6"/>
      </dataBar>
    </cfRule>
    <cfRule priority="566" type="dataBar">
      <dataBar>
        <cfvo type="min"/>
        <cfvo type="max"/>
        <color rgb="FF638EC6"/>
      </dataBar>
    </cfRule>
  </conditionalFormatting>
  <conditionalFormatting sqref="E247:E250">
    <cfRule priority="542" type="dataBar">
      <dataBar>
        <cfvo type="min"/>
        <cfvo type="max"/>
        <color rgb="FF638EC6"/>
      </dataBar>
    </cfRule>
    <cfRule priority="552" type="dataBar">
      <dataBar>
        <cfvo type="min"/>
        <cfvo type="max"/>
        <color rgb="FF638EC6"/>
      </dataBar>
    </cfRule>
  </conditionalFormatting>
  <conditionalFormatting sqref="E247:E250 M247:M250">
    <cfRule priority="558" type="dataBar">
      <dataBar>
        <cfvo type="percent" val="0"/>
        <cfvo type="percentile" val="100"/>
        <color rgb="FF638EC6"/>
      </dataBar>
    </cfRule>
    <cfRule priority="559" type="dataBar">
      <dataBar>
        <cfvo type="percent" val="0"/>
        <cfvo type="percent" val="100"/>
        <color rgb="FF638EC6"/>
      </dataBar>
    </cfRule>
  </conditionalFormatting>
  <conditionalFormatting sqref="O247:O250">
    <cfRule priority="557" type="dataBar">
      <dataBar>
        <cfvo type="min"/>
        <cfvo type="max"/>
        <color rgb="FF638EC6"/>
      </dataBar>
    </cfRule>
  </conditionalFormatting>
  <conditionalFormatting sqref="G247:G250">
    <cfRule priority="545" type="dataBar">
      <dataBar>
        <cfvo type="min"/>
        <cfvo type="max"/>
        <color rgb="FF638EC6"/>
      </dataBar>
    </cfRule>
    <cfRule priority="556" type="dataBar">
      <dataBar>
        <cfvo type="min"/>
        <cfvo type="max"/>
        <color rgb="FF638EC6"/>
      </dataBar>
    </cfRule>
  </conditionalFormatting>
  <conditionalFormatting sqref="P247:P250">
    <cfRule priority="555" type="dataBar">
      <dataBar>
        <cfvo type="min"/>
        <cfvo type="max"/>
        <color rgb="FF638EC6"/>
      </dataBar>
    </cfRule>
  </conditionalFormatting>
  <conditionalFormatting sqref="K247:K250">
    <cfRule priority="554" type="dataBar">
      <dataBar>
        <cfvo type="min"/>
        <cfvo type="max"/>
        <color rgb="FF638EC6"/>
      </dataBar>
    </cfRule>
  </conditionalFormatting>
  <conditionalFormatting sqref="M247:M250">
    <cfRule priority="553" type="dataBar">
      <dataBar>
        <cfvo type="min"/>
        <cfvo type="max"/>
        <color rgb="FF638EC6"/>
      </dataBar>
    </cfRule>
  </conditionalFormatting>
  <conditionalFormatting sqref="Q247:R250">
    <cfRule priority="551" type="dataBar">
      <dataBar>
        <cfvo type="min"/>
        <cfvo type="max"/>
        <color rgb="FF638EC6"/>
      </dataBar>
    </cfRule>
  </conditionalFormatting>
  <conditionalFormatting sqref="I247:I250">
    <cfRule priority="544" type="dataBar">
      <dataBar>
        <cfvo type="min"/>
        <cfvo type="max"/>
        <color rgb="FF638EC6"/>
      </dataBar>
    </cfRule>
    <cfRule priority="549" type="dataBar">
      <dataBar>
        <cfvo type="min"/>
        <cfvo type="max"/>
        <color rgb="FF638EC6"/>
      </dataBar>
    </cfRule>
  </conditionalFormatting>
  <conditionalFormatting sqref="H247:H250">
    <cfRule priority="546" type="dataBar">
      <dataBar>
        <cfvo type="min"/>
        <cfvo type="max"/>
        <color rgb="FF638EC6"/>
      </dataBar>
    </cfRule>
    <cfRule priority="548" type="dataBar">
      <dataBar>
        <cfvo type="min"/>
        <cfvo type="max"/>
        <color rgb="FF638EC6"/>
      </dataBar>
    </cfRule>
  </conditionalFormatting>
  <conditionalFormatting sqref="J247:J250">
    <cfRule priority="543" type="dataBar">
      <dataBar>
        <cfvo type="min"/>
        <cfvo type="max"/>
        <color rgb="FF638EC6"/>
      </dataBar>
    </cfRule>
    <cfRule priority="547" type="dataBar">
      <dataBar>
        <cfvo type="min"/>
        <cfvo type="max"/>
        <color rgb="FF638EC6"/>
      </dataBar>
    </cfRule>
  </conditionalFormatting>
  <conditionalFormatting sqref="E252:E255">
    <cfRule priority="524" type="dataBar">
      <dataBar>
        <cfvo type="min"/>
        <cfvo type="max"/>
        <color rgb="FF638EC6"/>
      </dataBar>
    </cfRule>
    <cfRule priority="534" type="dataBar">
      <dataBar>
        <cfvo type="min"/>
        <cfvo type="max"/>
        <color rgb="FF638EC6"/>
      </dataBar>
    </cfRule>
  </conditionalFormatting>
  <conditionalFormatting sqref="E252:E255 M252:M255">
    <cfRule priority="540" type="dataBar">
      <dataBar>
        <cfvo type="percent" val="0"/>
        <cfvo type="percentile" val="100"/>
        <color rgb="FF638EC6"/>
      </dataBar>
    </cfRule>
    <cfRule priority="541" type="dataBar">
      <dataBar>
        <cfvo type="percent" val="0"/>
        <cfvo type="percent" val="100"/>
        <color rgb="FF638EC6"/>
      </dataBar>
    </cfRule>
  </conditionalFormatting>
  <conditionalFormatting sqref="O252:O255">
    <cfRule priority="539" type="dataBar">
      <dataBar>
        <cfvo type="min"/>
        <cfvo type="max"/>
        <color rgb="FF638EC6"/>
      </dataBar>
    </cfRule>
  </conditionalFormatting>
  <conditionalFormatting sqref="G252:G255">
    <cfRule priority="527" type="dataBar">
      <dataBar>
        <cfvo type="min"/>
        <cfvo type="max"/>
        <color rgb="FF638EC6"/>
      </dataBar>
    </cfRule>
    <cfRule priority="538" type="dataBar">
      <dataBar>
        <cfvo type="min"/>
        <cfvo type="max"/>
        <color rgb="FF638EC6"/>
      </dataBar>
    </cfRule>
  </conditionalFormatting>
  <conditionalFormatting sqref="P252:P255">
    <cfRule priority="537" type="dataBar">
      <dataBar>
        <cfvo type="min"/>
        <cfvo type="max"/>
        <color rgb="FF638EC6"/>
      </dataBar>
    </cfRule>
  </conditionalFormatting>
  <conditionalFormatting sqref="K252:K255">
    <cfRule priority="536" type="dataBar">
      <dataBar>
        <cfvo type="min"/>
        <cfvo type="max"/>
        <color rgb="FF638EC6"/>
      </dataBar>
    </cfRule>
  </conditionalFormatting>
  <conditionalFormatting sqref="M252:M255">
    <cfRule priority="535" type="dataBar">
      <dataBar>
        <cfvo type="min"/>
        <cfvo type="max"/>
        <color rgb="FF638EC6"/>
      </dataBar>
    </cfRule>
  </conditionalFormatting>
  <conditionalFormatting sqref="Q252:R255">
    <cfRule priority="533" type="dataBar">
      <dataBar>
        <cfvo type="min"/>
        <cfvo type="max"/>
        <color rgb="FF638EC6"/>
      </dataBar>
    </cfRule>
  </conditionalFormatting>
  <conditionalFormatting sqref="I252:I255">
    <cfRule priority="526" type="dataBar">
      <dataBar>
        <cfvo type="min"/>
        <cfvo type="max"/>
        <color rgb="FF638EC6"/>
      </dataBar>
    </cfRule>
    <cfRule priority="531" type="dataBar">
      <dataBar>
        <cfvo type="min"/>
        <cfvo type="max"/>
        <color rgb="FF638EC6"/>
      </dataBar>
    </cfRule>
  </conditionalFormatting>
  <conditionalFormatting sqref="H252:H255">
    <cfRule priority="528" type="dataBar">
      <dataBar>
        <cfvo type="min"/>
        <cfvo type="max"/>
        <color rgb="FF638EC6"/>
      </dataBar>
    </cfRule>
    <cfRule priority="530" type="dataBar">
      <dataBar>
        <cfvo type="min"/>
        <cfvo type="max"/>
        <color rgb="FF638EC6"/>
      </dataBar>
    </cfRule>
  </conditionalFormatting>
  <conditionalFormatting sqref="J252:J255">
    <cfRule priority="525" type="dataBar">
      <dataBar>
        <cfvo type="min"/>
        <cfvo type="max"/>
        <color rgb="FF638EC6"/>
      </dataBar>
    </cfRule>
    <cfRule priority="529" type="dataBar">
      <dataBar>
        <cfvo type="min"/>
        <cfvo type="max"/>
        <color rgb="FF638EC6"/>
      </dataBar>
    </cfRule>
  </conditionalFormatting>
  <conditionalFormatting sqref="S1:S111 S298:S299 S325 S352:S1048576">
    <cfRule priority="913" type="dataBar">
      <dataBar>
        <cfvo type="min"/>
        <cfvo type="max"/>
        <color rgb="FF638EC6"/>
      </dataBar>
    </cfRule>
  </conditionalFormatting>
  <conditionalFormatting sqref="S112:S221 S236 S291:S294 S296:S297 S349:S351">
    <cfRule priority="917" type="dataBar">
      <dataBar>
        <cfvo type="min"/>
        <cfvo type="max"/>
        <color rgb="FF638EC6"/>
      </dataBar>
    </cfRule>
  </conditionalFormatting>
  <conditionalFormatting sqref="S222:S225">
    <cfRule priority="922" type="dataBar">
      <dataBar>
        <cfvo type="min"/>
        <cfvo type="max"/>
        <color rgb="FF638EC6"/>
      </dataBar>
    </cfRule>
  </conditionalFormatting>
  <conditionalFormatting sqref="S226">
    <cfRule priority="923" type="dataBar">
      <dataBar>
        <cfvo type="min"/>
        <cfvo type="max"/>
        <color rgb="FF638EC6"/>
      </dataBar>
    </cfRule>
  </conditionalFormatting>
  <conditionalFormatting sqref="S227:S230">
    <cfRule priority="924" type="dataBar">
      <dataBar>
        <cfvo type="min"/>
        <cfvo type="max"/>
        <color rgb="FF638EC6"/>
      </dataBar>
    </cfRule>
  </conditionalFormatting>
  <conditionalFormatting sqref="S231">
    <cfRule priority="925" type="dataBar">
      <dataBar>
        <cfvo type="min"/>
        <cfvo type="max"/>
        <color rgb="FF638EC6"/>
      </dataBar>
    </cfRule>
  </conditionalFormatting>
  <conditionalFormatting sqref="S232:S235">
    <cfRule priority="926" type="dataBar">
      <dataBar>
        <cfvo type="min"/>
        <cfvo type="max"/>
        <color rgb="FF638EC6"/>
      </dataBar>
    </cfRule>
  </conditionalFormatting>
  <conditionalFormatting sqref="S241">
    <cfRule priority="927" type="dataBar">
      <dataBar>
        <cfvo type="min"/>
        <cfvo type="max"/>
        <color rgb="FF638EC6"/>
      </dataBar>
    </cfRule>
  </conditionalFormatting>
  <conditionalFormatting sqref="S237:S240">
    <cfRule priority="928" type="dataBar">
      <dataBar>
        <cfvo type="min"/>
        <cfvo type="max"/>
        <color rgb="FF638EC6"/>
      </dataBar>
    </cfRule>
  </conditionalFormatting>
  <conditionalFormatting sqref="S246">
    <cfRule priority="929" type="dataBar">
      <dataBar>
        <cfvo type="min"/>
        <cfvo type="max"/>
        <color rgb="FF638EC6"/>
      </dataBar>
    </cfRule>
  </conditionalFormatting>
  <conditionalFormatting sqref="S242:S245">
    <cfRule priority="930" type="dataBar">
      <dataBar>
        <cfvo type="min"/>
        <cfvo type="max"/>
        <color rgb="FF638EC6"/>
      </dataBar>
    </cfRule>
  </conditionalFormatting>
  <conditionalFormatting sqref="S300:S304">
    <cfRule priority="931" type="dataBar">
      <dataBar>
        <cfvo type="min"/>
        <cfvo type="max"/>
        <color rgb="FF638EC6"/>
      </dataBar>
    </cfRule>
  </conditionalFormatting>
  <conditionalFormatting sqref="S305 S321:S324">
    <cfRule priority="932" type="dataBar">
      <dataBar>
        <cfvo type="min"/>
        <cfvo type="max"/>
        <color rgb="FF638EC6"/>
      </dataBar>
    </cfRule>
  </conditionalFormatting>
  <conditionalFormatting sqref="S256">
    <cfRule priority="933" type="dataBar">
      <dataBar>
        <cfvo type="min"/>
        <cfvo type="max"/>
        <color rgb="FF638EC6"/>
      </dataBar>
    </cfRule>
  </conditionalFormatting>
  <conditionalFormatting sqref="S340 S346:S348">
    <cfRule priority="934" type="dataBar">
      <dataBar>
        <cfvo type="min"/>
        <cfvo type="max"/>
        <color rgb="FF638EC6"/>
      </dataBar>
    </cfRule>
  </conditionalFormatting>
  <conditionalFormatting sqref="S251">
    <cfRule priority="937" type="dataBar">
      <dataBar>
        <cfvo type="min"/>
        <cfvo type="max"/>
        <color rgb="FF638EC6"/>
      </dataBar>
    </cfRule>
  </conditionalFormatting>
  <conditionalFormatting sqref="S247:S250">
    <cfRule priority="938" type="dataBar">
      <dataBar>
        <cfvo type="min"/>
        <cfvo type="max"/>
        <color rgb="FF638EC6"/>
      </dataBar>
    </cfRule>
  </conditionalFormatting>
  <conditionalFormatting sqref="S252:S255">
    <cfRule priority="939" type="dataBar">
      <dataBar>
        <cfvo type="min"/>
        <cfvo type="max"/>
        <color rgb="FF638EC6"/>
      </dataBar>
    </cfRule>
  </conditionalFormatting>
  <conditionalFormatting sqref="Q336:Q339">
    <cfRule priority="516" type="dataBar">
      <dataBar>
        <cfvo type="min"/>
        <cfvo type="max"/>
        <color rgb="FF638EC6"/>
      </dataBar>
    </cfRule>
  </conditionalFormatting>
  <conditionalFormatting sqref="M336:M339">
    <cfRule priority="520" type="dataBar">
      <dataBar>
        <cfvo type="min"/>
        <cfvo type="max"/>
        <color rgb="FF638EC6"/>
      </dataBar>
    </cfRule>
  </conditionalFormatting>
  <conditionalFormatting sqref="E336:E339">
    <cfRule priority="519" type="dataBar">
      <dataBar>
        <cfvo type="min"/>
        <cfvo type="max"/>
        <color rgb="FF638EC6"/>
      </dataBar>
    </cfRule>
  </conditionalFormatting>
  <conditionalFormatting sqref="G336:J339">
    <cfRule priority="518" type="dataBar">
      <dataBar>
        <cfvo type="min"/>
        <cfvo type="max"/>
        <color rgb="FF638EC6"/>
      </dataBar>
    </cfRule>
  </conditionalFormatting>
  <conditionalFormatting sqref="O336:O339">
    <cfRule priority="517" type="dataBar">
      <dataBar>
        <cfvo type="min"/>
        <cfvo type="max"/>
        <color rgb="FF638EC6"/>
      </dataBar>
    </cfRule>
  </conditionalFormatting>
  <conditionalFormatting sqref="S336:S339">
    <cfRule priority="521" type="dataBar">
      <dataBar>
        <cfvo type="min"/>
        <cfvo type="max"/>
        <color rgb="FF638EC6"/>
      </dataBar>
    </cfRule>
  </conditionalFormatting>
  <conditionalFormatting sqref="S336">
    <cfRule priority="522" type="dataBar">
      <dataBar>
        <cfvo type="min"/>
        <cfvo type="max"/>
        <color rgb="FF638EC6"/>
      </dataBar>
    </cfRule>
    <cfRule priority="523" type="dataBar">
      <dataBar>
        <cfvo type="min"/>
        <cfvo type="max"/>
        <color rgb="FF638EC6"/>
      </dataBar>
    </cfRule>
  </conditionalFormatting>
  <conditionalFormatting sqref="Q345">
    <cfRule priority="510" type="dataBar">
      <dataBar>
        <cfvo type="min"/>
        <cfvo type="max"/>
        <color rgb="FF638EC6"/>
      </dataBar>
    </cfRule>
  </conditionalFormatting>
  <conditionalFormatting sqref="M345">
    <cfRule priority="514" type="dataBar">
      <dataBar>
        <cfvo type="min"/>
        <cfvo type="max"/>
        <color rgb="FF638EC6"/>
      </dataBar>
    </cfRule>
  </conditionalFormatting>
  <conditionalFormatting sqref="E345">
    <cfRule priority="513" type="dataBar">
      <dataBar>
        <cfvo type="min"/>
        <cfvo type="max"/>
        <color rgb="FF638EC6"/>
      </dataBar>
    </cfRule>
  </conditionalFormatting>
  <conditionalFormatting sqref="G345:J345">
    <cfRule priority="512" type="dataBar">
      <dataBar>
        <cfvo type="min"/>
        <cfvo type="max"/>
        <color rgb="FF638EC6"/>
      </dataBar>
    </cfRule>
  </conditionalFormatting>
  <conditionalFormatting sqref="O345">
    <cfRule priority="511" type="dataBar">
      <dataBar>
        <cfvo type="min"/>
        <cfvo type="max"/>
        <color rgb="FF638EC6"/>
      </dataBar>
    </cfRule>
  </conditionalFormatting>
  <conditionalFormatting sqref="S345">
    <cfRule priority="515" type="dataBar">
      <dataBar>
        <cfvo type="min"/>
        <cfvo type="max"/>
        <color rgb="FF638EC6"/>
      </dataBar>
    </cfRule>
  </conditionalFormatting>
  <conditionalFormatting sqref="Q341:Q344">
    <cfRule priority="502" type="dataBar">
      <dataBar>
        <cfvo type="min"/>
        <cfvo type="max"/>
        <color rgb="FF638EC6"/>
      </dataBar>
    </cfRule>
  </conditionalFormatting>
  <conditionalFormatting sqref="M341:M344">
    <cfRule priority="506" type="dataBar">
      <dataBar>
        <cfvo type="min"/>
        <cfvo type="max"/>
        <color rgb="FF638EC6"/>
      </dataBar>
    </cfRule>
  </conditionalFormatting>
  <conditionalFormatting sqref="E341:E344">
    <cfRule priority="505" type="dataBar">
      <dataBar>
        <cfvo type="min"/>
        <cfvo type="max"/>
        <color rgb="FF638EC6"/>
      </dataBar>
    </cfRule>
  </conditionalFormatting>
  <conditionalFormatting sqref="G341:J344">
    <cfRule priority="504" type="dataBar">
      <dataBar>
        <cfvo type="min"/>
        <cfvo type="max"/>
        <color rgb="FF638EC6"/>
      </dataBar>
    </cfRule>
  </conditionalFormatting>
  <conditionalFormatting sqref="O341:O344">
    <cfRule priority="503" type="dataBar">
      <dataBar>
        <cfvo type="min"/>
        <cfvo type="max"/>
        <color rgb="FF638EC6"/>
      </dataBar>
    </cfRule>
  </conditionalFormatting>
  <conditionalFormatting sqref="S341:S344">
    <cfRule priority="507" type="dataBar">
      <dataBar>
        <cfvo type="min"/>
        <cfvo type="max"/>
        <color rgb="FF638EC6"/>
      </dataBar>
    </cfRule>
  </conditionalFormatting>
  <conditionalFormatting sqref="S341">
    <cfRule priority="508" type="dataBar">
      <dataBar>
        <cfvo type="min"/>
        <cfvo type="max"/>
        <color rgb="FF638EC6"/>
      </dataBar>
    </cfRule>
    <cfRule priority="509" type="dataBar">
      <dataBar>
        <cfvo type="min"/>
        <cfvo type="max"/>
        <color rgb="FF638EC6"/>
      </dataBar>
    </cfRule>
  </conditionalFormatting>
  <conditionalFormatting sqref="M261">
    <cfRule priority="498" type="dataBar">
      <dataBar>
        <cfvo type="min"/>
        <cfvo type="max"/>
        <color rgb="FF638EC6"/>
      </dataBar>
    </cfRule>
  </conditionalFormatting>
  <conditionalFormatting sqref="E261">
    <cfRule priority="497" type="dataBar">
      <dataBar>
        <cfvo type="min"/>
        <cfvo type="max"/>
        <color rgb="FF638EC6"/>
      </dataBar>
    </cfRule>
  </conditionalFormatting>
  <conditionalFormatting sqref="G261:J261">
    <cfRule priority="496" type="dataBar">
      <dataBar>
        <cfvo type="min"/>
        <cfvo type="max"/>
        <color rgb="FF638EC6"/>
      </dataBar>
    </cfRule>
  </conditionalFormatting>
  <conditionalFormatting sqref="O261">
    <cfRule priority="495" type="dataBar">
      <dataBar>
        <cfvo type="min"/>
        <cfvo type="max"/>
        <color rgb="FF638EC6"/>
      </dataBar>
    </cfRule>
  </conditionalFormatting>
  <conditionalFormatting sqref="E257:E260">
    <cfRule priority="476" type="dataBar">
      <dataBar>
        <cfvo type="min"/>
        <cfvo type="max"/>
        <color rgb="FF638EC6"/>
      </dataBar>
    </cfRule>
    <cfRule priority="485" type="dataBar">
      <dataBar>
        <cfvo type="min"/>
        <cfvo type="max"/>
        <color rgb="FF638EC6"/>
      </dataBar>
    </cfRule>
  </conditionalFormatting>
  <conditionalFormatting sqref="E257:E260 M257:M260">
    <cfRule priority="491" type="dataBar">
      <dataBar>
        <cfvo type="percent" val="0"/>
        <cfvo type="percentile" val="100"/>
        <color rgb="FF638EC6"/>
      </dataBar>
    </cfRule>
    <cfRule priority="492" type="dataBar">
      <dataBar>
        <cfvo type="percent" val="0"/>
        <cfvo type="percent" val="100"/>
        <color rgb="FF638EC6"/>
      </dataBar>
    </cfRule>
  </conditionalFormatting>
  <conditionalFormatting sqref="O257:O260">
    <cfRule priority="490" type="dataBar">
      <dataBar>
        <cfvo type="min"/>
        <cfvo type="max"/>
        <color rgb="FF638EC6"/>
      </dataBar>
    </cfRule>
  </conditionalFormatting>
  <conditionalFormatting sqref="G257:G260">
    <cfRule priority="479" type="dataBar">
      <dataBar>
        <cfvo type="min"/>
        <cfvo type="max"/>
        <color rgb="FF638EC6"/>
      </dataBar>
    </cfRule>
    <cfRule priority="489" type="dataBar">
      <dataBar>
        <cfvo type="min"/>
        <cfvo type="max"/>
        <color rgb="FF638EC6"/>
      </dataBar>
    </cfRule>
  </conditionalFormatting>
  <conditionalFormatting sqref="P257:P260">
    <cfRule priority="488" type="dataBar">
      <dataBar>
        <cfvo type="min"/>
        <cfvo type="max"/>
        <color rgb="FF638EC6"/>
      </dataBar>
    </cfRule>
  </conditionalFormatting>
  <conditionalFormatting sqref="K257:K260">
    <cfRule priority="487" type="dataBar">
      <dataBar>
        <cfvo type="min"/>
        <cfvo type="max"/>
        <color rgb="FF638EC6"/>
      </dataBar>
    </cfRule>
  </conditionalFormatting>
  <conditionalFormatting sqref="M257:M260">
    <cfRule priority="486" type="dataBar">
      <dataBar>
        <cfvo type="min"/>
        <cfvo type="max"/>
        <color rgb="FF638EC6"/>
      </dataBar>
    </cfRule>
  </conditionalFormatting>
  <conditionalFormatting sqref="Q257:R260">
    <cfRule priority="484" type="dataBar">
      <dataBar>
        <cfvo type="min"/>
        <cfvo type="max"/>
        <color rgb="FF638EC6"/>
      </dataBar>
    </cfRule>
  </conditionalFormatting>
  <conditionalFormatting sqref="I257:I260">
    <cfRule priority="478" type="dataBar">
      <dataBar>
        <cfvo type="min"/>
        <cfvo type="max"/>
        <color rgb="FF638EC6"/>
      </dataBar>
    </cfRule>
    <cfRule priority="483" type="dataBar">
      <dataBar>
        <cfvo type="min"/>
        <cfvo type="max"/>
        <color rgb="FF638EC6"/>
      </dataBar>
    </cfRule>
  </conditionalFormatting>
  <conditionalFormatting sqref="H257:H260">
    <cfRule priority="480" type="dataBar">
      <dataBar>
        <cfvo type="min"/>
        <cfvo type="max"/>
        <color rgb="FF638EC6"/>
      </dataBar>
    </cfRule>
    <cfRule priority="482" type="dataBar">
      <dataBar>
        <cfvo type="min"/>
        <cfvo type="max"/>
        <color rgb="FF638EC6"/>
      </dataBar>
    </cfRule>
  </conditionalFormatting>
  <conditionalFormatting sqref="J257:J260">
    <cfRule priority="477" type="dataBar">
      <dataBar>
        <cfvo type="min"/>
        <cfvo type="max"/>
        <color rgb="FF638EC6"/>
      </dataBar>
    </cfRule>
    <cfRule priority="481" type="dataBar">
      <dataBar>
        <cfvo type="min"/>
        <cfvo type="max"/>
        <color rgb="FF638EC6"/>
      </dataBar>
    </cfRule>
  </conditionalFormatting>
  <conditionalFormatting sqref="S257:S260">
    <cfRule priority="493" type="dataBar">
      <dataBar>
        <cfvo type="min"/>
        <cfvo type="max"/>
        <color rgb="FF638EC6"/>
      </dataBar>
    </cfRule>
  </conditionalFormatting>
  <conditionalFormatting sqref="Q308:Q309">
    <cfRule priority="463" type="dataBar">
      <dataBar>
        <cfvo type="min"/>
        <cfvo type="max"/>
        <color rgb="FF638EC6"/>
      </dataBar>
    </cfRule>
  </conditionalFormatting>
  <conditionalFormatting sqref="Q306:Q307">
    <cfRule priority="462" type="dataBar">
      <dataBar>
        <cfvo type="min"/>
        <cfvo type="max"/>
        <color rgb="FF638EC6"/>
      </dataBar>
    </cfRule>
  </conditionalFormatting>
  <conditionalFormatting sqref="E306:E309 E321:E324">
    <cfRule priority="461" type="dataBar">
      <dataBar>
        <cfvo type="min"/>
        <cfvo type="max"/>
        <color rgb="FF638EC6"/>
      </dataBar>
    </cfRule>
  </conditionalFormatting>
  <conditionalFormatting sqref="M306:M309">
    <cfRule priority="454" type="dataBar">
      <dataBar>
        <cfvo type="min"/>
        <cfvo type="max"/>
        <color rgb="FF638EC6"/>
      </dataBar>
    </cfRule>
    <cfRule priority="460" type="dataBar">
      <dataBar>
        <cfvo type="percent" val="0"/>
        <cfvo type="percentile" val="100"/>
        <color rgb="FF638EC6"/>
      </dataBar>
    </cfRule>
    <cfRule priority="464" type="dataBar">
      <dataBar>
        <cfvo type="percent" val="0"/>
        <cfvo type="percent" val="100"/>
        <color rgb="FF638EC6"/>
      </dataBar>
    </cfRule>
  </conditionalFormatting>
  <conditionalFormatting sqref="R306:R309">
    <cfRule priority="459" type="dataBar">
      <dataBar>
        <cfvo type="min"/>
        <cfvo type="max"/>
        <color rgb="FF638EC6"/>
      </dataBar>
    </cfRule>
  </conditionalFormatting>
  <conditionalFormatting sqref="O306:O309">
    <cfRule priority="458" type="dataBar">
      <dataBar>
        <cfvo type="min"/>
        <cfvo type="max"/>
        <color rgb="FF638EC6"/>
      </dataBar>
    </cfRule>
  </conditionalFormatting>
  <conditionalFormatting sqref="G306:G309">
    <cfRule priority="450" type="dataBar">
      <dataBar>
        <cfvo type="min"/>
        <cfvo type="max"/>
        <color rgb="FF638EC6"/>
      </dataBar>
    </cfRule>
    <cfRule priority="457" type="dataBar">
      <dataBar>
        <cfvo type="min"/>
        <cfvo type="max"/>
        <color rgb="FF638EC6"/>
      </dataBar>
    </cfRule>
  </conditionalFormatting>
  <conditionalFormatting sqref="P306:P309">
    <cfRule priority="456" type="dataBar">
      <dataBar>
        <cfvo type="min"/>
        <cfvo type="max"/>
        <color rgb="FF638EC6"/>
      </dataBar>
    </cfRule>
  </conditionalFormatting>
  <conditionalFormatting sqref="K306:K309">
    <cfRule priority="455" type="dataBar">
      <dataBar>
        <cfvo type="min"/>
        <cfvo type="max"/>
        <color rgb="FF638EC6"/>
      </dataBar>
    </cfRule>
  </conditionalFormatting>
  <conditionalFormatting sqref="I306:I309">
    <cfRule priority="449" type="dataBar">
      <dataBar>
        <cfvo type="min"/>
        <cfvo type="max"/>
        <color rgb="FF638EC6"/>
      </dataBar>
    </cfRule>
    <cfRule priority="465" type="dataBar">
      <dataBar>
        <cfvo type="min"/>
        <cfvo type="max"/>
        <color rgb="FF638EC6"/>
      </dataBar>
    </cfRule>
  </conditionalFormatting>
  <conditionalFormatting sqref="H306:H309">
    <cfRule priority="451" type="dataBar">
      <dataBar>
        <cfvo type="min"/>
        <cfvo type="max"/>
        <color rgb="FF638EC6"/>
      </dataBar>
    </cfRule>
    <cfRule priority="453" type="dataBar">
      <dataBar>
        <cfvo type="min"/>
        <cfvo type="max"/>
        <color rgb="FF638EC6"/>
      </dataBar>
    </cfRule>
  </conditionalFormatting>
  <conditionalFormatting sqref="J306:J309">
    <cfRule priority="448" type="dataBar">
      <dataBar>
        <cfvo type="min"/>
        <cfvo type="max"/>
        <color rgb="FF638EC6"/>
      </dataBar>
    </cfRule>
    <cfRule priority="452" type="dataBar">
      <dataBar>
        <cfvo type="min"/>
        <cfvo type="max"/>
        <color rgb="FF638EC6"/>
      </dataBar>
    </cfRule>
  </conditionalFormatting>
  <conditionalFormatting sqref="E310">
    <cfRule priority="432" type="dataBar">
      <dataBar>
        <cfvo type="min"/>
        <cfvo type="max"/>
        <color rgb="FF638EC6"/>
      </dataBar>
    </cfRule>
    <cfRule priority="440" type="dataBar">
      <dataBar>
        <cfvo type="min"/>
        <cfvo type="max"/>
        <color rgb="FF638EC6"/>
      </dataBar>
    </cfRule>
  </conditionalFormatting>
  <conditionalFormatting sqref="E310 M310">
    <cfRule priority="446" type="dataBar">
      <dataBar>
        <cfvo type="percent" val="0"/>
        <cfvo type="percentile" val="100"/>
        <color rgb="FF638EC6"/>
      </dataBar>
    </cfRule>
    <cfRule priority="447" type="dataBar">
      <dataBar>
        <cfvo type="percent" val="0"/>
        <cfvo type="percent" val="100"/>
        <color rgb="FF638EC6"/>
      </dataBar>
    </cfRule>
  </conditionalFormatting>
  <conditionalFormatting sqref="R310">
    <cfRule priority="445" type="dataBar">
      <dataBar>
        <cfvo type="min"/>
        <cfvo type="max"/>
        <color rgb="FF638EC6"/>
      </dataBar>
    </cfRule>
  </conditionalFormatting>
  <conditionalFormatting sqref="O310">
    <cfRule priority="444" type="dataBar">
      <dataBar>
        <cfvo type="min"/>
        <cfvo type="max"/>
        <color rgb="FF638EC6"/>
      </dataBar>
    </cfRule>
  </conditionalFormatting>
  <conditionalFormatting sqref="G310">
    <cfRule priority="435" type="dataBar">
      <dataBar>
        <cfvo type="min"/>
        <cfvo type="max"/>
        <color rgb="FF638EC6"/>
      </dataBar>
    </cfRule>
    <cfRule priority="443" type="dataBar">
      <dataBar>
        <cfvo type="min"/>
        <cfvo type="max"/>
        <color rgb="FF638EC6"/>
      </dataBar>
    </cfRule>
  </conditionalFormatting>
  <conditionalFormatting sqref="K310">
    <cfRule priority="442" type="dataBar">
      <dataBar>
        <cfvo type="min"/>
        <cfvo type="max"/>
        <color rgb="FF638EC6"/>
      </dataBar>
    </cfRule>
  </conditionalFormatting>
  <conditionalFormatting sqref="M310">
    <cfRule priority="441" type="dataBar">
      <dataBar>
        <cfvo type="min"/>
        <cfvo type="max"/>
        <color rgb="FF638EC6"/>
      </dataBar>
    </cfRule>
  </conditionalFormatting>
  <conditionalFormatting sqref="I310">
    <cfRule priority="434" type="dataBar">
      <dataBar>
        <cfvo type="min"/>
        <cfvo type="max"/>
        <color rgb="FF638EC6"/>
      </dataBar>
    </cfRule>
    <cfRule priority="439" type="dataBar">
      <dataBar>
        <cfvo type="min"/>
        <cfvo type="max"/>
        <color rgb="FF638EC6"/>
      </dataBar>
    </cfRule>
  </conditionalFormatting>
  <conditionalFormatting sqref="H310">
    <cfRule priority="436" type="dataBar">
      <dataBar>
        <cfvo type="min"/>
        <cfvo type="max"/>
        <color rgb="FF638EC6"/>
      </dataBar>
    </cfRule>
    <cfRule priority="438" type="dataBar">
      <dataBar>
        <cfvo type="min"/>
        <cfvo type="max"/>
        <color rgb="FF638EC6"/>
      </dataBar>
    </cfRule>
  </conditionalFormatting>
  <conditionalFormatting sqref="J310">
    <cfRule priority="433" type="dataBar">
      <dataBar>
        <cfvo type="min"/>
        <cfvo type="max"/>
        <color rgb="FF638EC6"/>
      </dataBar>
    </cfRule>
    <cfRule priority="437" type="dataBar">
      <dataBar>
        <cfvo type="min"/>
        <cfvo type="max"/>
        <color rgb="FF638EC6"/>
      </dataBar>
    </cfRule>
  </conditionalFormatting>
  <conditionalFormatting sqref="S306:S309">
    <cfRule priority="466" type="dataBar">
      <dataBar>
        <cfvo type="min"/>
        <cfvo type="max"/>
        <color rgb="FF638EC6"/>
      </dataBar>
    </cfRule>
  </conditionalFormatting>
  <conditionalFormatting sqref="S310">
    <cfRule priority="467" type="dataBar">
      <dataBar>
        <cfvo type="min"/>
        <cfvo type="max"/>
        <color rgb="FF638EC6"/>
      </dataBar>
    </cfRule>
  </conditionalFormatting>
  <conditionalFormatting sqref="W1:W271 W291:W310 W321:W325 W335:W1048576">
    <cfRule dxfId="0" percent="1" priority="430" rank="30" type="top10"/>
    <cfRule priority="431" type="dataBar">
      <dataBar>
        <cfvo type="min"/>
        <cfvo type="max"/>
        <color rgb="FF638EC6"/>
      </dataBar>
    </cfRule>
  </conditionalFormatting>
  <conditionalFormatting sqref="V1:V19 V21:V24 V26:V39 V41:V44 V46:V49 V51:V64 V66:V74 V76:V94 V96:V104 V106:V109 V111:V239 V241:V249 V251:V259 V261:V269 V291:V310 V321:V325 V335:V1048576">
    <cfRule dxfId="0" percent="1" priority="428" rank="30" type="top10"/>
    <cfRule priority="429" type="dataBar">
      <dataBar>
        <cfvo type="min"/>
        <cfvo type="max"/>
        <color rgb="FF638EC6"/>
      </dataBar>
    </cfRule>
  </conditionalFormatting>
  <conditionalFormatting sqref="W1:W271 W291:W310 W321:W1048576">
    <cfRule dxfId="47" percent="1" priority="426" rank="20" type="top10"/>
    <cfRule dxfId="47" percent="1" priority="427" rank="10" type="top10"/>
  </conditionalFormatting>
  <conditionalFormatting sqref="E1:E261 E291:E310 E321:E1048576">
    <cfRule priority="425" type="dataBar">
      <dataBar>
        <cfvo type="min"/>
        <cfvo type="max"/>
        <color rgb="FF638EC6"/>
      </dataBar>
    </cfRule>
  </conditionalFormatting>
  <conditionalFormatting sqref="H1:H261 H291:H310 H321:H1048576">
    <cfRule priority="424" type="dataBar">
      <dataBar>
        <cfvo type="min"/>
        <cfvo type="max"/>
        <color rgb="FF638EC6"/>
      </dataBar>
    </cfRule>
  </conditionalFormatting>
  <conditionalFormatting sqref="I1:I261 I291:I310 I321:I1048576">
    <cfRule priority="423" type="dataBar">
      <dataBar>
        <cfvo type="min"/>
        <cfvo type="max"/>
        <color rgb="FF638EC6"/>
      </dataBar>
    </cfRule>
  </conditionalFormatting>
  <conditionalFormatting sqref="J1:J261 J291:J310 J321:J1048576">
    <cfRule priority="422" type="dataBar">
      <dataBar>
        <cfvo type="min"/>
        <cfvo type="max"/>
        <color rgb="FF638EC6"/>
      </dataBar>
    </cfRule>
  </conditionalFormatting>
  <conditionalFormatting sqref="E262:E271">
    <cfRule priority="385" type="dataBar">
      <dataBar>
        <cfvo type="min"/>
        <cfvo type="max"/>
        <color rgb="FF638EC6"/>
      </dataBar>
    </cfRule>
    <cfRule priority="392" type="dataBar">
      <dataBar>
        <cfvo type="min"/>
        <cfvo type="max"/>
        <color rgb="FF638EC6"/>
      </dataBar>
    </cfRule>
    <cfRule priority="401" type="dataBar">
      <dataBar>
        <cfvo type="min"/>
        <cfvo type="max"/>
        <color rgb="FF638EC6"/>
      </dataBar>
    </cfRule>
  </conditionalFormatting>
  <conditionalFormatting sqref="E262:E271 M262:M271">
    <cfRule priority="407" type="dataBar">
      <dataBar>
        <cfvo type="percent" val="0"/>
        <cfvo type="percentile" val="100"/>
        <color rgb="FF638EC6"/>
      </dataBar>
    </cfRule>
    <cfRule priority="408" type="dataBar">
      <dataBar>
        <cfvo type="percent" val="0"/>
        <cfvo type="percent" val="100"/>
        <color rgb="FF638EC6"/>
      </dataBar>
    </cfRule>
  </conditionalFormatting>
  <conditionalFormatting sqref="O262:O271">
    <cfRule priority="406" type="dataBar">
      <dataBar>
        <cfvo type="min"/>
        <cfvo type="max"/>
        <color rgb="FF638EC6"/>
      </dataBar>
    </cfRule>
  </conditionalFormatting>
  <conditionalFormatting sqref="G262:G271">
    <cfRule priority="395" type="dataBar">
      <dataBar>
        <cfvo type="min"/>
        <cfvo type="max"/>
        <color rgb="FF638EC6"/>
      </dataBar>
    </cfRule>
    <cfRule priority="405" type="dataBar">
      <dataBar>
        <cfvo type="min"/>
        <cfvo type="max"/>
        <color rgb="FF638EC6"/>
      </dataBar>
    </cfRule>
  </conditionalFormatting>
  <conditionalFormatting sqref="P262:P271">
    <cfRule priority="404" type="dataBar">
      <dataBar>
        <cfvo type="min"/>
        <cfvo type="max"/>
        <color rgb="FF638EC6"/>
      </dataBar>
    </cfRule>
  </conditionalFormatting>
  <conditionalFormatting sqref="K262:K271">
    <cfRule priority="403" type="dataBar">
      <dataBar>
        <cfvo type="min"/>
        <cfvo type="max"/>
        <color rgb="FF638EC6"/>
      </dataBar>
    </cfRule>
  </conditionalFormatting>
  <conditionalFormatting sqref="M262:M271">
    <cfRule priority="402" type="dataBar">
      <dataBar>
        <cfvo type="min"/>
        <cfvo type="max"/>
        <color rgb="FF638EC6"/>
      </dataBar>
    </cfRule>
  </conditionalFormatting>
  <conditionalFormatting sqref="Q262:R271">
    <cfRule priority="400" type="dataBar">
      <dataBar>
        <cfvo type="min"/>
        <cfvo type="max"/>
        <color rgb="FF638EC6"/>
      </dataBar>
    </cfRule>
  </conditionalFormatting>
  <conditionalFormatting sqref="I262:I271">
    <cfRule priority="383" type="dataBar">
      <dataBar>
        <cfvo type="min"/>
        <cfvo type="max"/>
        <color rgb="FF638EC6"/>
      </dataBar>
    </cfRule>
    <cfRule priority="394" type="dataBar">
      <dataBar>
        <cfvo type="min"/>
        <cfvo type="max"/>
        <color rgb="FF638EC6"/>
      </dataBar>
    </cfRule>
    <cfRule priority="399" type="dataBar">
      <dataBar>
        <cfvo type="min"/>
        <cfvo type="max"/>
        <color rgb="FF638EC6"/>
      </dataBar>
    </cfRule>
  </conditionalFormatting>
  <conditionalFormatting sqref="H262:H271">
    <cfRule priority="384" type="dataBar">
      <dataBar>
        <cfvo type="min"/>
        <cfvo type="max"/>
        <color rgb="FF638EC6"/>
      </dataBar>
    </cfRule>
    <cfRule priority="396" type="dataBar">
      <dataBar>
        <cfvo type="min"/>
        <cfvo type="max"/>
        <color rgb="FF638EC6"/>
      </dataBar>
    </cfRule>
    <cfRule priority="398" type="dataBar">
      <dataBar>
        <cfvo type="min"/>
        <cfvo type="max"/>
        <color rgb="FF638EC6"/>
      </dataBar>
    </cfRule>
  </conditionalFormatting>
  <conditionalFormatting sqref="J262:J271">
    <cfRule priority="382" type="dataBar">
      <dataBar>
        <cfvo type="min"/>
        <cfvo type="max"/>
        <color rgb="FF638EC6"/>
      </dataBar>
    </cfRule>
    <cfRule priority="393" type="dataBar">
      <dataBar>
        <cfvo type="min"/>
        <cfvo type="max"/>
        <color rgb="FF638EC6"/>
      </dataBar>
    </cfRule>
    <cfRule priority="397" type="dataBar">
      <dataBar>
        <cfvo type="min"/>
        <cfvo type="max"/>
        <color rgb="FF638EC6"/>
      </dataBar>
    </cfRule>
  </conditionalFormatting>
  <conditionalFormatting sqref="S262:S271">
    <cfRule priority="409" type="dataBar">
      <dataBar>
        <cfvo type="min"/>
        <cfvo type="max"/>
        <color rgb="FF638EC6"/>
      </dataBar>
    </cfRule>
  </conditionalFormatting>
  <conditionalFormatting sqref="M290">
    <cfRule priority="372" type="dataBar">
      <dataBar>
        <cfvo type="min"/>
        <cfvo type="max"/>
        <color rgb="FF638EC6"/>
      </dataBar>
    </cfRule>
    <cfRule priority="378" type="dataBar">
      <dataBar>
        <cfvo type="percent" val="0"/>
        <cfvo type="percentile" val="100"/>
        <color rgb="FF638EC6"/>
      </dataBar>
    </cfRule>
    <cfRule priority="379" type="dataBar">
      <dataBar>
        <cfvo type="percent" val="0"/>
        <cfvo type="percent" val="100"/>
        <color rgb="FF638EC6"/>
      </dataBar>
    </cfRule>
  </conditionalFormatting>
  <conditionalFormatting sqref="Q290:R290">
    <cfRule priority="377" type="dataBar">
      <dataBar>
        <cfvo type="min"/>
        <cfvo type="max"/>
        <color rgb="FF638EC6"/>
      </dataBar>
    </cfRule>
  </conditionalFormatting>
  <conditionalFormatting sqref="O290">
    <cfRule priority="376" type="dataBar">
      <dataBar>
        <cfvo type="min"/>
        <cfvo type="max"/>
        <color rgb="FF638EC6"/>
      </dataBar>
    </cfRule>
  </conditionalFormatting>
  <conditionalFormatting sqref="G290">
    <cfRule priority="367" type="dataBar">
      <dataBar>
        <cfvo type="min"/>
        <cfvo type="max"/>
        <color rgb="FF638EC6"/>
      </dataBar>
    </cfRule>
    <cfRule priority="375" type="dataBar">
      <dataBar>
        <cfvo type="min"/>
        <cfvo type="max"/>
        <color rgb="FF638EC6"/>
      </dataBar>
    </cfRule>
  </conditionalFormatting>
  <conditionalFormatting sqref="P290">
    <cfRule priority="374" type="dataBar">
      <dataBar>
        <cfvo type="min"/>
        <cfvo type="max"/>
        <color rgb="FF638EC6"/>
      </dataBar>
    </cfRule>
  </conditionalFormatting>
  <conditionalFormatting sqref="K290">
    <cfRule priority="373" type="dataBar">
      <dataBar>
        <cfvo type="min"/>
        <cfvo type="max"/>
        <color rgb="FF638EC6"/>
      </dataBar>
    </cfRule>
  </conditionalFormatting>
  <conditionalFormatting sqref="I290">
    <cfRule priority="366" type="dataBar">
      <dataBar>
        <cfvo type="min"/>
        <cfvo type="max"/>
        <color rgb="FF638EC6"/>
      </dataBar>
    </cfRule>
    <cfRule priority="371" type="dataBar">
      <dataBar>
        <cfvo type="min"/>
        <cfvo type="max"/>
        <color rgb="FF638EC6"/>
      </dataBar>
    </cfRule>
  </conditionalFormatting>
  <conditionalFormatting sqref="H290">
    <cfRule priority="368" type="dataBar">
      <dataBar>
        <cfvo type="min"/>
        <cfvo type="max"/>
        <color rgb="FF638EC6"/>
      </dataBar>
    </cfRule>
    <cfRule priority="370" type="dataBar">
      <dataBar>
        <cfvo type="min"/>
        <cfvo type="max"/>
        <color rgb="FF638EC6"/>
      </dataBar>
    </cfRule>
  </conditionalFormatting>
  <conditionalFormatting sqref="J290">
    <cfRule priority="365" type="dataBar">
      <dataBar>
        <cfvo type="min"/>
        <cfvo type="max"/>
        <color rgb="FF638EC6"/>
      </dataBar>
    </cfRule>
    <cfRule priority="369" type="dataBar">
      <dataBar>
        <cfvo type="min"/>
        <cfvo type="max"/>
        <color rgb="FF638EC6"/>
      </dataBar>
    </cfRule>
  </conditionalFormatting>
  <conditionalFormatting sqref="E290">
    <cfRule priority="348" type="dataBar">
      <dataBar>
        <cfvo type="min"/>
        <cfvo type="max"/>
        <color rgb="FF638EC6"/>
      </dataBar>
    </cfRule>
    <cfRule priority="356" type="dataBar">
      <dataBar>
        <cfvo type="min"/>
        <cfvo type="max"/>
        <color rgb="FF638EC6"/>
      </dataBar>
    </cfRule>
  </conditionalFormatting>
  <conditionalFormatting sqref="Q287:R287 Q289:R289">
    <cfRule priority="362" type="dataBar">
      <dataBar>
        <cfvo type="min"/>
        <cfvo type="max"/>
        <color rgb="FF638EC6"/>
      </dataBar>
    </cfRule>
  </conditionalFormatting>
  <conditionalFormatting sqref="H289">
    <cfRule priority="352" type="dataBar">
      <dataBar>
        <cfvo type="min"/>
        <cfvo type="max"/>
        <color rgb="FF638EC6"/>
      </dataBar>
    </cfRule>
    <cfRule priority="354" type="dataBar">
      <dataBar>
        <cfvo type="min"/>
        <cfvo type="max"/>
        <color rgb="FF638EC6"/>
      </dataBar>
    </cfRule>
  </conditionalFormatting>
  <conditionalFormatting sqref="J289">
    <cfRule priority="349" type="dataBar">
      <dataBar>
        <cfvo type="min"/>
        <cfvo type="max"/>
        <color rgb="FF638EC6"/>
      </dataBar>
    </cfRule>
    <cfRule priority="353" type="dataBar">
      <dataBar>
        <cfvo type="min"/>
        <cfvo type="max"/>
        <color rgb="FF638EC6"/>
      </dataBar>
    </cfRule>
  </conditionalFormatting>
  <conditionalFormatting sqref="S290">
    <cfRule priority="380" type="dataBar">
      <dataBar>
        <cfvo type="min"/>
        <cfvo type="max"/>
        <color rgb="FF638EC6"/>
      </dataBar>
    </cfRule>
  </conditionalFormatting>
  <conditionalFormatting sqref="H289:H290">
    <cfRule priority="338" type="dataBar">
      <dataBar>
        <cfvo type="min"/>
        <cfvo type="max"/>
        <color rgb="FF638EC6"/>
      </dataBar>
    </cfRule>
  </conditionalFormatting>
  <conditionalFormatting sqref="J289:J290">
    <cfRule priority="336" type="dataBar">
      <dataBar>
        <cfvo type="min"/>
        <cfvo type="max"/>
        <color rgb="FF638EC6"/>
      </dataBar>
    </cfRule>
  </conditionalFormatting>
  <conditionalFormatting sqref="H287">
    <cfRule priority="324" type="dataBar">
      <dataBar>
        <cfvo type="min"/>
        <cfvo type="max"/>
        <color rgb="FF638EC6"/>
      </dataBar>
    </cfRule>
    <cfRule priority="325" type="dataBar">
      <dataBar>
        <cfvo type="min"/>
        <cfvo type="max"/>
        <color rgb="FF638EC6"/>
      </dataBar>
    </cfRule>
    <cfRule priority="326" type="dataBar">
      <dataBar>
        <cfvo type="min"/>
        <cfvo type="max"/>
        <color rgb="FF638EC6"/>
      </dataBar>
    </cfRule>
  </conditionalFormatting>
  <conditionalFormatting sqref="J287">
    <cfRule priority="315" type="dataBar">
      <dataBar>
        <cfvo type="min"/>
        <cfvo type="max"/>
        <color rgb="FF638EC6"/>
      </dataBar>
    </cfRule>
    <cfRule priority="316" type="dataBar">
      <dataBar>
        <cfvo type="min"/>
        <cfvo type="max"/>
        <color rgb="FF638EC6"/>
      </dataBar>
    </cfRule>
    <cfRule priority="317" type="dataBar">
      <dataBar>
        <cfvo type="min"/>
        <cfvo type="max"/>
        <color rgb="FF638EC6"/>
      </dataBar>
    </cfRule>
  </conditionalFormatting>
  <conditionalFormatting sqref="M315">
    <cfRule priority="305" type="dataBar">
      <dataBar>
        <cfvo type="min"/>
        <cfvo type="max"/>
        <color rgb="FF638EC6"/>
      </dataBar>
    </cfRule>
    <cfRule priority="311" type="dataBar">
      <dataBar>
        <cfvo type="percent" val="0"/>
        <cfvo type="percentile" val="100"/>
        <color rgb="FF638EC6"/>
      </dataBar>
    </cfRule>
    <cfRule priority="312" type="dataBar">
      <dataBar>
        <cfvo type="percent" val="0"/>
        <cfvo type="percent" val="100"/>
        <color rgb="FF638EC6"/>
      </dataBar>
    </cfRule>
  </conditionalFormatting>
  <conditionalFormatting sqref="Q315:R315">
    <cfRule priority="310" type="dataBar">
      <dataBar>
        <cfvo type="min"/>
        <cfvo type="max"/>
        <color rgb="FF638EC6"/>
      </dataBar>
    </cfRule>
  </conditionalFormatting>
  <conditionalFormatting sqref="O315">
    <cfRule priority="309" type="dataBar">
      <dataBar>
        <cfvo type="min"/>
        <cfvo type="max"/>
        <color rgb="FF638EC6"/>
      </dataBar>
    </cfRule>
  </conditionalFormatting>
  <conditionalFormatting sqref="G315">
    <cfRule priority="300" type="dataBar">
      <dataBar>
        <cfvo type="min"/>
        <cfvo type="max"/>
        <color rgb="FF638EC6"/>
      </dataBar>
    </cfRule>
    <cfRule priority="308" type="dataBar">
      <dataBar>
        <cfvo type="min"/>
        <cfvo type="max"/>
        <color rgb="FF638EC6"/>
      </dataBar>
    </cfRule>
  </conditionalFormatting>
  <conditionalFormatting sqref="P315">
    <cfRule priority="307" type="dataBar">
      <dataBar>
        <cfvo type="min"/>
        <cfvo type="max"/>
        <color rgb="FF638EC6"/>
      </dataBar>
    </cfRule>
  </conditionalFormatting>
  <conditionalFormatting sqref="K315">
    <cfRule priority="306" type="dataBar">
      <dataBar>
        <cfvo type="min"/>
        <cfvo type="max"/>
        <color rgb="FF638EC6"/>
      </dataBar>
    </cfRule>
  </conditionalFormatting>
  <conditionalFormatting sqref="I315">
    <cfRule priority="299" type="dataBar">
      <dataBar>
        <cfvo type="min"/>
        <cfvo type="max"/>
        <color rgb="FF638EC6"/>
      </dataBar>
    </cfRule>
    <cfRule priority="304" type="dataBar">
      <dataBar>
        <cfvo type="min"/>
        <cfvo type="max"/>
        <color rgb="FF638EC6"/>
      </dataBar>
    </cfRule>
  </conditionalFormatting>
  <conditionalFormatting sqref="H315">
    <cfRule priority="301" type="dataBar">
      <dataBar>
        <cfvo type="min"/>
        <cfvo type="max"/>
        <color rgb="FF638EC6"/>
      </dataBar>
    </cfRule>
    <cfRule priority="303" type="dataBar">
      <dataBar>
        <cfvo type="min"/>
        <cfvo type="max"/>
        <color rgb="FF638EC6"/>
      </dataBar>
    </cfRule>
  </conditionalFormatting>
  <conditionalFormatting sqref="J315">
    <cfRule priority="298" type="dataBar">
      <dataBar>
        <cfvo type="min"/>
        <cfvo type="max"/>
        <color rgb="FF638EC6"/>
      </dataBar>
    </cfRule>
    <cfRule priority="302" type="dataBar">
      <dataBar>
        <cfvo type="min"/>
        <cfvo type="max"/>
        <color rgb="FF638EC6"/>
      </dataBar>
    </cfRule>
  </conditionalFormatting>
  <conditionalFormatting sqref="E315">
    <cfRule priority="281" type="dataBar">
      <dataBar>
        <cfvo type="min"/>
        <cfvo type="max"/>
        <color rgb="FF638EC6"/>
      </dataBar>
    </cfRule>
    <cfRule priority="289" type="dataBar">
      <dataBar>
        <cfvo type="min"/>
        <cfvo type="max"/>
        <color rgb="FF638EC6"/>
      </dataBar>
    </cfRule>
  </conditionalFormatting>
  <conditionalFormatting sqref="E315 M311:M314">
    <cfRule priority="296" type="dataBar">
      <dataBar>
        <cfvo type="percent" val="0"/>
        <cfvo type="percentile" val="100"/>
        <color rgb="FF638EC6"/>
      </dataBar>
    </cfRule>
    <cfRule priority="297" type="dataBar">
      <dataBar>
        <cfvo type="percent" val="0"/>
        <cfvo type="percent" val="100"/>
        <color rgb="FF638EC6"/>
      </dataBar>
    </cfRule>
  </conditionalFormatting>
  <conditionalFormatting sqref="Q312:R314 R311">
    <cfRule priority="295" type="dataBar">
      <dataBar>
        <cfvo type="min"/>
        <cfvo type="max"/>
        <color rgb="FF638EC6"/>
      </dataBar>
    </cfRule>
  </conditionalFormatting>
  <conditionalFormatting sqref="O311:O314">
    <cfRule priority="294" type="dataBar">
      <dataBar>
        <cfvo type="min"/>
        <cfvo type="max"/>
        <color rgb="FF638EC6"/>
      </dataBar>
    </cfRule>
  </conditionalFormatting>
  <conditionalFormatting sqref="G311:G314">
    <cfRule priority="284" type="dataBar">
      <dataBar>
        <cfvo type="min"/>
        <cfvo type="max"/>
        <color rgb="FF638EC6"/>
      </dataBar>
    </cfRule>
    <cfRule priority="293" type="dataBar">
      <dataBar>
        <cfvo type="min"/>
        <cfvo type="max"/>
        <color rgb="FF638EC6"/>
      </dataBar>
    </cfRule>
  </conditionalFormatting>
  <conditionalFormatting sqref="P311:P314">
    <cfRule priority="292" type="dataBar">
      <dataBar>
        <cfvo type="min"/>
        <cfvo type="max"/>
        <color rgb="FF638EC6"/>
      </dataBar>
    </cfRule>
  </conditionalFormatting>
  <conditionalFormatting sqref="K311:K314">
    <cfRule priority="291" type="dataBar">
      <dataBar>
        <cfvo type="min"/>
        <cfvo type="max"/>
        <color rgb="FF638EC6"/>
      </dataBar>
    </cfRule>
  </conditionalFormatting>
  <conditionalFormatting sqref="M311:M314">
    <cfRule priority="290" type="dataBar">
      <dataBar>
        <cfvo type="min"/>
        <cfvo type="max"/>
        <color rgb="FF638EC6"/>
      </dataBar>
    </cfRule>
  </conditionalFormatting>
  <conditionalFormatting sqref="I314">
    <cfRule priority="283" type="dataBar">
      <dataBar>
        <cfvo type="min"/>
        <cfvo type="max"/>
        <color rgb="FF638EC6"/>
      </dataBar>
    </cfRule>
    <cfRule priority="288" type="dataBar">
      <dataBar>
        <cfvo type="min"/>
        <cfvo type="max"/>
        <color rgb="FF638EC6"/>
      </dataBar>
    </cfRule>
  </conditionalFormatting>
  <conditionalFormatting sqref="H314">
    <cfRule priority="285" type="dataBar">
      <dataBar>
        <cfvo type="min"/>
        <cfvo type="max"/>
        <color rgb="FF638EC6"/>
      </dataBar>
    </cfRule>
    <cfRule priority="287" type="dataBar">
      <dataBar>
        <cfvo type="min"/>
        <cfvo type="max"/>
        <color rgb="FF638EC6"/>
      </dataBar>
    </cfRule>
  </conditionalFormatting>
  <conditionalFormatting sqref="J314">
    <cfRule priority="282" type="dataBar">
      <dataBar>
        <cfvo type="min"/>
        <cfvo type="max"/>
        <color rgb="FF638EC6"/>
      </dataBar>
    </cfRule>
    <cfRule priority="286" type="dataBar">
      <dataBar>
        <cfvo type="min"/>
        <cfvo type="max"/>
        <color rgb="FF638EC6"/>
      </dataBar>
    </cfRule>
  </conditionalFormatting>
  <conditionalFormatting sqref="Q311">
    <cfRule priority="280" type="dataBar">
      <dataBar>
        <cfvo type="min"/>
        <cfvo type="max"/>
        <color rgb="FF638EC6"/>
      </dataBar>
    </cfRule>
  </conditionalFormatting>
  <conditionalFormatting sqref="S315">
    <cfRule priority="313" type="dataBar">
      <dataBar>
        <cfvo type="min"/>
        <cfvo type="max"/>
        <color rgb="FF638EC6"/>
      </dataBar>
    </cfRule>
  </conditionalFormatting>
  <conditionalFormatting sqref="S311:S314">
    <cfRule priority="314" type="dataBar">
      <dataBar>
        <cfvo type="min"/>
        <cfvo type="max"/>
        <color rgb="FF638EC6"/>
      </dataBar>
    </cfRule>
  </conditionalFormatting>
  <conditionalFormatting sqref="E311:E314">
    <cfRule priority="279" type="dataBar">
      <dataBar>
        <cfvo type="min"/>
        <cfvo type="max"/>
        <color rgb="FF638EC6"/>
      </dataBar>
    </cfRule>
  </conditionalFormatting>
  <conditionalFormatting sqref="W311:W315">
    <cfRule dxfId="47" percent="1" priority="273" rank="20" type="top10"/>
    <cfRule dxfId="47" percent="1" priority="274" rank="10" type="top10"/>
    <cfRule dxfId="0" percent="1" priority="277" rank="30" type="top10"/>
    <cfRule priority="278" type="dataBar">
      <dataBar>
        <cfvo type="min"/>
        <cfvo type="max"/>
        <color rgb="FF638EC6"/>
      </dataBar>
    </cfRule>
  </conditionalFormatting>
  <conditionalFormatting sqref="V311:V315">
    <cfRule dxfId="0" percent="1" priority="275" rank="30" type="top10"/>
    <cfRule priority="276" type="dataBar">
      <dataBar>
        <cfvo type="min"/>
        <cfvo type="max"/>
        <color rgb="FF638EC6"/>
      </dataBar>
    </cfRule>
  </conditionalFormatting>
  <conditionalFormatting sqref="E311:E315">
    <cfRule priority="272" type="dataBar">
      <dataBar>
        <cfvo type="min"/>
        <cfvo type="max"/>
        <color rgb="FF638EC6"/>
      </dataBar>
    </cfRule>
  </conditionalFormatting>
  <conditionalFormatting sqref="H314:H315">
    <cfRule priority="271" type="dataBar">
      <dataBar>
        <cfvo type="min"/>
        <cfvo type="max"/>
        <color rgb="FF638EC6"/>
      </dataBar>
    </cfRule>
  </conditionalFormatting>
  <conditionalFormatting sqref="I314:I315">
    <cfRule priority="270" type="dataBar">
      <dataBar>
        <cfvo type="min"/>
        <cfvo type="max"/>
        <color rgb="FF638EC6"/>
      </dataBar>
    </cfRule>
  </conditionalFormatting>
  <conditionalFormatting sqref="J314:J315">
    <cfRule priority="269" type="dataBar">
      <dataBar>
        <cfvo type="min"/>
        <cfvo type="max"/>
        <color rgb="FF638EC6"/>
      </dataBar>
    </cfRule>
  </conditionalFormatting>
  <conditionalFormatting sqref="I311:I312">
    <cfRule priority="261" type="dataBar">
      <dataBar>
        <cfvo type="min"/>
        <cfvo type="max"/>
        <color rgb="FF638EC6"/>
      </dataBar>
    </cfRule>
    <cfRule priority="264" type="dataBar">
      <dataBar>
        <cfvo type="min"/>
        <cfvo type="max"/>
        <color rgb="FF638EC6"/>
      </dataBar>
    </cfRule>
    <cfRule priority="268" type="dataBar">
      <dataBar>
        <cfvo type="min"/>
        <cfvo type="max"/>
        <color rgb="FF638EC6"/>
      </dataBar>
    </cfRule>
  </conditionalFormatting>
  <conditionalFormatting sqref="H311:H312">
    <cfRule priority="262" type="dataBar">
      <dataBar>
        <cfvo type="min"/>
        <cfvo type="max"/>
        <color rgb="FF638EC6"/>
      </dataBar>
    </cfRule>
    <cfRule priority="265" type="dataBar">
      <dataBar>
        <cfvo type="min"/>
        <cfvo type="max"/>
        <color rgb="FF638EC6"/>
      </dataBar>
    </cfRule>
    <cfRule priority="267" type="dataBar">
      <dataBar>
        <cfvo type="min"/>
        <cfvo type="max"/>
        <color rgb="FF638EC6"/>
      </dataBar>
    </cfRule>
  </conditionalFormatting>
  <conditionalFormatting sqref="J311:J312">
    <cfRule priority="260" type="dataBar">
      <dataBar>
        <cfvo type="min"/>
        <cfvo type="max"/>
        <color rgb="FF638EC6"/>
      </dataBar>
    </cfRule>
    <cfRule priority="263" type="dataBar">
      <dataBar>
        <cfvo type="min"/>
        <cfvo type="max"/>
        <color rgb="FF638EC6"/>
      </dataBar>
    </cfRule>
    <cfRule priority="266" type="dataBar">
      <dataBar>
        <cfvo type="min"/>
        <cfvo type="max"/>
        <color rgb="FF638EC6"/>
      </dataBar>
    </cfRule>
  </conditionalFormatting>
  <conditionalFormatting sqref="I313">
    <cfRule priority="252" type="dataBar">
      <dataBar>
        <cfvo type="min"/>
        <cfvo type="max"/>
        <color rgb="FF638EC6"/>
      </dataBar>
    </cfRule>
    <cfRule priority="255" type="dataBar">
      <dataBar>
        <cfvo type="min"/>
        <cfvo type="max"/>
        <color rgb="FF638EC6"/>
      </dataBar>
    </cfRule>
    <cfRule priority="259" type="dataBar">
      <dataBar>
        <cfvo type="min"/>
        <cfvo type="max"/>
        <color rgb="FF638EC6"/>
      </dataBar>
    </cfRule>
  </conditionalFormatting>
  <conditionalFormatting sqref="H313">
    <cfRule priority="253" type="dataBar">
      <dataBar>
        <cfvo type="min"/>
        <cfvo type="max"/>
        <color rgb="FF638EC6"/>
      </dataBar>
    </cfRule>
    <cfRule priority="256" type="dataBar">
      <dataBar>
        <cfvo type="min"/>
        <cfvo type="max"/>
        <color rgb="FF638EC6"/>
      </dataBar>
    </cfRule>
    <cfRule priority="258" type="dataBar">
      <dataBar>
        <cfvo type="min"/>
        <cfvo type="max"/>
        <color rgb="FF638EC6"/>
      </dataBar>
    </cfRule>
  </conditionalFormatting>
  <conditionalFormatting sqref="J313">
    <cfRule priority="251" type="dataBar">
      <dataBar>
        <cfvo type="min"/>
        <cfvo type="max"/>
        <color rgb="FF638EC6"/>
      </dataBar>
    </cfRule>
    <cfRule priority="254" type="dataBar">
      <dataBar>
        <cfvo type="min"/>
        <cfvo type="max"/>
        <color rgb="FF638EC6"/>
      </dataBar>
    </cfRule>
    <cfRule priority="257" type="dataBar">
      <dataBar>
        <cfvo type="min"/>
        <cfvo type="max"/>
        <color rgb="FF638EC6"/>
      </dataBar>
    </cfRule>
  </conditionalFormatting>
  <conditionalFormatting sqref="M316:M320">
    <cfRule priority="242" type="dataBar">
      <dataBar>
        <cfvo type="min"/>
        <cfvo type="max"/>
        <color rgb="FF638EC6"/>
      </dataBar>
    </cfRule>
    <cfRule priority="248" type="dataBar">
      <dataBar>
        <cfvo type="percent" val="0"/>
        <cfvo type="percentile" val="100"/>
        <color rgb="FF638EC6"/>
      </dataBar>
    </cfRule>
    <cfRule priority="249" type="dataBar">
      <dataBar>
        <cfvo type="percent" val="0"/>
        <cfvo type="percent" val="100"/>
        <color rgb="FF638EC6"/>
      </dataBar>
    </cfRule>
  </conditionalFormatting>
  <conditionalFormatting sqref="Q317:R320 R316">
    <cfRule priority="247" type="dataBar">
      <dataBar>
        <cfvo type="min"/>
        <cfvo type="max"/>
        <color rgb="FF638EC6"/>
      </dataBar>
    </cfRule>
  </conditionalFormatting>
  <conditionalFormatting sqref="O316:O320">
    <cfRule priority="246" type="dataBar">
      <dataBar>
        <cfvo type="min"/>
        <cfvo type="max"/>
        <color rgb="FF638EC6"/>
      </dataBar>
    </cfRule>
  </conditionalFormatting>
  <conditionalFormatting sqref="G316:G320">
    <cfRule priority="237" type="dataBar">
      <dataBar>
        <cfvo type="min"/>
        <cfvo type="max"/>
        <color rgb="FF638EC6"/>
      </dataBar>
    </cfRule>
    <cfRule priority="245" type="dataBar">
      <dataBar>
        <cfvo type="min"/>
        <cfvo type="max"/>
        <color rgb="FF638EC6"/>
      </dataBar>
    </cfRule>
  </conditionalFormatting>
  <conditionalFormatting sqref="P316:P320">
    <cfRule priority="244" type="dataBar">
      <dataBar>
        <cfvo type="min"/>
        <cfvo type="max"/>
        <color rgb="FF638EC6"/>
      </dataBar>
    </cfRule>
  </conditionalFormatting>
  <conditionalFormatting sqref="K316:K320">
    <cfRule priority="243" type="dataBar">
      <dataBar>
        <cfvo type="min"/>
        <cfvo type="max"/>
        <color rgb="FF638EC6"/>
      </dataBar>
    </cfRule>
  </conditionalFormatting>
  <conditionalFormatting sqref="I320">
    <cfRule priority="224" type="dataBar">
      <dataBar>
        <cfvo type="min"/>
        <cfvo type="max"/>
        <color rgb="FF638EC6"/>
      </dataBar>
    </cfRule>
    <cfRule priority="236" type="dataBar">
      <dataBar>
        <cfvo type="min"/>
        <cfvo type="max"/>
        <color rgb="FF638EC6"/>
      </dataBar>
    </cfRule>
    <cfRule priority="241" type="dataBar">
      <dataBar>
        <cfvo type="min"/>
        <cfvo type="max"/>
        <color rgb="FF638EC6"/>
      </dataBar>
    </cfRule>
  </conditionalFormatting>
  <conditionalFormatting sqref="H320">
    <cfRule priority="225" type="dataBar">
      <dataBar>
        <cfvo type="min"/>
        <cfvo type="max"/>
        <color rgb="FF638EC6"/>
      </dataBar>
    </cfRule>
    <cfRule priority="238" type="dataBar">
      <dataBar>
        <cfvo type="min"/>
        <cfvo type="max"/>
        <color rgb="FF638EC6"/>
      </dataBar>
    </cfRule>
    <cfRule priority="240" type="dataBar">
      <dataBar>
        <cfvo type="min"/>
        <cfvo type="max"/>
        <color rgb="FF638EC6"/>
      </dataBar>
    </cfRule>
  </conditionalFormatting>
  <conditionalFormatting sqref="J320">
    <cfRule priority="223" type="dataBar">
      <dataBar>
        <cfvo type="min"/>
        <cfvo type="max"/>
        <color rgb="FF638EC6"/>
      </dataBar>
    </cfRule>
    <cfRule priority="235" type="dataBar">
      <dataBar>
        <cfvo type="min"/>
        <cfvo type="max"/>
        <color rgb="FF638EC6"/>
      </dataBar>
    </cfRule>
    <cfRule priority="239" type="dataBar">
      <dataBar>
        <cfvo type="min"/>
        <cfvo type="max"/>
        <color rgb="FF638EC6"/>
      </dataBar>
    </cfRule>
  </conditionalFormatting>
  <conditionalFormatting sqref="Q316">
    <cfRule priority="234" type="dataBar">
      <dataBar>
        <cfvo type="min"/>
        <cfvo type="max"/>
        <color rgb="FF638EC6"/>
      </dataBar>
    </cfRule>
  </conditionalFormatting>
  <conditionalFormatting sqref="S316:S320">
    <cfRule priority="250" type="dataBar">
      <dataBar>
        <cfvo type="min"/>
        <cfvo type="max"/>
        <color rgb="FF638EC6"/>
      </dataBar>
    </cfRule>
  </conditionalFormatting>
  <conditionalFormatting sqref="E316:E320">
    <cfRule priority="226" type="dataBar">
      <dataBar>
        <cfvo type="min"/>
        <cfvo type="max"/>
        <color rgb="FF638EC6"/>
      </dataBar>
    </cfRule>
    <cfRule priority="233" type="dataBar">
      <dataBar>
        <cfvo type="min"/>
        <cfvo type="max"/>
        <color rgb="FF638EC6"/>
      </dataBar>
    </cfRule>
  </conditionalFormatting>
  <conditionalFormatting sqref="W316:W320">
    <cfRule dxfId="47" percent="1" priority="227" rank="20" type="top10"/>
    <cfRule dxfId="47" percent="1" priority="228" rank="10" type="top10"/>
    <cfRule dxfId="0" percent="1" priority="231" rank="30" type="top10"/>
    <cfRule priority="232" type="dataBar">
      <dataBar>
        <cfvo type="min"/>
        <cfvo type="max"/>
        <color rgb="FF638EC6"/>
      </dataBar>
    </cfRule>
  </conditionalFormatting>
  <conditionalFormatting sqref="V316:V320">
    <cfRule dxfId="0" percent="1" priority="229" rank="30" type="top10"/>
    <cfRule priority="230" type="dataBar">
      <dataBar>
        <cfvo type="min"/>
        <cfvo type="max"/>
        <color rgb="FF638EC6"/>
      </dataBar>
    </cfRule>
  </conditionalFormatting>
  <conditionalFormatting sqref="I319">
    <cfRule priority="215" type="dataBar">
      <dataBar>
        <cfvo type="min"/>
        <cfvo type="max"/>
        <color rgb="FF638EC6"/>
      </dataBar>
    </cfRule>
    <cfRule priority="218" type="dataBar">
      <dataBar>
        <cfvo type="min"/>
        <cfvo type="max"/>
        <color rgb="FF638EC6"/>
      </dataBar>
    </cfRule>
    <cfRule priority="222" type="dataBar">
      <dataBar>
        <cfvo type="min"/>
        <cfvo type="max"/>
        <color rgb="FF638EC6"/>
      </dataBar>
    </cfRule>
  </conditionalFormatting>
  <conditionalFormatting sqref="H319">
    <cfRule priority="216" type="dataBar">
      <dataBar>
        <cfvo type="min"/>
        <cfvo type="max"/>
        <color rgb="FF638EC6"/>
      </dataBar>
    </cfRule>
    <cfRule priority="219" type="dataBar">
      <dataBar>
        <cfvo type="min"/>
        <cfvo type="max"/>
        <color rgb="FF638EC6"/>
      </dataBar>
    </cfRule>
    <cfRule priority="221" type="dataBar">
      <dataBar>
        <cfvo type="min"/>
        <cfvo type="max"/>
        <color rgb="FF638EC6"/>
      </dataBar>
    </cfRule>
  </conditionalFormatting>
  <conditionalFormatting sqref="J319">
    <cfRule priority="214" type="dataBar">
      <dataBar>
        <cfvo type="min"/>
        <cfvo type="max"/>
        <color rgb="FF638EC6"/>
      </dataBar>
    </cfRule>
    <cfRule priority="217" type="dataBar">
      <dataBar>
        <cfvo type="min"/>
        <cfvo type="max"/>
        <color rgb="FF638EC6"/>
      </dataBar>
    </cfRule>
    <cfRule priority="220" type="dataBar">
      <dataBar>
        <cfvo type="min"/>
        <cfvo type="max"/>
        <color rgb="FF638EC6"/>
      </dataBar>
    </cfRule>
  </conditionalFormatting>
  <conditionalFormatting sqref="I316:I317">
    <cfRule priority="206" type="dataBar">
      <dataBar>
        <cfvo type="min"/>
        <cfvo type="max"/>
        <color rgb="FF638EC6"/>
      </dataBar>
    </cfRule>
    <cfRule priority="209" type="dataBar">
      <dataBar>
        <cfvo type="min"/>
        <cfvo type="max"/>
        <color rgb="FF638EC6"/>
      </dataBar>
    </cfRule>
    <cfRule priority="213" type="dataBar">
      <dataBar>
        <cfvo type="min"/>
        <cfvo type="max"/>
        <color rgb="FF638EC6"/>
      </dataBar>
    </cfRule>
  </conditionalFormatting>
  <conditionalFormatting sqref="H316:H317">
    <cfRule priority="207" type="dataBar">
      <dataBar>
        <cfvo type="min"/>
        <cfvo type="max"/>
        <color rgb="FF638EC6"/>
      </dataBar>
    </cfRule>
    <cfRule priority="210" type="dataBar">
      <dataBar>
        <cfvo type="min"/>
        <cfvo type="max"/>
        <color rgb="FF638EC6"/>
      </dataBar>
    </cfRule>
    <cfRule priority="212" type="dataBar">
      <dataBar>
        <cfvo type="min"/>
        <cfvo type="max"/>
        <color rgb="FF638EC6"/>
      </dataBar>
    </cfRule>
  </conditionalFormatting>
  <conditionalFormatting sqref="J316:J317">
    <cfRule priority="205" type="dataBar">
      <dataBar>
        <cfvo type="min"/>
        <cfvo type="max"/>
        <color rgb="FF638EC6"/>
      </dataBar>
    </cfRule>
    <cfRule priority="208" type="dataBar">
      <dataBar>
        <cfvo type="min"/>
        <cfvo type="max"/>
        <color rgb="FF638EC6"/>
      </dataBar>
    </cfRule>
    <cfRule priority="211" type="dataBar">
      <dataBar>
        <cfvo type="min"/>
        <cfvo type="max"/>
        <color rgb="FF638EC6"/>
      </dataBar>
    </cfRule>
  </conditionalFormatting>
  <conditionalFormatting sqref="I318">
    <cfRule priority="197" type="dataBar">
      <dataBar>
        <cfvo type="min"/>
        <cfvo type="max"/>
        <color rgb="FF638EC6"/>
      </dataBar>
    </cfRule>
    <cfRule priority="200" type="dataBar">
      <dataBar>
        <cfvo type="min"/>
        <cfvo type="max"/>
        <color rgb="FF638EC6"/>
      </dataBar>
    </cfRule>
    <cfRule priority="204" type="dataBar">
      <dataBar>
        <cfvo type="min"/>
        <cfvo type="max"/>
        <color rgb="FF638EC6"/>
      </dataBar>
    </cfRule>
  </conditionalFormatting>
  <conditionalFormatting sqref="H318">
    <cfRule priority="198" type="dataBar">
      <dataBar>
        <cfvo type="min"/>
        <cfvo type="max"/>
        <color rgb="FF638EC6"/>
      </dataBar>
    </cfRule>
    <cfRule priority="201" type="dataBar">
      <dataBar>
        <cfvo type="min"/>
        <cfvo type="max"/>
        <color rgb="FF638EC6"/>
      </dataBar>
    </cfRule>
    <cfRule priority="203" type="dataBar">
      <dataBar>
        <cfvo type="min"/>
        <cfvo type="max"/>
        <color rgb="FF638EC6"/>
      </dataBar>
    </cfRule>
  </conditionalFormatting>
  <conditionalFormatting sqref="J318">
    <cfRule priority="196" type="dataBar">
      <dataBar>
        <cfvo type="min"/>
        <cfvo type="max"/>
        <color rgb="FF638EC6"/>
      </dataBar>
    </cfRule>
    <cfRule priority="199" type="dataBar">
      <dataBar>
        <cfvo type="min"/>
        <cfvo type="max"/>
        <color rgb="FF638EC6"/>
      </dataBar>
    </cfRule>
    <cfRule priority="202" type="dataBar">
      <dataBar>
        <cfvo type="min"/>
        <cfvo type="max"/>
        <color rgb="FF638EC6"/>
      </dataBar>
    </cfRule>
  </conditionalFormatting>
  <conditionalFormatting sqref="Q276 Q281">
    <cfRule priority="184" type="dataBar">
      <dataBar>
        <cfvo type="min"/>
        <cfvo type="max"/>
        <color rgb="FF638EC6"/>
      </dataBar>
    </cfRule>
  </conditionalFormatting>
  <conditionalFormatting sqref="M276 M281">
    <cfRule priority="188" type="dataBar">
      <dataBar>
        <cfvo type="min"/>
        <cfvo type="max"/>
        <color rgb="FF638EC6"/>
      </dataBar>
    </cfRule>
  </conditionalFormatting>
  <conditionalFormatting sqref="E276 E281">
    <cfRule priority="177" type="dataBar">
      <dataBar>
        <cfvo type="min"/>
        <cfvo type="max"/>
        <color rgb="FF638EC6"/>
      </dataBar>
    </cfRule>
    <cfRule priority="187" type="dataBar">
      <dataBar>
        <cfvo type="min"/>
        <cfvo type="max"/>
        <color rgb="FF638EC6"/>
      </dataBar>
    </cfRule>
  </conditionalFormatting>
  <conditionalFormatting sqref="G276:J276 G281:J281">
    <cfRule priority="186" type="dataBar">
      <dataBar>
        <cfvo type="min"/>
        <cfvo type="max"/>
        <color rgb="FF638EC6"/>
      </dataBar>
    </cfRule>
  </conditionalFormatting>
  <conditionalFormatting sqref="O276 O281">
    <cfRule priority="185" type="dataBar">
      <dataBar>
        <cfvo type="min"/>
        <cfvo type="max"/>
        <color rgb="FF638EC6"/>
      </dataBar>
    </cfRule>
  </conditionalFormatting>
  <conditionalFormatting sqref="S276 S281">
    <cfRule priority="189" type="dataBar">
      <dataBar>
        <cfvo type="min"/>
        <cfvo type="max"/>
        <color rgb="FF638EC6"/>
      </dataBar>
    </cfRule>
  </conditionalFormatting>
  <conditionalFormatting sqref="W276 W281">
    <cfRule dxfId="47" percent="1" priority="178" rank="20" type="top10"/>
    <cfRule dxfId="47" percent="1" priority="179" rank="10" type="top10"/>
    <cfRule dxfId="0" percent="1" priority="182" rank="30" type="top10"/>
    <cfRule priority="183" type="dataBar">
      <dataBar>
        <cfvo type="min"/>
        <cfvo type="max"/>
        <color rgb="FF638EC6"/>
      </dataBar>
    </cfRule>
  </conditionalFormatting>
  <conditionalFormatting sqref="V276 V281">
    <cfRule dxfId="0" percent="1" priority="180" rank="30" type="top10"/>
    <cfRule priority="181" type="dataBar">
      <dataBar>
        <cfvo type="min"/>
        <cfvo type="max"/>
        <color rgb="FF638EC6"/>
      </dataBar>
    </cfRule>
  </conditionalFormatting>
  <conditionalFormatting sqref="H276 H281">
    <cfRule priority="176" type="dataBar">
      <dataBar>
        <cfvo type="min"/>
        <cfvo type="max"/>
        <color rgb="FF638EC6"/>
      </dataBar>
    </cfRule>
  </conditionalFormatting>
  <conditionalFormatting sqref="I276 I281">
    <cfRule priority="175" type="dataBar">
      <dataBar>
        <cfvo type="min"/>
        <cfvo type="max"/>
        <color rgb="FF638EC6"/>
      </dataBar>
    </cfRule>
  </conditionalFormatting>
  <conditionalFormatting sqref="J276 J281">
    <cfRule priority="174" type="dataBar">
      <dataBar>
        <cfvo type="min"/>
        <cfvo type="max"/>
        <color rgb="FF638EC6"/>
      </dataBar>
    </cfRule>
  </conditionalFormatting>
  <conditionalFormatting sqref="W272:W275">
    <cfRule dxfId="47" percent="1" priority="168" rank="20" type="top10"/>
    <cfRule dxfId="47" percent="1" priority="169" rank="10" type="top10"/>
    <cfRule dxfId="0" percent="1" priority="172" rank="30" type="top10"/>
    <cfRule priority="173" type="dataBar">
      <dataBar>
        <cfvo type="min"/>
        <cfvo type="max"/>
        <color rgb="FF638EC6"/>
      </dataBar>
    </cfRule>
  </conditionalFormatting>
  <conditionalFormatting sqref="V272:V275">
    <cfRule dxfId="0" percent="1" priority="170" rank="30" type="top10"/>
    <cfRule priority="171" type="dataBar">
      <dataBar>
        <cfvo type="min"/>
        <cfvo type="max"/>
        <color rgb="FF638EC6"/>
      </dataBar>
    </cfRule>
  </conditionalFormatting>
  <conditionalFormatting sqref="E272:E275">
    <cfRule priority="149" type="dataBar">
      <dataBar>
        <cfvo type="min"/>
        <cfvo type="max"/>
        <color rgb="FF638EC6"/>
      </dataBar>
    </cfRule>
    <cfRule priority="150" type="dataBar">
      <dataBar>
        <cfvo type="min"/>
        <cfvo type="max"/>
        <color rgb="FF638EC6"/>
      </dataBar>
    </cfRule>
    <cfRule priority="159" type="dataBar">
      <dataBar>
        <cfvo type="min"/>
        <cfvo type="max"/>
        <color rgb="FF638EC6"/>
      </dataBar>
    </cfRule>
  </conditionalFormatting>
  <conditionalFormatting sqref="E272:E275 M272:M275">
    <cfRule priority="165" type="dataBar">
      <dataBar>
        <cfvo type="percent" val="0"/>
        <cfvo type="percentile" val="100"/>
        <color rgb="FF638EC6"/>
      </dataBar>
    </cfRule>
    <cfRule priority="166" type="dataBar">
      <dataBar>
        <cfvo type="percent" val="0"/>
        <cfvo type="percent" val="100"/>
        <color rgb="FF638EC6"/>
      </dataBar>
    </cfRule>
  </conditionalFormatting>
  <conditionalFormatting sqref="O272:O275">
    <cfRule priority="164" type="dataBar">
      <dataBar>
        <cfvo type="min"/>
        <cfvo type="max"/>
        <color rgb="FF638EC6"/>
      </dataBar>
    </cfRule>
  </conditionalFormatting>
  <conditionalFormatting sqref="G272:G275">
    <cfRule priority="153" type="dataBar">
      <dataBar>
        <cfvo type="min"/>
        <cfvo type="max"/>
        <color rgb="FF638EC6"/>
      </dataBar>
    </cfRule>
    <cfRule priority="163" type="dataBar">
      <dataBar>
        <cfvo type="min"/>
        <cfvo type="max"/>
        <color rgb="FF638EC6"/>
      </dataBar>
    </cfRule>
  </conditionalFormatting>
  <conditionalFormatting sqref="P272:P275">
    <cfRule priority="162" type="dataBar">
      <dataBar>
        <cfvo type="min"/>
        <cfvo type="max"/>
        <color rgb="FF638EC6"/>
      </dataBar>
    </cfRule>
  </conditionalFormatting>
  <conditionalFormatting sqref="K272:K275">
    <cfRule priority="161" type="dataBar">
      <dataBar>
        <cfvo type="min"/>
        <cfvo type="max"/>
        <color rgb="FF638EC6"/>
      </dataBar>
    </cfRule>
  </conditionalFormatting>
  <conditionalFormatting sqref="M272:M275">
    <cfRule priority="160" type="dataBar">
      <dataBar>
        <cfvo type="min"/>
        <cfvo type="max"/>
        <color rgb="FF638EC6"/>
      </dataBar>
    </cfRule>
  </conditionalFormatting>
  <conditionalFormatting sqref="Q272:R275">
    <cfRule priority="158" type="dataBar">
      <dataBar>
        <cfvo type="min"/>
        <cfvo type="max"/>
        <color rgb="FF638EC6"/>
      </dataBar>
    </cfRule>
  </conditionalFormatting>
  <conditionalFormatting sqref="I272:I275">
    <cfRule priority="147" type="dataBar">
      <dataBar>
        <cfvo type="min"/>
        <cfvo type="max"/>
        <color rgb="FF638EC6"/>
      </dataBar>
    </cfRule>
    <cfRule priority="152" type="dataBar">
      <dataBar>
        <cfvo type="min"/>
        <cfvo type="max"/>
        <color rgb="FF638EC6"/>
      </dataBar>
    </cfRule>
    <cfRule priority="157" type="dataBar">
      <dataBar>
        <cfvo type="min"/>
        <cfvo type="max"/>
        <color rgb="FF638EC6"/>
      </dataBar>
    </cfRule>
  </conditionalFormatting>
  <conditionalFormatting sqref="H272:H275">
    <cfRule priority="148" type="dataBar">
      <dataBar>
        <cfvo type="min"/>
        <cfvo type="max"/>
        <color rgb="FF638EC6"/>
      </dataBar>
    </cfRule>
    <cfRule priority="154" type="dataBar">
      <dataBar>
        <cfvo type="min"/>
        <cfvo type="max"/>
        <color rgb="FF638EC6"/>
      </dataBar>
    </cfRule>
    <cfRule priority="156" type="dataBar">
      <dataBar>
        <cfvo type="min"/>
        <cfvo type="max"/>
        <color rgb="FF638EC6"/>
      </dataBar>
    </cfRule>
  </conditionalFormatting>
  <conditionalFormatting sqref="J272:J275">
    <cfRule priority="146" type="dataBar">
      <dataBar>
        <cfvo type="min"/>
        <cfvo type="max"/>
        <color rgb="FF638EC6"/>
      </dataBar>
    </cfRule>
    <cfRule priority="151" type="dataBar">
      <dataBar>
        <cfvo type="min"/>
        <cfvo type="max"/>
        <color rgb="FF638EC6"/>
      </dataBar>
    </cfRule>
    <cfRule priority="155" type="dataBar">
      <dataBar>
        <cfvo type="min"/>
        <cfvo type="max"/>
        <color rgb="FF638EC6"/>
      </dataBar>
    </cfRule>
  </conditionalFormatting>
  <conditionalFormatting sqref="S272:S275">
    <cfRule priority="167" type="dataBar">
      <dataBar>
        <cfvo type="min"/>
        <cfvo type="max"/>
        <color rgb="FF638EC6"/>
      </dataBar>
    </cfRule>
  </conditionalFormatting>
  <conditionalFormatting sqref="E290 M287 M289">
    <cfRule priority="1170" type="dataBar">
      <dataBar>
        <cfvo type="percent" val="0"/>
        <cfvo type="percentile" val="100"/>
        <color rgb="FF638EC6"/>
      </dataBar>
    </cfRule>
    <cfRule priority="1171" type="dataBar">
      <dataBar>
        <cfvo type="percent" val="0"/>
        <cfvo type="percent" val="100"/>
        <color rgb="FF638EC6"/>
      </dataBar>
    </cfRule>
  </conditionalFormatting>
  <conditionalFormatting sqref="O287 O289">
    <cfRule priority="1181" type="dataBar">
      <dataBar>
        <cfvo type="min"/>
        <cfvo type="max"/>
        <color rgb="FF638EC6"/>
      </dataBar>
    </cfRule>
  </conditionalFormatting>
  <conditionalFormatting sqref="G287 G289">
    <cfRule priority="1184" type="dataBar">
      <dataBar>
        <cfvo type="min"/>
        <cfvo type="max"/>
        <color rgb="FF638EC6"/>
      </dataBar>
    </cfRule>
    <cfRule priority="1185" type="dataBar">
      <dataBar>
        <cfvo type="min"/>
        <cfvo type="max"/>
        <color rgb="FF638EC6"/>
      </dataBar>
    </cfRule>
  </conditionalFormatting>
  <conditionalFormatting sqref="P287 P289">
    <cfRule priority="1190" type="dataBar">
      <dataBar>
        <cfvo type="min"/>
        <cfvo type="max"/>
        <color rgb="FF638EC6"/>
      </dataBar>
    </cfRule>
  </conditionalFormatting>
  <conditionalFormatting sqref="K287 K289">
    <cfRule priority="1193" type="dataBar">
      <dataBar>
        <cfvo type="min"/>
        <cfvo type="max"/>
        <color rgb="FF638EC6"/>
      </dataBar>
    </cfRule>
  </conditionalFormatting>
  <conditionalFormatting sqref="M287 M289">
    <cfRule priority="1196" type="dataBar">
      <dataBar>
        <cfvo type="min"/>
        <cfvo type="max"/>
        <color rgb="FF638EC6"/>
      </dataBar>
    </cfRule>
  </conditionalFormatting>
  <conditionalFormatting sqref="I287 I289">
    <cfRule priority="1199" type="dataBar">
      <dataBar>
        <cfvo type="min"/>
        <cfvo type="max"/>
        <color rgb="FF638EC6"/>
      </dataBar>
    </cfRule>
    <cfRule priority="1200" type="dataBar">
      <dataBar>
        <cfvo type="min"/>
        <cfvo type="max"/>
        <color rgb="FF638EC6"/>
      </dataBar>
    </cfRule>
  </conditionalFormatting>
  <conditionalFormatting sqref="S287 S289">
    <cfRule priority="1207" type="dataBar">
      <dataBar>
        <cfvo type="min"/>
        <cfvo type="max"/>
        <color rgb="FF638EC6"/>
      </dataBar>
    </cfRule>
  </conditionalFormatting>
  <conditionalFormatting sqref="E287 E289">
    <cfRule priority="1210" type="dataBar">
      <dataBar>
        <cfvo type="min"/>
        <cfvo type="max"/>
        <color rgb="FF638EC6"/>
      </dataBar>
    </cfRule>
  </conditionalFormatting>
  <conditionalFormatting sqref="W287 W289:W290">
    <cfRule dxfId="47" percent="1" priority="1213" rank="20" type="top10"/>
    <cfRule dxfId="47" percent="1" priority="1214" rank="10" type="top10"/>
    <cfRule dxfId="0" percent="1" priority="1215" rank="30" type="top10"/>
    <cfRule priority="1216" type="dataBar">
      <dataBar>
        <cfvo type="min"/>
        <cfvo type="max"/>
        <color rgb="FF638EC6"/>
      </dataBar>
    </cfRule>
  </conditionalFormatting>
  <conditionalFormatting sqref="V287 V289:V290">
    <cfRule dxfId="0" percent="1" priority="1225" rank="30" type="top10"/>
    <cfRule priority="1226" type="dataBar">
      <dataBar>
        <cfvo type="min"/>
        <cfvo type="max"/>
        <color rgb="FF638EC6"/>
      </dataBar>
    </cfRule>
  </conditionalFormatting>
  <conditionalFormatting sqref="E287 E289:E290">
    <cfRule priority="1231" type="dataBar">
      <dataBar>
        <cfvo type="min"/>
        <cfvo type="max"/>
        <color rgb="FF638EC6"/>
      </dataBar>
    </cfRule>
  </conditionalFormatting>
  <conditionalFormatting sqref="I287 I289:I290">
    <cfRule priority="1235" type="dataBar">
      <dataBar>
        <cfvo type="min"/>
        <cfvo type="max"/>
        <color rgb="FF638EC6"/>
      </dataBar>
    </cfRule>
  </conditionalFormatting>
  <conditionalFormatting sqref="W277:W280">
    <cfRule dxfId="47" percent="1" priority="79" rank="20" type="top10"/>
    <cfRule dxfId="47" percent="1" priority="80" rank="10" type="top10"/>
    <cfRule dxfId="0" percent="1" priority="83" rank="30" type="top10"/>
    <cfRule priority="84" type="dataBar">
      <dataBar>
        <cfvo type="min"/>
        <cfvo type="max"/>
        <color rgb="FF638EC6"/>
      </dataBar>
    </cfRule>
  </conditionalFormatting>
  <conditionalFormatting sqref="V277:V280">
    <cfRule dxfId="0" percent="1" priority="81" rank="30" type="top10"/>
    <cfRule priority="82" type="dataBar">
      <dataBar>
        <cfvo type="min"/>
        <cfvo type="max"/>
        <color rgb="FF638EC6"/>
      </dataBar>
    </cfRule>
  </conditionalFormatting>
  <conditionalFormatting sqref="E277:E280">
    <cfRule priority="60" type="dataBar">
      <dataBar>
        <cfvo type="min"/>
        <cfvo type="max"/>
        <color rgb="FF638EC6"/>
      </dataBar>
    </cfRule>
    <cfRule priority="61" type="dataBar">
      <dataBar>
        <cfvo type="min"/>
        <cfvo type="max"/>
        <color rgb="FF638EC6"/>
      </dataBar>
    </cfRule>
    <cfRule priority="70" type="dataBar">
      <dataBar>
        <cfvo type="min"/>
        <cfvo type="max"/>
        <color rgb="FF638EC6"/>
      </dataBar>
    </cfRule>
  </conditionalFormatting>
  <conditionalFormatting sqref="E277:E280 M277:M280">
    <cfRule priority="76" type="dataBar">
      <dataBar>
        <cfvo type="percent" val="0"/>
        <cfvo type="percentile" val="100"/>
        <color rgb="FF638EC6"/>
      </dataBar>
    </cfRule>
    <cfRule priority="77" type="dataBar">
      <dataBar>
        <cfvo type="percent" val="0"/>
        <cfvo type="percent" val="100"/>
        <color rgb="FF638EC6"/>
      </dataBar>
    </cfRule>
  </conditionalFormatting>
  <conditionalFormatting sqref="O277:O280">
    <cfRule priority="75" type="dataBar">
      <dataBar>
        <cfvo type="min"/>
        <cfvo type="max"/>
        <color rgb="FF638EC6"/>
      </dataBar>
    </cfRule>
  </conditionalFormatting>
  <conditionalFormatting sqref="G277:G280">
    <cfRule priority="64" type="dataBar">
      <dataBar>
        <cfvo type="min"/>
        <cfvo type="max"/>
        <color rgb="FF638EC6"/>
      </dataBar>
    </cfRule>
    <cfRule priority="74" type="dataBar">
      <dataBar>
        <cfvo type="min"/>
        <cfvo type="max"/>
        <color rgb="FF638EC6"/>
      </dataBar>
    </cfRule>
  </conditionalFormatting>
  <conditionalFormatting sqref="P277:P280">
    <cfRule priority="73" type="dataBar">
      <dataBar>
        <cfvo type="min"/>
        <cfvo type="max"/>
        <color rgb="FF638EC6"/>
      </dataBar>
    </cfRule>
  </conditionalFormatting>
  <conditionalFormatting sqref="K277:K280">
    <cfRule priority="72" type="dataBar">
      <dataBar>
        <cfvo type="min"/>
        <cfvo type="max"/>
        <color rgb="FF638EC6"/>
      </dataBar>
    </cfRule>
  </conditionalFormatting>
  <conditionalFormatting sqref="M277:M280">
    <cfRule priority="71" type="dataBar">
      <dataBar>
        <cfvo type="min"/>
        <cfvo type="max"/>
        <color rgb="FF638EC6"/>
      </dataBar>
    </cfRule>
  </conditionalFormatting>
  <conditionalFormatting sqref="Q277:R280">
    <cfRule priority="69" type="dataBar">
      <dataBar>
        <cfvo type="min"/>
        <cfvo type="max"/>
        <color rgb="FF638EC6"/>
      </dataBar>
    </cfRule>
  </conditionalFormatting>
  <conditionalFormatting sqref="I277:I280">
    <cfRule priority="58" type="dataBar">
      <dataBar>
        <cfvo type="min"/>
        <cfvo type="max"/>
        <color rgb="FF638EC6"/>
      </dataBar>
    </cfRule>
    <cfRule priority="63" type="dataBar">
      <dataBar>
        <cfvo type="min"/>
        <cfvo type="max"/>
        <color rgb="FF638EC6"/>
      </dataBar>
    </cfRule>
    <cfRule priority="68" type="dataBar">
      <dataBar>
        <cfvo type="min"/>
        <cfvo type="max"/>
        <color rgb="FF638EC6"/>
      </dataBar>
    </cfRule>
  </conditionalFormatting>
  <conditionalFormatting sqref="H277:H280">
    <cfRule priority="59" type="dataBar">
      <dataBar>
        <cfvo type="min"/>
        <cfvo type="max"/>
        <color rgb="FF638EC6"/>
      </dataBar>
    </cfRule>
    <cfRule priority="65" type="dataBar">
      <dataBar>
        <cfvo type="min"/>
        <cfvo type="max"/>
        <color rgb="FF638EC6"/>
      </dataBar>
    </cfRule>
    <cfRule priority="67" type="dataBar">
      <dataBar>
        <cfvo type="min"/>
        <cfvo type="max"/>
        <color rgb="FF638EC6"/>
      </dataBar>
    </cfRule>
  </conditionalFormatting>
  <conditionalFormatting sqref="J277:J280">
    <cfRule priority="57" type="dataBar">
      <dataBar>
        <cfvo type="min"/>
        <cfvo type="max"/>
        <color rgb="FF638EC6"/>
      </dataBar>
    </cfRule>
    <cfRule priority="62" type="dataBar">
      <dataBar>
        <cfvo type="min"/>
        <cfvo type="max"/>
        <color rgb="FF638EC6"/>
      </dataBar>
    </cfRule>
    <cfRule priority="66" type="dataBar">
      <dataBar>
        <cfvo type="min"/>
        <cfvo type="max"/>
        <color rgb="FF638EC6"/>
      </dataBar>
    </cfRule>
  </conditionalFormatting>
  <conditionalFormatting sqref="S277:S280">
    <cfRule priority="78" type="dataBar">
      <dataBar>
        <cfvo type="min"/>
        <cfvo type="max"/>
        <color rgb="FF638EC6"/>
      </dataBar>
    </cfRule>
  </conditionalFormatting>
  <conditionalFormatting sqref="W282:W285">
    <cfRule dxfId="47" percent="1" priority="51" rank="20" type="top10"/>
    <cfRule dxfId="47" percent="1" priority="52" rank="10" type="top10"/>
    <cfRule dxfId="0" percent="1" priority="55" rank="30" type="top10"/>
    <cfRule priority="56" type="dataBar">
      <dataBar>
        <cfvo type="min"/>
        <cfvo type="max"/>
        <color rgb="FF638EC6"/>
      </dataBar>
    </cfRule>
  </conditionalFormatting>
  <conditionalFormatting sqref="V282:V285">
    <cfRule dxfId="0" percent="1" priority="53" rank="30" type="top10"/>
    <cfRule priority="54" type="dataBar">
      <dataBar>
        <cfvo type="min"/>
        <cfvo type="max"/>
        <color rgb="FF638EC6"/>
      </dataBar>
    </cfRule>
  </conditionalFormatting>
  <conditionalFormatting sqref="E282:E285">
    <cfRule priority="32" type="dataBar">
      <dataBar>
        <cfvo type="min"/>
        <cfvo type="max"/>
        <color rgb="FF638EC6"/>
      </dataBar>
    </cfRule>
    <cfRule priority="33" type="dataBar">
      <dataBar>
        <cfvo type="min"/>
        <cfvo type="max"/>
        <color rgb="FF638EC6"/>
      </dataBar>
    </cfRule>
    <cfRule priority="42" type="dataBar">
      <dataBar>
        <cfvo type="min"/>
        <cfvo type="max"/>
        <color rgb="FF638EC6"/>
      </dataBar>
    </cfRule>
  </conditionalFormatting>
  <conditionalFormatting sqref="E282:E285 M282:M285">
    <cfRule priority="48" type="dataBar">
      <dataBar>
        <cfvo type="percent" val="0"/>
        <cfvo type="percentile" val="100"/>
        <color rgb="FF638EC6"/>
      </dataBar>
    </cfRule>
    <cfRule priority="49" type="dataBar">
      <dataBar>
        <cfvo type="percent" val="0"/>
        <cfvo type="percent" val="100"/>
        <color rgb="FF638EC6"/>
      </dataBar>
    </cfRule>
  </conditionalFormatting>
  <conditionalFormatting sqref="O282:O285">
    <cfRule priority="47" type="dataBar">
      <dataBar>
        <cfvo type="min"/>
        <cfvo type="max"/>
        <color rgb="FF638EC6"/>
      </dataBar>
    </cfRule>
  </conditionalFormatting>
  <conditionalFormatting sqref="G282:G285">
    <cfRule priority="36" type="dataBar">
      <dataBar>
        <cfvo type="min"/>
        <cfvo type="max"/>
        <color rgb="FF638EC6"/>
      </dataBar>
    </cfRule>
    <cfRule priority="46" type="dataBar">
      <dataBar>
        <cfvo type="min"/>
        <cfvo type="max"/>
        <color rgb="FF638EC6"/>
      </dataBar>
    </cfRule>
  </conditionalFormatting>
  <conditionalFormatting sqref="P282:P285">
    <cfRule priority="45" type="dataBar">
      <dataBar>
        <cfvo type="min"/>
        <cfvo type="max"/>
        <color rgb="FF638EC6"/>
      </dataBar>
    </cfRule>
  </conditionalFormatting>
  <conditionalFormatting sqref="K282:K285">
    <cfRule priority="44" type="dataBar">
      <dataBar>
        <cfvo type="min"/>
        <cfvo type="max"/>
        <color rgb="FF638EC6"/>
      </dataBar>
    </cfRule>
  </conditionalFormatting>
  <conditionalFormatting sqref="M282:M285">
    <cfRule priority="43" type="dataBar">
      <dataBar>
        <cfvo type="min"/>
        <cfvo type="max"/>
        <color rgb="FF638EC6"/>
      </dataBar>
    </cfRule>
  </conditionalFormatting>
  <conditionalFormatting sqref="Q282:R285">
    <cfRule priority="41" type="dataBar">
      <dataBar>
        <cfvo type="min"/>
        <cfvo type="max"/>
        <color rgb="FF638EC6"/>
      </dataBar>
    </cfRule>
  </conditionalFormatting>
  <conditionalFormatting sqref="I282:I285">
    <cfRule priority="30" type="dataBar">
      <dataBar>
        <cfvo type="min"/>
        <cfvo type="max"/>
        <color rgb="FF638EC6"/>
      </dataBar>
    </cfRule>
    <cfRule priority="35" type="dataBar">
      <dataBar>
        <cfvo type="min"/>
        <cfvo type="max"/>
        <color rgb="FF638EC6"/>
      </dataBar>
    </cfRule>
    <cfRule priority="40" type="dataBar">
      <dataBar>
        <cfvo type="min"/>
        <cfvo type="max"/>
        <color rgb="FF638EC6"/>
      </dataBar>
    </cfRule>
  </conditionalFormatting>
  <conditionalFormatting sqref="H282:H285">
    <cfRule priority="31" type="dataBar">
      <dataBar>
        <cfvo type="min"/>
        <cfvo type="max"/>
        <color rgb="FF638EC6"/>
      </dataBar>
    </cfRule>
    <cfRule priority="37" type="dataBar">
      <dataBar>
        <cfvo type="min"/>
        <cfvo type="max"/>
        <color rgb="FF638EC6"/>
      </dataBar>
    </cfRule>
    <cfRule priority="39" type="dataBar">
      <dataBar>
        <cfvo type="min"/>
        <cfvo type="max"/>
        <color rgb="FF638EC6"/>
      </dataBar>
    </cfRule>
  </conditionalFormatting>
  <conditionalFormatting sqref="J282:J285">
    <cfRule priority="29" type="dataBar">
      <dataBar>
        <cfvo type="min"/>
        <cfvo type="max"/>
        <color rgb="FF638EC6"/>
      </dataBar>
    </cfRule>
    <cfRule priority="34" type="dataBar">
      <dataBar>
        <cfvo type="min"/>
        <cfvo type="max"/>
        <color rgb="FF638EC6"/>
      </dataBar>
    </cfRule>
    <cfRule priority="38" type="dataBar">
      <dataBar>
        <cfvo type="min"/>
        <cfvo type="max"/>
        <color rgb="FF638EC6"/>
      </dataBar>
    </cfRule>
  </conditionalFormatting>
  <conditionalFormatting sqref="S282:S285">
    <cfRule priority="50" type="dataBar">
      <dataBar>
        <cfvo type="min"/>
        <cfvo type="max"/>
        <color rgb="FF638EC6"/>
      </dataBar>
    </cfRule>
  </conditionalFormatting>
  <pageMargins bottom="0.75" footer="0.3" header="0.3" left="0.7" right="0.7" top="0.75"/>
  <pageSetup horizontalDpi="0"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80"/>
  <sheetViews>
    <sheetView workbookViewId="0" zoomScale="120" zoomScaleNormal="120">
      <pane activePane="topRight" state="frozen" topLeftCell="B1" xSplit="1"/>
      <selection activeCell="A27" pane="topRight" sqref="A27"/>
    </sheetView>
  </sheetViews>
  <sheetFormatPr baseColWidth="10" defaultRowHeight="16"/>
  <cols>
    <col customWidth="1" max="4" min="4" style="2" width="10.83203125"/>
    <col customWidth="1" max="5" min="5" style="16" width="20.33203125"/>
    <col customWidth="1" max="6" min="6" style="16" width="17.6640625"/>
    <col customWidth="1" max="10" min="7" style="16" width="21.6640625"/>
    <col customWidth="1" max="11" min="11" style="2" width="21.83203125"/>
    <col customWidth="1" max="12" min="12" style="78" width="10.83203125"/>
    <col customWidth="1" max="13" min="13" style="14" width="17.6640625"/>
    <col customWidth="1" max="14" min="14" style="7" width="14"/>
    <col customWidth="1" max="15" min="15" style="78" width="22.5"/>
    <col customWidth="1" max="16" min="16" style="7" width="18.6640625"/>
    <col customWidth="1" max="17" min="17" style="99" width="12.83203125"/>
    <col customWidth="1" max="19" min="19" style="98" width="10.83203125"/>
    <col customWidth="1" max="20" min="20" style="99" width="14.5"/>
    <col customWidth="1" max="21" min="21" style="155" width="15.1640625"/>
    <col customWidth="1" max="22" min="22" style="99" width="19.1640625"/>
    <col bestFit="1" customWidth="1" max="24" min="23" style="155" width="20.33203125"/>
    <col customWidth="1" max="25" min="25" style="99" width="20.33203125"/>
    <col customWidth="1" max="27" min="26" style="117" width="20.33203125"/>
  </cols>
  <sheetData>
    <row r="1">
      <c r="A1" t="inlineStr">
        <is>
          <t>2023-02-17T00:00:00+08:00</t>
        </is>
      </c>
      <c r="C1" t="inlineStr">
        <is>
          <t>current</t>
        </is>
      </c>
      <c r="D1" s="2" t="inlineStr">
        <is>
          <t>lowest_y10</t>
        </is>
      </c>
      <c r="E1" s="2" t="inlineStr">
        <is>
          <t>falling_to_lowest_y10</t>
        </is>
      </c>
      <c r="F1" s="2" t="inlineStr">
        <is>
          <t>highest_y10</t>
        </is>
      </c>
      <c r="G1" s="12" t="inlineStr">
        <is>
          <t>rising_to_highest_y10</t>
        </is>
      </c>
      <c r="H1" s="12" t="inlineStr">
        <is>
          <t>rising_to_chance_y10_col</t>
        </is>
      </c>
      <c r="I1" s="12" t="inlineStr">
        <is>
          <t>rising_to_median_y10_col</t>
        </is>
      </c>
      <c r="J1" s="12" t="inlineStr">
        <is>
          <t>rising_to_risk_y10_col</t>
        </is>
      </c>
      <c r="K1" s="2" t="inlineStr">
        <is>
          <t>highest_to_lowest_y10</t>
        </is>
      </c>
      <c r="L1" s="78" t="inlineStr">
        <is>
          <t>lowest_y5</t>
        </is>
      </c>
      <c r="M1" s="15" t="inlineStr">
        <is>
          <t>falling_to_lowest_y5</t>
        </is>
      </c>
      <c r="N1" s="7" t="inlineStr">
        <is>
          <t>highest_y5</t>
        </is>
      </c>
      <c r="O1" s="78" t="inlineStr">
        <is>
          <t>rising_to_highest_y5</t>
        </is>
      </c>
      <c r="P1" s="7" t="inlineStr">
        <is>
          <t>highest_to_lowest_y5</t>
        </is>
      </c>
      <c r="Q1" s="99" t="inlineStr">
        <is>
          <t>roe_weighted</t>
        </is>
      </c>
      <c r="R1" t="inlineStr">
        <is>
          <t>roe_equal</t>
        </is>
      </c>
      <c r="S1" s="98" t="inlineStr">
        <is>
          <t>dividend(weighted/equal)</t>
        </is>
      </c>
      <c r="T1" s="69" t="inlineStr">
        <is>
          <t>close_point</t>
        </is>
      </c>
      <c r="U1" s="68" t="inlineStr">
        <is>
          <t>dividend ratio</t>
        </is>
      </c>
      <c r="V1" s="69" t="inlineStr">
        <is>
          <t>return</t>
        </is>
      </c>
      <c r="W1" s="127" t="inlineStr">
        <is>
          <t>3 yrs return</t>
        </is>
      </c>
      <c r="X1" s="127" t="inlineStr">
        <is>
          <t>5yrs return</t>
        </is>
      </c>
      <c r="Y1" s="69" t="n"/>
      <c r="Z1" s="69" t="n"/>
      <c r="AA1" s="69" t="n"/>
    </row>
    <row r="2">
      <c r="A2" t="inlineStr">
        <is>
          <t>恒生指数</t>
        </is>
      </c>
      <c r="B2" t="inlineStr">
        <is>
          <t>pe weighted</t>
        </is>
      </c>
      <c r="C2" s="162" t="n">
        <v>9.635985488043923</v>
      </c>
      <c r="D2" s="88" t="n">
        <v>6.781284256943293</v>
      </c>
      <c r="E2" s="16" t="n">
        <v>0.2962542061362243</v>
      </c>
      <c r="F2" s="90" t="n">
        <v>16.95377290757508</v>
      </c>
      <c r="G2" s="12" t="n">
        <v>0.7594228352264409</v>
      </c>
      <c r="H2" s="12" t="n">
        <v>-0.05170687606133062</v>
      </c>
      <c r="I2" s="12" t="n">
        <v>0.0434343791679539</v>
      </c>
      <c r="J2" s="12" t="n">
        <v>0.2421127980820545</v>
      </c>
      <c r="K2" s="90" t="n">
        <v>2.500082914267496</v>
      </c>
      <c r="L2" s="93" t="n">
        <v>6.781284256943293</v>
      </c>
      <c r="M2" s="14" t="n">
        <v>0.2962542061362243</v>
      </c>
      <c r="N2" s="7" t="n">
        <v>16.95377290757508</v>
      </c>
      <c r="O2" s="14" t="n">
        <v>0.7594228352264409</v>
      </c>
      <c r="P2" s="7" t="n">
        <v>2.500082914267496</v>
      </c>
      <c r="Q2" s="99" t="n">
        <v>0.1117090761099131</v>
      </c>
      <c r="R2" s="98" t="n">
        <v>0.1022552736505671</v>
      </c>
      <c r="S2" s="98" t="n">
        <v>0.04223635769286588</v>
      </c>
      <c r="T2" t="n">
        <v>20719.81</v>
      </c>
      <c r="U2" s="117">
        <f>C2*S2</f>
        <v/>
      </c>
      <c r="V2" s="117">
        <f>(1+S2)*Q2*(1-U2)+S2</f>
        <v/>
      </c>
      <c r="W2" s="117">
        <f>V2+I2/3</f>
        <v/>
      </c>
      <c r="X2" s="117">
        <f>V2+I2/5</f>
        <v/>
      </c>
      <c r="Y2" s="117" t="n"/>
    </row>
    <row r="3">
      <c r="A3" t="inlineStr">
        <is>
          <t>HSI</t>
        </is>
      </c>
      <c r="B3" t="inlineStr">
        <is>
          <t>pe equal</t>
        </is>
      </c>
      <c r="C3" s="162" t="n">
        <v>10.46076116638626</v>
      </c>
      <c r="D3" s="88" t="n">
        <v>7.360943781308371</v>
      </c>
      <c r="E3" s="16" t="n">
        <v>0.2963280908313427</v>
      </c>
      <c r="F3" s="90" t="n">
        <v>16.64627857826034</v>
      </c>
      <c r="G3" s="12" t="n">
        <v>0.5913066280253201</v>
      </c>
      <c r="H3" s="12" t="n">
        <v>-0.04746800681045316</v>
      </c>
      <c r="I3" s="12" t="n">
        <v>0.04154628991010911</v>
      </c>
      <c r="J3" s="12" t="n">
        <v>0.2684333347653063</v>
      </c>
      <c r="K3" s="90" t="n">
        <v>2.261432646793228</v>
      </c>
      <c r="L3" s="93" t="n">
        <v>7.360943781308371</v>
      </c>
      <c r="M3" s="14" t="n">
        <v>0.2963280908313427</v>
      </c>
      <c r="N3" s="7" t="n">
        <v>16.64627857826034</v>
      </c>
      <c r="O3" s="14" t="n">
        <v>0.5913066280253201</v>
      </c>
      <c r="P3" s="7" t="n">
        <v>2.261432646793228</v>
      </c>
      <c r="R3" s="98" t="n"/>
      <c r="S3" s="98" t="n">
        <v>0.0477109949092445</v>
      </c>
      <c r="U3" s="117">
        <f>C3*S3</f>
        <v/>
      </c>
      <c r="V3" s="117">
        <f>(1+S3)*R2*(1-U3)+S3</f>
        <v/>
      </c>
      <c r="W3" s="117">
        <f>V3+I3/3</f>
        <v/>
      </c>
      <c r="X3" s="117">
        <f>V3+I3/5</f>
        <v/>
      </c>
      <c r="Y3" s="117" t="n"/>
    </row>
    <row r="4">
      <c r="A4" t="inlineStr">
        <is>
          <t>1969-11-23T16:00:00.000Z</t>
        </is>
      </c>
      <c r="B4" t="inlineStr">
        <is>
          <t>pb weighted</t>
        </is>
      </c>
      <c r="C4" s="162" t="n">
        <v>1.076427036277916</v>
      </c>
      <c r="D4" s="88" t="n">
        <v>0.7533259828420475</v>
      </c>
      <c r="E4" s="16" t="n">
        <v>0.300160663516119</v>
      </c>
      <c r="F4" s="90" t="n">
        <v>1.580000457821476</v>
      </c>
      <c r="G4" s="12" t="n">
        <v>0.4678193733267997</v>
      </c>
      <c r="H4" s="12" t="n">
        <v>-0.02423363792464062</v>
      </c>
      <c r="I4" s="12" t="n">
        <v>0.1070198966329965</v>
      </c>
      <c r="J4" s="12" t="n">
        <v>0.2296560257204405</v>
      </c>
      <c r="K4" s="90" t="n">
        <v>2.097366205079853</v>
      </c>
      <c r="L4" s="93" t="n">
        <v>0.7533259828420475</v>
      </c>
      <c r="M4" s="14" t="n">
        <v>0.300160663516119</v>
      </c>
      <c r="N4" s="7" t="n">
        <v>1.559254575654134</v>
      </c>
      <c r="O4" s="14" t="n">
        <v>0.4485464626062763</v>
      </c>
      <c r="P4" s="7" t="n">
        <v>2.069827154735307</v>
      </c>
      <c r="R4" s="98" t="n"/>
      <c r="W4" s="117">
        <f>V2+I4/3</f>
        <v/>
      </c>
      <c r="X4" s="117">
        <f>V2+I4/5</f>
        <v/>
      </c>
      <c r="Y4" s="117" t="n"/>
    </row>
    <row r="5">
      <c r="A5" t="n">
        <v>3.81</v>
      </c>
      <c r="B5" t="inlineStr">
        <is>
          <t>pb equal</t>
        </is>
      </c>
      <c r="C5" s="162" t="n">
        <v>1.069667995662052</v>
      </c>
      <c r="D5" s="88" t="n">
        <v>0.7252450134977052</v>
      </c>
      <c r="E5" s="16" t="n">
        <v>0.321990546189215</v>
      </c>
      <c r="F5" s="90" t="n">
        <v>1.526087498335283</v>
      </c>
      <c r="G5" s="12" t="n">
        <v>0.4266926789659984</v>
      </c>
      <c r="H5" s="12" t="n">
        <v>-0.0507087061230781</v>
      </c>
      <c r="I5" s="12" t="n">
        <v>0.05317687135465565</v>
      </c>
      <c r="J5" s="12" t="n">
        <v>0.1893339933146612</v>
      </c>
      <c r="K5" s="90" t="n">
        <v>2.104237147354219</v>
      </c>
      <c r="L5" s="93" t="n">
        <v>0.7252450134977052</v>
      </c>
      <c r="M5" s="14" t="n">
        <v>0.321990546189215</v>
      </c>
      <c r="N5" s="7" t="n">
        <v>1.338862743941761</v>
      </c>
      <c r="O5" s="14" t="n">
        <v>0.2516619636853727</v>
      </c>
      <c r="P5" s="7" t="n">
        <v>1.846083349797478</v>
      </c>
      <c r="R5" s="98" t="n"/>
      <c r="W5" s="117">
        <f>V3+I5/3</f>
        <v/>
      </c>
      <c r="X5" s="117">
        <f>V3+I5/5</f>
        <v/>
      </c>
      <c r="Y5" s="117" t="n"/>
    </row>
    <row r="6">
      <c r="F6" s="3" t="n"/>
      <c r="K6" s="90" t="n"/>
      <c r="O6" s="14" t="n"/>
      <c r="R6" s="98" t="n"/>
    </row>
    <row r="7">
      <c r="A7" t="inlineStr">
        <is>
          <t>国企指数</t>
        </is>
      </c>
      <c r="B7" t="inlineStr">
        <is>
          <t>pe weighted</t>
        </is>
      </c>
      <c r="C7" s="163" t="n">
        <v>8.473065208760934</v>
      </c>
      <c r="D7" s="88" t="n">
        <v>5.591450880589262</v>
      </c>
      <c r="E7" s="16" t="n">
        <v>0.3400911307978789</v>
      </c>
      <c r="F7" s="90" t="n">
        <v>14.99281686064845</v>
      </c>
      <c r="G7" s="12" t="n">
        <v>0.7694678951775629</v>
      </c>
      <c r="H7" s="12" t="n">
        <v>-0.1332638158047711</v>
      </c>
      <c r="I7" s="12" t="n">
        <v>-0.008336564587854811</v>
      </c>
      <c r="J7" s="12" t="n">
        <v>0.1161287925552261</v>
      </c>
      <c r="K7" s="90" t="n">
        <v>2.681382199510337</v>
      </c>
      <c r="L7" s="93" t="n">
        <v>6.084156473853088</v>
      </c>
      <c r="M7" s="14" t="n">
        <v>0.2819415024019613</v>
      </c>
      <c r="N7" s="7" t="n">
        <v>14.99281686064845</v>
      </c>
      <c r="O7" s="14" t="n">
        <v>0.7694678951775629</v>
      </c>
      <c r="P7" s="7" t="n">
        <v>2.464239196523083</v>
      </c>
      <c r="Q7" s="99" t="n">
        <v>0.1152461260734708</v>
      </c>
      <c r="R7" s="98" t="n">
        <v>0.1061226786886053</v>
      </c>
      <c r="S7" s="98" t="n">
        <v>0.04290965746439383</v>
      </c>
      <c r="T7" s="55" t="n">
        <v>6991.27</v>
      </c>
      <c r="U7" s="117">
        <f>C7*S7</f>
        <v/>
      </c>
      <c r="V7" s="117">
        <f>(1+S7)*Q7*(1-U7)+S7</f>
        <v/>
      </c>
      <c r="W7" s="117">
        <f>V7+I7/3</f>
        <v/>
      </c>
      <c r="X7" s="117">
        <f>V7+I7/5</f>
        <v/>
      </c>
      <c r="Y7" s="117" t="n"/>
    </row>
    <row r="8">
      <c r="A8" t="inlineStr">
        <is>
          <t>HSCEI</t>
        </is>
      </c>
      <c r="B8" t="inlineStr">
        <is>
          <t>pe equal</t>
        </is>
      </c>
      <c r="C8" s="161" t="n">
        <v>10.44705996935159</v>
      </c>
      <c r="D8" s="88" t="n">
        <v>6.497981319464836</v>
      </c>
      <c r="E8" s="16" t="n">
        <v>0.3780086130903928</v>
      </c>
      <c r="F8" s="90" t="n">
        <v>12.83218610542586</v>
      </c>
      <c r="G8" s="12" t="n">
        <v>0.2283059677145036</v>
      </c>
      <c r="H8" s="12" t="n">
        <v>-0.1859155172978088</v>
      </c>
      <c r="I8" s="12" t="n">
        <v>-0.1000539989452292</v>
      </c>
      <c r="J8" s="12" t="n">
        <v>-0.003520403004037109</v>
      </c>
      <c r="K8" s="90" t="n">
        <v>1.974795782651265</v>
      </c>
      <c r="L8" s="93" t="n">
        <v>7.021450707048889</v>
      </c>
      <c r="M8" s="14" t="n">
        <v>0.3279017515312798</v>
      </c>
      <c r="N8" s="7" t="n">
        <v>12.83218610542586</v>
      </c>
      <c r="O8" s="14" t="n">
        <v>0.2283059677145036</v>
      </c>
      <c r="P8" s="7" t="n">
        <v>1.827569065256491</v>
      </c>
      <c r="S8" s="98" t="n">
        <v>0.0367231474989874</v>
      </c>
      <c r="T8" s="98" t="n"/>
      <c r="U8" s="117">
        <f>C8*S8</f>
        <v/>
      </c>
      <c r="V8" s="117">
        <f>(1+S8)*R7*(1-U8)+S8</f>
        <v/>
      </c>
      <c r="W8" s="117">
        <f>V8+I8/3</f>
        <v/>
      </c>
      <c r="X8" s="117">
        <f>V8+I8/5</f>
        <v/>
      </c>
      <c r="Y8" s="117" t="n"/>
    </row>
    <row r="9">
      <c r="A9" t="inlineStr">
        <is>
          <t>1994-07-10T16:00:00.000Z</t>
        </is>
      </c>
      <c r="B9" t="inlineStr">
        <is>
          <t>pb weighted</t>
        </is>
      </c>
      <c r="C9" s="162" t="n">
        <v>0.9764879412776017</v>
      </c>
      <c r="D9" s="88" t="n">
        <v>0.6941657556131263</v>
      </c>
      <c r="E9" s="16" t="n">
        <v>0.2891199918916513</v>
      </c>
      <c r="F9" s="90" t="n">
        <v>1.713295411170199</v>
      </c>
      <c r="G9" s="12" t="n">
        <v>0.7545484575350561</v>
      </c>
      <c r="H9" s="12" t="n">
        <v>-0.03619292942300578</v>
      </c>
      <c r="I9" s="12" t="n">
        <v>0.08004357958258557</v>
      </c>
      <c r="J9" s="12" t="n">
        <v>0.2440719518910663</v>
      </c>
      <c r="K9" s="90" t="n">
        <v>2.468135884428524</v>
      </c>
      <c r="L9" s="93" t="n">
        <v>0.6941657556131263</v>
      </c>
      <c r="M9" s="14" t="n">
        <v>0.2891199918916513</v>
      </c>
      <c r="N9" s="7" t="n">
        <v>1.713295411170199</v>
      </c>
      <c r="O9" s="14" t="n">
        <v>0.7545484575350561</v>
      </c>
      <c r="P9" s="7" t="n">
        <v>2.468135884428524</v>
      </c>
      <c r="T9" s="98" t="n"/>
      <c r="W9" s="117">
        <f>V7+I9/3</f>
        <v/>
      </c>
      <c r="X9" s="117">
        <f>V7+I9/5</f>
        <v/>
      </c>
      <c r="Y9" s="117" t="n"/>
    </row>
    <row r="10">
      <c r="B10" t="inlineStr">
        <is>
          <t>pb equal</t>
        </is>
      </c>
      <c r="C10" s="163" t="n">
        <v>1.10866998836809</v>
      </c>
      <c r="D10" s="88" t="n">
        <v>0.7579601925796151</v>
      </c>
      <c r="E10" s="16" t="n">
        <v>0.3163338048905819</v>
      </c>
      <c r="F10" s="90" t="n">
        <v>1.58647387011224</v>
      </c>
      <c r="G10" s="12" t="n">
        <v>0.4309703399182425</v>
      </c>
      <c r="H10" s="12" t="n">
        <v>-0.1348930138474143</v>
      </c>
      <c r="I10" s="12" t="n">
        <v>-0.02196595573917315</v>
      </c>
      <c r="J10" s="12" t="n">
        <v>0.119431371087843</v>
      </c>
      <c r="K10" s="90" t="n">
        <v>2.093083364593186</v>
      </c>
      <c r="L10" s="93" t="n">
        <v>0.7579601925796151</v>
      </c>
      <c r="M10" s="14" t="n">
        <v>0.3163338048905819</v>
      </c>
      <c r="N10" s="7" t="n">
        <v>1.452147247314721</v>
      </c>
      <c r="O10" s="14" t="n">
        <v>0.3098101892811338</v>
      </c>
      <c r="P10" s="7" t="n">
        <v>1.915862154148932</v>
      </c>
      <c r="T10" s="98" t="n"/>
      <c r="W10" s="117">
        <f>V8+I10/3</f>
        <v/>
      </c>
      <c r="X10" s="117">
        <f>V8+I10/5</f>
        <v/>
      </c>
      <c r="Y10" s="117" t="n"/>
    </row>
    <row r="12">
      <c r="A12" t="inlineStr">
        <is>
          <t>香港中小</t>
        </is>
      </c>
      <c r="B12" t="inlineStr">
        <is>
          <t>pe weighted</t>
        </is>
      </c>
      <c r="C12" s="63" t="n">
        <v>13.41</v>
      </c>
      <c r="D12" s="2" t="n">
        <v>8.01</v>
      </c>
      <c r="E12" s="16">
        <f>1-D12/C12</f>
        <v/>
      </c>
      <c r="F12" s="67" t="n">
        <v>19.89</v>
      </c>
      <c r="G12" s="16">
        <f>F12/C12-1</f>
        <v/>
      </c>
      <c r="H12" s="16">
        <f>12.01/C12-1</f>
        <v/>
      </c>
      <c r="I12" s="16">
        <f>12.9/C12-1</f>
        <v/>
      </c>
      <c r="J12" s="16">
        <f>13.85/C12-1</f>
        <v/>
      </c>
      <c r="Q12" s="99">
        <f>C14/C12</f>
        <v/>
      </c>
      <c r="S12" s="98" t="n">
        <v>0.019</v>
      </c>
      <c r="U12" s="117">
        <f>C12*S12</f>
        <v/>
      </c>
      <c r="V12" s="117">
        <f>(1+S12)*Q12*(1-U12)+S12</f>
        <v/>
      </c>
      <c r="W12" s="117">
        <f>V12+I12/3</f>
        <v/>
      </c>
      <c r="X12" s="117">
        <f>V12+I12/5</f>
        <v/>
      </c>
      <c r="Y12" s="117" t="n"/>
    </row>
    <row r="13">
      <c r="U13" s="117">
        <f>C13*S13</f>
        <v/>
      </c>
      <c r="V13" s="117">
        <f>(1+S13)*R12*(1-U13)+S13</f>
        <v/>
      </c>
      <c r="W13" s="117">
        <f>V13+I13/3</f>
        <v/>
      </c>
      <c r="X13" s="117">
        <f>V13+I13/5</f>
        <v/>
      </c>
      <c r="Y13" s="117" t="n"/>
    </row>
    <row r="14">
      <c r="A14" t="inlineStr">
        <is>
          <t>2011-06-01T16:00:00.000Z</t>
        </is>
      </c>
      <c r="B14" t="inlineStr">
        <is>
          <t>pb weighted</t>
        </is>
      </c>
      <c r="C14" s="64" t="n">
        <v>1.75</v>
      </c>
      <c r="D14" s="2" t="n">
        <v>1.01</v>
      </c>
      <c r="E14" s="16">
        <f>1-D14/C14</f>
        <v/>
      </c>
      <c r="F14" s="67" t="n">
        <v>2.09</v>
      </c>
      <c r="G14" s="16">
        <f>F14/C14-1</f>
        <v/>
      </c>
      <c r="H14" s="16">
        <f>1.36/C14-1</f>
        <v/>
      </c>
      <c r="I14" s="16">
        <f>1.43/C14-1</f>
        <v/>
      </c>
      <c r="J14" s="16">
        <f>1.55/C14-1</f>
        <v/>
      </c>
      <c r="W14" s="117">
        <f>V12+I14/3</f>
        <v/>
      </c>
      <c r="X14" s="117">
        <f>V12+I14/5</f>
        <v/>
      </c>
      <c r="Y14" s="117" t="n"/>
    </row>
    <row r="15">
      <c r="W15" s="117">
        <f>V13+I15/3</f>
        <v/>
      </c>
      <c r="X15" s="117">
        <f>V13+I15/5</f>
        <v/>
      </c>
      <c r="Y15" s="117" t="n"/>
    </row>
    <row r="17">
      <c r="A17" t="inlineStr">
        <is>
          <t>香港大盘</t>
        </is>
      </c>
      <c r="B17" t="inlineStr">
        <is>
          <t>pe weighted</t>
        </is>
      </c>
      <c r="C17" s="74" t="n">
        <v>9.68</v>
      </c>
      <c r="D17" s="2" t="n">
        <v>6.72</v>
      </c>
      <c r="E17" s="16">
        <f>1-D17/C17</f>
        <v/>
      </c>
      <c r="F17" s="67" t="n">
        <v>11.13</v>
      </c>
      <c r="G17" s="16">
        <f>F17/C17-1</f>
        <v/>
      </c>
      <c r="H17" s="16">
        <f>8.57/C17-1</f>
        <v/>
      </c>
      <c r="I17" s="16">
        <f>9.31/C17-1</f>
        <v/>
      </c>
      <c r="J17" s="16">
        <f>10.28/C17-1</f>
        <v/>
      </c>
      <c r="Q17" s="99">
        <f>C19/C17</f>
        <v/>
      </c>
      <c r="S17" s="98" t="n">
        <v>0.0348</v>
      </c>
      <c r="U17" s="117">
        <f>C17*S17</f>
        <v/>
      </c>
      <c r="V17" s="102">
        <f>(1+S17)*Q17*(1-U17)+S17</f>
        <v/>
      </c>
      <c r="W17" s="117">
        <f>V17+I17/3</f>
        <v/>
      </c>
      <c r="X17" s="117">
        <f>V17+I17/5</f>
        <v/>
      </c>
      <c r="Y17" s="117" t="n"/>
    </row>
    <row r="18">
      <c r="U18" s="117">
        <f>C18*S18</f>
        <v/>
      </c>
      <c r="V18" s="117">
        <f>(1+S18)*R17*(1-U18)+S18</f>
        <v/>
      </c>
      <c r="W18" s="117">
        <f>V18+I18/3</f>
        <v/>
      </c>
      <c r="X18" s="117">
        <f>V18+I18/5</f>
        <v/>
      </c>
      <c r="Y18" s="117" t="n"/>
    </row>
    <row r="19">
      <c r="A19" t="inlineStr">
        <is>
          <t>2008-09-10T16:00:00.000Z</t>
        </is>
      </c>
      <c r="B19" t="inlineStr">
        <is>
          <t>pb weighted</t>
        </is>
      </c>
      <c r="C19" s="73" t="n">
        <v>1.16</v>
      </c>
      <c r="D19" s="2" t="n">
        <v>0.86</v>
      </c>
      <c r="E19" s="16">
        <f>1-D19/C19</f>
        <v/>
      </c>
      <c r="F19" s="3" t="n">
        <v>1.68</v>
      </c>
      <c r="G19" s="16">
        <f>F19/C19-1</f>
        <v/>
      </c>
      <c r="H19" s="16">
        <f>1.18/C19-1</f>
        <v/>
      </c>
      <c r="I19" s="16">
        <f>1.3/C19-1</f>
        <v/>
      </c>
      <c r="J19" s="16">
        <f>1.61/C19-1</f>
        <v/>
      </c>
      <c r="W19" s="102">
        <f>V17+I19/3</f>
        <v/>
      </c>
      <c r="X19" s="117">
        <f>V17+I19/5</f>
        <v/>
      </c>
      <c r="Y19" s="117" t="n"/>
    </row>
    <row r="20">
      <c r="W20" s="117">
        <f>V18+I20/3</f>
        <v/>
      </c>
      <c r="X20" s="117">
        <f>V18+I20/5</f>
        <v/>
      </c>
      <c r="Y20" s="117" t="n"/>
    </row>
    <row r="22">
      <c r="A22" t="inlineStr">
        <is>
          <t>标普生物</t>
        </is>
      </c>
      <c r="B22" t="inlineStr">
        <is>
          <t>pe weighted</t>
        </is>
      </c>
      <c r="C22" t="n">
        <v>21.36</v>
      </c>
      <c r="Q22" s="99">
        <f>C24/C22</f>
        <v/>
      </c>
      <c r="S22" s="98" t="n">
        <v>0.0016</v>
      </c>
      <c r="U22" s="117">
        <f>C22*S22</f>
        <v/>
      </c>
      <c r="V22" s="117">
        <f>(1+S22)*Q22*(1-U22)+S22</f>
        <v/>
      </c>
      <c r="W22" s="117">
        <f>V22+I22/3</f>
        <v/>
      </c>
      <c r="X22" s="117">
        <f>V22+I22/5</f>
        <v/>
      </c>
      <c r="Y22" s="117" t="n"/>
    </row>
    <row r="23">
      <c r="A23" t="inlineStr">
        <is>
          <t>IBB</t>
        </is>
      </c>
      <c r="U23" s="117">
        <f>C23*S23</f>
        <v/>
      </c>
      <c r="V23" s="117">
        <f>(1+S23)*R22*(1-U23)+S23</f>
        <v/>
      </c>
      <c r="W23" s="117">
        <f>V23+I23/3</f>
        <v/>
      </c>
      <c r="X23" s="117">
        <f>V23+I23/5</f>
        <v/>
      </c>
      <c r="Y23" s="117" t="n"/>
    </row>
    <row r="24">
      <c r="B24" t="inlineStr">
        <is>
          <t>pb weighted</t>
        </is>
      </c>
      <c r="C24" t="n">
        <v>5.22</v>
      </c>
      <c r="W24" s="117">
        <f>V22+I24/3</f>
        <v/>
      </c>
      <c r="X24" s="117">
        <f>V22+I24/5</f>
        <v/>
      </c>
      <c r="Y24" s="117" t="n"/>
    </row>
    <row r="25">
      <c r="W25" s="117">
        <f>V23+I25/3</f>
        <v/>
      </c>
      <c r="X25" s="117">
        <f>V23+I25/5</f>
        <v/>
      </c>
      <c r="Y25" s="117" t="n"/>
    </row>
    <row r="27">
      <c r="A27" t="inlineStr">
        <is>
          <t>标普500</t>
        </is>
      </c>
      <c r="B27" t="inlineStr">
        <is>
          <t>pe weighted</t>
        </is>
      </c>
      <c r="C27" t="n">
        <v>21.57</v>
      </c>
      <c r="D27" s="2" t="n">
        <v>13.69</v>
      </c>
      <c r="E27" s="16">
        <f>1-D27/C27</f>
        <v/>
      </c>
      <c r="F27" s="3" t="n">
        <v>27.65</v>
      </c>
      <c r="H27" s="16">
        <f>18.04/C27-1</f>
        <v/>
      </c>
      <c r="I27" s="16">
        <f>20.19/C27-1</f>
        <v/>
      </c>
      <c r="J27" s="16">
        <f>22.97/C27-1</f>
        <v/>
      </c>
      <c r="Q27" s="99">
        <f>C29/C27</f>
        <v/>
      </c>
      <c r="S27" s="98" t="n">
        <v>0.0186</v>
      </c>
      <c r="U27" s="117">
        <f>C27*S27</f>
        <v/>
      </c>
      <c r="V27" s="117">
        <f>(1+S27)*Q27*(1-U27)+S27</f>
        <v/>
      </c>
      <c r="W27" s="117">
        <f>V27+I27/3</f>
        <v/>
      </c>
      <c r="X27" s="117">
        <f>V27+J27/5</f>
        <v/>
      </c>
      <c r="Y27" s="117" t="n"/>
    </row>
    <row r="28">
      <c r="U28" s="117">
        <f>C28*S28</f>
        <v/>
      </c>
      <c r="V28" s="117">
        <f>(1+S28)*R27*(1-U28)+S28</f>
        <v/>
      </c>
      <c r="W28" s="117">
        <f>V28+J28/3</f>
        <v/>
      </c>
      <c r="X28" s="117">
        <f>V28+J28/5</f>
        <v/>
      </c>
      <c r="Y28" s="117" t="n"/>
    </row>
    <row r="29">
      <c r="B29" t="inlineStr">
        <is>
          <t>pb weighted</t>
        </is>
      </c>
      <c r="C29" t="n">
        <v>3.34</v>
      </c>
      <c r="D29" s="2" t="n">
        <v>1.96</v>
      </c>
      <c r="E29" s="16">
        <f>1-D29/C29</f>
        <v/>
      </c>
      <c r="F29" s="3" t="n">
        <v>3.49</v>
      </c>
      <c r="H29" s="16">
        <f>2.55/C29-1</f>
        <v/>
      </c>
      <c r="I29" s="16">
        <f>2.73/C29-1</f>
        <v/>
      </c>
      <c r="J29" s="16">
        <f>2.88/C29-1</f>
        <v/>
      </c>
      <c r="W29" s="117">
        <f>V27+I29/3</f>
        <v/>
      </c>
      <c r="X29" s="117">
        <f>V27+J29/5</f>
        <v/>
      </c>
      <c r="Y29" s="117" t="n"/>
    </row>
    <row r="30">
      <c r="W30" s="117">
        <f>V28+I30/3</f>
        <v/>
      </c>
      <c r="X30" s="117">
        <f>V28+I30/5</f>
        <v/>
      </c>
      <c r="Y30" s="117" t="n"/>
    </row>
    <row r="32">
      <c r="A32" t="inlineStr">
        <is>
          <t>DAX</t>
        </is>
      </c>
      <c r="B32" t="inlineStr">
        <is>
          <t>pe weighted</t>
        </is>
      </c>
      <c r="C32" s="63" t="n">
        <v>15.05</v>
      </c>
      <c r="D32" s="2" t="n">
        <v>8.76</v>
      </c>
      <c r="E32" s="89">
        <f>1-D32/C32</f>
        <v/>
      </c>
      <c r="H32" s="16">
        <f>12.25/C32-1</f>
        <v/>
      </c>
      <c r="I32" s="16">
        <f>16.5/C32-1</f>
        <v/>
      </c>
      <c r="J32" s="16">
        <f>20/C32-1</f>
        <v/>
      </c>
      <c r="Q32" s="99">
        <f>C34/C32</f>
        <v/>
      </c>
      <c r="S32" s="98" t="n">
        <v>0.0165</v>
      </c>
      <c r="U32" s="117">
        <f>C32*S32</f>
        <v/>
      </c>
      <c r="V32" s="117">
        <f>(1+S32)*Q32*(1-U32)+S32</f>
        <v/>
      </c>
      <c r="W32" s="102">
        <f>V32+I32/3</f>
        <v/>
      </c>
      <c r="X32" s="117">
        <f>V32+I32/5</f>
        <v/>
      </c>
      <c r="Y32" s="117" t="n"/>
      <c r="Z32" s="100" t="n"/>
      <c r="AA32" s="100" t="n"/>
      <c r="AB32" s="100" t="n"/>
      <c r="AC32" s="117" t="n"/>
      <c r="AD32" s="117" t="n"/>
      <c r="AE32" s="117" t="n"/>
      <c r="AF32" s="117" t="n"/>
      <c r="AH32" s="99" t="n"/>
      <c r="AI32" s="101" t="n"/>
    </row>
    <row r="33">
      <c r="E33" s="89" t="n"/>
      <c r="S33" s="99" t="n"/>
      <c r="U33" s="117" t="n"/>
      <c r="V33" s="117">
        <f>(1+S33)*R32*(1-U33)+S33</f>
        <v/>
      </c>
      <c r="W33" s="117">
        <f>V33+I33/3</f>
        <v/>
      </c>
      <c r="X33" s="117">
        <f>V33+I33/5</f>
        <v/>
      </c>
      <c r="Y33" s="117" t="n"/>
      <c r="Z33" s="100" t="n"/>
      <c r="AA33" s="100" t="n"/>
      <c r="AB33" s="100" t="n"/>
      <c r="AC33" s="117" t="n"/>
      <c r="AD33" s="117" t="n"/>
      <c r="AE33" s="117" t="n"/>
      <c r="AF33" s="117" t="n"/>
      <c r="AH33" s="99" t="n"/>
      <c r="AI33" s="101" t="n"/>
    </row>
    <row r="34">
      <c r="B34" t="inlineStr">
        <is>
          <t>pb weighted</t>
        </is>
      </c>
      <c r="C34" s="74" t="n">
        <v>1.58</v>
      </c>
      <c r="D34" s="2" t="n">
        <v>1.14</v>
      </c>
      <c r="E34" s="89">
        <f>1-D34/C34</f>
        <v/>
      </c>
      <c r="H34" s="16">
        <f>1.2/C34-1</f>
        <v/>
      </c>
      <c r="I34" s="16">
        <f>1.54/C34-1</f>
        <v/>
      </c>
      <c r="J34" s="16">
        <f>1.8/C34-1</f>
        <v/>
      </c>
      <c r="S34" s="99" t="n"/>
      <c r="W34" s="117">
        <f>V32+I34/3</f>
        <v/>
      </c>
      <c r="X34" s="117">
        <f>V32+I34/5</f>
        <v/>
      </c>
      <c r="Y34" s="117" t="n"/>
      <c r="Z34" s="100" t="n"/>
      <c r="AA34" s="100" t="n"/>
      <c r="AB34" s="100" t="n"/>
      <c r="AC34" s="117" t="n"/>
      <c r="AD34" s="117" t="n"/>
      <c r="AE34" s="117" t="n"/>
      <c r="AF34" s="117" t="n"/>
      <c r="AH34" s="99" t="n"/>
      <c r="AI34" s="101" t="n"/>
    </row>
    <row r="35">
      <c r="E35" s="89" t="n"/>
      <c r="S35" s="99" t="n"/>
      <c r="W35" s="117">
        <f>V33+I35/3</f>
        <v/>
      </c>
      <c r="X35" s="117">
        <f>V33+I35/5</f>
        <v/>
      </c>
      <c r="Y35" s="117" t="n"/>
      <c r="Z35" s="100" t="n"/>
      <c r="AA35" s="100" t="n"/>
      <c r="AB35" s="100" t="n"/>
      <c r="AC35" s="117" t="n"/>
      <c r="AD35" s="117" t="n"/>
      <c r="AE35" s="117" t="n"/>
      <c r="AF35" s="117" t="n"/>
      <c r="AH35" s="99" t="n"/>
      <c r="AI35" s="101" t="n"/>
    </row>
    <row r="36">
      <c r="S36" s="99" t="n"/>
      <c r="AC36" s="117" t="n"/>
      <c r="AD36" s="117" t="n"/>
      <c r="AE36" s="117" t="n"/>
      <c r="AF36" s="117" t="n"/>
      <c r="AH36" s="99" t="n"/>
      <c r="AI36" s="101" t="n"/>
    </row>
    <row r="37">
      <c r="A37" t="inlineStr">
        <is>
          <t>SAP</t>
        </is>
      </c>
      <c r="B37" t="inlineStr">
        <is>
          <t>pe weighted</t>
        </is>
      </c>
      <c r="C37" t="n">
        <v>29.97</v>
      </c>
      <c r="D37" s="2" t="n">
        <v>20.72</v>
      </c>
      <c r="E37" s="89">
        <f>1-D37/C37</f>
        <v/>
      </c>
      <c r="I37" s="16">
        <f>22.62/C37-1</f>
        <v/>
      </c>
      <c r="Q37" s="99">
        <f>C39/C37</f>
        <v/>
      </c>
      <c r="S37" s="98" t="n">
        <v>0.0145</v>
      </c>
      <c r="U37" s="117">
        <f>C37*S37</f>
        <v/>
      </c>
      <c r="V37" s="117">
        <f>(1+S37)*Q37*(1-U37)+S37</f>
        <v/>
      </c>
      <c r="W37" s="117">
        <f>V37+I37/3</f>
        <v/>
      </c>
      <c r="X37" s="117">
        <f>V37+I37/5</f>
        <v/>
      </c>
      <c r="Y37" s="117" t="n"/>
      <c r="Z37" s="100" t="n"/>
      <c r="AA37" s="100" t="n"/>
      <c r="AB37" s="100" t="n"/>
      <c r="AC37" s="117" t="n"/>
      <c r="AD37" s="117" t="n"/>
      <c r="AE37" s="117" t="n"/>
      <c r="AF37" s="117" t="n"/>
      <c r="AH37" s="99" t="n"/>
      <c r="AI37" s="101" t="n"/>
    </row>
    <row r="38">
      <c r="E38" s="89" t="n"/>
      <c r="S38" s="99" t="n"/>
      <c r="U38" s="117" t="n"/>
      <c r="V38" s="117">
        <f>(1+S38)*R37*(1-U38)+S38</f>
        <v/>
      </c>
      <c r="W38" s="117">
        <f>V38+I38/3</f>
        <v/>
      </c>
      <c r="X38" s="117">
        <f>V38+I38/5</f>
        <v/>
      </c>
      <c r="Y38" s="117" t="n"/>
      <c r="Z38" s="100" t="n"/>
      <c r="AA38" s="100" t="n"/>
      <c r="AB38" s="100" t="n"/>
      <c r="AC38" s="117" t="n"/>
      <c r="AD38" s="117" t="n"/>
      <c r="AE38" s="117" t="n"/>
      <c r="AF38" s="117" t="n"/>
      <c r="AH38" s="99" t="n"/>
      <c r="AI38" s="101" t="n"/>
    </row>
    <row r="39">
      <c r="B39" t="inlineStr">
        <is>
          <t>pb weighted</t>
        </is>
      </c>
      <c r="C39" t="n">
        <v>4.24</v>
      </c>
      <c r="D39" s="2" t="n">
        <v>3.01</v>
      </c>
      <c r="E39" s="89">
        <f>1-D39/C39</f>
        <v/>
      </c>
      <c r="I39" s="16">
        <f>3.85/C39-1</f>
        <v/>
      </c>
      <c r="S39" s="99" t="n"/>
      <c r="W39" s="117">
        <f>V37+I39/3</f>
        <v/>
      </c>
      <c r="X39" s="117">
        <f>V37+I39/5</f>
        <v/>
      </c>
      <c r="Y39" s="117" t="n"/>
      <c r="Z39" s="100" t="n"/>
      <c r="AA39" s="100" t="n"/>
      <c r="AB39" s="100" t="n"/>
      <c r="AC39" s="117" t="n"/>
      <c r="AD39" s="117" t="n"/>
      <c r="AE39" s="117" t="n"/>
      <c r="AF39" s="117" t="n"/>
      <c r="AH39" s="99" t="n"/>
      <c r="AI39" s="101" t="n"/>
    </row>
    <row r="40">
      <c r="S40" s="99" t="n"/>
      <c r="W40" s="117">
        <f>V38+I40/3</f>
        <v/>
      </c>
      <c r="X40" s="117">
        <f>V38+I40/5</f>
        <v/>
      </c>
      <c r="Y40" s="117" t="n"/>
      <c r="Z40" s="100" t="n"/>
      <c r="AA40" s="100" t="n"/>
      <c r="AB40" s="100" t="n"/>
      <c r="AC40" s="117" t="n"/>
      <c r="AD40" s="117" t="n"/>
      <c r="AE40" s="117" t="n"/>
      <c r="AF40" s="117" t="n"/>
      <c r="AH40" s="99" t="n"/>
      <c r="AI40" s="101" t="n"/>
    </row>
    <row r="42">
      <c r="U42" s="117" t="n"/>
      <c r="V42" s="117" t="n"/>
      <c r="W42" s="117" t="n"/>
      <c r="X42" s="117" t="n"/>
      <c r="Y42" s="117" t="n"/>
    </row>
    <row r="43">
      <c r="U43" s="117" t="n"/>
      <c r="V43" s="117" t="n"/>
      <c r="W43" s="117" t="n"/>
      <c r="X43" s="117" t="n"/>
      <c r="Y43" s="117" t="n"/>
    </row>
    <row r="44">
      <c r="W44" s="117" t="n"/>
      <c r="X44" s="117" t="n"/>
      <c r="Y44" s="117" t="n"/>
    </row>
    <row r="45">
      <c r="W45" s="117" t="n"/>
      <c r="X45" s="117" t="n"/>
      <c r="Y45" s="117" t="n"/>
    </row>
    <row r="47">
      <c r="U47" s="117" t="n"/>
      <c r="V47" s="117" t="n"/>
      <c r="W47" s="117" t="n"/>
      <c r="X47" s="117" t="n"/>
      <c r="Y47" s="117" t="n"/>
    </row>
    <row r="48">
      <c r="U48" s="117" t="n"/>
      <c r="V48" s="117" t="n"/>
      <c r="W48" s="117" t="n"/>
      <c r="X48" s="117" t="n"/>
      <c r="Y48" s="117" t="n"/>
    </row>
    <row r="49">
      <c r="W49" s="117" t="n"/>
      <c r="X49" s="117" t="n"/>
      <c r="Y49" s="117" t="n"/>
    </row>
    <row r="50">
      <c r="W50" s="117" t="n"/>
      <c r="X50" s="117" t="n"/>
      <c r="Y50" s="117" t="n"/>
    </row>
    <row r="52">
      <c r="U52" s="117" t="n"/>
      <c r="V52" s="117" t="n"/>
      <c r="W52" s="117" t="n"/>
      <c r="X52" s="117" t="n"/>
      <c r="Y52" s="117" t="n"/>
    </row>
    <row r="53">
      <c r="U53" s="117" t="n"/>
      <c r="V53" s="117" t="n"/>
      <c r="W53" s="117" t="n"/>
      <c r="X53" s="117" t="n"/>
      <c r="Y53" s="117" t="n"/>
    </row>
    <row r="54">
      <c r="W54" s="117" t="n"/>
      <c r="X54" s="117" t="n"/>
      <c r="Y54" s="117" t="n"/>
    </row>
    <row r="55">
      <c r="W55" s="117" t="n"/>
      <c r="X55" s="117" t="n"/>
      <c r="Y55" s="117" t="n"/>
    </row>
    <row r="57">
      <c r="U57" s="117" t="n"/>
      <c r="V57" s="117" t="n"/>
      <c r="W57" s="117" t="n"/>
      <c r="X57" s="117" t="n"/>
      <c r="Y57" s="117" t="n"/>
    </row>
    <row r="58">
      <c r="U58" s="117" t="n"/>
      <c r="V58" s="117" t="n"/>
      <c r="W58" s="117" t="n"/>
      <c r="X58" s="117" t="n"/>
      <c r="Y58" s="117" t="n"/>
    </row>
    <row r="59">
      <c r="W59" s="117" t="n"/>
      <c r="X59" s="117" t="n"/>
      <c r="Y59" s="117" t="n"/>
    </row>
    <row r="60">
      <c r="W60" s="117" t="n"/>
      <c r="X60" s="117" t="n"/>
      <c r="Y60" s="117" t="n"/>
    </row>
    <row r="62">
      <c r="U62" s="117" t="n"/>
      <c r="V62" s="117" t="n"/>
      <c r="W62" s="117" t="n"/>
      <c r="X62" s="117" t="n"/>
      <c r="Y62" s="117" t="n"/>
    </row>
    <row r="63">
      <c r="U63" s="117" t="n"/>
      <c r="V63" s="117" t="n"/>
      <c r="W63" s="117" t="n"/>
      <c r="X63" s="117" t="n"/>
      <c r="Y63" s="117" t="n"/>
    </row>
    <row r="64">
      <c r="W64" s="117" t="n"/>
      <c r="X64" s="117" t="n"/>
      <c r="Y64" s="117" t="n"/>
    </row>
    <row r="65">
      <c r="W65" s="117" t="n"/>
      <c r="X65" s="117" t="n"/>
      <c r="Y65" s="117" t="n"/>
    </row>
    <row r="67">
      <c r="U67" s="117" t="n"/>
      <c r="V67" s="117" t="n"/>
      <c r="W67" s="117" t="n"/>
      <c r="X67" s="117" t="n"/>
      <c r="Y67" s="117" t="n"/>
    </row>
    <row r="68">
      <c r="U68" s="117" t="n"/>
      <c r="V68" s="117" t="n"/>
      <c r="W68" s="117" t="n"/>
      <c r="X68" s="117" t="n"/>
      <c r="Y68" s="117" t="n"/>
    </row>
    <row r="69">
      <c r="W69" s="117" t="n"/>
      <c r="X69" s="117" t="n"/>
      <c r="Y69" s="117" t="n"/>
    </row>
    <row r="70">
      <c r="W70" s="117" t="n"/>
      <c r="X70" s="117" t="n"/>
      <c r="Y70" s="117" t="n"/>
    </row>
    <row r="72">
      <c r="U72" s="117" t="n"/>
      <c r="V72" s="117" t="n"/>
      <c r="W72" s="117" t="n"/>
      <c r="X72" s="117" t="n"/>
      <c r="Y72" s="117" t="n"/>
    </row>
    <row r="73">
      <c r="U73" s="117" t="n"/>
      <c r="V73" s="117" t="n"/>
      <c r="W73" s="117" t="n"/>
      <c r="X73" s="117" t="n"/>
      <c r="Y73" s="117" t="n"/>
    </row>
    <row r="74">
      <c r="W74" s="117" t="n"/>
      <c r="X74" s="117" t="n"/>
      <c r="Y74" s="117" t="n"/>
    </row>
    <row r="75">
      <c r="W75" s="117" t="n"/>
      <c r="X75" s="117" t="n"/>
      <c r="Y75" s="117" t="n"/>
    </row>
    <row r="77">
      <c r="U77" s="117" t="n"/>
      <c r="V77" s="117" t="n"/>
      <c r="W77" s="117" t="n"/>
      <c r="X77" s="117" t="n"/>
      <c r="Y77" s="117" t="n"/>
    </row>
    <row r="78">
      <c r="U78" s="117" t="n"/>
      <c r="V78" s="117" t="n"/>
      <c r="W78" s="117" t="n"/>
      <c r="X78" s="117" t="n"/>
      <c r="Y78" s="117" t="n"/>
    </row>
    <row r="79">
      <c r="W79" s="117" t="n"/>
      <c r="X79" s="117" t="n"/>
      <c r="Y79" s="117" t="n"/>
    </row>
    <row r="80">
      <c r="W80" s="117" t="n"/>
      <c r="X80" s="117" t="n"/>
      <c r="Y80" s="117" t="n"/>
    </row>
    <row r="82">
      <c r="U82" s="117" t="n"/>
      <c r="V82" s="117" t="n"/>
      <c r="W82" s="117" t="n"/>
      <c r="X82" s="117" t="n"/>
      <c r="Y82" s="117" t="n"/>
    </row>
    <row r="83">
      <c r="U83" s="117" t="n"/>
      <c r="V83" s="117" t="n"/>
      <c r="W83" s="117" t="n"/>
      <c r="X83" s="117" t="n"/>
      <c r="Y83" s="117" t="n"/>
    </row>
    <row r="84">
      <c r="W84" s="117" t="n"/>
      <c r="X84" s="117" t="n"/>
      <c r="Y84" s="117" t="n"/>
    </row>
    <row r="85">
      <c r="W85" s="117" t="n"/>
      <c r="X85" s="117" t="n"/>
      <c r="Y85" s="117" t="n"/>
    </row>
    <row r="87">
      <c r="U87" s="117" t="n"/>
      <c r="V87" s="117" t="n"/>
      <c r="W87" s="117" t="n"/>
      <c r="X87" s="117" t="n"/>
      <c r="Y87" s="117" t="n"/>
    </row>
    <row r="88">
      <c r="U88" s="117" t="n"/>
      <c r="V88" s="117" t="n"/>
      <c r="W88" s="117" t="n"/>
      <c r="X88" s="117" t="n"/>
      <c r="Y88" s="117" t="n"/>
    </row>
    <row r="89">
      <c r="W89" s="117" t="n"/>
      <c r="X89" s="117" t="n"/>
      <c r="Y89" s="117" t="n"/>
    </row>
    <row r="90">
      <c r="W90" s="117" t="n"/>
      <c r="X90" s="117" t="n"/>
      <c r="Y90" s="117" t="n"/>
    </row>
    <row r="92">
      <c r="U92" s="117" t="n"/>
      <c r="V92" s="117" t="n"/>
      <c r="W92" s="117" t="n"/>
      <c r="X92" s="117" t="n"/>
      <c r="Y92" s="117" t="n"/>
    </row>
    <row r="93">
      <c r="U93" s="117" t="n"/>
      <c r="V93" s="117" t="n"/>
      <c r="W93" s="117" t="n"/>
      <c r="X93" s="117" t="n"/>
      <c r="Y93" s="117" t="n"/>
    </row>
    <row r="94">
      <c r="W94" s="117" t="n"/>
      <c r="X94" s="117" t="n"/>
      <c r="Y94" s="117" t="n"/>
    </row>
    <row r="95">
      <c r="W95" s="117" t="n"/>
      <c r="X95" s="117" t="n"/>
      <c r="Y95" s="117" t="n"/>
    </row>
    <row r="97">
      <c r="U97" s="117" t="n"/>
      <c r="V97" s="117" t="n"/>
      <c r="W97" s="117" t="n"/>
      <c r="X97" s="117" t="n"/>
      <c r="Y97" s="117" t="n"/>
    </row>
    <row r="98">
      <c r="U98" s="117" t="n"/>
      <c r="V98" s="117" t="n"/>
      <c r="W98" s="117" t="n"/>
      <c r="X98" s="117" t="n"/>
      <c r="Y98" s="117" t="n"/>
    </row>
    <row r="99">
      <c r="W99" s="117" t="n"/>
      <c r="X99" s="117" t="n"/>
      <c r="Y99" s="117" t="n"/>
    </row>
    <row r="100">
      <c r="W100" s="117" t="n"/>
      <c r="X100" s="117" t="n"/>
      <c r="Y100" s="117" t="n"/>
    </row>
    <row r="102">
      <c r="U102" s="117" t="n"/>
      <c r="V102" s="117" t="n"/>
      <c r="W102" s="117" t="n"/>
      <c r="X102" s="117" t="n"/>
      <c r="Y102" s="117" t="n"/>
    </row>
    <row r="103">
      <c r="U103" s="117" t="n"/>
      <c r="V103" s="117" t="n"/>
      <c r="W103" s="117" t="n"/>
      <c r="X103" s="117" t="n"/>
      <c r="Y103" s="117" t="n"/>
    </row>
    <row r="104">
      <c r="W104" s="117" t="n"/>
      <c r="X104" s="117" t="n"/>
      <c r="Y104" s="117" t="n"/>
    </row>
    <row r="105">
      <c r="W105" s="117" t="n"/>
      <c r="X105" s="117" t="n"/>
      <c r="Y105" s="117" t="n"/>
    </row>
    <row r="107">
      <c r="U107" s="117" t="n"/>
      <c r="V107" s="117" t="n"/>
      <c r="W107" s="117" t="n"/>
      <c r="X107" s="117" t="n"/>
      <c r="Y107" s="117" t="n"/>
    </row>
    <row r="108">
      <c r="U108" s="117" t="n"/>
      <c r="V108" s="117" t="n"/>
      <c r="W108" s="117" t="n"/>
      <c r="X108" s="117" t="n"/>
      <c r="Y108" s="117" t="n"/>
    </row>
    <row r="109">
      <c r="W109" s="117" t="n"/>
      <c r="X109" s="117" t="n"/>
      <c r="Y109" s="117" t="n"/>
    </row>
    <row r="110">
      <c r="W110" s="117" t="n"/>
      <c r="X110" s="117" t="n"/>
      <c r="Y110" s="117" t="n"/>
    </row>
    <row r="112">
      <c r="U112" s="117" t="n"/>
      <c r="V112" s="117" t="n"/>
      <c r="W112" s="117" t="n"/>
      <c r="X112" s="117" t="n"/>
      <c r="Y112" s="117" t="n"/>
    </row>
    <row r="113">
      <c r="U113" s="117" t="n"/>
      <c r="V113" s="117" t="n"/>
      <c r="W113" s="117" t="n"/>
      <c r="X113" s="117" t="n"/>
      <c r="Y113" s="117" t="n"/>
    </row>
    <row r="114">
      <c r="W114" s="117" t="n"/>
      <c r="X114" s="117" t="n"/>
      <c r="Y114" s="117" t="n"/>
    </row>
    <row r="115">
      <c r="W115" s="117" t="n"/>
      <c r="X115" s="117" t="n"/>
      <c r="Y115" s="117" t="n"/>
    </row>
    <row r="117">
      <c r="U117" s="117" t="n"/>
      <c r="V117" s="117" t="n"/>
      <c r="W117" s="117" t="n"/>
      <c r="X117" s="117" t="n"/>
      <c r="Y117" s="117" t="n"/>
    </row>
    <row r="118">
      <c r="U118" s="117" t="n"/>
      <c r="V118" s="117" t="n"/>
      <c r="W118" s="117" t="n"/>
      <c r="X118" s="117" t="n"/>
      <c r="Y118" s="117" t="n"/>
    </row>
    <row r="119">
      <c r="W119" s="117" t="n"/>
      <c r="X119" s="117" t="n"/>
      <c r="Y119" s="117" t="n"/>
    </row>
    <row r="120">
      <c r="W120" s="117" t="n"/>
      <c r="X120" s="117" t="n"/>
      <c r="Y120" s="117" t="n"/>
    </row>
    <row r="122">
      <c r="U122" s="117" t="n"/>
      <c r="V122" s="117" t="n"/>
      <c r="W122" s="117" t="n"/>
      <c r="X122" s="117" t="n"/>
      <c r="Y122" s="117" t="n"/>
    </row>
    <row r="123">
      <c r="U123" s="117" t="n"/>
      <c r="V123" s="117" t="n"/>
      <c r="W123" s="117" t="n"/>
      <c r="X123" s="117" t="n"/>
      <c r="Y123" s="117" t="n"/>
    </row>
    <row r="124">
      <c r="W124" s="117" t="n"/>
      <c r="X124" s="117" t="n"/>
      <c r="Y124" s="117" t="n"/>
    </row>
    <row r="125">
      <c r="W125" s="117" t="n"/>
      <c r="X125" s="117" t="n"/>
      <c r="Y125" s="117" t="n"/>
    </row>
    <row r="127">
      <c r="U127" s="117" t="n"/>
      <c r="V127" s="117" t="n"/>
      <c r="W127" s="117" t="n"/>
      <c r="X127" s="117" t="n"/>
      <c r="Y127" s="117" t="n"/>
    </row>
    <row r="128">
      <c r="U128" s="117" t="n"/>
      <c r="V128" s="117" t="n"/>
      <c r="W128" s="117" t="n"/>
      <c r="X128" s="117" t="n"/>
      <c r="Y128" s="117" t="n"/>
    </row>
    <row r="129">
      <c r="W129" s="117" t="n"/>
      <c r="X129" s="117" t="n"/>
      <c r="Y129" s="117" t="n"/>
    </row>
    <row r="130">
      <c r="W130" s="117" t="n"/>
      <c r="X130" s="117" t="n"/>
      <c r="Y130" s="117" t="n"/>
    </row>
    <row r="132">
      <c r="U132" s="117" t="n"/>
      <c r="V132" s="117" t="n"/>
      <c r="W132" s="117" t="n"/>
      <c r="X132" s="117" t="n"/>
      <c r="Y132" s="117" t="n"/>
    </row>
    <row r="133">
      <c r="U133" s="117" t="n"/>
      <c r="V133" s="117" t="n"/>
      <c r="W133" s="117" t="n"/>
      <c r="X133" s="117" t="n"/>
      <c r="Y133" s="117" t="n"/>
    </row>
    <row r="134">
      <c r="W134" s="117" t="n"/>
      <c r="X134" s="117" t="n"/>
      <c r="Y134" s="117" t="n"/>
    </row>
    <row r="135">
      <c r="W135" s="117" t="n"/>
      <c r="X135" s="117" t="n"/>
      <c r="Y135" s="117" t="n"/>
    </row>
    <row r="137">
      <c r="U137" s="117" t="n"/>
      <c r="V137" s="117" t="n"/>
      <c r="W137" s="117" t="n"/>
      <c r="X137" s="117" t="n"/>
      <c r="Y137" s="117" t="n"/>
    </row>
    <row r="138">
      <c r="U138" s="117" t="n"/>
      <c r="V138" s="117" t="n"/>
      <c r="W138" s="117" t="n"/>
      <c r="X138" s="117" t="n"/>
      <c r="Y138" s="117" t="n"/>
    </row>
    <row r="139">
      <c r="W139" s="117" t="n"/>
      <c r="X139" s="117" t="n"/>
      <c r="Y139" s="117" t="n"/>
    </row>
    <row r="140">
      <c r="W140" s="117" t="n"/>
      <c r="X140" s="117" t="n"/>
      <c r="Y140" s="117" t="n"/>
    </row>
    <row r="142">
      <c r="U142" s="117" t="n"/>
      <c r="V142" s="117" t="n"/>
      <c r="W142" s="117" t="n"/>
      <c r="X142" s="117" t="n"/>
      <c r="Y142" s="117" t="n"/>
    </row>
    <row r="143">
      <c r="U143" s="117" t="n"/>
      <c r="V143" s="117" t="n"/>
      <c r="W143" s="117" t="n"/>
      <c r="X143" s="117" t="n"/>
      <c r="Y143" s="117" t="n"/>
    </row>
    <row r="144">
      <c r="W144" s="117" t="n"/>
      <c r="X144" s="117" t="n"/>
      <c r="Y144" s="117" t="n"/>
    </row>
    <row r="145">
      <c r="W145" s="117" t="n"/>
      <c r="X145" s="117" t="n"/>
      <c r="Y145" s="117" t="n"/>
    </row>
    <row r="147">
      <c r="U147" s="117" t="n"/>
      <c r="V147" s="117" t="n"/>
      <c r="W147" s="117" t="n"/>
      <c r="X147" s="117" t="n"/>
      <c r="Y147" s="117" t="n"/>
    </row>
    <row r="148">
      <c r="U148" s="117" t="n"/>
      <c r="V148" s="117" t="n"/>
      <c r="W148" s="117" t="n"/>
      <c r="X148" s="117" t="n"/>
      <c r="Y148" s="117" t="n"/>
    </row>
    <row r="149">
      <c r="W149" s="117" t="n"/>
      <c r="X149" s="117" t="n"/>
      <c r="Y149" s="117" t="n"/>
    </row>
    <row r="150">
      <c r="W150" s="117" t="n"/>
      <c r="X150" s="117" t="n"/>
      <c r="Y150" s="117" t="n"/>
    </row>
    <row r="152">
      <c r="U152" s="117" t="n"/>
      <c r="V152" s="117" t="n"/>
      <c r="W152" s="117" t="n"/>
      <c r="X152" s="117" t="n"/>
      <c r="Y152" s="117" t="n"/>
    </row>
    <row r="153">
      <c r="U153" s="117" t="n"/>
      <c r="V153" s="117" t="n"/>
      <c r="W153" s="117" t="n"/>
      <c r="X153" s="117" t="n"/>
      <c r="Y153" s="117" t="n"/>
    </row>
    <row r="154">
      <c r="W154" s="117" t="n"/>
      <c r="X154" s="117" t="n"/>
      <c r="Y154" s="117" t="n"/>
    </row>
    <row r="155">
      <c r="W155" s="117" t="n"/>
      <c r="X155" s="117" t="n"/>
      <c r="Y155" s="117" t="n"/>
    </row>
    <row r="157">
      <c r="U157" s="117" t="n"/>
      <c r="V157" s="117" t="n"/>
      <c r="W157" s="117" t="n"/>
      <c r="X157" s="117" t="n"/>
      <c r="Y157" s="117" t="n"/>
    </row>
    <row r="158">
      <c r="U158" s="117" t="n"/>
      <c r="V158" s="117" t="n"/>
      <c r="W158" s="117" t="n"/>
      <c r="X158" s="117" t="n"/>
      <c r="Y158" s="117" t="n"/>
    </row>
    <row r="159">
      <c r="W159" s="117" t="n"/>
      <c r="X159" s="117" t="n"/>
      <c r="Y159" s="117" t="n"/>
    </row>
    <row r="160">
      <c r="W160" s="117" t="n"/>
      <c r="X160" s="117" t="n"/>
      <c r="Y160" s="117" t="n"/>
    </row>
    <row r="162">
      <c r="U162" s="117" t="n"/>
      <c r="V162" s="117" t="n"/>
      <c r="W162" s="117" t="n"/>
      <c r="X162" s="117" t="n"/>
      <c r="Y162" s="117" t="n"/>
    </row>
    <row r="163">
      <c r="U163" s="117" t="n"/>
      <c r="V163" s="117" t="n"/>
      <c r="W163" s="117" t="n"/>
      <c r="X163" s="117" t="n"/>
      <c r="Y163" s="117" t="n"/>
    </row>
    <row r="164">
      <c r="W164" s="117" t="n"/>
      <c r="X164" s="117" t="n"/>
      <c r="Y164" s="117" t="n"/>
    </row>
    <row r="165">
      <c r="W165" s="117" t="n"/>
      <c r="X165" s="117" t="n"/>
      <c r="Y165" s="117" t="n"/>
    </row>
    <row r="167">
      <c r="U167" s="117" t="n"/>
      <c r="V167" s="117" t="n"/>
      <c r="W167" s="117" t="n"/>
      <c r="X167" s="117" t="n"/>
      <c r="Y167" s="117" t="n"/>
    </row>
    <row r="168">
      <c r="U168" s="117" t="n"/>
      <c r="V168" s="117" t="n"/>
      <c r="W168" s="117" t="n"/>
      <c r="X168" s="117" t="n"/>
      <c r="Y168" s="117" t="n"/>
    </row>
    <row r="169">
      <c r="W169" s="117" t="n"/>
      <c r="X169" s="117" t="n"/>
      <c r="Y169" s="117" t="n"/>
    </row>
    <row r="170">
      <c r="W170" s="117" t="n"/>
      <c r="X170" s="117" t="n"/>
      <c r="Y170" s="117" t="n"/>
    </row>
    <row r="172">
      <c r="U172" s="117" t="n"/>
      <c r="V172" s="117" t="n"/>
      <c r="W172" s="117" t="n"/>
      <c r="X172" s="117" t="n"/>
      <c r="Y172" s="117" t="n"/>
    </row>
    <row r="173">
      <c r="U173" s="117" t="n"/>
      <c r="V173" s="117" t="n"/>
      <c r="W173" s="117" t="n"/>
      <c r="X173" s="117" t="n"/>
      <c r="Y173" s="117" t="n"/>
    </row>
    <row r="174">
      <c r="W174" s="117" t="n"/>
      <c r="X174" s="117" t="n"/>
      <c r="Y174" s="117" t="n"/>
    </row>
    <row r="175">
      <c r="W175" s="117" t="n"/>
      <c r="X175" s="117" t="n"/>
      <c r="Y175" s="117" t="n"/>
    </row>
    <row r="177">
      <c r="U177" s="117" t="n"/>
      <c r="V177" s="117" t="n"/>
      <c r="W177" s="117" t="n"/>
      <c r="X177" s="117" t="n"/>
      <c r="Y177" s="117" t="n"/>
    </row>
    <row r="178">
      <c r="U178" s="117" t="n"/>
      <c r="V178" s="117" t="n"/>
      <c r="W178" s="117" t="n"/>
      <c r="X178" s="117" t="n"/>
      <c r="Y178" s="117" t="n"/>
    </row>
    <row r="179">
      <c r="W179" s="117" t="n"/>
      <c r="X179" s="117" t="n"/>
      <c r="Y179" s="117" t="n"/>
    </row>
    <row r="180">
      <c r="W180" s="117" t="n"/>
      <c r="X180" s="117" t="n"/>
      <c r="Y180" s="117" t="n"/>
    </row>
    <row r="182">
      <c r="U182" s="117" t="n"/>
      <c r="V182" s="117" t="n"/>
      <c r="W182" s="117" t="n"/>
      <c r="X182" s="117" t="n"/>
      <c r="Y182" s="117" t="n"/>
    </row>
    <row r="183">
      <c r="U183" s="117" t="n"/>
      <c r="V183" s="117" t="n"/>
      <c r="W183" s="117" t="n"/>
      <c r="X183" s="117" t="n"/>
      <c r="Y183" s="117" t="n"/>
    </row>
    <row r="184">
      <c r="W184" s="117" t="n"/>
      <c r="X184" s="117" t="n"/>
      <c r="Y184" s="117" t="n"/>
    </row>
    <row r="185">
      <c r="W185" s="117" t="n"/>
      <c r="X185" s="117" t="n"/>
      <c r="Y185" s="117" t="n"/>
    </row>
    <row r="187">
      <c r="U187" s="117" t="n"/>
      <c r="V187" s="117" t="n"/>
      <c r="W187" s="117" t="n"/>
      <c r="X187" s="117" t="n"/>
      <c r="Y187" s="117" t="n"/>
    </row>
    <row r="188">
      <c r="U188" s="117" t="n"/>
      <c r="V188" s="117" t="n"/>
      <c r="W188" s="117" t="n"/>
      <c r="X188" s="117" t="n"/>
      <c r="Y188" s="117" t="n"/>
    </row>
    <row r="189">
      <c r="W189" s="117" t="n"/>
      <c r="X189" s="117" t="n"/>
      <c r="Y189" s="117" t="n"/>
    </row>
    <row r="190">
      <c r="W190" s="117" t="n"/>
      <c r="X190" s="117" t="n"/>
      <c r="Y190" s="117" t="n"/>
    </row>
    <row r="192">
      <c r="U192" s="117" t="n"/>
      <c r="V192" s="117" t="n"/>
      <c r="W192" s="117" t="n"/>
      <c r="X192" s="117" t="n"/>
      <c r="Y192" s="117" t="n"/>
    </row>
    <row r="193">
      <c r="U193" s="117" t="n"/>
      <c r="V193" s="117" t="n"/>
      <c r="W193" s="117" t="n"/>
      <c r="X193" s="117" t="n"/>
      <c r="Y193" s="117" t="n"/>
    </row>
    <row r="194">
      <c r="W194" s="117" t="n"/>
      <c r="X194" s="117" t="n"/>
      <c r="Y194" s="117" t="n"/>
    </row>
    <row r="195">
      <c r="W195" s="117" t="n"/>
      <c r="X195" s="117" t="n"/>
      <c r="Y195" s="117" t="n"/>
    </row>
    <row r="197">
      <c r="U197" s="117" t="n"/>
      <c r="V197" s="117" t="n"/>
      <c r="W197" s="117" t="n"/>
      <c r="X197" s="117" t="n"/>
      <c r="Y197" s="117" t="n"/>
    </row>
    <row r="198">
      <c r="U198" s="117" t="n"/>
      <c r="V198" s="117" t="n"/>
      <c r="W198" s="117" t="n"/>
      <c r="X198" s="117" t="n"/>
      <c r="Y198" s="117" t="n"/>
    </row>
    <row r="199">
      <c r="W199" s="117" t="n"/>
      <c r="X199" s="117" t="n"/>
      <c r="Y199" s="117" t="n"/>
    </row>
    <row r="200">
      <c r="W200" s="117" t="n"/>
      <c r="X200" s="117" t="n"/>
      <c r="Y200" s="117" t="n"/>
    </row>
    <row r="202">
      <c r="U202" s="117" t="n"/>
      <c r="V202" s="117" t="n"/>
      <c r="W202" s="117" t="n"/>
      <c r="X202" s="117" t="n"/>
      <c r="Y202" s="117" t="n"/>
    </row>
    <row r="203">
      <c r="U203" s="117" t="n"/>
      <c r="V203" s="117" t="n"/>
      <c r="W203" s="117" t="n"/>
      <c r="X203" s="117" t="n"/>
      <c r="Y203" s="117" t="n"/>
    </row>
    <row r="204">
      <c r="W204" s="117" t="n"/>
      <c r="X204" s="117" t="n"/>
      <c r="Y204" s="117" t="n"/>
    </row>
    <row r="205">
      <c r="W205" s="117" t="n"/>
      <c r="X205" s="117" t="n"/>
      <c r="Y205" s="117" t="n"/>
    </row>
    <row r="207">
      <c r="U207" s="117" t="n"/>
      <c r="V207" s="117" t="n"/>
      <c r="W207" s="117" t="n"/>
      <c r="X207" s="117" t="n"/>
      <c r="Y207" s="117" t="n"/>
    </row>
    <row r="208">
      <c r="U208" s="117" t="n"/>
      <c r="V208" s="117" t="n"/>
      <c r="W208" s="117" t="n"/>
      <c r="X208" s="117" t="n"/>
      <c r="Y208" s="117" t="n"/>
    </row>
    <row r="209">
      <c r="W209" s="117" t="n"/>
      <c r="X209" s="117" t="n"/>
      <c r="Y209" s="117" t="n"/>
    </row>
    <row r="210">
      <c r="W210" s="117" t="n"/>
      <c r="X210" s="117" t="n"/>
      <c r="Y210" s="117" t="n"/>
    </row>
    <row r="212">
      <c r="U212" s="117" t="n"/>
      <c r="V212" s="117" t="n"/>
      <c r="W212" s="117" t="n"/>
      <c r="X212" s="117" t="n"/>
      <c r="Y212" s="117" t="n"/>
    </row>
    <row r="213">
      <c r="U213" s="117" t="n"/>
      <c r="V213" s="117" t="n"/>
      <c r="W213" s="117" t="n"/>
      <c r="X213" s="117" t="n"/>
      <c r="Y213" s="117" t="n"/>
    </row>
    <row r="214">
      <c r="W214" s="117" t="n"/>
      <c r="X214" s="117" t="n"/>
      <c r="Y214" s="117" t="n"/>
    </row>
    <row r="215">
      <c r="W215" s="117" t="n"/>
      <c r="X215" s="117" t="n"/>
      <c r="Y215" s="117" t="n"/>
    </row>
    <row r="217">
      <c r="U217" s="117" t="n"/>
      <c r="V217" s="117" t="n"/>
      <c r="W217" s="117" t="n"/>
      <c r="X217" s="117" t="n"/>
      <c r="Y217" s="117" t="n"/>
    </row>
    <row r="218">
      <c r="U218" s="117" t="n"/>
      <c r="V218" s="117" t="n"/>
      <c r="W218" s="117" t="n"/>
      <c r="X218" s="117" t="n"/>
      <c r="Y218" s="117" t="n"/>
    </row>
    <row r="219">
      <c r="W219" s="117" t="n"/>
      <c r="X219" s="117" t="n"/>
      <c r="Y219" s="117" t="n"/>
    </row>
    <row r="220">
      <c r="W220" s="117" t="n"/>
      <c r="X220" s="117" t="n"/>
      <c r="Y220" s="117" t="n"/>
    </row>
    <row r="222">
      <c r="U222" s="117" t="n"/>
      <c r="V222" s="117" t="n"/>
      <c r="W222" s="117" t="n"/>
      <c r="X222" s="117" t="n"/>
      <c r="Y222" s="117" t="n"/>
    </row>
    <row r="223">
      <c r="U223" s="117" t="n"/>
      <c r="V223" s="117" t="n"/>
      <c r="W223" s="117" t="n"/>
      <c r="X223" s="117" t="n"/>
      <c r="Y223" s="117" t="n"/>
    </row>
    <row r="224">
      <c r="W224" s="117" t="n"/>
      <c r="X224" s="117" t="n"/>
      <c r="Y224" s="117" t="n"/>
    </row>
    <row r="225">
      <c r="W225" s="117" t="n"/>
      <c r="X225" s="117" t="n"/>
      <c r="Y225" s="117" t="n"/>
    </row>
    <row r="227">
      <c r="U227" s="117" t="n"/>
      <c r="V227" s="117" t="n"/>
      <c r="W227" s="117" t="n"/>
      <c r="X227" s="117" t="n"/>
      <c r="Y227" s="117" t="n"/>
    </row>
    <row r="228">
      <c r="U228" s="117" t="n"/>
      <c r="V228" s="117" t="n"/>
      <c r="W228" s="117" t="n"/>
      <c r="X228" s="117" t="n"/>
      <c r="Y228" s="117" t="n"/>
    </row>
    <row r="229">
      <c r="W229" s="117" t="n"/>
      <c r="X229" s="117" t="n"/>
      <c r="Y229" s="117" t="n"/>
    </row>
    <row r="230">
      <c r="W230" s="117" t="n"/>
      <c r="X230" s="117" t="n"/>
      <c r="Y230" s="117" t="n"/>
    </row>
    <row r="232">
      <c r="U232" s="117" t="n"/>
      <c r="V232" s="117" t="n"/>
      <c r="W232" s="117" t="n"/>
      <c r="X232" s="117" t="n"/>
      <c r="Y232" s="117" t="n"/>
    </row>
    <row r="233">
      <c r="U233" s="117" t="n"/>
      <c r="V233" s="117" t="n"/>
      <c r="W233" s="117" t="n"/>
      <c r="X233" s="117" t="n"/>
      <c r="Y233" s="117" t="n"/>
    </row>
    <row r="234">
      <c r="W234" s="117" t="n"/>
      <c r="X234" s="117" t="n"/>
      <c r="Y234" s="117" t="n"/>
    </row>
    <row r="235">
      <c r="W235" s="117" t="n"/>
      <c r="X235" s="117" t="n"/>
      <c r="Y235" s="117" t="n"/>
    </row>
    <row r="237">
      <c r="U237" s="117" t="n"/>
      <c r="V237" s="117" t="n"/>
      <c r="W237" s="117" t="n"/>
      <c r="X237" s="117" t="n"/>
      <c r="Y237" s="117" t="n"/>
    </row>
    <row r="238">
      <c r="U238" s="117" t="n"/>
      <c r="V238" s="117" t="n"/>
      <c r="W238" s="117" t="n"/>
      <c r="X238" s="117" t="n"/>
      <c r="Y238" s="117" t="n"/>
    </row>
    <row r="239">
      <c r="W239" s="117" t="n"/>
      <c r="X239" s="117" t="n"/>
      <c r="Y239" s="117" t="n"/>
    </row>
    <row r="240">
      <c r="W240" s="117" t="n"/>
      <c r="X240" s="117" t="n"/>
      <c r="Y240" s="117" t="n"/>
    </row>
    <row r="242">
      <c r="U242" s="117" t="n"/>
      <c r="V242" s="117" t="n"/>
      <c r="W242" s="117" t="n"/>
      <c r="X242" s="117" t="n"/>
      <c r="Y242" s="117" t="n"/>
    </row>
    <row r="243">
      <c r="U243" s="117" t="n"/>
      <c r="V243" s="117" t="n"/>
      <c r="W243" s="117" t="n"/>
      <c r="X243" s="117" t="n"/>
      <c r="Y243" s="117" t="n"/>
    </row>
    <row r="244">
      <c r="W244" s="117" t="n"/>
      <c r="X244" s="117" t="n"/>
      <c r="Y244" s="117" t="n"/>
    </row>
    <row r="245">
      <c r="W245" s="117" t="n"/>
      <c r="X245" s="117" t="n"/>
      <c r="Y245" s="117" t="n"/>
    </row>
    <row r="247">
      <c r="U247" s="117" t="n"/>
      <c r="V247" s="117" t="n"/>
      <c r="W247" s="117" t="n"/>
      <c r="X247" s="117" t="n"/>
      <c r="Y247" s="117" t="n"/>
    </row>
    <row r="248">
      <c r="U248" s="117" t="n"/>
      <c r="V248" s="117" t="n"/>
      <c r="W248" s="117" t="n"/>
      <c r="X248" s="117" t="n"/>
      <c r="Y248" s="117" t="n"/>
    </row>
    <row r="249">
      <c r="W249" s="117" t="n"/>
      <c r="X249" s="117" t="n"/>
      <c r="Y249" s="117" t="n"/>
    </row>
    <row r="250">
      <c r="W250" s="117" t="n"/>
      <c r="X250" s="117" t="n"/>
      <c r="Y250" s="117" t="n"/>
    </row>
    <row r="252">
      <c r="U252" s="117" t="n"/>
      <c r="V252" s="117" t="n"/>
      <c r="W252" s="117" t="n"/>
      <c r="X252" s="117" t="n"/>
      <c r="Y252" s="117" t="n"/>
    </row>
    <row r="253">
      <c r="U253" s="117" t="n"/>
      <c r="V253" s="117" t="n"/>
      <c r="W253" s="117" t="n"/>
      <c r="X253" s="117" t="n"/>
      <c r="Y253" s="117" t="n"/>
    </row>
    <row r="254">
      <c r="W254" s="117" t="n"/>
      <c r="X254" s="117" t="n"/>
      <c r="Y254" s="117" t="n"/>
    </row>
    <row r="255">
      <c r="W255" s="117" t="n"/>
      <c r="X255" s="117" t="n"/>
      <c r="Y255" s="117" t="n"/>
    </row>
    <row r="257">
      <c r="U257" s="117" t="n"/>
      <c r="V257" s="117" t="n"/>
      <c r="W257" s="117" t="n"/>
      <c r="X257" s="117" t="n"/>
      <c r="Y257" s="117" t="n"/>
    </row>
    <row r="258">
      <c r="U258" s="117" t="n"/>
      <c r="V258" s="117" t="n"/>
      <c r="W258" s="117" t="n"/>
      <c r="X258" s="117" t="n"/>
      <c r="Y258" s="117" t="n"/>
    </row>
    <row r="259">
      <c r="W259" s="117" t="n"/>
      <c r="X259" s="117" t="n"/>
      <c r="Y259" s="117" t="n"/>
    </row>
    <row r="260">
      <c r="W260" s="117" t="n"/>
      <c r="X260" s="117" t="n"/>
      <c r="Y260" s="117" t="n"/>
    </row>
    <row r="262">
      <c r="U262" s="117" t="n"/>
      <c r="V262" s="117" t="n"/>
      <c r="W262" s="117" t="n"/>
      <c r="X262" s="117" t="n"/>
      <c r="Y262" s="117" t="n"/>
    </row>
    <row r="263">
      <c r="U263" s="117" t="n"/>
      <c r="V263" s="117" t="n"/>
      <c r="W263" s="117" t="n"/>
      <c r="X263" s="117" t="n"/>
      <c r="Y263" s="117" t="n"/>
    </row>
    <row r="264">
      <c r="W264" s="117" t="n"/>
      <c r="X264" s="117" t="n"/>
      <c r="Y264" s="117" t="n"/>
    </row>
    <row r="265">
      <c r="W265" s="117" t="n"/>
      <c r="X265" s="117" t="n"/>
      <c r="Y265" s="117" t="n"/>
    </row>
    <row r="267">
      <c r="U267" s="117" t="n"/>
      <c r="V267" s="117" t="n"/>
      <c r="W267" s="117" t="n"/>
      <c r="X267" s="117" t="n"/>
      <c r="Y267" s="117" t="n"/>
    </row>
    <row r="268">
      <c r="U268" s="117" t="n"/>
      <c r="V268" s="117" t="n"/>
      <c r="W268" s="117" t="n"/>
      <c r="X268" s="117" t="n"/>
      <c r="Y268" s="117" t="n"/>
    </row>
    <row r="269">
      <c r="W269" s="117" t="n"/>
      <c r="X269" s="117" t="n"/>
      <c r="Y269" s="117" t="n"/>
    </row>
    <row r="270">
      <c r="W270" s="117" t="n"/>
      <c r="X270" s="117" t="n"/>
      <c r="Y270" s="117" t="n"/>
    </row>
    <row r="272">
      <c r="U272" s="117" t="n"/>
      <c r="V272" s="117" t="n"/>
      <c r="W272" s="117" t="n"/>
      <c r="X272" s="117" t="n"/>
      <c r="Y272" s="117" t="n"/>
    </row>
    <row r="273">
      <c r="U273" s="117" t="n"/>
      <c r="V273" s="117" t="n"/>
      <c r="W273" s="117" t="n"/>
      <c r="X273" s="117" t="n"/>
      <c r="Y273" s="117" t="n"/>
    </row>
    <row r="274">
      <c r="W274" s="117" t="n"/>
      <c r="X274" s="117" t="n"/>
      <c r="Y274" s="117" t="n"/>
    </row>
    <row r="275">
      <c r="W275" s="117" t="n"/>
      <c r="X275" s="117" t="n"/>
      <c r="Y275" s="117" t="n"/>
    </row>
    <row r="277">
      <c r="U277" s="117" t="n"/>
      <c r="V277" s="117" t="n"/>
      <c r="W277" s="117" t="n"/>
      <c r="X277" s="117" t="n"/>
      <c r="Y277" s="117" t="n"/>
    </row>
    <row r="278">
      <c r="U278" s="117" t="n"/>
      <c r="V278" s="117" t="n"/>
      <c r="W278" s="117" t="n"/>
      <c r="X278" s="117" t="n"/>
      <c r="Y278" s="117" t="n"/>
    </row>
    <row r="279">
      <c r="W279" s="117" t="n"/>
      <c r="X279" s="117" t="n"/>
      <c r="Y279" s="117" t="n"/>
    </row>
    <row r="280">
      <c r="W280" s="117" t="n"/>
      <c r="X280" s="117" t="n"/>
      <c r="Y280" s="117" t="n"/>
    </row>
  </sheetData>
  <conditionalFormatting sqref="E1:E1048576">
    <cfRule priority="1" type="dataBar">
      <dataBar>
        <cfvo type="min"/>
        <cfvo type="max"/>
        <color rgb="FF638EC6"/>
      </dataBar>
    </cfRule>
  </conditionalFormatting>
  <conditionalFormatting sqref="G1:G1048576">
    <cfRule priority="9" type="dataBar">
      <dataBar>
        <cfvo type="min"/>
        <cfvo type="max"/>
        <color rgb="FF638EC6"/>
      </dataBar>
    </cfRule>
  </conditionalFormatting>
  <conditionalFormatting sqref="H1:H1048576">
    <cfRule priority="8" type="dataBar">
      <dataBar>
        <cfvo type="min"/>
        <cfvo type="max"/>
        <color rgb="FF638EC6"/>
      </dataBar>
    </cfRule>
  </conditionalFormatting>
  <conditionalFormatting sqref="I1:I1048576">
    <cfRule priority="7" type="dataBar">
      <dataBar>
        <cfvo type="min"/>
        <cfvo type="max"/>
        <color rgb="FF638EC6"/>
      </dataBar>
    </cfRule>
  </conditionalFormatting>
  <conditionalFormatting sqref="J1:J1048576">
    <cfRule priority="6" type="dataBar">
      <dataBar>
        <cfvo type="min"/>
        <cfvo type="max"/>
        <color rgb="FF638EC6"/>
      </dataBar>
    </cfRule>
  </conditionalFormatting>
  <conditionalFormatting sqref="Q1:Q1048576">
    <cfRule priority="5" type="dataBar">
      <dataBar>
        <cfvo type="min"/>
        <cfvo type="max"/>
        <color rgb="FF638EC6"/>
      </dataBar>
    </cfRule>
  </conditionalFormatting>
  <conditionalFormatting sqref="R1:R1048576">
    <cfRule priority="4" type="dataBar">
      <dataBar>
        <cfvo type="min"/>
        <cfvo type="max"/>
        <color rgb="FF638EC6"/>
      </dataBar>
    </cfRule>
  </conditionalFormatting>
  <conditionalFormatting sqref="V1:V1048576">
    <cfRule priority="3" type="dataBar">
      <dataBar>
        <cfvo type="min"/>
        <cfvo type="max"/>
        <color rgb="FF638EC6"/>
      </dataBar>
    </cfRule>
  </conditionalFormatting>
  <conditionalFormatting sqref="W1:W1048576">
    <cfRule priority="2" type="dataBar">
      <dataBar>
        <cfvo type="min"/>
        <cfvo type="max"/>
        <color rgb="FF638EC6"/>
      </dataBar>
    </cfRule>
  </conditionalFormatting>
  <pageMargins bottom="0.75" footer="0.3" header="0.3" left="0.7" right="0.7" top="0.75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A313"/>
  <sheetViews>
    <sheetView topLeftCell="A9" workbookViewId="0" zoomScale="116">
      <pane activePane="topRight" state="frozen" topLeftCell="I1" xSplit="1"/>
      <selection activeCell="M18" pane="topRight" sqref="M18"/>
    </sheetView>
  </sheetViews>
  <sheetFormatPr baseColWidth="10" defaultRowHeight="16"/>
  <cols>
    <col customWidth="1" max="4" min="4" style="2" width="18.33203125"/>
    <col customWidth="1" max="5" min="5" style="12" width="19.6640625"/>
    <col customWidth="1" max="6" min="6" style="2" width="19.5"/>
    <col customWidth="1" max="7" min="7" style="12" width="21"/>
    <col customWidth="1" max="8" min="8" style="12" width="21.6640625"/>
    <col customWidth="1" max="10" min="9" style="12" width="19.6640625"/>
    <col customWidth="1" max="11" min="11" style="2" width="22.5"/>
    <col customWidth="1" max="12" min="12" style="78" width="16.5"/>
    <col customWidth="1" max="13" min="13" style="14" width="21"/>
    <col customWidth="1" max="14" min="14" style="78" width="10.83203125"/>
    <col customWidth="1" max="15" min="15" style="14" width="22.1640625"/>
    <col customWidth="1" max="16" min="16" style="78" width="22"/>
    <col customWidth="1" max="17" min="17" style="99" width="11.83203125"/>
    <col customWidth="1" max="19" min="18" style="99" width="10.83203125"/>
    <col customWidth="1" max="21" min="21" style="155" width="15.1640625"/>
    <col customWidth="1" max="22" min="22" style="99" width="19.1640625"/>
    <col bestFit="1" customWidth="1" max="24" min="23" style="155" width="20.33203125"/>
    <col customWidth="1" max="25" min="25" style="99" width="20.33203125"/>
    <col customWidth="1" max="26" min="26" style="117" width="20.33203125"/>
    <col customWidth="1" max="27" min="27" style="155" width="29"/>
  </cols>
  <sheetData>
    <row customFormat="1" r="1" s="127">
      <c r="A1" t="inlineStr">
        <is>
          <t>2023-02-17T00:00:00+08:00</t>
        </is>
      </c>
      <c r="C1" s="127" t="inlineStr">
        <is>
          <t>current</t>
        </is>
      </c>
      <c r="D1" s="4" t="inlineStr">
        <is>
          <t>lowest_y10</t>
        </is>
      </c>
      <c r="E1" s="13" t="inlineStr">
        <is>
          <t>falling_to_lowest_y10</t>
        </is>
      </c>
      <c r="F1" s="4" t="inlineStr">
        <is>
          <t>highest_y10</t>
        </is>
      </c>
      <c r="G1" s="13" t="inlineStr">
        <is>
          <t>rising_to_highest_y10</t>
        </is>
      </c>
      <c r="H1" s="13" t="inlineStr">
        <is>
          <t>rising_to_chance_y10_col</t>
        </is>
      </c>
      <c r="I1" s="13" t="inlineStr">
        <is>
          <t>rising_to_median_y10_col</t>
        </is>
      </c>
      <c r="J1" s="13" t="inlineStr">
        <is>
          <t>rising_to_risk_y10_col</t>
        </is>
      </c>
      <c r="K1" s="4" t="inlineStr">
        <is>
          <t>highest_to_lowest_y10</t>
        </is>
      </c>
      <c r="L1" s="8" t="inlineStr">
        <is>
          <t>lowest_y5</t>
        </is>
      </c>
      <c r="M1" s="15" t="inlineStr">
        <is>
          <t>falling_to_lowest_y5</t>
        </is>
      </c>
      <c r="N1" s="8" t="inlineStr">
        <is>
          <t>highest_y5</t>
        </is>
      </c>
      <c r="O1" s="15" t="inlineStr">
        <is>
          <t>rising_to_highest_y5</t>
        </is>
      </c>
      <c r="P1" s="8" t="inlineStr">
        <is>
          <t>highest_to_lowest_y5</t>
        </is>
      </c>
      <c r="Q1" s="69" t="inlineStr">
        <is>
          <t>roe_weighted</t>
        </is>
      </c>
      <c r="R1" s="69" t="inlineStr">
        <is>
          <t>roe_equal</t>
        </is>
      </c>
      <c r="S1" s="99" t="inlineStr">
        <is>
          <t>dividend(weighted/equal)</t>
        </is>
      </c>
      <c r="T1" t="inlineStr">
        <is>
          <t>close_point</t>
        </is>
      </c>
      <c r="U1" s="68" t="inlineStr">
        <is>
          <t>dividend ratio</t>
        </is>
      </c>
      <c r="V1" s="69" t="inlineStr">
        <is>
          <t>return</t>
        </is>
      </c>
      <c r="W1" s="127" t="inlineStr">
        <is>
          <t>3 yrs return</t>
        </is>
      </c>
      <c r="X1" s="127" t="inlineStr">
        <is>
          <t>5yrs return</t>
        </is>
      </c>
      <c r="Y1" s="69" t="n"/>
      <c r="Z1" s="69" t="n"/>
      <c r="AA1" s="69" t="n"/>
    </row>
    <row r="2">
      <c r="A2" t="inlineStr">
        <is>
          <t>能源</t>
        </is>
      </c>
      <c r="B2" t="inlineStr">
        <is>
          <t>pe weighted</t>
        </is>
      </c>
      <c r="C2" s="167" t="n">
        <v>7.269917707968842</v>
      </c>
      <c r="D2" s="90" t="n">
        <v>6.996968717571925</v>
      </c>
      <c r="E2" s="12" t="n">
        <v>0.0375449903783267</v>
      </c>
      <c r="F2" s="90" t="n">
        <v>95.60027944178768</v>
      </c>
      <c r="G2" s="12" t="n">
        <v>12.15011851330813</v>
      </c>
      <c r="H2" s="12" t="n">
        <v>0.5813001537991886</v>
      </c>
      <c r="I2" s="12" t="n">
        <v>1.137277502182194</v>
      </c>
      <c r="J2" s="12" t="n">
        <v>3.284077070487547</v>
      </c>
      <c r="K2" s="90" t="n">
        <v>13.66309945072367</v>
      </c>
      <c r="L2" s="7" t="n">
        <v>6.996968717571925</v>
      </c>
      <c r="M2" s="14" t="n">
        <v>0.0375449903783267</v>
      </c>
      <c r="N2" s="7" t="n">
        <v>32.03663154774637</v>
      </c>
      <c r="O2" s="14" t="n">
        <v>3.406739227959866</v>
      </c>
      <c r="P2" s="7" t="n">
        <v>4.578644387431772</v>
      </c>
      <c r="Q2" s="99" t="n">
        <v>0.1438011101716525</v>
      </c>
      <c r="R2" s="99" t="n">
        <v>0.09522271589224565</v>
      </c>
      <c r="S2" s="99" t="n">
        <v>0.06829339872759906</v>
      </c>
      <c r="U2" s="117">
        <f>C2*S2</f>
        <v/>
      </c>
      <c r="V2" s="117">
        <f>(1+S2)*Q2*(1-U2)+S2</f>
        <v/>
      </c>
      <c r="W2" s="117">
        <f>V2+I2/3</f>
        <v/>
      </c>
      <c r="X2" s="117">
        <f>V2+I2/5</f>
        <v/>
      </c>
      <c r="Y2" s="117" t="n"/>
      <c r="AA2" s="117" t="n"/>
    </row>
    <row r="3">
      <c r="A3" t="inlineStr">
        <is>
          <t>C01</t>
        </is>
      </c>
      <c r="B3" t="inlineStr">
        <is>
          <t>pe equal</t>
        </is>
      </c>
      <c r="C3" s="166" t="n">
        <v>16.18148806443134</v>
      </c>
      <c r="D3" s="90" t="n">
        <v>15.16609910664777</v>
      </c>
      <c r="E3" s="12" t="n">
        <v>0.0627500359509896</v>
      </c>
      <c r="F3" s="90" t="n">
        <v>-5.398809305430564</v>
      </c>
      <c r="G3" s="12" t="n">
        <v>-1.333641089369137</v>
      </c>
      <c r="H3" s="12" t="n">
        <v>0.7787470846344802</v>
      </c>
      <c r="I3" s="12" t="n">
        <v>2.13011532777329</v>
      </c>
      <c r="J3" s="12" t="n">
        <v>-13.57777140386167</v>
      </c>
      <c r="K3" s="90" t="n">
        <v>-0.3559787699833836</v>
      </c>
      <c r="L3" s="7" t="n">
        <v>15.16609910664777</v>
      </c>
      <c r="M3" s="14" t="n">
        <v>0.0627500359509896</v>
      </c>
      <c r="N3" s="7" t="n">
        <v>-5.398809305430564</v>
      </c>
      <c r="O3" s="14" t="n">
        <v>-1.333641089369137</v>
      </c>
      <c r="P3" s="7" t="n">
        <v>-0.3559787699833836</v>
      </c>
      <c r="S3" s="99" t="n">
        <v>0.02240331986125103</v>
      </c>
      <c r="U3" s="117">
        <f>C3*S3</f>
        <v/>
      </c>
      <c r="V3" s="117">
        <f>(1+S3)*R2*(1-U3)+S3</f>
        <v/>
      </c>
      <c r="W3" s="117">
        <f>V3+I3/3</f>
        <v/>
      </c>
      <c r="X3" s="117">
        <f>V3+I3/5</f>
        <v/>
      </c>
      <c r="Y3" s="117" t="n"/>
      <c r="AA3" s="117" t="n"/>
    </row>
    <row r="4">
      <c r="A4" s="17" t="n">
        <v>40879</v>
      </c>
      <c r="B4" t="inlineStr">
        <is>
          <t>pb weighted</t>
        </is>
      </c>
      <c r="C4" s="165" t="n">
        <v>1.045422237262475</v>
      </c>
      <c r="D4" s="90" t="n">
        <v>0.7907314676393981</v>
      </c>
      <c r="E4" s="12" t="n">
        <v>0.2436247867560246</v>
      </c>
      <c r="F4" s="90" t="n">
        <v>2.206638660960122</v>
      </c>
      <c r="G4" s="12" t="n">
        <v>1.110763079555673</v>
      </c>
      <c r="H4" s="12" t="n">
        <v>-0.02980351858182573</v>
      </c>
      <c r="I4" s="12" t="n">
        <v>0.1664551072618135</v>
      </c>
      <c r="J4" s="12" t="n">
        <v>0.2979561450684471</v>
      </c>
      <c r="K4" s="90" t="n">
        <v>2.790629627460872</v>
      </c>
      <c r="L4" s="7" t="n">
        <v>0.7907314676393981</v>
      </c>
      <c r="M4" s="14" t="n">
        <v>0.2436247867560246</v>
      </c>
      <c r="N4" s="7" t="n">
        <v>1.398579603476735</v>
      </c>
      <c r="O4" s="14" t="n">
        <v>0.3378131377222588</v>
      </c>
      <c r="P4" s="7" t="n">
        <v>1.768716259202343</v>
      </c>
      <c r="W4" s="117">
        <f>V2+I4/3</f>
        <v/>
      </c>
      <c r="X4" s="117">
        <f>V2+I4/5</f>
        <v/>
      </c>
      <c r="Y4" s="117" t="n"/>
      <c r="AA4" s="117" t="n"/>
    </row>
    <row r="5">
      <c r="B5" t="inlineStr">
        <is>
          <t>pb equal</t>
        </is>
      </c>
      <c r="C5" s="165" t="n">
        <v>1.54084524067311</v>
      </c>
      <c r="D5" s="90" t="n">
        <v>1.020626945621037</v>
      </c>
      <c r="E5" s="12" t="n">
        <v>0.3376187830679338</v>
      </c>
      <c r="F5" s="90" t="n">
        <v>3.97582796831757</v>
      </c>
      <c r="G5" s="12" t="n">
        <v>1.580290261065252</v>
      </c>
      <c r="H5" s="12" t="n">
        <v>-0.09879351363591982</v>
      </c>
      <c r="I5" s="12" t="n">
        <v>0.1198768368669907</v>
      </c>
      <c r="J5" s="12" t="n">
        <v>0.4731457062001472</v>
      </c>
      <c r="K5" s="90" t="n">
        <v>3.895476192722244</v>
      </c>
      <c r="L5" s="7" t="n">
        <v>1.020626945621037</v>
      </c>
      <c r="M5" s="14" t="n">
        <v>0.3376187830679338</v>
      </c>
      <c r="N5" s="7" t="n">
        <v>2.907671259661297</v>
      </c>
      <c r="O5" s="14" t="n">
        <v>0.8870624920067225</v>
      </c>
      <c r="P5" s="7" t="n">
        <v>2.848907009692969</v>
      </c>
      <c r="W5" s="117">
        <f>V3+I5/3</f>
        <v/>
      </c>
      <c r="X5" s="117">
        <f>V3+I5/5</f>
        <v/>
      </c>
      <c r="Y5" s="117" t="n"/>
      <c r="AA5" s="117" t="n"/>
    </row>
    <row r="6">
      <c r="C6" s="101" t="n"/>
      <c r="D6" s="90" t="n"/>
      <c r="F6" s="90" t="n"/>
      <c r="K6" s="90" t="n"/>
      <c r="L6" s="7" t="n"/>
      <c r="N6" s="7" t="n"/>
      <c r="P6" s="7" t="n"/>
      <c r="AA6" s="117" t="n"/>
    </row>
    <row customHeight="1" ht="17" r="7" s="155">
      <c r="A7" s="11" t="inlineStr">
        <is>
          <t>原材料</t>
        </is>
      </c>
      <c r="B7" t="inlineStr">
        <is>
          <t>pe weighted</t>
        </is>
      </c>
      <c r="C7" s="167" t="n">
        <v>18.49208623623851</v>
      </c>
      <c r="D7" s="90" t="n">
        <v>12.81251242906567</v>
      </c>
      <c r="E7" s="12" t="n">
        <v>0.3071353731869751</v>
      </c>
      <c r="F7" s="90" t="n">
        <v>-426.8310779678023</v>
      </c>
      <c r="G7" s="12" t="n">
        <v>-24.08182389563766</v>
      </c>
      <c r="H7" s="12" t="n">
        <v>0.01014927924744069</v>
      </c>
      <c r="I7" s="12" t="n">
        <v>0.7882871306564003</v>
      </c>
      <c r="J7" s="12" t="n">
        <v>3.745892872766833</v>
      </c>
      <c r="K7" s="90" t="n">
        <v>-33.31361279303189</v>
      </c>
      <c r="L7" s="7" t="n">
        <v>12.81251242906567</v>
      </c>
      <c r="M7" s="14" t="n">
        <v>0.3071353731869751</v>
      </c>
      <c r="N7" s="7" t="n">
        <v>39.23594721360179</v>
      </c>
      <c r="O7" s="14" t="n">
        <v>1.12176964309803</v>
      </c>
      <c r="P7" s="7" t="n">
        <v>3.062314860635261</v>
      </c>
      <c r="Q7" s="99" t="n">
        <v>0.1161379869604375</v>
      </c>
      <c r="R7" s="99" t="n">
        <v>0.05831043243961807</v>
      </c>
      <c r="S7" s="99" t="n">
        <v>0.0179619326761618</v>
      </c>
      <c r="U7" s="117">
        <f>C7*S7</f>
        <v/>
      </c>
      <c r="V7" s="117">
        <f>(1+S7)*Q7*(1-U7)+S7</f>
        <v/>
      </c>
      <c r="W7" s="117">
        <f>V7+I7/3</f>
        <v/>
      </c>
      <c r="X7" s="117">
        <f>V7+I7/5</f>
        <v/>
      </c>
      <c r="Y7" s="117" t="n"/>
      <c r="AA7" s="117" t="n"/>
    </row>
    <row r="8">
      <c r="A8" t="inlineStr">
        <is>
          <t>C02</t>
        </is>
      </c>
      <c r="B8" t="inlineStr">
        <is>
          <t>pe equal</t>
        </is>
      </c>
      <c r="C8" s="165" t="n">
        <v>36.71247928285767</v>
      </c>
      <c r="D8" s="90" t="n">
        <v>22.51095393424813</v>
      </c>
      <c r="E8" s="12" t="n">
        <v>0.3868310074945204</v>
      </c>
      <c r="F8" s="90" t="n">
        <v>-124.0495025144158</v>
      </c>
      <c r="G8" s="12" t="n">
        <v>-4.378946476446194</v>
      </c>
      <c r="H8" s="12" t="n">
        <v>-0.05941964732247107</v>
      </c>
      <c r="I8" s="12" t="n">
        <v>1.154442259105186</v>
      </c>
      <c r="J8" s="12" t="n">
        <v>7.368515506367975</v>
      </c>
      <c r="K8" s="90" t="n">
        <v>-5.510628420134924</v>
      </c>
      <c r="L8" s="7" t="n">
        <v>22.51095393424813</v>
      </c>
      <c r="M8" s="14" t="n">
        <v>0.3868310074945204</v>
      </c>
      <c r="N8" s="7" t="n">
        <v>-124.0495025144158</v>
      </c>
      <c r="O8" s="14" t="n">
        <v>-4.378946476446194</v>
      </c>
      <c r="P8" s="7" t="n">
        <v>-5.510628420134924</v>
      </c>
      <c r="S8" s="99" t="n">
        <v>0.01314829666405089</v>
      </c>
      <c r="U8" s="117">
        <f>C8*S8</f>
        <v/>
      </c>
      <c r="V8" s="117">
        <f>(1+S8)*R7*(1-U8)+S8</f>
        <v/>
      </c>
      <c r="W8" s="117">
        <f>V8+I8/3</f>
        <v/>
      </c>
      <c r="X8" s="117">
        <f>V8+I8/5</f>
        <v/>
      </c>
      <c r="Y8" s="117" t="n"/>
      <c r="AA8" s="117" t="n"/>
    </row>
    <row r="9">
      <c r="A9" s="17" t="n">
        <v>40879</v>
      </c>
      <c r="B9" t="inlineStr">
        <is>
          <t>pb weighted</t>
        </is>
      </c>
      <c r="C9" s="165" t="n">
        <v>2.147633670175555</v>
      </c>
      <c r="D9" s="90" t="n">
        <v>1.524424025939623</v>
      </c>
      <c r="E9" s="12" t="n">
        <v>0.2901843330594589</v>
      </c>
      <c r="F9" s="90" t="n">
        <v>4.530439979620458</v>
      </c>
      <c r="G9" s="12" t="n">
        <v>1.109503144104704</v>
      </c>
      <c r="H9" s="12" t="n">
        <v>-0.1730818662323109</v>
      </c>
      <c r="I9" s="12" t="n">
        <v>0.07283527941385648</v>
      </c>
      <c r="J9" s="12" t="n">
        <v>0.2621590417884772</v>
      </c>
      <c r="K9" s="90" t="n">
        <v>2.971902766245099</v>
      </c>
      <c r="L9" s="7" t="n">
        <v>1.552121694942692</v>
      </c>
      <c r="M9" s="14" t="n">
        <v>0.2772875018224982</v>
      </c>
      <c r="N9" s="7" t="n">
        <v>3.52342820395651</v>
      </c>
      <c r="O9" s="14" t="n">
        <v>0.6406095009995321</v>
      </c>
      <c r="P9" s="7" t="n">
        <v>2.270072131223321</v>
      </c>
      <c r="W9" s="117">
        <f>V7+I9/3</f>
        <v/>
      </c>
      <c r="X9" s="117">
        <f>V7+I9/5</f>
        <v/>
      </c>
      <c r="Y9" s="117" t="n"/>
      <c r="AA9" s="117" t="n"/>
    </row>
    <row r="10">
      <c r="B10" t="inlineStr">
        <is>
          <t>pb equal</t>
        </is>
      </c>
      <c r="C10" s="165" t="n">
        <v>2.14072054291395</v>
      </c>
      <c r="D10" s="90" t="n">
        <v>1.660203622067529</v>
      </c>
      <c r="E10" s="12" t="n">
        <v>0.2244650393237884</v>
      </c>
      <c r="F10" s="90" t="n">
        <v>5.365604485209532</v>
      </c>
      <c r="G10" s="12" t="n">
        <v>1.506447888758926</v>
      </c>
      <c r="H10" s="12" t="n">
        <v>-0.09617084388420272</v>
      </c>
      <c r="I10" s="12" t="n">
        <v>0.05328540017731243</v>
      </c>
      <c r="J10" s="12" t="n">
        <v>0.4099539941188024</v>
      </c>
      <c r="K10" s="90" t="n">
        <v>3.231895421675743</v>
      </c>
      <c r="L10" s="7" t="n">
        <v>1.667504499163295</v>
      </c>
      <c r="M10" s="14" t="n">
        <v>0.2210545628279499</v>
      </c>
      <c r="N10" s="7" t="n">
        <v>2.843823156482359</v>
      </c>
      <c r="O10" s="14" t="n">
        <v>0.3284420359751139</v>
      </c>
      <c r="P10" s="7" t="n">
        <v>1.705436571780949</v>
      </c>
      <c r="W10" s="117">
        <f>V8+I10/3</f>
        <v/>
      </c>
      <c r="X10" s="117">
        <f>V8+I10/5</f>
        <v/>
      </c>
      <c r="Y10" s="117" t="n"/>
      <c r="AA10" s="117" t="n"/>
    </row>
    <row r="11">
      <c r="C11" s="101" t="n"/>
      <c r="D11" s="90" t="n"/>
      <c r="F11" s="90" t="n"/>
      <c r="K11" s="90" t="n"/>
      <c r="L11" s="7" t="n"/>
      <c r="N11" s="7" t="n"/>
      <c r="P11" s="7" t="n"/>
      <c r="AA11" s="117" t="n"/>
    </row>
    <row customHeight="1" ht="17" r="12" s="155">
      <c r="A12" s="11" t="inlineStr">
        <is>
          <t>工业</t>
        </is>
      </c>
      <c r="B12" t="inlineStr">
        <is>
          <t>pe weighted</t>
        </is>
      </c>
      <c r="C12" s="168" t="n">
        <v>28.63752009717424</v>
      </c>
      <c r="D12" s="90" t="n">
        <v>16.74786880815464</v>
      </c>
      <c r="E12" s="12" t="n">
        <v>0.4151774053296184</v>
      </c>
      <c r="F12" s="90" t="n">
        <v>61.74055880336979</v>
      </c>
      <c r="G12" s="12" t="n">
        <v>1.155932447847045</v>
      </c>
      <c r="H12" s="12" t="n">
        <v>-0.2302481297713568</v>
      </c>
      <c r="I12" s="12" t="n">
        <v>-0.003939805960335385</v>
      </c>
      <c r="J12" s="12" t="n">
        <v>0.2164008859693631</v>
      </c>
      <c r="K12" s="90" t="n">
        <v>3.686472560216614</v>
      </c>
      <c r="L12" s="7" t="n">
        <v>16.74786880815464</v>
      </c>
      <c r="M12" s="14" t="n">
        <v>0.4151774053296184</v>
      </c>
      <c r="N12" s="7" t="n">
        <v>37.20207666007528</v>
      </c>
      <c r="O12" s="14" t="n">
        <v>0.2990676753377863</v>
      </c>
      <c r="P12" s="7" t="n">
        <v>2.221302130212614</v>
      </c>
      <c r="Q12" s="99" t="n">
        <v>0.07474807791553752</v>
      </c>
      <c r="R12" s="99" t="n">
        <v>0.01765112050398745</v>
      </c>
      <c r="S12" s="99" t="n">
        <v>0.01169519579880047</v>
      </c>
      <c r="U12" s="117">
        <f>C12*S12</f>
        <v/>
      </c>
      <c r="V12" s="117">
        <f>(1+S12)*Q12*(1-U12)+S12</f>
        <v/>
      </c>
      <c r="W12" s="117">
        <f>V12+I12/3</f>
        <v/>
      </c>
      <c r="X12" s="117">
        <f>V12+I12/5</f>
        <v/>
      </c>
      <c r="Y12" s="117" t="n"/>
      <c r="AA12" s="117" t="n"/>
    </row>
    <row r="13">
      <c r="A13" t="inlineStr">
        <is>
          <t>C03</t>
        </is>
      </c>
      <c r="B13" t="inlineStr">
        <is>
          <t>pe equal</t>
        </is>
      </c>
      <c r="C13" s="168" t="n">
        <v>128.1741366209629</v>
      </c>
      <c r="D13" s="90" t="n">
        <v>28.70932068480844</v>
      </c>
      <c r="E13" s="12" t="n">
        <v>0.7760131533422552</v>
      </c>
      <c r="F13" s="90" t="n">
        <v>-13.85624885606007</v>
      </c>
      <c r="G13" s="12" t="n">
        <v>-1.108104873739355</v>
      </c>
      <c r="H13" s="12" t="n">
        <v>-0.6647712716867863</v>
      </c>
      <c r="I13" s="12" t="n">
        <v>-0.4375399628977165</v>
      </c>
      <c r="J13" s="12" t="n">
        <v>0.5301448846758496</v>
      </c>
      <c r="K13" s="90" t="n">
        <v>-0.4826393841980426</v>
      </c>
      <c r="L13" s="7" t="n">
        <v>28.70932068480844</v>
      </c>
      <c r="M13" s="14" t="n">
        <v>0.7760131533422552</v>
      </c>
      <c r="N13" s="7" t="n">
        <v>-13.85624885606007</v>
      </c>
      <c r="O13" s="14" t="n">
        <v>-1.108104873739355</v>
      </c>
      <c r="P13" s="7" t="n">
        <v>-0.4826393841980426</v>
      </c>
      <c r="S13" s="99" t="n">
        <v>0.009238078580407214</v>
      </c>
      <c r="U13" s="117">
        <f>C13*S13</f>
        <v/>
      </c>
      <c r="V13" s="117">
        <f>(1+S13)*R12*(1-U13)+S13</f>
        <v/>
      </c>
      <c r="W13" s="117">
        <f>V13+I13/3</f>
        <v/>
      </c>
      <c r="X13" s="117">
        <f>V13+I13/5</f>
        <v/>
      </c>
      <c r="Y13" s="117" t="n"/>
      <c r="AA13" s="117" t="n"/>
    </row>
    <row r="14">
      <c r="A14" s="17" t="n">
        <v>40879</v>
      </c>
      <c r="B14" t="inlineStr">
        <is>
          <t>pb weighted</t>
        </is>
      </c>
      <c r="C14" s="168" t="n">
        <v>2.140599583531352</v>
      </c>
      <c r="D14" s="90" t="n">
        <v>1.484677704792656</v>
      </c>
      <c r="E14" s="12" t="n">
        <v>0.3064196983803106</v>
      </c>
      <c r="F14" s="90" t="n">
        <v>5.154277943940698</v>
      </c>
      <c r="G14" s="12" t="n">
        <v>1.407866461151821</v>
      </c>
      <c r="H14" s="12" t="n">
        <v>-0.193192097095799</v>
      </c>
      <c r="I14" s="12" t="n">
        <v>-0.01241112485471263</v>
      </c>
      <c r="J14" s="12" t="n">
        <v>0.2191763029670353</v>
      </c>
      <c r="K14" s="90" t="n">
        <v>3.471647703270738</v>
      </c>
      <c r="L14" s="7" t="n">
        <v>1.521901251443709</v>
      </c>
      <c r="M14" s="14" t="n">
        <v>0.2890303898251606</v>
      </c>
      <c r="N14" s="7" t="n">
        <v>2.601919627542919</v>
      </c>
      <c r="O14" s="14" t="n">
        <v>0.215509732675238</v>
      </c>
      <c r="P14" s="7" t="n">
        <v>1.709650757613006</v>
      </c>
      <c r="W14" s="117">
        <f>V12+I14/3</f>
        <v/>
      </c>
      <c r="X14" s="117">
        <f>V12+I14/5</f>
        <v/>
      </c>
      <c r="Y14" s="117" t="n"/>
      <c r="AA14" s="117" t="n"/>
    </row>
    <row r="15">
      <c r="B15" t="inlineStr">
        <is>
          <t>pb equal</t>
        </is>
      </c>
      <c r="C15" s="165" t="n">
        <v>2.262417130991166</v>
      </c>
      <c r="D15" s="90" t="n">
        <v>1.609797353500354</v>
      </c>
      <c r="E15" s="12" t="n">
        <v>0.2884612959082834</v>
      </c>
      <c r="F15" s="90" t="n">
        <v>6.334467583148016</v>
      </c>
      <c r="G15" s="12" t="n">
        <v>1.79986722889288</v>
      </c>
      <c r="H15" s="12" t="n">
        <v>-0.1080568959327105</v>
      </c>
      <c r="I15" s="12" t="n">
        <v>0.008016854433698262</v>
      </c>
      <c r="J15" s="12" t="n">
        <v>0.4301203741056052</v>
      </c>
      <c r="K15" s="90" t="n">
        <v>3.934947196536451</v>
      </c>
      <c r="L15" s="7" t="n">
        <v>1.609797353500354</v>
      </c>
      <c r="M15" s="14" t="n">
        <v>0.2884612959082834</v>
      </c>
      <c r="N15" s="7" t="n">
        <v>2.665954081509352</v>
      </c>
      <c r="O15" s="14" t="n">
        <v>0.1783654061801574</v>
      </c>
      <c r="P15" s="7" t="n">
        <v>1.656080546854226</v>
      </c>
      <c r="W15" s="117">
        <f>V13+I15/3</f>
        <v/>
      </c>
      <c r="X15" s="117">
        <f>V13+I15/5</f>
        <v/>
      </c>
      <c r="Y15" s="117" t="n"/>
      <c r="AA15" s="117" t="n"/>
    </row>
    <row r="16">
      <c r="C16" s="101" t="n"/>
      <c r="D16" s="90" t="n"/>
      <c r="F16" s="90" t="n"/>
      <c r="K16" s="90" t="n"/>
      <c r="L16" s="7" t="n"/>
      <c r="N16" s="7" t="n"/>
      <c r="P16" s="7" t="n"/>
      <c r="AA16" s="117" t="n"/>
    </row>
    <row customHeight="1" ht="17" r="17" s="155">
      <c r="A17" s="18" t="inlineStr">
        <is>
          <t>可选消费</t>
        </is>
      </c>
      <c r="B17" t="inlineStr">
        <is>
          <t>pe weighted</t>
        </is>
      </c>
      <c r="C17" s="166" t="n">
        <v>44.26880736565569</v>
      </c>
      <c r="D17" s="90" t="n">
        <v>14.92681696460589</v>
      </c>
      <c r="E17" s="12" t="n">
        <v>0.6628141155619587</v>
      </c>
      <c r="F17" s="90" t="n">
        <v>73.5495262239112</v>
      </c>
      <c r="G17" s="12" t="n">
        <v>0.661430036196816</v>
      </c>
      <c r="H17" s="12" t="n">
        <v>-0.5189578947184633</v>
      </c>
      <c r="I17" s="12" t="n">
        <v>-0.335261606590918</v>
      </c>
      <c r="J17" s="12" t="n">
        <v>-0.09582699664734606</v>
      </c>
      <c r="K17" s="90" t="n">
        <v>4.927341602587482</v>
      </c>
      <c r="L17" s="7" t="n">
        <v>14.92681696460589</v>
      </c>
      <c r="M17" s="14" t="n">
        <v>0.6628141155619587</v>
      </c>
      <c r="N17" s="7" t="n">
        <v>73.5495262239112</v>
      </c>
      <c r="O17" s="14" t="n">
        <v>0.661430036196816</v>
      </c>
      <c r="P17" s="7" t="n">
        <v>4.927341602587482</v>
      </c>
      <c r="Q17" s="99" t="n">
        <v>0.05203674863044138</v>
      </c>
      <c r="R17" s="99" t="n">
        <v>-0.00309247090693609</v>
      </c>
      <c r="S17" s="99" t="n">
        <v>0.01600800944437828</v>
      </c>
      <c r="U17" s="117">
        <f>C17*S17</f>
        <v/>
      </c>
      <c r="V17" s="117">
        <f>(1+S17)*Q17*(1-U17)+S17</f>
        <v/>
      </c>
      <c r="W17" s="36">
        <f>V17+I17/3</f>
        <v/>
      </c>
      <c r="X17" s="117">
        <f>V17+I17/5</f>
        <v/>
      </c>
      <c r="Y17" s="117" t="n"/>
      <c r="AA17" s="36" t="n"/>
    </row>
    <row r="18">
      <c r="A18" t="inlineStr">
        <is>
          <t>C04</t>
        </is>
      </c>
      <c r="B18" t="inlineStr">
        <is>
          <t>pe equal</t>
        </is>
      </c>
      <c r="C18" s="167" t="n">
        <v>-683.8679597243043</v>
      </c>
      <c r="D18" s="90" t="n">
        <v>25.16497857449182</v>
      </c>
      <c r="E18" s="12" t="n">
        <v>1.036798007885377</v>
      </c>
      <c r="F18" s="90" t="n">
        <v>-12.38778409200673</v>
      </c>
      <c r="G18" s="12" t="n">
        <v>-0.981885707736621</v>
      </c>
      <c r="H18" s="12" t="n">
        <v>-1.050483767783708</v>
      </c>
      <c r="I18" s="12" t="n">
        <v>-1.080858948658853</v>
      </c>
      <c r="J18" s="12" t="n">
        <v>-0.9334548730173862</v>
      </c>
      <c r="K18" s="90" t="n">
        <v>-0.4922628507446244</v>
      </c>
      <c r="L18" s="7" t="n">
        <v>28.80869176677295</v>
      </c>
      <c r="M18" s="14" t="n">
        <v>1.042126102498481</v>
      </c>
      <c r="N18" s="7" t="n">
        <v>-12.38778409200673</v>
      </c>
      <c r="O18" s="14" t="n">
        <v>-0.981885707736621</v>
      </c>
      <c r="P18" s="7" t="n">
        <v>-0.4300016186883717</v>
      </c>
      <c r="S18" s="99" t="n">
        <v>0.011946815238499</v>
      </c>
      <c r="U18" s="117">
        <f>C18*S18</f>
        <v/>
      </c>
      <c r="V18" s="117">
        <f>(1+S18)*R17*(1-U18)+S18</f>
        <v/>
      </c>
      <c r="W18" s="117">
        <f>V18+I18/3</f>
        <v/>
      </c>
      <c r="X18" s="117">
        <f>V18+I18/5</f>
        <v/>
      </c>
      <c r="Y18" s="117" t="n"/>
      <c r="AA18" s="117" t="n"/>
    </row>
    <row r="19">
      <c r="A19" s="17" t="n">
        <v>40879</v>
      </c>
      <c r="B19" t="inlineStr">
        <is>
          <t>pb weighted</t>
        </is>
      </c>
      <c r="C19" s="165" t="n">
        <v>2.303604801056057</v>
      </c>
      <c r="D19" s="90" t="n">
        <v>1.656190442023588</v>
      </c>
      <c r="E19" s="12" t="n">
        <v>0.2810440222800676</v>
      </c>
      <c r="F19" s="90" t="n">
        <v>5.572661011551707</v>
      </c>
      <c r="G19" s="12" t="n">
        <v>1.419104617683118</v>
      </c>
      <c r="H19" s="12" t="n">
        <v>-0.07737069771161675</v>
      </c>
      <c r="I19" s="12" t="n">
        <v>0.1197449721562043</v>
      </c>
      <c r="J19" s="12" t="n">
        <v>0.3358468142800062</v>
      </c>
      <c r="K19" s="90" t="n">
        <v>3.36474651112154</v>
      </c>
      <c r="L19" s="7" t="n">
        <v>1.656190442023588</v>
      </c>
      <c r="M19" s="14" t="n">
        <v>0.2810440222800676</v>
      </c>
      <c r="N19" s="7" t="n">
        <v>2.930873521277744</v>
      </c>
      <c r="O19" s="14" t="n">
        <v>0.2722987553829217</v>
      </c>
      <c r="P19" s="7" t="n">
        <v>1.769647648549829</v>
      </c>
      <c r="W19" s="117">
        <f>V17+I19/3</f>
        <v/>
      </c>
      <c r="X19" s="117">
        <f>V17+I19/5</f>
        <v/>
      </c>
      <c r="Y19" s="117" t="n"/>
      <c r="AA19" s="117" t="n"/>
    </row>
    <row r="20">
      <c r="B20" t="inlineStr">
        <is>
          <t>pb equal</t>
        </is>
      </c>
      <c r="C20" s="165" t="n">
        <v>2.114841769633153</v>
      </c>
      <c r="D20" s="90" t="n">
        <v>1.516131684190487</v>
      </c>
      <c r="E20" s="12" t="n">
        <v>0.2830992342025285</v>
      </c>
      <c r="F20" s="90" t="n">
        <v>6.314915285546578</v>
      </c>
      <c r="G20" s="12" t="n">
        <v>1.985998941491488</v>
      </c>
      <c r="H20" s="12" t="n">
        <v>-0.0832858049748515</v>
      </c>
      <c r="I20" s="12" t="n">
        <v>0.06638348210123612</v>
      </c>
      <c r="J20" s="12" t="n">
        <v>0.607063460059666</v>
      </c>
      <c r="K20" s="90" t="n">
        <v>4.165149605008303</v>
      </c>
      <c r="L20" s="7" t="n">
        <v>1.516131684190487</v>
      </c>
      <c r="M20" s="14" t="n">
        <v>0.2830992342025285</v>
      </c>
      <c r="N20" s="7" t="n">
        <v>2.597184869465042</v>
      </c>
      <c r="O20" s="14" t="n">
        <v>0.2280752663191241</v>
      </c>
      <c r="P20" s="7" t="n">
        <v>1.713033832448245</v>
      </c>
      <c r="W20" s="117">
        <f>V18+I20/3</f>
        <v/>
      </c>
      <c r="X20" s="117">
        <f>V18+I20/5</f>
        <v/>
      </c>
      <c r="Y20" s="117" t="n"/>
      <c r="AA20" s="117" t="n"/>
    </row>
    <row r="21">
      <c r="C21" s="101" t="n"/>
      <c r="D21" s="90" t="n"/>
      <c r="F21" s="90" t="n"/>
      <c r="K21" s="90" t="n"/>
      <c r="L21" s="7" t="n"/>
      <c r="N21" s="7" t="n"/>
      <c r="P21" s="7" t="n"/>
      <c r="AA21" s="117" t="n"/>
    </row>
    <row customHeight="1" ht="17" r="22" s="155">
      <c r="A22" s="11" t="inlineStr">
        <is>
          <t>主要消费</t>
        </is>
      </c>
      <c r="B22" t="inlineStr">
        <is>
          <t>pe weighted</t>
        </is>
      </c>
      <c r="C22" s="166" t="n">
        <v>47.70992056347013</v>
      </c>
      <c r="D22" s="90" t="n">
        <v>19.6707667292815</v>
      </c>
      <c r="E22" s="12" t="n">
        <v>0.5877007025590661</v>
      </c>
      <c r="F22" s="90" t="n">
        <v>76.53234447462533</v>
      </c>
      <c r="G22" s="12" t="n">
        <v>0.6041180444392429</v>
      </c>
      <c r="H22" s="12" t="n">
        <v>-0.4148690370340149</v>
      </c>
      <c r="I22" s="12" t="n">
        <v>-0.2671083508887715</v>
      </c>
      <c r="J22" s="12" t="n">
        <v>-0.1252570363052431</v>
      </c>
      <c r="K22" s="90" t="n">
        <v>3.890664025856239</v>
      </c>
      <c r="L22" s="7" t="n">
        <v>24.34659838967138</v>
      </c>
      <c r="M22" s="14" t="n">
        <v>0.4896952645879536</v>
      </c>
      <c r="N22" s="7" t="n">
        <v>76.53234447462533</v>
      </c>
      <c r="O22" s="14" t="n">
        <v>0.6041180444392429</v>
      </c>
      <c r="P22" s="7" t="n">
        <v>3.143451222618962</v>
      </c>
      <c r="Q22" s="99" t="n">
        <v>0.1180474898418434</v>
      </c>
      <c r="R22" s="99" t="n">
        <v>-0.001013294895826246</v>
      </c>
      <c r="S22" s="99" t="n">
        <v>0.01475979145441579</v>
      </c>
      <c r="U22" s="117">
        <f>C22*S22</f>
        <v/>
      </c>
      <c r="V22" s="117">
        <f>(1+S22)*Q22*(1-U22)+S22</f>
        <v/>
      </c>
      <c r="W22" s="117">
        <f>V22+I22/3</f>
        <v/>
      </c>
      <c r="X22" s="117">
        <f>V22+I22/5</f>
        <v/>
      </c>
      <c r="Y22" s="117" t="n"/>
      <c r="AA22" s="117" t="n"/>
    </row>
    <row r="23">
      <c r="A23" t="inlineStr">
        <is>
          <t>C05</t>
        </is>
      </c>
      <c r="B23" t="inlineStr">
        <is>
          <t>pe equal</t>
        </is>
      </c>
      <c r="C23" s="167" t="n">
        <v>-2954.704606969915</v>
      </c>
      <c r="D23" s="90" t="n">
        <v>37.8919691400549</v>
      </c>
      <c r="E23" s="12" t="n">
        <v>1.012824283365136</v>
      </c>
      <c r="F23" s="90" t="n">
        <v>-18.04066373780624</v>
      </c>
      <c r="G23" s="12" t="n">
        <v>-0.9938942580942779</v>
      </c>
      <c r="H23" s="12" t="n">
        <v>-1.019947453903509</v>
      </c>
      <c r="I23" s="12" t="n">
        <v>-1.034451849353</v>
      </c>
      <c r="J23" s="12" t="n">
        <v>-0.9236256165446245</v>
      </c>
      <c r="K23" s="90" t="n">
        <v>-0.4761078441483208</v>
      </c>
      <c r="L23" s="7" t="n">
        <v>55.14213686616289</v>
      </c>
      <c r="M23" s="14" t="n">
        <v>1.018662487186058</v>
      </c>
      <c r="N23" s="7" t="n">
        <v>-18.04066373780624</v>
      </c>
      <c r="O23" s="14" t="n">
        <v>-0.9938942580942779</v>
      </c>
      <c r="P23" s="7" t="n">
        <v>-0.3271665692171717</v>
      </c>
      <c r="S23" s="99" t="n">
        <v>0.007873814473426438</v>
      </c>
      <c r="U23" s="117">
        <f>C23*S23</f>
        <v/>
      </c>
      <c r="V23" s="117">
        <f>(1+S23)*R22*(1-U23)+S23</f>
        <v/>
      </c>
      <c r="W23" s="117">
        <f>V23+I23/3</f>
        <v/>
      </c>
      <c r="X23" s="117">
        <f>V23+I23/5</f>
        <v/>
      </c>
      <c r="Y23" s="117" t="n"/>
      <c r="AA23" s="117" t="n"/>
    </row>
    <row r="24">
      <c r="A24" s="17" t="n">
        <v>40879</v>
      </c>
      <c r="B24" t="inlineStr">
        <is>
          <t>pb weighted</t>
        </is>
      </c>
      <c r="C24" s="168" t="n">
        <v>5.632036363071394</v>
      </c>
      <c r="D24" s="90" t="n">
        <v>2.777328641890928</v>
      </c>
      <c r="E24" s="12" t="n">
        <v>0.5068695472029356</v>
      </c>
      <c r="F24" s="90" t="n">
        <v>9.079384970822332</v>
      </c>
      <c r="G24" s="12" t="n">
        <v>0.61209629794914</v>
      </c>
      <c r="H24" s="12" t="n">
        <v>-0.3522235491800711</v>
      </c>
      <c r="I24" s="12" t="n">
        <v>-0.194991901826127</v>
      </c>
      <c r="J24" s="12" t="n">
        <v>0.03419470295288507</v>
      </c>
      <c r="K24" s="90" t="n">
        <v>3.269107167900982</v>
      </c>
      <c r="L24" s="7" t="n">
        <v>3.260081833831626</v>
      </c>
      <c r="M24" s="14" t="n">
        <v>0.4211539798983539</v>
      </c>
      <c r="N24" s="7" t="n">
        <v>9.079384970822332</v>
      </c>
      <c r="O24" s="14" t="n">
        <v>0.61209629794914</v>
      </c>
      <c r="P24" s="7" t="n">
        <v>2.785017503732778</v>
      </c>
      <c r="W24" s="117">
        <f>V22+I24/3</f>
        <v/>
      </c>
      <c r="X24" s="117">
        <f>V22+I24/5</f>
        <v/>
      </c>
      <c r="Y24" s="117" t="n"/>
      <c r="AA24" s="117" t="n"/>
    </row>
    <row r="25">
      <c r="B25" t="inlineStr">
        <is>
          <t>pb equal</t>
        </is>
      </c>
      <c r="C25" s="168" t="n">
        <v>2.993987096916909</v>
      </c>
      <c r="D25" s="90" t="n">
        <v>2.043008817830952</v>
      </c>
      <c r="E25" s="12" t="n">
        <v>0.3176293845972942</v>
      </c>
      <c r="F25" s="90" t="n">
        <v>6.644208187020987</v>
      </c>
      <c r="G25" s="12" t="n">
        <v>1.219183975062195</v>
      </c>
      <c r="H25" s="12" t="n">
        <v>-0.09661994579521838</v>
      </c>
      <c r="I25" s="12" t="n">
        <v>-0.01633840452124813</v>
      </c>
      <c r="J25" s="12" t="n">
        <v>0.2077616835485652</v>
      </c>
      <c r="K25" s="90" t="n">
        <v>3.252168139966765</v>
      </c>
      <c r="L25" s="7" t="n">
        <v>2.043008817830952</v>
      </c>
      <c r="M25" s="14" t="n">
        <v>0.3176293845972942</v>
      </c>
      <c r="N25" s="7" t="n">
        <v>3.39329445542843</v>
      </c>
      <c r="O25" s="14" t="n">
        <v>0.1333697659962236</v>
      </c>
      <c r="P25" s="7" t="n">
        <v>1.660929911712798</v>
      </c>
      <c r="W25" s="117">
        <f>V23+I25/3</f>
        <v/>
      </c>
      <c r="X25" s="117">
        <f>V23+I25/5</f>
        <v/>
      </c>
      <c r="Y25" s="117" t="n"/>
      <c r="AA25" s="117" t="n"/>
    </row>
    <row r="26">
      <c r="C26" s="101" t="n"/>
      <c r="D26" s="90" t="n"/>
      <c r="F26" s="90" t="n"/>
      <c r="K26" s="90" t="n"/>
      <c r="L26" s="7" t="n"/>
      <c r="N26" s="7" t="n"/>
      <c r="P26" s="7" t="n"/>
      <c r="AA26" s="117" t="n"/>
    </row>
    <row customHeight="1" ht="17" r="27" s="155">
      <c r="A27" s="18" t="inlineStr">
        <is>
          <t>医药卫生</t>
        </is>
      </c>
      <c r="B27" t="inlineStr">
        <is>
          <t>pe weighted</t>
        </is>
      </c>
      <c r="C27" s="167" t="n">
        <v>36.43508932694873</v>
      </c>
      <c r="D27" s="90" t="n">
        <v>25.81480697027107</v>
      </c>
      <c r="E27" s="12" t="n">
        <v>0.2914850094472666</v>
      </c>
      <c r="F27" s="90" t="n">
        <v>86.26171585443785</v>
      </c>
      <c r="G27" s="12" t="n">
        <v>1.367545062957634</v>
      </c>
      <c r="H27" s="12" t="n">
        <v>0.003534591763276085</v>
      </c>
      <c r="I27" s="12" t="n">
        <v>0.1110758087907502</v>
      </c>
      <c r="J27" s="12" t="n">
        <v>0.3561530971436617</v>
      </c>
      <c r="K27" s="90" t="n">
        <v>3.341559592282787</v>
      </c>
      <c r="L27" s="7" t="n">
        <v>25.81480697027107</v>
      </c>
      <c r="M27" s="14" t="n">
        <v>0.2914850094472666</v>
      </c>
      <c r="N27" s="7" t="n">
        <v>86.26171585443785</v>
      </c>
      <c r="O27" s="14" t="n">
        <v>1.367545062957634</v>
      </c>
      <c r="P27" s="7" t="n">
        <v>3.341559592282787</v>
      </c>
      <c r="Q27" s="99" t="n">
        <v>0.103109128690942</v>
      </c>
      <c r="R27" s="99" t="n">
        <v>0.0372606966573969</v>
      </c>
      <c r="S27" s="99" t="n">
        <v>0.008730288246256036</v>
      </c>
      <c r="U27" s="117">
        <f>C27*S27</f>
        <v/>
      </c>
      <c r="V27" s="117">
        <f>(1+S27)*Q27*(1-U27)+S27</f>
        <v/>
      </c>
      <c r="W27" s="117">
        <f>V27+I27/3</f>
        <v/>
      </c>
      <c r="X27" s="117">
        <f>V27+I27/5</f>
        <v/>
      </c>
      <c r="Y27" s="117" t="n"/>
      <c r="AA27" s="117" t="n"/>
    </row>
    <row r="28">
      <c r="A28" t="inlineStr">
        <is>
          <t>C06</t>
        </is>
      </c>
      <c r="B28" t="inlineStr">
        <is>
          <t>pe equal</t>
        </is>
      </c>
      <c r="C28" s="166" t="n">
        <v>75.53025577783703</v>
      </c>
      <c r="D28" s="90" t="n">
        <v>25.94744077534228</v>
      </c>
      <c r="E28" s="12" t="n">
        <v>0.6564629563593232</v>
      </c>
      <c r="F28" s="90" t="n">
        <v>1311.767908154583</v>
      </c>
      <c r="G28" s="12" t="n">
        <v>16.36744956899109</v>
      </c>
      <c r="H28" s="12" t="n">
        <v>-0.4265442382907921</v>
      </c>
      <c r="I28" s="12" t="n">
        <v>-0.3157001427906774</v>
      </c>
      <c r="J28" s="12" t="n">
        <v>-0.116716119197537</v>
      </c>
      <c r="K28" s="90" t="n">
        <v>50.55480883498726</v>
      </c>
      <c r="L28" s="7" t="n">
        <v>25.94744077534228</v>
      </c>
      <c r="M28" s="14" t="n">
        <v>0.6564629563593232</v>
      </c>
      <c r="N28" s="7" t="n">
        <v>1311.767908154583</v>
      </c>
      <c r="O28" s="14" t="n">
        <v>16.36744956899109</v>
      </c>
      <c r="P28" s="7" t="n">
        <v>50.55480883498726</v>
      </c>
      <c r="S28" s="99" t="n">
        <v>0.009742956460450333</v>
      </c>
      <c r="U28" s="117">
        <f>C28*S28</f>
        <v/>
      </c>
      <c r="V28" s="117">
        <f>(1+S28)*R27*(1-U28)+S28</f>
        <v/>
      </c>
      <c r="W28" s="117">
        <f>V28+I28/3</f>
        <v/>
      </c>
      <c r="X28" s="117">
        <f>V28+I28/5</f>
        <v/>
      </c>
      <c r="Y28" s="117" t="n"/>
      <c r="AA28" s="117" t="n"/>
    </row>
    <row r="29">
      <c r="A29" s="17" t="n">
        <v>40879</v>
      </c>
      <c r="B29" t="inlineStr">
        <is>
          <t>pb weighted</t>
        </is>
      </c>
      <c r="C29" s="167" t="n">
        <v>3.756790314278322</v>
      </c>
      <c r="D29" s="90" t="n">
        <v>2.965249089062951</v>
      </c>
      <c r="E29" s="12" t="n">
        <v>0.2106961419185371</v>
      </c>
      <c r="F29" s="90" t="n">
        <v>8.517420785496144</v>
      </c>
      <c r="G29" s="12" t="n">
        <v>1.26720686356229</v>
      </c>
      <c r="H29" s="12" t="n">
        <v>0.02170395970032057</v>
      </c>
      <c r="I29" s="12" t="n">
        <v>0.1878356192179873</v>
      </c>
      <c r="J29" s="12" t="n">
        <v>0.3534009731756262</v>
      </c>
      <c r="K29" s="90" t="n">
        <v>2.872413254222679</v>
      </c>
      <c r="L29" s="7" t="n">
        <v>2.965249089062951</v>
      </c>
      <c r="M29" s="14" t="n">
        <v>0.2106961419185371</v>
      </c>
      <c r="N29" s="7" t="n">
        <v>6.430394653659674</v>
      </c>
      <c r="O29" s="14" t="n">
        <v>0.7116724958589951</v>
      </c>
      <c r="P29" s="7" t="n">
        <v>2.168584985786723</v>
      </c>
      <c r="W29" s="117">
        <f>V27+I29/3</f>
        <v/>
      </c>
      <c r="X29" s="117">
        <f>V27+I29/5</f>
        <v/>
      </c>
      <c r="Y29" s="117" t="n"/>
      <c r="AA29" s="117" t="n"/>
    </row>
    <row r="30">
      <c r="B30" t="inlineStr">
        <is>
          <t>pb equal</t>
        </is>
      </c>
      <c r="C30" s="165" t="n">
        <v>2.814309948993585</v>
      </c>
      <c r="D30" s="90" t="n">
        <v>2.143631790491956</v>
      </c>
      <c r="E30" s="12" t="n">
        <v>0.2383099838528686</v>
      </c>
      <c r="F30" s="90" t="n">
        <v>8.570628505439908</v>
      </c>
      <c r="G30" s="12" t="n">
        <v>2.045374767091598</v>
      </c>
      <c r="H30" s="12" t="n">
        <v>-0.05468865010592905</v>
      </c>
      <c r="I30" s="12" t="n">
        <v>0.274174965034037</v>
      </c>
      <c r="J30" s="12" t="n">
        <v>0.5982748204858057</v>
      </c>
      <c r="K30" s="90" t="n">
        <v>3.998181284423374</v>
      </c>
      <c r="L30" s="7" t="n">
        <v>2.143631790491956</v>
      </c>
      <c r="M30" s="14" t="n">
        <v>0.2383099838528686</v>
      </c>
      <c r="N30" s="7" t="n">
        <v>3.767653760751897</v>
      </c>
      <c r="O30" s="14" t="n">
        <v>0.3387486911664557</v>
      </c>
      <c r="P30" s="7" t="n">
        <v>1.757603044265001</v>
      </c>
      <c r="W30" s="117">
        <f>V28+I30/3</f>
        <v/>
      </c>
      <c r="X30" s="117">
        <f>V28+I30/5</f>
        <v/>
      </c>
      <c r="Y30" s="117" t="n"/>
      <c r="AA30" s="117" t="n"/>
    </row>
    <row r="31">
      <c r="C31" s="101" t="n"/>
      <c r="D31" s="90" t="n"/>
      <c r="F31" s="90" t="n"/>
      <c r="K31" s="90" t="n"/>
      <c r="L31" s="7" t="n"/>
      <c r="N31" s="7" t="n"/>
      <c r="P31" s="7" t="n"/>
      <c r="AA31" s="117" t="n"/>
    </row>
    <row customHeight="1" ht="17" r="32" s="155">
      <c r="A32" s="18" t="inlineStr">
        <is>
          <t>金融</t>
        </is>
      </c>
      <c r="B32" t="inlineStr">
        <is>
          <t>pe weighted</t>
        </is>
      </c>
      <c r="C32" s="167" t="n">
        <v>6.375271934663977</v>
      </c>
      <c r="D32" s="90" t="n">
        <v>5.453075923193579</v>
      </c>
      <c r="E32" s="12" t="n">
        <v>0.1446520275403756</v>
      </c>
      <c r="F32" s="90" t="n">
        <v>12.41190460625756</v>
      </c>
      <c r="G32" s="12" t="n">
        <v>0.9468823814041367</v>
      </c>
      <c r="H32" s="12" t="n">
        <v>0.0647304584092907</v>
      </c>
      <c r="I32" s="12" t="n">
        <v>0.3117749643763685</v>
      </c>
      <c r="J32" s="59" t="n">
        <v>0.4747793098142379</v>
      </c>
      <c r="K32" s="90" t="n">
        <v>2.276129065701429</v>
      </c>
      <c r="L32" s="7" t="n">
        <v>5.632720896831532</v>
      </c>
      <c r="M32" s="14" t="n">
        <v>0.1164736258221404</v>
      </c>
      <c r="N32" s="7" t="n">
        <v>10.77986451963192</v>
      </c>
      <c r="O32" s="14" t="n">
        <v>0.6908870131514</v>
      </c>
      <c r="P32" s="7" t="n">
        <v>1.913793478689085</v>
      </c>
      <c r="Q32" s="99" t="n">
        <v>0.1094684502387401</v>
      </c>
      <c r="R32" s="99" t="n">
        <v>0.05932218271254388</v>
      </c>
      <c r="S32" s="99" t="n">
        <v>0.04610986415328804</v>
      </c>
      <c r="U32" s="117">
        <f>C32*S32</f>
        <v/>
      </c>
      <c r="V32" s="117">
        <f>(1+S32)*Q32*(1-U32)+S32</f>
        <v/>
      </c>
      <c r="W32" s="117">
        <f>V32+I32/3</f>
        <v/>
      </c>
      <c r="X32" s="117">
        <f>V32+I32/5</f>
        <v/>
      </c>
      <c r="Y32" s="117" t="n"/>
      <c r="AA32" s="117" t="n"/>
    </row>
    <row r="33">
      <c r="A33" t="inlineStr">
        <is>
          <t>C07</t>
        </is>
      </c>
      <c r="B33" t="inlineStr">
        <is>
          <t>pe equal</t>
        </is>
      </c>
      <c r="C33" s="165" t="n">
        <v>15.75834634455694</v>
      </c>
      <c r="D33" s="90" t="n">
        <v>8.969507659437211</v>
      </c>
      <c r="E33" s="12" t="n">
        <v>0.4308090796255821</v>
      </c>
      <c r="F33" s="90" t="n">
        <v>56.14227954419591</v>
      </c>
      <c r="G33" s="12" t="n">
        <v>2.562701207134459</v>
      </c>
      <c r="H33" s="12" t="n">
        <v>-0.04246404935084913</v>
      </c>
      <c r="I33" s="12" t="n">
        <v>0.1606712298311539</v>
      </c>
      <c r="J33" s="12" t="n">
        <v>0.6370520008686598</v>
      </c>
      <c r="K33" s="90" t="n">
        <v>6.259237594287147</v>
      </c>
      <c r="L33" s="7" t="n">
        <v>8.969507659437211</v>
      </c>
      <c r="M33" s="14" t="n">
        <v>0.4308090796255821</v>
      </c>
      <c r="N33" s="7" t="n">
        <v>56.14227954419591</v>
      </c>
      <c r="O33" s="14" t="n">
        <v>2.562701207134459</v>
      </c>
      <c r="P33" s="7" t="n">
        <v>6.259237594287147</v>
      </c>
      <c r="S33" s="99" t="n">
        <v>0.02570108083960894</v>
      </c>
      <c r="U33" s="117">
        <f>C33*S33</f>
        <v/>
      </c>
      <c r="V33" s="117">
        <f>(1+S33)*R32*(1-U33)+S33</f>
        <v/>
      </c>
      <c r="W33" s="117">
        <f>V33+I33/3</f>
        <v/>
      </c>
      <c r="X33" s="117">
        <f>V33+I33/5</f>
        <v/>
      </c>
      <c r="Y33" s="117" t="n"/>
      <c r="AA33" s="117" t="n"/>
    </row>
    <row r="34">
      <c r="A34" s="17" t="n">
        <v>40879</v>
      </c>
      <c r="B34" t="inlineStr">
        <is>
          <t>pb weighted</t>
        </is>
      </c>
      <c r="C34" s="167" t="n">
        <v>0.6978911385382001</v>
      </c>
      <c r="D34" s="90" t="n">
        <v>0.6168291689117931</v>
      </c>
      <c r="E34" s="12" t="n">
        <v>0.1161527423835744</v>
      </c>
      <c r="F34" s="90" t="n">
        <v>1.979818157696703</v>
      </c>
      <c r="G34" s="12" t="n">
        <v>1.836858140717508</v>
      </c>
      <c r="H34" s="12" t="n">
        <v>0.3534129776389776</v>
      </c>
      <c r="I34" s="12" t="n">
        <v>0.5897162145893875</v>
      </c>
      <c r="J34" s="12" t="n">
        <v>0.8672770184468725</v>
      </c>
      <c r="K34" s="90" t="n">
        <v>3.209670128261749</v>
      </c>
      <c r="L34" s="7" t="n">
        <v>0.6168291689117931</v>
      </c>
      <c r="M34" s="14" t="n">
        <v>0.1161527423835744</v>
      </c>
      <c r="N34" s="7" t="n">
        <v>1.387111488089283</v>
      </c>
      <c r="O34" s="14" t="n">
        <v>0.9875757284935887</v>
      </c>
      <c r="P34" s="7" t="n">
        <v>2.248777389267142</v>
      </c>
      <c r="W34" s="117">
        <f>V32+I34/3</f>
        <v/>
      </c>
      <c r="X34" s="117">
        <f>V32+I34/5</f>
        <v/>
      </c>
      <c r="Y34" s="117" t="n"/>
      <c r="AA34" s="117" t="n"/>
    </row>
    <row r="35">
      <c r="B35" t="inlineStr">
        <is>
          <t>pb equal</t>
        </is>
      </c>
      <c r="C35" s="167" t="n">
        <v>0.934819501099355</v>
      </c>
      <c r="D35" s="90" t="n">
        <v>0.8363839002794076</v>
      </c>
      <c r="E35" s="12" t="n">
        <v>0.1052990451142561</v>
      </c>
      <c r="F35" s="90" t="n">
        <v>4.105395097952236</v>
      </c>
      <c r="G35" s="12" t="n">
        <v>3.391644689829705</v>
      </c>
      <c r="H35" s="12" t="n">
        <v>0.29386894016289</v>
      </c>
      <c r="I35" s="12" t="n">
        <v>0.5891316036615388</v>
      </c>
      <c r="J35" s="12" t="n">
        <v>1.339112800514303</v>
      </c>
      <c r="K35" s="90" t="n">
        <v>4.908505647443432</v>
      </c>
      <c r="L35" s="7" t="n">
        <v>0.8363839002794076</v>
      </c>
      <c r="M35" s="14" t="n">
        <v>0.1052990451142561</v>
      </c>
      <c r="N35" s="7" t="n">
        <v>1.788238578529846</v>
      </c>
      <c r="O35" s="14" t="n">
        <v>0.9129239135756839</v>
      </c>
      <c r="P35" s="7" t="n">
        <v>2.138059541715779</v>
      </c>
      <c r="W35" s="117">
        <f>V33+I35/3</f>
        <v/>
      </c>
      <c r="X35" s="117">
        <f>V33+I35/5</f>
        <v/>
      </c>
      <c r="Y35" s="117" t="n"/>
      <c r="AA35" s="117" t="n"/>
    </row>
    <row r="36">
      <c r="C36" s="101" t="n"/>
      <c r="D36" s="90" t="n"/>
      <c r="F36" s="90" t="n"/>
      <c r="K36" s="90" t="n"/>
      <c r="L36" s="7" t="n"/>
      <c r="N36" s="7" t="n"/>
      <c r="P36" s="7" t="n"/>
      <c r="AA36" s="117" t="n"/>
    </row>
    <row customHeight="1" ht="17" r="37" s="155">
      <c r="A37" s="18" t="inlineStr">
        <is>
          <t>信息技术</t>
        </is>
      </c>
      <c r="B37" t="inlineStr">
        <is>
          <t>pe weighted</t>
        </is>
      </c>
      <c r="C37" s="165" t="n">
        <v>50.3910339869372</v>
      </c>
      <c r="D37" s="90" t="n">
        <v>33.86236931943768</v>
      </c>
      <c r="E37" s="12" t="n">
        <v>0.3280080474590822</v>
      </c>
      <c r="F37" s="90" t="n">
        <v>164.6618380493311</v>
      </c>
      <c r="G37" s="12" t="n">
        <v>2.267681272267924</v>
      </c>
      <c r="H37" s="12" t="n">
        <v>-0.02570760515427661</v>
      </c>
      <c r="I37" s="12" t="n">
        <v>0.2091272002026199</v>
      </c>
      <c r="J37" s="12" t="n">
        <v>0.6941684670826174</v>
      </c>
      <c r="K37" s="90" t="n">
        <v>4.86267917333274</v>
      </c>
      <c r="L37" s="7" t="n">
        <v>33.86236931943768</v>
      </c>
      <c r="M37" s="14" t="n">
        <v>0.3280080474590822</v>
      </c>
      <c r="N37" s="7" t="n">
        <v>164.6618380493311</v>
      </c>
      <c r="O37" s="14" t="n">
        <v>2.267681272267924</v>
      </c>
      <c r="P37" s="7" t="n">
        <v>4.86267917333274</v>
      </c>
      <c r="Q37" s="99" t="n">
        <v>0.06914642439181133</v>
      </c>
      <c r="R37" s="99" t="n">
        <v>0.01269146085982407</v>
      </c>
      <c r="S37" s="99" t="n">
        <v>0.007519331812332119</v>
      </c>
      <c r="U37" s="117">
        <f>C37*S37</f>
        <v/>
      </c>
      <c r="V37" s="117">
        <f>(1+S37)*Q37*(1-U37)+S37</f>
        <v/>
      </c>
      <c r="W37" s="117">
        <f>V37+I37/3</f>
        <v/>
      </c>
      <c r="X37" s="117">
        <f>V37+I37/5</f>
        <v/>
      </c>
      <c r="Y37" s="117" t="n"/>
      <c r="AA37" s="117" t="n"/>
    </row>
    <row r="38">
      <c r="A38" t="inlineStr">
        <is>
          <t>C08</t>
        </is>
      </c>
      <c r="B38" t="inlineStr">
        <is>
          <t>pe equal</t>
        </is>
      </c>
      <c r="C38" s="166" t="n">
        <v>237.8600839014758</v>
      </c>
      <c r="D38" s="90" t="n">
        <v>45.76395522643095</v>
      </c>
      <c r="E38" s="12" t="n">
        <v>0.8076013659972184</v>
      </c>
      <c r="F38" s="90" t="n">
        <v>-17.46152305207284</v>
      </c>
      <c r="G38" s="12" t="n">
        <v>-1.073410900919826</v>
      </c>
      <c r="H38" s="12" t="n">
        <v>-0.6388338221692158</v>
      </c>
      <c r="I38" s="12" t="n">
        <v>-0.4270359623191672</v>
      </c>
      <c r="J38" s="12" t="n">
        <v>-1.253022914645691</v>
      </c>
      <c r="K38" s="90" t="n">
        <v>-0.3815562480488562</v>
      </c>
      <c r="L38" s="7" t="n">
        <v>53.82466586962614</v>
      </c>
      <c r="M38" s="14" t="n">
        <v>0.7737129114445243</v>
      </c>
      <c r="N38" s="7" t="n">
        <v>-17.46152305207284</v>
      </c>
      <c r="O38" s="14" t="n">
        <v>-1.073410900919826</v>
      </c>
      <c r="P38" s="7" t="n">
        <v>-0.3244148899013709</v>
      </c>
      <c r="S38" s="99" t="n">
        <v>0.005574137873359883</v>
      </c>
      <c r="U38" s="117">
        <f>C38*S38</f>
        <v/>
      </c>
      <c r="V38" s="117">
        <f>(1+S38)*R37*(1-U38)+S38</f>
        <v/>
      </c>
      <c r="W38" s="117">
        <f>V38+I38/3</f>
        <v/>
      </c>
      <c r="X38" s="117">
        <f>V38+I38/5</f>
        <v/>
      </c>
      <c r="Y38" s="117" t="n"/>
      <c r="AA38" s="117" t="n"/>
    </row>
    <row r="39">
      <c r="A39" s="17" t="n">
        <v>40879</v>
      </c>
      <c r="B39" t="inlineStr">
        <is>
          <t>pb weighted</t>
        </is>
      </c>
      <c r="C39" s="167" t="n">
        <v>3.484359821602948</v>
      </c>
      <c r="D39" s="90" t="n">
        <v>2.551726060066546</v>
      </c>
      <c r="E39" s="12" t="n">
        <v>0.267662873321548</v>
      </c>
      <c r="F39" s="90" t="n">
        <v>11.19620353852251</v>
      </c>
      <c r="G39" s="12" t="n">
        <v>2.213274205811441</v>
      </c>
      <c r="H39" s="12" t="n">
        <v>0.01415611670103867</v>
      </c>
      <c r="I39" s="12" t="n">
        <v>0.2323181426223937</v>
      </c>
      <c r="J39" s="12" t="n">
        <v>0.4351965907948456</v>
      </c>
      <c r="K39" s="90" t="n">
        <v>4.387698081599919</v>
      </c>
      <c r="L39" s="7" t="n">
        <v>2.551726060066546</v>
      </c>
      <c r="M39" s="14" t="n">
        <v>0.267662873321548</v>
      </c>
      <c r="N39" s="7" t="n">
        <v>5.881007525591285</v>
      </c>
      <c r="O39" s="14" t="n">
        <v>0.6878301400243394</v>
      </c>
      <c r="P39" s="7" t="n">
        <v>2.304717429361487</v>
      </c>
      <c r="W39" s="117">
        <f>V37+I39/3</f>
        <v/>
      </c>
      <c r="X39" s="117">
        <f>V37+I39/5</f>
        <v/>
      </c>
      <c r="Y39" s="117" t="n"/>
      <c r="AA39" s="117" t="n"/>
    </row>
    <row r="40">
      <c r="B40" t="inlineStr">
        <is>
          <t>pb equal</t>
        </is>
      </c>
      <c r="C40" s="165" t="n">
        <v>3.018791944950049</v>
      </c>
      <c r="D40" s="90" t="n">
        <v>2.14710247644048</v>
      </c>
      <c r="E40" s="12" t="n">
        <v>0.2887544038825746</v>
      </c>
      <c r="F40" s="90" t="n">
        <v>10.46845598570062</v>
      </c>
      <c r="G40" s="12" t="n">
        <v>2.467763322746589</v>
      </c>
      <c r="H40" s="12" t="n">
        <v>-0.002471383138324512</v>
      </c>
      <c r="I40" s="12" t="n">
        <v>0.1887335371810228</v>
      </c>
      <c r="J40" s="12" t="n">
        <v>0.6187725869570249</v>
      </c>
      <c r="K40" s="90" t="n">
        <v>4.87562009758169</v>
      </c>
      <c r="L40" s="7" t="n">
        <v>2.14710247644048</v>
      </c>
      <c r="M40" s="14" t="n">
        <v>0.2887544038825746</v>
      </c>
      <c r="N40" s="7" t="n">
        <v>4.511094636397435</v>
      </c>
      <c r="O40" s="14" t="n">
        <v>0.4943377081497011</v>
      </c>
      <c r="P40" s="7" t="n">
        <v>2.101015059083738</v>
      </c>
      <c r="W40" s="117">
        <f>V38+I40/3</f>
        <v/>
      </c>
      <c r="X40" s="117">
        <f>V38+I40/5</f>
        <v/>
      </c>
      <c r="Y40" s="117" t="n"/>
      <c r="AA40" s="117" t="n"/>
    </row>
    <row r="41">
      <c r="C41" s="101" t="n"/>
      <c r="D41" s="90" t="n"/>
      <c r="F41" s="90" t="n"/>
      <c r="K41" s="90" t="n"/>
      <c r="L41" s="7" t="n"/>
      <c r="N41" s="7" t="n"/>
      <c r="P41" s="7" t="n"/>
      <c r="AA41" s="117" t="n"/>
    </row>
    <row customHeight="1" ht="17" r="42" s="155">
      <c r="A42" s="11" t="inlineStr">
        <is>
          <t>电信业务</t>
        </is>
      </c>
      <c r="B42" t="inlineStr">
        <is>
          <t>pe weighted</t>
        </is>
      </c>
      <c r="C42" s="167" t="n">
        <v>19.24356287036789</v>
      </c>
      <c r="D42" s="90" t="n">
        <v>16.29327674893472</v>
      </c>
      <c r="E42" s="12" t="n">
        <v>0.1533128839657938</v>
      </c>
      <c r="F42" s="90" t="n">
        <v>-138.4453558419508</v>
      </c>
      <c r="G42" s="12" t="n">
        <v>-8.194372309045498</v>
      </c>
      <c r="H42" s="12" t="n">
        <v>1.662966399366982</v>
      </c>
      <c r="I42" s="12" t="n">
        <v>2.546002380515203</v>
      </c>
      <c r="J42" s="12" t="n">
        <v>3.74163361301898</v>
      </c>
      <c r="K42" s="90" t="n">
        <v>-8.497084900433094</v>
      </c>
      <c r="L42" s="7" t="n">
        <v>16.29327674893472</v>
      </c>
      <c r="M42" s="14" t="n">
        <v>0.1533128839657938</v>
      </c>
      <c r="N42" s="7" t="n">
        <v>-138.4453558419508</v>
      </c>
      <c r="O42" s="14" t="n">
        <v>-8.194372309045498</v>
      </c>
      <c r="P42" s="7" t="n">
        <v>-8.497084900433094</v>
      </c>
      <c r="Q42" s="99" t="n">
        <v>0.08102121059523404</v>
      </c>
      <c r="R42" s="99" t="n">
        <v>-0.1738944936193887</v>
      </c>
      <c r="S42" s="99" t="n">
        <v>0.03483021760273817</v>
      </c>
      <c r="U42" s="117">
        <f>C42*S42</f>
        <v/>
      </c>
      <c r="V42" s="117">
        <f>(1+S42)*Q42*(1-U42)+S42</f>
        <v/>
      </c>
      <c r="W42" s="117">
        <f>V42+I42/3</f>
        <v/>
      </c>
      <c r="X42" s="117">
        <f>V42+I42/5</f>
        <v/>
      </c>
      <c r="Y42" s="117" t="n"/>
      <c r="AA42" s="117" t="n"/>
    </row>
    <row r="43">
      <c r="A43" t="inlineStr">
        <is>
          <t>C09</t>
        </is>
      </c>
      <c r="B43" t="inlineStr">
        <is>
          <t>pe equal</t>
        </is>
      </c>
      <c r="C43" s="166" t="n">
        <v>-18.08201599341536</v>
      </c>
      <c r="D43" s="90" t="n">
        <v>42.18252641130469</v>
      </c>
      <c r="E43" s="12" t="n">
        <v>3.332844215305728</v>
      </c>
      <c r="F43" s="90" t="n">
        <v>-12.25338219316111</v>
      </c>
      <c r="G43" s="12" t="n">
        <v>-0.3223442453748948</v>
      </c>
      <c r="H43" s="12" t="n">
        <v>-5.898322206296168</v>
      </c>
      <c r="I43" s="12" t="n">
        <v>-9.997128697718749</v>
      </c>
      <c r="J43" s="12" t="n">
        <v>0.3794087257813121</v>
      </c>
      <c r="K43" s="90" t="n">
        <v>-0.2904847868447554</v>
      </c>
      <c r="L43" s="7" t="n">
        <v>94.17956994143593</v>
      </c>
      <c r="M43" s="14" t="n">
        <v>6.208466244899451</v>
      </c>
      <c r="N43" s="7" t="n">
        <v>-12.25338219316111</v>
      </c>
      <c r="O43" s="14" t="n">
        <v>-0.3223442453748948</v>
      </c>
      <c r="P43" s="7" t="n">
        <v>-0.1301065846953929</v>
      </c>
      <c r="S43" s="99" t="n">
        <v>0.004228751988091973</v>
      </c>
      <c r="U43" s="117">
        <f>C43*S43</f>
        <v/>
      </c>
      <c r="V43" s="117">
        <f>(1+S43)*R42*(1-U43)+S43</f>
        <v/>
      </c>
      <c r="W43" s="117">
        <f>V43+I43/3</f>
        <v/>
      </c>
      <c r="X43" s="117">
        <f>V43+I43/5</f>
        <v/>
      </c>
      <c r="Y43" s="117" t="n"/>
      <c r="AA43" s="117" t="n"/>
    </row>
    <row r="44">
      <c r="A44" s="17" t="n">
        <v>40879</v>
      </c>
      <c r="B44" t="inlineStr">
        <is>
          <t>pb weighted</t>
        </is>
      </c>
      <c r="C44" s="167" t="n">
        <v>1.559136759922703</v>
      </c>
      <c r="D44" s="90" t="n">
        <v>1.292087662856279</v>
      </c>
      <c r="E44" s="12" t="n">
        <v>0.1712800980201786</v>
      </c>
      <c r="F44" s="90" t="n">
        <v>7.188647908922728</v>
      </c>
      <c r="G44" s="12" t="n">
        <v>3.610658983679609</v>
      </c>
      <c r="H44" s="12" t="n">
        <v>0.4423565764333606</v>
      </c>
      <c r="I44" s="12" t="n">
        <v>0.848441914889311</v>
      </c>
      <c r="J44" s="12" t="n">
        <v>1.330302036363792</v>
      </c>
      <c r="K44" s="90" t="n">
        <v>5.563591477246645</v>
      </c>
      <c r="L44" s="7" t="n">
        <v>1.292087662856279</v>
      </c>
      <c r="M44" s="14" t="n">
        <v>0.1712800980201786</v>
      </c>
      <c r="N44" s="7" t="n">
        <v>3.912349014325986</v>
      </c>
      <c r="O44" s="14" t="n">
        <v>1.509304581158069</v>
      </c>
      <c r="P44" s="7" t="n">
        <v>3.027928465532578</v>
      </c>
      <c r="W44" s="117">
        <f>V42+I44/3</f>
        <v/>
      </c>
      <c r="X44" s="117">
        <f>V42+I44/5</f>
        <v/>
      </c>
      <c r="Y44" s="117" t="n"/>
      <c r="AA44" s="117" t="n"/>
    </row>
    <row r="45">
      <c r="B45" t="inlineStr">
        <is>
          <t>pb equal</t>
        </is>
      </c>
      <c r="C45" s="165" t="n">
        <v>3.144363014792653</v>
      </c>
      <c r="D45" s="90" t="n">
        <v>2.074115474424329</v>
      </c>
      <c r="E45" s="12" t="n">
        <v>0.340370222946061</v>
      </c>
      <c r="F45" s="90" t="n">
        <v>9.412654204471798</v>
      </c>
      <c r="G45" s="12" t="n">
        <v>1.993501119365027</v>
      </c>
      <c r="H45" s="12" t="n">
        <v>-0.1121223862924444</v>
      </c>
      <c r="I45" s="12" t="n">
        <v>0.06782824452335245</v>
      </c>
      <c r="J45" s="12" t="n">
        <v>0.4445857590112674</v>
      </c>
      <c r="K45" s="90" t="n">
        <v>4.538153405891868</v>
      </c>
      <c r="L45" s="7" t="n">
        <v>2.074115474424329</v>
      </c>
      <c r="M45" s="14" t="n">
        <v>0.340370222946061</v>
      </c>
      <c r="N45" s="7" t="n">
        <v>3.839197034102081</v>
      </c>
      <c r="O45" s="14" t="n">
        <v>0.2209776721201027</v>
      </c>
      <c r="P45" s="7" t="n">
        <v>1.851004479472219</v>
      </c>
      <c r="W45" s="117">
        <f>V43+I45/3</f>
        <v/>
      </c>
      <c r="X45" s="117">
        <f>V43+I45/5</f>
        <v/>
      </c>
      <c r="Y45" s="117" t="n"/>
      <c r="AA45" s="117" t="n"/>
    </row>
    <row r="46">
      <c r="C46" s="101" t="n"/>
      <c r="D46" s="90" t="n"/>
      <c r="F46" s="90" t="n"/>
      <c r="K46" s="90" t="n"/>
      <c r="L46" s="7" t="n"/>
      <c r="N46" s="7" t="n"/>
      <c r="P46" s="7" t="n"/>
      <c r="AA46" s="117" t="n"/>
    </row>
    <row customHeight="1" ht="17" r="47" s="155">
      <c r="A47" s="11" t="inlineStr">
        <is>
          <t>公用事业</t>
        </is>
      </c>
      <c r="B47" t="inlineStr">
        <is>
          <t>pe weighted</t>
        </is>
      </c>
      <c r="C47" s="166" t="n">
        <v>39.67067981334446</v>
      </c>
      <c r="D47" s="90" t="n">
        <v>10.44099953460197</v>
      </c>
      <c r="E47" s="12" t="n">
        <v>0.7368081519215655</v>
      </c>
      <c r="F47" s="90" t="n">
        <v>57.04455173713738</v>
      </c>
      <c r="G47" s="12" t="n">
        <v>0.4379524627644189</v>
      </c>
      <c r="H47" s="12" t="n">
        <v>-0.5882277619245089</v>
      </c>
      <c r="I47" s="12" t="n">
        <v>-0.4921139693953115</v>
      </c>
      <c r="J47" s="12" t="n">
        <v>-0.3834913063008568</v>
      </c>
      <c r="K47" s="90" t="n">
        <v>5.463514441130757</v>
      </c>
      <c r="L47" s="7" t="n">
        <v>15.77902959654491</v>
      </c>
      <c r="M47" s="14" t="n">
        <v>0.6022495790143444</v>
      </c>
      <c r="N47" s="7" t="n">
        <v>57.04455173713738</v>
      </c>
      <c r="O47" s="14" t="n">
        <v>0.4379524627644189</v>
      </c>
      <c r="P47" s="7" t="n">
        <v>3.6152129247307</v>
      </c>
      <c r="Q47" s="99" t="n">
        <v>0.04425983479373309</v>
      </c>
      <c r="R47" s="99" t="n">
        <v>0.01143906071893131</v>
      </c>
      <c r="S47" s="99" t="n">
        <v>0.01814735271264032</v>
      </c>
      <c r="U47" s="117">
        <f>C47*S47</f>
        <v/>
      </c>
      <c r="V47" s="117">
        <f>(1+S47)*Q47*(1-U47)+S47</f>
        <v/>
      </c>
      <c r="W47" s="117">
        <f>V47+I47/3</f>
        <v/>
      </c>
      <c r="X47" s="117">
        <f>V47+I47/5</f>
        <v/>
      </c>
      <c r="Y47" s="117" t="n"/>
      <c r="AA47" s="117" t="n"/>
    </row>
    <row r="48">
      <c r="A48" t="inlineStr">
        <is>
          <t>C10</t>
        </is>
      </c>
      <c r="B48" t="inlineStr">
        <is>
          <t>pe equal</t>
        </is>
      </c>
      <c r="C48" s="166" t="n">
        <v>147.2396066206017</v>
      </c>
      <c r="D48" s="90" t="n">
        <v>15.70196708506923</v>
      </c>
      <c r="E48" s="12" t="n">
        <v>0.8933577218422681</v>
      </c>
      <c r="F48" s="90" t="n">
        <v>-42.59271946509729</v>
      </c>
      <c r="G48" s="12" t="n">
        <v>-1.289274879515589</v>
      </c>
      <c r="H48" s="12" t="n">
        <v>-0.8386717003548869</v>
      </c>
      <c r="I48" s="12" t="n">
        <v>-0.7654761098613834</v>
      </c>
      <c r="J48" s="12" t="n">
        <v>-0.5937044586068118</v>
      </c>
      <c r="K48" s="90" t="n">
        <v>-2.712572204128366</v>
      </c>
      <c r="L48" s="7" t="n">
        <v>22.12519175517554</v>
      </c>
      <c r="M48" s="14" t="n">
        <v>0.849733422528176</v>
      </c>
      <c r="N48" s="7" t="n">
        <v>-42.59271946509729</v>
      </c>
      <c r="O48" s="14" t="n">
        <v>-1.289274879515589</v>
      </c>
      <c r="P48" s="7" t="n">
        <v>-1.925077980629658</v>
      </c>
      <c r="S48" s="99" t="n">
        <v>0.01383436914446233</v>
      </c>
      <c r="U48" s="117">
        <f>C48*S48</f>
        <v/>
      </c>
      <c r="V48" s="117">
        <f>(1+S48)*R47*(1-U48)+S48</f>
        <v/>
      </c>
      <c r="W48" s="117">
        <f>V48+I48/3</f>
        <v/>
      </c>
      <c r="X48" s="117">
        <f>V48+I48/5</f>
        <v/>
      </c>
      <c r="Y48" s="117" t="n"/>
      <c r="AA48" s="117" t="n"/>
    </row>
    <row r="49">
      <c r="A49" s="17" t="n">
        <v>40879</v>
      </c>
      <c r="B49" t="inlineStr">
        <is>
          <t>pb weighted</t>
        </is>
      </c>
      <c r="C49" s="168" t="n">
        <v>1.755817734693708</v>
      </c>
      <c r="D49" s="90" t="n">
        <v>1.339841523160388</v>
      </c>
      <c r="E49" s="12" t="n">
        <v>0.2369130937191981</v>
      </c>
      <c r="F49" s="90" t="n">
        <v>3.824393078420023</v>
      </c>
      <c r="G49" s="12" t="n">
        <v>1.17812646657608</v>
      </c>
      <c r="H49" s="12" t="n">
        <v>-0.1363123998575023</v>
      </c>
      <c r="I49" s="12" t="n">
        <v>-0.02040251619719413</v>
      </c>
      <c r="J49" s="12" t="n">
        <v>0.1160113362550326</v>
      </c>
      <c r="K49" s="90" t="n">
        <v>2.85436226024637</v>
      </c>
      <c r="L49" s="7" t="n">
        <v>1.339841523160388</v>
      </c>
      <c r="M49" s="14" t="n">
        <v>0.2369130937191981</v>
      </c>
      <c r="N49" s="7" t="n">
        <v>2.188396794012204</v>
      </c>
      <c r="O49" s="14" t="n">
        <v>0.2463689999087273</v>
      </c>
      <c r="P49" s="7" t="n">
        <v>1.633325103143739</v>
      </c>
      <c r="W49" s="117">
        <f>V47+I49/3</f>
        <v/>
      </c>
      <c r="X49" s="117">
        <f>V47+I49/5</f>
        <v/>
      </c>
      <c r="Y49" s="117" t="n"/>
      <c r="AA49" s="117" t="n"/>
    </row>
    <row r="50">
      <c r="B50" t="inlineStr">
        <is>
          <t>pb equal</t>
        </is>
      </c>
      <c r="C50" s="165" t="n">
        <v>1.684282800364623</v>
      </c>
      <c r="D50" s="90" t="n">
        <v>1.187651026851419</v>
      </c>
      <c r="E50" s="12" t="n">
        <v>0.2948624621742205</v>
      </c>
      <c r="F50" s="90" t="n">
        <v>4.652278910462262</v>
      </c>
      <c r="G50" s="12" t="n">
        <v>1.762172070779984</v>
      </c>
      <c r="H50" s="12" t="n">
        <v>-0.1545432290154263</v>
      </c>
      <c r="I50" s="12" t="n">
        <v>0.02931543363647671</v>
      </c>
      <c r="J50" s="12" t="n">
        <v>0.3101730738738031</v>
      </c>
      <c r="K50" s="90" t="n">
        <v>3.917210363380828</v>
      </c>
      <c r="L50" s="7" t="n">
        <v>1.187651026851419</v>
      </c>
      <c r="M50" s="14" t="n">
        <v>0.2948624621742205</v>
      </c>
      <c r="N50" s="7" t="n">
        <v>1.909057684446566</v>
      </c>
      <c r="O50" s="14" t="n">
        <v>0.1334543605345151</v>
      </c>
      <c r="P50" s="7" t="n">
        <v>1.607423090861688</v>
      </c>
      <c r="W50" s="117">
        <f>V48+I50/3</f>
        <v/>
      </c>
      <c r="X50" s="117">
        <f>V48+I50/5</f>
        <v/>
      </c>
      <c r="Y50" s="117" t="n"/>
      <c r="AA50" s="117" t="n"/>
    </row>
    <row r="51">
      <c r="C51" s="101" t="n"/>
      <c r="D51" s="90" t="n"/>
      <c r="F51" s="90" t="n"/>
      <c r="K51" s="90" t="n"/>
      <c r="L51" s="7" t="n"/>
      <c r="N51" s="7" t="n"/>
      <c r="P51" s="7" t="n"/>
      <c r="AA51" s="117" t="n"/>
    </row>
    <row customHeight="1" ht="17" r="52" s="155">
      <c r="A52" s="11" t="inlineStr">
        <is>
          <t xml:space="preserve">房地产 </t>
        </is>
      </c>
      <c r="B52" t="inlineStr">
        <is>
          <t>pe weighted</t>
        </is>
      </c>
      <c r="C52" s="167" t="n">
        <v>-131.8619452876512</v>
      </c>
      <c r="D52" s="90" t="n">
        <v>8.716704511670549</v>
      </c>
      <c r="E52" s="12" t="n">
        <v>1.06610477717931</v>
      </c>
      <c r="F52" s="90" t="n">
        <v>-113.5800537430462</v>
      </c>
      <c r="G52" s="12" t="n">
        <v>-0.1386441820247976</v>
      </c>
      <c r="H52" s="12" t="n">
        <v>-1.080241104882142</v>
      </c>
      <c r="I52" s="12" t="n">
        <v>-1.104882380649911</v>
      </c>
      <c r="J52" s="12" t="n">
        <v>-1.182139699553177</v>
      </c>
      <c r="K52" s="90" t="n">
        <v>-13.03015991777363</v>
      </c>
      <c r="L52" s="7" t="n">
        <v>8.716704511670549</v>
      </c>
      <c r="M52" s="14" t="n">
        <v>1.06610477717931</v>
      </c>
      <c r="N52" s="7" t="n">
        <v>-113.5800537430462</v>
      </c>
      <c r="O52" s="14" t="n">
        <v>-0.1386441820247976</v>
      </c>
      <c r="P52" s="7" t="n">
        <v>-13.03015991777363</v>
      </c>
      <c r="Q52" s="99" t="n">
        <v>-0.00757682516553343</v>
      </c>
      <c r="R52" s="99" t="n">
        <v>-0.1536496373447867</v>
      </c>
      <c r="S52" s="99" t="n">
        <v>0.02488930369738883</v>
      </c>
      <c r="U52" s="117" t="n"/>
      <c r="V52" s="117" t="n"/>
      <c r="W52" s="117" t="n"/>
      <c r="X52" s="117" t="n"/>
      <c r="Y52" s="117" t="n"/>
      <c r="AA52" s="117" t="n"/>
    </row>
    <row r="53">
      <c r="A53" t="inlineStr">
        <is>
          <t>C11</t>
        </is>
      </c>
      <c r="B53" t="inlineStr">
        <is>
          <t>pe equal</t>
        </is>
      </c>
      <c r="C53" s="167" t="n">
        <v>-7.028902874822464</v>
      </c>
      <c r="D53" s="90" t="n">
        <v>13.29632405919407</v>
      </c>
      <c r="E53" s="12" t="n">
        <v>2.891664217871258</v>
      </c>
      <c r="F53" s="90" t="n">
        <v>-6.49256444910869</v>
      </c>
      <c r="G53" s="12" t="n">
        <v>-0.07630471430113772</v>
      </c>
      <c r="H53" s="12" t="n">
        <v>-3.639546974359114</v>
      </c>
      <c r="I53" s="12" t="n">
        <v>-5.846482419423592</v>
      </c>
      <c r="J53" s="12" t="n">
        <v>-11.21269959357923</v>
      </c>
      <c r="K53" s="90" t="n">
        <v>-0.4882976994396618</v>
      </c>
      <c r="L53" s="7" t="n">
        <v>13.29632405919407</v>
      </c>
      <c r="M53" s="14" t="n">
        <v>2.891664217871258</v>
      </c>
      <c r="N53" s="7" t="n">
        <v>-6.49256444910869</v>
      </c>
      <c r="O53" s="14" t="n">
        <v>-0.07630471430113772</v>
      </c>
      <c r="P53" s="7" t="n">
        <v>-0.4882976994396618</v>
      </c>
      <c r="S53" s="99" t="n">
        <v>0.01345952393429416</v>
      </c>
      <c r="U53" s="117" t="n"/>
      <c r="V53" s="117" t="n"/>
      <c r="W53" s="117" t="n"/>
      <c r="X53" s="117" t="n"/>
      <c r="Y53" s="117" t="n"/>
      <c r="AA53" s="117" t="n"/>
    </row>
    <row r="54">
      <c r="A54" s="17" t="n"/>
      <c r="B54" t="inlineStr">
        <is>
          <t>pb weighted</t>
        </is>
      </c>
      <c r="C54" s="167" t="n">
        <v>0.9990949054316676</v>
      </c>
      <c r="D54" s="90" t="n">
        <v>0.8603521010309065</v>
      </c>
      <c r="E54" s="12" t="n">
        <v>0.1388684935199584</v>
      </c>
      <c r="F54" s="90" t="n">
        <v>4.62660631304341</v>
      </c>
      <c r="G54" s="12" t="n">
        <v>3.63079762281887</v>
      </c>
      <c r="H54" s="12" t="n">
        <v>0.1932311248058891</v>
      </c>
      <c r="I54" s="12" t="n">
        <v>0.7195911363499643</v>
      </c>
      <c r="J54" s="12" t="n">
        <v>1.371386765448265</v>
      </c>
      <c r="K54" s="90" t="n">
        <v>5.3775730976883</v>
      </c>
      <c r="L54" s="7" t="n">
        <v>0.8603521010309065</v>
      </c>
      <c r="M54" s="14" t="n">
        <v>0.1388684935199584</v>
      </c>
      <c r="N54" s="7" t="n">
        <v>2.147435550346051</v>
      </c>
      <c r="O54" s="14" t="n">
        <v>1.149380943363167</v>
      </c>
      <c r="P54" s="7" t="n">
        <v>2.495996171535947</v>
      </c>
      <c r="W54" s="117" t="n"/>
      <c r="X54" s="117" t="n"/>
      <c r="Y54" s="117" t="n"/>
      <c r="AA54" s="117" t="n"/>
    </row>
    <row r="55">
      <c r="B55" t="inlineStr">
        <is>
          <t>pb equal</t>
        </is>
      </c>
      <c r="C55" s="167" t="n">
        <v>1.0799883776482</v>
      </c>
      <c r="D55" s="90" t="n">
        <v>0.9146220661287084</v>
      </c>
      <c r="E55" s="12" t="n">
        <v>0.1531186028868161</v>
      </c>
      <c r="F55" s="90" t="n">
        <v>5.256917038740625</v>
      </c>
      <c r="G55" s="12" t="n">
        <v>3.867568158639051</v>
      </c>
      <c r="H55" s="12" t="n">
        <v>0.03434516514542274</v>
      </c>
      <c r="I55" s="12" t="n">
        <v>0.7214953944216533</v>
      </c>
      <c r="J55" s="12" t="n">
        <v>1.410968945060795</v>
      </c>
      <c r="K55" s="90" t="n">
        <v>5.74763854210451</v>
      </c>
      <c r="L55" s="7" t="n">
        <v>0.9146220661287084</v>
      </c>
      <c r="M55" s="14" t="n">
        <v>0.1531186028868161</v>
      </c>
      <c r="N55" s="7" t="n">
        <v>1.996988876634518</v>
      </c>
      <c r="O55" s="14" t="n">
        <v>0.8490836734587763</v>
      </c>
      <c r="P55" s="7" t="n">
        <v>2.183403342855163</v>
      </c>
      <c r="W55" s="117" t="n"/>
      <c r="X55" s="117" t="n"/>
      <c r="Y55" s="117" t="n"/>
      <c r="AA55" s="117" t="n"/>
    </row>
    <row r="56">
      <c r="C56" s="101" t="n"/>
      <c r="D56" s="90" t="n"/>
      <c r="F56" s="90" t="n"/>
      <c r="K56" s="90" t="n"/>
      <c r="L56" s="7" t="n"/>
      <c r="N56" s="7" t="n"/>
      <c r="P56" s="7" t="n"/>
    </row>
    <row r="57">
      <c r="C57" s="101" t="n"/>
      <c r="D57" s="90" t="n"/>
      <c r="F57" s="90" t="n"/>
      <c r="K57" s="90" t="n"/>
      <c r="L57" s="7" t="n"/>
      <c r="N57" s="7" t="n"/>
      <c r="P57" s="7" t="n"/>
      <c r="U57" s="117" t="n"/>
      <c r="V57" s="117" t="n"/>
      <c r="W57" s="117" t="n"/>
      <c r="X57" s="117" t="n"/>
      <c r="Y57" s="117" t="n"/>
    </row>
    <row r="58">
      <c r="C58" s="101" t="n"/>
      <c r="D58" s="90" t="n"/>
      <c r="F58" s="90" t="n"/>
      <c r="K58" s="90" t="n"/>
      <c r="L58" s="7" t="n"/>
      <c r="N58" s="7" t="n"/>
      <c r="P58" s="7" t="n"/>
      <c r="U58" s="117" t="n"/>
      <c r="V58" s="117" t="n"/>
      <c r="W58" s="117" t="n"/>
      <c r="X58" s="117" t="n"/>
      <c r="Y58" s="117" t="n"/>
    </row>
    <row r="59">
      <c r="C59" s="101" t="n"/>
      <c r="D59" s="90" t="n"/>
      <c r="F59" s="90" t="n"/>
      <c r="K59" s="90" t="n"/>
      <c r="L59" s="7" t="n"/>
      <c r="N59" s="7" t="n"/>
      <c r="P59" s="7" t="n"/>
      <c r="W59" s="117" t="n"/>
      <c r="X59" s="117" t="n"/>
      <c r="Y59" s="117" t="n"/>
    </row>
    <row r="60">
      <c r="C60" s="101" t="n"/>
      <c r="D60" s="90" t="n"/>
      <c r="F60" s="90" t="n"/>
      <c r="K60" s="90" t="n"/>
      <c r="L60" s="7" t="n"/>
      <c r="N60" s="7" t="n"/>
      <c r="P60" s="7" t="n"/>
      <c r="W60" s="117" t="n"/>
      <c r="X60" s="117" t="n"/>
      <c r="Y60" s="117" t="n"/>
    </row>
    <row r="61">
      <c r="C61" s="101" t="n"/>
      <c r="D61" s="90" t="n"/>
      <c r="F61" s="90" t="n"/>
      <c r="K61" s="90" t="n"/>
      <c r="L61" s="7" t="n"/>
      <c r="N61" s="7" t="n"/>
      <c r="P61" s="7" t="n"/>
    </row>
    <row r="62">
      <c r="C62" s="101" t="n"/>
      <c r="D62" s="90" t="n"/>
      <c r="F62" s="90" t="n"/>
      <c r="K62" s="90" t="n"/>
      <c r="L62" s="7" t="n"/>
      <c r="N62" s="7" t="n"/>
      <c r="P62" s="7" t="n"/>
      <c r="U62" s="117" t="n"/>
      <c r="V62" s="117" t="n"/>
      <c r="W62" s="117" t="n"/>
      <c r="X62" s="117" t="n"/>
      <c r="Y62" s="117" t="n"/>
    </row>
    <row r="63">
      <c r="C63" s="101" t="n"/>
      <c r="D63" s="90" t="n"/>
      <c r="F63" s="90" t="n"/>
      <c r="K63" s="90" t="n"/>
      <c r="L63" s="7" t="n"/>
      <c r="N63" s="7" t="n"/>
      <c r="P63" s="7" t="n"/>
      <c r="U63" s="117" t="n"/>
      <c r="V63" s="117" t="n"/>
      <c r="W63" s="117" t="n"/>
      <c r="X63" s="117" t="n"/>
      <c r="Y63" s="117" t="n"/>
    </row>
    <row r="64">
      <c r="C64" s="101" t="n"/>
      <c r="D64" s="90" t="n"/>
      <c r="F64" s="90" t="n"/>
      <c r="K64" s="90" t="n"/>
      <c r="L64" s="7" t="n"/>
      <c r="N64" s="7" t="n"/>
      <c r="P64" s="7" t="n"/>
      <c r="W64" s="117" t="n"/>
      <c r="X64" s="117" t="n"/>
      <c r="Y64" s="117" t="n"/>
    </row>
    <row r="65">
      <c r="C65" s="101" t="n"/>
      <c r="D65" s="90" t="n"/>
      <c r="F65" s="90" t="n"/>
      <c r="K65" s="90" t="n"/>
      <c r="L65" s="7" t="n"/>
      <c r="N65" s="7" t="n"/>
      <c r="P65" s="7" t="n"/>
      <c r="W65" s="117" t="n"/>
      <c r="X65" s="117" t="n"/>
      <c r="Y65" s="117" t="n"/>
    </row>
    <row r="66">
      <c r="C66" s="101" t="n"/>
      <c r="D66" s="90" t="n"/>
      <c r="F66" s="90" t="n"/>
      <c r="K66" s="90" t="n"/>
      <c r="L66" s="7" t="n"/>
      <c r="N66" s="7" t="n"/>
      <c r="P66" s="7" t="n"/>
    </row>
    <row r="67">
      <c r="C67" s="101" t="n"/>
      <c r="D67" s="90" t="n"/>
      <c r="F67" s="90" t="n"/>
      <c r="K67" s="90" t="n"/>
      <c r="L67" s="7" t="n"/>
      <c r="N67" s="7" t="n"/>
      <c r="P67" s="7" t="n"/>
      <c r="U67" s="117" t="n"/>
      <c r="V67" s="117" t="n"/>
      <c r="W67" s="117" t="n"/>
      <c r="X67" s="117" t="n"/>
      <c r="Y67" s="117" t="n"/>
    </row>
    <row r="68">
      <c r="C68" s="101" t="n"/>
      <c r="D68" s="90" t="n"/>
      <c r="F68" s="90" t="n"/>
      <c r="K68" s="90" t="n"/>
      <c r="L68" s="7" t="n"/>
      <c r="N68" s="7" t="n"/>
      <c r="P68" s="7" t="n"/>
      <c r="U68" s="117" t="n"/>
      <c r="V68" s="117" t="n"/>
      <c r="W68" s="117" t="n"/>
      <c r="X68" s="117" t="n"/>
      <c r="Y68" s="117" t="n"/>
    </row>
    <row r="69">
      <c r="C69" s="101" t="n"/>
      <c r="D69" s="90" t="n"/>
      <c r="F69" s="90" t="n"/>
      <c r="K69" s="90" t="n"/>
      <c r="L69" s="7" t="n"/>
      <c r="N69" s="7" t="n"/>
      <c r="P69" s="7" t="n"/>
      <c r="W69" s="117" t="n"/>
      <c r="X69" s="117" t="n"/>
      <c r="Y69" s="117" t="n"/>
    </row>
    <row r="70">
      <c r="C70" s="101" t="n"/>
      <c r="D70" s="90" t="n"/>
      <c r="F70" s="90" t="n"/>
      <c r="K70" s="90" t="n"/>
      <c r="L70" s="7" t="n"/>
      <c r="N70" s="7" t="n"/>
      <c r="P70" s="7" t="n"/>
      <c r="W70" s="117" t="n"/>
      <c r="X70" s="117" t="n"/>
      <c r="Y70" s="117" t="n"/>
    </row>
    <row r="71">
      <c r="C71" s="101" t="n"/>
      <c r="D71" s="90" t="n"/>
      <c r="F71" s="90" t="n"/>
      <c r="K71" s="90" t="n"/>
      <c r="L71" s="7" t="n"/>
      <c r="N71" s="7" t="n"/>
      <c r="P71" s="7" t="n"/>
    </row>
    <row r="72">
      <c r="C72" s="101" t="n"/>
      <c r="D72" s="90" t="n"/>
      <c r="F72" s="90" t="n"/>
      <c r="K72" s="90" t="n"/>
      <c r="L72" s="7" t="n"/>
      <c r="N72" s="7" t="n"/>
      <c r="P72" s="7" t="n"/>
      <c r="U72" s="117" t="n"/>
      <c r="V72" s="117" t="n"/>
      <c r="W72" s="117" t="n"/>
      <c r="X72" s="117" t="n"/>
      <c r="Y72" s="117" t="n"/>
    </row>
    <row r="73">
      <c r="C73" s="101" t="n"/>
      <c r="D73" s="90" t="n"/>
      <c r="F73" s="90" t="n"/>
      <c r="K73" s="90" t="n"/>
      <c r="L73" s="7" t="n"/>
      <c r="N73" s="7" t="n"/>
      <c r="P73" s="7" t="n"/>
      <c r="U73" s="117" t="n"/>
      <c r="V73" s="117" t="n"/>
      <c r="W73" s="117" t="n"/>
      <c r="X73" s="117" t="n"/>
      <c r="Y73" s="117" t="n"/>
    </row>
    <row r="74">
      <c r="C74" s="101" t="n"/>
      <c r="D74" s="90" t="n"/>
      <c r="F74" s="90" t="n"/>
      <c r="K74" s="90" t="n"/>
      <c r="L74" s="7" t="n"/>
      <c r="N74" s="7" t="n"/>
      <c r="P74" s="7" t="n"/>
      <c r="W74" s="117" t="n"/>
      <c r="X74" s="117" t="n"/>
      <c r="Y74" s="117" t="n"/>
    </row>
    <row r="75">
      <c r="C75" s="101" t="n"/>
      <c r="D75" s="90" t="n"/>
      <c r="F75" s="90" t="n"/>
      <c r="K75" s="90" t="n"/>
      <c r="L75" s="7" t="n"/>
      <c r="N75" s="7" t="n"/>
      <c r="P75" s="7" t="n"/>
      <c r="W75" s="117" t="n"/>
      <c r="X75" s="117" t="n"/>
      <c r="Y75" s="117" t="n"/>
    </row>
    <row r="76">
      <c r="C76" s="101" t="n"/>
      <c r="D76" s="90" t="n"/>
      <c r="F76" s="90" t="n"/>
      <c r="K76" s="90" t="n"/>
      <c r="L76" s="7" t="n"/>
      <c r="N76" s="7" t="n"/>
      <c r="P76" s="7" t="n"/>
    </row>
    <row r="77">
      <c r="C77" s="101" t="n"/>
      <c r="D77" s="90" t="n"/>
      <c r="F77" s="90" t="n"/>
      <c r="K77" s="90" t="n"/>
      <c r="L77" s="7" t="n"/>
      <c r="N77" s="7" t="n"/>
      <c r="P77" s="7" t="n"/>
      <c r="U77" s="117" t="n"/>
      <c r="V77" s="117" t="n"/>
      <c r="W77" s="117" t="n"/>
      <c r="X77" s="117" t="n"/>
      <c r="Y77" s="117" t="n"/>
    </row>
    <row r="78">
      <c r="C78" s="101" t="n"/>
      <c r="D78" s="90" t="n"/>
      <c r="F78" s="90" t="n"/>
      <c r="K78" s="90" t="n"/>
      <c r="L78" s="7" t="n"/>
      <c r="N78" s="7" t="n"/>
      <c r="P78" s="7" t="n"/>
      <c r="U78" s="117" t="n"/>
      <c r="V78" s="117" t="n"/>
      <c r="W78" s="117" t="n"/>
      <c r="X78" s="117" t="n"/>
      <c r="Y78" s="117" t="n"/>
    </row>
    <row r="79">
      <c r="C79" s="101" t="n"/>
      <c r="D79" s="90" t="n"/>
      <c r="F79" s="90" t="n"/>
      <c r="K79" s="90" t="n"/>
      <c r="L79" s="7" t="n"/>
      <c r="N79" s="7" t="n"/>
      <c r="P79" s="7" t="n"/>
      <c r="W79" s="117" t="n"/>
      <c r="X79" s="117" t="n"/>
      <c r="Y79" s="117" t="n"/>
    </row>
    <row r="80">
      <c r="C80" s="101" t="n"/>
      <c r="D80" s="90" t="n"/>
      <c r="F80" s="90" t="n"/>
      <c r="K80" s="90" t="n"/>
      <c r="L80" s="7" t="n"/>
      <c r="N80" s="7" t="n"/>
      <c r="P80" s="7" t="n"/>
      <c r="W80" s="117" t="n"/>
      <c r="X80" s="117" t="n"/>
      <c r="Y80" s="117" t="n"/>
    </row>
    <row r="81">
      <c r="C81" s="101" t="n"/>
      <c r="D81" s="90" t="n"/>
      <c r="F81" s="90" t="n"/>
      <c r="K81" s="90" t="n"/>
      <c r="L81" s="7" t="n"/>
      <c r="N81" s="7" t="n"/>
      <c r="P81" s="7" t="n"/>
    </row>
    <row r="82">
      <c r="C82" s="101" t="n"/>
      <c r="D82" s="90" t="n"/>
      <c r="F82" s="90" t="n"/>
      <c r="K82" s="90" t="n"/>
      <c r="L82" s="7" t="n"/>
      <c r="N82" s="7" t="n"/>
      <c r="P82" s="7" t="n"/>
      <c r="U82" s="117" t="n"/>
      <c r="V82" s="117" t="n"/>
      <c r="W82" s="117" t="n"/>
      <c r="X82" s="117" t="n"/>
      <c r="Y82" s="117" t="n"/>
    </row>
    <row r="83">
      <c r="C83" s="101" t="n"/>
      <c r="D83" s="90" t="n"/>
      <c r="F83" s="90" t="n"/>
      <c r="K83" s="90" t="n"/>
      <c r="L83" s="7" t="n"/>
      <c r="N83" s="7" t="n"/>
      <c r="P83" s="7" t="n"/>
      <c r="U83" s="117" t="n"/>
      <c r="V83" s="117" t="n"/>
      <c r="W83" s="117" t="n"/>
      <c r="X83" s="117" t="n"/>
      <c r="Y83" s="117" t="n"/>
    </row>
    <row r="84">
      <c r="C84" s="101" t="n"/>
      <c r="D84" s="90" t="n"/>
      <c r="F84" s="90" t="n"/>
      <c r="K84" s="90" t="n"/>
      <c r="L84" s="7" t="n"/>
      <c r="N84" s="7" t="n"/>
      <c r="P84" s="7" t="n"/>
      <c r="W84" s="117" t="n"/>
      <c r="X84" s="117" t="n"/>
      <c r="Y84" s="117" t="n"/>
    </row>
    <row r="85">
      <c r="C85" s="101" t="n"/>
      <c r="D85" s="90" t="n"/>
      <c r="F85" s="90" t="n"/>
      <c r="K85" s="90" t="n"/>
      <c r="L85" s="7" t="n"/>
      <c r="N85" s="7" t="n"/>
      <c r="P85" s="7" t="n"/>
      <c r="W85" s="117" t="n"/>
      <c r="X85" s="117" t="n"/>
      <c r="Y85" s="117" t="n"/>
    </row>
    <row r="86">
      <c r="C86" s="101" t="n"/>
      <c r="D86" s="90" t="n"/>
      <c r="F86" s="90" t="n"/>
      <c r="K86" s="90" t="n"/>
      <c r="L86" s="7" t="n"/>
      <c r="N86" s="7" t="n"/>
      <c r="P86" s="7" t="n"/>
    </row>
    <row r="87">
      <c r="C87" s="101" t="n"/>
      <c r="D87" s="90" t="n"/>
      <c r="F87" s="90" t="n"/>
      <c r="K87" s="90" t="n"/>
      <c r="L87" s="7" t="n"/>
      <c r="N87" s="7" t="n"/>
      <c r="P87" s="7" t="n"/>
      <c r="U87" s="117" t="n"/>
      <c r="V87" s="117" t="n"/>
      <c r="W87" s="117" t="n"/>
      <c r="X87" s="117" t="n"/>
      <c r="Y87" s="117" t="n"/>
    </row>
    <row r="88">
      <c r="C88" s="101" t="n"/>
      <c r="D88" s="90" t="n"/>
      <c r="F88" s="90" t="n"/>
      <c r="K88" s="90" t="n"/>
      <c r="L88" s="7" t="n"/>
      <c r="N88" s="7" t="n"/>
      <c r="P88" s="7" t="n"/>
      <c r="U88" s="117" t="n"/>
      <c r="V88" s="117" t="n"/>
      <c r="W88" s="117" t="n"/>
      <c r="X88" s="117" t="n"/>
      <c r="Y88" s="117" t="n"/>
    </row>
    <row r="89">
      <c r="C89" s="101" t="n"/>
      <c r="D89" s="90" t="n"/>
      <c r="F89" s="90" t="n"/>
      <c r="K89" s="90" t="n"/>
      <c r="L89" s="7" t="n"/>
      <c r="N89" s="7" t="n"/>
      <c r="P89" s="7" t="n"/>
      <c r="W89" s="117" t="n"/>
      <c r="X89" s="117" t="n"/>
      <c r="Y89" s="117" t="n"/>
    </row>
    <row r="90">
      <c r="C90" s="101" t="n"/>
      <c r="D90" s="90" t="n"/>
      <c r="F90" s="90" t="n"/>
      <c r="K90" s="90" t="n"/>
      <c r="L90" s="7" t="n"/>
      <c r="N90" s="7" t="n"/>
      <c r="P90" s="7" t="n"/>
      <c r="W90" s="117" t="n"/>
      <c r="X90" s="117" t="n"/>
      <c r="Y90" s="117" t="n"/>
    </row>
    <row r="91">
      <c r="C91" s="101" t="n"/>
      <c r="D91" s="90" t="n"/>
      <c r="F91" s="90" t="n"/>
      <c r="K91" s="90" t="n"/>
      <c r="L91" s="7" t="n"/>
      <c r="N91" s="7" t="n"/>
      <c r="P91" s="7" t="n"/>
    </row>
    <row r="92">
      <c r="C92" s="101" t="n"/>
      <c r="D92" s="90" t="n"/>
      <c r="F92" s="90" t="n"/>
      <c r="K92" s="90" t="n"/>
      <c r="L92" s="7" t="n"/>
      <c r="N92" s="7" t="n"/>
      <c r="P92" s="7" t="n"/>
      <c r="U92" s="117" t="n"/>
      <c r="V92" s="117" t="n"/>
      <c r="W92" s="117" t="n"/>
      <c r="X92" s="117" t="n"/>
      <c r="Y92" s="117" t="n"/>
    </row>
    <row r="93">
      <c r="C93" s="101" t="n"/>
      <c r="D93" s="90" t="n"/>
      <c r="F93" s="90" t="n"/>
      <c r="K93" s="90" t="n"/>
      <c r="L93" s="7" t="n"/>
      <c r="N93" s="7" t="n"/>
      <c r="P93" s="7" t="n"/>
      <c r="U93" s="117" t="n"/>
      <c r="V93" s="117" t="n"/>
      <c r="W93" s="117" t="n"/>
      <c r="X93" s="117" t="n"/>
      <c r="Y93" s="117" t="n"/>
    </row>
    <row r="94">
      <c r="C94" s="101" t="n"/>
      <c r="D94" s="90" t="n"/>
      <c r="F94" s="90" t="n"/>
      <c r="K94" s="90" t="n"/>
      <c r="L94" s="7" t="n"/>
      <c r="N94" s="7" t="n"/>
      <c r="P94" s="7" t="n"/>
      <c r="W94" s="117" t="n"/>
      <c r="X94" s="117" t="n"/>
      <c r="Y94" s="117" t="n"/>
    </row>
    <row r="95">
      <c r="C95" s="101" t="n"/>
      <c r="D95" s="90" t="n"/>
      <c r="F95" s="90" t="n"/>
      <c r="K95" s="90" t="n"/>
      <c r="L95" s="7" t="n"/>
      <c r="N95" s="7" t="n"/>
      <c r="P95" s="7" t="n"/>
      <c r="W95" s="117" t="n"/>
      <c r="X95" s="117" t="n"/>
      <c r="Y95" s="117" t="n"/>
    </row>
    <row r="96">
      <c r="C96" s="101" t="n"/>
      <c r="D96" s="90" t="n"/>
      <c r="F96" s="90" t="n"/>
      <c r="K96" s="90" t="n"/>
      <c r="L96" s="7" t="n"/>
      <c r="N96" s="7" t="n"/>
      <c r="P96" s="7" t="n"/>
    </row>
    <row r="97">
      <c r="C97" s="101" t="n"/>
      <c r="D97" s="90" t="n"/>
      <c r="F97" s="90" t="n"/>
      <c r="K97" s="90" t="n"/>
      <c r="L97" s="7" t="n"/>
      <c r="N97" s="7" t="n"/>
      <c r="P97" s="7" t="n"/>
      <c r="U97" s="117" t="n"/>
      <c r="V97" s="117" t="n"/>
      <c r="W97" s="117" t="n"/>
      <c r="X97" s="117" t="n"/>
      <c r="Y97" s="117" t="n"/>
    </row>
    <row r="98">
      <c r="C98" s="101" t="n"/>
      <c r="D98" s="90" t="n"/>
      <c r="F98" s="90" t="n"/>
      <c r="K98" s="90" t="n"/>
      <c r="L98" s="7" t="n"/>
      <c r="N98" s="7" t="n"/>
      <c r="P98" s="7" t="n"/>
      <c r="U98" s="117" t="n"/>
      <c r="V98" s="117" t="n"/>
      <c r="W98" s="117" t="n"/>
      <c r="X98" s="117" t="n"/>
      <c r="Y98" s="117" t="n"/>
    </row>
    <row r="99">
      <c r="C99" s="101" t="n"/>
      <c r="D99" s="90" t="n"/>
      <c r="F99" s="90" t="n"/>
      <c r="K99" s="90" t="n"/>
      <c r="L99" s="7" t="n"/>
      <c r="N99" s="7" t="n"/>
      <c r="P99" s="7" t="n"/>
      <c r="W99" s="117" t="n"/>
      <c r="X99" s="117" t="n"/>
      <c r="Y99" s="117" t="n"/>
    </row>
    <row r="100">
      <c r="C100" s="101" t="n"/>
      <c r="D100" s="90" t="n"/>
      <c r="F100" s="90" t="n"/>
      <c r="K100" s="90" t="n"/>
      <c r="L100" s="7" t="n"/>
      <c r="N100" s="7" t="n"/>
      <c r="P100" s="7" t="n"/>
      <c r="W100" s="117" t="n"/>
      <c r="X100" s="117" t="n"/>
      <c r="Y100" s="117" t="n"/>
    </row>
    <row r="101">
      <c r="C101" s="101" t="n"/>
      <c r="D101" s="90" t="n"/>
      <c r="F101" s="90" t="n"/>
      <c r="K101" s="90" t="n"/>
      <c r="L101" s="7" t="n"/>
      <c r="N101" s="7" t="n"/>
      <c r="P101" s="7" t="n"/>
    </row>
    <row r="102">
      <c r="C102" s="101" t="n"/>
      <c r="D102" s="90" t="n"/>
      <c r="F102" s="90" t="n"/>
      <c r="K102" s="90" t="n"/>
      <c r="L102" s="7" t="n"/>
      <c r="N102" s="7" t="n"/>
      <c r="P102" s="7" t="n"/>
      <c r="U102" s="117" t="n"/>
      <c r="V102" s="117" t="n"/>
      <c r="W102" s="117" t="n"/>
      <c r="X102" s="117" t="n"/>
      <c r="Y102" s="117" t="n"/>
    </row>
    <row r="103">
      <c r="C103" s="101" t="n"/>
      <c r="D103" s="90" t="n"/>
      <c r="F103" s="90" t="n"/>
      <c r="K103" s="90" t="n"/>
      <c r="L103" s="7" t="n"/>
      <c r="N103" s="7" t="n"/>
      <c r="P103" s="7" t="n"/>
      <c r="U103" s="117" t="n"/>
      <c r="V103" s="117" t="n"/>
      <c r="W103" s="117" t="n"/>
      <c r="X103" s="117" t="n"/>
      <c r="Y103" s="117" t="n"/>
    </row>
    <row r="104">
      <c r="C104" s="101" t="n"/>
      <c r="D104" s="90" t="n"/>
      <c r="F104" s="90" t="n"/>
      <c r="K104" s="90" t="n"/>
      <c r="L104" s="7" t="n"/>
      <c r="N104" s="7" t="n"/>
      <c r="P104" s="7" t="n"/>
      <c r="W104" s="117" t="n"/>
      <c r="X104" s="117" t="n"/>
      <c r="Y104" s="117" t="n"/>
    </row>
    <row r="105">
      <c r="C105" s="101" t="n"/>
      <c r="D105" s="90" t="n"/>
      <c r="F105" s="90" t="n"/>
      <c r="K105" s="90" t="n"/>
      <c r="L105" s="7" t="n"/>
      <c r="N105" s="7" t="n"/>
      <c r="P105" s="7" t="n"/>
      <c r="W105" s="117" t="n"/>
      <c r="X105" s="117" t="n"/>
      <c r="Y105" s="117" t="n"/>
    </row>
    <row r="106">
      <c r="C106" s="101" t="n"/>
      <c r="D106" s="90" t="n"/>
      <c r="F106" s="90" t="n"/>
      <c r="K106" s="90" t="n"/>
      <c r="L106" s="7" t="n"/>
      <c r="N106" s="7" t="n"/>
      <c r="P106" s="7" t="n"/>
    </row>
    <row r="107">
      <c r="C107" s="101" t="n"/>
      <c r="D107" s="90" t="n"/>
      <c r="F107" s="90" t="n"/>
      <c r="K107" s="90" t="n"/>
      <c r="L107" s="7" t="n"/>
      <c r="N107" s="7" t="n"/>
      <c r="P107" s="7" t="n"/>
      <c r="U107" s="117" t="n"/>
      <c r="V107" s="117" t="n"/>
      <c r="W107" s="117" t="n"/>
      <c r="X107" s="117" t="n"/>
      <c r="Y107" s="117" t="n"/>
    </row>
    <row r="108">
      <c r="C108" s="101" t="n"/>
      <c r="D108" s="90" t="n"/>
      <c r="F108" s="90" t="n"/>
      <c r="K108" s="90" t="n"/>
      <c r="L108" s="7" t="n"/>
      <c r="N108" s="7" t="n"/>
      <c r="P108" s="7" t="n"/>
      <c r="U108" s="117" t="n"/>
      <c r="V108" s="117" t="n"/>
      <c r="W108" s="117" t="n"/>
      <c r="X108" s="117" t="n"/>
      <c r="Y108" s="117" t="n"/>
    </row>
    <row r="109">
      <c r="C109" s="101" t="n"/>
      <c r="D109" s="90" t="n"/>
      <c r="F109" s="90" t="n"/>
      <c r="K109" s="90" t="n"/>
      <c r="L109" s="7" t="n"/>
      <c r="N109" s="7" t="n"/>
      <c r="P109" s="7" t="n"/>
      <c r="W109" s="117" t="n"/>
      <c r="X109" s="117" t="n"/>
      <c r="Y109" s="117" t="n"/>
    </row>
    <row r="110">
      <c r="C110" s="101" t="n"/>
      <c r="D110" s="90" t="n"/>
      <c r="F110" s="90" t="n"/>
      <c r="K110" s="90" t="n"/>
      <c r="L110" s="7" t="n"/>
      <c r="N110" s="7" t="n"/>
      <c r="P110" s="7" t="n"/>
      <c r="W110" s="117" t="n"/>
      <c r="X110" s="117" t="n"/>
      <c r="Y110" s="117" t="n"/>
    </row>
    <row r="111">
      <c r="C111" s="101" t="n"/>
      <c r="D111" s="90" t="n"/>
      <c r="F111" s="90" t="n"/>
      <c r="K111" s="90" t="n"/>
      <c r="L111" s="7" t="n"/>
      <c r="N111" s="7" t="n"/>
      <c r="P111" s="7" t="n"/>
    </row>
    <row r="112">
      <c r="C112" s="101" t="n"/>
      <c r="D112" s="90" t="n"/>
      <c r="F112" s="90" t="n"/>
      <c r="K112" s="90" t="n"/>
      <c r="L112" s="7" t="n"/>
      <c r="N112" s="7" t="n"/>
      <c r="P112" s="7" t="n"/>
      <c r="U112" s="117" t="n"/>
      <c r="V112" s="117" t="n"/>
      <c r="W112" s="117" t="n"/>
      <c r="X112" s="117" t="n"/>
      <c r="Y112" s="117" t="n"/>
    </row>
    <row r="113">
      <c r="C113" s="101" t="n"/>
      <c r="D113" s="90" t="n"/>
      <c r="F113" s="90" t="n"/>
      <c r="K113" s="90" t="n"/>
      <c r="L113" s="7" t="n"/>
      <c r="N113" s="7" t="n"/>
      <c r="P113" s="7" t="n"/>
      <c r="U113" s="117" t="n"/>
      <c r="V113" s="117" t="n"/>
      <c r="W113" s="117" t="n"/>
      <c r="X113" s="117" t="n"/>
      <c r="Y113" s="117" t="n"/>
    </row>
    <row r="114">
      <c r="C114" s="101" t="n"/>
      <c r="D114" s="90" t="n"/>
      <c r="F114" s="90" t="n"/>
      <c r="K114" s="90" t="n"/>
      <c r="L114" s="7" t="n"/>
      <c r="N114" s="7" t="n"/>
      <c r="P114" s="7" t="n"/>
      <c r="W114" s="117" t="n"/>
      <c r="X114" s="117" t="n"/>
      <c r="Y114" s="117" t="n"/>
    </row>
    <row r="115">
      <c r="C115" s="101" t="n"/>
      <c r="D115" s="90" t="n"/>
      <c r="F115" s="90" t="n"/>
      <c r="K115" s="90" t="n"/>
      <c r="L115" s="7" t="n"/>
      <c r="N115" s="7" t="n"/>
      <c r="P115" s="7" t="n"/>
      <c r="W115" s="117" t="n"/>
      <c r="X115" s="117" t="n"/>
      <c r="Y115" s="117" t="n"/>
    </row>
    <row r="116">
      <c r="C116" s="101" t="n"/>
      <c r="D116" s="90" t="n"/>
      <c r="F116" s="90" t="n"/>
      <c r="K116" s="90" t="n"/>
      <c r="L116" s="7" t="n"/>
      <c r="N116" s="7" t="n"/>
      <c r="P116" s="7" t="n"/>
    </row>
    <row r="117">
      <c r="C117" s="101" t="n"/>
      <c r="D117" s="90" t="n"/>
      <c r="F117" s="90" t="n"/>
      <c r="K117" s="90" t="n"/>
      <c r="L117" s="7" t="n"/>
      <c r="N117" s="7" t="n"/>
      <c r="P117" s="7" t="n"/>
      <c r="U117" s="117" t="n"/>
      <c r="V117" s="117" t="n"/>
      <c r="W117" s="117" t="n"/>
      <c r="X117" s="117" t="n"/>
      <c r="Y117" s="117" t="n"/>
    </row>
    <row r="118">
      <c r="C118" s="101" t="n"/>
      <c r="D118" s="90" t="n"/>
      <c r="F118" s="90" t="n"/>
      <c r="K118" s="90" t="n"/>
      <c r="L118" s="7" t="n"/>
      <c r="N118" s="7" t="n"/>
      <c r="P118" s="7" t="n"/>
      <c r="U118" s="117" t="n"/>
      <c r="V118" s="117" t="n"/>
      <c r="W118" s="117" t="n"/>
      <c r="X118" s="117" t="n"/>
      <c r="Y118" s="117" t="n"/>
    </row>
    <row r="119">
      <c r="C119" s="101" t="n"/>
      <c r="D119" s="90" t="n"/>
      <c r="F119" s="90" t="n"/>
      <c r="K119" s="90" t="n"/>
      <c r="L119" s="7" t="n"/>
      <c r="N119" s="7" t="n"/>
      <c r="P119" s="7" t="n"/>
      <c r="W119" s="117" t="n"/>
      <c r="X119" s="117" t="n"/>
      <c r="Y119" s="117" t="n"/>
    </row>
    <row r="120">
      <c r="C120" s="101" t="n"/>
      <c r="D120" s="90" t="n"/>
      <c r="F120" s="90" t="n"/>
      <c r="K120" s="90" t="n"/>
      <c r="L120" s="7" t="n"/>
      <c r="N120" s="7" t="n"/>
      <c r="P120" s="7" t="n"/>
      <c r="W120" s="117" t="n"/>
      <c r="X120" s="117" t="n"/>
      <c r="Y120" s="117" t="n"/>
    </row>
    <row r="121">
      <c r="C121" s="101" t="n"/>
      <c r="D121" s="90" t="n"/>
      <c r="F121" s="90" t="n"/>
      <c r="K121" s="90" t="n"/>
      <c r="L121" s="7" t="n"/>
      <c r="N121" s="7" t="n"/>
      <c r="P121" s="7" t="n"/>
    </row>
    <row r="122">
      <c r="C122" s="101" t="n"/>
      <c r="D122" s="90" t="n"/>
      <c r="F122" s="90" t="n"/>
      <c r="K122" s="90" t="n"/>
      <c r="L122" s="7" t="n"/>
      <c r="N122" s="7" t="n"/>
      <c r="P122" s="7" t="n"/>
      <c r="U122" s="117" t="n"/>
      <c r="V122" s="117" t="n"/>
      <c r="W122" s="117" t="n"/>
      <c r="X122" s="117" t="n"/>
      <c r="Y122" s="117" t="n"/>
    </row>
    <row r="123">
      <c r="C123" s="101" t="n"/>
      <c r="D123" s="90" t="n"/>
      <c r="F123" s="90" t="n"/>
      <c r="K123" s="90" t="n"/>
      <c r="L123" s="7" t="n"/>
      <c r="N123" s="7" t="n"/>
      <c r="P123" s="7" t="n"/>
      <c r="U123" s="117" t="n"/>
      <c r="V123" s="117" t="n"/>
      <c r="W123" s="117" t="n"/>
      <c r="X123" s="117" t="n"/>
      <c r="Y123" s="117" t="n"/>
    </row>
    <row r="124">
      <c r="C124" s="101" t="n"/>
      <c r="D124" s="90" t="n"/>
      <c r="F124" s="90" t="n"/>
      <c r="K124" s="90" t="n"/>
      <c r="L124" s="7" t="n"/>
      <c r="N124" s="7" t="n"/>
      <c r="P124" s="7" t="n"/>
      <c r="W124" s="117" t="n"/>
      <c r="X124" s="117" t="n"/>
      <c r="Y124" s="117" t="n"/>
    </row>
    <row r="125">
      <c r="C125" s="101" t="n"/>
      <c r="D125" s="90" t="n"/>
      <c r="F125" s="90" t="n"/>
      <c r="K125" s="90" t="n"/>
      <c r="L125" s="7" t="n"/>
      <c r="N125" s="7" t="n"/>
      <c r="P125" s="7" t="n"/>
      <c r="W125" s="117" t="n"/>
      <c r="X125" s="117" t="n"/>
      <c r="Y125" s="117" t="n"/>
    </row>
    <row r="126">
      <c r="C126" s="101" t="n"/>
      <c r="D126" s="90" t="n"/>
      <c r="F126" s="90" t="n"/>
      <c r="K126" s="90" t="n"/>
      <c r="L126" s="7" t="n"/>
      <c r="N126" s="7" t="n"/>
      <c r="P126" s="7" t="n"/>
    </row>
    <row r="127">
      <c r="C127" s="101" t="n"/>
      <c r="D127" s="90" t="n"/>
      <c r="F127" s="90" t="n"/>
      <c r="K127" s="90" t="n"/>
      <c r="L127" s="7" t="n"/>
      <c r="N127" s="7" t="n"/>
      <c r="P127" s="7" t="n"/>
      <c r="U127" s="117" t="n"/>
      <c r="V127" s="117" t="n"/>
      <c r="W127" s="117" t="n"/>
      <c r="X127" s="117" t="n"/>
      <c r="Y127" s="117" t="n"/>
    </row>
    <row r="128">
      <c r="C128" s="101" t="n"/>
      <c r="D128" s="90" t="n"/>
      <c r="F128" s="90" t="n"/>
      <c r="K128" s="90" t="n"/>
      <c r="L128" s="7" t="n"/>
      <c r="N128" s="7" t="n"/>
      <c r="P128" s="7" t="n"/>
      <c r="U128" s="117" t="n"/>
      <c r="V128" s="117" t="n"/>
      <c r="W128" s="117" t="n"/>
      <c r="X128" s="117" t="n"/>
      <c r="Y128" s="117" t="n"/>
    </row>
    <row r="129">
      <c r="C129" s="101" t="n"/>
      <c r="D129" s="90" t="n"/>
      <c r="F129" s="90" t="n"/>
      <c r="K129" s="90" t="n"/>
      <c r="L129" s="7" t="n"/>
      <c r="N129" s="7" t="n"/>
      <c r="P129" s="7" t="n"/>
      <c r="W129" s="117" t="n"/>
      <c r="X129" s="117" t="n"/>
      <c r="Y129" s="117" t="n"/>
    </row>
    <row r="130">
      <c r="C130" s="101" t="n"/>
      <c r="D130" s="90" t="n"/>
      <c r="F130" s="90" t="n"/>
      <c r="K130" s="90" t="n"/>
      <c r="L130" s="7" t="n"/>
      <c r="N130" s="7" t="n"/>
      <c r="P130" s="7" t="n"/>
      <c r="W130" s="117" t="n"/>
      <c r="X130" s="117" t="n"/>
      <c r="Y130" s="117" t="n"/>
    </row>
    <row r="131">
      <c r="C131" s="101" t="n"/>
      <c r="D131" s="90" t="n"/>
      <c r="F131" s="90" t="n"/>
      <c r="K131" s="90" t="n"/>
      <c r="L131" s="7" t="n"/>
      <c r="N131" s="7" t="n"/>
      <c r="P131" s="7" t="n"/>
    </row>
    <row r="132">
      <c r="C132" s="101" t="n"/>
      <c r="D132" s="90" t="n"/>
      <c r="F132" s="90" t="n"/>
      <c r="K132" s="90" t="n"/>
      <c r="L132" s="7" t="n"/>
      <c r="N132" s="7" t="n"/>
      <c r="P132" s="7" t="n"/>
      <c r="U132" s="117" t="n"/>
      <c r="V132" s="117" t="n"/>
      <c r="W132" s="117" t="n"/>
      <c r="X132" s="117" t="n"/>
      <c r="Y132" s="117" t="n"/>
    </row>
    <row r="133">
      <c r="C133" s="101" t="n"/>
      <c r="D133" s="90" t="n"/>
      <c r="F133" s="90" t="n"/>
      <c r="K133" s="90" t="n"/>
      <c r="L133" s="7" t="n"/>
      <c r="N133" s="7" t="n"/>
      <c r="P133" s="7" t="n"/>
      <c r="U133" s="117" t="n"/>
      <c r="V133" s="117" t="n"/>
      <c r="W133" s="117" t="n"/>
      <c r="X133" s="117" t="n"/>
      <c r="Y133" s="117" t="n"/>
    </row>
    <row r="134">
      <c r="C134" s="101" t="n"/>
      <c r="D134" s="90" t="n"/>
      <c r="F134" s="90" t="n"/>
      <c r="K134" s="90" t="n"/>
      <c r="L134" s="7" t="n"/>
      <c r="N134" s="7" t="n"/>
      <c r="P134" s="7" t="n"/>
      <c r="W134" s="117" t="n"/>
      <c r="X134" s="117" t="n"/>
      <c r="Y134" s="117" t="n"/>
    </row>
    <row r="135">
      <c r="C135" s="101" t="n"/>
      <c r="D135" s="90" t="n"/>
      <c r="F135" s="90" t="n"/>
      <c r="K135" s="90" t="n"/>
      <c r="L135" s="7" t="n"/>
      <c r="N135" s="7" t="n"/>
      <c r="P135" s="7" t="n"/>
      <c r="W135" s="117" t="n"/>
      <c r="X135" s="117" t="n"/>
      <c r="Y135" s="117" t="n"/>
    </row>
    <row r="136">
      <c r="C136" s="101" t="n"/>
      <c r="D136" s="90" t="n"/>
      <c r="F136" s="90" t="n"/>
      <c r="K136" s="90" t="n"/>
      <c r="L136" s="7" t="n"/>
      <c r="N136" s="7" t="n"/>
      <c r="P136" s="7" t="n"/>
    </row>
    <row r="137">
      <c r="C137" s="101" t="n"/>
      <c r="D137" s="90" t="n"/>
      <c r="F137" s="90" t="n"/>
      <c r="K137" s="90" t="n"/>
      <c r="L137" s="7" t="n"/>
      <c r="N137" s="7" t="n"/>
      <c r="P137" s="7" t="n"/>
      <c r="U137" s="117" t="n"/>
      <c r="V137" s="117" t="n"/>
      <c r="W137" s="117" t="n"/>
      <c r="X137" s="117" t="n"/>
      <c r="Y137" s="117" t="n"/>
    </row>
    <row r="138">
      <c r="C138" s="101" t="n"/>
      <c r="D138" s="90" t="n"/>
      <c r="F138" s="90" t="n"/>
      <c r="K138" s="90" t="n"/>
      <c r="L138" s="7" t="n"/>
      <c r="N138" s="7" t="n"/>
      <c r="P138" s="7" t="n"/>
      <c r="U138" s="117" t="n"/>
      <c r="V138" s="117" t="n"/>
      <c r="W138" s="117" t="n"/>
      <c r="X138" s="117" t="n"/>
      <c r="Y138" s="117" t="n"/>
    </row>
    <row r="139">
      <c r="C139" s="101" t="n"/>
      <c r="D139" s="90" t="n"/>
      <c r="F139" s="90" t="n"/>
      <c r="K139" s="90" t="n"/>
      <c r="L139" s="7" t="n"/>
      <c r="N139" s="7" t="n"/>
      <c r="P139" s="7" t="n"/>
      <c r="W139" s="117" t="n"/>
      <c r="X139" s="117" t="n"/>
      <c r="Y139" s="117" t="n"/>
    </row>
    <row r="140">
      <c r="C140" s="101" t="n"/>
      <c r="D140" s="90" t="n"/>
      <c r="F140" s="90" t="n"/>
      <c r="K140" s="90" t="n"/>
      <c r="L140" s="7" t="n"/>
      <c r="N140" s="7" t="n"/>
      <c r="P140" s="7" t="n"/>
      <c r="W140" s="117" t="n"/>
      <c r="X140" s="117" t="n"/>
      <c r="Y140" s="117" t="n"/>
    </row>
    <row r="141">
      <c r="C141" s="101" t="n"/>
      <c r="D141" s="90" t="n"/>
      <c r="F141" s="90" t="n"/>
      <c r="K141" s="90" t="n"/>
      <c r="L141" s="7" t="n"/>
      <c r="N141" s="7" t="n"/>
      <c r="P141" s="7" t="n"/>
    </row>
    <row r="142">
      <c r="C142" s="101" t="n"/>
      <c r="D142" s="90" t="n"/>
      <c r="F142" s="90" t="n"/>
      <c r="K142" s="90" t="n"/>
      <c r="L142" s="7" t="n"/>
      <c r="N142" s="7" t="n"/>
      <c r="P142" s="7" t="n"/>
      <c r="U142" s="117" t="n"/>
      <c r="V142" s="117" t="n"/>
      <c r="W142" s="117" t="n"/>
      <c r="X142" s="117" t="n"/>
      <c r="Y142" s="117" t="n"/>
    </row>
    <row r="143">
      <c r="C143" s="101" t="n"/>
      <c r="D143" s="90" t="n"/>
      <c r="F143" s="90" t="n"/>
      <c r="K143" s="90" t="n"/>
      <c r="L143" s="7" t="n"/>
      <c r="N143" s="7" t="n"/>
      <c r="P143" s="7" t="n"/>
      <c r="U143" s="117" t="n"/>
      <c r="V143" s="117" t="n"/>
      <c r="W143" s="117" t="n"/>
      <c r="X143" s="117" t="n"/>
      <c r="Y143" s="117" t="n"/>
    </row>
    <row r="144">
      <c r="C144" s="101" t="n"/>
      <c r="D144" s="90" t="n"/>
      <c r="F144" s="90" t="n"/>
      <c r="K144" s="90" t="n"/>
      <c r="L144" s="7" t="n"/>
      <c r="N144" s="7" t="n"/>
      <c r="P144" s="7" t="n"/>
      <c r="W144" s="117" t="n"/>
      <c r="X144" s="117" t="n"/>
      <c r="Y144" s="117" t="n"/>
    </row>
    <row r="145">
      <c r="C145" s="101" t="n"/>
      <c r="D145" s="90" t="n"/>
      <c r="F145" s="90" t="n"/>
      <c r="K145" s="90" t="n"/>
      <c r="L145" s="7" t="n"/>
      <c r="N145" s="7" t="n"/>
      <c r="P145" s="7" t="n"/>
      <c r="W145" s="117" t="n"/>
      <c r="X145" s="117" t="n"/>
      <c r="Y145" s="117" t="n"/>
    </row>
    <row r="146">
      <c r="C146" s="101" t="n"/>
      <c r="D146" s="90" t="n"/>
      <c r="F146" s="90" t="n"/>
      <c r="K146" s="90" t="n"/>
      <c r="L146" s="7" t="n"/>
      <c r="N146" s="7" t="n"/>
      <c r="P146" s="7" t="n"/>
    </row>
    <row r="147">
      <c r="C147" s="101" t="n"/>
      <c r="D147" s="90" t="n"/>
      <c r="F147" s="90" t="n"/>
      <c r="K147" s="90" t="n"/>
      <c r="L147" s="7" t="n"/>
      <c r="N147" s="7" t="n"/>
      <c r="P147" s="7" t="n"/>
      <c r="U147" s="117" t="n"/>
      <c r="V147" s="117" t="n"/>
      <c r="W147" s="117" t="n"/>
      <c r="X147" s="117" t="n"/>
      <c r="Y147" s="117" t="n"/>
    </row>
    <row r="148">
      <c r="C148" s="101" t="n"/>
      <c r="D148" s="90" t="n"/>
      <c r="F148" s="90" t="n"/>
      <c r="K148" s="90" t="n"/>
      <c r="L148" s="7" t="n"/>
      <c r="N148" s="7" t="n"/>
      <c r="P148" s="7" t="n"/>
      <c r="U148" s="117" t="n"/>
      <c r="V148" s="117" t="n"/>
      <c r="W148" s="117" t="n"/>
      <c r="X148" s="117" t="n"/>
      <c r="Y148" s="117" t="n"/>
    </row>
    <row r="149">
      <c r="C149" s="101" t="n"/>
      <c r="D149" s="90" t="n"/>
      <c r="F149" s="90" t="n"/>
      <c r="K149" s="90" t="n"/>
      <c r="L149" s="7" t="n"/>
      <c r="N149" s="7" t="n"/>
      <c r="P149" s="7" t="n"/>
      <c r="W149" s="117" t="n"/>
      <c r="X149" s="117" t="n"/>
      <c r="Y149" s="117" t="n"/>
    </row>
    <row r="150">
      <c r="C150" s="101" t="n"/>
      <c r="D150" s="90" t="n"/>
      <c r="F150" s="90" t="n"/>
      <c r="K150" s="90" t="n"/>
      <c r="L150" s="7" t="n"/>
      <c r="N150" s="7" t="n"/>
      <c r="P150" s="7" t="n"/>
      <c r="W150" s="117" t="n"/>
      <c r="X150" s="117" t="n"/>
      <c r="Y150" s="117" t="n"/>
    </row>
    <row r="151">
      <c r="C151" s="101" t="n"/>
      <c r="D151" s="90" t="n"/>
      <c r="F151" s="90" t="n"/>
      <c r="K151" s="90" t="n"/>
      <c r="L151" s="7" t="n"/>
      <c r="N151" s="7" t="n"/>
      <c r="P151" s="7" t="n"/>
    </row>
    <row r="152">
      <c r="C152" s="101" t="n"/>
      <c r="D152" s="90" t="n"/>
      <c r="F152" s="90" t="n"/>
      <c r="K152" s="90" t="n"/>
      <c r="L152" s="7" t="n"/>
      <c r="N152" s="7" t="n"/>
      <c r="P152" s="7" t="n"/>
      <c r="U152" s="117" t="n"/>
      <c r="V152" s="117" t="n"/>
      <c r="W152" s="117" t="n"/>
      <c r="X152" s="117" t="n"/>
      <c r="Y152" s="117" t="n"/>
    </row>
    <row r="153">
      <c r="C153" s="101" t="n"/>
      <c r="D153" s="90" t="n"/>
      <c r="F153" s="90" t="n"/>
      <c r="K153" s="90" t="n"/>
      <c r="L153" s="7" t="n"/>
      <c r="N153" s="7" t="n"/>
      <c r="P153" s="7" t="n"/>
      <c r="U153" s="117" t="n"/>
      <c r="V153" s="117" t="n"/>
      <c r="W153" s="117" t="n"/>
      <c r="X153" s="117" t="n"/>
      <c r="Y153" s="117" t="n"/>
    </row>
    <row r="154">
      <c r="C154" s="101" t="n"/>
      <c r="D154" s="90" t="n"/>
      <c r="F154" s="90" t="n"/>
      <c r="K154" s="90" t="n"/>
      <c r="L154" s="7" t="n"/>
      <c r="N154" s="7" t="n"/>
      <c r="P154" s="7" t="n"/>
      <c r="W154" s="117" t="n"/>
      <c r="X154" s="117" t="n"/>
      <c r="Y154" s="117" t="n"/>
    </row>
    <row r="155">
      <c r="C155" s="101" t="n"/>
      <c r="D155" s="90" t="n"/>
      <c r="F155" s="90" t="n"/>
      <c r="K155" s="90" t="n"/>
      <c r="L155" s="7" t="n"/>
      <c r="N155" s="7" t="n"/>
      <c r="P155" s="7" t="n"/>
      <c r="W155" s="117" t="n"/>
      <c r="X155" s="117" t="n"/>
      <c r="Y155" s="117" t="n"/>
    </row>
    <row r="156">
      <c r="C156" s="101" t="n"/>
      <c r="D156" s="90" t="n"/>
      <c r="F156" s="90" t="n"/>
      <c r="K156" s="90" t="n"/>
      <c r="L156" s="7" t="n"/>
      <c r="N156" s="7" t="n"/>
      <c r="P156" s="7" t="n"/>
    </row>
    <row r="157">
      <c r="C157" s="101" t="n"/>
      <c r="D157" s="90" t="n"/>
      <c r="F157" s="90" t="n"/>
      <c r="K157" s="90" t="n"/>
      <c r="L157" s="7" t="n"/>
      <c r="N157" s="7" t="n"/>
      <c r="P157" s="7" t="n"/>
      <c r="U157" s="117" t="n"/>
      <c r="V157" s="117" t="n"/>
      <c r="W157" s="117" t="n"/>
      <c r="X157" s="117" t="n"/>
      <c r="Y157" s="117" t="n"/>
    </row>
    <row r="158">
      <c r="C158" s="101" t="n"/>
      <c r="D158" s="90" t="n"/>
      <c r="F158" s="90" t="n"/>
      <c r="K158" s="90" t="n"/>
      <c r="L158" s="7" t="n"/>
      <c r="N158" s="7" t="n"/>
      <c r="P158" s="7" t="n"/>
      <c r="U158" s="117" t="n"/>
      <c r="V158" s="117" t="n"/>
      <c r="W158" s="117" t="n"/>
      <c r="X158" s="117" t="n"/>
      <c r="Y158" s="117" t="n"/>
    </row>
    <row r="159">
      <c r="C159" s="101" t="n"/>
      <c r="D159" s="90" t="n"/>
      <c r="F159" s="90" t="n"/>
      <c r="K159" s="90" t="n"/>
      <c r="L159" s="7" t="n"/>
      <c r="N159" s="7" t="n"/>
      <c r="P159" s="7" t="n"/>
      <c r="W159" s="117" t="n"/>
      <c r="X159" s="117" t="n"/>
      <c r="Y159" s="117" t="n"/>
    </row>
    <row r="160">
      <c r="C160" s="101" t="n"/>
      <c r="D160" s="90" t="n"/>
      <c r="F160" s="90" t="n"/>
      <c r="K160" s="90" t="n"/>
      <c r="L160" s="7" t="n"/>
      <c r="N160" s="7" t="n"/>
      <c r="P160" s="7" t="n"/>
      <c r="W160" s="117" t="n"/>
      <c r="X160" s="117" t="n"/>
      <c r="Y160" s="117" t="n"/>
    </row>
    <row r="161">
      <c r="C161" s="101" t="n"/>
      <c r="D161" s="90" t="n"/>
      <c r="F161" s="90" t="n"/>
      <c r="K161" s="90" t="n"/>
      <c r="L161" s="7" t="n"/>
      <c r="N161" s="7" t="n"/>
      <c r="P161" s="7" t="n"/>
    </row>
    <row r="162">
      <c r="C162" s="101" t="n"/>
      <c r="D162" s="90" t="n"/>
      <c r="F162" s="90" t="n"/>
      <c r="K162" s="90" t="n"/>
      <c r="L162" s="7" t="n"/>
      <c r="N162" s="7" t="n"/>
      <c r="P162" s="7" t="n"/>
      <c r="U162" s="117" t="n"/>
      <c r="V162" s="117" t="n"/>
      <c r="W162" s="117" t="n"/>
      <c r="X162" s="117" t="n"/>
      <c r="Y162" s="117" t="n"/>
    </row>
    <row r="163">
      <c r="C163" s="101" t="n"/>
      <c r="D163" s="90" t="n"/>
      <c r="F163" s="90" t="n"/>
      <c r="K163" s="90" t="n"/>
      <c r="L163" s="7" t="n"/>
      <c r="N163" s="7" t="n"/>
      <c r="P163" s="7" t="n"/>
      <c r="U163" s="117" t="n"/>
      <c r="V163" s="117" t="n"/>
      <c r="W163" s="117" t="n"/>
      <c r="X163" s="117" t="n"/>
      <c r="Y163" s="117" t="n"/>
    </row>
    <row r="164">
      <c r="C164" s="101" t="n"/>
      <c r="D164" s="90" t="n"/>
      <c r="F164" s="90" t="n"/>
      <c r="K164" s="90" t="n"/>
      <c r="L164" s="7" t="n"/>
      <c r="N164" s="7" t="n"/>
      <c r="P164" s="7" t="n"/>
      <c r="W164" s="117" t="n"/>
      <c r="X164" s="117" t="n"/>
      <c r="Y164" s="117" t="n"/>
    </row>
    <row r="165">
      <c r="C165" s="101" t="n"/>
      <c r="D165" s="90" t="n"/>
      <c r="F165" s="90" t="n"/>
      <c r="K165" s="90" t="n"/>
      <c r="L165" s="7" t="n"/>
      <c r="N165" s="7" t="n"/>
      <c r="P165" s="7" t="n"/>
      <c r="W165" s="117" t="n"/>
      <c r="X165" s="117" t="n"/>
      <c r="Y165" s="117" t="n"/>
    </row>
    <row r="166">
      <c r="C166" s="101" t="n"/>
      <c r="D166" s="90" t="n"/>
      <c r="F166" s="90" t="n"/>
      <c r="K166" s="90" t="n"/>
      <c r="L166" s="7" t="n"/>
      <c r="N166" s="7" t="n"/>
      <c r="P166" s="7" t="n"/>
    </row>
    <row r="167">
      <c r="C167" s="101" t="n"/>
      <c r="D167" s="90" t="n"/>
      <c r="F167" s="90" t="n"/>
      <c r="K167" s="90" t="n"/>
      <c r="L167" s="7" t="n"/>
      <c r="N167" s="7" t="n"/>
      <c r="P167" s="7" t="n"/>
      <c r="U167" s="117" t="n"/>
      <c r="V167" s="117" t="n"/>
      <c r="W167" s="117" t="n"/>
      <c r="X167" s="117" t="n"/>
      <c r="Y167" s="117" t="n"/>
    </row>
    <row r="168">
      <c r="C168" s="101" t="n"/>
      <c r="D168" s="90" t="n"/>
      <c r="F168" s="90" t="n"/>
      <c r="K168" s="90" t="n"/>
      <c r="L168" s="7" t="n"/>
      <c r="N168" s="7" t="n"/>
      <c r="P168" s="7" t="n"/>
      <c r="U168" s="117" t="n"/>
      <c r="V168" s="117" t="n"/>
      <c r="W168" s="117" t="n"/>
      <c r="X168" s="117" t="n"/>
      <c r="Y168" s="117" t="n"/>
    </row>
    <row r="169">
      <c r="C169" s="101" t="n"/>
      <c r="D169" s="90" t="n"/>
      <c r="F169" s="90" t="n"/>
      <c r="K169" s="90" t="n"/>
      <c r="L169" s="7" t="n"/>
      <c r="N169" s="7" t="n"/>
      <c r="P169" s="7" t="n"/>
      <c r="W169" s="117" t="n"/>
      <c r="X169" s="117" t="n"/>
      <c r="Y169" s="117" t="n"/>
    </row>
    <row r="170">
      <c r="C170" s="101" t="n"/>
      <c r="D170" s="90" t="n"/>
      <c r="F170" s="90" t="n"/>
      <c r="K170" s="90" t="n"/>
      <c r="L170" s="7" t="n"/>
      <c r="N170" s="7" t="n"/>
      <c r="P170" s="7" t="n"/>
      <c r="W170" s="117" t="n"/>
      <c r="X170" s="117" t="n"/>
      <c r="Y170" s="117" t="n"/>
    </row>
    <row r="171">
      <c r="C171" s="101" t="n"/>
      <c r="D171" s="90" t="n"/>
      <c r="F171" s="90" t="n"/>
      <c r="K171" s="90" t="n"/>
      <c r="L171" s="7" t="n"/>
      <c r="N171" s="7" t="n"/>
      <c r="P171" s="7" t="n"/>
    </row>
    <row r="172">
      <c r="C172" s="101" t="n"/>
      <c r="D172" s="90" t="n"/>
      <c r="F172" s="90" t="n"/>
      <c r="K172" s="90" t="n"/>
      <c r="L172" s="7" t="n"/>
      <c r="N172" s="7" t="n"/>
      <c r="P172" s="7" t="n"/>
      <c r="U172" s="117" t="n"/>
      <c r="V172" s="117" t="n"/>
      <c r="W172" s="117" t="n"/>
      <c r="X172" s="117" t="n"/>
      <c r="Y172" s="117" t="n"/>
    </row>
    <row r="173">
      <c r="C173" s="101" t="n"/>
      <c r="D173" s="90" t="n"/>
      <c r="F173" s="90" t="n"/>
      <c r="K173" s="90" t="n"/>
      <c r="L173" s="7" t="n"/>
      <c r="N173" s="7" t="n"/>
      <c r="P173" s="7" t="n"/>
      <c r="U173" s="117" t="n"/>
      <c r="V173" s="117" t="n"/>
      <c r="W173" s="117" t="n"/>
      <c r="X173" s="117" t="n"/>
      <c r="Y173" s="117" t="n"/>
    </row>
    <row r="174">
      <c r="C174" s="101" t="n"/>
      <c r="D174" s="90" t="n"/>
      <c r="F174" s="90" t="n"/>
      <c r="K174" s="90" t="n"/>
      <c r="L174" s="7" t="n"/>
      <c r="N174" s="7" t="n"/>
      <c r="P174" s="7" t="n"/>
      <c r="W174" s="117" t="n"/>
      <c r="X174" s="117" t="n"/>
      <c r="Y174" s="117" t="n"/>
    </row>
    <row r="175">
      <c r="C175" s="101" t="n"/>
      <c r="D175" s="90" t="n"/>
      <c r="F175" s="90" t="n"/>
      <c r="K175" s="90" t="n"/>
      <c r="L175" s="7" t="n"/>
      <c r="N175" s="7" t="n"/>
      <c r="P175" s="7" t="n"/>
      <c r="W175" s="117" t="n"/>
      <c r="X175" s="117" t="n"/>
      <c r="Y175" s="117" t="n"/>
    </row>
    <row r="176">
      <c r="C176" s="101" t="n"/>
      <c r="D176" s="90" t="n"/>
      <c r="F176" s="90" t="n"/>
      <c r="K176" s="90" t="n"/>
      <c r="L176" s="7" t="n"/>
      <c r="N176" s="7" t="n"/>
      <c r="P176" s="7" t="n"/>
    </row>
    <row r="177">
      <c r="C177" s="101" t="n"/>
      <c r="D177" s="90" t="n"/>
      <c r="F177" s="90" t="n"/>
      <c r="K177" s="90" t="n"/>
      <c r="L177" s="7" t="n"/>
      <c r="N177" s="7" t="n"/>
      <c r="P177" s="7" t="n"/>
      <c r="U177" s="117" t="n"/>
      <c r="V177" s="117" t="n"/>
      <c r="W177" s="117" t="n"/>
      <c r="X177" s="117" t="n"/>
      <c r="Y177" s="117" t="n"/>
    </row>
    <row r="178">
      <c r="C178" s="101" t="n"/>
      <c r="D178" s="90" t="n"/>
      <c r="F178" s="90" t="n"/>
      <c r="K178" s="90" t="n"/>
      <c r="L178" s="7" t="n"/>
      <c r="N178" s="7" t="n"/>
      <c r="P178" s="7" t="n"/>
      <c r="U178" s="117" t="n"/>
      <c r="V178" s="117" t="n"/>
      <c r="W178" s="117" t="n"/>
      <c r="X178" s="117" t="n"/>
      <c r="Y178" s="117" t="n"/>
    </row>
    <row r="179">
      <c r="C179" s="101" t="n"/>
      <c r="D179" s="90" t="n"/>
      <c r="F179" s="90" t="n"/>
      <c r="K179" s="90" t="n"/>
      <c r="L179" s="7" t="n"/>
      <c r="N179" s="7" t="n"/>
      <c r="P179" s="7" t="n"/>
      <c r="W179" s="117" t="n"/>
      <c r="X179" s="117" t="n"/>
      <c r="Y179" s="117" t="n"/>
    </row>
    <row r="180">
      <c r="C180" s="101" t="n"/>
      <c r="D180" s="90" t="n"/>
      <c r="F180" s="90" t="n"/>
      <c r="K180" s="90" t="n"/>
      <c r="L180" s="7" t="n"/>
      <c r="N180" s="7" t="n"/>
      <c r="P180" s="7" t="n"/>
      <c r="W180" s="117" t="n"/>
      <c r="X180" s="117" t="n"/>
      <c r="Y180" s="117" t="n"/>
    </row>
    <row r="181">
      <c r="C181" s="101" t="n"/>
      <c r="D181" s="90" t="n"/>
      <c r="F181" s="90" t="n"/>
      <c r="K181" s="90" t="n"/>
      <c r="L181" s="7" t="n"/>
      <c r="N181" s="7" t="n"/>
      <c r="P181" s="7" t="n"/>
    </row>
    <row r="182">
      <c r="C182" s="101" t="n"/>
      <c r="D182" s="90" t="n"/>
      <c r="F182" s="90" t="n"/>
      <c r="K182" s="90" t="n"/>
      <c r="L182" s="7" t="n"/>
      <c r="N182" s="7" t="n"/>
      <c r="P182" s="7" t="n"/>
      <c r="U182" s="117" t="n"/>
      <c r="V182" s="117" t="n"/>
      <c r="W182" s="117" t="n"/>
      <c r="X182" s="117" t="n"/>
      <c r="Y182" s="117" t="n"/>
    </row>
    <row r="183">
      <c r="C183" s="101" t="n"/>
      <c r="D183" s="90" t="n"/>
      <c r="F183" s="90" t="n"/>
      <c r="K183" s="90" t="n"/>
      <c r="L183" s="7" t="n"/>
      <c r="N183" s="7" t="n"/>
      <c r="P183" s="7" t="n"/>
      <c r="U183" s="117" t="n"/>
      <c r="V183" s="117" t="n"/>
      <c r="W183" s="117" t="n"/>
      <c r="X183" s="117" t="n"/>
      <c r="Y183" s="117" t="n"/>
    </row>
    <row r="184">
      <c r="C184" s="101" t="n"/>
      <c r="D184" s="90" t="n"/>
      <c r="F184" s="90" t="n"/>
      <c r="K184" s="90" t="n"/>
      <c r="L184" s="7" t="n"/>
      <c r="N184" s="7" t="n"/>
      <c r="P184" s="7" t="n"/>
      <c r="W184" s="117" t="n"/>
      <c r="X184" s="117" t="n"/>
      <c r="Y184" s="117" t="n"/>
    </row>
    <row r="185">
      <c r="C185" s="101" t="n"/>
      <c r="D185" s="90" t="n"/>
      <c r="F185" s="90" t="n"/>
      <c r="K185" s="90" t="n"/>
      <c r="L185" s="7" t="n"/>
      <c r="N185" s="7" t="n"/>
      <c r="P185" s="7" t="n"/>
      <c r="W185" s="117" t="n"/>
      <c r="X185" s="117" t="n"/>
      <c r="Y185" s="117" t="n"/>
    </row>
    <row r="186">
      <c r="C186" s="101" t="n"/>
      <c r="D186" s="90" t="n"/>
      <c r="F186" s="90" t="n"/>
      <c r="K186" s="90" t="n"/>
      <c r="L186" s="7" t="n"/>
      <c r="N186" s="7" t="n"/>
      <c r="P186" s="7" t="n"/>
    </row>
    <row r="187">
      <c r="C187" s="101" t="n"/>
      <c r="D187" s="90" t="n"/>
      <c r="F187" s="90" t="n"/>
      <c r="K187" s="90" t="n"/>
      <c r="L187" s="7" t="n"/>
      <c r="N187" s="7" t="n"/>
      <c r="P187" s="7" t="n"/>
      <c r="U187" s="117" t="n"/>
      <c r="V187" s="117" t="n"/>
      <c r="W187" s="117" t="n"/>
      <c r="X187" s="117" t="n"/>
      <c r="Y187" s="117" t="n"/>
    </row>
    <row r="188">
      <c r="C188" s="101" t="n"/>
      <c r="D188" s="90" t="n"/>
      <c r="F188" s="90" t="n"/>
      <c r="K188" s="90" t="n"/>
      <c r="L188" s="7" t="n"/>
      <c r="N188" s="7" t="n"/>
      <c r="P188" s="7" t="n"/>
      <c r="U188" s="117" t="n"/>
      <c r="V188" s="117" t="n"/>
      <c r="W188" s="117" t="n"/>
      <c r="X188" s="117" t="n"/>
      <c r="Y188" s="117" t="n"/>
    </row>
    <row r="189">
      <c r="C189" s="101" t="n"/>
      <c r="D189" s="90" t="n"/>
      <c r="F189" s="90" t="n"/>
      <c r="K189" s="90" t="n"/>
      <c r="L189" s="7" t="n"/>
      <c r="N189" s="7" t="n"/>
      <c r="P189" s="7" t="n"/>
      <c r="W189" s="117" t="n"/>
      <c r="X189" s="117" t="n"/>
      <c r="Y189" s="117" t="n"/>
    </row>
    <row r="190">
      <c r="C190" s="101" t="n"/>
      <c r="D190" s="90" t="n"/>
      <c r="F190" s="90" t="n"/>
      <c r="K190" s="90" t="n"/>
      <c r="L190" s="7" t="n"/>
      <c r="N190" s="7" t="n"/>
      <c r="P190" s="7" t="n"/>
      <c r="W190" s="117" t="n"/>
      <c r="X190" s="117" t="n"/>
      <c r="Y190" s="117" t="n"/>
    </row>
    <row r="191">
      <c r="C191" s="101" t="n"/>
      <c r="D191" s="90" t="n"/>
      <c r="F191" s="90" t="n"/>
      <c r="K191" s="90" t="n"/>
      <c r="L191" s="7" t="n"/>
      <c r="N191" s="7" t="n"/>
      <c r="P191" s="7" t="n"/>
    </row>
    <row r="192">
      <c r="C192" s="101" t="n"/>
      <c r="D192" s="90" t="n"/>
      <c r="F192" s="90" t="n"/>
      <c r="K192" s="90" t="n"/>
      <c r="L192" s="7" t="n"/>
      <c r="N192" s="7" t="n"/>
      <c r="P192" s="7" t="n"/>
      <c r="U192" s="117" t="n"/>
      <c r="V192" s="117" t="n"/>
      <c r="W192" s="117" t="n"/>
      <c r="X192" s="117" t="n"/>
      <c r="Y192" s="117" t="n"/>
    </row>
    <row r="193">
      <c r="C193" s="101" t="n"/>
      <c r="D193" s="90" t="n"/>
      <c r="F193" s="90" t="n"/>
      <c r="K193" s="90" t="n"/>
      <c r="L193" s="7" t="n"/>
      <c r="N193" s="7" t="n"/>
      <c r="P193" s="7" t="n"/>
      <c r="U193" s="117" t="n"/>
      <c r="V193" s="117" t="n"/>
      <c r="W193" s="117" t="n"/>
      <c r="X193" s="117" t="n"/>
      <c r="Y193" s="117" t="n"/>
    </row>
    <row r="194">
      <c r="C194" s="101" t="n"/>
      <c r="D194" s="90" t="n"/>
      <c r="F194" s="90" t="n"/>
      <c r="K194" s="90" t="n"/>
      <c r="L194" s="7" t="n"/>
      <c r="N194" s="7" t="n"/>
      <c r="P194" s="7" t="n"/>
      <c r="W194" s="117" t="n"/>
      <c r="X194" s="117" t="n"/>
      <c r="Y194" s="117" t="n"/>
    </row>
    <row r="195">
      <c r="C195" s="101" t="n"/>
      <c r="D195" s="90" t="n"/>
      <c r="F195" s="90" t="n"/>
      <c r="K195" s="90" t="n"/>
      <c r="L195" s="7" t="n"/>
      <c r="N195" s="7" t="n"/>
      <c r="P195" s="7" t="n"/>
      <c r="W195" s="117" t="n"/>
      <c r="X195" s="117" t="n"/>
      <c r="Y195" s="117" t="n"/>
    </row>
    <row r="196">
      <c r="C196" s="101" t="n"/>
      <c r="D196" s="90" t="n"/>
      <c r="F196" s="90" t="n"/>
      <c r="K196" s="90" t="n"/>
      <c r="L196" s="7" t="n"/>
      <c r="N196" s="7" t="n"/>
      <c r="P196" s="7" t="n"/>
    </row>
    <row r="197">
      <c r="C197" s="101" t="n"/>
      <c r="D197" s="90" t="n"/>
      <c r="F197" s="90" t="n"/>
      <c r="K197" s="90" t="n"/>
      <c r="L197" s="7" t="n"/>
      <c r="N197" s="7" t="n"/>
      <c r="P197" s="7" t="n"/>
      <c r="U197" s="117" t="n"/>
      <c r="V197" s="117" t="n"/>
      <c r="W197" s="117" t="n"/>
      <c r="X197" s="117" t="n"/>
      <c r="Y197" s="117" t="n"/>
    </row>
    <row r="198">
      <c r="C198" s="101" t="n"/>
      <c r="D198" s="90" t="n"/>
      <c r="F198" s="90" t="n"/>
      <c r="K198" s="90" t="n"/>
      <c r="L198" s="7" t="n"/>
      <c r="N198" s="7" t="n"/>
      <c r="P198" s="7" t="n"/>
      <c r="U198" s="117" t="n"/>
      <c r="V198" s="117" t="n"/>
      <c r="W198" s="117" t="n"/>
      <c r="X198" s="117" t="n"/>
      <c r="Y198" s="117" t="n"/>
    </row>
    <row r="199">
      <c r="C199" s="101" t="n"/>
      <c r="D199" s="90" t="n"/>
      <c r="F199" s="90" t="n"/>
      <c r="K199" s="90" t="n"/>
      <c r="L199" s="7" t="n"/>
      <c r="N199" s="7" t="n"/>
      <c r="P199" s="7" t="n"/>
      <c r="W199" s="117" t="n"/>
      <c r="X199" s="117" t="n"/>
      <c r="Y199" s="117" t="n"/>
    </row>
    <row r="200">
      <c r="C200" s="101" t="n"/>
      <c r="D200" s="90" t="n"/>
      <c r="F200" s="90" t="n"/>
      <c r="K200" s="90" t="n"/>
      <c r="L200" s="7" t="n"/>
      <c r="N200" s="7" t="n"/>
      <c r="P200" s="7" t="n"/>
      <c r="W200" s="117" t="n"/>
      <c r="X200" s="117" t="n"/>
      <c r="Y200" s="117" t="n"/>
    </row>
    <row r="201">
      <c r="C201" s="101" t="n"/>
      <c r="D201" s="90" t="n"/>
      <c r="F201" s="90" t="n"/>
      <c r="K201" s="90" t="n"/>
      <c r="L201" s="7" t="n"/>
      <c r="N201" s="7" t="n"/>
      <c r="P201" s="7" t="n"/>
    </row>
    <row r="202">
      <c r="C202" s="101" t="n"/>
      <c r="D202" s="90" t="n"/>
      <c r="F202" s="90" t="n"/>
      <c r="K202" s="90" t="n"/>
      <c r="L202" s="7" t="n"/>
      <c r="N202" s="7" t="n"/>
      <c r="P202" s="7" t="n"/>
      <c r="U202" s="117" t="n"/>
      <c r="V202" s="117" t="n"/>
      <c r="W202" s="117" t="n"/>
      <c r="X202" s="117" t="n"/>
      <c r="Y202" s="117" t="n"/>
    </row>
    <row r="203">
      <c r="C203" s="101" t="n"/>
      <c r="D203" s="90" t="n"/>
      <c r="F203" s="90" t="n"/>
      <c r="K203" s="90" t="n"/>
      <c r="L203" s="7" t="n"/>
      <c r="N203" s="7" t="n"/>
      <c r="P203" s="7" t="n"/>
      <c r="U203" s="117" t="n"/>
      <c r="V203" s="117" t="n"/>
      <c r="W203" s="117" t="n"/>
      <c r="X203" s="117" t="n"/>
      <c r="Y203" s="117" t="n"/>
    </row>
    <row r="204">
      <c r="C204" s="101" t="n"/>
      <c r="D204" s="90" t="n"/>
      <c r="F204" s="90" t="n"/>
      <c r="K204" s="90" t="n"/>
      <c r="L204" s="7" t="n"/>
      <c r="N204" s="7" t="n"/>
      <c r="P204" s="7" t="n"/>
      <c r="W204" s="117" t="n"/>
      <c r="X204" s="117" t="n"/>
      <c r="Y204" s="117" t="n"/>
    </row>
    <row r="205">
      <c r="C205" s="101" t="n"/>
      <c r="D205" s="90" t="n"/>
      <c r="F205" s="90" t="n"/>
      <c r="K205" s="90" t="n"/>
      <c r="L205" s="7" t="n"/>
      <c r="N205" s="7" t="n"/>
      <c r="P205" s="7" t="n"/>
      <c r="W205" s="117" t="n"/>
      <c r="X205" s="117" t="n"/>
      <c r="Y205" s="117" t="n"/>
    </row>
    <row r="206">
      <c r="C206" s="101" t="n"/>
      <c r="D206" s="90" t="n"/>
      <c r="F206" s="90" t="n"/>
      <c r="K206" s="90" t="n"/>
      <c r="L206" s="7" t="n"/>
      <c r="N206" s="7" t="n"/>
      <c r="P206" s="7" t="n"/>
    </row>
    <row r="207">
      <c r="C207" s="101" t="n"/>
      <c r="D207" s="90" t="n"/>
      <c r="F207" s="90" t="n"/>
      <c r="K207" s="90" t="n"/>
      <c r="L207" s="7" t="n"/>
      <c r="N207" s="7" t="n"/>
      <c r="P207" s="7" t="n"/>
      <c r="U207" s="117" t="n"/>
      <c r="V207" s="117" t="n"/>
      <c r="W207" s="117" t="n"/>
      <c r="X207" s="117" t="n"/>
      <c r="Y207" s="117" t="n"/>
    </row>
    <row r="208">
      <c r="C208" s="101" t="n"/>
      <c r="D208" s="90" t="n"/>
      <c r="F208" s="90" t="n"/>
      <c r="K208" s="90" t="n"/>
      <c r="L208" s="7" t="n"/>
      <c r="N208" s="7" t="n"/>
      <c r="P208" s="7" t="n"/>
      <c r="U208" s="117" t="n"/>
      <c r="V208" s="117" t="n"/>
      <c r="W208" s="117" t="n"/>
      <c r="X208" s="117" t="n"/>
      <c r="Y208" s="117" t="n"/>
    </row>
    <row r="209">
      <c r="C209" s="101" t="n"/>
      <c r="D209" s="90" t="n"/>
      <c r="F209" s="90" t="n"/>
      <c r="K209" s="90" t="n"/>
      <c r="L209" s="7" t="n"/>
      <c r="N209" s="7" t="n"/>
      <c r="P209" s="7" t="n"/>
      <c r="W209" s="117" t="n"/>
      <c r="X209" s="117" t="n"/>
      <c r="Y209" s="117" t="n"/>
    </row>
    <row r="210">
      <c r="C210" s="101" t="n"/>
      <c r="D210" s="90" t="n"/>
      <c r="F210" s="90" t="n"/>
      <c r="K210" s="90" t="n"/>
      <c r="L210" s="7" t="n"/>
      <c r="N210" s="7" t="n"/>
      <c r="P210" s="7" t="n"/>
      <c r="W210" s="117" t="n"/>
      <c r="X210" s="117" t="n"/>
      <c r="Y210" s="117" t="n"/>
    </row>
    <row r="211">
      <c r="C211" s="101" t="n"/>
      <c r="D211" s="90" t="n"/>
      <c r="F211" s="90" t="n"/>
      <c r="K211" s="90" t="n"/>
      <c r="L211" s="7" t="n"/>
      <c r="N211" s="7" t="n"/>
      <c r="P211" s="7" t="n"/>
    </row>
    <row r="212">
      <c r="C212" s="101" t="n"/>
      <c r="D212" s="90" t="n"/>
      <c r="F212" s="90" t="n"/>
      <c r="K212" s="90" t="n"/>
      <c r="L212" s="7" t="n"/>
      <c r="N212" s="7" t="n"/>
      <c r="P212" s="7" t="n"/>
      <c r="U212" s="117" t="n"/>
      <c r="V212" s="117" t="n"/>
      <c r="W212" s="117" t="n"/>
      <c r="X212" s="117" t="n"/>
      <c r="Y212" s="117" t="n"/>
    </row>
    <row r="213">
      <c r="C213" s="101" t="n"/>
      <c r="D213" s="90" t="n"/>
      <c r="F213" s="90" t="n"/>
      <c r="K213" s="90" t="n"/>
      <c r="L213" s="7" t="n"/>
      <c r="N213" s="7" t="n"/>
      <c r="P213" s="7" t="n"/>
      <c r="U213" s="117" t="n"/>
      <c r="V213" s="117" t="n"/>
      <c r="W213" s="117" t="n"/>
      <c r="X213" s="117" t="n"/>
      <c r="Y213" s="117" t="n"/>
    </row>
    <row r="214">
      <c r="C214" s="101" t="n"/>
      <c r="D214" s="90" t="n"/>
      <c r="F214" s="90" t="n"/>
      <c r="K214" s="90" t="n"/>
      <c r="L214" s="7" t="n"/>
      <c r="N214" s="7" t="n"/>
      <c r="P214" s="7" t="n"/>
      <c r="W214" s="117" t="n"/>
      <c r="X214" s="117" t="n"/>
      <c r="Y214" s="117" t="n"/>
    </row>
    <row r="215">
      <c r="C215" s="101" t="n"/>
      <c r="D215" s="90" t="n"/>
      <c r="F215" s="90" t="n"/>
      <c r="K215" s="90" t="n"/>
      <c r="L215" s="7" t="n"/>
      <c r="N215" s="7" t="n"/>
      <c r="P215" s="7" t="n"/>
      <c r="W215" s="117" t="n"/>
      <c r="X215" s="117" t="n"/>
      <c r="Y215" s="117" t="n"/>
    </row>
    <row r="216">
      <c r="C216" s="101" t="n"/>
      <c r="D216" s="90" t="n"/>
      <c r="F216" s="90" t="n"/>
      <c r="K216" s="90" t="n"/>
      <c r="L216" s="7" t="n"/>
      <c r="N216" s="7" t="n"/>
      <c r="P216" s="7" t="n"/>
    </row>
    <row r="217">
      <c r="C217" s="101" t="n"/>
      <c r="D217" s="90" t="n"/>
      <c r="F217" s="90" t="n"/>
      <c r="K217" s="90" t="n"/>
      <c r="L217" s="7" t="n"/>
      <c r="N217" s="7" t="n"/>
      <c r="P217" s="7" t="n"/>
      <c r="U217" s="117" t="n"/>
      <c r="V217" s="117" t="n"/>
      <c r="W217" s="117" t="n"/>
      <c r="X217" s="117" t="n"/>
      <c r="Y217" s="117" t="n"/>
    </row>
    <row r="218">
      <c r="C218" s="101" t="n"/>
      <c r="D218" s="90" t="n"/>
      <c r="F218" s="90" t="n"/>
      <c r="K218" s="90" t="n"/>
      <c r="L218" s="7" t="n"/>
      <c r="N218" s="7" t="n"/>
      <c r="P218" s="7" t="n"/>
      <c r="U218" s="117" t="n"/>
      <c r="V218" s="117" t="n"/>
      <c r="W218" s="117" t="n"/>
      <c r="X218" s="117" t="n"/>
      <c r="Y218" s="117" t="n"/>
    </row>
    <row r="219">
      <c r="C219" s="101" t="n"/>
      <c r="D219" s="90" t="n"/>
      <c r="F219" s="90" t="n"/>
      <c r="K219" s="90" t="n"/>
      <c r="L219" s="7" t="n"/>
      <c r="N219" s="7" t="n"/>
      <c r="P219" s="7" t="n"/>
      <c r="W219" s="117" t="n"/>
      <c r="X219" s="117" t="n"/>
      <c r="Y219" s="117" t="n"/>
    </row>
    <row r="220">
      <c r="C220" s="101" t="n"/>
      <c r="D220" s="90" t="n"/>
      <c r="F220" s="90" t="n"/>
      <c r="K220" s="90" t="n"/>
      <c r="L220" s="7" t="n"/>
      <c r="N220" s="7" t="n"/>
      <c r="P220" s="7" t="n"/>
      <c r="W220" s="117" t="n"/>
      <c r="X220" s="117" t="n"/>
      <c r="Y220" s="117" t="n"/>
    </row>
    <row r="221">
      <c r="C221" s="101" t="n"/>
      <c r="D221" s="90" t="n"/>
      <c r="F221" s="90" t="n"/>
      <c r="K221" s="90" t="n"/>
      <c r="L221" s="7" t="n"/>
      <c r="N221" s="7" t="n"/>
      <c r="P221" s="7" t="n"/>
    </row>
    <row r="222">
      <c r="C222" s="101" t="n"/>
      <c r="D222" s="90" t="n"/>
      <c r="F222" s="90" t="n"/>
      <c r="K222" s="90" t="n"/>
      <c r="L222" s="7" t="n"/>
      <c r="N222" s="7" t="n"/>
      <c r="P222" s="7" t="n"/>
      <c r="U222" s="117" t="n"/>
      <c r="V222" s="117" t="n"/>
      <c r="W222" s="117" t="n"/>
      <c r="X222" s="117" t="n"/>
      <c r="Y222" s="117" t="n"/>
    </row>
    <row r="223">
      <c r="C223" s="101" t="n"/>
      <c r="D223" s="90" t="n"/>
      <c r="F223" s="90" t="n"/>
      <c r="K223" s="90" t="n"/>
      <c r="L223" s="7" t="n"/>
      <c r="N223" s="7" t="n"/>
      <c r="P223" s="7" t="n"/>
      <c r="U223" s="117" t="n"/>
      <c r="V223" s="117" t="n"/>
      <c r="W223" s="117" t="n"/>
      <c r="X223" s="117" t="n"/>
      <c r="Y223" s="117" t="n"/>
    </row>
    <row r="224">
      <c r="C224" s="101" t="n"/>
      <c r="D224" s="90" t="n"/>
      <c r="F224" s="90" t="n"/>
      <c r="K224" s="90" t="n"/>
      <c r="L224" s="7" t="n"/>
      <c r="N224" s="7" t="n"/>
      <c r="P224" s="7" t="n"/>
      <c r="W224" s="117" t="n"/>
      <c r="X224" s="117" t="n"/>
      <c r="Y224" s="117" t="n"/>
    </row>
    <row r="225">
      <c r="C225" s="101" t="n"/>
      <c r="D225" s="90" t="n"/>
      <c r="F225" s="90" t="n"/>
      <c r="K225" s="90" t="n"/>
      <c r="L225" s="7" t="n"/>
      <c r="N225" s="7" t="n"/>
      <c r="P225" s="7" t="n"/>
      <c r="W225" s="117" t="n"/>
      <c r="X225" s="117" t="n"/>
      <c r="Y225" s="117" t="n"/>
    </row>
    <row r="226">
      <c r="C226" s="101" t="n"/>
      <c r="D226" s="90" t="n"/>
      <c r="F226" s="90" t="n"/>
      <c r="K226" s="90" t="n"/>
      <c r="L226" s="7" t="n"/>
      <c r="N226" s="7" t="n"/>
      <c r="P226" s="7" t="n"/>
    </row>
    <row r="227">
      <c r="C227" s="101" t="n"/>
      <c r="D227" s="90" t="n"/>
      <c r="F227" s="90" t="n"/>
      <c r="K227" s="90" t="n"/>
      <c r="L227" s="7" t="n"/>
      <c r="N227" s="7" t="n"/>
      <c r="P227" s="7" t="n"/>
      <c r="U227" s="117" t="n"/>
      <c r="V227" s="117" t="n"/>
      <c r="W227" s="117" t="n"/>
      <c r="X227" s="117" t="n"/>
      <c r="Y227" s="117" t="n"/>
    </row>
    <row r="228">
      <c r="C228" s="101" t="n"/>
      <c r="D228" s="90" t="n"/>
      <c r="F228" s="90" t="n"/>
      <c r="K228" s="90" t="n"/>
      <c r="L228" s="7" t="n"/>
      <c r="N228" s="7" t="n"/>
      <c r="P228" s="7" t="n"/>
      <c r="U228" s="117" t="n"/>
      <c r="V228" s="117" t="n"/>
      <c r="W228" s="117" t="n"/>
      <c r="X228" s="117" t="n"/>
      <c r="Y228" s="117" t="n"/>
    </row>
    <row r="229">
      <c r="C229" s="101" t="n"/>
      <c r="D229" s="90" t="n"/>
      <c r="F229" s="90" t="n"/>
      <c r="K229" s="90" t="n"/>
      <c r="L229" s="7" t="n"/>
      <c r="N229" s="7" t="n"/>
      <c r="P229" s="7" t="n"/>
      <c r="W229" s="117" t="n"/>
      <c r="X229" s="117" t="n"/>
      <c r="Y229" s="117" t="n"/>
    </row>
    <row r="230">
      <c r="C230" s="101" t="n"/>
      <c r="D230" s="90" t="n"/>
      <c r="F230" s="90" t="n"/>
      <c r="K230" s="90" t="n"/>
      <c r="L230" s="7" t="n"/>
      <c r="N230" s="7" t="n"/>
      <c r="P230" s="7" t="n"/>
      <c r="W230" s="117" t="n"/>
      <c r="X230" s="117" t="n"/>
      <c r="Y230" s="117" t="n"/>
    </row>
    <row r="231">
      <c r="C231" s="101" t="n"/>
      <c r="D231" s="90" t="n"/>
      <c r="F231" s="90" t="n"/>
      <c r="K231" s="90" t="n"/>
      <c r="L231" s="7" t="n"/>
      <c r="N231" s="7" t="n"/>
      <c r="P231" s="7" t="n"/>
    </row>
    <row r="232">
      <c r="C232" s="101" t="n"/>
      <c r="D232" s="90" t="n"/>
      <c r="F232" s="90" t="n"/>
      <c r="K232" s="90" t="n"/>
      <c r="L232" s="7" t="n"/>
      <c r="N232" s="7" t="n"/>
      <c r="P232" s="7" t="n"/>
      <c r="U232" s="117" t="n"/>
      <c r="V232" s="117" t="n"/>
      <c r="W232" s="117" t="n"/>
      <c r="X232" s="117" t="n"/>
      <c r="Y232" s="117" t="n"/>
    </row>
    <row r="233">
      <c r="C233" s="101" t="n"/>
      <c r="D233" s="90" t="n"/>
      <c r="F233" s="90" t="n"/>
      <c r="K233" s="90" t="n"/>
      <c r="L233" s="7" t="n"/>
      <c r="N233" s="7" t="n"/>
      <c r="P233" s="7" t="n"/>
      <c r="U233" s="117" t="n"/>
      <c r="V233" s="117" t="n"/>
      <c r="W233" s="117" t="n"/>
      <c r="X233" s="117" t="n"/>
      <c r="Y233" s="117" t="n"/>
    </row>
    <row r="234">
      <c r="C234" s="101" t="n"/>
      <c r="D234" s="90" t="n"/>
      <c r="F234" s="90" t="n"/>
      <c r="K234" s="90" t="n"/>
      <c r="L234" s="7" t="n"/>
      <c r="N234" s="7" t="n"/>
      <c r="P234" s="7" t="n"/>
      <c r="W234" s="117" t="n"/>
      <c r="X234" s="117" t="n"/>
      <c r="Y234" s="117" t="n"/>
    </row>
    <row r="235">
      <c r="C235" s="101" t="n"/>
      <c r="D235" s="90" t="n"/>
      <c r="F235" s="90" t="n"/>
      <c r="K235" s="90" t="n"/>
      <c r="L235" s="7" t="n"/>
      <c r="N235" s="7" t="n"/>
      <c r="P235" s="7" t="n"/>
      <c r="W235" s="117" t="n"/>
      <c r="X235" s="117" t="n"/>
      <c r="Y235" s="117" t="n"/>
    </row>
    <row r="236">
      <c r="C236" s="101" t="n"/>
      <c r="D236" s="90" t="n"/>
      <c r="F236" s="90" t="n"/>
      <c r="K236" s="90" t="n"/>
      <c r="L236" s="7" t="n"/>
      <c r="N236" s="7" t="n"/>
      <c r="P236" s="7" t="n"/>
    </row>
    <row r="237">
      <c r="C237" s="101" t="n"/>
      <c r="D237" s="90" t="n"/>
      <c r="F237" s="90" t="n"/>
      <c r="K237" s="90" t="n"/>
      <c r="L237" s="7" t="n"/>
      <c r="N237" s="7" t="n"/>
      <c r="P237" s="7" t="n"/>
      <c r="U237" s="117" t="n"/>
      <c r="V237" s="117" t="n"/>
      <c r="W237" s="117" t="n"/>
      <c r="X237" s="117" t="n"/>
      <c r="Y237" s="117" t="n"/>
    </row>
    <row r="238">
      <c r="C238" s="101" t="n"/>
      <c r="D238" s="90" t="n"/>
      <c r="F238" s="90" t="n"/>
      <c r="K238" s="90" t="n"/>
      <c r="L238" s="7" t="n"/>
      <c r="N238" s="7" t="n"/>
      <c r="P238" s="7" t="n"/>
      <c r="U238" s="117" t="n"/>
      <c r="V238" s="117" t="n"/>
      <c r="W238" s="117" t="n"/>
      <c r="X238" s="117" t="n"/>
      <c r="Y238" s="117" t="n"/>
    </row>
    <row r="239">
      <c r="C239" s="101" t="n"/>
      <c r="D239" s="90" t="n"/>
      <c r="F239" s="90" t="n"/>
      <c r="K239" s="90" t="n"/>
      <c r="L239" s="7" t="n"/>
      <c r="N239" s="7" t="n"/>
      <c r="P239" s="7" t="n"/>
      <c r="W239" s="117" t="n"/>
      <c r="X239" s="117" t="n"/>
      <c r="Y239" s="117" t="n"/>
    </row>
    <row r="240">
      <c r="C240" s="101" t="n"/>
      <c r="D240" s="90" t="n"/>
      <c r="F240" s="90" t="n"/>
      <c r="K240" s="90" t="n"/>
      <c r="L240" s="7" t="n"/>
      <c r="N240" s="7" t="n"/>
      <c r="P240" s="7" t="n"/>
      <c r="W240" s="117" t="n"/>
      <c r="X240" s="117" t="n"/>
      <c r="Y240" s="117" t="n"/>
    </row>
    <row r="241">
      <c r="C241" s="101" t="n"/>
      <c r="D241" s="90" t="n"/>
      <c r="F241" s="90" t="n"/>
      <c r="K241" s="90" t="n"/>
      <c r="L241" s="7" t="n"/>
      <c r="N241" s="7" t="n"/>
      <c r="P241" s="7" t="n"/>
    </row>
    <row r="242">
      <c r="C242" s="101" t="n"/>
      <c r="D242" s="90" t="n"/>
      <c r="F242" s="90" t="n"/>
      <c r="K242" s="90" t="n"/>
      <c r="L242" s="7" t="n"/>
      <c r="N242" s="7" t="n"/>
      <c r="P242" s="7" t="n"/>
      <c r="U242" s="117" t="n"/>
      <c r="V242" s="117" t="n"/>
      <c r="W242" s="117" t="n"/>
      <c r="X242" s="117" t="n"/>
      <c r="Y242" s="117" t="n"/>
    </row>
    <row r="243">
      <c r="C243" s="101" t="n"/>
      <c r="D243" s="90" t="n"/>
      <c r="F243" s="90" t="n"/>
      <c r="K243" s="90" t="n"/>
      <c r="L243" s="7" t="n"/>
      <c r="N243" s="7" t="n"/>
      <c r="P243" s="7" t="n"/>
      <c r="U243" s="117" t="n"/>
      <c r="V243" s="117" t="n"/>
      <c r="W243" s="117" t="n"/>
      <c r="X243" s="117" t="n"/>
      <c r="Y243" s="117" t="n"/>
    </row>
    <row r="244">
      <c r="C244" s="101" t="n"/>
      <c r="D244" s="90" t="n"/>
      <c r="F244" s="90" t="n"/>
      <c r="K244" s="90" t="n"/>
      <c r="L244" s="7" t="n"/>
      <c r="N244" s="7" t="n"/>
      <c r="P244" s="7" t="n"/>
      <c r="W244" s="117" t="n"/>
      <c r="X244" s="117" t="n"/>
      <c r="Y244" s="117" t="n"/>
    </row>
    <row r="245">
      <c r="C245" s="101" t="n"/>
      <c r="D245" s="90" t="n"/>
      <c r="F245" s="90" t="n"/>
      <c r="K245" s="90" t="n"/>
      <c r="L245" s="7" t="n"/>
      <c r="N245" s="7" t="n"/>
      <c r="P245" s="7" t="n"/>
      <c r="W245" s="117" t="n"/>
      <c r="X245" s="117" t="n"/>
      <c r="Y245" s="117" t="n"/>
    </row>
    <row r="246">
      <c r="C246" s="101" t="n"/>
      <c r="D246" s="90" t="n"/>
      <c r="F246" s="90" t="n"/>
      <c r="K246" s="90" t="n"/>
      <c r="L246" s="7" t="n"/>
      <c r="N246" s="7" t="n"/>
      <c r="P246" s="7" t="n"/>
    </row>
    <row r="247">
      <c r="C247" s="101" t="n"/>
      <c r="D247" s="90" t="n"/>
      <c r="F247" s="90" t="n"/>
      <c r="K247" s="90" t="n"/>
      <c r="L247" s="7" t="n"/>
      <c r="N247" s="7" t="n"/>
      <c r="P247" s="7" t="n"/>
      <c r="U247" s="117" t="n"/>
      <c r="V247" s="117" t="n"/>
      <c r="W247" s="117" t="n"/>
      <c r="X247" s="117" t="n"/>
      <c r="Y247" s="117" t="n"/>
    </row>
    <row r="248">
      <c r="C248" s="101" t="n"/>
      <c r="D248" s="90" t="n"/>
      <c r="F248" s="90" t="n"/>
      <c r="K248" s="90" t="n"/>
      <c r="L248" s="7" t="n"/>
      <c r="N248" s="7" t="n"/>
      <c r="P248" s="7" t="n"/>
      <c r="U248" s="117" t="n"/>
      <c r="V248" s="117" t="n"/>
      <c r="W248" s="117" t="n"/>
      <c r="X248" s="117" t="n"/>
      <c r="Y248" s="117" t="n"/>
    </row>
    <row r="249">
      <c r="C249" s="101" t="n"/>
      <c r="D249" s="90" t="n"/>
      <c r="F249" s="90" t="n"/>
      <c r="K249" s="90" t="n"/>
      <c r="L249" s="7" t="n"/>
      <c r="N249" s="7" t="n"/>
      <c r="P249" s="7" t="n"/>
      <c r="W249" s="117" t="n"/>
      <c r="X249" s="117" t="n"/>
      <c r="Y249" s="117" t="n"/>
    </row>
    <row r="250">
      <c r="C250" s="101" t="n"/>
      <c r="D250" s="90" t="n"/>
      <c r="F250" s="90" t="n"/>
      <c r="K250" s="90" t="n"/>
      <c r="L250" s="7" t="n"/>
      <c r="N250" s="7" t="n"/>
      <c r="P250" s="7" t="n"/>
      <c r="W250" s="117" t="n"/>
      <c r="X250" s="117" t="n"/>
      <c r="Y250" s="117" t="n"/>
    </row>
    <row r="251">
      <c r="C251" s="101" t="n"/>
      <c r="D251" s="90" t="n"/>
      <c r="F251" s="90" t="n"/>
      <c r="K251" s="90" t="n"/>
      <c r="L251" s="7" t="n"/>
      <c r="N251" s="7" t="n"/>
      <c r="P251" s="7" t="n"/>
    </row>
    <row r="252">
      <c r="C252" s="101" t="n"/>
      <c r="D252" s="90" t="n"/>
      <c r="F252" s="90" t="n"/>
      <c r="K252" s="90" t="n"/>
      <c r="L252" s="7" t="n"/>
      <c r="N252" s="7" t="n"/>
      <c r="P252" s="7" t="n"/>
      <c r="U252" s="117" t="n"/>
      <c r="V252" s="117" t="n"/>
      <c r="W252" s="117" t="n"/>
      <c r="X252" s="117" t="n"/>
      <c r="Y252" s="117" t="n"/>
    </row>
    <row r="253">
      <c r="C253" s="101" t="n"/>
      <c r="D253" s="90" t="n"/>
      <c r="F253" s="90" t="n"/>
      <c r="K253" s="90" t="n"/>
      <c r="L253" s="7" t="n"/>
      <c r="N253" s="7" t="n"/>
      <c r="P253" s="7" t="n"/>
      <c r="U253" s="117" t="n"/>
      <c r="V253" s="117" t="n"/>
      <c r="W253" s="117" t="n"/>
      <c r="X253" s="117" t="n"/>
      <c r="Y253" s="117" t="n"/>
    </row>
    <row r="254">
      <c r="C254" s="101" t="n"/>
      <c r="D254" s="90" t="n"/>
      <c r="F254" s="90" t="n"/>
      <c r="K254" s="90" t="n"/>
      <c r="L254" s="7" t="n"/>
      <c r="N254" s="7" t="n"/>
      <c r="P254" s="7" t="n"/>
      <c r="W254" s="117" t="n"/>
      <c r="X254" s="117" t="n"/>
      <c r="Y254" s="117" t="n"/>
    </row>
    <row r="255">
      <c r="C255" s="101" t="n"/>
      <c r="D255" s="90" t="n"/>
      <c r="F255" s="90" t="n"/>
      <c r="K255" s="90" t="n"/>
      <c r="L255" s="7" t="n"/>
      <c r="N255" s="7" t="n"/>
      <c r="P255" s="7" t="n"/>
      <c r="W255" s="117" t="n"/>
      <c r="X255" s="117" t="n"/>
      <c r="Y255" s="117" t="n"/>
    </row>
    <row r="256">
      <c r="C256" s="101" t="n"/>
      <c r="D256" s="90" t="n"/>
      <c r="F256" s="90" t="n"/>
      <c r="K256" s="90" t="n"/>
      <c r="L256" s="7" t="n"/>
      <c r="N256" s="7" t="n"/>
      <c r="P256" s="7" t="n"/>
    </row>
    <row r="257">
      <c r="C257" s="101" t="n"/>
      <c r="D257" s="90" t="n"/>
      <c r="F257" s="90" t="n"/>
      <c r="K257" s="90" t="n"/>
      <c r="L257" s="7" t="n"/>
      <c r="N257" s="7" t="n"/>
      <c r="P257" s="7" t="n"/>
      <c r="U257" s="117" t="n"/>
      <c r="V257" s="117" t="n"/>
      <c r="W257" s="117" t="n"/>
      <c r="X257" s="117" t="n"/>
      <c r="Y257" s="117" t="n"/>
    </row>
    <row r="258">
      <c r="C258" s="101" t="n"/>
      <c r="D258" s="90" t="n"/>
      <c r="F258" s="90" t="n"/>
      <c r="K258" s="90" t="n"/>
      <c r="L258" s="7" t="n"/>
      <c r="N258" s="7" t="n"/>
      <c r="P258" s="7" t="n"/>
      <c r="U258" s="117" t="n"/>
      <c r="V258" s="117" t="n"/>
      <c r="W258" s="117" t="n"/>
      <c r="X258" s="117" t="n"/>
      <c r="Y258" s="117" t="n"/>
    </row>
    <row r="259">
      <c r="C259" s="101" t="n"/>
      <c r="D259" s="90" t="n"/>
      <c r="F259" s="90" t="n"/>
      <c r="K259" s="90" t="n"/>
      <c r="L259" s="7" t="n"/>
      <c r="N259" s="7" t="n"/>
      <c r="P259" s="7" t="n"/>
      <c r="W259" s="117" t="n"/>
      <c r="X259" s="117" t="n"/>
      <c r="Y259" s="117" t="n"/>
    </row>
    <row r="260">
      <c r="C260" s="101" t="n"/>
      <c r="D260" s="90" t="n"/>
      <c r="F260" s="90" t="n"/>
      <c r="K260" s="90" t="n"/>
      <c r="L260" s="7" t="n"/>
      <c r="N260" s="7" t="n"/>
      <c r="P260" s="7" t="n"/>
      <c r="W260" s="117" t="n"/>
      <c r="X260" s="117" t="n"/>
      <c r="Y260" s="117" t="n"/>
    </row>
    <row r="261">
      <c r="C261" s="101" t="n"/>
      <c r="D261" s="90" t="n"/>
      <c r="F261" s="90" t="n"/>
      <c r="K261" s="90" t="n"/>
      <c r="L261" s="7" t="n"/>
      <c r="N261" s="7" t="n"/>
      <c r="P261" s="7" t="n"/>
    </row>
    <row r="262">
      <c r="C262" s="101" t="n"/>
      <c r="D262" s="90" t="n"/>
      <c r="F262" s="90" t="n"/>
      <c r="K262" s="90" t="n"/>
      <c r="L262" s="7" t="n"/>
      <c r="N262" s="7" t="n"/>
      <c r="P262" s="7" t="n"/>
      <c r="U262" s="117" t="n"/>
      <c r="V262" s="117" t="n"/>
      <c r="W262" s="117" t="n"/>
      <c r="X262" s="117" t="n"/>
      <c r="Y262" s="117" t="n"/>
    </row>
    <row r="263">
      <c r="C263" s="101" t="n"/>
      <c r="D263" s="90" t="n"/>
      <c r="F263" s="90" t="n"/>
      <c r="K263" s="90" t="n"/>
      <c r="L263" s="7" t="n"/>
      <c r="N263" s="7" t="n"/>
      <c r="P263" s="7" t="n"/>
      <c r="U263" s="117" t="n"/>
      <c r="V263" s="117" t="n"/>
      <c r="W263" s="117" t="n"/>
      <c r="X263" s="117" t="n"/>
      <c r="Y263" s="117" t="n"/>
    </row>
    <row r="264">
      <c r="C264" s="101" t="n"/>
      <c r="D264" s="90" t="n"/>
      <c r="F264" s="90" t="n"/>
      <c r="K264" s="90" t="n"/>
      <c r="L264" s="7" t="n"/>
      <c r="N264" s="7" t="n"/>
      <c r="P264" s="7" t="n"/>
      <c r="W264" s="117" t="n"/>
      <c r="X264" s="117" t="n"/>
      <c r="Y264" s="117" t="n"/>
    </row>
    <row r="265">
      <c r="C265" s="101" t="n"/>
      <c r="D265" s="90" t="n"/>
      <c r="F265" s="90" t="n"/>
      <c r="K265" s="90" t="n"/>
      <c r="L265" s="7" t="n"/>
      <c r="N265" s="7" t="n"/>
      <c r="P265" s="7" t="n"/>
      <c r="W265" s="117" t="n"/>
      <c r="X265" s="117" t="n"/>
      <c r="Y265" s="117" t="n"/>
    </row>
    <row r="266">
      <c r="C266" s="101" t="n"/>
      <c r="D266" s="90" t="n"/>
      <c r="F266" s="90" t="n"/>
      <c r="K266" s="90" t="n"/>
      <c r="L266" s="7" t="n"/>
      <c r="N266" s="7" t="n"/>
      <c r="P266" s="7" t="n"/>
    </row>
    <row r="267">
      <c r="C267" s="101" t="n"/>
      <c r="D267" s="90" t="n"/>
      <c r="F267" s="90" t="n"/>
      <c r="K267" s="90" t="n"/>
      <c r="L267" s="7" t="n"/>
      <c r="N267" s="7" t="n"/>
      <c r="P267" s="7" t="n"/>
      <c r="U267" s="117" t="n"/>
      <c r="V267" s="117" t="n"/>
      <c r="W267" s="117" t="n"/>
      <c r="X267" s="117" t="n"/>
      <c r="Y267" s="117" t="n"/>
    </row>
    <row r="268">
      <c r="C268" s="101" t="n"/>
      <c r="D268" s="90" t="n"/>
      <c r="F268" s="90" t="n"/>
      <c r="K268" s="90" t="n"/>
      <c r="L268" s="7" t="n"/>
      <c r="N268" s="7" t="n"/>
      <c r="P268" s="7" t="n"/>
      <c r="U268" s="117" t="n"/>
      <c r="V268" s="117" t="n"/>
      <c r="W268" s="117" t="n"/>
      <c r="X268" s="117" t="n"/>
      <c r="Y268" s="117" t="n"/>
    </row>
    <row r="269">
      <c r="C269" s="101" t="n"/>
      <c r="D269" s="90" t="n"/>
      <c r="F269" s="90" t="n"/>
      <c r="K269" s="90" t="n"/>
      <c r="L269" s="7" t="n"/>
      <c r="N269" s="7" t="n"/>
      <c r="P269" s="7" t="n"/>
      <c r="W269" s="117" t="n"/>
      <c r="X269" s="117" t="n"/>
      <c r="Y269" s="117" t="n"/>
    </row>
    <row r="270">
      <c r="C270" s="101" t="n"/>
      <c r="D270" s="90" t="n"/>
      <c r="F270" s="90" t="n"/>
      <c r="K270" s="90" t="n"/>
      <c r="L270" s="7" t="n"/>
      <c r="N270" s="7" t="n"/>
      <c r="P270" s="7" t="n"/>
      <c r="W270" s="117" t="n"/>
      <c r="X270" s="117" t="n"/>
      <c r="Y270" s="117" t="n"/>
    </row>
    <row r="271">
      <c r="C271" s="101" t="n"/>
      <c r="D271" s="90" t="n"/>
      <c r="F271" s="90" t="n"/>
      <c r="K271" s="90" t="n"/>
      <c r="L271" s="7" t="n"/>
      <c r="N271" s="7" t="n"/>
      <c r="P271" s="7" t="n"/>
    </row>
    <row r="272">
      <c r="C272" s="101" t="n"/>
      <c r="D272" s="90" t="n"/>
      <c r="F272" s="90" t="n"/>
      <c r="K272" s="90" t="n"/>
      <c r="L272" s="7" t="n"/>
      <c r="N272" s="7" t="n"/>
      <c r="P272" s="7" t="n"/>
      <c r="U272" s="117" t="n"/>
      <c r="V272" s="117" t="n"/>
      <c r="W272" s="117" t="n"/>
      <c r="X272" s="117" t="n"/>
      <c r="Y272" s="117" t="n"/>
    </row>
    <row r="273">
      <c r="C273" s="101" t="n"/>
      <c r="D273" s="90" t="n"/>
      <c r="F273" s="90" t="n"/>
      <c r="K273" s="90" t="n"/>
      <c r="L273" s="7" t="n"/>
      <c r="N273" s="7" t="n"/>
      <c r="P273" s="7" t="n"/>
      <c r="U273" s="117" t="n"/>
      <c r="V273" s="117" t="n"/>
      <c r="W273" s="117" t="n"/>
      <c r="X273" s="117" t="n"/>
      <c r="Y273" s="117" t="n"/>
    </row>
    <row r="274">
      <c r="C274" s="101" t="n"/>
      <c r="D274" s="90" t="n"/>
      <c r="F274" s="90" t="n"/>
      <c r="K274" s="90" t="n"/>
      <c r="L274" s="7" t="n"/>
      <c r="N274" s="7" t="n"/>
      <c r="P274" s="7" t="n"/>
      <c r="W274" s="117" t="n"/>
      <c r="X274" s="117" t="n"/>
      <c r="Y274" s="117" t="n"/>
    </row>
    <row r="275">
      <c r="C275" s="101" t="n"/>
      <c r="D275" s="90" t="n"/>
      <c r="F275" s="90" t="n"/>
      <c r="K275" s="90" t="n"/>
      <c r="L275" s="7" t="n"/>
      <c r="N275" s="7" t="n"/>
      <c r="P275" s="7" t="n"/>
      <c r="W275" s="117" t="n"/>
      <c r="X275" s="117" t="n"/>
      <c r="Y275" s="117" t="n"/>
    </row>
    <row r="276">
      <c r="C276" s="101" t="n"/>
      <c r="D276" s="90" t="n"/>
      <c r="F276" s="90" t="n"/>
      <c r="K276" s="90" t="n"/>
      <c r="L276" s="7" t="n"/>
      <c r="N276" s="7" t="n"/>
      <c r="P276" s="7" t="n"/>
    </row>
    <row r="277">
      <c r="C277" s="101" t="n"/>
      <c r="D277" s="90" t="n"/>
      <c r="F277" s="90" t="n"/>
      <c r="K277" s="90" t="n"/>
      <c r="L277" s="7" t="n"/>
      <c r="N277" s="7" t="n"/>
      <c r="P277" s="7" t="n"/>
      <c r="U277" s="117" t="n"/>
      <c r="V277" s="117" t="n"/>
      <c r="W277" s="117" t="n"/>
      <c r="X277" s="117" t="n"/>
      <c r="Y277" s="117" t="n"/>
    </row>
    <row r="278">
      <c r="C278" s="101" t="n"/>
      <c r="D278" s="90" t="n"/>
      <c r="F278" s="90" t="n"/>
      <c r="K278" s="90" t="n"/>
      <c r="L278" s="7" t="n"/>
      <c r="N278" s="7" t="n"/>
      <c r="P278" s="7" t="n"/>
      <c r="U278" s="117" t="n"/>
      <c r="V278" s="117" t="n"/>
      <c r="W278" s="117" t="n"/>
      <c r="X278" s="117" t="n"/>
      <c r="Y278" s="117" t="n"/>
    </row>
    <row r="279">
      <c r="C279" s="101" t="n"/>
      <c r="D279" s="90" t="n"/>
      <c r="F279" s="90" t="n"/>
      <c r="K279" s="90" t="n"/>
      <c r="L279" s="7" t="n"/>
      <c r="N279" s="7" t="n"/>
      <c r="P279" s="7" t="n"/>
      <c r="W279" s="117" t="n"/>
      <c r="X279" s="117" t="n"/>
      <c r="Y279" s="117" t="n"/>
    </row>
    <row r="280">
      <c r="C280" s="101" t="n"/>
      <c r="D280" s="90" t="n"/>
      <c r="F280" s="90" t="n"/>
      <c r="K280" s="90" t="n"/>
      <c r="L280" s="7" t="n"/>
      <c r="N280" s="7" t="n"/>
      <c r="P280" s="7" t="n"/>
      <c r="W280" s="117" t="n"/>
      <c r="X280" s="117" t="n"/>
      <c r="Y280" s="117" t="n"/>
    </row>
    <row r="281">
      <c r="C281" s="101" t="n"/>
      <c r="D281" s="90" t="n"/>
      <c r="F281" s="90" t="n"/>
      <c r="K281" s="90" t="n"/>
      <c r="L281" s="7" t="n"/>
      <c r="N281" s="7" t="n"/>
      <c r="P281" s="7" t="n"/>
    </row>
    <row r="282">
      <c r="C282" s="101" t="n"/>
      <c r="D282" s="90" t="n"/>
      <c r="F282" s="90" t="n"/>
      <c r="K282" s="90" t="n"/>
      <c r="L282" s="7" t="n"/>
      <c r="N282" s="7" t="n"/>
      <c r="P282" s="7" t="n"/>
    </row>
    <row r="283">
      <c r="C283" s="101" t="n"/>
      <c r="D283" s="90" t="n"/>
      <c r="F283" s="90" t="n"/>
      <c r="K283" s="90" t="n"/>
      <c r="L283" s="7" t="n"/>
      <c r="N283" s="7" t="n"/>
      <c r="P283" s="7" t="n"/>
    </row>
    <row r="284">
      <c r="C284" s="101" t="n"/>
      <c r="D284" s="90" t="n"/>
      <c r="F284" s="90" t="n"/>
      <c r="K284" s="90" t="n"/>
      <c r="L284" s="7" t="n"/>
      <c r="N284" s="7" t="n"/>
      <c r="P284" s="7" t="n"/>
    </row>
    <row r="285">
      <c r="C285" s="101" t="n"/>
      <c r="D285" s="90" t="n"/>
      <c r="F285" s="90" t="n"/>
      <c r="K285" s="90" t="n"/>
      <c r="L285" s="7" t="n"/>
      <c r="N285" s="7" t="n"/>
      <c r="P285" s="7" t="n"/>
    </row>
    <row r="286">
      <c r="C286" s="101" t="n"/>
      <c r="D286" s="90" t="n"/>
      <c r="F286" s="90" t="n"/>
      <c r="K286" s="90" t="n"/>
      <c r="L286" s="7" t="n"/>
      <c r="N286" s="7" t="n"/>
      <c r="P286" s="7" t="n"/>
    </row>
    <row r="287">
      <c r="C287" s="101" t="n"/>
      <c r="D287" s="90" t="n"/>
      <c r="F287" s="90" t="n"/>
      <c r="K287" s="90" t="n"/>
      <c r="L287" s="7" t="n"/>
      <c r="N287" s="7" t="n"/>
      <c r="P287" s="7" t="n"/>
    </row>
    <row r="288">
      <c r="C288" s="101" t="n"/>
      <c r="D288" s="90" t="n"/>
      <c r="F288" s="90" t="n"/>
      <c r="K288" s="90" t="n"/>
      <c r="L288" s="7" t="n"/>
      <c r="N288" s="7" t="n"/>
      <c r="P288" s="7" t="n"/>
    </row>
    <row r="289">
      <c r="C289" s="101" t="n"/>
      <c r="D289" s="90" t="n"/>
      <c r="F289" s="90" t="n"/>
      <c r="K289" s="90" t="n"/>
      <c r="L289" s="7" t="n"/>
      <c r="N289" s="7" t="n"/>
      <c r="P289" s="7" t="n"/>
    </row>
    <row r="290">
      <c r="C290" s="101" t="n"/>
      <c r="D290" s="90" t="n"/>
      <c r="F290" s="90" t="n"/>
      <c r="K290" s="90" t="n"/>
      <c r="L290" s="7" t="n"/>
      <c r="N290" s="7" t="n"/>
      <c r="P290" s="7" t="n"/>
    </row>
    <row r="291">
      <c r="C291" s="101" t="n"/>
      <c r="D291" s="90" t="n"/>
      <c r="F291" s="90" t="n"/>
      <c r="K291" s="90" t="n"/>
      <c r="L291" s="7" t="n"/>
      <c r="N291" s="7" t="n"/>
      <c r="P291" s="7" t="n"/>
    </row>
    <row r="292">
      <c r="C292" s="101" t="n"/>
      <c r="D292" s="90" t="n"/>
      <c r="F292" s="90" t="n"/>
      <c r="K292" s="90" t="n"/>
      <c r="L292" s="7" t="n"/>
      <c r="N292" s="7" t="n"/>
      <c r="P292" s="7" t="n"/>
    </row>
    <row r="293">
      <c r="C293" s="101" t="n"/>
      <c r="D293" s="90" t="n"/>
      <c r="F293" s="90" t="n"/>
      <c r="K293" s="90" t="n"/>
      <c r="L293" s="7" t="n"/>
      <c r="N293" s="7" t="n"/>
      <c r="P293" s="7" t="n"/>
    </row>
    <row r="294">
      <c r="C294" s="101" t="n"/>
      <c r="D294" s="90" t="n"/>
      <c r="F294" s="90" t="n"/>
      <c r="K294" s="90" t="n"/>
      <c r="L294" s="7" t="n"/>
      <c r="N294" s="7" t="n"/>
      <c r="P294" s="7" t="n"/>
    </row>
    <row r="295">
      <c r="C295" s="101" t="n"/>
      <c r="D295" s="90" t="n"/>
      <c r="F295" s="90" t="n"/>
      <c r="K295" s="90" t="n"/>
      <c r="L295" s="7" t="n"/>
      <c r="N295" s="7" t="n"/>
      <c r="P295" s="7" t="n"/>
    </row>
    <row r="296">
      <c r="C296" s="101" t="n"/>
      <c r="D296" s="90" t="n"/>
      <c r="F296" s="90" t="n"/>
      <c r="K296" s="90" t="n"/>
      <c r="L296" s="7" t="n"/>
      <c r="N296" s="7" t="n"/>
      <c r="P296" s="7" t="n"/>
    </row>
    <row r="297">
      <c r="C297" s="101" t="n"/>
      <c r="D297" s="90" t="n"/>
      <c r="F297" s="90" t="n"/>
      <c r="K297" s="90" t="n"/>
      <c r="L297" s="7" t="n"/>
      <c r="N297" s="7" t="n"/>
      <c r="P297" s="7" t="n"/>
    </row>
    <row r="298">
      <c r="C298" s="101" t="n"/>
      <c r="D298" s="90" t="n"/>
      <c r="F298" s="90" t="n"/>
      <c r="K298" s="90" t="n"/>
      <c r="L298" s="7" t="n"/>
      <c r="N298" s="7" t="n"/>
      <c r="P298" s="7" t="n"/>
    </row>
    <row r="299">
      <c r="C299" s="101" t="n"/>
      <c r="D299" s="90" t="n"/>
      <c r="F299" s="90" t="n"/>
      <c r="K299" s="90" t="n"/>
      <c r="L299" s="7" t="n"/>
      <c r="N299" s="7" t="n"/>
      <c r="P299" s="7" t="n"/>
    </row>
    <row r="300">
      <c r="C300" s="101" t="n"/>
      <c r="D300" s="90" t="n"/>
      <c r="F300" s="90" t="n"/>
      <c r="K300" s="90" t="n"/>
      <c r="L300" s="7" t="n"/>
      <c r="N300" s="7" t="n"/>
      <c r="P300" s="7" t="n"/>
    </row>
    <row r="301">
      <c r="C301" s="101" t="n"/>
      <c r="D301" s="90" t="n"/>
      <c r="F301" s="90" t="n"/>
      <c r="K301" s="90" t="n"/>
      <c r="L301" s="7" t="n"/>
      <c r="N301" s="7" t="n"/>
      <c r="P301" s="7" t="n"/>
    </row>
    <row r="302">
      <c r="C302" s="101" t="n"/>
      <c r="D302" s="90" t="n"/>
      <c r="F302" s="90" t="n"/>
      <c r="K302" s="90" t="n"/>
      <c r="L302" s="7" t="n"/>
      <c r="N302" s="7" t="n"/>
      <c r="P302" s="7" t="n"/>
    </row>
    <row r="303">
      <c r="C303" s="101" t="n"/>
      <c r="D303" s="90" t="n"/>
      <c r="F303" s="90" t="n"/>
      <c r="K303" s="90" t="n"/>
      <c r="L303" s="7" t="n"/>
      <c r="N303" s="7" t="n"/>
      <c r="P303" s="7" t="n"/>
    </row>
    <row r="304">
      <c r="C304" s="101" t="n"/>
      <c r="D304" s="90" t="n"/>
      <c r="F304" s="90" t="n"/>
      <c r="K304" s="90" t="n"/>
      <c r="L304" s="7" t="n"/>
      <c r="N304" s="7" t="n"/>
      <c r="P304" s="7" t="n"/>
    </row>
    <row r="305">
      <c r="C305" s="101" t="n"/>
      <c r="D305" s="90" t="n"/>
      <c r="F305" s="90" t="n"/>
      <c r="K305" s="90" t="n"/>
      <c r="L305" s="7" t="n"/>
      <c r="N305" s="7" t="n"/>
      <c r="P305" s="7" t="n"/>
    </row>
    <row r="306">
      <c r="C306" s="101" t="n"/>
      <c r="D306" s="90" t="n"/>
      <c r="F306" s="90" t="n"/>
      <c r="K306" s="90" t="n"/>
      <c r="L306" s="7" t="n"/>
      <c r="N306" s="7" t="n"/>
      <c r="P306" s="7" t="n"/>
    </row>
    <row r="307">
      <c r="C307" s="101" t="n"/>
      <c r="D307" s="90" t="n"/>
      <c r="F307" s="90" t="n"/>
      <c r="K307" s="90" t="n"/>
      <c r="L307" s="7" t="n"/>
      <c r="N307" s="7" t="n"/>
      <c r="P307" s="7" t="n"/>
    </row>
    <row r="308">
      <c r="C308" s="101" t="n"/>
      <c r="D308" s="90" t="n"/>
      <c r="F308" s="90" t="n"/>
      <c r="K308" s="90" t="n"/>
      <c r="L308" s="7" t="n"/>
      <c r="N308" s="7" t="n"/>
      <c r="P308" s="7" t="n"/>
    </row>
    <row r="309">
      <c r="C309" s="101" t="n"/>
      <c r="D309" s="90" t="n"/>
      <c r="F309" s="90" t="n"/>
      <c r="K309" s="90" t="n"/>
      <c r="L309" s="7" t="n"/>
      <c r="N309" s="7" t="n"/>
      <c r="P309" s="7" t="n"/>
    </row>
    <row r="310">
      <c r="C310" s="101" t="n"/>
      <c r="D310" s="90" t="n"/>
      <c r="F310" s="90" t="n"/>
      <c r="K310" s="90" t="n"/>
      <c r="L310" s="7" t="n"/>
      <c r="N310" s="7" t="n"/>
      <c r="P310" s="7" t="n"/>
    </row>
    <row r="311">
      <c r="C311" s="101" t="n"/>
      <c r="D311" s="90" t="n"/>
      <c r="F311" s="90" t="n"/>
      <c r="K311" s="90" t="n"/>
      <c r="L311" s="7" t="n"/>
      <c r="N311" s="7" t="n"/>
      <c r="P311" s="7" t="n"/>
    </row>
    <row r="312">
      <c r="C312" s="101" t="n"/>
      <c r="D312" s="90" t="n"/>
      <c r="F312" s="90" t="n"/>
      <c r="K312" s="90" t="n"/>
      <c r="L312" s="7" t="n"/>
      <c r="N312" s="7" t="n"/>
      <c r="P312" s="7" t="n"/>
    </row>
    <row r="313">
      <c r="C313" s="101" t="n"/>
      <c r="D313" s="90" t="n"/>
      <c r="F313" s="90" t="n"/>
      <c r="K313" s="90" t="n"/>
      <c r="L313" s="7" t="n"/>
      <c r="N313" s="7" t="n"/>
      <c r="P313" s="7" t="n"/>
    </row>
  </sheetData>
  <autoFilter ref="Q1:Q313"/>
  <conditionalFormatting sqref="E1:E51 E56:E1048576">
    <cfRule priority="7" type="dataBar">
      <dataBar>
        <cfvo type="min"/>
        <cfvo type="max"/>
        <color rgb="FF638EC6"/>
      </dataBar>
    </cfRule>
  </conditionalFormatting>
  <conditionalFormatting sqref="M1:M51 M56:M1048576">
    <cfRule priority="15" type="dataBar">
      <dataBar>
        <cfvo type="min"/>
        <cfvo type="max"/>
        <color rgb="FF638EC6"/>
      </dataBar>
    </cfRule>
  </conditionalFormatting>
  <conditionalFormatting sqref="Q1:S51 Q56:S1048576">
    <cfRule priority="14" type="dataBar">
      <dataBar>
        <cfvo type="min"/>
        <cfvo type="max"/>
        <color rgb="FF638EC6"/>
      </dataBar>
    </cfRule>
  </conditionalFormatting>
  <conditionalFormatting sqref="I1:I51 I56:I1048576">
    <cfRule priority="13" type="dataBar">
      <dataBar>
        <cfvo type="min"/>
        <cfvo type="max"/>
        <color rgb="FF638EC6"/>
      </dataBar>
    </cfRule>
  </conditionalFormatting>
  <conditionalFormatting sqref="H1:H51 H56:H1048576">
    <cfRule priority="11" type="dataBar">
      <dataBar>
        <cfvo type="min"/>
        <cfvo type="max"/>
        <color rgb="FF638EC6"/>
      </dataBar>
    </cfRule>
  </conditionalFormatting>
  <conditionalFormatting sqref="J1:J51 J56:J1048576">
    <cfRule priority="9" type="dataBar">
      <dataBar>
        <cfvo type="min"/>
        <cfvo type="max"/>
        <color rgb="FF638EC6"/>
      </dataBar>
    </cfRule>
  </conditionalFormatting>
  <conditionalFormatting sqref="E52:E55">
    <cfRule priority="1" type="dataBar">
      <dataBar>
        <cfvo type="min"/>
        <cfvo type="max"/>
        <color rgb="FF638EC6"/>
      </dataBar>
    </cfRule>
  </conditionalFormatting>
  <conditionalFormatting sqref="M52:M55">
    <cfRule priority="6" type="dataBar">
      <dataBar>
        <cfvo type="min"/>
        <cfvo type="max"/>
        <color rgb="FF638EC6"/>
      </dataBar>
    </cfRule>
  </conditionalFormatting>
  <conditionalFormatting sqref="Q52:S55">
    <cfRule priority="5" type="dataBar">
      <dataBar>
        <cfvo type="min"/>
        <cfvo type="max"/>
        <color rgb="FF638EC6"/>
      </dataBar>
    </cfRule>
  </conditionalFormatting>
  <conditionalFormatting sqref="I52:I55">
    <cfRule priority="4" type="dataBar">
      <dataBar>
        <cfvo type="min"/>
        <cfvo type="max"/>
        <color rgb="FF638EC6"/>
      </dataBar>
    </cfRule>
  </conditionalFormatting>
  <conditionalFormatting sqref="H52:H55">
    <cfRule priority="3" type="dataBar">
      <dataBar>
        <cfvo type="min"/>
        <cfvo type="max"/>
        <color rgb="FF638EC6"/>
      </dataBar>
    </cfRule>
  </conditionalFormatting>
  <conditionalFormatting sqref="J52:J55">
    <cfRule priority="2" type="dataBar">
      <dataBar>
        <cfvo type="min"/>
        <cfvo type="max"/>
        <color rgb="FF638EC6"/>
      </dataBar>
    </cfRule>
  </conditionalFormatting>
  <hyperlinks>
    <hyperlink display="https://www.lixinger.com/analytics/industry/sz/C11/11/detail" ref="A52" r:id="rId1"/>
  </hyperlinks>
  <pageMargins bottom="0.75" footer="0.3" header="0.3" left="0.7" right="0.7" top="0.75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A280"/>
  <sheetViews>
    <sheetView topLeftCell="A130" workbookViewId="0" zoomScale="125" zoomScaleNormal="125">
      <pane activePane="topRight" state="frozen" topLeftCell="B1" xSplit="1"/>
      <selection activeCell="Q92" pane="topRight" sqref="Q92"/>
    </sheetView>
  </sheetViews>
  <sheetFormatPr baseColWidth="10" defaultRowHeight="16"/>
  <cols>
    <col customWidth="1" max="1" min="1" style="155" width="19.83203125"/>
    <col bestFit="1" customWidth="1" max="3" min="3" style="155" width="11"/>
    <col customWidth="1" max="4" min="4" style="2" width="14.5"/>
    <col customWidth="1" max="5" min="5" style="12" width="20.6640625"/>
    <col customWidth="1" max="6" min="6" style="2" width="13.33203125"/>
    <col customWidth="1" max="7" min="7" style="2" width="22.83203125"/>
    <col customWidth="1" max="10" min="8" style="12" width="20.6640625"/>
    <col customWidth="1" max="11" min="11" style="2" width="23.1640625"/>
    <col bestFit="1" customWidth="1" max="12" min="12" style="78" width="11"/>
    <col customWidth="1" max="13" min="13" style="14" width="21.1640625"/>
    <col customWidth="1" max="14" min="14" style="78" width="12.33203125"/>
    <col customWidth="1" max="15" min="15" style="78" width="21.1640625"/>
    <col customWidth="1" max="16" min="16" style="78" width="20"/>
    <col customWidth="1" max="17" min="17" style="99" width="15.5"/>
    <col bestFit="1" customWidth="1" max="19" min="18" style="99" width="11"/>
    <col customWidth="1" max="21" min="21" style="155" width="15.1640625"/>
    <col customWidth="1" max="22" min="22" style="99" width="19.1640625"/>
    <col bestFit="1" customWidth="1" max="24" min="23" style="155" width="20.33203125"/>
    <col customWidth="1" max="25" min="25" style="99" width="20.33203125"/>
    <col customWidth="1" max="26" min="26" style="117" width="20.33203125"/>
    <col customWidth="1" max="27" min="27" style="155" width="29"/>
  </cols>
  <sheetData>
    <row customFormat="1" r="1" s="127">
      <c r="A1" t="inlineStr">
        <is>
          <t>2023-02-17T00:00:00+08:00</t>
        </is>
      </c>
      <c r="C1" s="127" t="inlineStr">
        <is>
          <t>current</t>
        </is>
      </c>
      <c r="D1" s="4" t="inlineStr">
        <is>
          <t>lowest_y10</t>
        </is>
      </c>
      <c r="E1" s="13" t="inlineStr">
        <is>
          <t>falling_to_lowest_y10</t>
        </is>
      </c>
      <c r="F1" s="4" t="inlineStr">
        <is>
          <t>highest_y10</t>
        </is>
      </c>
      <c r="G1" s="4" t="inlineStr">
        <is>
          <t>rising_to_highest_y10</t>
        </is>
      </c>
      <c r="H1" s="13" t="inlineStr">
        <is>
          <t>rising_to_chance_y10_col</t>
        </is>
      </c>
      <c r="I1" s="13" t="inlineStr">
        <is>
          <t>rising_to_median_y10_col</t>
        </is>
      </c>
      <c r="J1" s="13" t="inlineStr">
        <is>
          <t>rising_to_risk_y10_col</t>
        </is>
      </c>
      <c r="K1" s="4" t="inlineStr">
        <is>
          <t>highest_to_lowest_y10</t>
        </is>
      </c>
      <c r="L1" s="8" t="inlineStr">
        <is>
          <t>lowest_y5</t>
        </is>
      </c>
      <c r="M1" s="15" t="inlineStr">
        <is>
          <t>falling_to_lowest_y5</t>
        </is>
      </c>
      <c r="N1" s="8" t="inlineStr">
        <is>
          <t>highest_y5</t>
        </is>
      </c>
      <c r="O1" s="8" t="inlineStr">
        <is>
          <t>rising_to_highest_y5</t>
        </is>
      </c>
      <c r="P1" s="8" t="inlineStr">
        <is>
          <t>highest_to_lowest_y5</t>
        </is>
      </c>
      <c r="Q1" s="69" t="inlineStr">
        <is>
          <t>roe_weighted</t>
        </is>
      </c>
      <c r="R1" s="69" t="inlineStr">
        <is>
          <t>roe_equal</t>
        </is>
      </c>
      <c r="S1" s="99" t="inlineStr">
        <is>
          <t>dividend(weighted/equal)</t>
        </is>
      </c>
      <c r="T1" t="inlineStr">
        <is>
          <t>close_point</t>
        </is>
      </c>
      <c r="U1" s="68" t="inlineStr">
        <is>
          <t>dividend ratio</t>
        </is>
      </c>
      <c r="V1" s="69" t="inlineStr">
        <is>
          <t>return</t>
        </is>
      </c>
      <c r="W1" s="127" t="inlineStr">
        <is>
          <t>3 yrs return</t>
        </is>
      </c>
      <c r="X1" s="127" t="inlineStr">
        <is>
          <t>5yrs return</t>
        </is>
      </c>
      <c r="Y1" s="69" t="n"/>
      <c r="Z1" s="69" t="n"/>
      <c r="AA1" s="69" t="n"/>
    </row>
    <row r="2">
      <c r="A2" t="inlineStr">
        <is>
          <t>能源</t>
        </is>
      </c>
      <c r="B2" t="inlineStr">
        <is>
          <t>pe weighted</t>
        </is>
      </c>
      <c r="C2" s="167" t="n">
        <v>7.269917707968842</v>
      </c>
      <c r="D2" s="90" t="n">
        <v>6.996968717571925</v>
      </c>
      <c r="E2" s="12" t="n">
        <v>0.0375449903783267</v>
      </c>
      <c r="F2" s="90" t="n">
        <v>95.60027944178768</v>
      </c>
      <c r="G2" s="90" t="n">
        <v>12.15011851330813</v>
      </c>
      <c r="H2" s="12" t="n">
        <v>0.5813001537991886</v>
      </c>
      <c r="I2" s="12" t="n">
        <v>1.137277502182194</v>
      </c>
      <c r="J2" s="12" t="n">
        <v>3.284077070487547</v>
      </c>
      <c r="K2" s="90" t="n">
        <v>13.66309945072367</v>
      </c>
      <c r="L2" s="7" t="n">
        <v>6.996968717571925</v>
      </c>
      <c r="M2" s="14" t="n">
        <v>0.0375449903783267</v>
      </c>
      <c r="N2" s="7" t="n">
        <v>32.03663154774637</v>
      </c>
      <c r="O2" s="7" t="n">
        <v>3.406739227959866</v>
      </c>
      <c r="P2" s="7" t="n">
        <v>4.578644387431772</v>
      </c>
      <c r="Q2" s="99" t="n">
        <v>0.1438011101716525</v>
      </c>
      <c r="R2" s="99" t="n">
        <v>0.09522271589224565</v>
      </c>
      <c r="S2" s="99" t="n">
        <v>0.06829339872759906</v>
      </c>
      <c r="U2" s="117">
        <f>C2*S2</f>
        <v/>
      </c>
      <c r="V2" s="117">
        <f>(1+S2)*Q2*(1-U2)+S2</f>
        <v/>
      </c>
      <c r="W2" s="117">
        <f>V2+I2/3</f>
        <v/>
      </c>
      <c r="X2" s="117">
        <f>V2+I2/5</f>
        <v/>
      </c>
      <c r="Y2" s="117" t="n"/>
      <c r="AA2" s="117" t="n"/>
    </row>
    <row r="3">
      <c r="A3" t="inlineStr">
        <is>
          <t>C0101</t>
        </is>
      </c>
      <c r="B3" t="inlineStr">
        <is>
          <t>pe equal</t>
        </is>
      </c>
      <c r="C3" s="166" t="n">
        <v>16.18148806443134</v>
      </c>
      <c r="D3" s="90" t="n">
        <v>15.16609910664777</v>
      </c>
      <c r="E3" s="12" t="n">
        <v>0.0627500359509896</v>
      </c>
      <c r="F3" s="90" t="n">
        <v>-5.398809305430564</v>
      </c>
      <c r="G3" s="90" t="n">
        <v>-1.333641089369137</v>
      </c>
      <c r="H3" s="12" t="n">
        <v>0.7787470846344802</v>
      </c>
      <c r="I3" s="12" t="n">
        <v>2.13011532777329</v>
      </c>
      <c r="J3" s="12" t="n">
        <v>-13.57777140386167</v>
      </c>
      <c r="K3" s="90" t="n">
        <v>-0.3559787699833836</v>
      </c>
      <c r="L3" s="7" t="n">
        <v>15.16609910664777</v>
      </c>
      <c r="M3" s="14" t="n">
        <v>0.0627500359509896</v>
      </c>
      <c r="N3" s="7" t="n">
        <v>-5.398809305430564</v>
      </c>
      <c r="O3" s="7" t="n">
        <v>-1.333641089369137</v>
      </c>
      <c r="P3" s="7" t="n">
        <v>-0.3559787699833836</v>
      </c>
      <c r="S3" s="99" t="n">
        <v>0.02240331986125103</v>
      </c>
      <c r="U3" s="117">
        <f>C3*S3</f>
        <v/>
      </c>
      <c r="V3" s="117">
        <f>(1+S3)*R2*(1-U3)+S3</f>
        <v/>
      </c>
      <c r="W3" s="117">
        <f>V3+I3/3</f>
        <v/>
      </c>
      <c r="X3" s="117">
        <f>V3+I3/5</f>
        <v/>
      </c>
      <c r="Y3" s="117" t="n"/>
      <c r="AA3" s="117" t="n"/>
    </row>
    <row r="4">
      <c r="B4" t="inlineStr">
        <is>
          <t>pb weighted</t>
        </is>
      </c>
      <c r="C4" s="165" t="n">
        <v>1.045422237262475</v>
      </c>
      <c r="D4" s="90" t="n">
        <v>0.7907314676393981</v>
      </c>
      <c r="E4" s="12" t="n">
        <v>0.2436247867560246</v>
      </c>
      <c r="F4" s="90" t="n">
        <v>2.206638660960122</v>
      </c>
      <c r="G4" s="90" t="n">
        <v>1.110763079555673</v>
      </c>
      <c r="H4" s="12" t="n">
        <v>-0.02980351858182573</v>
      </c>
      <c r="I4" s="12" t="n">
        <v>0.1664551072618135</v>
      </c>
      <c r="J4" s="12" t="n">
        <v>0.2979561450684471</v>
      </c>
      <c r="K4" s="90" t="n">
        <v>2.790629627460872</v>
      </c>
      <c r="L4" s="7" t="n">
        <v>0.7907314676393981</v>
      </c>
      <c r="M4" s="14" t="n">
        <v>0.2436247867560246</v>
      </c>
      <c r="N4" s="7" t="n">
        <v>1.398579603476735</v>
      </c>
      <c r="O4" s="7" t="n">
        <v>0.3378131377222588</v>
      </c>
      <c r="P4" s="7" t="n">
        <v>1.768716259202343</v>
      </c>
      <c r="W4" s="117">
        <f>V2+I4/3</f>
        <v/>
      </c>
      <c r="X4" s="117">
        <f>V2+I4/5</f>
        <v/>
      </c>
      <c r="Y4" s="117" t="n"/>
      <c r="AA4" s="117" t="n"/>
    </row>
    <row r="5">
      <c r="B5" t="inlineStr">
        <is>
          <t>pb equal</t>
        </is>
      </c>
      <c r="C5" s="165" t="n">
        <v>1.54084524067311</v>
      </c>
      <c r="D5" s="90" t="n">
        <v>1.020626945621037</v>
      </c>
      <c r="E5" s="12" t="n">
        <v>0.3376187830679338</v>
      </c>
      <c r="F5" s="90" t="n">
        <v>3.97582796831757</v>
      </c>
      <c r="G5" s="90" t="n">
        <v>1.580290261065252</v>
      </c>
      <c r="H5" s="12" t="n">
        <v>-0.09879351363591982</v>
      </c>
      <c r="I5" s="12" t="n">
        <v>0.1198768368669907</v>
      </c>
      <c r="J5" s="12" t="n">
        <v>0.4731457062001472</v>
      </c>
      <c r="K5" s="90" t="n">
        <v>3.895476192722244</v>
      </c>
      <c r="L5" s="7" t="n">
        <v>1.020626945621037</v>
      </c>
      <c r="M5" s="14" t="n">
        <v>0.3376187830679338</v>
      </c>
      <c r="N5" s="7" t="n">
        <v>2.907671259661297</v>
      </c>
      <c r="O5" s="7" t="n">
        <v>0.8870624920067225</v>
      </c>
      <c r="P5" s="7" t="n">
        <v>2.848907009692969</v>
      </c>
      <c r="W5" s="117">
        <f>V3+I5/3</f>
        <v/>
      </c>
      <c r="X5" s="117">
        <f>V3+I5/5</f>
        <v/>
      </c>
      <c r="Y5" s="117" t="n"/>
      <c r="AA5" s="117" t="n"/>
    </row>
    <row r="6">
      <c r="C6" s="101" t="n"/>
      <c r="D6" s="90" t="n"/>
      <c r="F6" s="90" t="n"/>
      <c r="G6" s="90" t="n"/>
      <c r="K6" s="90" t="n"/>
      <c r="L6" s="7" t="n"/>
      <c r="N6" s="7" t="n"/>
      <c r="O6" s="7" t="n"/>
      <c r="P6" s="7" t="n"/>
      <c r="AA6" s="117" t="n"/>
    </row>
    <row r="7">
      <c r="A7" t="inlineStr">
        <is>
          <t>基础化工</t>
        </is>
      </c>
      <c r="B7" t="inlineStr">
        <is>
          <t>pe weighted</t>
        </is>
      </c>
      <c r="C7" s="167" t="n">
        <v>18.44396621103913</v>
      </c>
      <c r="D7" s="90" t="n">
        <v>14.33958757763712</v>
      </c>
      <c r="E7" s="12" t="n">
        <v>0.2225323223019919</v>
      </c>
      <c r="F7" s="90" t="n">
        <v>134.4662846952269</v>
      </c>
      <c r="G7" s="90" t="n">
        <v>6.290529767656253</v>
      </c>
      <c r="H7" s="12" t="n">
        <v>0.1854451973122262</v>
      </c>
      <c r="I7" s="12" t="n">
        <v>1.042003696816066</v>
      </c>
      <c r="J7" s="12" t="n">
        <v>2.518361006171678</v>
      </c>
      <c r="K7" s="90" t="n">
        <v>9.377276994000148</v>
      </c>
      <c r="L7" s="7" t="n">
        <v>14.33958757763712</v>
      </c>
      <c r="M7" s="14" t="n">
        <v>0.2225323223019919</v>
      </c>
      <c r="N7" s="7" t="n">
        <v>45.85963264049159</v>
      </c>
      <c r="O7" s="7" t="n">
        <v>1.486430094034957</v>
      </c>
      <c r="P7" s="7" t="n">
        <v>3.198113780622994</v>
      </c>
      <c r="Q7" s="99" t="n">
        <v>0.1379017873387056</v>
      </c>
      <c r="R7" s="99" t="n">
        <v>0.07304569668568407</v>
      </c>
      <c r="S7" s="99" t="n">
        <v>0.01598054521392528</v>
      </c>
      <c r="U7" s="117">
        <f>C7*S7</f>
        <v/>
      </c>
      <c r="V7" s="117">
        <f>(1+S7)*Q7*(1-U7)+S7</f>
        <v/>
      </c>
      <c r="W7" s="117">
        <f>V7+I7/3</f>
        <v/>
      </c>
      <c r="X7" s="117">
        <f>V7+I7/5</f>
        <v/>
      </c>
      <c r="Y7" s="117" t="n"/>
      <c r="AA7" s="117" t="n"/>
    </row>
    <row r="8">
      <c r="A8" t="inlineStr">
        <is>
          <t>C0201</t>
        </is>
      </c>
      <c r="B8" t="inlineStr">
        <is>
          <t>pe equal</t>
        </is>
      </c>
      <c r="C8" s="167" t="n">
        <v>31.97664588038191</v>
      </c>
      <c r="D8" s="90" t="n">
        <v>25.26474963673139</v>
      </c>
      <c r="E8" s="12" t="n">
        <v>0.2098999460030407</v>
      </c>
      <c r="F8" s="90" t="n">
        <v>595.9464444580076</v>
      </c>
      <c r="G8" s="90" t="n">
        <v>17.63692792193782</v>
      </c>
      <c r="H8" s="12" t="n">
        <v>0.08242232349418721</v>
      </c>
      <c r="I8" s="12" t="n">
        <v>1.752906543000035</v>
      </c>
      <c r="J8" s="12" t="n">
        <v>3.828492017194391</v>
      </c>
      <c r="K8" s="90" t="n">
        <v>23.58806055974468</v>
      </c>
      <c r="L8" s="7" t="n">
        <v>25.26474963673139</v>
      </c>
      <c r="M8" s="14" t="n">
        <v>0.2098999460030407</v>
      </c>
      <c r="N8" s="7" t="n">
        <v>595.9464444580076</v>
      </c>
      <c r="O8" s="7" t="n">
        <v>17.63692792193782</v>
      </c>
      <c r="P8" s="7" t="n">
        <v>23.58806055974468</v>
      </c>
      <c r="S8" s="99" t="n">
        <v>0.01175908267868372</v>
      </c>
      <c r="U8" s="117">
        <f>C8*S8</f>
        <v/>
      </c>
      <c r="V8" s="117">
        <f>(1+S8)*R7*(1-U8)+S8</f>
        <v/>
      </c>
      <c r="W8" s="117">
        <f>V8+I8/3</f>
        <v/>
      </c>
      <c r="X8" s="117">
        <f>V8+I8/5</f>
        <v/>
      </c>
      <c r="Y8" s="117" t="n"/>
      <c r="AA8" s="117" t="n"/>
    </row>
    <row r="9">
      <c r="B9" t="inlineStr">
        <is>
          <t>pb weighted</t>
        </is>
      </c>
      <c r="C9" s="165" t="n">
        <v>2.54345590611699</v>
      </c>
      <c r="D9" s="90" t="n">
        <v>1.753826119941789</v>
      </c>
      <c r="E9" s="12" t="n">
        <v>0.3104554650529417</v>
      </c>
      <c r="F9" s="90" t="n">
        <v>6.245016571641315</v>
      </c>
      <c r="G9" s="90" t="n">
        <v>1.455327240634329</v>
      </c>
      <c r="H9" s="12" t="n">
        <v>-0.1435666273878993</v>
      </c>
      <c r="I9" s="12" t="n">
        <v>0.0992713865553243</v>
      </c>
      <c r="J9" s="12" t="n">
        <v>0.314949094961964</v>
      </c>
      <c r="K9" s="90" t="n">
        <v>3.560795737178663</v>
      </c>
      <c r="L9" s="7" t="n">
        <v>1.753826119941789</v>
      </c>
      <c r="M9" s="14" t="n">
        <v>0.3104554650529417</v>
      </c>
      <c r="N9" s="7" t="n">
        <v>4.325398065603483</v>
      </c>
      <c r="O9" s="7" t="n">
        <v>0.700598801497182</v>
      </c>
      <c r="P9" s="7" t="n">
        <v>2.466263910898446</v>
      </c>
      <c r="W9" s="117">
        <f>V7+I9/3</f>
        <v/>
      </c>
      <c r="X9" s="117">
        <f>V7+I9/5</f>
        <v/>
      </c>
      <c r="Y9" s="117" t="n"/>
      <c r="AA9" s="117" t="n"/>
    </row>
    <row r="10">
      <c r="B10" t="inlineStr">
        <is>
          <t>pb equal</t>
        </is>
      </c>
      <c r="C10" s="165" t="n">
        <v>2.335756376003906</v>
      </c>
      <c r="D10" s="90" t="n">
        <v>1.770527618618341</v>
      </c>
      <c r="E10" s="12" t="n">
        <v>0.2419896026796162</v>
      </c>
      <c r="F10" s="90" t="n">
        <v>6.124062077878875</v>
      </c>
      <c r="G10" s="90" t="n">
        <v>1.621875355149896</v>
      </c>
      <c r="H10" s="12" t="n">
        <v>-0.09952962097784412</v>
      </c>
      <c r="I10" s="12" t="n">
        <v>0.05431810750663346</v>
      </c>
      <c r="J10" s="12" t="n">
        <v>0.4058348925120665</v>
      </c>
      <c r="K10" s="90" t="n">
        <v>3.458891018406075</v>
      </c>
      <c r="L10" s="7" t="n">
        <v>1.770527618618341</v>
      </c>
      <c r="M10" s="14" t="n">
        <v>0.2419896026796162</v>
      </c>
      <c r="N10" s="7" t="n">
        <v>3.148486114260049</v>
      </c>
      <c r="O10" s="7" t="n">
        <v>0.3479514159120436</v>
      </c>
      <c r="P10" s="7" t="n">
        <v>1.778275628773879</v>
      </c>
      <c r="W10" s="117">
        <f>V8+I10/3</f>
        <v/>
      </c>
      <c r="X10" s="117">
        <f>V8+I10/5</f>
        <v/>
      </c>
      <c r="Y10" s="117" t="n"/>
      <c r="AA10" s="117" t="n"/>
    </row>
    <row r="11">
      <c r="C11" s="101" t="n"/>
      <c r="D11" s="90" t="n"/>
      <c r="F11" s="90" t="n"/>
      <c r="G11" s="90" t="n"/>
      <c r="K11" s="90" t="n"/>
      <c r="L11" s="7" t="n"/>
      <c r="N11" s="7" t="n"/>
      <c r="O11" s="7" t="n"/>
      <c r="P11" s="7" t="n"/>
      <c r="AA11" s="117" t="n"/>
    </row>
    <row r="12">
      <c r="A12" t="inlineStr">
        <is>
          <t>基础材料</t>
        </is>
      </c>
      <c r="B12" t="inlineStr">
        <is>
          <t>pe weighted</t>
        </is>
      </c>
      <c r="C12" s="165" t="n">
        <v>18.53023439104804</v>
      </c>
      <c r="D12" s="90" t="n">
        <v>11.57655062869021</v>
      </c>
      <c r="E12" s="12" t="n">
        <v>0.3752615113016139</v>
      </c>
      <c r="F12" s="90" t="n">
        <v>-69.84476212129994</v>
      </c>
      <c r="G12" s="90" t="n">
        <v>-4.769232522770567</v>
      </c>
      <c r="H12" s="12" t="n">
        <v>-0.05421588237920549</v>
      </c>
      <c r="I12" s="12" t="n">
        <v>0.7037942915743929</v>
      </c>
      <c r="J12" s="12" t="n">
        <v>3.986668987143115</v>
      </c>
      <c r="K12" s="90" t="n">
        <v>-6.033296476776369</v>
      </c>
      <c r="L12" s="7" t="n">
        <v>11.57655062869021</v>
      </c>
      <c r="M12" s="14" t="n">
        <v>0.3752615113016139</v>
      </c>
      <c r="N12" s="7" t="n">
        <v>35.41607246964256</v>
      </c>
      <c r="O12" s="7" t="n">
        <v>0.9112587419159717</v>
      </c>
      <c r="P12" s="7" t="n">
        <v>3.059294051016436</v>
      </c>
      <c r="Q12" s="99" t="n">
        <v>0.1032231312568465</v>
      </c>
      <c r="R12" s="99" t="n">
        <v>0.04425366607776465</v>
      </c>
      <c r="S12" s="99" t="n">
        <v>0.01952540610911518</v>
      </c>
      <c r="U12" s="117">
        <f>C12*S12</f>
        <v/>
      </c>
      <c r="V12" s="117">
        <f>(1+S12)*Q12*(1-U12)+S12</f>
        <v/>
      </c>
      <c r="W12" s="117">
        <f>V12+I12/3</f>
        <v/>
      </c>
      <c r="X12" s="117">
        <f>V12+I12/5</f>
        <v/>
      </c>
      <c r="Y12" s="117" t="n"/>
      <c r="AA12" s="117" t="n"/>
    </row>
    <row r="13">
      <c r="A13" t="inlineStr">
        <is>
          <t>C0202</t>
        </is>
      </c>
      <c r="B13" t="inlineStr">
        <is>
          <t>pe equal</t>
        </is>
      </c>
      <c r="C13" s="166" t="n">
        <v>44.16956775181587</v>
      </c>
      <c r="D13" s="90" t="n">
        <v>19.43133027446222</v>
      </c>
      <c r="E13" s="12" t="n">
        <v>0.5600742487758809</v>
      </c>
      <c r="F13" s="90" t="n">
        <v>-42.30686902839022</v>
      </c>
      <c r="G13" s="90" t="n">
        <v>-1.957828459316334</v>
      </c>
      <c r="H13" s="12" t="n">
        <v>-0.3814279133374618</v>
      </c>
      <c r="I13" s="12" t="n">
        <v>0.5681807785021409</v>
      </c>
      <c r="J13" s="12" t="n">
        <v>-34.33641779757679</v>
      </c>
      <c r="K13" s="90" t="n">
        <v>-2.177250267007831</v>
      </c>
      <c r="L13" s="7" t="n">
        <v>19.43133027446222</v>
      </c>
      <c r="M13" s="14" t="n">
        <v>0.5600742487758809</v>
      </c>
      <c r="N13" s="7" t="n">
        <v>-42.30686902839022</v>
      </c>
      <c r="O13" s="7" t="n">
        <v>-1.957828459316334</v>
      </c>
      <c r="P13" s="7" t="n">
        <v>-2.177250267007831</v>
      </c>
      <c r="S13" s="99" t="n">
        <v>0.01473191960363854</v>
      </c>
      <c r="U13" s="117">
        <f>C13*S13</f>
        <v/>
      </c>
      <c r="V13" s="117">
        <f>(1+S13)*R12*(1-U13)+S13</f>
        <v/>
      </c>
      <c r="W13" s="117">
        <f>V13+I13/3</f>
        <v/>
      </c>
      <c r="X13" s="117">
        <f>V13+I13/5</f>
        <v/>
      </c>
      <c r="Y13" s="117" t="n"/>
      <c r="AA13" s="117" t="n"/>
    </row>
    <row r="14">
      <c r="B14" t="inlineStr">
        <is>
          <t>pb weighted</t>
        </is>
      </c>
      <c r="C14" s="165" t="n">
        <v>1.912748816767283</v>
      </c>
      <c r="D14" s="90" t="n">
        <v>1.334312555210796</v>
      </c>
      <c r="E14" s="12" t="n">
        <v>0.3024109890885184</v>
      </c>
      <c r="F14" s="90" t="n">
        <v>3.898976152730382</v>
      </c>
      <c r="G14" s="90" t="n">
        <v>1.038415142935496</v>
      </c>
      <c r="H14" s="12" t="n">
        <v>-0.1432844262963796</v>
      </c>
      <c r="I14" s="12" t="n">
        <v>0.07771722668211112</v>
      </c>
      <c r="J14" s="12" t="n">
        <v>0.2557785302272511</v>
      </c>
      <c r="K14" s="90" t="n">
        <v>2.922086086579931</v>
      </c>
      <c r="L14" s="7" t="n">
        <v>1.448473435090795</v>
      </c>
      <c r="M14" s="14" t="n">
        <v>0.2427267906829266</v>
      </c>
      <c r="N14" s="7" t="n">
        <v>3.122608987235112</v>
      </c>
      <c r="O14" s="7" t="n">
        <v>0.6325243334943489</v>
      </c>
      <c r="P14" s="7" t="n">
        <v>2.155793065710851</v>
      </c>
      <c r="W14" s="117">
        <f>V12+I14/3</f>
        <v/>
      </c>
      <c r="X14" s="117">
        <f>V12+I14/5</f>
        <v/>
      </c>
      <c r="Y14" s="117" t="n"/>
      <c r="AA14" s="117" t="n"/>
    </row>
    <row r="15">
      <c r="B15" t="inlineStr">
        <is>
          <t>pb equal</t>
        </is>
      </c>
      <c r="C15" s="165" t="n">
        <v>1.954665302088061</v>
      </c>
      <c r="D15" s="90" t="n">
        <v>1.537093365259617</v>
      </c>
      <c r="E15" s="12" t="n">
        <v>0.2136283569275902</v>
      </c>
      <c r="F15" s="90" t="n">
        <v>4.839859246167411</v>
      </c>
      <c r="G15" s="90" t="n">
        <v>1.476055231039941</v>
      </c>
      <c r="H15" s="12" t="n">
        <v>-0.07759397879367458</v>
      </c>
      <c r="I15" s="12" t="n">
        <v>0.07777932906851515</v>
      </c>
      <c r="J15" s="12" t="n">
        <v>0.4380907709596311</v>
      </c>
      <c r="K15" s="90" t="n">
        <v>3.148708696267095</v>
      </c>
      <c r="L15" s="7" t="n">
        <v>1.578836478371709</v>
      </c>
      <c r="M15" s="14" t="n">
        <v>0.1922727248060706</v>
      </c>
      <c r="N15" s="7" t="n">
        <v>2.627796413913357</v>
      </c>
      <c r="O15" s="7" t="n">
        <v>0.3443715459143963</v>
      </c>
      <c r="P15" s="7" t="n">
        <v>1.664387952717856</v>
      </c>
      <c r="W15" s="117">
        <f>V13+I15/3</f>
        <v/>
      </c>
      <c r="X15" s="117">
        <f>V13+I15/5</f>
        <v/>
      </c>
      <c r="Y15" s="117" t="n"/>
      <c r="AA15" s="117" t="n"/>
    </row>
    <row r="16">
      <c r="C16" s="101" t="n"/>
      <c r="D16" s="90" t="n"/>
      <c r="F16" s="90" t="n"/>
      <c r="G16" s="90" t="n"/>
      <c r="K16" s="90" t="n"/>
      <c r="L16" s="7" t="n"/>
      <c r="N16" s="7" t="n"/>
      <c r="O16" s="7" t="n"/>
      <c r="P16" s="7" t="n"/>
      <c r="AA16" s="117" t="n"/>
    </row>
    <row r="17">
      <c r="A17" t="inlineStr">
        <is>
          <t>工业品</t>
        </is>
      </c>
      <c r="B17" t="inlineStr">
        <is>
          <t>pe weighted</t>
        </is>
      </c>
      <c r="C17" s="165" t="n">
        <v>42.82487091994659</v>
      </c>
      <c r="D17" s="90" t="n">
        <v>24.66910230492608</v>
      </c>
      <c r="E17" s="12" t="n">
        <v>0.4239538432925918</v>
      </c>
      <c r="F17" s="90" t="n">
        <v>122.9382775306803</v>
      </c>
      <c r="G17" s="90" t="n">
        <v>1.870721496405472</v>
      </c>
      <c r="H17" s="12" t="n">
        <v>-0.1042983491592706</v>
      </c>
      <c r="I17" s="12" t="n">
        <v>0.1170134179327083</v>
      </c>
      <c r="J17" s="12" t="n">
        <v>0.6111517925492818</v>
      </c>
      <c r="K17" s="90" t="n">
        <v>4.983492143779028</v>
      </c>
      <c r="L17" s="7" t="n">
        <v>25.26121629544209</v>
      </c>
      <c r="M17" s="14" t="n">
        <v>0.4101274387338282</v>
      </c>
      <c r="N17" s="7" t="n">
        <v>67.05518609960691</v>
      </c>
      <c r="O17" s="7" t="n">
        <v>0.5658000750301044</v>
      </c>
      <c r="P17" s="7" t="n">
        <v>2.654471792464947</v>
      </c>
      <c r="Q17" s="99" t="n">
        <v>0.07326924799226947</v>
      </c>
      <c r="R17" s="99" t="n">
        <v>0.03115946113105732</v>
      </c>
      <c r="S17" s="99" t="n">
        <v>0.007489077557355337</v>
      </c>
      <c r="U17" s="117">
        <f>C17*S17</f>
        <v/>
      </c>
      <c r="V17" s="117">
        <f>(1+S17)*Q17*(1-U17)+S17</f>
        <v/>
      </c>
      <c r="W17" s="117">
        <f>V17+I17/3</f>
        <v/>
      </c>
      <c r="X17" s="117">
        <f>V17+I17/5</f>
        <v/>
      </c>
      <c r="Y17" s="117" t="n"/>
      <c r="AA17" s="117" t="n"/>
    </row>
    <row r="18">
      <c r="A18" t="inlineStr">
        <is>
          <t>C0301</t>
        </is>
      </c>
      <c r="B18" t="inlineStr">
        <is>
          <t>pe equal</t>
        </is>
      </c>
      <c r="C18" s="165" t="n">
        <v>87.50462767285245</v>
      </c>
      <c r="D18" s="90" t="n">
        <v>33.49946774113848</v>
      </c>
      <c r="E18" s="12" t="n">
        <v>0.617169187138529</v>
      </c>
      <c r="F18" s="90" t="n">
        <v>-9.591965070122816</v>
      </c>
      <c r="G18" s="90" t="n">
        <v>-1.109616660572326</v>
      </c>
      <c r="H18" s="12" t="n">
        <v>-0.3076245539917891</v>
      </c>
      <c r="I18" s="12" t="n">
        <v>0.06999251502864423</v>
      </c>
      <c r="J18" s="12" t="n">
        <v>3.879135933847271</v>
      </c>
      <c r="K18" s="90" t="n">
        <v>-0.2863318648595589</v>
      </c>
      <c r="L18" s="7" t="n">
        <v>33.49946774113848</v>
      </c>
      <c r="M18" s="14" t="n">
        <v>0.617169187138529</v>
      </c>
      <c r="N18" s="7" t="n">
        <v>-9.591965070122816</v>
      </c>
      <c r="O18" s="7" t="n">
        <v>-1.109616660572326</v>
      </c>
      <c r="P18" s="7" t="n">
        <v>-0.2863318648595589</v>
      </c>
      <c r="S18" s="99" t="n">
        <v>0.00722394464255267</v>
      </c>
      <c r="U18" s="117">
        <f>C18*S18</f>
        <v/>
      </c>
      <c r="V18" s="117">
        <f>(1+S18)*R17*(1-U18)+S18</f>
        <v/>
      </c>
      <c r="W18" s="117">
        <f>V18+I18/3</f>
        <v/>
      </c>
      <c r="X18" s="117">
        <f>V18+I18/5</f>
        <v/>
      </c>
      <c r="Y18" s="117" t="n"/>
      <c r="AA18" s="117" t="n"/>
    </row>
    <row r="19">
      <c r="B19" t="inlineStr">
        <is>
          <t>pb weighted</t>
        </is>
      </c>
      <c r="C19" s="168" t="n">
        <v>3.137746087670496</v>
      </c>
      <c r="D19" s="90" t="n">
        <v>1.756663214769186</v>
      </c>
      <c r="E19" s="12" t="n">
        <v>0.4401512532604714</v>
      </c>
      <c r="F19" s="90" t="n">
        <v>6.720994659539931</v>
      </c>
      <c r="G19" s="90" t="n">
        <v>1.141981687412344</v>
      </c>
      <c r="H19" s="12" t="n">
        <v>-0.3060077616407808</v>
      </c>
      <c r="I19" s="12" t="n">
        <v>-0.05578343954402576</v>
      </c>
      <c r="J19" s="12" t="n">
        <v>0.1115565467699366</v>
      </c>
      <c r="K19" s="90" t="n">
        <v>3.826000683018245</v>
      </c>
      <c r="L19" s="7" t="n">
        <v>1.756663214769186</v>
      </c>
      <c r="M19" s="14" t="n">
        <v>0.4401512532604714</v>
      </c>
      <c r="N19" s="7" t="n">
        <v>4.173556242146033</v>
      </c>
      <c r="O19" s="7" t="n">
        <v>0.3301128024812663</v>
      </c>
      <c r="P19" s="7" t="n">
        <v>2.375843136610799</v>
      </c>
      <c r="W19" s="117">
        <f>V17+I19/3</f>
        <v/>
      </c>
      <c r="X19" s="117">
        <f>V17+I19/5</f>
        <v/>
      </c>
      <c r="Y19" s="117" t="n"/>
      <c r="AA19" s="117" t="n"/>
    </row>
    <row r="20">
      <c r="B20" t="inlineStr">
        <is>
          <t>pb equal</t>
        </is>
      </c>
      <c r="C20" s="168" t="n">
        <v>2.726597044759889</v>
      </c>
      <c r="D20" s="90" t="n">
        <v>1.666121582485653</v>
      </c>
      <c r="E20" s="12" t="n">
        <v>0.3889373621644279</v>
      </c>
      <c r="F20" s="90" t="n">
        <v>7.049839969712198</v>
      </c>
      <c r="G20" s="90" t="n">
        <v>1.585581900802296</v>
      </c>
      <c r="H20" s="12" t="n">
        <v>-0.189145225776127</v>
      </c>
      <c r="I20" s="12" t="n">
        <v>-0.01943250486575698</v>
      </c>
      <c r="J20" s="12" t="n">
        <v>0.3283544884909304</v>
      </c>
      <c r="K20" s="90" t="n">
        <v>4.231287826663096</v>
      </c>
      <c r="L20" s="7" t="n">
        <v>1.666121582485653</v>
      </c>
      <c r="M20" s="14" t="n">
        <v>0.3889373621644279</v>
      </c>
      <c r="N20" s="7" t="n">
        <v>3.771642889200084</v>
      </c>
      <c r="O20" s="7" t="n">
        <v>0.3832784336242925</v>
      </c>
      <c r="P20" s="7" t="n">
        <v>2.26372608628792</v>
      </c>
      <c r="W20" s="117">
        <f>V18+I20/3</f>
        <v/>
      </c>
      <c r="X20" s="117">
        <f>V18+I20/5</f>
        <v/>
      </c>
      <c r="Y20" s="117" t="n"/>
      <c r="AA20" s="117" t="n"/>
    </row>
    <row r="21">
      <c r="C21" s="101" t="n"/>
      <c r="D21" s="90" t="n"/>
      <c r="F21" s="90" t="n"/>
      <c r="G21" s="90" t="n"/>
      <c r="K21" s="90" t="n"/>
      <c r="L21" s="7" t="n"/>
      <c r="N21" s="7" t="n"/>
      <c r="O21" s="7" t="n"/>
      <c r="P21" s="7" t="n"/>
      <c r="AA21" s="117" t="n"/>
    </row>
    <row r="22">
      <c r="A22" t="inlineStr">
        <is>
          <t>工业服务</t>
        </is>
      </c>
      <c r="B22" t="inlineStr">
        <is>
          <t>pe weighted</t>
        </is>
      </c>
      <c r="C22" s="168" t="n">
        <v>13.97079134898904</v>
      </c>
      <c r="D22" s="90" t="n">
        <v>10.53659976985942</v>
      </c>
      <c r="E22" s="12" t="n">
        <v>0.2458122445138464</v>
      </c>
      <c r="F22" s="90" t="n">
        <v>38.60320248660926</v>
      </c>
      <c r="G22" s="90" t="n">
        <v>1.763136426728088</v>
      </c>
      <c r="H22" s="12" t="n">
        <v>-0.1177761763126127</v>
      </c>
      <c r="I22" s="12" t="n">
        <v>-0.01174085451790619</v>
      </c>
      <c r="J22" s="12" t="n">
        <v>0.5162660703600133</v>
      </c>
      <c r="K22" s="90" t="n">
        <v>3.663724857143769</v>
      </c>
      <c r="L22" s="7" t="n">
        <v>11.08331049993555</v>
      </c>
      <c r="M22" s="14" t="n">
        <v>0.2066798348729502</v>
      </c>
      <c r="N22" s="7" t="n">
        <v>18.2752640925441</v>
      </c>
      <c r="O22" s="7" t="n">
        <v>0.308105148522352</v>
      </c>
      <c r="P22" s="7" t="n">
        <v>1.648899405340163</v>
      </c>
      <c r="Q22" s="99" t="n">
        <v>0.08323787440526154</v>
      </c>
      <c r="R22" s="99" t="n">
        <v>-0.03019025059097936</v>
      </c>
      <c r="S22" s="99" t="n">
        <v>0.01816166749046344</v>
      </c>
      <c r="U22" s="117">
        <f>C22*S22</f>
        <v/>
      </c>
      <c r="V22" s="117">
        <f>(1+S22)*Q22*(1-U22)+S22</f>
        <v/>
      </c>
      <c r="W22" s="117">
        <f>V22+I22/3</f>
        <v/>
      </c>
      <c r="X22" s="117">
        <f>V22+I22/5</f>
        <v/>
      </c>
      <c r="Y22" s="117" t="n"/>
      <c r="AA22" s="117" t="n"/>
    </row>
    <row r="23">
      <c r="A23" t="inlineStr">
        <is>
          <t>C0302</t>
        </is>
      </c>
      <c r="B23" t="inlineStr">
        <is>
          <t>pe equal</t>
        </is>
      </c>
      <c r="C23" s="167" t="n">
        <v>-60.67487700542394</v>
      </c>
      <c r="D23" s="90" t="n">
        <v>23.1055142457092</v>
      </c>
      <c r="E23" s="12" t="n">
        <v>1.380808588102185</v>
      </c>
      <c r="F23" s="90" t="n">
        <v>-38.65688022081785</v>
      </c>
      <c r="G23" s="90" t="n">
        <v>-0.3628849018126203</v>
      </c>
      <c r="H23" s="12" t="n">
        <v>-1.49352417394415</v>
      </c>
      <c r="I23" s="12" t="n">
        <v>-1.75207770375776</v>
      </c>
      <c r="J23" s="12" t="n">
        <v>-2.472076649635758</v>
      </c>
      <c r="K23" s="90" t="n">
        <v>-1.673058639151328</v>
      </c>
      <c r="L23" s="7" t="n">
        <v>23.15884709319263</v>
      </c>
      <c r="M23" s="14" t="n">
        <v>1.381687582013926</v>
      </c>
      <c r="N23" s="7" t="n">
        <v>-38.65688022081785</v>
      </c>
      <c r="O23" s="7" t="n">
        <v>-0.3628849018126203</v>
      </c>
      <c r="P23" s="7" t="n">
        <v>-1.669205727956153</v>
      </c>
      <c r="S23" s="99" t="n">
        <v>0.01070137078315655</v>
      </c>
      <c r="U23" s="117">
        <f>C23*S23</f>
        <v/>
      </c>
      <c r="V23" s="117">
        <f>(1+S23)*R22*(1-U23)+S23</f>
        <v/>
      </c>
      <c r="W23" s="117">
        <f>V23+I23/3</f>
        <v/>
      </c>
      <c r="X23" s="117">
        <f>V23+I23/5</f>
        <v/>
      </c>
      <c r="Y23" s="117" t="n"/>
      <c r="AA23" s="117" t="n"/>
    </row>
    <row r="24">
      <c r="B24" t="inlineStr">
        <is>
          <t>pb weighted</t>
        </is>
      </c>
      <c r="C24" s="167" t="n">
        <v>1.162898975649264</v>
      </c>
      <c r="D24" s="90" t="n">
        <v>1.018919925730604</v>
      </c>
      <c r="E24" s="12" t="n">
        <v>0.1238104538171727</v>
      </c>
      <c r="F24" s="90" t="n">
        <v>4.267679572888992</v>
      </c>
      <c r="G24" s="90" t="n">
        <v>2.66986269852571</v>
      </c>
      <c r="H24" s="12" t="n">
        <v>0.04803333745003702</v>
      </c>
      <c r="I24" s="12" t="n">
        <v>0.2740534072619756</v>
      </c>
      <c r="J24" s="12" t="n">
        <v>0.9334427516899435</v>
      </c>
      <c r="K24" s="90" t="n">
        <v>4.188434699447954</v>
      </c>
      <c r="L24" s="7" t="n">
        <v>1.018919925730604</v>
      </c>
      <c r="M24" s="14" t="n">
        <v>0.1238104538171727</v>
      </c>
      <c r="N24" s="7" t="n">
        <v>1.931919378182006</v>
      </c>
      <c r="O24" s="7" t="n">
        <v>0.6612959669204161</v>
      </c>
      <c r="P24" s="7" t="n">
        <v>1.896046322577064</v>
      </c>
      <c r="W24" s="117">
        <f>V22+I24/3</f>
        <v/>
      </c>
      <c r="X24" s="117">
        <f>V22+I24/5</f>
        <v/>
      </c>
      <c r="Y24" s="117" t="n"/>
      <c r="AA24" s="117" t="n"/>
    </row>
    <row r="25">
      <c r="B25" t="inlineStr">
        <is>
          <t>pb equal</t>
        </is>
      </c>
      <c r="C25" s="165" t="n">
        <v>1.8317897413706</v>
      </c>
      <c r="D25" s="90" t="n">
        <v>1.504097669820836</v>
      </c>
      <c r="E25" s="12" t="n">
        <v>0.1788917494999044</v>
      </c>
      <c r="F25" s="90" t="n">
        <v>6.453580430539966</v>
      </c>
      <c r="G25" s="90" t="n">
        <v>2.523101087852585</v>
      </c>
      <c r="H25" s="12" t="n">
        <v>-0.02453441351694041</v>
      </c>
      <c r="I25" s="12" t="n">
        <v>0.2255415510205188</v>
      </c>
      <c r="J25" s="12" t="n">
        <v>0.8187840690086787</v>
      </c>
      <c r="K25" s="90" t="n">
        <v>4.290665799188891</v>
      </c>
      <c r="L25" s="7" t="n">
        <v>1.504097669820836</v>
      </c>
      <c r="M25" s="14" t="n">
        <v>0.1788917494999044</v>
      </c>
      <c r="N25" s="7" t="n">
        <v>2.766075011799661</v>
      </c>
      <c r="O25" s="7" t="n">
        <v>0.5100395800502739</v>
      </c>
      <c r="P25" s="7" t="n">
        <v>1.839026193112278</v>
      </c>
      <c r="W25" s="117">
        <f>V23+I25/3</f>
        <v/>
      </c>
      <c r="X25" s="117">
        <f>V23+I25/5</f>
        <v/>
      </c>
      <c r="Y25" s="117" t="n"/>
      <c r="AA25" s="117" t="n"/>
    </row>
    <row r="26">
      <c r="C26" s="101" t="n"/>
      <c r="D26" s="90" t="n"/>
      <c r="F26" s="90" t="n"/>
      <c r="G26" s="90" t="n"/>
      <c r="K26" s="90" t="n"/>
      <c r="L26" s="7" t="n"/>
      <c r="N26" s="7" t="n"/>
      <c r="O26" s="7" t="n"/>
      <c r="P26" s="7" t="n"/>
      <c r="AA26" s="117" t="n"/>
    </row>
    <row r="27">
      <c r="A27" t="inlineStr">
        <is>
          <t>运输</t>
        </is>
      </c>
      <c r="B27" t="inlineStr">
        <is>
          <t>pe weighted</t>
        </is>
      </c>
      <c r="C27" s="168" t="n">
        <v>23.06222505679157</v>
      </c>
      <c r="D27" s="90" t="n">
        <v>14.66523947138747</v>
      </c>
      <c r="E27" s="12" t="n">
        <v>0.3641012766429178</v>
      </c>
      <c r="F27" s="90" t="n">
        <v>124.1201452388991</v>
      </c>
      <c r="G27" s="90" t="n">
        <v>4.381967478560665</v>
      </c>
      <c r="H27" s="12" t="n">
        <v>-0.2198088512037917</v>
      </c>
      <c r="I27" s="12" t="n">
        <v>-0.02605749372874855</v>
      </c>
      <c r="J27" s="12" t="n">
        <v>0.3406614890966171</v>
      </c>
      <c r="K27" s="90" t="n">
        <v>8.463560754058124</v>
      </c>
      <c r="L27" s="7" t="n">
        <v>15.45586378573843</v>
      </c>
      <c r="M27" s="14" t="n">
        <v>0.3298190548536493</v>
      </c>
      <c r="N27" s="7" t="n">
        <v>124.1201452388991</v>
      </c>
      <c r="O27" s="7" t="n">
        <v>4.381967478560665</v>
      </c>
      <c r="P27" s="7" t="n">
        <v>8.030618473321974</v>
      </c>
      <c r="Q27" s="99" t="n">
        <v>0.06702627747893837</v>
      </c>
      <c r="R27" s="99" t="n">
        <v>0.060977369395093</v>
      </c>
      <c r="S27" s="99" t="n">
        <v>0.02107409393174961</v>
      </c>
      <c r="U27" s="117">
        <f>C27*S27</f>
        <v/>
      </c>
      <c r="V27" s="117">
        <f>(1+S27)*Q27*(1-U27)+S27</f>
        <v/>
      </c>
      <c r="W27" s="117">
        <f>V27+I27/3</f>
        <v/>
      </c>
      <c r="X27" s="117">
        <f>V27+I27/5</f>
        <v/>
      </c>
      <c r="Y27" s="117" t="n"/>
      <c r="AA27" s="117" t="n"/>
    </row>
    <row r="28">
      <c r="A28" t="inlineStr">
        <is>
          <t>C0303</t>
        </is>
      </c>
      <c r="B28" t="inlineStr">
        <is>
          <t>pe equal</t>
        </is>
      </c>
      <c r="C28" s="167" t="n">
        <v>22.89868712376011</v>
      </c>
      <c r="D28" s="90" t="n">
        <v>18.45540156918517</v>
      </c>
      <c r="E28" s="12" t="n">
        <v>0.1940410614180802</v>
      </c>
      <c r="F28" s="90" t="n">
        <v>-9.92510659128007</v>
      </c>
      <c r="G28" s="90" t="n">
        <v>-1.433435617406274</v>
      </c>
      <c r="H28" s="12" t="n">
        <v>0.1275699552770433</v>
      </c>
      <c r="I28" s="12" t="n">
        <v>0.4022782143999457</v>
      </c>
      <c r="J28" s="12" t="n">
        <v>14.88648947658455</v>
      </c>
      <c r="K28" s="90" t="n">
        <v>-0.537788709396166</v>
      </c>
      <c r="L28" s="7" t="n">
        <v>18.45540156918517</v>
      </c>
      <c r="M28" s="14" t="n">
        <v>0.1940410614180802</v>
      </c>
      <c r="N28" s="7" t="n">
        <v>-9.92510659128007</v>
      </c>
      <c r="O28" s="7" t="n">
        <v>-1.433435617406274</v>
      </c>
      <c r="P28" s="7" t="n">
        <v>-0.537788709396166</v>
      </c>
      <c r="S28" s="99" t="n">
        <v>0.01993273889653338</v>
      </c>
      <c r="U28" s="117">
        <f>C28*S28</f>
        <v/>
      </c>
      <c r="V28" s="117">
        <f>(1+S28)*R27*(1-U28)+S28</f>
        <v/>
      </c>
      <c r="W28" s="117">
        <f>V28+I28/3</f>
        <v/>
      </c>
      <c r="X28" s="117">
        <f>V28+I28/5</f>
        <v/>
      </c>
      <c r="Y28" s="117" t="n"/>
      <c r="AA28" s="117" t="n"/>
    </row>
    <row r="29">
      <c r="B29" t="inlineStr">
        <is>
          <t>pb weighted</t>
        </is>
      </c>
      <c r="C29" s="165" t="n">
        <v>1.545775095938237</v>
      </c>
      <c r="D29" s="90" t="n">
        <v>1.050016997496906</v>
      </c>
      <c r="E29" s="12" t="n">
        <v>0.3207181301756069</v>
      </c>
      <c r="F29" s="90" t="n">
        <v>3.870618089368161</v>
      </c>
      <c r="G29" s="90" t="n">
        <v>1.503998220400114</v>
      </c>
      <c r="H29" s="12" t="n">
        <v>-0.05120714221549616</v>
      </c>
      <c r="I29" s="12" t="n">
        <v>0.08225935418269748</v>
      </c>
      <c r="J29" s="12" t="n">
        <v>0.3140632462732542</v>
      </c>
      <c r="K29" s="90" t="n">
        <v>3.686243269009144</v>
      </c>
      <c r="L29" s="7" t="n">
        <v>1.300456344951736</v>
      </c>
      <c r="M29" s="14" t="n">
        <v>0.1587027450701686</v>
      </c>
      <c r="N29" s="7" t="n">
        <v>2.210676310400189</v>
      </c>
      <c r="O29" s="7" t="n">
        <v>0.4301409798935711</v>
      </c>
      <c r="P29" s="7" t="n">
        <v>1.699923506838082</v>
      </c>
      <c r="W29" s="117">
        <f>V27+I29/3</f>
        <v/>
      </c>
      <c r="X29" s="117">
        <f>V27+I29/5</f>
        <v/>
      </c>
      <c r="Y29" s="117" t="n"/>
      <c r="AA29" s="117" t="n"/>
    </row>
    <row r="30">
      <c r="B30" t="inlineStr">
        <is>
          <t>pb equal</t>
        </is>
      </c>
      <c r="C30" s="167" t="n">
        <v>1.39630170340818</v>
      </c>
      <c r="D30" s="90" t="n">
        <v>1.171489680535662</v>
      </c>
      <c r="E30" s="12" t="n">
        <v>0.1610053345375015</v>
      </c>
      <c r="F30" s="90" t="n">
        <v>4.175714167904885</v>
      </c>
      <c r="G30" s="90" t="n">
        <v>1.990552942614439</v>
      </c>
      <c r="H30" s="12" t="n">
        <v>0.007082161831645006</v>
      </c>
      <c r="I30" s="12" t="n">
        <v>0.1029989339952044</v>
      </c>
      <c r="J30" s="12" t="n">
        <v>0.5262416241527419</v>
      </c>
      <c r="K30" s="90" t="n">
        <v>3.564448101664492</v>
      </c>
      <c r="L30" s="7" t="n">
        <v>1.231914142157633</v>
      </c>
      <c r="M30" s="14" t="n">
        <v>0.1177306887539419</v>
      </c>
      <c r="N30" s="7" t="n">
        <v>1.9858155663805</v>
      </c>
      <c r="O30" s="7" t="n">
        <v>0.4221966223584763</v>
      </c>
      <c r="P30" s="7" t="n">
        <v>1.611975622669977</v>
      </c>
      <c r="W30" s="117">
        <f>V28+I30/3</f>
        <v/>
      </c>
      <c r="X30" s="117">
        <f>V28+I30/5</f>
        <v/>
      </c>
      <c r="Y30" s="117" t="n"/>
      <c r="AA30" s="117" t="n"/>
    </row>
    <row r="31">
      <c r="C31" s="101" t="n"/>
      <c r="D31" s="90" t="n"/>
      <c r="F31" s="90" t="n"/>
      <c r="G31" s="90" t="n"/>
      <c r="K31" s="90" t="n"/>
      <c r="L31" s="7" t="n"/>
      <c r="N31" s="7" t="n"/>
      <c r="O31" s="7" t="n"/>
      <c r="P31" s="7" t="n"/>
      <c r="AA31" s="117" t="n"/>
    </row>
    <row r="32">
      <c r="A32" t="inlineStr">
        <is>
          <t>汽车与汽车零配件</t>
        </is>
      </c>
      <c r="B32" t="inlineStr">
        <is>
          <t>pe weighted</t>
        </is>
      </c>
      <c r="C32" s="166" t="n">
        <v>43.57412660673958</v>
      </c>
      <c r="D32" s="90" t="n">
        <v>13.62687420378204</v>
      </c>
      <c r="E32" s="12" t="n">
        <v>0.6872714322706727</v>
      </c>
      <c r="F32" s="90" t="n">
        <v>74.82047681336741</v>
      </c>
      <c r="G32" s="90" t="n">
        <v>0.7170849455831656</v>
      </c>
      <c r="H32" s="12" t="n">
        <v>-0.6022073688976138</v>
      </c>
      <c r="I32" s="12" t="n">
        <v>-0.5117581101984368</v>
      </c>
      <c r="J32" s="12" t="n">
        <v>-0.01212764241440045</v>
      </c>
      <c r="K32" s="90" t="n">
        <v>5.49065586828427</v>
      </c>
      <c r="L32" s="7" t="n">
        <v>13.77181109803993</v>
      </c>
      <c r="M32" s="14" t="n">
        <v>0.6839452177129846</v>
      </c>
      <c r="N32" s="7" t="n">
        <v>74.82047681336741</v>
      </c>
      <c r="O32" s="7" t="n">
        <v>0.7170849455831656</v>
      </c>
      <c r="P32" s="7" t="n">
        <v>5.432871267310385</v>
      </c>
      <c r="Q32" s="99" t="n">
        <v>0.05557352635468198</v>
      </c>
      <c r="R32" s="99" t="n">
        <v>0.02728518069865668</v>
      </c>
      <c r="S32" s="99" t="n">
        <v>0.01079938201711347</v>
      </c>
      <c r="U32" s="117">
        <f>C32*S32</f>
        <v/>
      </c>
      <c r="V32" s="117">
        <f>(1+S32)*Q32*(1-U32)+S32</f>
        <v/>
      </c>
      <c r="W32" s="117">
        <f>V32+I32/3</f>
        <v/>
      </c>
      <c r="X32" s="117">
        <f>V32+I32/5</f>
        <v/>
      </c>
      <c r="Y32" s="117" t="n"/>
      <c r="AA32" s="117" t="n"/>
    </row>
    <row r="33">
      <c r="A33" t="inlineStr">
        <is>
          <t>C0401</t>
        </is>
      </c>
      <c r="B33" t="inlineStr">
        <is>
          <t>pe equal</t>
        </is>
      </c>
      <c r="C33" s="168" t="n">
        <v>82.97283831717212</v>
      </c>
      <c r="D33" s="90" t="n">
        <v>24.05474086785172</v>
      </c>
      <c r="E33" s="12" t="n">
        <v>0.7100889718162946</v>
      </c>
      <c r="F33" s="90" t="n">
        <v>-32.14183218653226</v>
      </c>
      <c r="G33" s="90" t="n">
        <v>-1.387377759257395</v>
      </c>
      <c r="H33" s="12" t="n">
        <v>-0.6104351669463532</v>
      </c>
      <c r="I33" s="12" t="n">
        <v>-0.4717235417946322</v>
      </c>
      <c r="J33" s="12" t="n">
        <v>0.2111485603408327</v>
      </c>
      <c r="K33" s="90" t="n">
        <v>-1.336195320627571</v>
      </c>
      <c r="L33" s="7" t="n">
        <v>25.04315919146912</v>
      </c>
      <c r="M33" s="14" t="n">
        <v>0.6981764189415927</v>
      </c>
      <c r="N33" s="7" t="n">
        <v>-32.14183218653226</v>
      </c>
      <c r="O33" s="7" t="n">
        <v>-1.387377759257395</v>
      </c>
      <c r="P33" s="7" t="n">
        <v>-1.283457567824801</v>
      </c>
      <c r="S33" s="99" t="n">
        <v>0.01029355412000495</v>
      </c>
      <c r="U33" s="117">
        <f>C33*S33</f>
        <v/>
      </c>
      <c r="V33" s="117">
        <f>(1+S33)*R32*(1-U33)+S33</f>
        <v/>
      </c>
      <c r="W33" s="117">
        <f>V33+I33/3</f>
        <v/>
      </c>
      <c r="X33" s="117">
        <f>V33+I33/5</f>
        <v/>
      </c>
      <c r="Y33" s="117" t="n"/>
      <c r="AA33" s="117" t="n"/>
    </row>
    <row r="34">
      <c r="B34" t="inlineStr">
        <is>
          <t>pb weighted</t>
        </is>
      </c>
      <c r="C34" s="168" t="n">
        <v>2.421567873361891</v>
      </c>
      <c r="D34" s="90" t="n">
        <v>1.396364235140753</v>
      </c>
      <c r="E34" s="12" t="n">
        <v>0.4233635775807661</v>
      </c>
      <c r="F34" s="90" t="n">
        <v>4.2548611836284</v>
      </c>
      <c r="G34" s="90" t="n">
        <v>0.7570687282538673</v>
      </c>
      <c r="H34" s="12" t="n">
        <v>-0.2262640576075495</v>
      </c>
      <c r="I34" s="12" t="n">
        <v>-0.01675398253838156</v>
      </c>
      <c r="J34" s="12" t="n">
        <v>0.1295722147992528</v>
      </c>
      <c r="K34" s="90" t="n">
        <v>3.047099801435054</v>
      </c>
      <c r="L34" s="7" t="n">
        <v>1.396364235140753</v>
      </c>
      <c r="M34" s="14" t="n">
        <v>0.4233635775807661</v>
      </c>
      <c r="N34" s="7" t="n">
        <v>3.26892817845338</v>
      </c>
      <c r="O34" s="7" t="n">
        <v>0.3499221782766258</v>
      </c>
      <c r="P34" s="7" t="n">
        <v>2.341028290604903</v>
      </c>
      <c r="W34" s="117">
        <f>V32+I34/3</f>
        <v/>
      </c>
      <c r="X34" s="117">
        <f>V32+I34/5</f>
        <v/>
      </c>
      <c r="Y34" s="117" t="n"/>
      <c r="AA34" s="117" t="n"/>
    </row>
    <row r="35">
      <c r="B35" t="inlineStr">
        <is>
          <t>pb equal</t>
        </is>
      </c>
      <c r="C35" s="168" t="n">
        <v>2.263928886564466</v>
      </c>
      <c r="D35" s="90" t="n">
        <v>1.48985006728842</v>
      </c>
      <c r="E35" s="12" t="n">
        <v>0.3419183455230865</v>
      </c>
      <c r="F35" s="90" t="n">
        <v>5.784965703476423</v>
      </c>
      <c r="G35" s="90" t="n">
        <v>1.55527712809706</v>
      </c>
      <c r="H35" s="12" t="n">
        <v>-0.1473351173232373</v>
      </c>
      <c r="I35" s="12" t="n">
        <v>-0.01881720527184316</v>
      </c>
      <c r="J35" s="12" t="n">
        <v>0.3734846088529067</v>
      </c>
      <c r="K35" s="90" t="n">
        <v>3.882918040206063</v>
      </c>
      <c r="L35" s="7" t="n">
        <v>1.48985006728842</v>
      </c>
      <c r="M35" s="14" t="n">
        <v>0.3419183455230865</v>
      </c>
      <c r="N35" s="7" t="n">
        <v>2.592887836408435</v>
      </c>
      <c r="O35" s="7" t="n">
        <v>0.145304453596671</v>
      </c>
      <c r="P35" s="7" t="n">
        <v>1.740368305065477</v>
      </c>
      <c r="W35" s="117">
        <f>V33+I35/3</f>
        <v/>
      </c>
      <c r="X35" s="117">
        <f>V33+I35/5</f>
        <v/>
      </c>
      <c r="Y35" s="117" t="n"/>
      <c r="AA35" s="117" t="n"/>
    </row>
    <row r="36">
      <c r="C36" s="101" t="n"/>
      <c r="D36" s="90" t="n"/>
      <c r="F36" s="90" t="n"/>
      <c r="G36" s="90" t="n"/>
      <c r="K36" s="90" t="n"/>
      <c r="L36" s="7" t="n"/>
      <c r="N36" s="7" t="n"/>
      <c r="O36" s="7" t="n"/>
      <c r="P36" s="7" t="n"/>
      <c r="AA36" s="117" t="n"/>
    </row>
    <row r="37">
      <c r="A37" s="128" t="inlineStr">
        <is>
          <t>耐用消费品</t>
        </is>
      </c>
      <c r="B37" t="inlineStr">
        <is>
          <t>pe weighted</t>
        </is>
      </c>
      <c r="C37" s="165" t="n">
        <v>19.06066856339118</v>
      </c>
      <c r="D37" s="90" t="n">
        <v>13.54503130908479</v>
      </c>
      <c r="E37" s="12" t="n">
        <v>0.2893727067318078</v>
      </c>
      <c r="F37" s="90" t="n">
        <v>38.69037036166043</v>
      </c>
      <c r="G37" s="90" t="n">
        <v>1.029853792010789</v>
      </c>
      <c r="H37" s="12" t="n">
        <v>-0.05787375139516127</v>
      </c>
      <c r="I37" s="12" t="n">
        <v>0.1717165970415928</v>
      </c>
      <c r="J37" s="12" t="n">
        <v>0.3511793810517085</v>
      </c>
      <c r="K37" s="90" t="n">
        <v>2.856425317799774</v>
      </c>
      <c r="L37" s="7" t="n">
        <v>13.54503130908479</v>
      </c>
      <c r="M37" s="14" t="n">
        <v>0.2893727067318078</v>
      </c>
      <c r="N37" s="7" t="n">
        <v>38.69037036166043</v>
      </c>
      <c r="O37" s="7" t="n">
        <v>1.029853792010789</v>
      </c>
      <c r="P37" s="7" t="n">
        <v>2.856425317799774</v>
      </c>
      <c r="Q37" s="99" t="n">
        <v>0.1441692603540598</v>
      </c>
      <c r="R37" s="99" t="n">
        <v>0.04552101499515199</v>
      </c>
      <c r="S37" s="99" t="n">
        <v>0.02521681651013694</v>
      </c>
      <c r="U37" s="117">
        <f>C37*S37</f>
        <v/>
      </c>
      <c r="V37" s="117">
        <f>(1+S37)*Q37*(1-U37)+S37</f>
        <v/>
      </c>
      <c r="W37" s="117">
        <f>V37+I37/3</f>
        <v/>
      </c>
      <c r="X37" s="117">
        <f>V37+I37/5</f>
        <v/>
      </c>
      <c r="Y37" s="117" t="n"/>
      <c r="AA37" s="36" t="n"/>
    </row>
    <row r="38">
      <c r="A38" t="inlineStr">
        <is>
          <t>C0402</t>
        </is>
      </c>
      <c r="B38" t="inlineStr">
        <is>
          <t>pe equal</t>
        </is>
      </c>
      <c r="C38" s="166" t="n">
        <v>53.927192093765</v>
      </c>
      <c r="D38" s="90" t="n">
        <v>27.22426931927008</v>
      </c>
      <c r="E38" s="12" t="n">
        <v>0.495166199791483</v>
      </c>
      <c r="F38" s="90" t="n">
        <v>-27.79679850212476</v>
      </c>
      <c r="G38" s="90" t="n">
        <v>-1.515450506931523</v>
      </c>
      <c r="H38" s="12" t="n">
        <v>-0.3264833819712888</v>
      </c>
      <c r="I38" s="12" t="n">
        <v>-0.07295168158634646</v>
      </c>
      <c r="J38" s="12" t="n">
        <v>-2.353861943693516</v>
      </c>
      <c r="K38" s="90" t="n">
        <v>-1.021030102815264</v>
      </c>
      <c r="L38" s="7" t="n">
        <v>32.02040750124353</v>
      </c>
      <c r="M38" s="14" t="n">
        <v>0.4062289123904582</v>
      </c>
      <c r="N38" s="7" t="n">
        <v>-27.79679850212476</v>
      </c>
      <c r="O38" s="7" t="n">
        <v>-1.515450506931523</v>
      </c>
      <c r="P38" s="7" t="n">
        <v>-0.8680963382819304</v>
      </c>
      <c r="S38" s="99" t="n">
        <v>0.0133427380707117</v>
      </c>
      <c r="U38" s="117">
        <f>C38*S38</f>
        <v/>
      </c>
      <c r="V38" s="117">
        <f>(1+S38)*R37*(1-U38)+S38</f>
        <v/>
      </c>
      <c r="W38" s="117">
        <f>V38+I38/3</f>
        <v/>
      </c>
      <c r="X38" s="117">
        <f>V38+I38/5</f>
        <v/>
      </c>
      <c r="Y38" s="117" t="n"/>
      <c r="AA38" s="117" t="n"/>
    </row>
    <row r="39">
      <c r="B39" t="inlineStr">
        <is>
          <t>pb weighted</t>
        </is>
      </c>
      <c r="C39" s="165" t="n">
        <v>2.747962488637986</v>
      </c>
      <c r="D39" s="90" t="n">
        <v>2.223693010803906</v>
      </c>
      <c r="E39" s="12" t="n">
        <v>0.1907848014671887</v>
      </c>
      <c r="F39" s="90" t="n">
        <v>5.661444906169489</v>
      </c>
      <c r="G39" s="90" t="n">
        <v>1.060233692991769</v>
      </c>
      <c r="H39" s="12" t="n">
        <v>-0.01214920883627202</v>
      </c>
      <c r="I39" s="12" t="n">
        <v>0.2009969861755079</v>
      </c>
      <c r="J39" s="12" t="n">
        <v>0.3991606360159199</v>
      </c>
      <c r="K39" s="90" t="n">
        <v>2.545965148364959</v>
      </c>
      <c r="L39" s="7" t="n">
        <v>2.232096377231461</v>
      </c>
      <c r="M39" s="14" t="n">
        <v>0.1877267661183438</v>
      </c>
      <c r="N39" s="7" t="n">
        <v>4.432494739289154</v>
      </c>
      <c r="O39" s="7" t="n">
        <v>0.6130113702847879</v>
      </c>
      <c r="P39" s="7" t="n">
        <v>1.985798993494589</v>
      </c>
      <c r="W39" s="117">
        <f>V37+I39/3</f>
        <v/>
      </c>
      <c r="X39" s="117">
        <f>V37+I39/5</f>
        <v/>
      </c>
      <c r="Y39" s="117" t="n"/>
      <c r="AA39" s="117" t="n"/>
    </row>
    <row r="40">
      <c r="B40" t="inlineStr">
        <is>
          <t>pb equal</t>
        </is>
      </c>
      <c r="C40" s="165" t="n">
        <v>2.454820519946718</v>
      </c>
      <c r="D40" s="90" t="n">
        <v>1.705481053321902</v>
      </c>
      <c r="E40" s="12" t="n">
        <v>0.3052522416755261</v>
      </c>
      <c r="F40" s="90" t="n">
        <v>6.805257755853128</v>
      </c>
      <c r="G40" s="90" t="n">
        <v>1.772201755915269</v>
      </c>
      <c r="H40" s="12" t="n">
        <v>-0.07106349382536692</v>
      </c>
      <c r="I40" s="12" t="n">
        <v>0.1130511858436705</v>
      </c>
      <c r="J40" s="12" t="n">
        <v>0.5615045299678021</v>
      </c>
      <c r="K40" s="90" t="n">
        <v>3.990227708832052</v>
      </c>
      <c r="L40" s="7" t="n">
        <v>1.705481053321902</v>
      </c>
      <c r="M40" s="14" t="n">
        <v>0.3052522416755261</v>
      </c>
      <c r="N40" s="7" t="n">
        <v>3.597272733178891</v>
      </c>
      <c r="O40" s="7" t="n">
        <v>0.4653913408125532</v>
      </c>
      <c r="P40" s="7" t="n">
        <v>2.109242272830997</v>
      </c>
      <c r="W40" s="117">
        <f>V38+I40/3</f>
        <v/>
      </c>
      <c r="X40" s="117">
        <f>V38+I40/5</f>
        <v/>
      </c>
      <c r="Y40" s="117" t="n"/>
      <c r="AA40" s="117" t="n"/>
    </row>
    <row r="41">
      <c r="C41" s="101" t="n"/>
      <c r="D41" s="90" t="n"/>
      <c r="F41" s="90" t="n"/>
      <c r="G41" s="90" t="n"/>
      <c r="K41" s="90" t="n"/>
      <c r="L41" s="7" t="n"/>
      <c r="N41" s="7" t="n"/>
      <c r="O41" s="7" t="n"/>
      <c r="P41" s="7" t="n"/>
      <c r="AA41" s="117" t="n"/>
    </row>
    <row r="42">
      <c r="A42" t="inlineStr">
        <is>
          <t>纺织服装与奢侈品</t>
        </is>
      </c>
      <c r="B42" t="inlineStr">
        <is>
          <t>pe weighted</t>
        </is>
      </c>
      <c r="C42" s="165" t="n">
        <v>33.44741980786932</v>
      </c>
      <c r="D42" s="90" t="n">
        <v>18.9277139786608</v>
      </c>
      <c r="E42" s="12" t="n">
        <v>0.4341054082082708</v>
      </c>
      <c r="F42" s="90" t="n">
        <v>-45.45991246622469</v>
      </c>
      <c r="G42" s="90" t="n">
        <v>-2.359145570192208</v>
      </c>
      <c r="H42" s="12" t="n">
        <v>-0.2447739765659567</v>
      </c>
      <c r="I42" s="12" t="n">
        <v>0.1153283405949359</v>
      </c>
      <c r="J42" s="12" t="n">
        <v>1.26597810930334</v>
      </c>
      <c r="K42" s="90" t="n">
        <v>-2.401764551042795</v>
      </c>
      <c r="L42" s="7" t="n">
        <v>18.9277139786608</v>
      </c>
      <c r="M42" s="14" t="n">
        <v>0.4341054082082708</v>
      </c>
      <c r="N42" s="7" t="n">
        <v>-45.45991246622469</v>
      </c>
      <c r="O42" s="7" t="n">
        <v>-2.359145570192208</v>
      </c>
      <c r="P42" s="7" t="n">
        <v>-2.401764551042795</v>
      </c>
      <c r="Q42" s="99" t="n">
        <v>0.05920993393707096</v>
      </c>
      <c r="R42" s="99" t="n">
        <v>-0.02252463513402841</v>
      </c>
      <c r="S42" s="99" t="n">
        <v>0.02637514485984542</v>
      </c>
      <c r="U42" s="117">
        <f>C42*S42</f>
        <v/>
      </c>
      <c r="V42" s="117">
        <f>(1+S42)*Q42*(1-U42)+S42</f>
        <v/>
      </c>
      <c r="W42" s="117">
        <f>V42+I42/3</f>
        <v/>
      </c>
      <c r="X42" s="117">
        <f>V42+I42/5</f>
        <v/>
      </c>
      <c r="Y42" s="117" t="n"/>
      <c r="AA42" s="117" t="n"/>
    </row>
    <row r="43">
      <c r="A43" t="inlineStr">
        <is>
          <t>C0403</t>
        </is>
      </c>
      <c r="B43" t="inlineStr">
        <is>
          <t>pe equal</t>
        </is>
      </c>
      <c r="C43" s="167" t="n">
        <v>-82.66817498090579</v>
      </c>
      <c r="D43" s="90" t="n">
        <v>23.69227133950954</v>
      </c>
      <c r="E43" s="12" t="n">
        <v>1.286594827392547</v>
      </c>
      <c r="F43" s="90" t="n">
        <v>-3.585545900105649</v>
      </c>
      <c r="G43" s="90" t="n">
        <v>-0.9566272522535568</v>
      </c>
      <c r="H43" s="12" t="n">
        <v>-1.462764902752735</v>
      </c>
      <c r="I43" s="12" t="n">
        <v>-1.882251822780372</v>
      </c>
      <c r="J43" s="12" t="n">
        <v>-0.4507490258919485</v>
      </c>
      <c r="K43" s="90" t="n">
        <v>-0.1513382085121719</v>
      </c>
      <c r="L43" s="7" t="n">
        <v>23.69227133950954</v>
      </c>
      <c r="M43" s="14" t="n">
        <v>1.286594827392547</v>
      </c>
      <c r="N43" s="7" t="n">
        <v>-3.585545900105649</v>
      </c>
      <c r="O43" s="7" t="n">
        <v>-0.9566272522535568</v>
      </c>
      <c r="P43" s="7" t="n">
        <v>-0.1513382085121719</v>
      </c>
      <c r="S43" s="99" t="n">
        <v>0.01763936191775572</v>
      </c>
      <c r="U43" s="117">
        <f>C43*S43</f>
        <v/>
      </c>
      <c r="V43" s="117">
        <f>(1+S43)*R42*(1-U43)+S43</f>
        <v/>
      </c>
      <c r="W43" s="117">
        <f>V43+I43/3</f>
        <v/>
      </c>
      <c r="X43" s="117">
        <f>V43+I43/5</f>
        <v/>
      </c>
      <c r="Y43" s="117" t="n"/>
      <c r="AA43" s="117" t="n"/>
    </row>
    <row r="44">
      <c r="B44" t="inlineStr">
        <is>
          <t>pb weighted</t>
        </is>
      </c>
      <c r="C44" s="165" t="n">
        <v>1.980419517189421</v>
      </c>
      <c r="D44" s="90" t="n">
        <v>1.560374040341927</v>
      </c>
      <c r="E44" s="12" t="n">
        <v>0.2120992411969439</v>
      </c>
      <c r="F44" s="90" t="n">
        <v>6.457485841832568</v>
      </c>
      <c r="G44" s="90" t="n">
        <v>2.260665624522286</v>
      </c>
      <c r="H44" s="12" t="n">
        <v>-0.03394841271644367</v>
      </c>
      <c r="I44" s="12" t="n">
        <v>0.09616205676371758</v>
      </c>
      <c r="J44" s="12" t="n">
        <v>0.7318532211139588</v>
      </c>
      <c r="K44" s="90" t="n">
        <v>4.138421734071871</v>
      </c>
      <c r="L44" s="7" t="n">
        <v>1.560374040341927</v>
      </c>
      <c r="M44" s="14" t="n">
        <v>0.2120992411969439</v>
      </c>
      <c r="N44" s="7" t="n">
        <v>2.85682337169179</v>
      </c>
      <c r="O44" s="7" t="n">
        <v>0.4425344463107226</v>
      </c>
      <c r="P44" s="7" t="n">
        <v>1.830858049308338</v>
      </c>
      <c r="W44" s="117">
        <f>V42+I44/3</f>
        <v/>
      </c>
      <c r="X44" s="117">
        <f>V42+I44/5</f>
        <v/>
      </c>
      <c r="Y44" s="117" t="n"/>
      <c r="AA44" s="117" t="n"/>
    </row>
    <row r="45">
      <c r="B45" t="inlineStr">
        <is>
          <t>pb equal</t>
        </is>
      </c>
      <c r="C45" s="165" t="n">
        <v>1.862070478640919</v>
      </c>
      <c r="D45" s="90" t="n">
        <v>1.388187831299057</v>
      </c>
      <c r="E45" s="12" t="n">
        <v>0.2544923260303966</v>
      </c>
      <c r="F45" s="90" t="n">
        <v>6.221256875880714</v>
      </c>
      <c r="G45" s="90" t="n">
        <v>2.341042644326472</v>
      </c>
      <c r="H45" s="12" t="n">
        <v>-0.04848158622478582</v>
      </c>
      <c r="I45" s="12" t="n">
        <v>0.1053147667822409</v>
      </c>
      <c r="J45" s="12" t="n">
        <v>0.8514880668804929</v>
      </c>
      <c r="K45" s="90" t="n">
        <v>4.481567072993935</v>
      </c>
      <c r="L45" s="7" t="n">
        <v>1.388187831299057</v>
      </c>
      <c r="M45" s="14" t="n">
        <v>0.2544923260303966</v>
      </c>
      <c r="N45" s="7" t="n">
        <v>2.568605882891132</v>
      </c>
      <c r="O45" s="7" t="n">
        <v>0.3794353717298053</v>
      </c>
      <c r="P45" s="7" t="n">
        <v>1.850330211069094</v>
      </c>
      <c r="W45" s="117">
        <f>V43+I45/3</f>
        <v/>
      </c>
      <c r="X45" s="117">
        <f>V43+I45/5</f>
        <v/>
      </c>
      <c r="Y45" s="117" t="n"/>
      <c r="AA45" s="117" t="n"/>
    </row>
    <row r="46">
      <c r="C46" s="101" t="n"/>
      <c r="D46" s="90" t="n"/>
      <c r="F46" s="90" t="n"/>
      <c r="G46" s="90" t="n"/>
      <c r="K46" s="90" t="n"/>
      <c r="L46" s="7" t="n"/>
      <c r="N46" s="7" t="n"/>
      <c r="O46" s="7" t="n"/>
      <c r="P46" s="7" t="n"/>
      <c r="AA46" s="117" t="n"/>
    </row>
    <row r="47">
      <c r="A47" t="inlineStr">
        <is>
          <t>消费者服务</t>
        </is>
      </c>
      <c r="B47" t="inlineStr">
        <is>
          <t>pe weighted</t>
        </is>
      </c>
      <c r="C47" s="166" t="n">
        <v>4076.002874957846</v>
      </c>
      <c r="D47" s="90" t="n">
        <v>16.47154569664339</v>
      </c>
      <c r="E47" s="12" t="n">
        <v>0.9959588974291845</v>
      </c>
      <c r="F47" s="90" t="n">
        <v>-15229.70735279757</v>
      </c>
      <c r="G47" s="90" t="n">
        <v>-4.736431945709821</v>
      </c>
      <c r="H47" s="12" t="n">
        <v>-0.994276034619149</v>
      </c>
      <c r="I47" s="12" t="n">
        <v>-0.9917694546309711</v>
      </c>
      <c r="J47" s="12" t="n">
        <v>-0.9867390683359122</v>
      </c>
      <c r="K47" s="90" t="n">
        <v>-924.6070546919658</v>
      </c>
      <c r="L47" s="7" t="n">
        <v>16.47154569664339</v>
      </c>
      <c r="M47" s="14" t="n">
        <v>0.9959588974291845</v>
      </c>
      <c r="N47" s="7" t="n">
        <v>-15229.70735279757</v>
      </c>
      <c r="O47" s="7" t="n">
        <v>-4.736431945709821</v>
      </c>
      <c r="P47" s="7" t="n">
        <v>-924.6070546919658</v>
      </c>
      <c r="Q47" s="99" t="n">
        <v>0.000895373806782119</v>
      </c>
      <c r="R47" s="99" t="n">
        <v>-0.1152661386973378</v>
      </c>
      <c r="S47" s="99" t="n">
        <v>0.005625591755381595</v>
      </c>
      <c r="U47" s="117">
        <f>C47*S47</f>
        <v/>
      </c>
      <c r="V47" s="117">
        <f>(1+S47)*Q47*(1-U47)+S47</f>
        <v/>
      </c>
      <c r="W47" s="117">
        <f>V47+I47/3</f>
        <v/>
      </c>
      <c r="X47" s="117">
        <f>V47+I47/5</f>
        <v/>
      </c>
      <c r="Y47" s="117" t="n"/>
      <c r="AA47" s="117" t="n"/>
    </row>
    <row r="48">
      <c r="A48" t="inlineStr">
        <is>
          <t>C0404</t>
        </is>
      </c>
      <c r="B48" t="inlineStr">
        <is>
          <t>pe equal</t>
        </is>
      </c>
      <c r="C48" s="166" t="n">
        <v>-27.03590425766527</v>
      </c>
      <c r="D48" s="90" t="n">
        <v>16.94448870895283</v>
      </c>
      <c r="E48" s="12" t="n">
        <v>1.626740224682838</v>
      </c>
      <c r="F48" s="90" t="n">
        <v>-3.542812032608567</v>
      </c>
      <c r="G48" s="90" t="n">
        <v>-0.8689589961983941</v>
      </c>
      <c r="H48" s="12" t="n">
        <v>-2.703131063394596</v>
      </c>
      <c r="I48" s="12" t="n">
        <v>-3.644430609459005</v>
      </c>
      <c r="J48" s="12" t="n">
        <v>0.1000532785920207</v>
      </c>
      <c r="K48" s="90" t="n">
        <v>-0.2090834426143929</v>
      </c>
      <c r="L48" s="7" t="n">
        <v>25.78990601317677</v>
      </c>
      <c r="M48" s="14" t="n">
        <v>1.953913202509761</v>
      </c>
      <c r="N48" s="7" t="n">
        <v>-3.542812032608567</v>
      </c>
      <c r="O48" s="7" t="n">
        <v>-0.8689589961983941</v>
      </c>
      <c r="P48" s="7" t="n">
        <v>-0.1373720412473953</v>
      </c>
      <c r="S48" s="99" t="n">
        <v>0.002556647877927216</v>
      </c>
      <c r="U48" s="117">
        <f>C48*S48</f>
        <v/>
      </c>
      <c r="V48" s="117">
        <f>(1+S48)*R47*(1-U48)+S48</f>
        <v/>
      </c>
      <c r="W48" s="117">
        <f>V48+I48/3</f>
        <v/>
      </c>
      <c r="X48" s="117">
        <f>V48+I48/5</f>
        <v/>
      </c>
      <c r="Y48" s="117" t="n"/>
      <c r="AA48" s="117" t="n"/>
    </row>
    <row r="49">
      <c r="B49" t="inlineStr">
        <is>
          <t>pb weighted</t>
        </is>
      </c>
      <c r="C49" s="168" t="n">
        <v>3.649546210605868</v>
      </c>
      <c r="D49" s="90" t="n">
        <v>2.094466106272383</v>
      </c>
      <c r="E49" s="12" t="n">
        <v>0.4261023191908903</v>
      </c>
      <c r="F49" s="90" t="n">
        <v>6.654856847234007</v>
      </c>
      <c r="G49" s="90" t="n">
        <v>0.8234751564165621</v>
      </c>
      <c r="H49" s="12" t="n">
        <v>-0.2389225550433699</v>
      </c>
      <c r="I49" s="12" t="n">
        <v>-0.09726237834491813</v>
      </c>
      <c r="J49" s="12" t="n">
        <v>0.1055949453258482</v>
      </c>
      <c r="K49" s="90" t="n">
        <v>3.177352370279202</v>
      </c>
      <c r="L49" s="7" t="n">
        <v>2.094466106272383</v>
      </c>
      <c r="M49" s="14" t="n">
        <v>0.4261023191908903</v>
      </c>
      <c r="N49" s="7" t="n">
        <v>6.008874994100452</v>
      </c>
      <c r="O49" s="7" t="n">
        <v>0.6464718206987459</v>
      </c>
      <c r="P49" s="7" t="n">
        <v>2.868929211174834</v>
      </c>
      <c r="W49" s="117">
        <f>V47+I49/3</f>
        <v/>
      </c>
      <c r="X49" s="117">
        <f>V47+I49/5</f>
        <v/>
      </c>
      <c r="Y49" s="117" t="n"/>
      <c r="AA49" s="117" t="n"/>
    </row>
    <row r="50">
      <c r="B50" t="inlineStr">
        <is>
          <t>pb equal</t>
        </is>
      </c>
      <c r="C50" s="168" t="n">
        <v>3.11632428997199</v>
      </c>
      <c r="D50" s="90" t="n">
        <v>1.816071993629371</v>
      </c>
      <c r="E50" s="12" t="n">
        <v>0.4172390853309768</v>
      </c>
      <c r="F50" s="90" t="n">
        <v>7.744624622772346</v>
      </c>
      <c r="G50" s="90" t="n">
        <v>1.485179301683637</v>
      </c>
      <c r="H50" s="12" t="n">
        <v>-0.2427483116230433</v>
      </c>
      <c r="I50" s="12" t="n">
        <v>-0.005626297772263977</v>
      </c>
      <c r="J50" s="12" t="n">
        <v>0.4180336430467677</v>
      </c>
      <c r="K50" s="90" t="n">
        <v>4.264492074069663</v>
      </c>
      <c r="L50" s="7" t="n">
        <v>1.816071993629371</v>
      </c>
      <c r="M50" s="14" t="n">
        <v>0.4172390853309768</v>
      </c>
      <c r="N50" s="7" t="n">
        <v>4.917840260625063</v>
      </c>
      <c r="O50" s="7" t="n">
        <v>0.5780900198513246</v>
      </c>
      <c r="P50" s="7" t="n">
        <v>2.707954463191126</v>
      </c>
      <c r="W50" s="117">
        <f>V48+I50/3</f>
        <v/>
      </c>
      <c r="X50" s="117">
        <f>V48+I50/5</f>
        <v/>
      </c>
      <c r="Y50" s="117" t="n"/>
      <c r="AA50" s="117" t="n"/>
    </row>
    <row r="51">
      <c r="C51" s="101" t="n"/>
      <c r="D51" s="90" t="n"/>
      <c r="F51" s="90" t="n"/>
      <c r="G51" s="90" t="n"/>
      <c r="K51" s="90" t="n"/>
      <c r="L51" s="7" t="n"/>
      <c r="N51" s="7" t="n"/>
      <c r="O51" s="7" t="n"/>
      <c r="P51" s="7" t="n"/>
      <c r="AA51" s="117" t="n"/>
    </row>
    <row r="52">
      <c r="A52" s="33" t="inlineStr">
        <is>
          <t>传媒</t>
        </is>
      </c>
      <c r="B52" t="inlineStr">
        <is>
          <t>pe weighted</t>
        </is>
      </c>
      <c r="C52" s="168" t="n">
        <v>58.01643893118861</v>
      </c>
      <c r="D52" s="90" t="n">
        <v>18.34307245669031</v>
      </c>
      <c r="E52" s="12" t="n">
        <v>0.6838297421452146</v>
      </c>
      <c r="F52" s="90" t="n">
        <v>-77.09075279298798</v>
      </c>
      <c r="G52" s="90" t="n">
        <v>-2.328774295927104</v>
      </c>
      <c r="H52" s="12" t="n">
        <v>-0.4500818946740394</v>
      </c>
      <c r="I52" s="12" t="n">
        <v>-0.2283955833912636</v>
      </c>
      <c r="J52" s="12" t="n">
        <v>7.541317287157581</v>
      </c>
      <c r="K52" s="90" t="n">
        <v>-4.202717564083464</v>
      </c>
      <c r="L52" s="7" t="n">
        <v>18.34307245669031</v>
      </c>
      <c r="M52" s="14" t="n">
        <v>0.6838297421452146</v>
      </c>
      <c r="N52" s="7" t="n">
        <v>-77.09075279298798</v>
      </c>
      <c r="O52" s="7" t="n">
        <v>-2.328774295927104</v>
      </c>
      <c r="P52" s="7" t="n">
        <v>-4.202717564083464</v>
      </c>
      <c r="Q52" s="99" t="n">
        <v>0.03248265504283042</v>
      </c>
      <c r="R52" s="99" t="n">
        <v>-0.03827685983829358</v>
      </c>
      <c r="S52" s="99" t="n">
        <v>0.01646076007646948</v>
      </c>
      <c r="U52" s="117">
        <f>C52*S52</f>
        <v/>
      </c>
      <c r="V52" s="117">
        <f>(1+S52)*Q52*(1-U52)+S52</f>
        <v/>
      </c>
      <c r="W52" s="117">
        <f>V52+I52/3</f>
        <v/>
      </c>
      <c r="X52" s="117">
        <f>V52+I52/5</f>
        <v/>
      </c>
      <c r="Y52" s="117" t="n"/>
      <c r="AA52" s="36" t="n"/>
    </row>
    <row r="53">
      <c r="A53" t="inlineStr">
        <is>
          <t>C0405</t>
        </is>
      </c>
      <c r="B53" t="inlineStr">
        <is>
          <t>pe equal</t>
        </is>
      </c>
      <c r="C53" s="167" t="n">
        <v>-52.73493864537136</v>
      </c>
      <c r="D53" s="90" t="n">
        <v>27.32569038368226</v>
      </c>
      <c r="E53" s="12" t="n">
        <v>1.518170516276512</v>
      </c>
      <c r="F53" s="90" t="n">
        <v>-6.279847530740986</v>
      </c>
      <c r="G53" s="90" t="n">
        <v>-0.880916756669211</v>
      </c>
      <c r="H53" s="12" t="n">
        <v>-1.800018291120947</v>
      </c>
      <c r="I53" s="12" t="n">
        <v>-2.249241588937974</v>
      </c>
      <c r="J53" s="12" t="n">
        <v>-0.6036770187498071</v>
      </c>
      <c r="K53" s="90" t="n">
        <v>-0.2298147802512995</v>
      </c>
      <c r="L53" s="7" t="n">
        <v>27.65091623470616</v>
      </c>
      <c r="M53" s="14" t="n">
        <v>1.524337696126876</v>
      </c>
      <c r="N53" s="7" t="n">
        <v>-6.279847530740986</v>
      </c>
      <c r="O53" s="7" t="n">
        <v>-0.880916756669211</v>
      </c>
      <c r="P53" s="7" t="n">
        <v>-0.22711173392724</v>
      </c>
      <c r="S53" s="99" t="n">
        <v>0.009475926012157115</v>
      </c>
      <c r="U53" s="117">
        <f>C53*S53</f>
        <v/>
      </c>
      <c r="V53" s="117">
        <f>(1+S53)*R52*(1-U53)+S53</f>
        <v/>
      </c>
      <c r="W53" s="117">
        <f>V53+I53/3</f>
        <v/>
      </c>
      <c r="X53" s="117">
        <f>V53+I53/5</f>
        <v/>
      </c>
      <c r="Y53" s="117" t="n"/>
      <c r="AA53" s="117" t="n"/>
    </row>
    <row r="54">
      <c r="B54" t="inlineStr">
        <is>
          <t>pb weighted</t>
        </is>
      </c>
      <c r="C54" s="167" t="n">
        <v>1.884527972615237</v>
      </c>
      <c r="D54" s="90" t="n">
        <v>1.484147459028185</v>
      </c>
      <c r="E54" s="12" t="n">
        <v>0.2124566572665023</v>
      </c>
      <c r="F54" s="90" t="n">
        <v>8.080064590599559</v>
      </c>
      <c r="G54" s="90" t="n">
        <v>3.287580077353016</v>
      </c>
      <c r="H54" s="12" t="n">
        <v>0.001798281951991054</v>
      </c>
      <c r="I54" s="12" t="n">
        <v>0.5379914248033251</v>
      </c>
      <c r="J54" s="12" t="n">
        <v>1.252591398200062</v>
      </c>
      <c r="K54" s="90" t="n">
        <v>5.444246487401164</v>
      </c>
      <c r="L54" s="7" t="n">
        <v>1.484147459028185</v>
      </c>
      <c r="M54" s="14" t="n">
        <v>0.2124566572665023</v>
      </c>
      <c r="N54" s="7" t="n">
        <v>3.025578142801807</v>
      </c>
      <c r="O54" s="7" t="n">
        <v>0.6054832757950992</v>
      </c>
      <c r="P54" s="7" t="n">
        <v>2.038596720559658</v>
      </c>
      <c r="W54" s="117">
        <f>V52+I54/3</f>
        <v/>
      </c>
      <c r="X54" s="117">
        <f>V52+I54/5</f>
        <v/>
      </c>
      <c r="Y54" s="117" t="n"/>
      <c r="AA54" s="117" t="n"/>
    </row>
    <row r="55">
      <c r="B55" t="inlineStr">
        <is>
          <t>pb equal</t>
        </is>
      </c>
      <c r="C55" s="165" t="n">
        <v>2.018527855109891</v>
      </c>
      <c r="D55" s="90" t="n">
        <v>1.347497238270218</v>
      </c>
      <c r="E55" s="12" t="n">
        <v>0.3324356486540245</v>
      </c>
      <c r="F55" s="90" t="n">
        <v>7.79328273210344</v>
      </c>
      <c r="G55" s="90" t="n">
        <v>2.860874504344734</v>
      </c>
      <c r="H55" s="12" t="n">
        <v>-0.09811859059975747</v>
      </c>
      <c r="I55" s="12" t="n">
        <v>0.2097516230342915</v>
      </c>
      <c r="J55" s="12" t="n">
        <v>0.9413652225958165</v>
      </c>
      <c r="K55" s="90" t="n">
        <v>5.783524085071728</v>
      </c>
      <c r="L55" s="7" t="n">
        <v>1.347497238270218</v>
      </c>
      <c r="M55" s="14" t="n">
        <v>0.3324356486540245</v>
      </c>
      <c r="N55" s="7" t="n">
        <v>2.497524123145501</v>
      </c>
      <c r="O55" s="7" t="n">
        <v>0.2372998058079971</v>
      </c>
      <c r="P55" s="7" t="n">
        <v>1.853453982845689</v>
      </c>
      <c r="W55" s="117">
        <f>V53+I55/3</f>
        <v/>
      </c>
      <c r="X55" s="117">
        <f>V53+I55/5</f>
        <v/>
      </c>
      <c r="Y55" s="117" t="n"/>
      <c r="AA55" s="117" t="n"/>
    </row>
    <row r="56">
      <c r="C56" s="101" t="n"/>
      <c r="D56" s="90" t="n"/>
      <c r="F56" s="90" t="n"/>
      <c r="G56" s="90" t="n"/>
      <c r="K56" s="90" t="n"/>
      <c r="L56" s="7" t="n"/>
      <c r="N56" s="7" t="n"/>
      <c r="O56" s="7" t="n"/>
      <c r="P56" s="7" t="n"/>
      <c r="AA56" s="117" t="n"/>
    </row>
    <row r="57">
      <c r="A57" t="inlineStr">
        <is>
          <t>零售业</t>
        </is>
      </c>
      <c r="B57" t="inlineStr">
        <is>
          <t>pe weighted</t>
        </is>
      </c>
      <c r="C57" s="167" t="n">
        <v>-20.26636728424755</v>
      </c>
      <c r="D57" s="90" t="n">
        <v>13.75345674613388</v>
      </c>
      <c r="E57" s="12" t="n">
        <v>1.678634535397177</v>
      </c>
      <c r="F57" s="90" t="n">
        <v>-15.97525381646582</v>
      </c>
      <c r="G57" s="90" t="n">
        <v>-0.211735700216836</v>
      </c>
      <c r="H57" s="12" t="n">
        <v>-2.113748416400548</v>
      </c>
      <c r="I57" s="12" t="n">
        <v>-2.876691626671978</v>
      </c>
      <c r="J57" s="12" t="n">
        <v>-3.954940621933352</v>
      </c>
      <c r="K57" s="90" t="n">
        <v>-1.161544629204326</v>
      </c>
      <c r="L57" s="7" t="n">
        <v>13.75345674613388</v>
      </c>
      <c r="M57" s="14" t="n">
        <v>1.678634535397177</v>
      </c>
      <c r="N57" s="7" t="n">
        <v>-15.97525381646582</v>
      </c>
      <c r="O57" s="7" t="n">
        <v>-0.211735700216836</v>
      </c>
      <c r="P57" s="7" t="n">
        <v>-1.161544629204326</v>
      </c>
      <c r="Q57" s="99" t="n">
        <v>-0.06460554311080055</v>
      </c>
      <c r="R57" s="99" t="n">
        <v>-0.02756526453130824</v>
      </c>
      <c r="S57" s="99" t="n">
        <v>0.01602285191766315</v>
      </c>
      <c r="U57" s="117">
        <f>C57*S57</f>
        <v/>
      </c>
      <c r="V57" s="117">
        <f>(1+S57)*Q57*(1-U57)+S57</f>
        <v/>
      </c>
      <c r="W57" s="117">
        <f>V57+I57/3</f>
        <v/>
      </c>
      <c r="X57" s="117">
        <f>V57+I57/5</f>
        <v/>
      </c>
      <c r="Y57" s="117" t="n"/>
      <c r="AA57" s="117" t="n"/>
    </row>
    <row r="58">
      <c r="A58" t="inlineStr">
        <is>
          <t>C0406</t>
        </is>
      </c>
      <c r="B58" t="inlineStr">
        <is>
          <t>pe equal</t>
        </is>
      </c>
      <c r="C58" s="167" t="n">
        <v>-55.89879307679294</v>
      </c>
      <c r="D58" s="90" t="n">
        <v>20.68736734515793</v>
      </c>
      <c r="E58" s="12" t="n">
        <v>1.370086118259082</v>
      </c>
      <c r="F58" s="90" t="n">
        <v>-9.502432137996747</v>
      </c>
      <c r="G58" s="90" t="n">
        <v>-0.8300064882448813</v>
      </c>
      <c r="H58" s="12" t="n">
        <v>-1.483688055478992</v>
      </c>
      <c r="I58" s="12" t="n">
        <v>-1.989056249134672</v>
      </c>
      <c r="J58" s="12" t="n">
        <v>-0.3795679434979027</v>
      </c>
      <c r="K58" s="90" t="n">
        <v>-0.4593350124959654</v>
      </c>
      <c r="L58" s="7" t="n">
        <v>21.36198035868573</v>
      </c>
      <c r="M58" s="14" t="n">
        <v>1.382154590159737</v>
      </c>
      <c r="N58" s="7" t="n">
        <v>-9.502432137996747</v>
      </c>
      <c r="O58" s="7" t="n">
        <v>-0.8300064882448813</v>
      </c>
      <c r="P58" s="7" t="n">
        <v>-0.4448291768105236</v>
      </c>
      <c r="S58" s="99" t="n">
        <v>0.01440632892794133</v>
      </c>
      <c r="U58" s="117">
        <f>C58*S58</f>
        <v/>
      </c>
      <c r="V58" s="117">
        <f>(1+S58)*R57*(1-U58)+S58</f>
        <v/>
      </c>
      <c r="W58" s="117">
        <f>V58+I58/3</f>
        <v/>
      </c>
      <c r="X58" s="117">
        <f>V58+I58/5</f>
        <v/>
      </c>
      <c r="Y58" s="117" t="n"/>
      <c r="AA58" s="117" t="n"/>
    </row>
    <row r="59">
      <c r="B59" t="inlineStr">
        <is>
          <t>pb weighted</t>
        </is>
      </c>
      <c r="C59" s="167" t="n">
        <v>1.309319665281773</v>
      </c>
      <c r="D59" s="90" t="n">
        <v>1.030262012339233</v>
      </c>
      <c r="E59" s="12" t="n">
        <v>0.2131317968729091</v>
      </c>
      <c r="F59" s="90" t="n">
        <v>5.572092119494759</v>
      </c>
      <c r="G59" s="90" t="n">
        <v>3.255715595851539</v>
      </c>
      <c r="H59" s="12" t="n">
        <v>0.02824002133449599</v>
      </c>
      <c r="I59" s="12" t="n">
        <v>0.4151842089644944</v>
      </c>
      <c r="J59" s="12" t="n">
        <v>0.8576955404822886</v>
      </c>
      <c r="K59" s="90" t="n">
        <v>5.408422374851228</v>
      </c>
      <c r="L59" s="7" t="n">
        <v>1.030262012339233</v>
      </c>
      <c r="M59" s="14" t="n">
        <v>0.2131317968729091</v>
      </c>
      <c r="N59" s="7" t="n">
        <v>2.155631728231867</v>
      </c>
      <c r="O59" s="7" t="n">
        <v>0.6463754309899279</v>
      </c>
      <c r="P59" s="7" t="n">
        <v>2.0923140933222</v>
      </c>
      <c r="W59" s="117">
        <f>V57+I59/3</f>
        <v/>
      </c>
      <c r="X59" s="117">
        <f>V57+I59/5</f>
        <v/>
      </c>
      <c r="Y59" s="117" t="n"/>
      <c r="AA59" s="117" t="n"/>
    </row>
    <row r="60">
      <c r="B60" t="inlineStr">
        <is>
          <t>pb equal</t>
        </is>
      </c>
      <c r="C60" s="165" t="n">
        <v>1.540865018142659</v>
      </c>
      <c r="D60" s="90" t="n">
        <v>1.285567223608319</v>
      </c>
      <c r="E60" s="12" t="n">
        <v>0.1656847235341049</v>
      </c>
      <c r="F60" s="90" t="n">
        <v>5.61430543274173</v>
      </c>
      <c r="G60" s="90" t="n">
        <v>2.643606264427464</v>
      </c>
      <c r="H60" s="12" t="n">
        <v>-0.01897796982974798</v>
      </c>
      <c r="I60" s="12" t="n">
        <v>0.2744194687843189</v>
      </c>
      <c r="J60" s="12" t="n">
        <v>0.8229307506299801</v>
      </c>
      <c r="K60" s="90" t="n">
        <v>4.367181528620142</v>
      </c>
      <c r="L60" s="7" t="n">
        <v>1.285567223608319</v>
      </c>
      <c r="M60" s="14" t="n">
        <v>0.1656847235341049</v>
      </c>
      <c r="N60" s="7" t="n">
        <v>2.084393931147123</v>
      </c>
      <c r="O60" s="7" t="n">
        <v>0.3527427169834949</v>
      </c>
      <c r="P60" s="7" t="n">
        <v>1.621380735965455</v>
      </c>
      <c r="W60" s="117">
        <f>V58+I60/3</f>
        <v/>
      </c>
      <c r="X60" s="117">
        <f>V58+I60/5</f>
        <v/>
      </c>
      <c r="Y60" s="117" t="n"/>
      <c r="AA60" s="117" t="n"/>
    </row>
    <row r="61">
      <c r="C61" s="101" t="n"/>
      <c r="D61" s="90" t="n"/>
      <c r="F61" s="90" t="n"/>
      <c r="G61" s="90" t="n"/>
      <c r="K61" s="90" t="n"/>
      <c r="L61" s="7" t="n"/>
      <c r="N61" s="7" t="n"/>
      <c r="O61" s="7" t="n"/>
      <c r="P61" s="7" t="n"/>
      <c r="AA61" s="117" t="n"/>
    </row>
    <row r="62">
      <c r="A62" t="inlineStr">
        <is>
          <t>食品与主要用品零售</t>
        </is>
      </c>
      <c r="B62" t="inlineStr">
        <is>
          <t>pe weighted</t>
        </is>
      </c>
      <c r="C62" s="167" t="n">
        <v>-44.45710535259703</v>
      </c>
      <c r="D62" s="90" t="n">
        <v>19.15168270984174</v>
      </c>
      <c r="E62" s="12" t="n">
        <v>1.430790141597084</v>
      </c>
      <c r="F62" s="90" t="n">
        <v>-26.6961349976236</v>
      </c>
      <c r="G62" s="90" t="n">
        <v>-0.399508024962671</v>
      </c>
      <c r="H62" s="12" t="n">
        <v>-1.722750580111835</v>
      </c>
      <c r="I62" s="12" t="n">
        <v>-2.071482985590774</v>
      </c>
      <c r="J62" s="12" t="n">
        <v>-2.663029131435223</v>
      </c>
      <c r="K62" s="90" t="n">
        <v>-1.393931562154843</v>
      </c>
      <c r="L62" s="7" t="n">
        <v>19.15168270984174</v>
      </c>
      <c r="M62" s="14" t="n">
        <v>1.430790141597084</v>
      </c>
      <c r="N62" s="7" t="n">
        <v>-26.6961349976236</v>
      </c>
      <c r="O62" s="7" t="n">
        <v>-0.399508024962671</v>
      </c>
      <c r="P62" s="7" t="n">
        <v>-1.393931562154843</v>
      </c>
      <c r="Q62" s="99" t="n">
        <v>-0.05156744206426559</v>
      </c>
      <c r="R62" s="99" t="n">
        <v>-0.0235700004059753</v>
      </c>
      <c r="S62" s="99" t="n">
        <v>0.005314041587696633</v>
      </c>
      <c r="U62" s="117">
        <f>C62*S62</f>
        <v/>
      </c>
      <c r="V62" s="117">
        <f>(1+S62)*Q62*(1-U62)+S62</f>
        <v/>
      </c>
      <c r="W62" s="117">
        <f>V62+I62/3</f>
        <v/>
      </c>
      <c r="X62" s="117">
        <f>V62+I62/5</f>
        <v/>
      </c>
      <c r="Y62" s="117" t="n"/>
      <c r="AA62" s="117" t="n"/>
    </row>
    <row r="63">
      <c r="A63" t="inlineStr">
        <is>
          <t>C0501</t>
        </is>
      </c>
      <c r="B63" t="inlineStr">
        <is>
          <t>pe equal</t>
        </is>
      </c>
      <c r="C63" s="166" t="n">
        <v>-86.86117625270285</v>
      </c>
      <c r="D63" s="90" t="n">
        <v>20.7122548340141</v>
      </c>
      <c r="E63" s="12" t="n">
        <v>1.238452387217927</v>
      </c>
      <c r="F63" s="90" t="n">
        <v>-27.56785008687615</v>
      </c>
      <c r="G63" s="90" t="n">
        <v>-0.6826217272642756</v>
      </c>
      <c r="H63" s="12" t="n">
        <v>-1.461473748773433</v>
      </c>
      <c r="I63" s="12" t="n">
        <v>-1.957257782935891</v>
      </c>
      <c r="J63" s="12" t="n">
        <v>8.082576667664901</v>
      </c>
      <c r="K63" s="90" t="n">
        <v>-1.330992222131395</v>
      </c>
      <c r="L63" s="7" t="n">
        <v>20.7122548340141</v>
      </c>
      <c r="M63" s="14" t="n">
        <v>1.238452387217927</v>
      </c>
      <c r="N63" s="7" t="n">
        <v>-27.56785008687615</v>
      </c>
      <c r="O63" s="7" t="n">
        <v>-0.6826217272642756</v>
      </c>
      <c r="P63" s="7" t="n">
        <v>-1.330992222131395</v>
      </c>
      <c r="S63" s="99" t="n">
        <v>0.005684201373778988</v>
      </c>
      <c r="U63" s="117">
        <f>C63*S63</f>
        <v/>
      </c>
      <c r="V63" s="117">
        <f>(1+S63)*R62*(1-U63)+S63</f>
        <v/>
      </c>
      <c r="W63" s="117">
        <f>V63+I63/3</f>
        <v/>
      </c>
      <c r="X63" s="117">
        <f>V63+I63/5</f>
        <v/>
      </c>
      <c r="Y63" s="117" t="n"/>
      <c r="AA63" s="117" t="n"/>
    </row>
    <row r="64">
      <c r="B64" t="inlineStr">
        <is>
          <t>pb weighted</t>
        </is>
      </c>
      <c r="C64" s="165" t="n">
        <v>2.292539204614999</v>
      </c>
      <c r="D64" s="90" t="n">
        <v>1.685206766397595</v>
      </c>
      <c r="E64" s="12" t="n">
        <v>0.2649169257366732</v>
      </c>
      <c r="F64" s="90" t="n">
        <v>4.606694151009797</v>
      </c>
      <c r="G64" s="90" t="n">
        <v>1.00942873375351</v>
      </c>
      <c r="H64" s="12" t="n">
        <v>-0.005102268609421534</v>
      </c>
      <c r="I64" s="12" t="n">
        <v>0.1742800100130593</v>
      </c>
      <c r="J64" s="12" t="n">
        <v>0.387532165086371</v>
      </c>
      <c r="K64" s="90" t="n">
        <v>2.733607675251244</v>
      </c>
      <c r="L64" s="7" t="n">
        <v>1.894063607492637</v>
      </c>
      <c r="M64" s="14" t="n">
        <v>0.1738140819228783</v>
      </c>
      <c r="N64" s="7" t="n">
        <v>3.975397453536877</v>
      </c>
      <c r="O64" s="7" t="n">
        <v>0.7340586566782363</v>
      </c>
      <c r="P64" s="7" t="n">
        <v>2.098872201446028</v>
      </c>
      <c r="W64" s="117">
        <f>V62+I64/3</f>
        <v/>
      </c>
      <c r="X64" s="117">
        <f>V62+I64/5</f>
        <v/>
      </c>
      <c r="Y64" s="117" t="n"/>
      <c r="AA64" s="117" t="n"/>
    </row>
    <row r="65">
      <c r="B65" t="inlineStr">
        <is>
          <t>pb equal</t>
        </is>
      </c>
      <c r="C65" s="165" t="n">
        <v>2.047317959539698</v>
      </c>
      <c r="D65" s="90" t="n">
        <v>1.4863251444856</v>
      </c>
      <c r="E65" s="12" t="n">
        <v>0.2740135270342798</v>
      </c>
      <c r="F65" s="90" t="n">
        <v>5.11734074976602</v>
      </c>
      <c r="G65" s="90" t="n">
        <v>1.49953395168602</v>
      </c>
      <c r="H65" s="12" t="n">
        <v>-0.08386805436500822</v>
      </c>
      <c r="I65" s="12" t="n">
        <v>0.07256664305290972</v>
      </c>
      <c r="J65" s="12" t="n">
        <v>0.4254692094047416</v>
      </c>
      <c r="K65" s="90" t="n">
        <v>3.442948380945996</v>
      </c>
      <c r="L65" s="7" t="n">
        <v>1.554716529220238</v>
      </c>
      <c r="M65" s="14" t="n">
        <v>0.2406081713024255</v>
      </c>
      <c r="N65" s="7" t="n">
        <v>3.027287899201879</v>
      </c>
      <c r="O65" s="7" t="n">
        <v>0.4786603541945726</v>
      </c>
      <c r="P65" s="7" t="n">
        <v>1.947163899209462</v>
      </c>
      <c r="W65" s="117">
        <f>V63+I65/3</f>
        <v/>
      </c>
      <c r="X65" s="117">
        <f>V63+I65/5</f>
        <v/>
      </c>
      <c r="Y65" s="117" t="n"/>
      <c r="AA65" s="117" t="n"/>
    </row>
    <row r="66">
      <c r="C66" s="101" t="n"/>
      <c r="D66" s="90" t="n"/>
      <c r="F66" s="90" t="n"/>
      <c r="G66" s="90" t="n"/>
      <c r="K66" s="90" t="n"/>
      <c r="L66" s="7" t="n"/>
      <c r="N66" s="7" t="n"/>
      <c r="O66" s="7" t="n"/>
      <c r="P66" s="7" t="n"/>
      <c r="AA66" s="117" t="n"/>
    </row>
    <row r="67">
      <c r="A67" t="inlineStr">
        <is>
          <t>农牧渔产品</t>
        </is>
      </c>
      <c r="B67" t="inlineStr">
        <is>
          <t>pe weighted</t>
        </is>
      </c>
      <c r="C67" s="167" t="n">
        <v>-216.8899624691689</v>
      </c>
      <c r="D67" s="90" t="n">
        <v>15.49839196193451</v>
      </c>
      <c r="E67" s="12" t="n">
        <v>1.071457396116879</v>
      </c>
      <c r="F67" s="90" t="n">
        <v>-20.68825620952551</v>
      </c>
      <c r="G67" s="90" t="n">
        <v>-0.9046140449562465</v>
      </c>
      <c r="H67" s="12" t="n">
        <v>-1.12779522008844</v>
      </c>
      <c r="I67" s="12" t="n">
        <v>-1.202373146387169</v>
      </c>
      <c r="J67" s="12" t="n">
        <v>-1.449107448562736</v>
      </c>
      <c r="K67" s="90" t="n">
        <v>-1.334864691791109</v>
      </c>
      <c r="L67" s="7" t="n">
        <v>15.49839196193451</v>
      </c>
      <c r="M67" s="14" t="n">
        <v>1.071457396116879</v>
      </c>
      <c r="N67" s="7" t="n">
        <v>-20.68825620952551</v>
      </c>
      <c r="O67" s="7" t="n">
        <v>-0.9046140449562465</v>
      </c>
      <c r="P67" s="7" t="n">
        <v>-1.334864691791109</v>
      </c>
      <c r="Q67" s="99" t="n">
        <v>-0.0152630658256077</v>
      </c>
      <c r="R67" s="99" t="n">
        <v>-0.1106597472166296</v>
      </c>
      <c r="S67" s="99" t="n">
        <v>0.007737289826744318</v>
      </c>
      <c r="U67" s="117">
        <f>C67*S67</f>
        <v/>
      </c>
      <c r="V67" s="117">
        <f>(1+S67)*Q67*(1-U67)+S67</f>
        <v/>
      </c>
      <c r="W67" s="117">
        <f>V67+I67/3</f>
        <v/>
      </c>
      <c r="X67" s="117">
        <f>V67+I67/5</f>
        <v/>
      </c>
      <c r="Y67" s="117" t="n"/>
      <c r="AA67" s="117" t="n"/>
    </row>
    <row r="68">
      <c r="A68" t="inlineStr">
        <is>
          <t>C0502</t>
        </is>
      </c>
      <c r="B68" t="inlineStr">
        <is>
          <t>pe equal</t>
        </is>
      </c>
      <c r="C68" s="166" t="n">
        <v>-25.24125409672944</v>
      </c>
      <c r="D68" s="90" t="n">
        <v>41.39452330687045</v>
      </c>
      <c r="E68" s="12" t="n">
        <v>2.639955096852102</v>
      </c>
      <c r="F68" s="90" t="n">
        <v>-5.696529777349175</v>
      </c>
      <c r="G68" s="90" t="n">
        <v>-0.7743166898316955</v>
      </c>
      <c r="H68" s="12" t="n">
        <v>-3.420277058832159</v>
      </c>
      <c r="I68" s="12" t="n">
        <v>-5.973623900401186</v>
      </c>
      <c r="J68" s="12" t="n">
        <v>0.1536291074869869</v>
      </c>
      <c r="K68" s="90" t="n">
        <v>-0.1376155424020475</v>
      </c>
      <c r="L68" s="7" t="n">
        <v>42.17922343116794</v>
      </c>
      <c r="M68" s="14" t="n">
        <v>2.671043097523161</v>
      </c>
      <c r="N68" s="7" t="n">
        <v>-5.696529777349175</v>
      </c>
      <c r="O68" s="7" t="n">
        <v>-0.7743166898316955</v>
      </c>
      <c r="P68" s="7" t="n">
        <v>-0.1350553498607036</v>
      </c>
      <c r="S68" s="99" t="n">
        <v>0.005050685785552738</v>
      </c>
      <c r="U68" s="117">
        <f>C68*S68</f>
        <v/>
      </c>
      <c r="V68" s="117">
        <f>(1+S68)*R67*(1-U68)+S68</f>
        <v/>
      </c>
      <c r="W68" s="117">
        <f>V68+I68/3</f>
        <v/>
      </c>
      <c r="X68" s="117">
        <f>V68+I68/5</f>
        <v/>
      </c>
      <c r="Y68" s="117" t="n"/>
      <c r="AA68" s="117" t="n"/>
    </row>
    <row r="69">
      <c r="B69" t="inlineStr">
        <is>
          <t>pb weighted</t>
        </is>
      </c>
      <c r="C69" s="165" t="n">
        <v>3.310405774080509</v>
      </c>
      <c r="D69" s="90" t="n">
        <v>2.372366904708927</v>
      </c>
      <c r="E69" s="12" t="n">
        <v>0.2833606915249323</v>
      </c>
      <c r="F69" s="90" t="n">
        <v>6.933566616900758</v>
      </c>
      <c r="G69" s="90" t="n">
        <v>1.094476354285181</v>
      </c>
      <c r="H69" s="12" t="n">
        <v>-0.07278513608966053</v>
      </c>
      <c r="I69" s="12" t="n">
        <v>0.1103456496195583</v>
      </c>
      <c r="J69" s="12" t="n">
        <v>0.3020041856776599</v>
      </c>
      <c r="K69" s="90" t="n">
        <v>2.922636714893583</v>
      </c>
      <c r="L69" s="7" t="n">
        <v>2.372366904708927</v>
      </c>
      <c r="M69" s="14" t="n">
        <v>0.2833606915249323</v>
      </c>
      <c r="N69" s="7" t="n">
        <v>5.244884016154878</v>
      </c>
      <c r="O69" s="7" t="n">
        <v>0.5843628769683638</v>
      </c>
      <c r="P69" s="7" t="n">
        <v>2.210823294552066</v>
      </c>
      <c r="W69" s="117">
        <f>V67+I69/3</f>
        <v/>
      </c>
      <c r="X69" s="117">
        <f>V67+I69/5</f>
        <v/>
      </c>
      <c r="Y69" s="117" t="n"/>
      <c r="AA69" s="117" t="n"/>
    </row>
    <row r="70">
      <c r="B70" t="inlineStr">
        <is>
          <t>pb equal</t>
        </is>
      </c>
      <c r="C70" s="165" t="n">
        <v>2.793190797774796</v>
      </c>
      <c r="D70" s="90" t="n">
        <v>1.79298002014694</v>
      </c>
      <c r="E70" s="12" t="n">
        <v>0.3580889563379189</v>
      </c>
      <c r="F70" s="90" t="n">
        <v>7.508162493532406</v>
      </c>
      <c r="G70" s="90" t="n">
        <v>1.688023496108396</v>
      </c>
      <c r="H70" s="12" t="n">
        <v>-0.09151484677397037</v>
      </c>
      <c r="I70" s="12" t="n">
        <v>0.01916831109146289</v>
      </c>
      <c r="J70" s="12" t="n">
        <v>0.374302046455425</v>
      </c>
      <c r="K70" s="90" t="n">
        <v>4.187532716018269</v>
      </c>
      <c r="L70" s="7" t="n">
        <v>1.79298002014694</v>
      </c>
      <c r="M70" s="14" t="n">
        <v>0.3580889563379189</v>
      </c>
      <c r="N70" s="7" t="n">
        <v>3.130280414996284</v>
      </c>
      <c r="O70" s="7" t="n">
        <v>0.1206826320242897</v>
      </c>
      <c r="P70" s="7" t="n">
        <v>1.745853484044818</v>
      </c>
      <c r="W70" s="117">
        <f>V68+I70/3</f>
        <v/>
      </c>
      <c r="X70" s="117">
        <f>V68+I70/5</f>
        <v/>
      </c>
      <c r="Y70" s="117" t="n"/>
      <c r="AA70" s="117" t="n"/>
    </row>
    <row r="71">
      <c r="C71" s="101" t="n"/>
      <c r="D71" s="90" t="n"/>
      <c r="F71" s="90" t="n"/>
      <c r="G71" s="90" t="n"/>
      <c r="K71" s="90" t="n"/>
      <c r="L71" s="7" t="n"/>
      <c r="N71" s="7" t="n"/>
      <c r="O71" s="7" t="n"/>
      <c r="P71" s="7" t="n"/>
      <c r="AA71" s="117" t="n"/>
    </row>
    <row r="72">
      <c r="A72" t="inlineStr">
        <is>
          <t>食品饮料与烟草</t>
        </is>
      </c>
      <c r="B72" t="inlineStr">
        <is>
          <t>pe weighted</t>
        </is>
      </c>
      <c r="C72" s="168" t="n">
        <v>37.96192127561456</v>
      </c>
      <c r="D72" s="90" t="n">
        <v>16.5840869970227</v>
      </c>
      <c r="E72" s="12" t="n">
        <v>0.5631388918222178</v>
      </c>
      <c r="F72" s="90" t="n">
        <v>66.54977989784062</v>
      </c>
      <c r="G72" s="90" t="n">
        <v>0.7530666958257966</v>
      </c>
      <c r="H72" s="12" t="n">
        <v>-0.3335199716050258</v>
      </c>
      <c r="I72" s="12" t="n">
        <v>-0.140407535772306</v>
      </c>
      <c r="J72" s="12" t="n">
        <v>0.02637631907614457</v>
      </c>
      <c r="K72" s="90" t="n">
        <v>4.012869681025439</v>
      </c>
      <c r="L72" s="7" t="n">
        <v>22.71744678051407</v>
      </c>
      <c r="M72" s="14" t="n">
        <v>0.4015727861722588</v>
      </c>
      <c r="N72" s="7" t="n">
        <v>66.54977989784062</v>
      </c>
      <c r="O72" s="7" t="n">
        <v>0.7530666958257966</v>
      </c>
      <c r="P72" s="7" t="n">
        <v>2.929456841731167</v>
      </c>
      <c r="Q72" s="99" t="n">
        <v>0.1755737145354173</v>
      </c>
      <c r="R72" s="99" t="n">
        <v>0.05246890624302258</v>
      </c>
      <c r="S72" s="99" t="n">
        <v>0.01645309693802686</v>
      </c>
      <c r="U72" s="117">
        <f>C72*S72</f>
        <v/>
      </c>
      <c r="V72" s="117">
        <f>(1+S72)*Q72*(1-U72)+S72</f>
        <v/>
      </c>
      <c r="W72" s="117">
        <f>V72+I72/3</f>
        <v/>
      </c>
      <c r="X72" s="117">
        <f>V72+I72/5</f>
        <v/>
      </c>
      <c r="Y72" s="117" t="n"/>
      <c r="AA72" s="117" t="n"/>
    </row>
    <row r="73">
      <c r="A73" t="inlineStr">
        <is>
          <t>C0503</t>
        </is>
      </c>
      <c r="B73" t="inlineStr">
        <is>
          <t>pe equal</t>
        </is>
      </c>
      <c r="C73" s="166" t="n">
        <v>62.51281155502461</v>
      </c>
      <c r="D73" s="90" t="n">
        <v>34.35627550309455</v>
      </c>
      <c r="E73" s="12" t="n">
        <v>0.4504122491298651</v>
      </c>
      <c r="F73" s="90" t="n">
        <v>-31.37878348679191</v>
      </c>
      <c r="G73" s="90" t="n">
        <v>-1.50195764206145</v>
      </c>
      <c r="H73" s="12" t="n">
        <v>-0.1421325688957376</v>
      </c>
      <c r="I73" s="12" t="n">
        <v>0.05686086403961976</v>
      </c>
      <c r="J73" s="12" t="n">
        <v>-63.30175744236064</v>
      </c>
      <c r="K73" s="90" t="n">
        <v>-0.9133348428285117</v>
      </c>
      <c r="L73" s="7" t="n">
        <v>46.15285867276466</v>
      </c>
      <c r="M73" s="14" t="n">
        <v>0.2617056004249577</v>
      </c>
      <c r="N73" s="7" t="n">
        <v>-31.37878348679191</v>
      </c>
      <c r="O73" s="7" t="n">
        <v>-1.50195764206145</v>
      </c>
      <c r="P73" s="7" t="n">
        <v>-0.6798881887095088</v>
      </c>
      <c r="S73" s="99" t="n">
        <v>0.009378251607941313</v>
      </c>
      <c r="U73" s="117">
        <f>C73*S73</f>
        <v/>
      </c>
      <c r="V73" s="117">
        <f>(1+S73)*R72*(1-U73)+S73</f>
        <v/>
      </c>
      <c r="W73" s="117">
        <f>V73+I73/3</f>
        <v/>
      </c>
      <c r="X73" s="117">
        <f>V73+I73/5</f>
        <v/>
      </c>
      <c r="Y73" s="117" t="n"/>
      <c r="AA73" s="117" t="n"/>
    </row>
    <row r="74">
      <c r="B74" t="inlineStr">
        <is>
          <t>pb weighted</t>
        </is>
      </c>
      <c r="C74" s="168" t="n">
        <v>6.665115529260736</v>
      </c>
      <c r="D74" s="90" t="n">
        <v>2.950640593141201</v>
      </c>
      <c r="E74" s="12" t="n">
        <v>0.5573009079606347</v>
      </c>
      <c r="F74" s="90" t="n">
        <v>11.62900780745901</v>
      </c>
      <c r="G74" s="90" t="n">
        <v>0.7447571248249394</v>
      </c>
      <c r="H74" s="12" t="n">
        <v>-0.4183027158233532</v>
      </c>
      <c r="I74" s="12" t="n">
        <v>-0.2263970478022757</v>
      </c>
      <c r="J74" s="12" t="n">
        <v>0.008459177133180562</v>
      </c>
      <c r="K74" s="90" t="n">
        <v>3.941180716652099</v>
      </c>
      <c r="L74" s="7" t="n">
        <v>3.843023547320234</v>
      </c>
      <c r="M74" s="14" t="n">
        <v>0.4234123128925742</v>
      </c>
      <c r="N74" s="7" t="n">
        <v>11.62900780745901</v>
      </c>
      <c r="O74" s="7" t="n">
        <v>0.7447571248249394</v>
      </c>
      <c r="P74" s="7" t="n">
        <v>3.026004827778898</v>
      </c>
      <c r="W74" s="117">
        <f>V72+I74/3</f>
        <v/>
      </c>
      <c r="X74" s="117">
        <f>V72+I74/5</f>
        <v/>
      </c>
      <c r="Y74" s="117" t="n"/>
      <c r="AA74" s="117" t="n"/>
    </row>
    <row r="75">
      <c r="B75" t="inlineStr">
        <is>
          <t>pb equal</t>
        </is>
      </c>
      <c r="C75" s="168" t="n">
        <v>3.279978848468325</v>
      </c>
      <c r="D75" s="90" t="n">
        <v>2.280923785794843</v>
      </c>
      <c r="E75" s="12" t="n">
        <v>0.3045919223351145</v>
      </c>
      <c r="F75" s="90" t="n">
        <v>6.558736201723063</v>
      </c>
      <c r="G75" s="90" t="n">
        <v>0.9996275905211531</v>
      </c>
      <c r="H75" s="12" t="n">
        <v>-0.1217635200038565</v>
      </c>
      <c r="I75" s="12" t="n">
        <v>-0.0103713652982419</v>
      </c>
      <c r="J75" s="12" t="n">
        <v>0.1485063161199522</v>
      </c>
      <c r="K75" s="90" t="n">
        <v>2.875473631591559</v>
      </c>
      <c r="L75" s="7" t="n">
        <v>2.280923785794843</v>
      </c>
      <c r="M75" s="14" t="n">
        <v>0.3045919223351145</v>
      </c>
      <c r="N75" s="7" t="n">
        <v>4.077790297509506</v>
      </c>
      <c r="O75" s="7" t="n">
        <v>0.2432367664241923</v>
      </c>
      <c r="P75" s="7" t="n">
        <v>1.787780162978353</v>
      </c>
      <c r="W75" s="117">
        <f>V73+I75/3</f>
        <v/>
      </c>
      <c r="X75" s="117">
        <f>V73+I75/5</f>
        <v/>
      </c>
      <c r="Y75" s="117" t="n"/>
      <c r="AA75" s="117" t="n"/>
    </row>
    <row r="76">
      <c r="C76" s="101" t="n"/>
      <c r="D76" s="90" t="n"/>
      <c r="F76" s="90" t="n"/>
      <c r="G76" s="90" t="n"/>
      <c r="K76" s="90" t="n"/>
      <c r="L76" s="7" t="n"/>
      <c r="N76" s="7" t="n"/>
      <c r="O76" s="7" t="n"/>
      <c r="P76" s="7" t="n"/>
      <c r="AA76" s="117" t="n"/>
    </row>
    <row r="77">
      <c r="A77" t="inlineStr">
        <is>
          <t>家庭与个人用品</t>
        </is>
      </c>
      <c r="B77" t="inlineStr">
        <is>
          <t>pe weighted</t>
        </is>
      </c>
      <c r="C77" s="168" t="n">
        <v>59.34851435092082</v>
      </c>
      <c r="D77" s="90" t="n">
        <v>22.5112685857142</v>
      </c>
      <c r="E77" s="12" t="n">
        <v>0.6206936461356436</v>
      </c>
      <c r="F77" s="90" t="n">
        <v>-206.427270925095</v>
      </c>
      <c r="G77" s="90" t="n">
        <v>-4.478221370538691</v>
      </c>
      <c r="H77" s="12" t="n">
        <v>-0.2894195405417992</v>
      </c>
      <c r="I77" s="12" t="n">
        <v>-0.1442352321935869</v>
      </c>
      <c r="J77" s="12" t="n">
        <v>0.1325460435451284</v>
      </c>
      <c r="K77" s="90" t="n">
        <v>-9.169952823364875</v>
      </c>
      <c r="L77" s="7" t="n">
        <v>27.95896864454011</v>
      </c>
      <c r="M77" s="14" t="n">
        <v>0.5289019624110216</v>
      </c>
      <c r="N77" s="7" t="n">
        <v>-206.427270925095</v>
      </c>
      <c r="O77" s="7" t="n">
        <v>-4.478221370538691</v>
      </c>
      <c r="P77" s="7" t="n">
        <v>-7.383221947473607</v>
      </c>
      <c r="Q77" s="99" t="n">
        <v>0.07956535127236823</v>
      </c>
      <c r="R77" s="99" t="n">
        <v>0.02718330454420846</v>
      </c>
      <c r="S77" s="99" t="n">
        <v>0.006152474525182362</v>
      </c>
      <c r="U77" s="117">
        <f>C77*S77</f>
        <v/>
      </c>
      <c r="V77" s="117">
        <f>(1+S77)*Q77*(1-U77)+S77</f>
        <v/>
      </c>
      <c r="W77" s="117">
        <f>V77+I77/3</f>
        <v/>
      </c>
      <c r="X77" s="117">
        <f>V77+I77/5</f>
        <v/>
      </c>
      <c r="Y77" s="117" t="n"/>
      <c r="AA77" s="117" t="n"/>
    </row>
    <row r="78">
      <c r="A78" t="inlineStr">
        <is>
          <t>C0504</t>
        </is>
      </c>
      <c r="B78" t="inlineStr">
        <is>
          <t>pe equal</t>
        </is>
      </c>
      <c r="C78" s="168" t="n">
        <v>96.12074153405263</v>
      </c>
      <c r="D78" s="90" t="n">
        <v>24.22639705637404</v>
      </c>
      <c r="E78" s="12" t="n">
        <v>0.7479586958056148</v>
      </c>
      <c r="F78" s="90" t="n">
        <v>-6.12572560252971</v>
      </c>
      <c r="G78" s="90" t="n">
        <v>-1.063729487567047</v>
      </c>
      <c r="H78" s="12" t="n">
        <v>-0.4751081566397581</v>
      </c>
      <c r="I78" s="12" t="n">
        <v>-0.1280408878371416</v>
      </c>
      <c r="J78" s="12" t="n">
        <v>2.212351296413774</v>
      </c>
      <c r="K78" s="90" t="n">
        <v>-0.2528533478699018</v>
      </c>
      <c r="L78" s="7" t="n">
        <v>24.22639705637404</v>
      </c>
      <c r="M78" s="14" t="n">
        <v>0.7479586958056148</v>
      </c>
      <c r="N78" s="7" t="n">
        <v>-6.12572560252971</v>
      </c>
      <c r="O78" s="7" t="n">
        <v>-1.063729487567047</v>
      </c>
      <c r="P78" s="7" t="n">
        <v>-0.2528533478699018</v>
      </c>
      <c r="S78" s="99" t="n">
        <v>0.007085368050434714</v>
      </c>
      <c r="U78" s="117">
        <f>C78*S78</f>
        <v/>
      </c>
      <c r="V78" s="117">
        <f>(1+S78)*R77*(1-U78)+S78</f>
        <v/>
      </c>
      <c r="W78" s="117">
        <f>V78+I78/3</f>
        <v/>
      </c>
      <c r="X78" s="117">
        <f>V78+I78/5</f>
        <v/>
      </c>
      <c r="Y78" s="117" t="n"/>
      <c r="AA78" s="117" t="n"/>
    </row>
    <row r="79">
      <c r="B79" t="inlineStr">
        <is>
          <t>pb weighted</t>
        </is>
      </c>
      <c r="C79" s="168" t="n">
        <v>4.722085391824201</v>
      </c>
      <c r="D79" s="90" t="n">
        <v>2.266929871266454</v>
      </c>
      <c r="E79" s="12" t="n">
        <v>0.5199303521297165</v>
      </c>
      <c r="F79" s="90" t="n">
        <v>8.304241043883051</v>
      </c>
      <c r="G79" s="90" t="n">
        <v>0.7585961190496426</v>
      </c>
      <c r="H79" s="12" t="n">
        <v>-0.2757916736958881</v>
      </c>
      <c r="I79" s="12" t="n">
        <v>-0.08981030825610081</v>
      </c>
      <c r="J79" s="12" t="n">
        <v>0.05259696843428663</v>
      </c>
      <c r="K79" s="90" t="n">
        <v>3.663210383850014</v>
      </c>
      <c r="L79" s="7" t="n">
        <v>2.266929871266454</v>
      </c>
      <c r="M79" s="14" t="n">
        <v>0.5199303521297165</v>
      </c>
      <c r="N79" s="7" t="n">
        <v>8.304241043883051</v>
      </c>
      <c r="O79" s="7" t="n">
        <v>0.7585961190496426</v>
      </c>
      <c r="P79" s="7" t="n">
        <v>3.663210383850014</v>
      </c>
      <c r="W79" s="117">
        <f>V77+I79/3</f>
        <v/>
      </c>
      <c r="X79" s="117">
        <f>V77+I79/5</f>
        <v/>
      </c>
      <c r="Y79" s="117" t="n"/>
      <c r="AA79" s="117" t="n"/>
    </row>
    <row r="80">
      <c r="B80" t="inlineStr">
        <is>
          <t>pb equal</t>
        </is>
      </c>
      <c r="C80" s="165" t="n">
        <v>2.6128793901353</v>
      </c>
      <c r="D80" s="90" t="n">
        <v>1.912708557911005</v>
      </c>
      <c r="E80" s="12" t="n">
        <v>0.2679690592944048</v>
      </c>
      <c r="F80" s="90" t="n">
        <v>7.594333467450308</v>
      </c>
      <c r="G80" s="90" t="n">
        <v>1.906499816303063</v>
      </c>
      <c r="H80" s="12" t="n">
        <v>-0.109442342131235</v>
      </c>
      <c r="I80" s="12" t="n">
        <v>0.1350873667599628</v>
      </c>
      <c r="J80" s="12" t="n">
        <v>0.5112181082298699</v>
      </c>
      <c r="K80" s="90" t="n">
        <v>3.970460338058286</v>
      </c>
      <c r="L80" s="7" t="n">
        <v>1.912708557911005</v>
      </c>
      <c r="M80" s="14" t="n">
        <v>0.2679690592944048</v>
      </c>
      <c r="N80" s="7" t="n">
        <v>5.056446006994631</v>
      </c>
      <c r="O80" s="7" t="n">
        <v>0.9352006931834684</v>
      </c>
      <c r="P80" s="7" t="n">
        <v>2.643605052155519</v>
      </c>
      <c r="W80" s="117">
        <f>V78+I80/3</f>
        <v/>
      </c>
      <c r="X80" s="117">
        <f>V78+I80/5</f>
        <v/>
      </c>
      <c r="Y80" s="117" t="n"/>
      <c r="AA80" s="117" t="n"/>
    </row>
    <row r="81">
      <c r="C81" s="101" t="n"/>
      <c r="D81" s="90" t="n"/>
      <c r="F81" s="90" t="n"/>
      <c r="G81" s="90" t="n"/>
      <c r="K81" s="90" t="n"/>
      <c r="L81" s="7" t="n"/>
      <c r="N81" s="7" t="n"/>
      <c r="O81" s="7" t="n"/>
      <c r="P81" s="7" t="n"/>
      <c r="AA81" s="117" t="n"/>
    </row>
    <row r="82">
      <c r="A82" s="128" t="inlineStr">
        <is>
          <t>医疗保健设备与服务</t>
        </is>
      </c>
      <c r="B82" t="inlineStr">
        <is>
          <t>pe weighted</t>
        </is>
      </c>
      <c r="C82" s="167" t="n">
        <v>36.80495009236989</v>
      </c>
      <c r="D82" s="90" t="n">
        <v>26.0437063780194</v>
      </c>
      <c r="E82" s="12" t="n">
        <v>0.2923857711352098</v>
      </c>
      <c r="F82" s="90" t="n">
        <v>189.2042907086727</v>
      </c>
      <c r="G82" s="90" t="n">
        <v>4.14072944627894</v>
      </c>
      <c r="H82" s="12" t="n">
        <v>0.1986270854806322</v>
      </c>
      <c r="I82" s="12" t="n">
        <v>0.7444487054258175</v>
      </c>
      <c r="J82" s="12" t="n">
        <v>1.102264840094595</v>
      </c>
      <c r="K82" s="90" t="n">
        <v>7.264875742431154</v>
      </c>
      <c r="L82" s="7" t="n">
        <v>26.0437063780194</v>
      </c>
      <c r="M82" s="14" t="n">
        <v>0.2923857711352098</v>
      </c>
      <c r="N82" s="7" t="n">
        <v>189.2042907086727</v>
      </c>
      <c r="O82" s="7" t="n">
        <v>4.14072944627894</v>
      </c>
      <c r="P82" s="7" t="n">
        <v>7.264875742431154</v>
      </c>
      <c r="Q82" s="99" t="n">
        <v>0.1481391212665611</v>
      </c>
      <c r="R82" s="99" t="n">
        <v>0.02204253380037484</v>
      </c>
      <c r="S82" s="99" t="n">
        <v>0.006786347108194702</v>
      </c>
      <c r="U82" s="117">
        <f>C82*S82</f>
        <v/>
      </c>
      <c r="V82" s="117">
        <f>(1+S82)*Q82*(1-U82)+S82</f>
        <v/>
      </c>
      <c r="W82" s="117">
        <f>V82+I82/3</f>
        <v/>
      </c>
      <c r="X82" s="117">
        <f>V82+I82/5</f>
        <v/>
      </c>
      <c r="Y82" s="117" t="n"/>
      <c r="AA82" s="117" t="n"/>
    </row>
    <row r="83">
      <c r="A83" t="inlineStr">
        <is>
          <t>C0601</t>
        </is>
      </c>
      <c r="B83" t="inlineStr">
        <is>
          <t>pe equal</t>
        </is>
      </c>
      <c r="C83" s="166" t="n">
        <v>144.6086815040925</v>
      </c>
      <c r="D83" s="90" t="n">
        <v>27.99780518480102</v>
      </c>
      <c r="E83" s="12" t="n">
        <v>0.8063891815235957</v>
      </c>
      <c r="F83" s="90" t="n">
        <v>-27.7750421966834</v>
      </c>
      <c r="G83" s="90" t="n">
        <v>-1.192070364709724</v>
      </c>
      <c r="H83" s="12" t="n">
        <v>-0.6291195669024177</v>
      </c>
      <c r="I83" s="12" t="n">
        <v>-0.5147020622215692</v>
      </c>
      <c r="J83" s="12" t="n">
        <v>-0.3405042910095831</v>
      </c>
      <c r="K83" s="90" t="n">
        <v>-0.9920435553198811</v>
      </c>
      <c r="L83" s="7" t="n">
        <v>27.99780518480102</v>
      </c>
      <c r="M83" s="14" t="n">
        <v>0.8063891815235957</v>
      </c>
      <c r="N83" s="7" t="n">
        <v>-27.7750421966834</v>
      </c>
      <c r="O83" s="7" t="n">
        <v>-1.192070364709724</v>
      </c>
      <c r="P83" s="7" t="n">
        <v>-0.9920435553198811</v>
      </c>
      <c r="S83" s="99" t="n">
        <v>0.007246051160531984</v>
      </c>
      <c r="U83" s="117">
        <f>C83*S83</f>
        <v/>
      </c>
      <c r="V83" s="117">
        <f>(1+S83)*R82*(1-U83)+S83</f>
        <v/>
      </c>
      <c r="W83" s="117">
        <f>V83+I83/3</f>
        <v/>
      </c>
      <c r="X83" s="117">
        <f>V83+I83/5</f>
        <v/>
      </c>
      <c r="Y83" s="117" t="n"/>
      <c r="AA83" s="117" t="n"/>
    </row>
    <row r="84">
      <c r="B84" t="inlineStr">
        <is>
          <t>pb weighted</t>
        </is>
      </c>
      <c r="C84" s="167" t="n">
        <v>5.452252964943311</v>
      </c>
      <c r="D84" s="90" t="n">
        <v>4.089773508775913</v>
      </c>
      <c r="E84" s="12" t="n">
        <v>0.2498929277360783</v>
      </c>
      <c r="F84" s="90" t="n">
        <v>17.24652604831484</v>
      </c>
      <c r="G84" s="90" t="n">
        <v>2.163192566303489</v>
      </c>
      <c r="H84" s="12" t="n">
        <v>0.03183595842349485</v>
      </c>
      <c r="I84" s="12" t="n">
        <v>0.2684829421582786</v>
      </c>
      <c r="J84" s="12" t="n">
        <v>0.6718984296431021</v>
      </c>
      <c r="K84" s="90" t="n">
        <v>4.216988058460186</v>
      </c>
      <c r="L84" s="7" t="n">
        <v>4.155746463000686</v>
      </c>
      <c r="M84" s="14" t="n">
        <v>0.2377928005686555</v>
      </c>
      <c r="N84" s="7" t="n">
        <v>12.34692549636444</v>
      </c>
      <c r="O84" s="7" t="n">
        <v>1.264554776851374</v>
      </c>
      <c r="P84" s="7" t="n">
        <v>2.971048789018101</v>
      </c>
      <c r="W84" s="117">
        <f>V82+I84/3</f>
        <v/>
      </c>
      <c r="X84" s="117">
        <f>V82+I84/5</f>
        <v/>
      </c>
      <c r="Y84" s="117" t="n"/>
      <c r="AA84" s="117" t="n"/>
    </row>
    <row r="85">
      <c r="B85" t="inlineStr">
        <is>
          <t>pb equal</t>
        </is>
      </c>
      <c r="C85" s="165" t="n">
        <v>3.187541749881599</v>
      </c>
      <c r="D85" s="90" t="n">
        <v>2.450117056322033</v>
      </c>
      <c r="E85" s="12" t="n">
        <v>0.2313458933006783</v>
      </c>
      <c r="F85" s="90" t="n">
        <v>15.96427946892511</v>
      </c>
      <c r="G85" s="90" t="n">
        <v>4.008335802823005</v>
      </c>
      <c r="H85" s="12" t="n">
        <v>-0.004514414825586899</v>
      </c>
      <c r="I85" s="12" t="n">
        <v>0.456091227103204</v>
      </c>
      <c r="J85" s="12" t="n">
        <v>1.142360079713205</v>
      </c>
      <c r="K85" s="90" t="n">
        <v>6.515721127581436</v>
      </c>
      <c r="L85" s="7" t="n">
        <v>2.450117056322033</v>
      </c>
      <c r="M85" s="14" t="n">
        <v>0.2313458933006783</v>
      </c>
      <c r="N85" s="7" t="n">
        <v>6.358833820713977</v>
      </c>
      <c r="O85" s="7" t="n">
        <v>0.994902128246689</v>
      </c>
      <c r="P85" s="7" t="n">
        <v>2.595318376445031</v>
      </c>
      <c r="W85" s="117">
        <f>V83+I85/3</f>
        <v/>
      </c>
      <c r="X85" s="117">
        <f>V83+I85/5</f>
        <v/>
      </c>
      <c r="Y85" s="117" t="n"/>
      <c r="AA85" s="117" t="n"/>
    </row>
    <row r="86">
      <c r="C86" s="101" t="n"/>
      <c r="D86" s="90" t="n"/>
      <c r="F86" s="90" t="n"/>
      <c r="G86" s="90" t="n"/>
      <c r="K86" s="90" t="n"/>
      <c r="L86" s="7" t="n"/>
      <c r="N86" s="7" t="n"/>
      <c r="O86" s="7" t="n"/>
      <c r="P86" s="7" t="n"/>
      <c r="AA86" s="117" t="n"/>
    </row>
    <row r="87">
      <c r="A87" s="128" t="inlineStr">
        <is>
          <t>制药</t>
        </is>
      </c>
      <c r="B87" t="inlineStr">
        <is>
          <t>pe weighted</t>
        </is>
      </c>
      <c r="C87" s="165" t="n">
        <v>35.64587197037869</v>
      </c>
      <c r="D87" s="90" t="n">
        <v>21.15844741820588</v>
      </c>
      <c r="E87" s="12" t="n">
        <v>0.4064264317677989</v>
      </c>
      <c r="F87" s="90" t="n">
        <v>70.11730559981963</v>
      </c>
      <c r="G87" s="90" t="n">
        <v>0.9670526129389203</v>
      </c>
      <c r="H87" s="12" t="n">
        <v>-0.07754373452568419</v>
      </c>
      <c r="I87" s="12" t="n">
        <v>0.01683365778689971</v>
      </c>
      <c r="J87" s="12" t="n">
        <v>0.3723631547976958</v>
      </c>
      <c r="K87" s="90" t="n">
        <v>3.313915440671081</v>
      </c>
      <c r="L87" s="7" t="n">
        <v>21.15844741820588</v>
      </c>
      <c r="M87" s="14" t="n">
        <v>0.4064264317677989</v>
      </c>
      <c r="N87" s="7" t="n">
        <v>65.56862146342792</v>
      </c>
      <c r="O87" s="7" t="n">
        <v>0.8394450139391929</v>
      </c>
      <c r="P87" s="7" t="n">
        <v>3.098933497691759</v>
      </c>
      <c r="Q87" s="99" t="n">
        <v>0.08242889893047921</v>
      </c>
      <c r="R87" s="99" t="n">
        <v>0.000343606378847938</v>
      </c>
      <c r="S87" s="99" t="n">
        <v>0.01090752131643946</v>
      </c>
      <c r="U87" s="117">
        <f>C87*S87</f>
        <v/>
      </c>
      <c r="V87" s="117">
        <f>(1+S87)*Q87*(1-U87)+S87</f>
        <v/>
      </c>
      <c r="W87" s="117">
        <f>V87+I87/3</f>
        <v/>
      </c>
      <c r="X87" s="117">
        <f>V87+I87/5</f>
        <v/>
      </c>
      <c r="Y87" s="117" t="n"/>
      <c r="AA87" s="117" t="n"/>
    </row>
    <row r="88">
      <c r="A88" t="inlineStr">
        <is>
          <t>C0602</t>
        </is>
      </c>
      <c r="B88" t="inlineStr">
        <is>
          <t>pe equal</t>
        </is>
      </c>
      <c r="C88" s="166" t="n">
        <v>7497.287219703499</v>
      </c>
      <c r="D88" s="90" t="n">
        <v>22.32023758032598</v>
      </c>
      <c r="E88" s="12" t="n">
        <v>0.9970228914904492</v>
      </c>
      <c r="F88" s="90" t="n">
        <v>-228.4673874670834</v>
      </c>
      <c r="G88" s="90" t="n">
        <v>-1.030473340659359</v>
      </c>
      <c r="H88" s="12" t="n">
        <v>-0.9948045754148036</v>
      </c>
      <c r="I88" s="12" t="n">
        <v>-0.9935004851249194</v>
      </c>
      <c r="J88" s="12" t="n">
        <v>-0.9835935666464793</v>
      </c>
      <c r="K88" s="90" t="n">
        <v>-10.23588510851983</v>
      </c>
      <c r="L88" s="7" t="n">
        <v>22.32023758032598</v>
      </c>
      <c r="M88" s="14" t="n">
        <v>0.9970228914904492</v>
      </c>
      <c r="N88" s="7" t="n">
        <v>-228.4673874670834</v>
      </c>
      <c r="O88" s="7" t="n">
        <v>-1.030473340659359</v>
      </c>
      <c r="P88" s="7" t="n">
        <v>-10.23588510851983</v>
      </c>
      <c r="S88" s="99" t="n">
        <v>0.01019778028604048</v>
      </c>
      <c r="U88" s="117">
        <f>C88*S88</f>
        <v/>
      </c>
      <c r="V88" s="117">
        <f>(1+S88)*R87*(1-U88)+S88</f>
        <v/>
      </c>
      <c r="W88" s="117">
        <f>V88+I88/3</f>
        <v/>
      </c>
      <c r="X88" s="117">
        <f>V88+I88/5</f>
        <v/>
      </c>
      <c r="Y88" s="117" t="n"/>
      <c r="AA88" s="117" t="n"/>
    </row>
    <row r="89">
      <c r="B89" t="inlineStr">
        <is>
          <t>pb weighted</t>
        </is>
      </c>
      <c r="C89" s="167" t="n">
        <v>2.938249977935147</v>
      </c>
      <c r="D89" s="90" t="n">
        <v>2.36914126829523</v>
      </c>
      <c r="E89" s="12" t="n">
        <v>0.1936896839661877</v>
      </c>
      <c r="F89" s="90" t="n">
        <v>7.445056996343666</v>
      </c>
      <c r="G89" s="90" t="n">
        <v>1.533840569132132</v>
      </c>
      <c r="H89" s="12" t="n">
        <v>0.01312247565773683</v>
      </c>
      <c r="I89" s="12" t="n">
        <v>0.2968159833134516</v>
      </c>
      <c r="J89" s="12" t="n">
        <v>0.4186420775993309</v>
      </c>
      <c r="K89" s="90" t="n">
        <v>3.142512899494983</v>
      </c>
      <c r="L89" s="7" t="n">
        <v>2.36914126829523</v>
      </c>
      <c r="M89" s="14" t="n">
        <v>0.1936896839661877</v>
      </c>
      <c r="N89" s="7" t="n">
        <v>4.210248392237637</v>
      </c>
      <c r="O89" s="7" t="n">
        <v>0.4329102097692812</v>
      </c>
      <c r="P89" s="7" t="n">
        <v>1.777120025969248</v>
      </c>
      <c r="W89" s="117">
        <f>V87+I89/3</f>
        <v/>
      </c>
      <c r="X89" s="117">
        <f>V87+I89/5</f>
        <v/>
      </c>
      <c r="Y89" s="117" t="n"/>
      <c r="AA89" s="117" t="n"/>
    </row>
    <row r="90">
      <c r="B90" t="inlineStr">
        <is>
          <t>pb equal</t>
        </is>
      </c>
      <c r="C90" s="165" t="n">
        <v>2.576115712745245</v>
      </c>
      <c r="D90" s="90" t="n">
        <v>1.937937428885458</v>
      </c>
      <c r="E90" s="12" t="n">
        <v>0.2477288891575878</v>
      </c>
      <c r="F90" s="90" t="n">
        <v>7.590883048855265</v>
      </c>
      <c r="G90" s="90" t="n">
        <v>1.946639008216762</v>
      </c>
      <c r="H90" s="12" t="n">
        <v>-0.1027381383732977</v>
      </c>
      <c r="I90" s="12" t="n">
        <v>0.2501563476324347</v>
      </c>
      <c r="J90" s="12" t="n">
        <v>0.5724272364215677</v>
      </c>
      <c r="K90" s="90" t="n">
        <v>3.916990783970212</v>
      </c>
      <c r="L90" s="7" t="n">
        <v>1.937937428885458</v>
      </c>
      <c r="M90" s="14" t="n">
        <v>0.2477288891575878</v>
      </c>
      <c r="N90" s="7" t="n">
        <v>3.357011580805984</v>
      </c>
      <c r="O90" s="7" t="n">
        <v>0.3031291894992463</v>
      </c>
      <c r="P90" s="7" t="n">
        <v>1.732260046567479</v>
      </c>
      <c r="W90" s="117">
        <f>V88+I90/3</f>
        <v/>
      </c>
      <c r="X90" s="117">
        <f>V88+I90/5</f>
        <v/>
      </c>
      <c r="Y90" s="117" t="n"/>
      <c r="AA90" s="117" t="n"/>
    </row>
    <row r="91">
      <c r="C91" s="101" t="n"/>
      <c r="D91" s="90" t="n"/>
      <c r="F91" s="90" t="n"/>
      <c r="G91" s="90" t="n"/>
      <c r="K91" s="90" t="n"/>
      <c r="L91" s="7" t="n"/>
      <c r="N91" s="7" t="n"/>
      <c r="O91" s="7" t="n"/>
      <c r="P91" s="7" t="n"/>
      <c r="AA91" s="117" t="n"/>
    </row>
    <row r="92">
      <c r="A92" t="inlineStr">
        <is>
          <t>生物科技</t>
        </is>
      </c>
      <c r="B92" t="inlineStr">
        <is>
          <t>pe weighted</t>
        </is>
      </c>
      <c r="C92" s="167" t="n">
        <v>37.2702508532613</v>
      </c>
      <c r="D92" s="90" t="n">
        <v>27.13755210783591</v>
      </c>
      <c r="E92" s="12" t="n">
        <v>0.2718709564182806</v>
      </c>
      <c r="F92" s="90" t="n">
        <v>139.5524165664656</v>
      </c>
      <c r="G92" s="90" t="n">
        <v>2.744338000726232</v>
      </c>
      <c r="H92" s="12" t="n">
        <v>0.2183530112932266</v>
      </c>
      <c r="I92" s="12" t="n">
        <v>0.5115681585769891</v>
      </c>
      <c r="J92" s="12" t="n">
        <v>0.9589770544567149</v>
      </c>
      <c r="K92" s="90" t="n">
        <v>5.142409897986712</v>
      </c>
      <c r="L92" s="7" t="n">
        <v>27.13755210783591</v>
      </c>
      <c r="M92" s="14" t="n">
        <v>0.2718709564182806</v>
      </c>
      <c r="N92" s="7" t="n">
        <v>139.5524165664656</v>
      </c>
      <c r="O92" s="7" t="n">
        <v>2.744338000726232</v>
      </c>
      <c r="P92" s="7" t="n">
        <v>5.142409897986712</v>
      </c>
      <c r="Q92" s="99" t="n">
        <v>0.1182866856932686</v>
      </c>
      <c r="R92" s="99" t="n">
        <v>0.1337548550593755</v>
      </c>
      <c r="S92" s="99" t="n">
        <v>0.007221321269194498</v>
      </c>
      <c r="U92" s="117">
        <f>C92*S92</f>
        <v/>
      </c>
      <c r="V92" s="117">
        <f>(1+S92)*Q92*(1-U92)+S92</f>
        <v/>
      </c>
      <c r="W92" s="117">
        <f>V92+I92/3</f>
        <v/>
      </c>
      <c r="X92" s="117">
        <f>V92+I92/5</f>
        <v/>
      </c>
      <c r="Y92" s="117" t="n"/>
      <c r="AA92" s="117" t="n"/>
    </row>
    <row r="93">
      <c r="A93" t="inlineStr">
        <is>
          <t>C0603</t>
        </is>
      </c>
      <c r="B93" t="inlineStr">
        <is>
          <t>pe equal</t>
        </is>
      </c>
      <c r="C93" s="167" t="n">
        <v>23.38942460648059</v>
      </c>
      <c r="D93" s="90" t="n">
        <v>20.8678901193494</v>
      </c>
      <c r="E93" s="12" t="n">
        <v>0.1078066061716001</v>
      </c>
      <c r="F93" s="90" t="n">
        <v>176.715626389398</v>
      </c>
      <c r="G93" s="90" t="n">
        <v>6.555364416294139</v>
      </c>
      <c r="H93" s="12" t="n">
        <v>0.6561963932603971</v>
      </c>
      <c r="I93" s="12" t="n">
        <v>1.333430791132015</v>
      </c>
      <c r="J93" s="12" t="n">
        <v>2.177634124892235</v>
      </c>
      <c r="K93" s="90" t="n">
        <v>8.468303473840001</v>
      </c>
      <c r="L93" s="7" t="n">
        <v>20.8678901193494</v>
      </c>
      <c r="M93" s="14" t="n">
        <v>0.1078066061716001</v>
      </c>
      <c r="N93" s="7" t="n">
        <v>176.715626389398</v>
      </c>
      <c r="O93" s="7" t="n">
        <v>6.555364416294139</v>
      </c>
      <c r="P93" s="7" t="n">
        <v>8.468303473840001</v>
      </c>
      <c r="S93" s="99" t="n">
        <v>0.01052964423735755</v>
      </c>
      <c r="U93" s="117">
        <f>C93*S93</f>
        <v/>
      </c>
      <c r="V93" s="117">
        <f>(1+S93)*R92*(1-U93)+S93</f>
        <v/>
      </c>
      <c r="W93" s="117">
        <f>V93+I93/3</f>
        <v/>
      </c>
      <c r="X93" s="117">
        <f>V93+I93/5</f>
        <v/>
      </c>
      <c r="Y93" s="117" t="n"/>
      <c r="AA93" s="117" t="n"/>
    </row>
    <row r="94">
      <c r="B94" t="inlineStr">
        <is>
          <t>pb weighted</t>
        </is>
      </c>
      <c r="C94" s="167" t="n">
        <v>4.408574448388994</v>
      </c>
      <c r="D94" s="90" t="n">
        <v>3.811715675907847</v>
      </c>
      <c r="E94" s="12" t="n">
        <v>0.1353858893546086</v>
      </c>
      <c r="F94" s="90" t="n">
        <v>13.20591571489889</v>
      </c>
      <c r="G94" s="90" t="n">
        <v>1.995507021487336</v>
      </c>
      <c r="H94" s="12" t="n">
        <v>0.3448972403589958</v>
      </c>
      <c r="I94" s="12" t="n">
        <v>0.5531374537680398</v>
      </c>
      <c r="J94" s="12" t="n">
        <v>0.858101092774435</v>
      </c>
      <c r="K94" s="90" t="n">
        <v>3.464559489147522</v>
      </c>
      <c r="L94" s="7" t="n">
        <v>3.811715675907847</v>
      </c>
      <c r="M94" s="14" t="n">
        <v>0.1353858893546086</v>
      </c>
      <c r="N94" s="7" t="n">
        <v>13.20591571489889</v>
      </c>
      <c r="O94" s="7" t="n">
        <v>1.995507021487336</v>
      </c>
      <c r="P94" s="7" t="n">
        <v>3.464559489147522</v>
      </c>
      <c r="W94" s="117">
        <f>V92+I94/3</f>
        <v/>
      </c>
      <c r="X94" s="117">
        <f>V92+I94/5</f>
        <v/>
      </c>
      <c r="Y94" s="117" t="n"/>
      <c r="AA94" s="117" t="n"/>
    </row>
    <row r="95">
      <c r="B95" t="inlineStr">
        <is>
          <t>pb equal</t>
        </is>
      </c>
      <c r="C95" s="167" t="n">
        <v>3.128449098162001</v>
      </c>
      <c r="D95" s="90" t="n">
        <v>2.222094086014402</v>
      </c>
      <c r="E95" s="12" t="n">
        <v>0.2897138434120895</v>
      </c>
      <c r="F95" s="90" t="n">
        <v>11.3848035106735</v>
      </c>
      <c r="G95" s="90" t="n">
        <v>2.639120584497347</v>
      </c>
      <c r="H95" s="12" t="n">
        <v>0.1393918068421744</v>
      </c>
      <c r="I95" s="12" t="n">
        <v>0.6900944920479923</v>
      </c>
      <c r="J95" s="12" t="n">
        <v>0.9861827917481381</v>
      </c>
      <c r="K95" s="90" t="n">
        <v>5.123457004961269</v>
      </c>
      <c r="L95" s="7" t="n">
        <v>2.222094086014402</v>
      </c>
      <c r="M95" s="14" t="n">
        <v>0.2897138434120895</v>
      </c>
      <c r="N95" s="7" t="n">
        <v>7.253759673576105</v>
      </c>
      <c r="O95" s="7" t="n">
        <v>1.318643981721733</v>
      </c>
      <c r="P95" s="7" t="n">
        <v>3.264380081487284</v>
      </c>
      <c r="W95" s="117">
        <f>V93+I95/3</f>
        <v/>
      </c>
      <c r="X95" s="117">
        <f>V93+I95/5</f>
        <v/>
      </c>
      <c r="Y95" s="117" t="n"/>
      <c r="AA95" s="117" t="n"/>
    </row>
    <row r="96">
      <c r="C96" s="101" t="n"/>
      <c r="D96" s="90" t="n"/>
      <c r="F96" s="90" t="n"/>
      <c r="G96" s="90" t="n"/>
      <c r="K96" s="90" t="n"/>
      <c r="L96" s="7" t="n"/>
      <c r="N96" s="7" t="n"/>
      <c r="O96" s="7" t="n"/>
      <c r="P96" s="7" t="n"/>
      <c r="AA96" s="117" t="n"/>
    </row>
    <row r="97">
      <c r="A97" s="128" t="inlineStr">
        <is>
          <t>银行</t>
        </is>
      </c>
      <c r="B97" t="inlineStr">
        <is>
          <t>pe weighted</t>
        </is>
      </c>
      <c r="C97" s="167" t="n">
        <v>4.518770862465093</v>
      </c>
      <c r="D97" s="90" t="n">
        <v>4.118254372850062</v>
      </c>
      <c r="E97" s="12" t="n">
        <v>0.08863394533719282</v>
      </c>
      <c r="F97" s="90" t="n">
        <v>9.084638393652934</v>
      </c>
      <c r="G97" s="90" t="n">
        <v>1.010422451183342</v>
      </c>
      <c r="H97" s="12" t="n">
        <v>0.164219653335236</v>
      </c>
      <c r="I97" s="12" t="n">
        <v>0.3762551890112009</v>
      </c>
      <c r="J97" s="12" t="n">
        <v>0.5048573075208376</v>
      </c>
      <c r="K97" s="90" t="n">
        <v>2.205943968285246</v>
      </c>
      <c r="L97" s="7" t="n">
        <v>4.118254372850062</v>
      </c>
      <c r="M97" s="14" t="n">
        <v>0.08863394533719282</v>
      </c>
      <c r="N97" s="7" t="n">
        <v>8.27991327058561</v>
      </c>
      <c r="O97" s="7" t="n">
        <v>0.832337492339394</v>
      </c>
      <c r="P97" s="7" t="n">
        <v>2.010539544417565</v>
      </c>
      <c r="Q97" s="99" t="n">
        <v>0.1177003169704419</v>
      </c>
      <c r="R97" s="99" t="n">
        <v>0.109941770506394</v>
      </c>
      <c r="S97" s="99" t="n">
        <v>0.0593653505352404</v>
      </c>
      <c r="U97" s="117">
        <f>C97*S97</f>
        <v/>
      </c>
      <c r="V97" s="117">
        <f>(1+S97)*Q97*(1-U97)+S97</f>
        <v/>
      </c>
      <c r="W97" s="117">
        <f>V97+I97/3</f>
        <v/>
      </c>
      <c r="X97" s="117">
        <f>V97+I97/5</f>
        <v/>
      </c>
      <c r="Y97" s="117" t="n"/>
      <c r="AA97" s="36" t="n"/>
    </row>
    <row r="98">
      <c r="A98" t="inlineStr">
        <is>
          <t>C0701</t>
        </is>
      </c>
      <c r="B98" t="inlineStr">
        <is>
          <t>pe equal</t>
        </is>
      </c>
      <c r="C98" s="167" t="n">
        <v>5.01782230692496</v>
      </c>
      <c r="D98" s="90" t="n">
        <v>4.571919583312054</v>
      </c>
      <c r="E98" s="12" t="n">
        <v>0.0888637931633266</v>
      </c>
      <c r="F98" s="90" t="n">
        <v>9.826408451626936</v>
      </c>
      <c r="G98" s="90" t="n">
        <v>0.9583014006027628</v>
      </c>
      <c r="H98" s="12" t="n">
        <v>0.08961666669534596</v>
      </c>
      <c r="I98" s="12" t="n">
        <v>0.3315999550176327</v>
      </c>
      <c r="J98" s="12" t="n">
        <v>0.5124368953552112</v>
      </c>
      <c r="K98" s="90" t="n">
        <v>2.149295995383268</v>
      </c>
      <c r="L98" s="7" t="n">
        <v>4.624648259826527</v>
      </c>
      <c r="M98" s="14" t="n">
        <v>0.07835551421496612</v>
      </c>
      <c r="N98" s="7" t="n">
        <v>9.081514787672107</v>
      </c>
      <c r="O98" s="7" t="n">
        <v>0.8098518106428274</v>
      </c>
      <c r="P98" s="7" t="n">
        <v>1.963720109605213</v>
      </c>
      <c r="S98" s="99" t="n">
        <v>0.04653467559127265</v>
      </c>
      <c r="U98" s="117">
        <f>C98*S98</f>
        <v/>
      </c>
      <c r="V98" s="117">
        <f>(1+S98)*R97*(1-U98)+S98</f>
        <v/>
      </c>
      <c r="W98" s="117">
        <f>V98+I98/3</f>
        <v/>
      </c>
      <c r="X98" s="117">
        <f>V98+I98/5</f>
        <v/>
      </c>
      <c r="Y98" s="117" t="n"/>
      <c r="AA98" s="117" t="n"/>
    </row>
    <row r="99">
      <c r="B99" t="inlineStr">
        <is>
          <t>pb weighted</t>
        </is>
      </c>
      <c r="C99" s="167" t="n">
        <v>0.5318607628289386</v>
      </c>
      <c r="D99" s="90" t="n">
        <v>0.484775809454944</v>
      </c>
      <c r="E99" s="12" t="n">
        <v>0.08852872154650449</v>
      </c>
      <c r="F99" s="90" t="n">
        <v>1.431324950837465</v>
      </c>
      <c r="G99" s="90" t="n">
        <v>1.691164776330416</v>
      </c>
      <c r="H99" s="12" t="n">
        <v>0.3549391700804487</v>
      </c>
      <c r="I99" s="12" t="n">
        <v>0.6746860430061048</v>
      </c>
      <c r="J99" s="12" t="n">
        <v>0.9636805026391841</v>
      </c>
      <c r="K99" s="90" t="n">
        <v>2.952550277718622</v>
      </c>
      <c r="L99" s="7" t="n">
        <v>0.484775809454944</v>
      </c>
      <c r="M99" s="14" t="n">
        <v>0.08852872154650449</v>
      </c>
      <c r="N99" s="7" t="n">
        <v>1.131644796751708</v>
      </c>
      <c r="O99" s="7" t="n">
        <v>1.12770874604953</v>
      </c>
      <c r="P99" s="7" t="n">
        <v>2.334367298615969</v>
      </c>
      <c r="W99" s="117">
        <f>V97+I99/3</f>
        <v/>
      </c>
      <c r="X99" s="117">
        <f>V97+I99/5</f>
        <v/>
      </c>
      <c r="Y99" s="117" t="n"/>
      <c r="AA99" s="117" t="n"/>
    </row>
    <row r="100">
      <c r="B100" t="inlineStr">
        <is>
          <t>pb equal</t>
        </is>
      </c>
      <c r="C100" s="167" t="n">
        <v>0.5516682685098087</v>
      </c>
      <c r="D100" s="90" t="n">
        <v>0.5115892761700012</v>
      </c>
      <c r="E100" s="12" t="n">
        <v>0.07265053045024805</v>
      </c>
      <c r="F100" s="90" t="n">
        <v>1.521258747308089</v>
      </c>
      <c r="G100" s="90" t="n">
        <v>1.757560719265913</v>
      </c>
      <c r="H100" s="12" t="n">
        <v>0.3613309967681724</v>
      </c>
      <c r="I100" s="12" t="n">
        <v>0.6673007811995793</v>
      </c>
      <c r="J100" s="12" t="n">
        <v>1.022248435179135</v>
      </c>
      <c r="K100" s="90" t="n">
        <v>2.973593892930966</v>
      </c>
      <c r="L100" s="7" t="n">
        <v>0.5115892761700012</v>
      </c>
      <c r="M100" s="14" t="n">
        <v>0.07265053045024805</v>
      </c>
      <c r="N100" s="7" t="n">
        <v>1.170373160276302</v>
      </c>
      <c r="O100" s="7" t="n">
        <v>1.121516184785772</v>
      </c>
      <c r="P100" s="7" t="n">
        <v>2.287720276387082</v>
      </c>
      <c r="W100" s="117">
        <f>V98+I100/3</f>
        <v/>
      </c>
      <c r="X100" s="117">
        <f>V98+I100/5</f>
        <v/>
      </c>
      <c r="Y100" s="117" t="n"/>
      <c r="AA100" s="117" t="n"/>
    </row>
    <row r="101">
      <c r="C101" s="101" t="n"/>
      <c r="D101" s="90" t="n"/>
      <c r="F101" s="90" t="n"/>
      <c r="G101" s="90" t="n"/>
      <c r="K101" s="90" t="n"/>
      <c r="L101" s="7" t="n"/>
      <c r="N101" s="7" t="n"/>
      <c r="O101" s="7" t="n"/>
      <c r="P101" s="7" t="n"/>
      <c r="AA101" s="117" t="n"/>
    </row>
    <row r="102">
      <c r="A102" t="inlineStr">
        <is>
          <t>综合金融</t>
        </is>
      </c>
      <c r="B102" t="inlineStr">
        <is>
          <t>pe weighted</t>
        </is>
      </c>
      <c r="C102" s="165" t="n">
        <v>16.68937928449375</v>
      </c>
      <c r="D102" s="90" t="n">
        <v>11.16450264628826</v>
      </c>
      <c r="E102" s="12" t="n">
        <v>0.3310414691898517</v>
      </c>
      <c r="F102" s="90" t="n">
        <v>37.09812665687318</v>
      </c>
      <c r="G102" s="90" t="n">
        <v>1.222858383435589</v>
      </c>
      <c r="H102" s="12" t="n">
        <v>-0.1091739241605916</v>
      </c>
      <c r="I102" s="12" t="n">
        <v>0.07193780730097155</v>
      </c>
      <c r="J102" s="12" t="n">
        <v>0.348235694037385</v>
      </c>
      <c r="K102" s="90" t="n">
        <v>3.322864245028128</v>
      </c>
      <c r="L102" s="7" t="n">
        <v>11.98522072547022</v>
      </c>
      <c r="M102" s="14" t="n">
        <v>0.2818653994755939</v>
      </c>
      <c r="N102" s="7" t="n">
        <v>27.71919434095617</v>
      </c>
      <c r="O102" s="7" t="n">
        <v>0.6608882732211812</v>
      </c>
      <c r="P102" s="7" t="n">
        <v>2.312781297556676</v>
      </c>
      <c r="Q102" s="99" t="n">
        <v>0.07839798794637502</v>
      </c>
      <c r="R102" s="99" t="n">
        <v>0.01306197437687041</v>
      </c>
      <c r="S102" s="99" t="n">
        <v>0.02655448817820828</v>
      </c>
      <c r="U102" s="117">
        <f>C102*S102</f>
        <v/>
      </c>
      <c r="V102" s="117">
        <f>(1+S102)*Q102*(1-U102)+S102</f>
        <v/>
      </c>
      <c r="W102" s="117">
        <f>V102+I102/3</f>
        <v/>
      </c>
      <c r="X102" s="117">
        <f>V102+I102/5</f>
        <v/>
      </c>
      <c r="Y102" s="117" t="n"/>
      <c r="AA102" s="117" t="n"/>
    </row>
    <row r="103">
      <c r="A103" t="inlineStr">
        <is>
          <t>C0702</t>
        </is>
      </c>
      <c r="B103" t="inlineStr">
        <is>
          <t>pe equal</t>
        </is>
      </c>
      <c r="C103" s="166" t="n">
        <v>94.89961670257388</v>
      </c>
      <c r="D103" s="90" t="n">
        <v>9.917824016496535</v>
      </c>
      <c r="E103" s="12" t="n">
        <v>0.8954914217664323</v>
      </c>
      <c r="F103" s="90" t="n">
        <v>-23.75589044256375</v>
      </c>
      <c r="G103" s="90" t="n">
        <v>-1.250326516249453</v>
      </c>
      <c r="H103" s="12" t="n">
        <v>-0.7357979235604</v>
      </c>
      <c r="I103" s="12" t="n">
        <v>-0.6666488514778783</v>
      </c>
      <c r="J103" s="12" t="n">
        <v>-0.5385219373244359</v>
      </c>
      <c r="K103" s="90" t="n">
        <v>-2.395272431034272</v>
      </c>
      <c r="L103" s="7" t="n">
        <v>9.917824016496535</v>
      </c>
      <c r="M103" s="14" t="n">
        <v>0.8954914217664323</v>
      </c>
      <c r="N103" s="7" t="n">
        <v>-23.75589044256375</v>
      </c>
      <c r="O103" s="7" t="n">
        <v>-1.250326516249453</v>
      </c>
      <c r="P103" s="7" t="n">
        <v>-2.395272431034272</v>
      </c>
      <c r="S103" s="99" t="n">
        <v>0.01753598301796542</v>
      </c>
      <c r="U103" s="117">
        <f>C103*S103</f>
        <v/>
      </c>
      <c r="V103" s="117">
        <f>(1+S103)*R102*(1-U103)+S103</f>
        <v/>
      </c>
      <c r="W103" s="117">
        <f>V103+I103/3</f>
        <v/>
      </c>
      <c r="X103" s="117">
        <f>V103+I103/5</f>
        <v/>
      </c>
      <c r="Y103" s="117" t="n"/>
      <c r="AA103" s="117" t="n"/>
    </row>
    <row r="104">
      <c r="B104" t="inlineStr">
        <is>
          <t>pb weighted</t>
        </is>
      </c>
      <c r="C104" s="167" t="n">
        <v>1.308413755978222</v>
      </c>
      <c r="D104" s="90" t="n">
        <v>1.097115811429983</v>
      </c>
      <c r="E104" s="12" t="n">
        <v>0.1614916868481437</v>
      </c>
      <c r="F104" s="90" t="n">
        <v>4.190381375309333</v>
      </c>
      <c r="G104" s="90" t="n">
        <v>2.202642402805097</v>
      </c>
      <c r="H104" s="12" t="n">
        <v>0.2345973788548692</v>
      </c>
      <c r="I104" s="12" t="n">
        <v>0.457181459617285</v>
      </c>
      <c r="J104" s="12" t="n">
        <v>0.6406891152478797</v>
      </c>
      <c r="K104" s="90" t="n">
        <v>3.819452177840352</v>
      </c>
      <c r="L104" s="7" t="n">
        <v>1.097115811429983</v>
      </c>
      <c r="M104" s="14" t="n">
        <v>0.1614916868481437</v>
      </c>
      <c r="N104" s="7" t="n">
        <v>2.311742465422784</v>
      </c>
      <c r="O104" s="7" t="n">
        <v>0.7668283101276583</v>
      </c>
      <c r="P104" s="7" t="n">
        <v>2.107108877056155</v>
      </c>
      <c r="W104" s="117">
        <f>V102+I104/3</f>
        <v/>
      </c>
      <c r="X104" s="117">
        <f>V102+I104/5</f>
        <v/>
      </c>
      <c r="Y104" s="117" t="n"/>
      <c r="AA104" s="117" t="n"/>
    </row>
    <row r="105">
      <c r="B105" t="inlineStr">
        <is>
          <t>pb equal</t>
        </is>
      </c>
      <c r="C105" s="167" t="n">
        <v>1.239576361743843</v>
      </c>
      <c r="D105" s="90" t="n">
        <v>1.087249682190839</v>
      </c>
      <c r="E105" s="12" t="n">
        <v>0.1228860796754068</v>
      </c>
      <c r="F105" s="90" t="n">
        <v>5.169590612005933</v>
      </c>
      <c r="G105" s="90" t="n">
        <v>3.170449495126967</v>
      </c>
      <c r="H105" s="12" t="n">
        <v>0.2057429197220495</v>
      </c>
      <c r="I105" s="12" t="n">
        <v>0.5408042458707167</v>
      </c>
      <c r="J105" s="12" t="n">
        <v>0.9037879656338896</v>
      </c>
      <c r="K105" s="90" t="n">
        <v>4.754740973194918</v>
      </c>
      <c r="L105" s="7" t="n">
        <v>1.087249682190839</v>
      </c>
      <c r="M105" s="14" t="n">
        <v>0.1228860796754068</v>
      </c>
      <c r="N105" s="7" t="n">
        <v>2.135585289142519</v>
      </c>
      <c r="O105" s="7" t="n">
        <v>0.7228347966705049</v>
      </c>
      <c r="P105" s="7" t="n">
        <v>1.964208703965086</v>
      </c>
      <c r="W105" s="117">
        <f>V103+I105/3</f>
        <v/>
      </c>
      <c r="X105" s="117">
        <f>V103+I105/5</f>
        <v/>
      </c>
      <c r="Y105" s="117" t="n"/>
      <c r="AA105" s="117" t="n"/>
    </row>
    <row r="106">
      <c r="C106" s="101" t="n"/>
      <c r="D106" s="90" t="n"/>
      <c r="F106" s="90" t="n"/>
      <c r="G106" s="90" t="n"/>
      <c r="K106" s="90" t="n"/>
      <c r="L106" s="7" t="n"/>
      <c r="N106" s="7" t="n"/>
      <c r="O106" s="7" t="n"/>
      <c r="P106" s="7" t="n"/>
      <c r="AA106" s="117" t="n"/>
    </row>
    <row r="107">
      <c r="A107" s="33" t="inlineStr">
        <is>
          <t>房地产</t>
        </is>
      </c>
      <c r="B107" t="inlineStr">
        <is>
          <t>pe weighted</t>
        </is>
      </c>
      <c r="C107" s="166" t="n">
        <v>48.85908609963876</v>
      </c>
      <c r="D107" s="90" t="n">
        <v>8.558683289979335</v>
      </c>
      <c r="E107" s="12" t="n">
        <v>0.8248292390789804</v>
      </c>
      <c r="F107" s="90" t="n">
        <v>93.14905532989239</v>
      </c>
      <c r="G107" s="90" t="n">
        <v>0.9064837835880253</v>
      </c>
      <c r="H107" s="12" t="n">
        <v>-0.7331353585955742</v>
      </c>
      <c r="I107" s="12" t="n">
        <v>-0.5335493775273332</v>
      </c>
      <c r="J107" s="12" t="n">
        <v>-0.1637728537306543</v>
      </c>
      <c r="K107" s="90" t="n">
        <v>10.88357311211095</v>
      </c>
      <c r="L107" s="7" t="n">
        <v>8.558683289979335</v>
      </c>
      <c r="M107" s="14" t="n">
        <v>0.8248292390789804</v>
      </c>
      <c r="N107" s="7" t="n">
        <v>93.14905532989239</v>
      </c>
      <c r="O107" s="7" t="n">
        <v>0.9064837835880253</v>
      </c>
      <c r="P107" s="7" t="n">
        <v>10.88357311211095</v>
      </c>
      <c r="Q107" s="99" t="n">
        <v>0.05554148768594053</v>
      </c>
      <c r="R107" s="99" t="n">
        <v>-0.233864755368162</v>
      </c>
      <c r="S107" s="99" t="n">
        <v>0.007410697891352295</v>
      </c>
      <c r="U107" s="117">
        <f>C107*S107</f>
        <v/>
      </c>
      <c r="V107" s="117">
        <f>(1+S107)*Q107*(1-U107)+S107</f>
        <v/>
      </c>
      <c r="W107" s="117">
        <f>V107+I107/3</f>
        <v/>
      </c>
      <c r="X107" s="117">
        <f>V107+I107/5</f>
        <v/>
      </c>
      <c r="Y107" s="117" t="n"/>
      <c r="AA107" s="36" t="n"/>
    </row>
    <row r="108">
      <c r="A108" t="inlineStr">
        <is>
          <t>C0703</t>
        </is>
      </c>
      <c r="B108" t="inlineStr">
        <is>
          <t>pe equal</t>
        </is>
      </c>
      <c r="C108" s="166" t="n">
        <v>-17.28461101222041</v>
      </c>
      <c r="D108" s="90" t="n">
        <v>12.61471063147631</v>
      </c>
      <c r="E108" s="12" t="n">
        <v>1.729823229609134</v>
      </c>
      <c r="F108" s="90" t="n">
        <v>-8.942353606993434</v>
      </c>
      <c r="G108" s="90" t="n">
        <v>-0.4826407374356825</v>
      </c>
      <c r="H108" s="12" t="n">
        <v>-2.184422438435741</v>
      </c>
      <c r="I108" s="12" t="n">
        <v>-3.55122835496929</v>
      </c>
      <c r="J108" s="12" t="n">
        <v>3.397249528054101</v>
      </c>
      <c r="K108" s="90" t="n">
        <v>-0.7088829754588594</v>
      </c>
      <c r="L108" s="7" t="n">
        <v>12.61471063147631</v>
      </c>
      <c r="M108" s="14" t="n">
        <v>1.729823229609134</v>
      </c>
      <c r="N108" s="7" t="n">
        <v>-8.942353606993434</v>
      </c>
      <c r="O108" s="7" t="n">
        <v>-0.4826407374356825</v>
      </c>
      <c r="P108" s="7" t="n">
        <v>-0.7088829754588594</v>
      </c>
      <c r="S108" s="99" t="n">
        <v>0.007383130879479508</v>
      </c>
      <c r="U108" s="117">
        <f>C108*S108</f>
        <v/>
      </c>
      <c r="V108" s="117">
        <f>(1+S108)*R107*(1-U108)+S108</f>
        <v/>
      </c>
      <c r="W108" s="117">
        <f>V108+I108/3</f>
        <v/>
      </c>
      <c r="X108" s="117">
        <f>V108+I108/5</f>
        <v/>
      </c>
      <c r="Y108" s="117" t="n"/>
      <c r="AA108" s="117" t="n"/>
    </row>
    <row r="109">
      <c r="B109" t="inlineStr">
        <is>
          <t>pb weighted</t>
        </is>
      </c>
      <c r="C109" s="168" t="n">
        <v>2.713706328949395</v>
      </c>
      <c r="D109" s="90" t="n">
        <v>1.237122211599679</v>
      </c>
      <c r="E109" s="12" t="n">
        <v>0.5441208216223499</v>
      </c>
      <c r="F109" s="90" t="n">
        <v>7.239487643951843</v>
      </c>
      <c r="G109" s="90" t="n">
        <v>1.667749110035276</v>
      </c>
      <c r="H109" s="12" t="n">
        <v>-0.3402061907210389</v>
      </c>
      <c r="I109" s="12" t="n">
        <v>-0.1333653839256126</v>
      </c>
      <c r="J109" s="12" t="n">
        <v>0.3300344094497232</v>
      </c>
      <c r="K109" s="90" t="n">
        <v>5.851877507389281</v>
      </c>
      <c r="L109" s="7" t="n">
        <v>1.237122211599679</v>
      </c>
      <c r="M109" s="14" t="n">
        <v>0.5441208216223499</v>
      </c>
      <c r="N109" s="7" t="n">
        <v>7.239487643951843</v>
      </c>
      <c r="O109" s="7" t="n">
        <v>1.667749110035276</v>
      </c>
      <c r="P109" s="7" t="n">
        <v>5.851877507389281</v>
      </c>
      <c r="W109" s="117">
        <f>V107+I109/3</f>
        <v/>
      </c>
      <c r="X109" s="117">
        <f>V107+I109/5</f>
        <v/>
      </c>
      <c r="Y109" s="117" t="n"/>
      <c r="AA109" s="117" t="n"/>
    </row>
    <row r="110">
      <c r="B110" t="inlineStr">
        <is>
          <t>pb equal</t>
        </is>
      </c>
      <c r="C110" s="166" t="n">
        <v>4.042261326006766</v>
      </c>
      <c r="D110" s="90" t="n">
        <v>1.080316750837688</v>
      </c>
      <c r="E110" s="12" t="n">
        <v>0.7327444557116494</v>
      </c>
      <c r="F110" s="90" t="n">
        <v>6.339599105623463</v>
      </c>
      <c r="G110" s="90" t="n">
        <v>0.5683298516195068</v>
      </c>
      <c r="H110" s="12" t="n">
        <v>-0.5195692951133855</v>
      </c>
      <c r="I110" s="12" t="n">
        <v>-0.3596543499076273</v>
      </c>
      <c r="J110" s="12" t="n">
        <v>-0.06824926827574851</v>
      </c>
      <c r="K110" s="90" t="n">
        <v>5.868278077432083</v>
      </c>
      <c r="L110" s="7" t="n">
        <v>1.080316750837688</v>
      </c>
      <c r="M110" s="14" t="n">
        <v>0.7327444557116494</v>
      </c>
      <c r="N110" s="7" t="n">
        <v>6.339599105623463</v>
      </c>
      <c r="O110" s="7" t="n">
        <v>0.5683298516195068</v>
      </c>
      <c r="P110" s="7" t="n">
        <v>5.868278077432083</v>
      </c>
      <c r="W110" s="117">
        <f>V108+I110/3</f>
        <v/>
      </c>
      <c r="X110" s="117">
        <f>V108+I110/5</f>
        <v/>
      </c>
      <c r="Y110" s="117" t="n"/>
      <c r="AA110" s="117" t="n"/>
    </row>
    <row r="111">
      <c r="C111" s="101" t="n"/>
      <c r="D111" s="90" t="n"/>
      <c r="F111" s="90" t="n"/>
      <c r="G111" s="90" t="n"/>
      <c r="K111" s="90" t="n"/>
      <c r="L111" s="7" t="n"/>
      <c r="N111" s="7" t="n"/>
      <c r="O111" s="7" t="n"/>
      <c r="P111" s="7" t="n"/>
      <c r="AA111" s="117" t="n"/>
    </row>
    <row r="112">
      <c r="A112" t="inlineStr">
        <is>
          <t>软件与互联网</t>
        </is>
      </c>
      <c r="B112" t="inlineStr">
        <is>
          <t>pe weighted</t>
        </is>
      </c>
      <c r="C112" s="168" t="n">
        <v>125.2484417915151</v>
      </c>
      <c r="D112" s="90" t="n">
        <v>36.827745060841</v>
      </c>
      <c r="E112" s="12" t="n">
        <v>0.7059624492403395</v>
      </c>
      <c r="F112" s="90" t="n">
        <v>-129.3520410268904</v>
      </c>
      <c r="G112" s="90" t="n">
        <v>-2.032763674954185</v>
      </c>
      <c r="H112" s="12" t="n">
        <v>-0.4751408133473863</v>
      </c>
      <c r="I112" s="12" t="n">
        <v>-0.290494560115362</v>
      </c>
      <c r="J112" s="12" t="n">
        <v>0.4613791734104264</v>
      </c>
      <c r="K112" s="90" t="n">
        <v>-3.512353004866179</v>
      </c>
      <c r="L112" s="7" t="n">
        <v>51.41295042725902</v>
      </c>
      <c r="M112" s="14" t="n">
        <v>0.5895122550678951</v>
      </c>
      <c r="N112" s="7" t="n">
        <v>-129.3520410268904</v>
      </c>
      <c r="O112" s="7" t="n">
        <v>-2.032763674954185</v>
      </c>
      <c r="P112" s="7" t="n">
        <v>-2.515942772237952</v>
      </c>
      <c r="Q112" s="99" t="n">
        <v>0.02979721405204258</v>
      </c>
      <c r="R112" s="99" t="n">
        <v>-0.01989943914947044</v>
      </c>
      <c r="S112" s="99" t="n">
        <v>0.006121748538233721</v>
      </c>
      <c r="U112" s="117">
        <f>C112*S112</f>
        <v/>
      </c>
      <c r="V112" s="117">
        <f>(1+S112)*Q112*(1-U112)+S112</f>
        <v/>
      </c>
      <c r="W112" s="117">
        <f>V112+I112/3</f>
        <v/>
      </c>
      <c r="X112" s="117">
        <f>V112+I112/5</f>
        <v/>
      </c>
      <c r="Y112" s="117" t="n"/>
      <c r="AA112" s="117" t="n"/>
    </row>
    <row r="113">
      <c r="A113" t="inlineStr">
        <is>
          <t>C0801</t>
        </is>
      </c>
      <c r="B113" t="inlineStr">
        <is>
          <t>pe equal</t>
        </is>
      </c>
      <c r="C113" s="167" t="n">
        <v>-157.0486348369652</v>
      </c>
      <c r="D113" s="90" t="n">
        <v>36.38618394037071</v>
      </c>
      <c r="E113" s="12" t="n">
        <v>1.231687362186521</v>
      </c>
      <c r="F113" s="90" t="n">
        <v>-7.037664837625001</v>
      </c>
      <c r="G113" s="90" t="n">
        <v>-0.9551879910008074</v>
      </c>
      <c r="H113" s="12" t="n">
        <v>-1.478053936435469</v>
      </c>
      <c r="I113" s="12" t="n">
        <v>-1.860651413996019</v>
      </c>
      <c r="J113" s="12" t="n">
        <v>-0.849549383906858</v>
      </c>
      <c r="K113" s="90" t="n">
        <v>-0.1934158539174718</v>
      </c>
      <c r="L113" s="7" t="n">
        <v>51.97364968616908</v>
      </c>
      <c r="M113" s="14" t="n">
        <v>1.33093983745942</v>
      </c>
      <c r="N113" s="7" t="n">
        <v>-7.037664837625001</v>
      </c>
      <c r="O113" s="7" t="n">
        <v>-0.9551879910008074</v>
      </c>
      <c r="P113" s="7" t="n">
        <v>-0.135408324797668</v>
      </c>
      <c r="S113" s="99" t="n">
        <v>0.004671938554019547</v>
      </c>
      <c r="U113" s="117">
        <f>C113*S113</f>
        <v/>
      </c>
      <c r="V113" s="117">
        <f>(1+S113)*R112*(1-U113)+S113</f>
        <v/>
      </c>
      <c r="W113" s="117">
        <f>V113+I113/3</f>
        <v/>
      </c>
      <c r="X113" s="117">
        <f>V113+I113/5</f>
        <v/>
      </c>
      <c r="Y113" s="117" t="n"/>
      <c r="AA113" s="117" t="n"/>
    </row>
    <row r="114">
      <c r="B114" t="inlineStr">
        <is>
          <t>pb weighted</t>
        </is>
      </c>
      <c r="C114" s="165" t="n">
        <v>3.73205462974657</v>
      </c>
      <c r="D114" s="90" t="n">
        <v>2.466809440218681</v>
      </c>
      <c r="E114" s="12" t="n">
        <v>0.3390210795531166</v>
      </c>
      <c r="F114" s="90" t="n">
        <v>21.7950142769809</v>
      </c>
      <c r="G114" s="90" t="n">
        <v>4.839950493559875</v>
      </c>
      <c r="H114" s="12" t="n">
        <v>-0.009713126134956784</v>
      </c>
      <c r="I114" s="12" t="n">
        <v>0.245540274014111</v>
      </c>
      <c r="J114" s="12" t="n">
        <v>0.8679243774133005</v>
      </c>
      <c r="K114" s="90" t="n">
        <v>8.835305200976036</v>
      </c>
      <c r="L114" s="7" t="n">
        <v>2.466809440218681</v>
      </c>
      <c r="M114" s="14" t="n">
        <v>0.3390210795531166</v>
      </c>
      <c r="N114" s="7" t="n">
        <v>6.519970533673265</v>
      </c>
      <c r="O114" s="7" t="n">
        <v>0.74701904996391</v>
      </c>
      <c r="P114" s="7" t="n">
        <v>2.64307831297065</v>
      </c>
      <c r="W114" s="117">
        <f>V112+I114/3</f>
        <v/>
      </c>
      <c r="X114" s="117">
        <f>V112+I114/5</f>
        <v/>
      </c>
      <c r="Y114" s="117" t="n"/>
      <c r="AA114" s="117" t="n"/>
    </row>
    <row r="115">
      <c r="B115" t="inlineStr">
        <is>
          <t>pb equal</t>
        </is>
      </c>
      <c r="C115" s="165" t="n">
        <v>3.125179752445593</v>
      </c>
      <c r="D115" s="90" t="n">
        <v>2.155052913015986</v>
      </c>
      <c r="E115" s="12" t="n">
        <v>0.3104227328589466</v>
      </c>
      <c r="F115" s="90" t="n">
        <v>18.43698480766269</v>
      </c>
      <c r="G115" s="90" t="n">
        <v>4.899495794837056</v>
      </c>
      <c r="H115" s="12" t="n">
        <v>-0.01873335702795942</v>
      </c>
      <c r="I115" s="12" t="n">
        <v>0.3061485995819178</v>
      </c>
      <c r="J115" s="12" t="n">
        <v>1.118627420902107</v>
      </c>
      <c r="K115" s="90" t="n">
        <v>8.555235324528629</v>
      </c>
      <c r="L115" s="7" t="n">
        <v>2.155052913015986</v>
      </c>
      <c r="M115" s="14" t="n">
        <v>0.3104227328589466</v>
      </c>
      <c r="N115" s="7" t="n">
        <v>5.730104026277714</v>
      </c>
      <c r="O115" s="7" t="n">
        <v>0.8335278224536209</v>
      </c>
      <c r="P115" s="7" t="n">
        <v>2.658915700709391</v>
      </c>
      <c r="W115" s="117">
        <f>V113+I115/3</f>
        <v/>
      </c>
      <c r="X115" s="117">
        <f>V113+I115/5</f>
        <v/>
      </c>
      <c r="Y115" s="117" t="n"/>
      <c r="AA115" s="117" t="n"/>
    </row>
    <row r="116">
      <c r="C116" s="101" t="n"/>
      <c r="D116" s="90" t="n"/>
      <c r="F116" s="90" t="n"/>
      <c r="G116" s="90" t="n"/>
      <c r="K116" s="90" t="n"/>
      <c r="L116" s="7" t="n"/>
      <c r="N116" s="7" t="n"/>
      <c r="O116" s="7" t="n"/>
      <c r="P116" s="7" t="n"/>
      <c r="AA116" s="117" t="n"/>
    </row>
    <row r="117">
      <c r="A117" t="inlineStr">
        <is>
          <t>技术硬件与设备</t>
        </is>
      </c>
      <c r="B117" t="inlineStr">
        <is>
          <t>pe weighted</t>
        </is>
      </c>
      <c r="C117" s="167" t="n">
        <v>38.98188720685734</v>
      </c>
      <c r="D117" s="90" t="n">
        <v>25.51652791712845</v>
      </c>
      <c r="E117" s="12" t="n">
        <v>0.3454260492385854</v>
      </c>
      <c r="F117" s="90" t="n">
        <v>112.3698858414488</v>
      </c>
      <c r="G117" s="90" t="n">
        <v>1.882617900081598</v>
      </c>
      <c r="H117" s="12" t="n">
        <v>0.03688148411191317</v>
      </c>
      <c r="I117" s="12" t="n">
        <v>0.3158831382782108</v>
      </c>
      <c r="J117" s="12" t="n">
        <v>0.6081384372101541</v>
      </c>
      <c r="K117" s="90" t="n">
        <v>4.40380784589499</v>
      </c>
      <c r="L117" s="7" t="n">
        <v>25.51652791712845</v>
      </c>
      <c r="M117" s="14" t="n">
        <v>0.3454260492385854</v>
      </c>
      <c r="N117" s="7" t="n">
        <v>89.11471179298773</v>
      </c>
      <c r="O117" s="7" t="n">
        <v>1.286054323642686</v>
      </c>
      <c r="P117" s="7" t="n">
        <v>3.492430948380238</v>
      </c>
      <c r="Q117" s="99" t="n">
        <v>0.07586279873946906</v>
      </c>
      <c r="R117" s="99" t="n">
        <v>0.02465394795726314</v>
      </c>
      <c r="S117" s="99" t="n">
        <v>0.01107047063433346</v>
      </c>
      <c r="U117" s="117">
        <f>C117*S117</f>
        <v/>
      </c>
      <c r="V117" s="117">
        <f>(1+S117)*Q117*(1-U117)+S117</f>
        <v/>
      </c>
      <c r="W117" s="117">
        <f>V117+I117/3</f>
        <v/>
      </c>
      <c r="X117" s="117">
        <f>V117+I117/5</f>
        <v/>
      </c>
      <c r="Y117" s="117" t="n"/>
      <c r="AA117" s="117" t="n"/>
    </row>
    <row r="118">
      <c r="A118" t="inlineStr">
        <is>
          <t>C0802</t>
        </is>
      </c>
      <c r="B118" t="inlineStr">
        <is>
          <t>pe equal</t>
        </is>
      </c>
      <c r="C118" s="165" t="n">
        <v>111.663396867691</v>
      </c>
      <c r="D118" s="90" t="n">
        <v>50.79071399524309</v>
      </c>
      <c r="E118" s="12" t="n">
        <v>0.5451444661367006</v>
      </c>
      <c r="F118" s="90" t="n">
        <v>-19.66309031301565</v>
      </c>
      <c r="G118" s="90" t="n">
        <v>-1.176092532240572</v>
      </c>
      <c r="H118" s="12" t="n">
        <v>-0.2686681953200497</v>
      </c>
      <c r="I118" s="12" t="n">
        <v>0.2584797083965757</v>
      </c>
      <c r="J118" s="12" t="n">
        <v>91.27626190542171</v>
      </c>
      <c r="K118" s="90" t="n">
        <v>-0.3871394742522666</v>
      </c>
      <c r="L118" s="7" t="n">
        <v>54.1377713261184</v>
      </c>
      <c r="M118" s="14" t="n">
        <v>0.5151699406900029</v>
      </c>
      <c r="N118" s="7" t="n">
        <v>-19.66309031301565</v>
      </c>
      <c r="O118" s="7" t="n">
        <v>-1.176092532240572</v>
      </c>
      <c r="P118" s="7" t="n">
        <v>-0.3632046504937917</v>
      </c>
      <c r="S118" s="99" t="n">
        <v>0.006655724626145639</v>
      </c>
      <c r="U118" s="117">
        <f>C118*S118</f>
        <v/>
      </c>
      <c r="V118" s="117">
        <f>(1+S118)*R117*(1-U118)+S118</f>
        <v/>
      </c>
      <c r="W118" s="117">
        <f>V118+I118/3</f>
        <v/>
      </c>
      <c r="X118" s="117">
        <f>V118+I118/5</f>
        <v/>
      </c>
      <c r="Y118" s="117" t="n"/>
      <c r="AA118" s="117" t="n"/>
    </row>
    <row r="119">
      <c r="B119" t="inlineStr">
        <is>
          <t>pb weighted</t>
        </is>
      </c>
      <c r="C119" s="167" t="n">
        <v>2.957275063658502</v>
      </c>
      <c r="D119" s="90" t="n">
        <v>2.367916594132442</v>
      </c>
      <c r="E119" s="12" t="n">
        <v>0.1992910557318781</v>
      </c>
      <c r="F119" s="90" t="n">
        <v>8.150073198084208</v>
      </c>
      <c r="G119" s="90" t="n">
        <v>1.755940189074463</v>
      </c>
      <c r="H119" s="12" t="n">
        <v>0.09189753159827641</v>
      </c>
      <c r="I119" s="12" t="n">
        <v>0.3070868498088644</v>
      </c>
      <c r="J119" s="12" t="n">
        <v>0.4523876664297104</v>
      </c>
      <c r="K119" s="90" t="n">
        <v>3.441875114300736</v>
      </c>
      <c r="L119" s="7" t="n">
        <v>2.367916594132442</v>
      </c>
      <c r="M119" s="14" t="n">
        <v>0.1992910557318781</v>
      </c>
      <c r="N119" s="7" t="n">
        <v>4.864747647437687</v>
      </c>
      <c r="O119" s="7" t="n">
        <v>0.6450102011881891</v>
      </c>
      <c r="P119" s="7" t="n">
        <v>2.054442145256402</v>
      </c>
      <c r="W119" s="117">
        <f>V117+I119/3</f>
        <v/>
      </c>
      <c r="X119" s="117">
        <f>V117+I119/5</f>
        <v/>
      </c>
      <c r="Y119" s="117" t="n"/>
      <c r="AA119" s="117" t="n"/>
    </row>
    <row r="120">
      <c r="B120" t="inlineStr">
        <is>
          <t>pb equal</t>
        </is>
      </c>
      <c r="C120" s="167" t="n">
        <v>2.752943575107275</v>
      </c>
      <c r="D120" s="90" t="n">
        <v>2.054654604830997</v>
      </c>
      <c r="E120" s="12" t="n">
        <v>0.2536517553757227</v>
      </c>
      <c r="F120" s="90" t="n">
        <v>8.782254392941532</v>
      </c>
      <c r="G120" s="90" t="n">
        <v>2.190132363173956</v>
      </c>
      <c r="H120" s="12" t="n">
        <v>0.04749999448784337</v>
      </c>
      <c r="I120" s="12" t="n">
        <v>0.2299014742890562</v>
      </c>
      <c r="J120" s="12" t="n">
        <v>0.6050153956210325</v>
      </c>
      <c r="K120" s="90" t="n">
        <v>4.27432151968136</v>
      </c>
      <c r="L120" s="7" t="n">
        <v>2.054654604830997</v>
      </c>
      <c r="M120" s="14" t="n">
        <v>0.2536517553757227</v>
      </c>
      <c r="N120" s="7" t="n">
        <v>3.863985811055128</v>
      </c>
      <c r="O120" s="7" t="n">
        <v>0.4035833665441395</v>
      </c>
      <c r="P120" s="7" t="n">
        <v>1.88060114920043</v>
      </c>
      <c r="W120" s="117">
        <f>V118+I120/3</f>
        <v/>
      </c>
      <c r="X120" s="117">
        <f>V118+I120/5</f>
        <v/>
      </c>
      <c r="Y120" s="117" t="n"/>
      <c r="AA120" s="117" t="n"/>
    </row>
    <row r="121">
      <c r="C121" s="101" t="n"/>
      <c r="D121" s="90" t="n"/>
      <c r="F121" s="90" t="n"/>
      <c r="G121" s="90" t="n"/>
      <c r="K121" s="90" t="n"/>
      <c r="L121" s="7" t="n"/>
      <c r="N121" s="7" t="n"/>
      <c r="O121" s="7" t="n"/>
      <c r="P121" s="7" t="n"/>
      <c r="AA121" s="117" t="n"/>
    </row>
    <row r="122">
      <c r="A122" t="inlineStr">
        <is>
          <t>半导体</t>
        </is>
      </c>
      <c r="B122" t="inlineStr">
        <is>
          <t>pe weighted</t>
        </is>
      </c>
      <c r="C122" s="167" t="n">
        <v>44.7005979807838</v>
      </c>
      <c r="D122" s="90" t="n">
        <v>29.23804420906061</v>
      </c>
      <c r="E122" s="12" t="n">
        <v>0.3459138013851702</v>
      </c>
      <c r="F122" s="90" t="n">
        <v>168.8933719097406</v>
      </c>
      <c r="G122" s="90" t="n">
        <v>2.778324665418249</v>
      </c>
      <c r="H122" s="12" t="n">
        <v>0.1317402930825815</v>
      </c>
      <c r="I122" s="12" t="n">
        <v>0.9267909197167283</v>
      </c>
      <c r="J122" s="12" t="n">
        <v>1.37397110270392</v>
      </c>
      <c r="K122" s="90" t="n">
        <v>5.776493485751077</v>
      </c>
      <c r="L122" s="7" t="n">
        <v>29.23804420906061</v>
      </c>
      <c r="M122" s="14" t="n">
        <v>0.3459138013851702</v>
      </c>
      <c r="N122" s="7" t="n">
        <v>146.0423530297105</v>
      </c>
      <c r="O122" s="7" t="n">
        <v>2.267123028029562</v>
      </c>
      <c r="P122" s="7" t="n">
        <v>4.994942616047255</v>
      </c>
      <c r="Q122" s="99" t="n">
        <v>0.1012140009522406</v>
      </c>
      <c r="R122" s="99" t="n">
        <v>0.06039275279242969</v>
      </c>
      <c r="S122" s="99" t="n">
        <v>0.003017257734627112</v>
      </c>
      <c r="U122" s="117">
        <f>C122*S122</f>
        <v/>
      </c>
      <c r="V122" s="117">
        <f>(1+S122)*Q122*(1-U122)+S122</f>
        <v/>
      </c>
      <c r="W122" s="117">
        <f>V122+I122/3</f>
        <v/>
      </c>
      <c r="X122" s="117">
        <f>V122+I122/5</f>
        <v/>
      </c>
      <c r="Y122" s="117" t="n"/>
      <c r="AA122" s="117" t="n"/>
    </row>
    <row r="123">
      <c r="A123" t="inlineStr">
        <is>
          <t>C0803</t>
        </is>
      </c>
      <c r="B123" t="inlineStr">
        <is>
          <t>pe equal</t>
        </is>
      </c>
      <c r="C123" s="167" t="n">
        <v>67.85630786397918</v>
      </c>
      <c r="D123" s="90" t="n">
        <v>36.42086927434983</v>
      </c>
      <c r="E123" s="12" t="n">
        <v>0.4632647955536132</v>
      </c>
      <c r="F123" s="90" t="n">
        <v>-267.9239644936737</v>
      </c>
      <c r="G123" s="90" t="n">
        <v>-4.948401746684164</v>
      </c>
      <c r="H123" s="12" t="n">
        <v>0.03142712888261823</v>
      </c>
      <c r="I123" s="12" t="n">
        <v>0.4449376613569118</v>
      </c>
      <c r="J123" s="12" t="n">
        <v>0.8539596753267602</v>
      </c>
      <c r="K123" s="90" t="n">
        <v>-7.356330857329779</v>
      </c>
      <c r="L123" s="7" t="n">
        <v>36.42086927434983</v>
      </c>
      <c r="M123" s="14" t="n">
        <v>0.4632647955536132</v>
      </c>
      <c r="N123" s="7" t="n">
        <v>-267.9239644936737</v>
      </c>
      <c r="O123" s="7" t="n">
        <v>-4.948401746684164</v>
      </c>
      <c r="P123" s="7" t="n">
        <v>-7.356330857329779</v>
      </c>
      <c r="S123" s="99" t="n">
        <v>0.003999930147129877</v>
      </c>
      <c r="U123" s="117">
        <f>C123*S123</f>
        <v/>
      </c>
      <c r="V123" s="117">
        <f>(1+S123)*R122*(1-U123)+S123</f>
        <v/>
      </c>
      <c r="W123" s="117">
        <f>V123+I123/3</f>
        <v/>
      </c>
      <c r="X123" s="117">
        <f>V123+I123/5</f>
        <v/>
      </c>
      <c r="Y123" s="117" t="n"/>
      <c r="AA123" s="117" t="n"/>
    </row>
    <row r="124">
      <c r="B124" t="inlineStr">
        <is>
          <t>pb weighted</t>
        </is>
      </c>
      <c r="C124" s="168" t="n">
        <v>4.524326366592775</v>
      </c>
      <c r="D124" s="90" t="n">
        <v>2.115800748003151</v>
      </c>
      <c r="E124" s="12" t="n">
        <v>0.5323501055038743</v>
      </c>
      <c r="F124" s="90" t="n">
        <v>9.79871011384129</v>
      </c>
      <c r="G124" s="90" t="n">
        <v>1.165783217186562</v>
      </c>
      <c r="H124" s="12" t="n">
        <v>-0.2476919446321135</v>
      </c>
      <c r="I124" s="12" t="n">
        <v>-0.02178354948538741</v>
      </c>
      <c r="J124" s="12" t="n">
        <v>0.4240680845570546</v>
      </c>
      <c r="K124" s="90" t="n">
        <v>4.631206470216588</v>
      </c>
      <c r="L124" s="7" t="n">
        <v>2.645581330576589</v>
      </c>
      <c r="M124" s="14" t="n">
        <v>0.4152540917226204</v>
      </c>
      <c r="N124" s="7" t="n">
        <v>9.79871011384129</v>
      </c>
      <c r="O124" s="7" t="n">
        <v>1.165783217186562</v>
      </c>
      <c r="P124" s="7" t="n">
        <v>3.703802260997101</v>
      </c>
      <c r="W124" s="117">
        <f>V122+I124/3</f>
        <v/>
      </c>
      <c r="X124" s="117">
        <f>V122+I124/5</f>
        <v/>
      </c>
      <c r="Y124" s="117" t="n"/>
      <c r="AA124" s="117" t="n"/>
    </row>
    <row r="125">
      <c r="B125" t="inlineStr">
        <is>
          <t>pb equal</t>
        </is>
      </c>
      <c r="C125" s="168" t="n">
        <v>4.098029226236298</v>
      </c>
      <c r="D125" s="90" t="n">
        <v>1.884283146280178</v>
      </c>
      <c r="E125" s="12" t="n">
        <v>0.540197728650477</v>
      </c>
      <c r="F125" s="90" t="n">
        <v>7.833933505421897</v>
      </c>
      <c r="G125" s="90" t="n">
        <v>0.9116343668970659</v>
      </c>
      <c r="H125" s="12" t="n">
        <v>-0.2555900000015303</v>
      </c>
      <c r="I125" s="12" t="n">
        <v>-0.05574288332246291</v>
      </c>
      <c r="J125" s="12" t="n">
        <v>0.1689459005792924</v>
      </c>
      <c r="K125" s="90" t="n">
        <v>4.157513970703984</v>
      </c>
      <c r="L125" s="7" t="n">
        <v>2.378571931465407</v>
      </c>
      <c r="M125" s="14" t="n">
        <v>0.4195815109766972</v>
      </c>
      <c r="N125" s="7" t="n">
        <v>6.543163364677615</v>
      </c>
      <c r="O125" s="7" t="n">
        <v>0.5966609810362362</v>
      </c>
      <c r="P125" s="7" t="n">
        <v>2.750878911047462</v>
      </c>
      <c r="W125" s="117">
        <f>V123+I125/3</f>
        <v/>
      </c>
      <c r="X125" s="117">
        <f>V123+I125/5</f>
        <v/>
      </c>
      <c r="Y125" s="117" t="n"/>
      <c r="AA125" s="117" t="n"/>
    </row>
    <row r="126">
      <c r="C126" s="101" t="n"/>
      <c r="D126" s="90" t="n"/>
      <c r="F126" s="90" t="n"/>
      <c r="G126" s="90" t="n"/>
      <c r="K126" s="90" t="n"/>
      <c r="L126" s="7" t="n"/>
      <c r="N126" s="7" t="n"/>
      <c r="O126" s="7" t="n"/>
      <c r="P126" s="7" t="n"/>
      <c r="AA126" s="117" t="n"/>
    </row>
    <row r="127">
      <c r="A127" t="inlineStr">
        <is>
          <t>电信服务</t>
        </is>
      </c>
      <c r="B127" t="inlineStr">
        <is>
          <t>pe weighted</t>
        </is>
      </c>
      <c r="C127" s="167" t="n">
        <v>14.65737865125471</v>
      </c>
      <c r="D127" s="90" t="n">
        <v>11.50906623205432</v>
      </c>
      <c r="E127" s="12" t="n">
        <v>0.2147936881558887</v>
      </c>
      <c r="F127" s="90" t="n">
        <v>-301.3881664024834</v>
      </c>
      <c r="G127" s="90" t="n">
        <v>-21.56221467517889</v>
      </c>
      <c r="H127" s="12" t="n">
        <v>0.7371000841869251</v>
      </c>
      <c r="I127" s="12" t="n">
        <v>2.082054556510528</v>
      </c>
      <c r="J127" s="12" t="n">
        <v>4.82287004622943</v>
      </c>
      <c r="K127" s="90" t="n">
        <v>-26.18702163369919</v>
      </c>
      <c r="L127" s="7" t="n">
        <v>11.50906623205432</v>
      </c>
      <c r="M127" s="14" t="n">
        <v>0.2147936881558887</v>
      </c>
      <c r="N127" s="7" t="n">
        <v>-301.3881664024834</v>
      </c>
      <c r="O127" s="7" t="n">
        <v>-21.56221467517889</v>
      </c>
      <c r="P127" s="7" t="n">
        <v>-26.18702163369919</v>
      </c>
      <c r="Q127" s="99" t="n">
        <v>0.08637944168516283</v>
      </c>
      <c r="R127" s="99" t="n">
        <v>-0.06643429238179821</v>
      </c>
      <c r="S127" s="99" t="n">
        <v>0.04962109008299932</v>
      </c>
      <c r="U127" s="117">
        <f>C127*S127</f>
        <v/>
      </c>
      <c r="V127" s="117">
        <f>(1+S127)*Q127*(1-U127)+S127</f>
        <v/>
      </c>
      <c r="W127" s="117">
        <f>V127+I127/3</f>
        <v/>
      </c>
      <c r="X127" s="117">
        <f>V127+I127/5</f>
        <v/>
      </c>
      <c r="Y127" s="117" t="n"/>
      <c r="AA127" s="117" t="n"/>
    </row>
    <row r="128">
      <c r="A128" t="inlineStr">
        <is>
          <t>C0901</t>
        </is>
      </c>
      <c r="B128" t="inlineStr">
        <is>
          <t>pe equal</t>
        </is>
      </c>
      <c r="C128" s="166" t="n">
        <v>-32.19972157048682</v>
      </c>
      <c r="D128" s="90" t="n">
        <v>34.69447870565075</v>
      </c>
      <c r="E128" s="12" t="n">
        <v>2.077477599602928</v>
      </c>
      <c r="F128" s="90" t="n">
        <v>-9.104203894544218</v>
      </c>
      <c r="G128" s="90" t="n">
        <v>-0.7172583037833213</v>
      </c>
      <c r="H128" s="12" t="n">
        <v>-2.88680428702208</v>
      </c>
      <c r="I128" s="12" t="n">
        <v>-4.163498113261472</v>
      </c>
      <c r="J128" s="12" t="n">
        <v>0.1827423651176354</v>
      </c>
      <c r="K128" s="90" t="n">
        <v>-0.2624107418296906</v>
      </c>
      <c r="L128" s="7" t="n">
        <v>53.3477300194158</v>
      </c>
      <c r="M128" s="14" t="n">
        <v>2.656776127788401</v>
      </c>
      <c r="N128" s="7" t="n">
        <v>-9.104203894544218</v>
      </c>
      <c r="O128" s="7" t="n">
        <v>-0.7172583037833213</v>
      </c>
      <c r="P128" s="7" t="n">
        <v>-0.1706577560325577</v>
      </c>
      <c r="S128" s="99" t="n">
        <v>0.01305832130597893</v>
      </c>
      <c r="U128" s="117">
        <f>C128*S128</f>
        <v/>
      </c>
      <c r="V128" s="117">
        <f>(1+S128)*R127*(1-U128)+S128</f>
        <v/>
      </c>
      <c r="W128" s="117">
        <f>V128+I128/3</f>
        <v/>
      </c>
      <c r="X128" s="117">
        <f>V128+I128/5</f>
        <v/>
      </c>
      <c r="Y128" s="117" t="n"/>
      <c r="AA128" s="117" t="n"/>
    </row>
    <row r="129">
      <c r="B129" t="inlineStr">
        <is>
          <t>pb weighted</t>
        </is>
      </c>
      <c r="C129" s="165" t="n">
        <v>1.266096184463407</v>
      </c>
      <c r="D129" s="90" t="n">
        <v>0.8286096809976485</v>
      </c>
      <c r="E129" s="12" t="n">
        <v>0.345539706093635</v>
      </c>
      <c r="F129" s="90" t="n">
        <v>4.633647102573859</v>
      </c>
      <c r="G129" s="90" t="n">
        <v>2.659790748471197</v>
      </c>
      <c r="H129" s="12" t="n">
        <v>-0.09671442905528582</v>
      </c>
      <c r="I129" s="12" t="n">
        <v>0.1221495896961062</v>
      </c>
      <c r="J129" s="12" t="n">
        <v>0.8978035677277316</v>
      </c>
      <c r="K129" s="90" t="n">
        <v>5.592074542256052</v>
      </c>
      <c r="L129" s="7" t="n">
        <v>0.8286096809976485</v>
      </c>
      <c r="M129" s="14" t="n">
        <v>0.345539706093635</v>
      </c>
      <c r="N129" s="7" t="n">
        <v>1.840889846607318</v>
      </c>
      <c r="O129" s="7" t="n">
        <v>0.4539889379632862</v>
      </c>
      <c r="P129" s="7" t="n">
        <v>2.221661041168239</v>
      </c>
      <c r="W129" s="117">
        <f>V127+I129/3</f>
        <v/>
      </c>
      <c r="X129" s="117">
        <f>V127+I129/5</f>
        <v/>
      </c>
      <c r="Y129" s="117" t="n"/>
      <c r="AA129" s="117" t="n"/>
    </row>
    <row r="130">
      <c r="B130" t="inlineStr">
        <is>
          <t>pb equal</t>
        </is>
      </c>
      <c r="C130" s="167" t="n">
        <v>2.139165717426216</v>
      </c>
      <c r="D130" s="90" t="n">
        <v>1.612125074930602</v>
      </c>
      <c r="E130" s="12" t="n">
        <v>0.2463767244408416</v>
      </c>
      <c r="F130" s="90" t="n">
        <v>9.348964004740102</v>
      </c>
      <c r="G130" s="90" t="n">
        <v>3.370378567953359</v>
      </c>
      <c r="H130" s="12" t="n">
        <v>0.2976558091466679</v>
      </c>
      <c r="I130" s="12" t="n">
        <v>0.5807045834975439</v>
      </c>
      <c r="J130" s="12" t="n">
        <v>0.9643595595694352</v>
      </c>
      <c r="K130" s="90" t="n">
        <v>5.799155506059326</v>
      </c>
      <c r="L130" s="7" t="n">
        <v>1.612125074930602</v>
      </c>
      <c r="M130" s="14" t="n">
        <v>0.2463767244408416</v>
      </c>
      <c r="N130" s="7" t="n">
        <v>4.123401939813648</v>
      </c>
      <c r="O130" s="7" t="n">
        <v>0.927574804618134</v>
      </c>
      <c r="P130" s="7" t="n">
        <v>2.557743194951019</v>
      </c>
      <c r="W130" s="117">
        <f>V128+I130/3</f>
        <v/>
      </c>
      <c r="X130" s="117">
        <f>V128+I130/5</f>
        <v/>
      </c>
      <c r="Y130" s="117" t="n"/>
      <c r="AA130" s="117" t="n"/>
    </row>
    <row r="131">
      <c r="C131" s="101" t="n"/>
      <c r="D131" s="90" t="n"/>
      <c r="F131" s="90" t="n"/>
      <c r="G131" s="90" t="n"/>
      <c r="K131" s="90" t="n"/>
      <c r="L131" s="7" t="n"/>
      <c r="N131" s="7" t="n"/>
      <c r="O131" s="7" t="n"/>
      <c r="P131" s="7" t="n"/>
      <c r="AA131" s="117" t="n"/>
    </row>
    <row r="132">
      <c r="A132" t="inlineStr">
        <is>
          <t>通信设备及技术服务</t>
        </is>
      </c>
      <c r="B132" t="inlineStr">
        <is>
          <t>pe weighted</t>
        </is>
      </c>
      <c r="C132" s="167" t="n">
        <v>49.51134187313708</v>
      </c>
      <c r="D132" s="90" t="n">
        <v>41.22610993374808</v>
      </c>
      <c r="E132" s="12" t="n">
        <v>0.1673400805944274</v>
      </c>
      <c r="F132" s="90" t="n">
        <v>-127.2809255223652</v>
      </c>
      <c r="G132" s="90" t="n">
        <v>-3.570742797650226</v>
      </c>
      <c r="H132" s="12" t="n">
        <v>0.1965960356129033</v>
      </c>
      <c r="I132" s="12" t="n">
        <v>0.6090011295061315</v>
      </c>
      <c r="J132" s="12" t="n">
        <v>1.701593065935887</v>
      </c>
      <c r="K132" s="90" t="n">
        <v>-3.087386263872834</v>
      </c>
      <c r="L132" s="7" t="n">
        <v>43.29578965545313</v>
      </c>
      <c r="M132" s="14" t="n">
        <v>0.125537947115432</v>
      </c>
      <c r="N132" s="7" t="n">
        <v>-127.2809255223652</v>
      </c>
      <c r="O132" s="7" t="n">
        <v>-3.570742797650226</v>
      </c>
      <c r="P132" s="7" t="n">
        <v>-2.939799147567553</v>
      </c>
      <c r="Q132" s="99" t="n">
        <v>0.05748661105098073</v>
      </c>
      <c r="R132" s="99" t="n">
        <v>-0.1917155725051184</v>
      </c>
      <c r="S132" s="99" t="n">
        <v>0.005931773426425252</v>
      </c>
      <c r="U132" s="117">
        <f>C132*S132</f>
        <v/>
      </c>
      <c r="V132" s="117">
        <f>(1+S132)*Q132*(1-U132)+S132</f>
        <v/>
      </c>
      <c r="W132" s="117">
        <f>V132+I132/3</f>
        <v/>
      </c>
      <c r="X132" s="117">
        <f>V132+I132/5</f>
        <v/>
      </c>
      <c r="Y132" s="117" t="n"/>
      <c r="AA132" s="117" t="n"/>
    </row>
    <row r="133">
      <c r="A133" t="inlineStr">
        <is>
          <t>C0902</t>
        </is>
      </c>
      <c r="B133" t="inlineStr">
        <is>
          <t>pe equal</t>
        </is>
      </c>
      <c r="C133" s="166" t="n">
        <v>-17.27070868852512</v>
      </c>
      <c r="D133" s="90" t="n">
        <v>42.94878176562486</v>
      </c>
      <c r="E133" s="12" t="n">
        <v>3.486799038777175</v>
      </c>
      <c r="F133" s="90" t="n">
        <v>-12.45087727934063</v>
      </c>
      <c r="G133" s="90" t="n">
        <v>-0.2790754853266006</v>
      </c>
      <c r="H133" s="12" t="n">
        <v>-6.283396304344753</v>
      </c>
      <c r="I133" s="12" t="n">
        <v>-11.35866170721606</v>
      </c>
      <c r="J133" s="12" t="n">
        <v>0.3495408260688952</v>
      </c>
      <c r="K133" s="90" t="n">
        <v>-0.2899005924611814</v>
      </c>
      <c r="L133" s="7" t="n">
        <v>93.91968897352049</v>
      </c>
      <c r="M133" s="14" t="n">
        <v>6.438091202124321</v>
      </c>
      <c r="N133" s="7" t="n">
        <v>-12.45087727934063</v>
      </c>
      <c r="O133" s="7" t="n">
        <v>-0.2790754853266006</v>
      </c>
      <c r="P133" s="7" t="n">
        <v>-0.1325694049396927</v>
      </c>
      <c r="S133" s="99" t="n">
        <v>0.003282726704032657</v>
      </c>
      <c r="U133" s="117">
        <f>C133*S133</f>
        <v/>
      </c>
      <c r="V133" s="117">
        <f>(1+S133)*R132*(1-U133)+S133</f>
        <v/>
      </c>
      <c r="W133" s="117">
        <f>V133+I133/3</f>
        <v/>
      </c>
      <c r="X133" s="117">
        <f>V133+I133/5</f>
        <v/>
      </c>
      <c r="Y133" s="117" t="n"/>
      <c r="AA133" s="117" t="n"/>
    </row>
    <row r="134">
      <c r="B134" t="inlineStr">
        <is>
          <t>pb weighted</t>
        </is>
      </c>
      <c r="C134" s="167" t="n">
        <v>2.846239252873167</v>
      </c>
      <c r="D134" s="90" t="n">
        <v>2.285437423958035</v>
      </c>
      <c r="E134" s="12" t="n">
        <v>0.1970325679223998</v>
      </c>
      <c r="F134" s="90" t="n">
        <v>8.812667690221229</v>
      </c>
      <c r="G134" s="90" t="n">
        <v>2.096249790429664</v>
      </c>
      <c r="H134" s="12" t="n">
        <v>0.05114147599165131</v>
      </c>
      <c r="I134" s="12" t="n">
        <v>0.2846321417995767</v>
      </c>
      <c r="J134" s="12" t="n">
        <v>0.5491079730250705</v>
      </c>
      <c r="K134" s="90" t="n">
        <v>3.856009181366694</v>
      </c>
      <c r="L134" s="7" t="n">
        <v>2.327824284676369</v>
      </c>
      <c r="M134" s="14" t="n">
        <v>0.1821403340121455</v>
      </c>
      <c r="N134" s="7" t="n">
        <v>5.081069646148786</v>
      </c>
      <c r="O134" s="7" t="n">
        <v>0.7851871170069926</v>
      </c>
      <c r="P134" s="7" t="n">
        <v>2.182754806536093</v>
      </c>
      <c r="W134" s="117">
        <f>V132+I134/3</f>
        <v/>
      </c>
      <c r="X134" s="117">
        <f>V132+I134/5</f>
        <v/>
      </c>
      <c r="Y134" s="117" t="n"/>
      <c r="AA134" s="117" t="n"/>
    </row>
    <row r="135">
      <c r="B135" t="inlineStr">
        <is>
          <t>pb equal</t>
        </is>
      </c>
      <c r="C135" s="165" t="n">
        <v>3.311063803789715</v>
      </c>
      <c r="D135" s="90" t="n">
        <v>2.106920420625699</v>
      </c>
      <c r="E135" s="12" t="n">
        <v>0.363672660667487</v>
      </c>
      <c r="F135" s="90" t="n">
        <v>9.422472877838233</v>
      </c>
      <c r="G135" s="90" t="n">
        <v>1.845753943809127</v>
      </c>
      <c r="H135" s="12" t="n">
        <v>-0.1387918484415459</v>
      </c>
      <c r="I135" s="12" t="n">
        <v>0.01587719301415991</v>
      </c>
      <c r="J135" s="12" t="n">
        <v>0.3952783395104194</v>
      </c>
      <c r="K135" s="90" t="n">
        <v>4.472154138142535</v>
      </c>
      <c r="L135" s="7" t="n">
        <v>2.106920420625699</v>
      </c>
      <c r="M135" s="14" t="n">
        <v>0.363672660667487</v>
      </c>
      <c r="N135" s="7" t="n">
        <v>3.842268398583018</v>
      </c>
      <c r="O135" s="7" t="n">
        <v>0.1604332100714299</v>
      </c>
      <c r="P135" s="7" t="n">
        <v>1.823641918778293</v>
      </c>
      <c r="W135" s="117">
        <f>V133+I135/3</f>
        <v/>
      </c>
      <c r="X135" s="117">
        <f>V133+I135/5</f>
        <v/>
      </c>
      <c r="Y135" s="117" t="n"/>
      <c r="AA135" s="117" t="n"/>
    </row>
    <row r="136">
      <c r="C136" s="101" t="n"/>
      <c r="D136" s="90" t="n"/>
      <c r="F136" s="90" t="n"/>
      <c r="G136" s="90" t="n"/>
      <c r="K136" s="90" t="n"/>
      <c r="L136" s="7" t="n"/>
      <c r="N136" s="7" t="n"/>
      <c r="O136" s="7" t="n"/>
      <c r="P136" s="7" t="n"/>
      <c r="AA136" s="117" t="n"/>
    </row>
    <row r="137">
      <c r="A137" t="inlineStr">
        <is>
          <t>公用事业</t>
        </is>
      </c>
      <c r="B137" t="inlineStr">
        <is>
          <t>pe weighted</t>
        </is>
      </c>
      <c r="C137" s="166" t="n">
        <v>39.67067981334446</v>
      </c>
      <c r="D137" s="90" t="n">
        <v>10.44099953460197</v>
      </c>
      <c r="E137" s="12" t="n">
        <v>0.7368081519215655</v>
      </c>
      <c r="F137" s="90" t="n">
        <v>57.04455173713738</v>
      </c>
      <c r="G137" s="90" t="n">
        <v>0.4379524627644189</v>
      </c>
      <c r="H137" s="12" t="n">
        <v>-0.5882277619245089</v>
      </c>
      <c r="I137" s="12" t="n">
        <v>-0.4921139693953115</v>
      </c>
      <c r="J137" s="12" t="n">
        <v>-0.3834913063008568</v>
      </c>
      <c r="K137" s="90" t="n">
        <v>5.463514441130757</v>
      </c>
      <c r="L137" s="7" t="n">
        <v>15.77902959654491</v>
      </c>
      <c r="M137" s="14" t="n">
        <v>0.6022495790143444</v>
      </c>
      <c r="N137" s="7" t="n">
        <v>57.04455173713738</v>
      </c>
      <c r="O137" s="7" t="n">
        <v>0.4379524627644189</v>
      </c>
      <c r="P137" s="7" t="n">
        <v>3.6152129247307</v>
      </c>
      <c r="Q137" s="99" t="n">
        <v>0.04425983479373309</v>
      </c>
      <c r="R137" s="99" t="n">
        <v>0.01143906071893131</v>
      </c>
      <c r="S137" s="99" t="n">
        <v>0.01814735271264032</v>
      </c>
      <c r="U137" s="117">
        <f>C137*S137</f>
        <v/>
      </c>
      <c r="V137" s="117">
        <f>(1+S137)*Q137*(1-U137)+S137</f>
        <v/>
      </c>
      <c r="W137" s="117">
        <f>V137+I137/3</f>
        <v/>
      </c>
      <c r="X137" s="117">
        <f>V137+I137/5</f>
        <v/>
      </c>
      <c r="Y137" s="117" t="n"/>
      <c r="AA137" s="117" t="n"/>
    </row>
    <row r="138">
      <c r="A138" t="inlineStr">
        <is>
          <t>C1001</t>
        </is>
      </c>
      <c r="B138" t="inlineStr">
        <is>
          <t>pe equal</t>
        </is>
      </c>
      <c r="C138" s="166" t="n">
        <v>147.2396066206017</v>
      </c>
      <c r="D138" s="90" t="n">
        <v>15.70196708506923</v>
      </c>
      <c r="E138" s="12" t="n">
        <v>0.8933577218422681</v>
      </c>
      <c r="F138" s="90" t="n">
        <v>-42.59271946509729</v>
      </c>
      <c r="G138" s="90" t="n">
        <v>-1.289274879515589</v>
      </c>
      <c r="H138" s="12" t="n">
        <v>-0.8386717003548869</v>
      </c>
      <c r="I138" s="12" t="n">
        <v>-0.7654761098613834</v>
      </c>
      <c r="J138" s="12" t="n">
        <v>-0.5937044586068118</v>
      </c>
      <c r="K138" s="90" t="n">
        <v>-2.712572204128366</v>
      </c>
      <c r="L138" s="7" t="n">
        <v>22.12519175517554</v>
      </c>
      <c r="M138" s="14" t="n">
        <v>0.849733422528176</v>
      </c>
      <c r="N138" s="7" t="n">
        <v>-42.59271946509729</v>
      </c>
      <c r="O138" s="7" t="n">
        <v>-1.289274879515589</v>
      </c>
      <c r="P138" s="7" t="n">
        <v>-1.925077980629658</v>
      </c>
      <c r="S138" s="99" t="n">
        <v>0.01383436914446233</v>
      </c>
      <c r="U138" s="117">
        <f>C138*S138</f>
        <v/>
      </c>
      <c r="V138" s="117">
        <f>(1+S138)*R137*(1-U138)+S138</f>
        <v/>
      </c>
      <c r="W138" s="117">
        <f>V138+I138/3</f>
        <v/>
      </c>
      <c r="X138" s="117">
        <f>V138+I138/5</f>
        <v/>
      </c>
      <c r="Y138" s="117" t="n"/>
      <c r="AA138" s="117" t="n"/>
    </row>
    <row r="139">
      <c r="B139" t="inlineStr">
        <is>
          <t>pb weighted</t>
        </is>
      </c>
      <c r="C139" s="168" t="n">
        <v>1.755817734693708</v>
      </c>
      <c r="D139" s="90" t="n">
        <v>1.339841523160388</v>
      </c>
      <c r="E139" s="12" t="n">
        <v>0.2369130937191981</v>
      </c>
      <c r="F139" s="90" t="n">
        <v>3.824393078420023</v>
      </c>
      <c r="G139" s="90" t="n">
        <v>1.17812646657608</v>
      </c>
      <c r="H139" s="12" t="n">
        <v>-0.1363123998575023</v>
      </c>
      <c r="I139" s="12" t="n">
        <v>-0.02040251619719413</v>
      </c>
      <c r="J139" s="12" t="n">
        <v>0.1160113362550326</v>
      </c>
      <c r="K139" s="90" t="n">
        <v>2.85436226024637</v>
      </c>
      <c r="L139" s="7" t="n">
        <v>1.339841523160388</v>
      </c>
      <c r="M139" s="14" t="n">
        <v>0.2369130937191981</v>
      </c>
      <c r="N139" s="7" t="n">
        <v>2.188396794012204</v>
      </c>
      <c r="O139" s="7" t="n">
        <v>0.2463689999087273</v>
      </c>
      <c r="P139" s="7" t="n">
        <v>1.633325103143739</v>
      </c>
      <c r="W139" s="117">
        <f>V137+I139/3</f>
        <v/>
      </c>
      <c r="X139" s="117">
        <f>V137+I139/5</f>
        <v/>
      </c>
      <c r="Y139" s="117" t="n"/>
      <c r="AA139" s="117" t="n"/>
    </row>
    <row r="140">
      <c r="B140" t="inlineStr">
        <is>
          <t>pb equal</t>
        </is>
      </c>
      <c r="C140" s="165" t="n">
        <v>1.684282800364623</v>
      </c>
      <c r="D140" s="90" t="n">
        <v>1.187651026851419</v>
      </c>
      <c r="E140" s="12" t="n">
        <v>0.2948624621742205</v>
      </c>
      <c r="F140" s="90" t="n">
        <v>4.652278910462262</v>
      </c>
      <c r="G140" s="90" t="n">
        <v>1.762172070779984</v>
      </c>
      <c r="H140" s="12" t="n">
        <v>-0.1545432290154263</v>
      </c>
      <c r="I140" s="12" t="n">
        <v>0.02931543363647671</v>
      </c>
      <c r="J140" s="12" t="n">
        <v>0.3101730738738031</v>
      </c>
      <c r="K140" s="90" t="n">
        <v>3.917210363380828</v>
      </c>
      <c r="L140" s="7" t="n">
        <v>1.187651026851419</v>
      </c>
      <c r="M140" s="14" t="n">
        <v>0.2948624621742205</v>
      </c>
      <c r="N140" s="7" t="n">
        <v>1.909057684446566</v>
      </c>
      <c r="O140" s="7" t="n">
        <v>0.1334543605345151</v>
      </c>
      <c r="P140" s="7" t="n">
        <v>1.607423090861688</v>
      </c>
      <c r="W140" s="117">
        <f>V138+I140/3</f>
        <v/>
      </c>
      <c r="X140" s="117">
        <f>V138+I140/5</f>
        <v/>
      </c>
      <c r="Y140" s="117" t="n"/>
      <c r="AA140" s="117" t="n"/>
    </row>
    <row r="141">
      <c r="AA141" s="117" t="n"/>
    </row>
    <row r="142">
      <c r="A142" t="inlineStr">
        <is>
          <t>房地产开发和管理</t>
        </is>
      </c>
      <c r="B142" t="inlineStr">
        <is>
          <t>pe weighted</t>
        </is>
      </c>
      <c r="C142" s="167" t="n">
        <v>-103.406690517214</v>
      </c>
      <c r="D142" s="90" t="n">
        <v>8.32178255506404</v>
      </c>
      <c r="E142" s="12" t="n">
        <v>1.080476248813695</v>
      </c>
      <c r="F142" s="90" t="n">
        <v>-89.2367197895793</v>
      </c>
      <c r="G142" s="90" t="n">
        <v>-0.137031469209198</v>
      </c>
      <c r="H142" s="12" t="n">
        <v>-1.098070160806651</v>
      </c>
      <c r="I142" s="12" t="n">
        <v>-1.130251308195918</v>
      </c>
      <c r="J142" s="12" t="n">
        <v>-1.223653150335727</v>
      </c>
      <c r="K142" s="90" t="n">
        <v>-10.7232698282024</v>
      </c>
      <c r="L142" s="7" t="n">
        <v>8.32178255506404</v>
      </c>
      <c r="M142" s="14" t="n">
        <v>1.080476248813695</v>
      </c>
      <c r="N142" s="7" t="n">
        <v>-89.2367197895793</v>
      </c>
      <c r="O142" s="7" t="n">
        <v>-0.137031469209198</v>
      </c>
      <c r="P142" s="7" t="n">
        <v>-10.7232698282024</v>
      </c>
      <c r="Q142" s="99" t="n">
        <v>-0.009316232021909966</v>
      </c>
      <c r="R142" s="99" t="n">
        <v>-0.1685110486002369</v>
      </c>
      <c r="S142" s="99" t="n">
        <v>0.02547298211619732</v>
      </c>
      <c r="U142" s="117" t="n"/>
      <c r="V142" s="117" t="n"/>
      <c r="W142" s="117" t="n"/>
      <c r="X142" s="117" t="n"/>
      <c r="Y142" s="117" t="n"/>
      <c r="AA142" s="117" t="n"/>
    </row>
    <row r="143">
      <c r="A143" t="inlineStr">
        <is>
          <t>C1101</t>
        </is>
      </c>
      <c r="B143" t="inlineStr">
        <is>
          <t>pe equal</t>
        </is>
      </c>
      <c r="C143" s="167" t="n">
        <v>-6.010494321279716</v>
      </c>
      <c r="D143" s="90" t="n">
        <v>12.61471063147631</v>
      </c>
      <c r="E143" s="12" t="n">
        <v>3.098780891750426</v>
      </c>
      <c r="F143" s="90" t="n">
        <v>-5.550935404742118</v>
      </c>
      <c r="G143" s="90" t="n">
        <v>-0.0764594211345585</v>
      </c>
      <c r="H143" s="12" t="n">
        <v>-4.281791202311192</v>
      </c>
      <c r="I143" s="12" t="n">
        <v>-6.578086374896718</v>
      </c>
      <c r="J143" s="12" t="n">
        <v>-11.07993675122704</v>
      </c>
      <c r="K143" s="90" t="n">
        <v>-0.4400366815304813</v>
      </c>
      <c r="L143" s="7" t="n">
        <v>12.61471063147631</v>
      </c>
      <c r="M143" s="14" t="n">
        <v>3.098780891750426</v>
      </c>
      <c r="N143" s="7" t="n">
        <v>-5.550935404742118</v>
      </c>
      <c r="O143" s="7" t="n">
        <v>-0.0764594211345585</v>
      </c>
      <c r="P143" s="7" t="n">
        <v>-0.4400366815304813</v>
      </c>
      <c r="S143" s="99" t="n">
        <v>0.01310375449116963</v>
      </c>
      <c r="U143" s="117" t="n"/>
      <c r="V143" s="117" t="n"/>
      <c r="W143" s="117" t="n"/>
      <c r="X143" s="117" t="n"/>
      <c r="Y143" s="117" t="n"/>
      <c r="AA143" s="117" t="n"/>
    </row>
    <row r="144">
      <c r="B144" t="inlineStr">
        <is>
          <t>pb weighted</t>
        </is>
      </c>
      <c r="C144" s="167" t="n">
        <v>0.9633607214762023</v>
      </c>
      <c r="D144" s="90" t="n">
        <v>0.8311218552487675</v>
      </c>
      <c r="E144" s="12" t="n">
        <v>0.13726827685563</v>
      </c>
      <c r="F144" s="90" t="n">
        <v>4.332462970836149</v>
      </c>
      <c r="G144" s="90" t="n">
        <v>3.497238546530436</v>
      </c>
      <c r="H144" s="12" t="n">
        <v>0.223777843671034</v>
      </c>
      <c r="I144" s="12" t="n">
        <v>0.7382941383099739</v>
      </c>
      <c r="J144" s="12" t="n">
        <v>1.40416600783701</v>
      </c>
      <c r="K144" s="90" t="n">
        <v>5.212789127701829</v>
      </c>
      <c r="L144" s="7" t="n">
        <v>0.8311218552487675</v>
      </c>
      <c r="M144" s="14" t="n">
        <v>0.13726827685563</v>
      </c>
      <c r="N144" s="7" t="n">
        <v>2.133827910962319</v>
      </c>
      <c r="O144" s="7" t="n">
        <v>1.214983301055243</v>
      </c>
      <c r="P144" s="7" t="n">
        <v>2.567406809827702</v>
      </c>
      <c r="W144" s="117" t="n"/>
      <c r="X144" s="117" t="n"/>
      <c r="Y144" s="117" t="n"/>
      <c r="AA144" s="117" t="n"/>
    </row>
    <row r="145">
      <c r="B145" t="inlineStr">
        <is>
          <t>pb equal</t>
        </is>
      </c>
      <c r="C145" s="167" t="n">
        <v>1.012834700684614</v>
      </c>
      <c r="D145" s="90" t="n">
        <v>0.8578883771028322</v>
      </c>
      <c r="E145" s="12" t="n">
        <v>0.1529828346886692</v>
      </c>
      <c r="F145" s="90" t="n">
        <v>4.962955807054679</v>
      </c>
      <c r="G145" s="90" t="n">
        <v>3.900064940211887</v>
      </c>
      <c r="H145" s="12" t="n">
        <v>0.05572287232901041</v>
      </c>
      <c r="I145" s="12" t="n">
        <v>0.7645359988975411</v>
      </c>
      <c r="J145" s="12" t="n">
        <v>1.472125634897192</v>
      </c>
      <c r="K145" s="90" t="n">
        <v>5.785083397230578</v>
      </c>
      <c r="L145" s="7" t="n">
        <v>0.8578883771028322</v>
      </c>
      <c r="M145" s="14" t="n">
        <v>0.1529828346886692</v>
      </c>
      <c r="N145" s="7" t="n">
        <v>1.946793077951479</v>
      </c>
      <c r="O145" s="7" t="n">
        <v>0.9221232019751748</v>
      </c>
      <c r="P145" s="7" t="n">
        <v>2.269284827620556</v>
      </c>
      <c r="W145" s="117" t="n"/>
      <c r="X145" s="117" t="n"/>
      <c r="Y145" s="117" t="n"/>
      <c r="AA145" s="117" t="n"/>
    </row>
    <row r="147">
      <c r="A147" t="inlineStr">
        <is>
          <t>房地产服务</t>
        </is>
      </c>
      <c r="B147" t="inlineStr">
        <is>
          <t>pe weighted</t>
        </is>
      </c>
      <c r="C147" s="168" t="n">
        <v>67.13697434472967</v>
      </c>
      <c r="D147" s="90" t="n">
        <v>11.77060253377568</v>
      </c>
      <c r="E147" s="12" t="n">
        <v>0.8246777926968094</v>
      </c>
      <c r="F147" s="90" t="n">
        <v>-99.33099761097483</v>
      </c>
      <c r="G147" s="90" t="n">
        <v>-2.479527467248342</v>
      </c>
      <c r="H147" s="12" t="n">
        <v>-0.6773024576683095</v>
      </c>
      <c r="I147" s="12" t="n">
        <v>-0.5284474703319981</v>
      </c>
      <c r="J147" s="12" t="n">
        <v>0.04222524095203095</v>
      </c>
      <c r="K147" s="90" t="n">
        <v>-8.438905087988916</v>
      </c>
      <c r="L147" s="7" t="n">
        <v>15.52703436733625</v>
      </c>
      <c r="M147" s="14" t="n">
        <v>0.768726033323914</v>
      </c>
      <c r="N147" s="7" t="n">
        <v>-99.33099761097483</v>
      </c>
      <c r="O147" s="7" t="n">
        <v>-2.479527467248342</v>
      </c>
      <c r="P147" s="7" t="n">
        <v>-6.397293601663845</v>
      </c>
      <c r="Q147" s="99" t="n">
        <v>0.02478377209656297</v>
      </c>
      <c r="R147" s="99" t="n">
        <v>-0.006932882587157142</v>
      </c>
      <c r="S147" s="99" t="n">
        <v>0.01860222712236404</v>
      </c>
      <c r="U147" s="117" t="n"/>
      <c r="V147" s="117" t="n"/>
      <c r="W147" s="117" t="n"/>
      <c r="X147" s="117" t="n"/>
      <c r="Y147" s="117" t="n"/>
      <c r="AA147" s="117" t="n"/>
    </row>
    <row r="148">
      <c r="A148" t="inlineStr">
        <is>
          <t>C1102</t>
        </is>
      </c>
      <c r="B148" t="inlineStr">
        <is>
          <t>pe equal</t>
        </is>
      </c>
      <c r="C148" s="167" t="n">
        <v>-251.4035985767035</v>
      </c>
      <c r="D148" s="90" t="n">
        <v>6.753060478104389</v>
      </c>
      <c r="E148" s="12" t="n">
        <v>1.026861431245758</v>
      </c>
      <c r="F148" s="90" t="n">
        <v>-11.51718590032577</v>
      </c>
      <c r="G148" s="90" t="n">
        <v>-0.9541884604455578</v>
      </c>
      <c r="H148" s="12" t="n">
        <v>-1.109928290242466</v>
      </c>
      <c r="I148" s="12" t="n">
        <v>-1.155519028559159</v>
      </c>
      <c r="J148" s="12" t="n">
        <v>-2.079142964147303</v>
      </c>
      <c r="K148" s="90" t="n">
        <v>-1.705476492868414</v>
      </c>
      <c r="L148" s="7" t="n">
        <v>20.91581760903562</v>
      </c>
      <c r="M148" s="14" t="n">
        <v>1.083196174308755</v>
      </c>
      <c r="N148" s="7" t="n">
        <v>-11.51718590032577</v>
      </c>
      <c r="O148" s="7" t="n">
        <v>-0.9541884604455578</v>
      </c>
      <c r="P148" s="7" t="n">
        <v>-0.5506447854732844</v>
      </c>
      <c r="S148" s="99" t="n">
        <v>0.01550051705537704</v>
      </c>
      <c r="U148" s="117" t="n"/>
      <c r="V148" s="117" t="n"/>
      <c r="W148" s="117" t="n"/>
      <c r="X148" s="117" t="n"/>
      <c r="Y148" s="117" t="n"/>
      <c r="AA148" s="117" t="n"/>
    </row>
    <row r="149">
      <c r="B149" t="inlineStr">
        <is>
          <t>pb weighted</t>
        </is>
      </c>
      <c r="C149" s="165" t="n">
        <v>1.663907471412575</v>
      </c>
      <c r="D149" s="90" t="n">
        <v>1.290840515360389</v>
      </c>
      <c r="E149" s="12" t="n">
        <v>0.2242113593825449</v>
      </c>
      <c r="F149" s="90" t="n">
        <v>9.257579312173268</v>
      </c>
      <c r="G149" s="90" t="n">
        <v>4.563758484907842</v>
      </c>
      <c r="H149" s="12" t="n">
        <v>-0.06676284486095818</v>
      </c>
      <c r="I149" s="12" t="n">
        <v>0.4532872921802267</v>
      </c>
      <c r="J149" s="12" t="n">
        <v>1.164600844408525</v>
      </c>
      <c r="K149" s="90" t="n">
        <v>7.171745232670088</v>
      </c>
      <c r="L149" s="7" t="n">
        <v>1.290840515360389</v>
      </c>
      <c r="M149" s="14" t="n">
        <v>0.2242113593825449</v>
      </c>
      <c r="N149" s="7" t="n">
        <v>2.462845315675757</v>
      </c>
      <c r="O149" s="7" t="n">
        <v>0.4801576157266265</v>
      </c>
      <c r="P149" s="7" t="n">
        <v>1.907939273960701</v>
      </c>
      <c r="W149" s="117" t="n"/>
      <c r="X149" s="117" t="n"/>
      <c r="Y149" s="117" t="n"/>
      <c r="AA149" s="117" t="n"/>
    </row>
    <row r="150">
      <c r="B150" t="inlineStr">
        <is>
          <t>pb equal</t>
        </is>
      </c>
      <c r="C150" s="165" t="n">
        <v>1.742951630921072</v>
      </c>
      <c r="D150" s="90" t="n">
        <v>1.128687930842793</v>
      </c>
      <c r="E150" s="12" t="n">
        <v>0.3524272786351896</v>
      </c>
      <c r="F150" s="90" t="n">
        <v>9.550146263063009</v>
      </c>
      <c r="G150" s="90" t="n">
        <v>4.479295061112043</v>
      </c>
      <c r="H150" s="12" t="n">
        <v>-0.1305110873994656</v>
      </c>
      <c r="I150" s="12" t="n">
        <v>0.4056906215288294</v>
      </c>
      <c r="J150" s="12" t="n">
        <v>1.312509374140058</v>
      </c>
      <c r="K150" s="90" t="n">
        <v>8.461281459731655</v>
      </c>
      <c r="L150" s="7" t="n">
        <v>1.128687930842793</v>
      </c>
      <c r="M150" s="14" t="n">
        <v>0.3524272786351896</v>
      </c>
      <c r="N150" s="7" t="n">
        <v>2.57164950970196</v>
      </c>
      <c r="O150" s="7" t="n">
        <v>0.4754566128395423</v>
      </c>
      <c r="P150" s="7" t="n">
        <v>2.278441577541904</v>
      </c>
      <c r="W150" s="117" t="n"/>
      <c r="X150" s="117" t="n"/>
      <c r="Y150" s="117" t="n"/>
      <c r="AA150" s="117" t="n"/>
    </row>
    <row r="152">
      <c r="U152" s="117" t="n"/>
      <c r="V152" s="117" t="n"/>
      <c r="W152" s="117" t="n"/>
      <c r="X152" s="117" t="n"/>
      <c r="Y152" s="117" t="n"/>
    </row>
    <row r="153">
      <c r="U153" s="117" t="n"/>
      <c r="V153" s="117" t="n"/>
      <c r="W153" s="117" t="n"/>
      <c r="X153" s="117" t="n"/>
      <c r="Y153" s="117" t="n"/>
    </row>
    <row r="154">
      <c r="W154" s="117" t="n"/>
      <c r="X154" s="117" t="n"/>
      <c r="Y154" s="117" t="n"/>
    </row>
    <row r="155">
      <c r="W155" s="117" t="n"/>
      <c r="X155" s="117" t="n"/>
      <c r="Y155" s="117" t="n"/>
    </row>
    <row r="157">
      <c r="U157" s="117" t="n"/>
      <c r="V157" s="117" t="n"/>
      <c r="W157" s="117" t="n"/>
      <c r="X157" s="117" t="n"/>
      <c r="Y157" s="117" t="n"/>
    </row>
    <row r="158">
      <c r="U158" s="117" t="n"/>
      <c r="V158" s="117" t="n"/>
      <c r="W158" s="117" t="n"/>
      <c r="X158" s="117" t="n"/>
      <c r="Y158" s="117" t="n"/>
    </row>
    <row r="159">
      <c r="W159" s="117" t="n"/>
      <c r="X159" s="117" t="n"/>
      <c r="Y159" s="117" t="n"/>
    </row>
    <row r="160">
      <c r="W160" s="117" t="n"/>
      <c r="X160" s="117" t="n"/>
      <c r="Y160" s="117" t="n"/>
    </row>
    <row r="162">
      <c r="U162" s="117" t="n"/>
      <c r="V162" s="117" t="n"/>
      <c r="W162" s="117" t="n"/>
      <c r="X162" s="117" t="n"/>
      <c r="Y162" s="117" t="n"/>
    </row>
    <row r="163">
      <c r="U163" s="117" t="n"/>
      <c r="V163" s="117" t="n"/>
      <c r="W163" s="117" t="n"/>
      <c r="X163" s="117" t="n"/>
      <c r="Y163" s="117" t="n"/>
    </row>
    <row r="164">
      <c r="W164" s="117" t="n"/>
      <c r="X164" s="117" t="n"/>
      <c r="Y164" s="117" t="n"/>
    </row>
    <row r="165">
      <c r="W165" s="117" t="n"/>
      <c r="X165" s="117" t="n"/>
      <c r="Y165" s="117" t="n"/>
    </row>
    <row r="167">
      <c r="U167" s="117" t="n"/>
      <c r="V167" s="117" t="n"/>
      <c r="W167" s="117" t="n"/>
      <c r="X167" s="117" t="n"/>
      <c r="Y167" s="117" t="n"/>
    </row>
    <row r="168">
      <c r="U168" s="117" t="n"/>
      <c r="V168" s="117" t="n"/>
      <c r="W168" s="117" t="n"/>
      <c r="X168" s="117" t="n"/>
      <c r="Y168" s="117" t="n"/>
    </row>
    <row r="169">
      <c r="W169" s="117" t="n"/>
      <c r="X169" s="117" t="n"/>
      <c r="Y169" s="117" t="n"/>
    </row>
    <row r="170">
      <c r="W170" s="117" t="n"/>
      <c r="X170" s="117" t="n"/>
      <c r="Y170" s="117" t="n"/>
    </row>
    <row r="172">
      <c r="U172" s="117" t="n"/>
      <c r="V172" s="117" t="n"/>
      <c r="W172" s="117" t="n"/>
      <c r="X172" s="117" t="n"/>
      <c r="Y172" s="117" t="n"/>
    </row>
    <row r="173">
      <c r="U173" s="117" t="n"/>
      <c r="V173" s="117" t="n"/>
      <c r="W173" s="117" t="n"/>
      <c r="X173" s="117" t="n"/>
      <c r="Y173" s="117" t="n"/>
    </row>
    <row r="174">
      <c r="W174" s="117" t="n"/>
      <c r="X174" s="117" t="n"/>
      <c r="Y174" s="117" t="n"/>
    </row>
    <row r="175">
      <c r="W175" s="117" t="n"/>
      <c r="X175" s="117" t="n"/>
      <c r="Y175" s="117" t="n"/>
    </row>
    <row r="177">
      <c r="U177" s="117" t="n"/>
      <c r="V177" s="117" t="n"/>
      <c r="W177" s="117" t="n"/>
      <c r="X177" s="117" t="n"/>
      <c r="Y177" s="117" t="n"/>
    </row>
    <row r="178">
      <c r="U178" s="117" t="n"/>
      <c r="V178" s="117" t="n"/>
      <c r="W178" s="117" t="n"/>
      <c r="X178" s="117" t="n"/>
      <c r="Y178" s="117" t="n"/>
    </row>
    <row r="179">
      <c r="W179" s="117" t="n"/>
      <c r="X179" s="117" t="n"/>
      <c r="Y179" s="117" t="n"/>
    </row>
    <row r="180">
      <c r="W180" s="117" t="n"/>
      <c r="X180" s="117" t="n"/>
      <c r="Y180" s="117" t="n"/>
    </row>
    <row r="182">
      <c r="U182" s="117" t="n"/>
      <c r="V182" s="117" t="n"/>
      <c r="W182" s="117" t="n"/>
      <c r="X182" s="117" t="n"/>
      <c r="Y182" s="117" t="n"/>
    </row>
    <row r="183">
      <c r="U183" s="117" t="n"/>
      <c r="V183" s="117" t="n"/>
      <c r="W183" s="117" t="n"/>
      <c r="X183" s="117" t="n"/>
      <c r="Y183" s="117" t="n"/>
    </row>
    <row r="184">
      <c r="W184" s="117" t="n"/>
      <c r="X184" s="117" t="n"/>
      <c r="Y184" s="117" t="n"/>
    </row>
    <row r="185">
      <c r="W185" s="117" t="n"/>
      <c r="X185" s="117" t="n"/>
      <c r="Y185" s="117" t="n"/>
    </row>
    <row r="187">
      <c r="U187" s="117" t="n"/>
      <c r="V187" s="117" t="n"/>
      <c r="W187" s="117" t="n"/>
      <c r="X187" s="117" t="n"/>
      <c r="Y187" s="117" t="n"/>
    </row>
    <row r="188">
      <c r="U188" s="117" t="n"/>
      <c r="V188" s="117" t="n"/>
      <c r="W188" s="117" t="n"/>
      <c r="X188" s="117" t="n"/>
      <c r="Y188" s="117" t="n"/>
    </row>
    <row r="189">
      <c r="W189" s="117" t="n"/>
      <c r="X189" s="117" t="n"/>
      <c r="Y189" s="117" t="n"/>
    </row>
    <row r="190">
      <c r="W190" s="117" t="n"/>
      <c r="X190" s="117" t="n"/>
      <c r="Y190" s="117" t="n"/>
    </row>
    <row r="192">
      <c r="U192" s="117" t="n"/>
      <c r="V192" s="117" t="n"/>
      <c r="W192" s="117" t="n"/>
      <c r="X192" s="117" t="n"/>
      <c r="Y192" s="117" t="n"/>
    </row>
    <row r="193">
      <c r="U193" s="117" t="n"/>
      <c r="V193" s="117" t="n"/>
      <c r="W193" s="117" t="n"/>
      <c r="X193" s="117" t="n"/>
      <c r="Y193" s="117" t="n"/>
    </row>
    <row r="194">
      <c r="W194" s="117" t="n"/>
      <c r="X194" s="117" t="n"/>
      <c r="Y194" s="117" t="n"/>
    </row>
    <row r="195">
      <c r="W195" s="117" t="n"/>
      <c r="X195" s="117" t="n"/>
      <c r="Y195" s="117" t="n"/>
    </row>
    <row r="197">
      <c r="U197" s="117" t="n"/>
      <c r="V197" s="117" t="n"/>
      <c r="W197" s="117" t="n"/>
      <c r="X197" s="117" t="n"/>
      <c r="Y197" s="117" t="n"/>
    </row>
    <row r="198">
      <c r="U198" s="117" t="n"/>
      <c r="V198" s="117" t="n"/>
      <c r="W198" s="117" t="n"/>
      <c r="X198" s="117" t="n"/>
      <c r="Y198" s="117" t="n"/>
    </row>
    <row r="199">
      <c r="W199" s="117" t="n"/>
      <c r="X199" s="117" t="n"/>
      <c r="Y199" s="117" t="n"/>
    </row>
    <row r="200">
      <c r="W200" s="117" t="n"/>
      <c r="X200" s="117" t="n"/>
      <c r="Y200" s="117" t="n"/>
    </row>
    <row r="202">
      <c r="U202" s="117" t="n"/>
      <c r="V202" s="117" t="n"/>
      <c r="W202" s="117" t="n"/>
      <c r="X202" s="117" t="n"/>
      <c r="Y202" s="117" t="n"/>
    </row>
    <row r="203">
      <c r="U203" s="117" t="n"/>
      <c r="V203" s="117" t="n"/>
      <c r="W203" s="117" t="n"/>
      <c r="X203" s="117" t="n"/>
      <c r="Y203" s="117" t="n"/>
    </row>
    <row r="204">
      <c r="W204" s="117" t="n"/>
      <c r="X204" s="117" t="n"/>
      <c r="Y204" s="117" t="n"/>
    </row>
    <row r="205">
      <c r="W205" s="117" t="n"/>
      <c r="X205" s="117" t="n"/>
      <c r="Y205" s="117" t="n"/>
    </row>
    <row r="207">
      <c r="U207" s="117" t="n"/>
      <c r="V207" s="117" t="n"/>
      <c r="W207" s="117" t="n"/>
      <c r="X207" s="117" t="n"/>
      <c r="Y207" s="117" t="n"/>
    </row>
    <row r="208">
      <c r="U208" s="117" t="n"/>
      <c r="V208" s="117" t="n"/>
      <c r="W208" s="117" t="n"/>
      <c r="X208" s="117" t="n"/>
      <c r="Y208" s="117" t="n"/>
    </row>
    <row r="209">
      <c r="W209" s="117" t="n"/>
      <c r="X209" s="117" t="n"/>
      <c r="Y209" s="117" t="n"/>
    </row>
    <row r="210">
      <c r="W210" s="117" t="n"/>
      <c r="X210" s="117" t="n"/>
      <c r="Y210" s="117" t="n"/>
    </row>
    <row r="212">
      <c r="U212" s="117" t="n"/>
      <c r="V212" s="117" t="n"/>
      <c r="W212" s="117" t="n"/>
      <c r="X212" s="117" t="n"/>
      <c r="Y212" s="117" t="n"/>
    </row>
    <row r="213">
      <c r="U213" s="117" t="n"/>
      <c r="V213" s="117" t="n"/>
      <c r="W213" s="117" t="n"/>
      <c r="X213" s="117" t="n"/>
      <c r="Y213" s="117" t="n"/>
    </row>
    <row r="214">
      <c r="W214" s="117" t="n"/>
      <c r="X214" s="117" t="n"/>
      <c r="Y214" s="117" t="n"/>
    </row>
    <row r="215">
      <c r="W215" s="117" t="n"/>
      <c r="X215" s="117" t="n"/>
      <c r="Y215" s="117" t="n"/>
    </row>
    <row r="217">
      <c r="U217" s="117" t="n"/>
      <c r="V217" s="117" t="n"/>
      <c r="W217" s="117" t="n"/>
      <c r="X217" s="117" t="n"/>
      <c r="Y217" s="117" t="n"/>
    </row>
    <row r="218">
      <c r="U218" s="117" t="n"/>
      <c r="V218" s="117" t="n"/>
      <c r="W218" s="117" t="n"/>
      <c r="X218" s="117" t="n"/>
      <c r="Y218" s="117" t="n"/>
    </row>
    <row r="219">
      <c r="W219" s="117" t="n"/>
      <c r="X219" s="117" t="n"/>
      <c r="Y219" s="117" t="n"/>
    </row>
    <row r="220">
      <c r="W220" s="117" t="n"/>
      <c r="X220" s="117" t="n"/>
      <c r="Y220" s="117" t="n"/>
    </row>
    <row r="222">
      <c r="U222" s="117" t="n"/>
      <c r="V222" s="117" t="n"/>
      <c r="W222" s="117" t="n"/>
      <c r="X222" s="117" t="n"/>
      <c r="Y222" s="117" t="n"/>
    </row>
    <row r="223">
      <c r="U223" s="117" t="n"/>
      <c r="V223" s="117" t="n"/>
      <c r="W223" s="117" t="n"/>
      <c r="X223" s="117" t="n"/>
      <c r="Y223" s="117" t="n"/>
    </row>
    <row r="224">
      <c r="W224" s="117" t="n"/>
      <c r="X224" s="117" t="n"/>
      <c r="Y224" s="117" t="n"/>
    </row>
    <row r="225">
      <c r="W225" s="117" t="n"/>
      <c r="X225" s="117" t="n"/>
      <c r="Y225" s="117" t="n"/>
    </row>
    <row r="227">
      <c r="U227" s="117" t="n"/>
      <c r="V227" s="117" t="n"/>
      <c r="W227" s="117" t="n"/>
      <c r="X227" s="117" t="n"/>
      <c r="Y227" s="117" t="n"/>
    </row>
    <row r="228">
      <c r="U228" s="117" t="n"/>
      <c r="V228" s="117" t="n"/>
      <c r="W228" s="117" t="n"/>
      <c r="X228" s="117" t="n"/>
      <c r="Y228" s="117" t="n"/>
    </row>
    <row r="229">
      <c r="W229" s="117" t="n"/>
      <c r="X229" s="117" t="n"/>
      <c r="Y229" s="117" t="n"/>
    </row>
    <row r="230">
      <c r="W230" s="117" t="n"/>
      <c r="X230" s="117" t="n"/>
      <c r="Y230" s="117" t="n"/>
    </row>
    <row r="232">
      <c r="U232" s="117" t="n"/>
      <c r="V232" s="117" t="n"/>
      <c r="W232" s="117" t="n"/>
      <c r="X232" s="117" t="n"/>
      <c r="Y232" s="117" t="n"/>
    </row>
    <row r="233">
      <c r="U233" s="117" t="n"/>
      <c r="V233" s="117" t="n"/>
      <c r="W233" s="117" t="n"/>
      <c r="X233" s="117" t="n"/>
      <c r="Y233" s="117" t="n"/>
    </row>
    <row r="234">
      <c r="W234" s="117" t="n"/>
      <c r="X234" s="117" t="n"/>
      <c r="Y234" s="117" t="n"/>
    </row>
    <row r="235">
      <c r="W235" s="117" t="n"/>
      <c r="X235" s="117" t="n"/>
      <c r="Y235" s="117" t="n"/>
    </row>
    <row r="237">
      <c r="U237" s="117" t="n"/>
      <c r="V237" s="117" t="n"/>
      <c r="W237" s="117" t="n"/>
      <c r="X237" s="117" t="n"/>
      <c r="Y237" s="117" t="n"/>
    </row>
    <row r="238">
      <c r="U238" s="117" t="n"/>
      <c r="V238" s="117" t="n"/>
      <c r="W238" s="117" t="n"/>
      <c r="X238" s="117" t="n"/>
      <c r="Y238" s="117" t="n"/>
    </row>
    <row r="239">
      <c r="W239" s="117" t="n"/>
      <c r="X239" s="117" t="n"/>
      <c r="Y239" s="117" t="n"/>
    </row>
    <row r="240">
      <c r="W240" s="117" t="n"/>
      <c r="X240" s="117" t="n"/>
      <c r="Y240" s="117" t="n"/>
    </row>
    <row r="242">
      <c r="U242" s="117" t="n"/>
      <c r="V242" s="117" t="n"/>
      <c r="W242" s="117" t="n"/>
      <c r="X242" s="117" t="n"/>
      <c r="Y242" s="117" t="n"/>
    </row>
    <row r="243">
      <c r="U243" s="117" t="n"/>
      <c r="V243" s="117" t="n"/>
      <c r="W243" s="117" t="n"/>
      <c r="X243" s="117" t="n"/>
      <c r="Y243" s="117" t="n"/>
    </row>
    <row r="244">
      <c r="W244" s="117" t="n"/>
      <c r="X244" s="117" t="n"/>
      <c r="Y244" s="117" t="n"/>
    </row>
    <row r="245">
      <c r="W245" s="117" t="n"/>
      <c r="X245" s="117" t="n"/>
      <c r="Y245" s="117" t="n"/>
    </row>
    <row r="247">
      <c r="U247" s="117" t="n"/>
      <c r="V247" s="117" t="n"/>
      <c r="W247" s="117" t="n"/>
      <c r="X247" s="117" t="n"/>
      <c r="Y247" s="117" t="n"/>
    </row>
    <row r="248">
      <c r="U248" s="117" t="n"/>
      <c r="V248" s="117" t="n"/>
      <c r="W248" s="117" t="n"/>
      <c r="X248" s="117" t="n"/>
      <c r="Y248" s="117" t="n"/>
    </row>
    <row r="249">
      <c r="W249" s="117" t="n"/>
      <c r="X249" s="117" t="n"/>
      <c r="Y249" s="117" t="n"/>
    </row>
    <row r="250">
      <c r="W250" s="117" t="n"/>
      <c r="X250" s="117" t="n"/>
      <c r="Y250" s="117" t="n"/>
    </row>
    <row r="252">
      <c r="U252" s="117" t="n"/>
      <c r="V252" s="117" t="n"/>
      <c r="W252" s="117" t="n"/>
      <c r="X252" s="117" t="n"/>
      <c r="Y252" s="117" t="n"/>
    </row>
    <row r="253">
      <c r="U253" s="117" t="n"/>
      <c r="V253" s="117" t="n"/>
      <c r="W253" s="117" t="n"/>
      <c r="X253" s="117" t="n"/>
      <c r="Y253" s="117" t="n"/>
    </row>
    <row r="254">
      <c r="W254" s="117" t="n"/>
      <c r="X254" s="117" t="n"/>
      <c r="Y254" s="117" t="n"/>
    </row>
    <row r="255">
      <c r="W255" s="117" t="n"/>
      <c r="X255" s="117" t="n"/>
      <c r="Y255" s="117" t="n"/>
    </row>
    <row r="257">
      <c r="U257" s="117" t="n"/>
      <c r="V257" s="117" t="n"/>
      <c r="W257" s="117" t="n"/>
      <c r="X257" s="117" t="n"/>
      <c r="Y257" s="117" t="n"/>
    </row>
    <row r="258">
      <c r="U258" s="117" t="n"/>
      <c r="V258" s="117" t="n"/>
      <c r="W258" s="117" t="n"/>
      <c r="X258" s="117" t="n"/>
      <c r="Y258" s="117" t="n"/>
    </row>
    <row r="259">
      <c r="W259" s="117" t="n"/>
      <c r="X259" s="117" t="n"/>
      <c r="Y259" s="117" t="n"/>
    </row>
    <row r="260">
      <c r="W260" s="117" t="n"/>
      <c r="X260" s="117" t="n"/>
      <c r="Y260" s="117" t="n"/>
    </row>
    <row r="262">
      <c r="U262" s="117" t="n"/>
      <c r="V262" s="117" t="n"/>
      <c r="W262" s="117" t="n"/>
      <c r="X262" s="117" t="n"/>
      <c r="Y262" s="117" t="n"/>
    </row>
    <row r="263">
      <c r="U263" s="117" t="n"/>
      <c r="V263" s="117" t="n"/>
      <c r="W263" s="117" t="n"/>
      <c r="X263" s="117" t="n"/>
      <c r="Y263" s="117" t="n"/>
    </row>
    <row r="264">
      <c r="W264" s="117" t="n"/>
      <c r="X264" s="117" t="n"/>
      <c r="Y264" s="117" t="n"/>
    </row>
    <row r="265">
      <c r="W265" s="117" t="n"/>
      <c r="X265" s="117" t="n"/>
      <c r="Y265" s="117" t="n"/>
    </row>
    <row r="267">
      <c r="U267" s="117" t="n"/>
      <c r="V267" s="117" t="n"/>
      <c r="W267" s="117" t="n"/>
      <c r="X267" s="117" t="n"/>
      <c r="Y267" s="117" t="n"/>
    </row>
    <row r="268">
      <c r="U268" s="117" t="n"/>
      <c r="V268" s="117" t="n"/>
      <c r="W268" s="117" t="n"/>
      <c r="X268" s="117" t="n"/>
      <c r="Y268" s="117" t="n"/>
    </row>
    <row r="269">
      <c r="W269" s="117" t="n"/>
      <c r="X269" s="117" t="n"/>
      <c r="Y269" s="117" t="n"/>
    </row>
    <row r="270">
      <c r="W270" s="117" t="n"/>
      <c r="X270" s="117" t="n"/>
      <c r="Y270" s="117" t="n"/>
    </row>
    <row r="272">
      <c r="U272" s="117" t="n"/>
      <c r="V272" s="117" t="n"/>
      <c r="W272" s="117" t="n"/>
      <c r="X272" s="117" t="n"/>
      <c r="Y272" s="117" t="n"/>
    </row>
    <row r="273">
      <c r="U273" s="117" t="n"/>
      <c r="V273" s="117" t="n"/>
      <c r="W273" s="117" t="n"/>
      <c r="X273" s="117" t="n"/>
      <c r="Y273" s="117" t="n"/>
    </row>
    <row r="274">
      <c r="W274" s="117" t="n"/>
      <c r="X274" s="117" t="n"/>
      <c r="Y274" s="117" t="n"/>
    </row>
    <row r="275">
      <c r="W275" s="117" t="n"/>
      <c r="X275" s="117" t="n"/>
      <c r="Y275" s="117" t="n"/>
    </row>
    <row r="277">
      <c r="U277" s="117" t="n"/>
      <c r="V277" s="117" t="n"/>
      <c r="W277" s="117" t="n"/>
      <c r="X277" s="117" t="n"/>
      <c r="Y277" s="117" t="n"/>
    </row>
    <row r="278">
      <c r="U278" s="117" t="n"/>
      <c r="V278" s="117" t="n"/>
      <c r="W278" s="117" t="n"/>
      <c r="X278" s="117" t="n"/>
      <c r="Y278" s="117" t="n"/>
    </row>
    <row r="279">
      <c r="W279" s="117" t="n"/>
      <c r="X279" s="117" t="n"/>
      <c r="Y279" s="117" t="n"/>
    </row>
    <row r="280">
      <c r="W280" s="117" t="n"/>
      <c r="X280" s="117" t="n"/>
      <c r="Y280" s="117" t="n"/>
    </row>
  </sheetData>
  <conditionalFormatting sqref="E1:E141 E146 E151:E1048576 M1:M141 M146 M151:M1048576 Q1:S141 Q146:S146 Q151:S1048576">
    <cfRule priority="30" type="dataBar">
      <dataBar>
        <cfvo type="min"/>
        <cfvo type="max"/>
        <color rgb="FF638EC6"/>
      </dataBar>
    </cfRule>
  </conditionalFormatting>
  <conditionalFormatting sqref="Q1:Q141 Q146 Q151:Q1048576">
    <cfRule priority="29" type="dataBar">
      <dataBar>
        <cfvo type="min"/>
        <cfvo type="max"/>
        <color rgb="FF638EC6"/>
      </dataBar>
    </cfRule>
  </conditionalFormatting>
  <conditionalFormatting sqref="R1:R141 R146 R151:R1048576">
    <cfRule priority="28" type="dataBar">
      <dataBar>
        <cfvo type="min"/>
        <cfvo type="max"/>
        <color rgb="FF638EC6"/>
      </dataBar>
    </cfRule>
  </conditionalFormatting>
  <conditionalFormatting sqref="S1:S141 S146 S151:S1048576">
    <cfRule priority="27" type="dataBar">
      <dataBar>
        <cfvo type="min"/>
        <cfvo type="max"/>
        <color rgb="FF638EC6"/>
      </dataBar>
    </cfRule>
  </conditionalFormatting>
  <conditionalFormatting sqref="M1:M141 M146 M151:M1048576">
    <cfRule priority="26" type="dataBar">
      <dataBar>
        <cfvo type="min"/>
        <cfvo type="max"/>
        <color rgb="FF638EC6"/>
      </dataBar>
    </cfRule>
  </conditionalFormatting>
  <conditionalFormatting sqref="E1:E141 E146 E151:E1048576">
    <cfRule priority="25" type="dataBar">
      <dataBar>
        <cfvo type="min"/>
        <cfvo type="max"/>
        <color rgb="FF638EC6"/>
      </dataBar>
    </cfRule>
  </conditionalFormatting>
  <conditionalFormatting sqref="I1:J141 I146:J146 I151:J1048576">
    <cfRule priority="23" type="dataBar">
      <dataBar>
        <cfvo type="min"/>
        <cfvo type="max"/>
        <color rgb="FF638EC6"/>
      </dataBar>
    </cfRule>
    <cfRule priority="24" type="dataBar">
      <dataBar>
        <cfvo type="min"/>
        <cfvo type="max"/>
        <color rgb="FF638EC6"/>
      </dataBar>
    </cfRule>
  </conditionalFormatting>
  <conditionalFormatting sqref="H1:H141 H146 H151:H1048576">
    <cfRule priority="21" type="dataBar">
      <dataBar>
        <cfvo type="min"/>
        <cfvo type="max"/>
        <color rgb="FF638EC6"/>
      </dataBar>
    </cfRule>
    <cfRule priority="22" type="dataBar">
      <dataBar>
        <cfvo type="min"/>
        <cfvo type="max"/>
        <color rgb="FF638EC6"/>
      </dataBar>
    </cfRule>
  </conditionalFormatting>
  <conditionalFormatting sqref="E147:E150 M147:M150 Q147:S150">
    <cfRule priority="20" type="dataBar">
      <dataBar>
        <cfvo type="min"/>
        <cfvo type="max"/>
        <color rgb="FF638EC6"/>
      </dataBar>
    </cfRule>
  </conditionalFormatting>
  <conditionalFormatting sqref="Q147:Q150">
    <cfRule priority="19" type="dataBar">
      <dataBar>
        <cfvo type="min"/>
        <cfvo type="max"/>
        <color rgb="FF638EC6"/>
      </dataBar>
    </cfRule>
  </conditionalFormatting>
  <conditionalFormatting sqref="R147:R150">
    <cfRule priority="18" type="dataBar">
      <dataBar>
        <cfvo type="min"/>
        <cfvo type="max"/>
        <color rgb="FF638EC6"/>
      </dataBar>
    </cfRule>
  </conditionalFormatting>
  <conditionalFormatting sqref="S147:S150">
    <cfRule priority="17" type="dataBar">
      <dataBar>
        <cfvo type="min"/>
        <cfvo type="max"/>
        <color rgb="FF638EC6"/>
      </dataBar>
    </cfRule>
  </conditionalFormatting>
  <conditionalFormatting sqref="M147:M150">
    <cfRule priority="16" type="dataBar">
      <dataBar>
        <cfvo type="min"/>
        <cfvo type="max"/>
        <color rgb="FF638EC6"/>
      </dataBar>
    </cfRule>
  </conditionalFormatting>
  <conditionalFormatting sqref="E147:E150">
    <cfRule priority="15" type="dataBar">
      <dataBar>
        <cfvo type="min"/>
        <cfvo type="max"/>
        <color rgb="FF638EC6"/>
      </dataBar>
    </cfRule>
  </conditionalFormatting>
  <conditionalFormatting sqref="I147:J150">
    <cfRule priority="13" type="dataBar">
      <dataBar>
        <cfvo type="min"/>
        <cfvo type="max"/>
        <color rgb="FF638EC6"/>
      </dataBar>
    </cfRule>
    <cfRule priority="14" type="dataBar">
      <dataBar>
        <cfvo type="min"/>
        <cfvo type="max"/>
        <color rgb="FF638EC6"/>
      </dataBar>
    </cfRule>
  </conditionalFormatting>
  <conditionalFormatting sqref="H147:H150">
    <cfRule priority="11" type="dataBar">
      <dataBar>
        <cfvo type="min"/>
        <cfvo type="max"/>
        <color rgb="FF638EC6"/>
      </dataBar>
    </cfRule>
    <cfRule priority="12" type="dataBar">
      <dataBar>
        <cfvo type="min"/>
        <cfvo type="max"/>
        <color rgb="FF638EC6"/>
      </dataBar>
    </cfRule>
  </conditionalFormatting>
  <conditionalFormatting sqref="E142:E145 M142:M145 Q142:S145">
    <cfRule priority="10" type="dataBar">
      <dataBar>
        <cfvo type="min"/>
        <cfvo type="max"/>
        <color rgb="FF638EC6"/>
      </dataBar>
    </cfRule>
  </conditionalFormatting>
  <conditionalFormatting sqref="Q142:Q145">
    <cfRule priority="9" type="dataBar">
      <dataBar>
        <cfvo type="min"/>
        <cfvo type="max"/>
        <color rgb="FF638EC6"/>
      </dataBar>
    </cfRule>
  </conditionalFormatting>
  <conditionalFormatting sqref="R142:R145">
    <cfRule priority="8" type="dataBar">
      <dataBar>
        <cfvo type="min"/>
        <cfvo type="max"/>
        <color rgb="FF638EC6"/>
      </dataBar>
    </cfRule>
  </conditionalFormatting>
  <conditionalFormatting sqref="S142:S145">
    <cfRule priority="7" type="dataBar">
      <dataBar>
        <cfvo type="min"/>
        <cfvo type="max"/>
        <color rgb="FF638EC6"/>
      </dataBar>
    </cfRule>
  </conditionalFormatting>
  <conditionalFormatting sqref="M142:M145">
    <cfRule priority="6" type="dataBar">
      <dataBar>
        <cfvo type="min"/>
        <cfvo type="max"/>
        <color rgb="FF638EC6"/>
      </dataBar>
    </cfRule>
  </conditionalFormatting>
  <conditionalFormatting sqref="E142:E145">
    <cfRule priority="5" type="dataBar">
      <dataBar>
        <cfvo type="min"/>
        <cfvo type="max"/>
        <color rgb="FF638EC6"/>
      </dataBar>
    </cfRule>
  </conditionalFormatting>
  <conditionalFormatting sqref="I142:J145">
    <cfRule priority="3" type="dataBar">
      <dataBar>
        <cfvo type="min"/>
        <cfvo type="max"/>
        <color rgb="FF638EC6"/>
      </dataBar>
    </cfRule>
    <cfRule priority="4" type="dataBar">
      <dataBar>
        <cfvo type="min"/>
        <cfvo type="max"/>
        <color rgb="FF638EC6"/>
      </dataBar>
    </cfRule>
  </conditionalFormatting>
  <conditionalFormatting sqref="H142:H145">
    <cfRule priority="1" type="dataBar">
      <dataBar>
        <cfvo type="min"/>
        <cfvo type="max"/>
        <color rgb="FF638EC6"/>
      </dataBar>
    </cfRule>
    <cfRule priority="2" type="dataBar">
      <dataBar>
        <cfvo type="min"/>
        <cfvo type="max"/>
        <color rgb="FF638EC6"/>
      </dataBar>
    </cfRule>
  </conditionalFormatting>
  <hyperlinks>
    <hyperlink display="https://www.lixinger.com/analytics/industry/sz/C0503/503/detail" ref="A72" r:id="rId1"/>
    <hyperlink display="https://www.lixinger.com/analytics/industry/sz/C1101/1101/detail" ref="A142" r:id="rId2"/>
    <hyperlink display="https://www.lixinger.com/analytics/industry/sz/C1102/1102/detail" ref="A147" r:id="rId3"/>
  </hyperlinks>
  <pageMargins bottom="0.75" footer="0.3" header="0.3" left="0.7" right="0.7" top="0.75"/>
  <pageSetup horizontalDpi="0" orientation="portrait" paperSize="9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430"/>
  <sheetViews>
    <sheetView topLeftCell="A198" workbookViewId="0" zoomScale="125">
      <pane activePane="topRight" state="frozen" topLeftCell="M1" xSplit="1"/>
      <selection activeCell="S207" pane="topRight" sqref="S207:S208"/>
    </sheetView>
  </sheetViews>
  <sheetFormatPr baseColWidth="10" defaultRowHeight="16"/>
  <cols>
    <col customWidth="1" max="1" min="1" style="155" width="20.33203125"/>
    <col customWidth="1" max="4" min="4" style="2" width="10.83203125"/>
    <col customWidth="1" max="5" min="5" style="12" width="19.83203125"/>
    <col customWidth="1" max="6" min="6" style="2" width="14.83203125"/>
    <col customWidth="1" max="7" min="7" style="2" width="14.5"/>
    <col customWidth="1" max="10" min="8" style="12" width="19.83203125"/>
    <col customWidth="1" max="11" min="11" style="2" width="20.5"/>
    <col customWidth="1" max="12" min="12" style="78" width="10.83203125"/>
    <col customWidth="1" max="13" min="13" style="14" width="18.1640625"/>
    <col customWidth="1" max="14" min="14" style="78" width="10.83203125"/>
    <col customWidth="1" max="15" min="15" style="78" width="18.1640625"/>
    <col customWidth="1" max="16" min="16" style="78" width="22.33203125"/>
    <col customWidth="1" max="17" min="17" style="99" width="14.33203125"/>
    <col customWidth="1" max="19" min="18" style="99" width="10.83203125"/>
    <col customWidth="1" max="21" min="21" style="155" width="15.1640625"/>
    <col customWidth="1" max="22" min="22" style="99" width="19.1640625"/>
    <col bestFit="1" customWidth="1" max="24" min="23" style="155" width="20.33203125"/>
    <col customWidth="1" max="25" min="25" style="99" width="14.83203125"/>
    <col customWidth="1" max="26" min="26" style="117" width="14.83203125"/>
    <col customWidth="1" max="27" min="27" style="155" width="24"/>
  </cols>
  <sheetData>
    <row customFormat="1" r="1" s="127">
      <c r="A1" t="inlineStr">
        <is>
          <t>2023-02-17T00:00:00+08:00</t>
        </is>
      </c>
      <c r="C1" s="127" t="inlineStr">
        <is>
          <t>current</t>
        </is>
      </c>
      <c r="D1" s="4" t="inlineStr">
        <is>
          <t>lowest_y10</t>
        </is>
      </c>
      <c r="E1" s="13" t="inlineStr">
        <is>
          <t>falling_to_lowest_y10</t>
        </is>
      </c>
      <c r="F1" s="4" t="inlineStr">
        <is>
          <t>highest_y10</t>
        </is>
      </c>
      <c r="G1" s="4" t="inlineStr">
        <is>
          <t>rising_to_highest_y10</t>
        </is>
      </c>
      <c r="H1" s="13" t="inlineStr">
        <is>
          <t>rising_to_chance_y10_col</t>
        </is>
      </c>
      <c r="I1" s="13" t="inlineStr">
        <is>
          <t>rising_to_median_y10_col</t>
        </is>
      </c>
      <c r="J1" s="13" t="inlineStr">
        <is>
          <t>rising_to_risk_y10_col</t>
        </is>
      </c>
      <c r="K1" s="4" t="inlineStr">
        <is>
          <t>highest_to_lowest_y10</t>
        </is>
      </c>
      <c r="L1" s="8" t="inlineStr">
        <is>
          <t>lowest_y5</t>
        </is>
      </c>
      <c r="M1" s="15" t="inlineStr">
        <is>
          <t>falling_to_lowest_y5</t>
        </is>
      </c>
      <c r="N1" s="8" t="inlineStr">
        <is>
          <t>highest_y5</t>
        </is>
      </c>
      <c r="O1" s="8" t="inlineStr">
        <is>
          <t>rising_to_highest_y5</t>
        </is>
      </c>
      <c r="P1" s="8" t="inlineStr">
        <is>
          <t>highest_to_lowest_y5</t>
        </is>
      </c>
      <c r="Q1" s="69" t="inlineStr">
        <is>
          <t>roe_weighted</t>
        </is>
      </c>
      <c r="R1" s="69" t="inlineStr">
        <is>
          <t>roe_equal</t>
        </is>
      </c>
      <c r="S1" s="99" t="inlineStr">
        <is>
          <t>dividend(weighted/equal)</t>
        </is>
      </c>
      <c r="T1" t="inlineStr">
        <is>
          <t>close_point</t>
        </is>
      </c>
      <c r="U1" s="68" t="inlineStr">
        <is>
          <t>dividend ratio</t>
        </is>
      </c>
      <c r="V1" s="69" t="inlineStr">
        <is>
          <t>return</t>
        </is>
      </c>
      <c r="W1" s="127" t="inlineStr">
        <is>
          <t>3 yrs return</t>
        </is>
      </c>
      <c r="X1" s="127" t="inlineStr">
        <is>
          <t>5yrs return</t>
        </is>
      </c>
      <c r="Y1" s="69" t="n"/>
      <c r="Z1" s="69" t="n"/>
      <c r="AA1" s="69" t="n"/>
    </row>
    <row r="2">
      <c r="A2" t="inlineStr">
        <is>
          <t>能源设备与服务</t>
        </is>
      </c>
      <c r="B2" t="inlineStr">
        <is>
          <t>pe weighted</t>
        </is>
      </c>
      <c r="C2" s="168" t="n">
        <v>49.40662573651723</v>
      </c>
      <c r="D2" s="90" t="n">
        <v>15.56124610389842</v>
      </c>
      <c r="E2" s="12" t="n">
        <v>0.6850372622715488</v>
      </c>
      <c r="F2" s="90" t="n">
        <v>-15.27908520823767</v>
      </c>
      <c r="G2" s="90" t="n">
        <v>-1.309251744689471</v>
      </c>
      <c r="H2" s="12" t="n">
        <v>-0.4839071714438751</v>
      </c>
      <c r="I2" s="12" t="n">
        <v>-0.01684082526738251</v>
      </c>
      <c r="J2" s="12" t="n">
        <v>1.894561844680312</v>
      </c>
      <c r="K2" s="90" t="n">
        <v>-0.9818677184476848</v>
      </c>
      <c r="L2" s="7" t="n">
        <v>32.09353057624248</v>
      </c>
      <c r="M2" s="14" t="n">
        <v>0.3504205134874929</v>
      </c>
      <c r="N2" s="7" t="n">
        <v>-975.214920391866</v>
      </c>
      <c r="O2" s="7" t="n">
        <v>-20.73854530347069</v>
      </c>
      <c r="P2" s="7" t="n">
        <v>-30.38665123100472</v>
      </c>
      <c r="Q2" s="99" t="n">
        <v>0.03516209636849746</v>
      </c>
      <c r="R2" s="99" t="n">
        <v>-0.01771582177986555</v>
      </c>
      <c r="S2" s="99" t="n">
        <v>0.008091366210670033</v>
      </c>
      <c r="U2" s="117">
        <f>C2*S2</f>
        <v/>
      </c>
      <c r="V2" s="117">
        <f>(1+S2)*Q2*(1-U2)+S2</f>
        <v/>
      </c>
      <c r="W2" s="117">
        <f>V2+I2/3</f>
        <v/>
      </c>
      <c r="X2" s="117">
        <f>V2+I2/5</f>
        <v/>
      </c>
      <c r="Y2" s="117" t="n"/>
      <c r="AA2" s="117" t="n"/>
    </row>
    <row r="3">
      <c r="A3" t="inlineStr">
        <is>
          <t>C010101</t>
        </is>
      </c>
      <c r="B3" t="inlineStr">
        <is>
          <t>pe equal</t>
        </is>
      </c>
      <c r="C3" s="168" t="n">
        <v>-125.528633489355</v>
      </c>
      <c r="D3" s="90" t="n">
        <v>39.49784462893486</v>
      </c>
      <c r="E3" s="12" t="n">
        <v>1.314652072049237</v>
      </c>
      <c r="F3" s="90" t="n">
        <v>-16.93700270381914</v>
      </c>
      <c r="G3" s="90" t="n">
        <v>-0.8650745871040217</v>
      </c>
      <c r="H3" s="12" t="n">
        <v>-1.446807059615947</v>
      </c>
      <c r="I3" s="12" t="n">
        <v>0.9343648017173485</v>
      </c>
      <c r="J3" s="12" t="n">
        <v>-0.6356949303343458</v>
      </c>
      <c r="K3" s="90" t="n">
        <v>-0.4288082770828369</v>
      </c>
      <c r="L3" s="7" t="n">
        <v>67.27126725311547</v>
      </c>
      <c r="M3" s="14" t="n">
        <v>1.535903764608575</v>
      </c>
      <c r="N3" s="7" t="n">
        <v>-16.93700270381914</v>
      </c>
      <c r="O3" s="7" t="n">
        <v>-0.8650745871040217</v>
      </c>
      <c r="P3" s="7" t="n">
        <v>-0.2517717206083219</v>
      </c>
      <c r="S3" s="99" t="n">
        <v>0.004738581158556639</v>
      </c>
      <c r="U3" s="117">
        <f>C3*S3</f>
        <v/>
      </c>
      <c r="V3" s="117">
        <f>(1+S3)*R2*(1-U3)+S3</f>
        <v/>
      </c>
      <c r="W3" s="117">
        <f>V3+I3/3</f>
        <v/>
      </c>
      <c r="X3" s="117">
        <f>V3+I3/5</f>
        <v/>
      </c>
      <c r="Y3" s="117" t="n"/>
      <c r="AA3" s="117" t="n"/>
    </row>
    <row r="4">
      <c r="B4" t="inlineStr">
        <is>
          <t>pb weighted</t>
        </is>
      </c>
      <c r="C4" s="165" t="n">
        <v>1.737240535389706</v>
      </c>
      <c r="D4" s="90" t="n">
        <v>1.273769876040261</v>
      </c>
      <c r="E4" s="12" t="n">
        <v>0.2667855428813584</v>
      </c>
      <c r="F4" s="90" t="n">
        <v>4.0451693279084</v>
      </c>
      <c r="G4" s="90" t="n">
        <v>1.328502729186531</v>
      </c>
      <c r="H4" s="12" t="n">
        <v>-0.09331951359760637</v>
      </c>
      <c r="I4" s="12" t="n">
        <v>0.06778169166109649</v>
      </c>
      <c r="J4" s="12" t="n">
        <v>0.5107073821944306</v>
      </c>
      <c r="K4" s="90" t="n">
        <v>3.175745795216577</v>
      </c>
      <c r="L4" s="7" t="n">
        <v>1.273769876040261</v>
      </c>
      <c r="M4" s="14" t="n">
        <v>0.2667855428813584</v>
      </c>
      <c r="N4" s="7" t="n">
        <v>2.093309494264979</v>
      </c>
      <c r="O4" s="7" t="n">
        <v>0.2049623823654325</v>
      </c>
      <c r="P4" s="7" t="n">
        <v>1.643396922505658</v>
      </c>
      <c r="W4" s="117">
        <f>V2+I4/3</f>
        <v/>
      </c>
      <c r="X4" s="117">
        <f>V2+I4/5</f>
        <v/>
      </c>
      <c r="Y4" s="117" t="n"/>
      <c r="AA4" s="117" t="n"/>
    </row>
    <row r="5">
      <c r="B5" t="inlineStr">
        <is>
          <t>pb equal</t>
        </is>
      </c>
      <c r="C5" s="165" t="n">
        <v>2.223842899167476</v>
      </c>
      <c r="D5" s="90" t="n">
        <v>1.412243488249056</v>
      </c>
      <c r="E5" s="12" t="n">
        <v>0.3649535725847599</v>
      </c>
      <c r="F5" s="90" t="n">
        <v>5.748514429168456</v>
      </c>
      <c r="G5" s="90" t="n">
        <v>1.584946279847595</v>
      </c>
      <c r="H5" s="12" t="n">
        <v>-0.1803466682702194</v>
      </c>
      <c r="I5" s="12" t="n">
        <v>0.05031885661317426</v>
      </c>
      <c r="J5" s="12" t="n">
        <v>0.5173401660179808</v>
      </c>
      <c r="K5" s="90" t="n">
        <v>4.070483933542967</v>
      </c>
      <c r="L5" s="7" t="n">
        <v>1.412243488249056</v>
      </c>
      <c r="M5" s="14" t="n">
        <v>0.3649535725847599</v>
      </c>
      <c r="N5" s="7" t="n">
        <v>2.59086500500885</v>
      </c>
      <c r="O5" s="7" t="n">
        <v>0.1650395834970058</v>
      </c>
      <c r="P5" s="7" t="n">
        <v>1.834573872400068</v>
      </c>
      <c r="W5" s="117">
        <f>V3+I5/3</f>
        <v/>
      </c>
      <c r="X5" s="117">
        <f>V3+I5/5</f>
        <v/>
      </c>
      <c r="Y5" s="117" t="n"/>
      <c r="AA5" s="117" t="n"/>
    </row>
    <row r="6">
      <c r="C6" s="101" t="n"/>
      <c r="D6" s="90" t="n"/>
      <c r="F6" s="90" t="n"/>
      <c r="G6" s="90" t="n"/>
      <c r="K6" s="90" t="n"/>
      <c r="L6" s="7" t="n"/>
      <c r="N6" s="7" t="n"/>
      <c r="O6" s="7" t="n"/>
      <c r="P6" s="7" t="n"/>
      <c r="AA6" s="117" t="n"/>
    </row>
    <row r="7">
      <c r="A7" t="inlineStr">
        <is>
          <t>石油天然气</t>
        </is>
      </c>
      <c r="B7" t="inlineStr">
        <is>
          <t>pe weighted</t>
        </is>
      </c>
      <c r="C7" s="167" t="n">
        <v>7.221488694319941</v>
      </c>
      <c r="D7" s="90" t="n">
        <v>6.68982218671106</v>
      </c>
      <c r="E7" s="12" t="n">
        <v>0.07362284012534182</v>
      </c>
      <c r="F7" s="90" t="n">
        <v>-176.9298111080121</v>
      </c>
      <c r="G7" s="90" t="n">
        <v>-25.50046224501828</v>
      </c>
      <c r="H7" s="12" t="n">
        <v>0.5131895536498476</v>
      </c>
      <c r="I7" s="12" t="n">
        <v>1.568008434008168</v>
      </c>
      <c r="J7" s="12" t="n">
        <v>3.524345383638668</v>
      </c>
      <c r="K7" s="90" t="n">
        <v>-26.44761044015083</v>
      </c>
      <c r="L7" s="7" t="n">
        <v>6.68982218671106</v>
      </c>
      <c r="M7" s="14" t="n">
        <v>0.07362284012534182</v>
      </c>
      <c r="N7" s="7" t="n">
        <v>-176.9298111080121</v>
      </c>
      <c r="O7" s="7" t="n">
        <v>-25.50046224501828</v>
      </c>
      <c r="P7" s="7" t="n">
        <v>-26.44761044015083</v>
      </c>
      <c r="Q7" s="99" t="n">
        <v>0.1218060357465675</v>
      </c>
      <c r="R7" s="99" t="n">
        <v>0.06018727252971222</v>
      </c>
      <c r="S7" s="99" t="n">
        <v>0.07751277811706034</v>
      </c>
      <c r="U7" s="117">
        <f>C7*S7</f>
        <v/>
      </c>
      <c r="V7" s="117">
        <f>(1+S7)*Q7*(1-U7)+S7</f>
        <v/>
      </c>
      <c r="W7" s="117">
        <f>V7+I7/3</f>
        <v/>
      </c>
      <c r="X7" s="117">
        <f>V7+I7/5</f>
        <v/>
      </c>
      <c r="Y7" s="117" t="n"/>
      <c r="AA7" s="117" t="n"/>
    </row>
    <row r="8">
      <c r="A8" t="inlineStr">
        <is>
          <t>C010102</t>
        </is>
      </c>
      <c r="B8" t="inlineStr">
        <is>
          <t>pe equal</t>
        </is>
      </c>
      <c r="C8" s="167" t="n">
        <v>25.21873837725333</v>
      </c>
      <c r="D8" s="90" t="n">
        <v>22.82989958547083</v>
      </c>
      <c r="E8" s="12" t="n">
        <v>0.0947247541112991</v>
      </c>
      <c r="F8" s="90" t="n">
        <v>-1.350050636150604</v>
      </c>
      <c r="G8" s="90" t="n">
        <v>-1.05353363106254</v>
      </c>
      <c r="H8" s="12" t="n">
        <v>0.9123036674771041</v>
      </c>
      <c r="I8" s="12" t="n">
        <v>1.99002851316467</v>
      </c>
      <c r="J8" s="12" t="n">
        <v>6.349291539267112</v>
      </c>
      <c r="K8" s="90" t="n">
        <v>-0.05913519816836115</v>
      </c>
      <c r="L8" s="7" t="n">
        <v>22.82989958547083</v>
      </c>
      <c r="M8" s="14" t="n">
        <v>0.0947247541112991</v>
      </c>
      <c r="N8" s="7" t="n">
        <v>-1.350050636150604</v>
      </c>
      <c r="O8" s="7" t="n">
        <v>-1.05353363106254</v>
      </c>
      <c r="P8" s="7" t="n">
        <v>-0.05913519816836115</v>
      </c>
      <c r="S8" s="99" t="n">
        <v>0.0214129254041016</v>
      </c>
      <c r="U8" s="117">
        <f>C8*S8</f>
        <v/>
      </c>
      <c r="V8" s="117">
        <f>(1+S8)*R7*(1-U8)+S8</f>
        <v/>
      </c>
      <c r="W8" s="117">
        <f>V8+I8/3</f>
        <v/>
      </c>
      <c r="X8" s="117">
        <f>V8+I8/5</f>
        <v/>
      </c>
      <c r="Y8" s="117" t="n"/>
      <c r="AA8" s="117" t="n"/>
    </row>
    <row r="9">
      <c r="B9" t="inlineStr">
        <is>
          <t>pb weighted</t>
        </is>
      </c>
      <c r="C9" s="165" t="n">
        <v>0.8796209100437676</v>
      </c>
      <c r="D9" s="90" t="n">
        <v>0.6816939948721024</v>
      </c>
      <c r="E9" s="12" t="n">
        <v>0.2250138814478807</v>
      </c>
      <c r="F9" s="90" t="n">
        <v>2.191888217427701</v>
      </c>
      <c r="G9" s="90" t="n">
        <v>1.491855516848319</v>
      </c>
      <c r="H9" s="12" t="n">
        <v>-0.06548220721656095</v>
      </c>
      <c r="I9" s="12" t="n">
        <v>0.3266779569132547</v>
      </c>
      <c r="J9" s="12" t="n">
        <v>0.4527644044395576</v>
      </c>
      <c r="K9" s="90" t="n">
        <v>3.215355033073068</v>
      </c>
      <c r="L9" s="7" t="n">
        <v>0.6816939948721024</v>
      </c>
      <c r="M9" s="14" t="n">
        <v>0.2250138814478807</v>
      </c>
      <c r="N9" s="7" t="n">
        <v>1.389334535835602</v>
      </c>
      <c r="O9" s="7" t="n">
        <v>0.5794696555888745</v>
      </c>
      <c r="P9" s="7" t="n">
        <v>2.038061866888332</v>
      </c>
      <c r="W9" s="117">
        <f>V7+I9/3</f>
        <v/>
      </c>
      <c r="X9" s="117">
        <f>V7+I9/5</f>
        <v/>
      </c>
      <c r="Y9" s="117" t="n"/>
      <c r="AA9" s="117" t="n"/>
    </row>
    <row r="10">
      <c r="B10" t="inlineStr">
        <is>
          <t>pb equal</t>
        </is>
      </c>
      <c r="C10" s="165" t="n">
        <v>1.517847079567259</v>
      </c>
      <c r="D10" s="90" t="n">
        <v>1.114495222385572</v>
      </c>
      <c r="E10" s="12" t="n">
        <v>0.2657394559777937</v>
      </c>
      <c r="F10" s="90" t="n">
        <v>-5.039297178864091</v>
      </c>
      <c r="G10" s="90" t="n">
        <v>-4.320029564704769</v>
      </c>
      <c r="H10" s="12" t="n">
        <v>-0.0290124459698744</v>
      </c>
      <c r="I10" s="12" t="n">
        <v>0.2528135469553525</v>
      </c>
      <c r="J10" s="12" t="n">
        <v>0.7657869018790644</v>
      </c>
      <c r="K10" s="90" t="n">
        <v>-4.521596035268322</v>
      </c>
      <c r="L10" s="7" t="n">
        <v>1.114495222385572</v>
      </c>
      <c r="M10" s="14" t="n">
        <v>0.2657394559777937</v>
      </c>
      <c r="N10" s="7" t="n">
        <v>-5.039297178864091</v>
      </c>
      <c r="O10" s="7" t="n">
        <v>-4.320029564704769</v>
      </c>
      <c r="P10" s="7" t="n">
        <v>-4.521596035268322</v>
      </c>
      <c r="W10" s="117">
        <f>V8+I10/3</f>
        <v/>
      </c>
      <c r="X10" s="117">
        <f>V8+I10/5</f>
        <v/>
      </c>
      <c r="Y10" s="117" t="n"/>
      <c r="AA10" s="117" t="n"/>
    </row>
    <row r="11">
      <c r="C11" s="101" t="n"/>
      <c r="D11" s="90" t="n"/>
      <c r="F11" s="90" t="n"/>
      <c r="G11" s="90" t="n"/>
      <c r="K11" s="90" t="n"/>
      <c r="L11" s="7" t="n"/>
      <c r="N11" s="7" t="n"/>
      <c r="O11" s="7" t="n"/>
      <c r="P11" s="7" t="n"/>
      <c r="AA11" s="117" t="n"/>
    </row>
    <row r="12">
      <c r="A12" s="128" t="inlineStr">
        <is>
          <t>煤炭</t>
        </is>
      </c>
      <c r="B12" t="inlineStr">
        <is>
          <t>pe weighted</t>
        </is>
      </c>
      <c r="C12" s="167" t="n">
        <v>6.370758297687954</v>
      </c>
      <c r="D12" s="90" t="n">
        <v>6.183615577796775</v>
      </c>
      <c r="E12" s="12" t="n">
        <v>0.02937526604314844</v>
      </c>
      <c r="F12" s="90" t="n">
        <v>-141.5123154727122</v>
      </c>
      <c r="G12" s="90" t="n">
        <v>-23.21278988469382</v>
      </c>
      <c r="H12" s="12" t="n">
        <v>0.4860686512245265</v>
      </c>
      <c r="I12" s="12" t="n">
        <v>0.8022304331791861</v>
      </c>
      <c r="J12" s="12" t="n">
        <v>3.820773868458748</v>
      </c>
      <c r="K12" s="90" t="n">
        <v>-22.88504414485823</v>
      </c>
      <c r="L12" s="7" t="n">
        <v>6.183615577796775</v>
      </c>
      <c r="M12" s="14" t="n">
        <v>0.02937526604314844</v>
      </c>
      <c r="N12" s="7" t="n">
        <v>14.61206433108136</v>
      </c>
      <c r="O12" s="7" t="n">
        <v>1.293614613567164</v>
      </c>
      <c r="P12" s="7" t="n">
        <v>2.363029225741042</v>
      </c>
      <c r="Q12" s="99" t="n">
        <v>0.2130550067050578</v>
      </c>
      <c r="R12" s="99" t="n">
        <v>0.1662321564096986</v>
      </c>
      <c r="S12" s="99" t="n">
        <v>0.06429487370128185</v>
      </c>
      <c r="U12" s="117">
        <f>C12*S12</f>
        <v/>
      </c>
      <c r="V12" s="117">
        <f>(1+S12)*Q12*(1-U12)+S12</f>
        <v/>
      </c>
      <c r="W12" s="117">
        <f>V12+I12/3</f>
        <v/>
      </c>
      <c r="X12" s="117">
        <f>V12+I12/5</f>
        <v/>
      </c>
      <c r="Y12" s="117" t="n"/>
      <c r="AA12" s="117" t="n"/>
    </row>
    <row r="13">
      <c r="A13" t="inlineStr">
        <is>
          <t>C010103</t>
        </is>
      </c>
      <c r="B13" t="inlineStr">
        <is>
          <t>pe equal</t>
        </is>
      </c>
      <c r="C13" s="166" t="n">
        <v>7.581328332161743</v>
      </c>
      <c r="D13" s="90" t="n">
        <v>7.033602207749889</v>
      </c>
      <c r="E13" s="12" t="n">
        <v>0.07224672252859354</v>
      </c>
      <c r="F13" s="90" t="n">
        <v>-11.95362603785155</v>
      </c>
      <c r="G13" s="90" t="n">
        <v>-2.576719212534499</v>
      </c>
      <c r="H13" s="12" t="n">
        <v>0.6242578851268259</v>
      </c>
      <c r="I13" s="12" t="n">
        <v>2.155399624551948</v>
      </c>
      <c r="J13" s="12" t="n">
        <v>-15.68022025755771</v>
      </c>
      <c r="K13" s="90" t="n">
        <v>-1.699502713514363</v>
      </c>
      <c r="L13" s="7" t="n">
        <v>7.033602207749889</v>
      </c>
      <c r="M13" s="14" t="n">
        <v>0.07224672252859354</v>
      </c>
      <c r="N13" s="7" t="n">
        <v>28.54498353141696</v>
      </c>
      <c r="O13" s="7" t="n">
        <v>2.765169147248584</v>
      </c>
      <c r="P13" s="7" t="n">
        <v>4.058373318292726</v>
      </c>
      <c r="S13" s="99" t="n">
        <v>0.03689880767553307</v>
      </c>
      <c r="U13" s="117">
        <f>C13*S13</f>
        <v/>
      </c>
      <c r="V13" s="117">
        <f>(1+S13)*R12*(1-U13)+S13</f>
        <v/>
      </c>
      <c r="W13" s="117">
        <f>V13+I13/3</f>
        <v/>
      </c>
      <c r="X13" s="117">
        <f>V13+I13/5</f>
        <v/>
      </c>
      <c r="Y13" s="117" t="n"/>
      <c r="AA13" s="117" t="n"/>
    </row>
    <row r="14">
      <c r="B14" t="inlineStr">
        <is>
          <t>pb weighted</t>
        </is>
      </c>
      <c r="C14" s="168" t="n">
        <v>1.35732195183021</v>
      </c>
      <c r="D14" s="90" t="n">
        <v>0.8631044470916073</v>
      </c>
      <c r="E14" s="12" t="n">
        <v>0.3641122167605119</v>
      </c>
      <c r="F14" s="90" t="n">
        <v>2.366310793971506</v>
      </c>
      <c r="G14" s="90" t="n">
        <v>0.7433673645230439</v>
      </c>
      <c r="H14" s="12" t="n">
        <v>-0.1891761405983265</v>
      </c>
      <c r="I14" s="12" t="n">
        <v>-0.04729637529821162</v>
      </c>
      <c r="J14" s="12" t="n">
        <v>0.1413426581757291</v>
      </c>
      <c r="K14" s="90" t="n">
        <v>2.741627391615506</v>
      </c>
      <c r="L14" s="7" t="n">
        <v>0.8631044470916073</v>
      </c>
      <c r="M14" s="14" t="n">
        <v>0.3641122167605119</v>
      </c>
      <c r="N14" s="7" t="n">
        <v>1.954223836471547</v>
      </c>
      <c r="O14" s="7" t="n">
        <v>0.4397644080216021</v>
      </c>
      <c r="P14" s="7" t="n">
        <v>2.26418001095542</v>
      </c>
      <c r="W14" s="117">
        <f>V12+I14/3</f>
        <v/>
      </c>
      <c r="X14" s="117">
        <f>V12+I14/5</f>
        <v/>
      </c>
      <c r="Y14" s="117" t="n"/>
      <c r="AA14" s="117" t="n"/>
    </row>
    <row r="15">
      <c r="B15" t="inlineStr">
        <is>
          <t>pb equal</t>
        </is>
      </c>
      <c r="C15" s="165" t="n">
        <v>1.26026055710519</v>
      </c>
      <c r="D15" s="90" t="n">
        <v>0.7876068298310466</v>
      </c>
      <c r="E15" s="12" t="n">
        <v>0.3750444498237936</v>
      </c>
      <c r="F15" s="90" t="n">
        <v>3.231865637518762</v>
      </c>
      <c r="G15" s="90" t="n">
        <v>1.564442423670177</v>
      </c>
      <c r="H15" s="12" t="n">
        <v>-0.1340062987250188</v>
      </c>
      <c r="I15" s="12" t="n">
        <v>0.158229816365467</v>
      </c>
      <c r="J15" s="12" t="n">
        <v>0.4499381317405324</v>
      </c>
      <c r="K15" s="90" t="n">
        <v>4.103399710502822</v>
      </c>
      <c r="L15" s="7" t="n">
        <v>0.7876068298310466</v>
      </c>
      <c r="M15" s="14" t="n">
        <v>0.3750444498237936</v>
      </c>
      <c r="N15" s="7" t="n">
        <v>1.964710732428195</v>
      </c>
      <c r="O15" s="7" t="n">
        <v>0.5589718501871721</v>
      </c>
      <c r="P15" s="7" t="n">
        <v>2.494532370738399</v>
      </c>
      <c r="W15" s="117">
        <f>V13+I15/3</f>
        <v/>
      </c>
      <c r="X15" s="117">
        <f>V13+I15/5</f>
        <v/>
      </c>
      <c r="Y15" s="117" t="n"/>
      <c r="AA15" s="117" t="n"/>
    </row>
    <row r="16">
      <c r="C16" s="101" t="n"/>
      <c r="D16" s="90" t="n"/>
      <c r="F16" s="90" t="n"/>
      <c r="G16" s="90" t="n"/>
      <c r="K16" s="90" t="n"/>
      <c r="L16" s="7" t="n"/>
      <c r="N16" s="7" t="n"/>
      <c r="O16" s="7" t="n"/>
      <c r="P16" s="7" t="n"/>
      <c r="AA16" s="117" t="n"/>
    </row>
    <row r="17">
      <c r="A17" t="inlineStr">
        <is>
          <t>可替代能源</t>
        </is>
      </c>
      <c r="B17" t="inlineStr">
        <is>
          <t>pe weighted</t>
        </is>
      </c>
      <c r="C17" s="165" t="n">
        <v>20.74769856452705</v>
      </c>
      <c r="D17" s="90" t="n">
        <v>11.924218618281</v>
      </c>
      <c r="E17" s="12" t="n">
        <v>0.4252751175656567</v>
      </c>
      <c r="F17" s="90" t="n">
        <v>-66.92378660214131</v>
      </c>
      <c r="G17" s="90" t="n">
        <v>-4.225600487398774</v>
      </c>
      <c r="H17" s="12" t="n">
        <v>-0.1195372323091101</v>
      </c>
      <c r="I17" s="12" t="n">
        <v>0.34938016322805</v>
      </c>
      <c r="J17" s="12" t="n">
        <v>3.239987424624148</v>
      </c>
      <c r="K17" s="90" t="n">
        <v>-5.61242532903083</v>
      </c>
      <c r="L17" s="7" t="n">
        <v>11.924218618281</v>
      </c>
      <c r="M17" s="14" t="n">
        <v>0.4252751175656567</v>
      </c>
      <c r="N17" s="7" t="n">
        <v>44.79202879974764</v>
      </c>
      <c r="O17" s="7" t="n">
        <v>1.158891438510191</v>
      </c>
      <c r="P17" s="7" t="n">
        <v>3.756391109022192</v>
      </c>
      <c r="Q17" s="99" t="n">
        <v>0.1042550924222555</v>
      </c>
      <c r="R17" s="99" t="n">
        <v>0.03371507164778598</v>
      </c>
      <c r="S17" s="99" t="n">
        <v>0.01384082463647241</v>
      </c>
      <c r="U17" s="117">
        <f>C17*S17</f>
        <v/>
      </c>
      <c r="V17" s="117">
        <f>(1+S17)*Q17*(1-U17)+S17</f>
        <v/>
      </c>
      <c r="W17" s="117">
        <f>V17+I17/3</f>
        <v/>
      </c>
      <c r="X17" s="117">
        <f>V17+I17/5</f>
        <v/>
      </c>
      <c r="Y17" s="117" t="n"/>
      <c r="AA17" s="117" t="n"/>
    </row>
    <row r="18">
      <c r="A18" t="inlineStr">
        <is>
          <t>C010104</t>
        </is>
      </c>
      <c r="B18" t="inlineStr">
        <is>
          <t>pe equal</t>
        </is>
      </c>
      <c r="C18" s="168" t="n">
        <v>52.84806435153421</v>
      </c>
      <c r="D18" s="90" t="n">
        <v>12.48104200514821</v>
      </c>
      <c r="E18" s="12" t="n">
        <v>0.7638316150592207</v>
      </c>
      <c r="F18" s="90" t="n">
        <v>-71.7138812380028</v>
      </c>
      <c r="G18" s="90" t="n">
        <v>-2.356982173670111</v>
      </c>
      <c r="H18" s="12" t="n">
        <v>-0.5883736930887968</v>
      </c>
      <c r="I18" s="12" t="n">
        <v>-0.358698805411681</v>
      </c>
      <c r="J18" s="12" t="n">
        <v>1.027013151364504</v>
      </c>
      <c r="K18" s="90" t="n">
        <v>-5.745824844465877</v>
      </c>
      <c r="L18" s="7" t="n">
        <v>12.48104200514821</v>
      </c>
      <c r="M18" s="14" t="n">
        <v>0.7638316150592207</v>
      </c>
      <c r="N18" s="7" t="n">
        <v>-254.274621123252</v>
      </c>
      <c r="O18" s="7" t="n">
        <v>-5.811427329331699</v>
      </c>
      <c r="P18" s="7" t="n">
        <v>-20.37286798797474</v>
      </c>
      <c r="S18" s="99" t="n">
        <v>0.009169191516504544</v>
      </c>
      <c r="U18" s="117">
        <f>C18*S18</f>
        <v/>
      </c>
      <c r="V18" s="117">
        <f>(1+S18)*R17*(1-U18)+S18</f>
        <v/>
      </c>
      <c r="W18" s="117">
        <f>V18+I18/3</f>
        <v/>
      </c>
      <c r="X18" s="117">
        <f>V18+I18/5</f>
        <v/>
      </c>
      <c r="Y18" s="117" t="n"/>
      <c r="AA18" s="117" t="n"/>
    </row>
    <row r="19">
      <c r="B19" t="inlineStr">
        <is>
          <t>pb weighted</t>
        </is>
      </c>
      <c r="C19" s="165" t="n">
        <v>2.163053231393866</v>
      </c>
      <c r="D19" s="90" t="n">
        <v>1.266341152421479</v>
      </c>
      <c r="E19" s="12" t="n">
        <v>0.4145584888794198</v>
      </c>
      <c r="F19" s="90" t="n">
        <v>8.206625366376597</v>
      </c>
      <c r="G19" s="90" t="n">
        <v>2.794000650223604</v>
      </c>
      <c r="H19" s="12" t="n">
        <v>-0.1939844119868842</v>
      </c>
      <c r="I19" s="12" t="n">
        <v>0.3326842440303854</v>
      </c>
      <c r="J19" s="12" t="n">
        <v>0.955912789586076</v>
      </c>
      <c r="K19" s="90" t="n">
        <v>6.480580174374028</v>
      </c>
      <c r="L19" s="7" t="n">
        <v>1.266341152421479</v>
      </c>
      <c r="M19" s="14" t="n">
        <v>0.4145584888794198</v>
      </c>
      <c r="N19" s="7" t="n">
        <v>3.650410659528352</v>
      </c>
      <c r="O19" s="7" t="n">
        <v>0.6876194291233584</v>
      </c>
      <c r="P19" s="7" t="n">
        <v>2.882643948313683</v>
      </c>
      <c r="W19" s="117">
        <f>V17+I19/3</f>
        <v/>
      </c>
      <c r="X19" s="117">
        <f>V17+I19/5</f>
        <v/>
      </c>
      <c r="Y19" s="117" t="n"/>
      <c r="AA19" s="117" t="n"/>
    </row>
    <row r="20">
      <c r="B20" t="inlineStr">
        <is>
          <t>pb equal</t>
        </is>
      </c>
      <c r="C20" s="165" t="n">
        <v>1.78177627605878</v>
      </c>
      <c r="D20" s="90" t="n">
        <v>1.307250810693408</v>
      </c>
      <c r="E20" s="12" t="n">
        <v>0.266321575689067</v>
      </c>
      <c r="F20" s="90" t="n">
        <v>8.606298059216174</v>
      </c>
      <c r="G20" s="90" t="n">
        <v>3.830178836061827</v>
      </c>
      <c r="H20" s="12" t="n">
        <v>-0.009378466212045522</v>
      </c>
      <c r="I20" s="12" t="n">
        <v>0.3402474856790432</v>
      </c>
      <c r="J20" s="12" t="n">
        <v>1.528224735604819</v>
      </c>
      <c r="K20" s="90" t="n">
        <v>6.583509445024646</v>
      </c>
      <c r="L20" s="7" t="n">
        <v>1.307250810693408</v>
      </c>
      <c r="M20" s="14" t="n">
        <v>0.266321575689067</v>
      </c>
      <c r="N20" s="7" t="n">
        <v>3.685883582114946</v>
      </c>
      <c r="O20" s="7" t="n">
        <v>1.06865678460372</v>
      </c>
      <c r="P20" s="7" t="n">
        <v>2.819568786620095</v>
      </c>
      <c r="W20" s="117">
        <f>V18+I20/3</f>
        <v/>
      </c>
      <c r="X20" s="117">
        <f>V18+I20/5</f>
        <v/>
      </c>
      <c r="Y20" s="117" t="n"/>
      <c r="AA20" s="117" t="n"/>
    </row>
    <row r="21">
      <c r="C21" s="101" t="n"/>
      <c r="D21" s="90" t="n"/>
      <c r="F21" s="90" t="n"/>
      <c r="G21" s="90" t="n"/>
      <c r="K21" s="90" t="n"/>
      <c r="L21" s="7" t="n"/>
      <c r="N21" s="7" t="n"/>
      <c r="O21" s="7" t="n"/>
      <c r="P21" s="7" t="n"/>
      <c r="AA21" s="117" t="n"/>
    </row>
    <row r="22">
      <c r="A22" s="128" t="inlineStr">
        <is>
          <t>化学原料</t>
        </is>
      </c>
      <c r="B22" t="inlineStr">
        <is>
          <t>pe weighted</t>
        </is>
      </c>
      <c r="C22" s="167" t="n">
        <v>16.29554369696481</v>
      </c>
      <c r="D22" s="90" t="n">
        <v>12.46285296832662</v>
      </c>
      <c r="E22" s="12" t="n">
        <v>0.2351987021673948</v>
      </c>
      <c r="F22" s="90" t="n">
        <v>129.3741749156888</v>
      </c>
      <c r="G22" s="90" t="n">
        <v>6.93923647603031</v>
      </c>
      <c r="H22" s="12" t="n">
        <v>0.1155546977638366</v>
      </c>
      <c r="I22" s="12" t="n">
        <v>1.299927561365843</v>
      </c>
      <c r="J22" s="12" t="n">
        <v>3.763227236908457</v>
      </c>
      <c r="K22" s="90" t="n">
        <v>10.38078321588832</v>
      </c>
      <c r="L22" s="7" t="n">
        <v>12.46285296832662</v>
      </c>
      <c r="M22" s="14" t="n">
        <v>0.2351987021673948</v>
      </c>
      <c r="N22" s="7" t="n">
        <v>60.86847548253929</v>
      </c>
      <c r="O22" s="7" t="n">
        <v>2.735283499247502</v>
      </c>
      <c r="P22" s="7" t="n">
        <v>4.883992103351604</v>
      </c>
      <c r="Q22" s="99" t="n">
        <v>0.1582432835182215</v>
      </c>
      <c r="R22" s="99" t="n">
        <v>0.102892863446129</v>
      </c>
      <c r="S22" s="99" t="n">
        <v>0.02073893800251114</v>
      </c>
      <c r="U22" s="117">
        <f>C22*S22</f>
        <v/>
      </c>
      <c r="V22" s="117">
        <f>(1+S22)*Q22*(1-U22)+S22</f>
        <v/>
      </c>
      <c r="W22" s="117">
        <f>V22+I22/3</f>
        <v/>
      </c>
      <c r="X22" s="117">
        <f>V22+I22/5</f>
        <v/>
      </c>
      <c r="Y22" s="117" t="n"/>
      <c r="AA22" s="117" t="n"/>
    </row>
    <row r="23">
      <c r="A23" t="inlineStr">
        <is>
          <t>C020101</t>
        </is>
      </c>
      <c r="B23" t="inlineStr">
        <is>
          <t>pe equal</t>
        </is>
      </c>
      <c r="C23" s="167" t="n">
        <v>23.07103723736424</v>
      </c>
      <c r="D23" s="90" t="n">
        <v>17.80278717482296</v>
      </c>
      <c r="E23" s="12" t="n">
        <v>0.2283490771714931</v>
      </c>
      <c r="F23" s="90" t="n">
        <v>-49.79429103695042</v>
      </c>
      <c r="G23" s="90" t="n">
        <v>-3.158303093382688</v>
      </c>
      <c r="H23" s="12" t="n">
        <v>0.198858937669097</v>
      </c>
      <c r="I23" s="12" t="n">
        <v>3.296268273266631</v>
      </c>
      <c r="J23" s="12" t="n">
        <v>11.06017097871918</v>
      </c>
      <c r="K23" s="90" t="n">
        <v>-2.796994119402295</v>
      </c>
      <c r="L23" s="7" t="n">
        <v>17.80278717482296</v>
      </c>
      <c r="M23" s="14" t="n">
        <v>0.2283490771714931</v>
      </c>
      <c r="N23" s="7" t="n">
        <v>413.6396277714412</v>
      </c>
      <c r="O23" s="7" t="n">
        <v>16.92895670514282</v>
      </c>
      <c r="P23" s="7" t="n">
        <v>23.2345432043595</v>
      </c>
      <c r="S23" s="99" t="n">
        <v>0.01368271364719282</v>
      </c>
      <c r="U23" s="117">
        <f>C23*S23</f>
        <v/>
      </c>
      <c r="V23" s="117">
        <f>(1+S23)*R22*(1-U23)+S23</f>
        <v/>
      </c>
      <c r="W23" s="117">
        <f>V23+I23/3</f>
        <v/>
      </c>
      <c r="X23" s="117">
        <f>V23+I23/5</f>
        <v/>
      </c>
      <c r="Y23" s="117" t="n"/>
      <c r="AA23" s="117" t="n"/>
    </row>
    <row r="24">
      <c r="B24" t="inlineStr">
        <is>
          <t>pb weighted</t>
        </is>
      </c>
      <c r="C24" s="165" t="n">
        <v>2.57866034132237</v>
      </c>
      <c r="D24" s="90" t="n">
        <v>1.756413448322554</v>
      </c>
      <c r="E24" s="12" t="n">
        <v>0.3188659164696958</v>
      </c>
      <c r="F24" s="90" t="n">
        <v>6.106874526685879</v>
      </c>
      <c r="G24" s="90" t="n">
        <v>1.368235330890534</v>
      </c>
      <c r="H24" s="12" t="n">
        <v>-0.1016704599008865</v>
      </c>
      <c r="I24" s="12" t="n">
        <v>0.1232668213969816</v>
      </c>
      <c r="J24" s="12" t="n">
        <v>0.3641334986659031</v>
      </c>
      <c r="K24" s="90" t="n">
        <v>3.476900346281333</v>
      </c>
      <c r="L24" s="7" t="n">
        <v>1.756413448322554</v>
      </c>
      <c r="M24" s="14" t="n">
        <v>0.3188659164696958</v>
      </c>
      <c r="N24" s="7" t="n">
        <v>4.806313971971934</v>
      </c>
      <c r="O24" s="7" t="n">
        <v>0.863880207467415</v>
      </c>
      <c r="P24" s="7" t="n">
        <v>2.736436558580304</v>
      </c>
      <c r="W24" s="117">
        <f>V22+I24/3</f>
        <v/>
      </c>
      <c r="X24" s="117">
        <f>V22+I24/5</f>
        <v/>
      </c>
      <c r="Y24" s="117" t="n"/>
      <c r="AA24" s="117" t="n"/>
    </row>
    <row r="25">
      <c r="B25" t="inlineStr">
        <is>
          <t>pb equal</t>
        </is>
      </c>
      <c r="C25" s="165" t="n">
        <v>2.373845084024675</v>
      </c>
      <c r="D25" s="90" t="n">
        <v>1.775650453646921</v>
      </c>
      <c r="E25" s="12" t="n">
        <v>0.2519939630447831</v>
      </c>
      <c r="F25" s="90" t="n">
        <v>6.11988215404851</v>
      </c>
      <c r="G25" s="90" t="n">
        <v>1.578046139250465</v>
      </c>
      <c r="H25" s="12" t="n">
        <v>-0.09091799519473831</v>
      </c>
      <c r="I25" s="12" t="n">
        <v>0.06824456431744341</v>
      </c>
      <c r="J25" s="12" t="n">
        <v>0.4270620596676589</v>
      </c>
      <c r="K25" s="90" t="n">
        <v>3.446557931195966</v>
      </c>
      <c r="L25" s="7" t="n">
        <v>1.775650453646921</v>
      </c>
      <c r="M25" s="14" t="n">
        <v>0.2519939630447831</v>
      </c>
      <c r="N25" s="7" t="n">
        <v>3.685306381195669</v>
      </c>
      <c r="O25" s="7" t="n">
        <v>0.5524628822650512</v>
      </c>
      <c r="P25" s="7" t="n">
        <v>2.075468386036565</v>
      </c>
      <c r="W25" s="117">
        <f>V23+I25/3</f>
        <v/>
      </c>
      <c r="X25" s="117">
        <f>V23+I25/5</f>
        <v/>
      </c>
      <c r="Y25" s="117" t="n"/>
      <c r="AA25" s="117" t="n"/>
    </row>
    <row r="26">
      <c r="C26" s="101" t="n"/>
      <c r="D26" s="90" t="n"/>
      <c r="F26" s="90" t="n"/>
      <c r="G26" s="90" t="n"/>
      <c r="K26" s="90" t="n"/>
      <c r="L26" s="7" t="n"/>
      <c r="N26" s="7" t="n"/>
      <c r="O26" s="7" t="n"/>
      <c r="P26" s="7" t="n"/>
      <c r="AA26" s="117" t="n"/>
    </row>
    <row r="27">
      <c r="A27" t="inlineStr">
        <is>
          <t>化学制品</t>
        </is>
      </c>
      <c r="B27" t="inlineStr">
        <is>
          <t>pe weighted</t>
        </is>
      </c>
      <c r="C27" s="165" t="n">
        <v>28.76538905687529</v>
      </c>
      <c r="D27" s="90" t="n">
        <v>17.74093064039387</v>
      </c>
      <c r="E27" s="12" t="n">
        <v>0.3832542780729898</v>
      </c>
      <c r="F27" s="90" t="n">
        <v>82.84096357591693</v>
      </c>
      <c r="G27" s="90" t="n">
        <v>1.879883300452593</v>
      </c>
      <c r="H27" s="12" t="n">
        <v>-0.05970775334584155</v>
      </c>
      <c r="I27" s="12" t="n">
        <v>0.1540949893179917</v>
      </c>
      <c r="J27" s="12" t="n">
        <v>0.6145438897237239</v>
      </c>
      <c r="K27" s="90" t="n">
        <v>4.669482410764769</v>
      </c>
      <c r="L27" s="7" t="n">
        <v>17.74093064039387</v>
      </c>
      <c r="M27" s="14" t="n">
        <v>0.3832542780729898</v>
      </c>
      <c r="N27" s="7" t="n">
        <v>40.71805083041893</v>
      </c>
      <c r="O27" s="7" t="n">
        <v>0.4155223400563324</v>
      </c>
      <c r="P27" s="7" t="n">
        <v>2.295147399861259</v>
      </c>
      <c r="Q27" s="99" t="n">
        <v>0.09197189003359821</v>
      </c>
      <c r="R27" s="99" t="n">
        <v>0.05348379705895327</v>
      </c>
      <c r="S27" s="99" t="n">
        <v>0.008774966495565802</v>
      </c>
      <c r="U27" s="117">
        <f>C27*S27</f>
        <v/>
      </c>
      <c r="V27" s="117">
        <f>(1+S27)*Q27*(1-U27)+S27</f>
        <v/>
      </c>
      <c r="W27" s="117">
        <f>V27+I27/3</f>
        <v/>
      </c>
      <c r="X27" s="117">
        <f>V27+I27/5</f>
        <v/>
      </c>
      <c r="Y27" s="117" t="n"/>
      <c r="AA27" s="117" t="n"/>
    </row>
    <row r="28">
      <c r="A28" t="inlineStr">
        <is>
          <t>C020102</t>
        </is>
      </c>
      <c r="B28" t="inlineStr">
        <is>
          <t>pe equal</t>
        </is>
      </c>
      <c r="C28" s="165" t="n">
        <v>45.3531999934422</v>
      </c>
      <c r="D28" s="90" t="n">
        <v>18.91974303085349</v>
      </c>
      <c r="E28" s="12" t="n">
        <v>0.5828355433885775</v>
      </c>
      <c r="F28" s="90" t="n">
        <v>-72.17525651049444</v>
      </c>
      <c r="G28" s="90" t="n">
        <v>-2.591403837456465</v>
      </c>
      <c r="H28" s="12" t="n">
        <v>-0.1162047036540241</v>
      </c>
      <c r="I28" s="12" t="n">
        <v>0.06923003749984025</v>
      </c>
      <c r="J28" s="12" t="n">
        <v>0.5815536588991972</v>
      </c>
      <c r="K28" s="90" t="n">
        <v>-3.814811670158215</v>
      </c>
      <c r="L28" s="7" t="n">
        <v>25.88245884541386</v>
      </c>
      <c r="M28" s="14" t="n">
        <v>0.4293135027041904</v>
      </c>
      <c r="N28" s="7" t="n">
        <v>-72.17525651049444</v>
      </c>
      <c r="O28" s="7" t="n">
        <v>-2.591403837456465</v>
      </c>
      <c r="P28" s="7" t="n">
        <v>-2.788578045910164</v>
      </c>
      <c r="S28" s="99" t="n">
        <v>0.009513071321892476</v>
      </c>
      <c r="U28" s="117">
        <f>C28*S28</f>
        <v/>
      </c>
      <c r="V28" s="117">
        <f>(1+S28)*R27*(1-U28)+S28</f>
        <v/>
      </c>
      <c r="W28" s="117">
        <f>V28+I28/3</f>
        <v/>
      </c>
      <c r="X28" s="117">
        <f>V28+I28/5</f>
        <v/>
      </c>
      <c r="Y28" s="117" t="n"/>
      <c r="AA28" s="117" t="n"/>
    </row>
    <row r="29">
      <c r="B29" t="inlineStr">
        <is>
          <t>pb weighted</t>
        </is>
      </c>
      <c r="C29" s="165" t="n">
        <v>2.645607199112604</v>
      </c>
      <c r="D29" s="90" t="n">
        <v>1.796709475610893</v>
      </c>
      <c r="E29" s="12" t="n">
        <v>0.3208706582694703</v>
      </c>
      <c r="F29" s="90" t="n">
        <v>7.356719584784491</v>
      </c>
      <c r="G29" s="90" t="n">
        <v>1.780730105078373</v>
      </c>
      <c r="H29" s="12" t="n">
        <v>-0.1175230245042311</v>
      </c>
      <c r="I29" s="12" t="n">
        <v>0.1147699703091745</v>
      </c>
      <c r="J29" s="12" t="n">
        <v>0.3936864119894292</v>
      </c>
      <c r="K29" s="90" t="n">
        <v>4.094551559195822</v>
      </c>
      <c r="L29" s="7" t="n">
        <v>1.796709475610893</v>
      </c>
      <c r="M29" s="14" t="n">
        <v>0.3208706582694703</v>
      </c>
      <c r="N29" s="7" t="n">
        <v>4.105623295552758</v>
      </c>
      <c r="O29" s="7" t="n">
        <v>0.5518642740803987</v>
      </c>
      <c r="P29" s="7" t="n">
        <v>2.285079113392452</v>
      </c>
      <c r="W29" s="117">
        <f>V27+I29/3</f>
        <v/>
      </c>
      <c r="X29" s="117">
        <f>V27+I29/5</f>
        <v/>
      </c>
      <c r="Y29" s="117" t="n"/>
      <c r="AA29" s="117" t="n"/>
    </row>
    <row r="30">
      <c r="B30" t="inlineStr">
        <is>
          <t>pb equal</t>
        </is>
      </c>
      <c r="C30" s="165" t="n">
        <v>2.425661344423383</v>
      </c>
      <c r="D30" s="90" t="n">
        <v>1.855560672809637</v>
      </c>
      <c r="E30" s="12" t="n">
        <v>0.2350289635131516</v>
      </c>
      <c r="F30" s="90" t="n">
        <v>6.560057841580282</v>
      </c>
      <c r="G30" s="90" t="n">
        <v>1.704440937998997</v>
      </c>
      <c r="H30" s="12" t="n">
        <v>-0.06609771794610142</v>
      </c>
      <c r="I30" s="12" t="n">
        <v>0.08060613590960664</v>
      </c>
      <c r="J30" s="12" t="n">
        <v>0.5189335999418343</v>
      </c>
      <c r="K30" s="90" t="n">
        <v>3.535350763630503</v>
      </c>
      <c r="L30" s="7" t="n">
        <v>1.855560672809637</v>
      </c>
      <c r="M30" s="14" t="n">
        <v>0.2350289635131516</v>
      </c>
      <c r="N30" s="7" t="n">
        <v>3.554013312631138</v>
      </c>
      <c r="O30" s="7" t="n">
        <v>0.4651729190481788</v>
      </c>
      <c r="P30" s="7" t="n">
        <v>1.915331233685693</v>
      </c>
      <c r="W30" s="117">
        <f>V28+I30/3</f>
        <v/>
      </c>
      <c r="X30" s="117">
        <f>V28+I30/5</f>
        <v/>
      </c>
      <c r="Y30" s="117" t="n"/>
      <c r="AA30" s="117" t="n"/>
    </row>
    <row r="31">
      <c r="C31" s="101" t="n"/>
      <c r="D31" s="90" t="n"/>
      <c r="F31" s="90" t="n"/>
      <c r="G31" s="90" t="n"/>
      <c r="K31" s="90" t="n"/>
      <c r="L31" s="7" t="n"/>
      <c r="N31" s="7" t="n"/>
      <c r="O31" s="7" t="n"/>
      <c r="P31" s="7" t="n"/>
      <c r="AA31" s="117" t="n"/>
    </row>
    <row r="32">
      <c r="A32" t="inlineStr">
        <is>
          <t>农用化工</t>
        </is>
      </c>
      <c r="B32" t="inlineStr">
        <is>
          <t>pe weighted</t>
        </is>
      </c>
      <c r="C32" s="167" t="n">
        <v>11.75646273469134</v>
      </c>
      <c r="D32" s="90" t="n">
        <v>10.45471655643038</v>
      </c>
      <c r="E32" s="12" t="n">
        <v>0.1107260072725551</v>
      </c>
      <c r="F32" s="90" t="n">
        <v>-377.4765269800778</v>
      </c>
      <c r="G32" s="90" t="n">
        <v>-33.10800182832276</v>
      </c>
      <c r="H32" s="12" t="n">
        <v>1.155087354949259</v>
      </c>
      <c r="I32" s="12" t="n">
        <v>2.480024605116908</v>
      </c>
      <c r="J32" s="12" t="n">
        <v>8.963307172239878</v>
      </c>
      <c r="K32" s="90" t="n">
        <v>-36.10585948864424</v>
      </c>
      <c r="L32" s="7" t="n">
        <v>10.45471655643038</v>
      </c>
      <c r="M32" s="14" t="n">
        <v>0.1107260072725551</v>
      </c>
      <c r="N32" s="7" t="n">
        <v>213.3043609758982</v>
      </c>
      <c r="O32" s="7" t="n">
        <v>17.14358330303494</v>
      </c>
      <c r="P32" s="7" t="n">
        <v>20.40269191656862</v>
      </c>
      <c r="Q32" s="99" t="n">
        <v>0.2160863748864986</v>
      </c>
      <c r="R32" s="99" t="n">
        <v>0.1055897791008117</v>
      </c>
      <c r="S32" s="99" t="n">
        <v>0.01524610919925393</v>
      </c>
      <c r="U32" s="117">
        <f>C32*S32</f>
        <v/>
      </c>
      <c r="V32" s="117">
        <f>(1+S32)*Q32*(1-U32)+S32</f>
        <v/>
      </c>
      <c r="W32" s="117">
        <f>V32+I32/3</f>
        <v/>
      </c>
      <c r="X32" s="117">
        <f>V32+I32/5</f>
        <v/>
      </c>
      <c r="Y32" s="117" t="n"/>
      <c r="AA32" s="117" t="n"/>
    </row>
    <row r="33">
      <c r="A33" t="inlineStr">
        <is>
          <t>C020103</t>
        </is>
      </c>
      <c r="B33" t="inlineStr">
        <is>
          <t>pe equal</t>
        </is>
      </c>
      <c r="C33" s="166" t="n">
        <v>19.64626134783037</v>
      </c>
      <c r="D33" s="90" t="n">
        <v>16.97357675145808</v>
      </c>
      <c r="E33" s="12" t="n">
        <v>0.1360403666149667</v>
      </c>
      <c r="F33" s="90" t="n">
        <v>-30.53099917959688</v>
      </c>
      <c r="G33" s="90" t="n">
        <v>-2.554036090585172</v>
      </c>
      <c r="H33" s="12" t="n">
        <v>0.8607308383215955</v>
      </c>
      <c r="I33" s="12" t="n">
        <v>5.415034374445968</v>
      </c>
      <c r="J33" s="12" t="n">
        <v>-7.542363890751974</v>
      </c>
      <c r="K33" s="90" t="n">
        <v>-1.798736920724395</v>
      </c>
      <c r="L33" s="7" t="n">
        <v>16.97357675145808</v>
      </c>
      <c r="M33" s="14" t="n">
        <v>0.1360403666149667</v>
      </c>
      <c r="N33" s="7" t="n">
        <v>-30.53099917959688</v>
      </c>
      <c r="O33" s="7" t="n">
        <v>-2.554036090585172</v>
      </c>
      <c r="P33" s="7" t="n">
        <v>-1.798736920724395</v>
      </c>
      <c r="S33" s="99" t="n">
        <v>0.01443903998995285</v>
      </c>
      <c r="U33" s="117">
        <f>C33*S33</f>
        <v/>
      </c>
      <c r="V33" s="117">
        <f>(1+S33)*R32*(1-U33)+S33</f>
        <v/>
      </c>
      <c r="W33" s="117">
        <f>V33+I33/3</f>
        <v/>
      </c>
      <c r="X33" s="117">
        <f>V33+I33/5</f>
        <v/>
      </c>
      <c r="Y33" s="117" t="n"/>
      <c r="AA33" s="117" t="n"/>
    </row>
    <row r="34">
      <c r="B34" t="inlineStr">
        <is>
          <t>pb weighted</t>
        </is>
      </c>
      <c r="C34" s="168" t="n">
        <v>2.540411413827663</v>
      </c>
      <c r="D34" s="90" t="n">
        <v>1.416910701590625</v>
      </c>
      <c r="E34" s="12" t="n">
        <v>0.4422514818354749</v>
      </c>
      <c r="F34" s="90" t="n">
        <v>5.221466895587119</v>
      </c>
      <c r="G34" s="90" t="n">
        <v>1.055362712970921</v>
      </c>
      <c r="H34" s="12" t="n">
        <v>-0.3049727823657861</v>
      </c>
      <c r="I34" s="12" t="n">
        <v>-0.05807289577906372</v>
      </c>
      <c r="J34" s="12" t="n">
        <v>0.1093117753560437</v>
      </c>
      <c r="K34" s="90" t="n">
        <v>3.685106541806408</v>
      </c>
      <c r="L34" s="7" t="n">
        <v>1.416910701590625</v>
      </c>
      <c r="M34" s="14" t="n">
        <v>0.4422514818354749</v>
      </c>
      <c r="N34" s="7" t="n">
        <v>4.364475447932573</v>
      </c>
      <c r="O34" s="7" t="n">
        <v>0.7180191461022352</v>
      </c>
      <c r="P34" s="7" t="n">
        <v>3.08027559043277</v>
      </c>
      <c r="W34" s="117">
        <f>V32+I34/3</f>
        <v/>
      </c>
      <c r="X34" s="117">
        <f>V32+I34/5</f>
        <v/>
      </c>
      <c r="Y34" s="117" t="n"/>
      <c r="AA34" s="117" t="n"/>
    </row>
    <row r="35">
      <c r="B35" t="inlineStr">
        <is>
          <t>pb equal</t>
        </is>
      </c>
      <c r="C35" s="165" t="n">
        <v>2.074444395874225</v>
      </c>
      <c r="D35" s="90" t="n">
        <v>1.465090951505426</v>
      </c>
      <c r="E35" s="12" t="n">
        <v>0.2937429634560058</v>
      </c>
      <c r="F35" s="90" t="n">
        <v>5.216698601676788</v>
      </c>
      <c r="G35" s="90" t="n">
        <v>1.514744965954287</v>
      </c>
      <c r="H35" s="12" t="n">
        <v>-0.1512735091961562</v>
      </c>
      <c r="I35" s="12" t="n">
        <v>0.01011916796613255</v>
      </c>
      <c r="J35" s="12" t="n">
        <v>0.2949113217228561</v>
      </c>
      <c r="K35" s="90" t="n">
        <v>3.560665360956922</v>
      </c>
      <c r="L35" s="7" t="n">
        <v>1.465090951505426</v>
      </c>
      <c r="M35" s="14" t="n">
        <v>0.2937429634560058</v>
      </c>
      <c r="N35" s="7" t="n">
        <v>2.641210834021154</v>
      </c>
      <c r="O35" s="7" t="n">
        <v>0.273213608074599</v>
      </c>
      <c r="P35" s="7" t="n">
        <v>1.802762368648327</v>
      </c>
      <c r="W35" s="117">
        <f>V33+I35/3</f>
        <v/>
      </c>
      <c r="X35" s="117">
        <f>V33+I35/5</f>
        <v/>
      </c>
      <c r="Y35" s="117" t="n"/>
      <c r="AA35" s="117" t="n"/>
    </row>
    <row r="36">
      <c r="C36" s="101" t="n"/>
      <c r="D36" s="90" t="n"/>
      <c r="F36" s="90" t="n"/>
      <c r="G36" s="90" t="n"/>
      <c r="K36" s="90" t="n"/>
      <c r="L36" s="7" t="n"/>
      <c r="N36" s="7" t="n"/>
      <c r="O36" s="7" t="n"/>
      <c r="P36" s="7" t="n"/>
      <c r="AA36" s="117" t="n"/>
    </row>
    <row r="37">
      <c r="A37" t="inlineStr">
        <is>
          <t>合成纤维</t>
        </is>
      </c>
      <c r="B37" t="inlineStr">
        <is>
          <t>pe weighted</t>
        </is>
      </c>
      <c r="C37" s="165" t="n">
        <v>19.99928618420792</v>
      </c>
      <c r="D37" s="90" t="n">
        <v>9.370917740558573</v>
      </c>
      <c r="E37" s="12" t="n">
        <v>0.5314373896025273</v>
      </c>
      <c r="F37" s="90" t="n">
        <v>-45.16381529592817</v>
      </c>
      <c r="G37" s="90" t="n">
        <v>-3.25827136428454</v>
      </c>
      <c r="H37" s="12" t="n">
        <v>-0.1044417433735777</v>
      </c>
      <c r="I37" s="12" t="n">
        <v>0.4909147974262364</v>
      </c>
      <c r="J37" s="12" t="n">
        <v>5.858983546346239</v>
      </c>
      <c r="K37" s="90" t="n">
        <v>-4.819572270969064</v>
      </c>
      <c r="L37" s="7" t="n">
        <v>9.370917740558573</v>
      </c>
      <c r="M37" s="14" t="n">
        <v>0.5314373896025273</v>
      </c>
      <c r="N37" s="7" t="n">
        <v>33.85415512586319</v>
      </c>
      <c r="O37" s="7" t="n">
        <v>0.6927681725258534</v>
      </c>
      <c r="P37" s="7" t="n">
        <v>3.612682990411699</v>
      </c>
      <c r="Q37" s="99" t="n">
        <v>0.1125568626747708</v>
      </c>
      <c r="R37" s="99" t="n">
        <v>0.03259604147548769</v>
      </c>
      <c r="S37" s="99" t="n">
        <v>0.02346347722556025</v>
      </c>
      <c r="U37" s="117">
        <f>C37*S37</f>
        <v/>
      </c>
      <c r="V37" s="117">
        <f>(1+S37)*Q37*(1-U37)+S37</f>
        <v/>
      </c>
      <c r="W37" s="117">
        <f>V37+I37/3</f>
        <v/>
      </c>
      <c r="X37" s="117">
        <f>V37+I37/5</f>
        <v/>
      </c>
      <c r="Y37" s="117" t="n"/>
      <c r="AA37" s="117" t="n"/>
    </row>
    <row r="38">
      <c r="A38" t="inlineStr">
        <is>
          <t>C020104</t>
        </is>
      </c>
      <c r="B38" t="inlineStr">
        <is>
          <t>pe equal</t>
        </is>
      </c>
      <c r="C38" s="168" t="n">
        <v>66.16317332159785</v>
      </c>
      <c r="D38" s="90" t="n">
        <v>23.16498343511825</v>
      </c>
      <c r="E38" s="12" t="n">
        <v>0.6498810097496271</v>
      </c>
      <c r="F38" s="90" t="n">
        <v>-42.68703289009131</v>
      </c>
      <c r="G38" s="90" t="n">
        <v>-1.645178136825503</v>
      </c>
      <c r="H38" s="12" t="n">
        <v>-0.451706199470694</v>
      </c>
      <c r="I38" s="12" t="n">
        <v>-0.1729065711172783</v>
      </c>
      <c r="J38" s="12" t="n">
        <v>4.60662253462214</v>
      </c>
      <c r="K38" s="90" t="n">
        <v>-1.842739625074695</v>
      </c>
      <c r="L38" s="7" t="n">
        <v>23.16498343511825</v>
      </c>
      <c r="M38" s="14" t="n">
        <v>0.6498810097496271</v>
      </c>
      <c r="N38" s="7" t="n">
        <v>-191.5219267749191</v>
      </c>
      <c r="O38" s="7" t="n">
        <v>-3.894690764664396</v>
      </c>
      <c r="P38" s="7" t="n">
        <v>-8.267734242562449</v>
      </c>
      <c r="S38" s="99" t="n">
        <v>0.01491787958990846</v>
      </c>
      <c r="U38" s="117">
        <f>C38*S38</f>
        <v/>
      </c>
      <c r="V38" s="117">
        <f>(1+S38)*R37*(1-U38)+S38</f>
        <v/>
      </c>
      <c r="W38" s="117">
        <f>V38+I38/3</f>
        <v/>
      </c>
      <c r="X38" s="117">
        <f>V38+I38/5</f>
        <v/>
      </c>
      <c r="Y38" s="117" t="n"/>
      <c r="AA38" s="117" t="n"/>
    </row>
    <row r="39">
      <c r="B39" t="inlineStr">
        <is>
          <t>pb weighted</t>
        </is>
      </c>
      <c r="C39" s="165" t="n">
        <v>2.251056908629331</v>
      </c>
      <c r="D39" s="90" t="n">
        <v>1.818966986215499</v>
      </c>
      <c r="E39" s="12" t="n">
        <v>0.1919497995619006</v>
      </c>
      <c r="F39" s="90" t="n">
        <v>6.282487112497918</v>
      </c>
      <c r="G39" s="90" t="n">
        <v>1.790905502395018</v>
      </c>
      <c r="H39" s="12" t="n">
        <v>-0.05867683597589179</v>
      </c>
      <c r="I39" s="12" t="n">
        <v>0.1692065622650081</v>
      </c>
      <c r="J39" s="12" t="n">
        <v>0.375662831069133</v>
      </c>
      <c r="K39" s="90" t="n">
        <v>3.453876381543964</v>
      </c>
      <c r="L39" s="7" t="n">
        <v>1.830807898645228</v>
      </c>
      <c r="M39" s="14" t="n">
        <v>0.1866896427065422</v>
      </c>
      <c r="N39" s="7" t="n">
        <v>4.383809352001795</v>
      </c>
      <c r="O39" s="7" t="n">
        <v>0.9474449247358643</v>
      </c>
      <c r="P39" s="7" t="n">
        <v>2.394467139477469</v>
      </c>
      <c r="W39" s="117">
        <f>V37+I39/3</f>
        <v/>
      </c>
      <c r="X39" s="117">
        <f>V37+I39/5</f>
        <v/>
      </c>
      <c r="Y39" s="117" t="n"/>
      <c r="AA39" s="117" t="n"/>
    </row>
    <row r="40">
      <c r="B40" t="inlineStr">
        <is>
          <t>pb equal</t>
        </is>
      </c>
      <c r="C40" s="165" t="n">
        <v>2.156657541740684</v>
      </c>
      <c r="D40" s="90" t="n">
        <v>1.60303633030322</v>
      </c>
      <c r="E40" s="12" t="n">
        <v>0.2567033479922014</v>
      </c>
      <c r="F40" s="90" t="n">
        <v>6.823664993181261</v>
      </c>
      <c r="G40" s="90" t="n">
        <v>2.164000246267071</v>
      </c>
      <c r="H40" s="12" t="n">
        <v>-0.0960497143203497</v>
      </c>
      <c r="I40" s="12" t="n">
        <v>0.05551218604343355</v>
      </c>
      <c r="J40" s="12" t="n">
        <v>0.379250181012555</v>
      </c>
      <c r="K40" s="90" t="n">
        <v>4.256712629769621</v>
      </c>
      <c r="L40" s="7" t="n">
        <v>1.60303633030322</v>
      </c>
      <c r="M40" s="14" t="n">
        <v>0.2567033479922014</v>
      </c>
      <c r="N40" s="7" t="n">
        <v>2.873031889752613</v>
      </c>
      <c r="O40" s="7" t="n">
        <v>0.332168800167377</v>
      </c>
      <c r="P40" s="7" t="n">
        <v>1.79224377853568</v>
      </c>
      <c r="W40" s="117">
        <f>V38+I40/3</f>
        <v/>
      </c>
      <c r="X40" s="117">
        <f>V38+I40/5</f>
        <v/>
      </c>
      <c r="Y40" s="117" t="n"/>
      <c r="AA40" s="117" t="n"/>
    </row>
    <row r="41">
      <c r="C41" s="101" t="n"/>
      <c r="D41" s="90" t="n"/>
      <c r="F41" s="90" t="n"/>
      <c r="G41" s="90" t="n"/>
      <c r="K41" s="90" t="n"/>
      <c r="L41" s="7" t="n"/>
      <c r="N41" s="7" t="n"/>
      <c r="O41" s="7" t="n"/>
      <c r="P41" s="7" t="n"/>
      <c r="AA41" s="117" t="n"/>
    </row>
    <row r="42">
      <c r="A42" s="128" t="inlineStr">
        <is>
          <t>建筑材料</t>
        </is>
      </c>
      <c r="B42" t="inlineStr">
        <is>
          <t>pe weighted</t>
        </is>
      </c>
      <c r="C42" s="165" t="n">
        <v>12.95712973913711</v>
      </c>
      <c r="D42" s="90" t="n">
        <v>7.871815665664019</v>
      </c>
      <c r="E42" s="12" t="n">
        <v>0.3924722663008351</v>
      </c>
      <c r="F42" s="90" t="n">
        <v>45.09434272573153</v>
      </c>
      <c r="G42" s="90" t="n">
        <v>2.480272532081216</v>
      </c>
      <c r="H42" s="12" t="n">
        <v>-0.1985548294465382</v>
      </c>
      <c r="I42" s="12" t="n">
        <v>0.03803535061818675</v>
      </c>
      <c r="J42" s="12" t="n">
        <v>0.8370753671246918</v>
      </c>
      <c r="K42" s="90" t="n">
        <v>5.728582151945963</v>
      </c>
      <c r="L42" s="7" t="n">
        <v>7.871815665664019</v>
      </c>
      <c r="M42" s="14" t="n">
        <v>0.3924722663008351</v>
      </c>
      <c r="N42" s="7" t="n">
        <v>22.16550954351962</v>
      </c>
      <c r="O42" s="7" t="n">
        <v>0.7106805280006216</v>
      </c>
      <c r="P42" s="7" t="n">
        <v>2.815806477812114</v>
      </c>
      <c r="Q42" s="99" t="n">
        <v>0.09448190502836021</v>
      </c>
      <c r="R42" s="99" t="n">
        <v>0.03533797918583951</v>
      </c>
      <c r="S42" s="99" t="n">
        <v>0.0410314054842601</v>
      </c>
      <c r="U42" s="117">
        <f>C42*S42</f>
        <v/>
      </c>
      <c r="V42" s="117">
        <f>(1+S42)*Q42*(1-U42)+S42</f>
        <v/>
      </c>
      <c r="W42" s="117">
        <f>V42+I42/3</f>
        <v/>
      </c>
      <c r="X42" s="117">
        <f>V42+I42/5</f>
        <v/>
      </c>
      <c r="Y42" s="117" t="n"/>
      <c r="AA42" s="117" t="n"/>
    </row>
    <row r="43">
      <c r="A43" t="inlineStr">
        <is>
          <t>C020201</t>
        </is>
      </c>
      <c r="B43" t="inlineStr">
        <is>
          <t>pe equal</t>
        </is>
      </c>
      <c r="C43" s="168" t="n">
        <v>39.18412555291975</v>
      </c>
      <c r="D43" s="90" t="n">
        <v>11.30278264601727</v>
      </c>
      <c r="E43" s="12" t="n">
        <v>0.7115468959297714</v>
      </c>
      <c r="F43" s="90" t="n">
        <v>348.9558622022668</v>
      </c>
      <c r="G43" s="90" t="n">
        <v>7.905541651835199</v>
      </c>
      <c r="H43" s="12" t="n">
        <v>-0.6023547000963815</v>
      </c>
      <c r="I43" s="12" t="n">
        <v>-0.3849127364573766</v>
      </c>
      <c r="J43" s="12" t="n">
        <v>0.2037197940050146</v>
      </c>
      <c r="K43" s="90" t="n">
        <v>30.87344710863989</v>
      </c>
      <c r="L43" s="7" t="n">
        <v>11.30278264601727</v>
      </c>
      <c r="M43" s="14" t="n">
        <v>0.7115468959297714</v>
      </c>
      <c r="N43" s="7" t="n">
        <v>39.42808309149706</v>
      </c>
      <c r="O43" s="7" t="n">
        <v>0.006225927850497248</v>
      </c>
      <c r="P43" s="7" t="n">
        <v>3.4883518799143</v>
      </c>
      <c r="S43" s="99" t="n">
        <v>0.02613220616523396</v>
      </c>
      <c r="U43" s="117">
        <f>C43*S43</f>
        <v/>
      </c>
      <c r="V43" s="117">
        <f>(1+S43)*R42*(1-U43)+S43</f>
        <v/>
      </c>
      <c r="W43" s="117">
        <f>V43+I43/3</f>
        <v/>
      </c>
      <c r="X43" s="117">
        <f>V43+I43/5</f>
        <v/>
      </c>
      <c r="Y43" s="117" t="n"/>
      <c r="AA43" s="117" t="n"/>
    </row>
    <row r="44">
      <c r="B44" t="inlineStr">
        <is>
          <t>pb weighted</t>
        </is>
      </c>
      <c r="C44" s="167" t="n">
        <v>1.224214301453294</v>
      </c>
      <c r="D44" s="90" t="n">
        <v>0.9823149405682912</v>
      </c>
      <c r="E44" s="12" t="n">
        <v>0.1975956011932209</v>
      </c>
      <c r="F44" s="90" t="n">
        <v>3.133064698215763</v>
      </c>
      <c r="G44" s="90" t="n">
        <v>1.559245300840244</v>
      </c>
      <c r="H44" s="12" t="n">
        <v>0.2390505112117174</v>
      </c>
      <c r="I44" s="12" t="n">
        <v>0.4860589721064235</v>
      </c>
      <c r="J44" s="12" t="n">
        <v>0.7279697022188729</v>
      </c>
      <c r="K44" s="90" t="n">
        <v>3.189470676688696</v>
      </c>
      <c r="L44" s="7" t="n">
        <v>0.9823149405682912</v>
      </c>
      <c r="M44" s="14" t="n">
        <v>0.1975956011932209</v>
      </c>
      <c r="N44" s="7" t="n">
        <v>2.620307446955759</v>
      </c>
      <c r="O44" s="7" t="n">
        <v>1.140399310680434</v>
      </c>
      <c r="P44" s="7" t="n">
        <v>2.667482025102715</v>
      </c>
      <c r="W44" s="117">
        <f>V42+I44/3</f>
        <v/>
      </c>
      <c r="X44" s="117">
        <f>V42+I44/5</f>
        <v/>
      </c>
      <c r="Y44" s="117" t="n"/>
      <c r="AA44" s="117" t="n"/>
    </row>
    <row r="45">
      <c r="B45" t="inlineStr">
        <is>
          <t>pb equal</t>
        </is>
      </c>
      <c r="C45" s="167" t="n">
        <v>1.3846878132044</v>
      </c>
      <c r="D45" s="90" t="n">
        <v>1.183127753592345</v>
      </c>
      <c r="E45" s="12" t="n">
        <v>0.1455635398029621</v>
      </c>
      <c r="F45" s="90" t="n">
        <v>4.144957039769944</v>
      </c>
      <c r="G45" s="90" t="n">
        <v>1.993423499682442</v>
      </c>
      <c r="H45" s="12" t="n">
        <v>0.2111432877020316</v>
      </c>
      <c r="I45" s="12" t="n">
        <v>0.436607511045902</v>
      </c>
      <c r="J45" s="12" t="n">
        <v>0.7704925610599116</v>
      </c>
      <c r="K45" s="90" t="n">
        <v>3.50338923855396</v>
      </c>
      <c r="L45" s="7" t="n">
        <v>1.183127753592345</v>
      </c>
      <c r="M45" s="14" t="n">
        <v>0.1455635398029621</v>
      </c>
      <c r="N45" s="7" t="n">
        <v>2.529945180436614</v>
      </c>
      <c r="O45" s="7" t="n">
        <v>0.8270870562382548</v>
      </c>
      <c r="P45" s="7" t="n">
        <v>2.138353337376214</v>
      </c>
      <c r="W45" s="117">
        <f>V43+I45/3</f>
        <v/>
      </c>
      <c r="X45" s="117">
        <f>V43+I45/5</f>
        <v/>
      </c>
      <c r="Y45" s="117" t="n"/>
      <c r="AA45" s="117" t="n"/>
    </row>
    <row r="46">
      <c r="C46" s="101" t="n"/>
      <c r="D46" s="90" t="n"/>
      <c r="F46" s="90" t="n"/>
      <c r="G46" s="90" t="n"/>
      <c r="K46" s="90" t="n"/>
      <c r="L46" s="7" t="n"/>
      <c r="N46" s="7" t="n"/>
      <c r="O46" s="7" t="n"/>
      <c r="P46" s="7" t="n"/>
      <c r="AA46" s="117" t="n"/>
    </row>
    <row r="47">
      <c r="A47" t="inlineStr">
        <is>
          <t>容器与包装</t>
        </is>
      </c>
      <c r="B47" t="inlineStr">
        <is>
          <t>pe weighted</t>
        </is>
      </c>
      <c r="C47" s="165" t="n">
        <v>36.52617806613635</v>
      </c>
      <c r="D47" s="90" t="n">
        <v>23.84659305029714</v>
      </c>
      <c r="E47" s="12" t="n">
        <v>0.3471369217135405</v>
      </c>
      <c r="F47" s="90" t="n">
        <v>155.7888768021701</v>
      </c>
      <c r="G47" s="90" t="n">
        <v>3.265129423617493</v>
      </c>
      <c r="H47" s="12" t="n">
        <v>-0.08383613654841127</v>
      </c>
      <c r="I47" s="12" t="n">
        <v>0.1087988700507319</v>
      </c>
      <c r="J47" s="12" t="n">
        <v>0.4357016662261686</v>
      </c>
      <c r="K47" s="90" t="n">
        <v>6.532961604770157</v>
      </c>
      <c r="L47" s="7" t="n">
        <v>23.84659305029714</v>
      </c>
      <c r="M47" s="14" t="n">
        <v>0.3471369217135405</v>
      </c>
      <c r="N47" s="7" t="n">
        <v>56.11163402190823</v>
      </c>
      <c r="O47" s="7" t="n">
        <v>0.5362032655130069</v>
      </c>
      <c r="P47" s="7" t="n">
        <v>2.353025184920873</v>
      </c>
      <c r="Q47" s="99" t="n">
        <v>0.06280923480607238</v>
      </c>
      <c r="R47" s="99" t="n">
        <v>0.03429411654280463</v>
      </c>
      <c r="S47" s="99" t="n">
        <v>0.01154229491033385</v>
      </c>
      <c r="U47" s="117">
        <f>C47*S47</f>
        <v/>
      </c>
      <c r="V47" s="117">
        <f>(1+S47)*Q47*(1-U47)+S47</f>
        <v/>
      </c>
      <c r="W47" s="117">
        <f>V47+I47/3</f>
        <v/>
      </c>
      <c r="X47" s="117">
        <f>V47+I47/5</f>
        <v/>
      </c>
      <c r="Y47" s="117" t="n"/>
      <c r="AA47" s="117" t="n"/>
    </row>
    <row r="48">
      <c r="A48" t="inlineStr">
        <is>
          <t>C020202</t>
        </is>
      </c>
      <c r="B48" t="inlineStr">
        <is>
          <t>pe equal</t>
        </is>
      </c>
      <c r="C48" s="168" t="n">
        <v>66.19799395245508</v>
      </c>
      <c r="D48" s="90" t="n">
        <v>25.87744213933475</v>
      </c>
      <c r="E48" s="12" t="n">
        <v>0.6090902368141167</v>
      </c>
      <c r="F48" s="90" t="n">
        <v>-726.5571998616161</v>
      </c>
      <c r="G48" s="90" t="n">
        <v>-11.97551687719489</v>
      </c>
      <c r="H48" s="12" t="n">
        <v>-0.4676497823080542</v>
      </c>
      <c r="I48" s="12" t="n">
        <v>-0.239609417111462</v>
      </c>
      <c r="J48" s="12" t="n">
        <v>0.04171200713135281</v>
      </c>
      <c r="K48" s="90" t="n">
        <v>-28.07685535338209</v>
      </c>
      <c r="L48" s="7" t="n">
        <v>25.87744213933475</v>
      </c>
      <c r="M48" s="14" t="n">
        <v>0.6090902368141167</v>
      </c>
      <c r="N48" s="7" t="n">
        <v>145.7148581141977</v>
      </c>
      <c r="O48" s="7" t="n">
        <v>1.201197489743473</v>
      </c>
      <c r="P48" s="7" t="n">
        <v>5.630960638598251</v>
      </c>
      <c r="S48" s="99" t="n">
        <v>0.009856427859176137</v>
      </c>
      <c r="U48" s="117">
        <f>C48*S48</f>
        <v/>
      </c>
      <c r="V48" s="117">
        <f>(1+S48)*R47*(1-U48)+S48</f>
        <v/>
      </c>
      <c r="W48" s="117">
        <f>V48+I48/3</f>
        <v/>
      </c>
      <c r="X48" s="117">
        <f>V48+I48/5</f>
        <v/>
      </c>
      <c r="Y48" s="117" t="n"/>
      <c r="AA48" s="117" t="n"/>
    </row>
    <row r="49">
      <c r="B49" t="inlineStr">
        <is>
          <t>pb weighted</t>
        </is>
      </c>
      <c r="C49" s="167" t="n">
        <v>2.294181294724369</v>
      </c>
      <c r="D49" s="90" t="n">
        <v>1.754801400254403</v>
      </c>
      <c r="E49" s="12" t="n">
        <v>0.2351077901778329</v>
      </c>
      <c r="F49" s="90" t="n">
        <v>7.298554937560189</v>
      </c>
      <c r="G49" s="90" t="n">
        <v>2.181333120596759</v>
      </c>
      <c r="H49" s="12" t="n">
        <v>0.03934808294043912</v>
      </c>
      <c r="I49" s="12" t="n">
        <v>0.4015905420879655</v>
      </c>
      <c r="J49" s="12" t="n">
        <v>0.8907851031075753</v>
      </c>
      <c r="K49" s="90" t="n">
        <v>4.159191425594987</v>
      </c>
      <c r="L49" s="7" t="n">
        <v>2.041356104282554</v>
      </c>
      <c r="M49" s="14" t="n">
        <v>0.1102027947935956</v>
      </c>
      <c r="N49" s="7" t="n">
        <v>5.698684084833542</v>
      </c>
      <c r="O49" s="7" t="n">
        <v>1.483972865587417</v>
      </c>
      <c r="P49" s="7" t="n">
        <v>2.791616843762974</v>
      </c>
      <c r="W49" s="117">
        <f>V47+I49/3</f>
        <v/>
      </c>
      <c r="X49" s="117">
        <f>V47+I49/5</f>
        <v/>
      </c>
      <c r="Y49" s="117" t="n"/>
      <c r="AA49" s="117" t="n"/>
    </row>
    <row r="50">
      <c r="B50" t="inlineStr">
        <is>
          <t>pb equal</t>
        </is>
      </c>
      <c r="C50" s="165" t="n">
        <v>2.270201719505371</v>
      </c>
      <c r="D50" s="90" t="n">
        <v>1.626253979246315</v>
      </c>
      <c r="E50" s="12" t="n">
        <v>0.2836522123678767</v>
      </c>
      <c r="F50" s="90" t="n">
        <v>6.291436561111108</v>
      </c>
      <c r="G50" s="90" t="n">
        <v>1.771311688761243</v>
      </c>
      <c r="H50" s="12" t="n">
        <v>-0.08440326221643679</v>
      </c>
      <c r="I50" s="12" t="n">
        <v>0.03957948526272337</v>
      </c>
      <c r="J50" s="12" t="n">
        <v>0.5471856362678769</v>
      </c>
      <c r="K50" s="90" t="n">
        <v>3.868667896527986</v>
      </c>
      <c r="L50" s="7" t="n">
        <v>1.758013339839525</v>
      </c>
      <c r="M50" s="14" t="n">
        <v>0.2256135986794343</v>
      </c>
      <c r="N50" s="7" t="n">
        <v>2.92953098851474</v>
      </c>
      <c r="O50" s="7" t="n">
        <v>0.2904276141386342</v>
      </c>
      <c r="P50" s="7" t="n">
        <v>1.666387235026416</v>
      </c>
      <c r="W50" s="117">
        <f>V48+I50/3</f>
        <v/>
      </c>
      <c r="X50" s="117">
        <f>V48+I50/5</f>
        <v/>
      </c>
      <c r="Y50" s="117" t="n"/>
      <c r="AA50" s="117" t="n"/>
    </row>
    <row r="51">
      <c r="C51" s="101" t="n"/>
      <c r="D51" s="90" t="n"/>
      <c r="F51" s="90" t="n"/>
      <c r="G51" s="90" t="n"/>
      <c r="K51" s="90" t="n"/>
      <c r="L51" s="7" t="n"/>
      <c r="N51" s="7" t="n"/>
      <c r="O51" s="7" t="n"/>
      <c r="P51" s="7" t="n"/>
      <c r="AA51" s="117" t="n"/>
    </row>
    <row r="52">
      <c r="A52" s="128" t="inlineStr">
        <is>
          <t>黑色金属</t>
        </is>
      </c>
      <c r="B52" t="inlineStr">
        <is>
          <t>pe weighted</t>
        </is>
      </c>
      <c r="C52" s="166" t="n">
        <v>27.91926412831261</v>
      </c>
      <c r="D52" s="90" t="n">
        <v>6.19656211430834</v>
      </c>
      <c r="E52" s="12" t="n">
        <v>0.7780542464933925</v>
      </c>
      <c r="F52" s="90" t="n">
        <v>-11.95327766558806</v>
      </c>
      <c r="G52" s="90" t="n">
        <v>-1.428137275060426</v>
      </c>
      <c r="H52" s="12" t="n">
        <v>-0.6592054397756615</v>
      </c>
      <c r="I52" s="12" t="n">
        <v>-0.08871351498353552</v>
      </c>
      <c r="J52" s="12" t="n">
        <v>-10.52166341280144</v>
      </c>
      <c r="K52" s="90" t="n">
        <v>-1.929017646411874</v>
      </c>
      <c r="L52" s="7" t="n">
        <v>6.19656211430834</v>
      </c>
      <c r="M52" s="14" t="n">
        <v>0.7780542464933925</v>
      </c>
      <c r="N52" s="7" t="n">
        <v>28.50572088959514</v>
      </c>
      <c r="O52" s="7" t="n">
        <v>0.02100545195558379</v>
      </c>
      <c r="P52" s="7" t="n">
        <v>4.600247744434488</v>
      </c>
      <c r="Q52" s="99" t="n">
        <v>0.03676042789072956</v>
      </c>
      <c r="R52" s="99" t="n">
        <v>-0.006442715907278569</v>
      </c>
      <c r="S52" s="99" t="n">
        <v>0.04303200275922209</v>
      </c>
      <c r="U52" s="117">
        <f>C52*S52</f>
        <v/>
      </c>
      <c r="V52" s="117">
        <f>(1+S52)*Q52*(1-U52)+S52</f>
        <v/>
      </c>
      <c r="W52" s="117">
        <f>V52+I52/3</f>
        <v/>
      </c>
      <c r="X52" s="117">
        <f>V52+I52/5</f>
        <v/>
      </c>
      <c r="Y52" s="117" t="n"/>
      <c r="AA52" s="117" t="n"/>
    </row>
    <row r="53">
      <c r="A53" t="inlineStr">
        <is>
          <t>C020203</t>
        </is>
      </c>
      <c r="B53" t="inlineStr">
        <is>
          <t>pe equal</t>
        </is>
      </c>
      <c r="C53" s="167" t="n">
        <v>-179.7047978465185</v>
      </c>
      <c r="D53" s="90" t="n">
        <v>8.335261608716255</v>
      </c>
      <c r="E53" s="12" t="n">
        <v>1.046383077739723</v>
      </c>
      <c r="F53" s="90" t="n">
        <v>-11.54492402596592</v>
      </c>
      <c r="G53" s="90" t="n">
        <v>-0.9357561725434501</v>
      </c>
      <c r="H53" s="12" t="n">
        <v>-1.072078790916509</v>
      </c>
      <c r="I53" s="12" t="n">
        <v>-1.329349657858139</v>
      </c>
      <c r="J53" s="12" t="n">
        <v>-0.7820155703665584</v>
      </c>
      <c r="K53" s="90" t="n">
        <v>-1.3850703874601</v>
      </c>
      <c r="L53" s="7" t="n">
        <v>8.335261608716255</v>
      </c>
      <c r="M53" s="14" t="n">
        <v>1.046383077739723</v>
      </c>
      <c r="N53" s="7" t="n">
        <v>-173.4368167632243</v>
      </c>
      <c r="O53" s="7" t="n">
        <v>-0.03487931963089552</v>
      </c>
      <c r="P53" s="7" t="n">
        <v>-20.80760327688575</v>
      </c>
      <c r="S53" s="99" t="n">
        <v>0.0347187937616038</v>
      </c>
      <c r="U53" s="117">
        <f>C53*S53</f>
        <v/>
      </c>
      <c r="V53" s="117">
        <f>(1+S53)*R52*(1-U53)+S53</f>
        <v/>
      </c>
      <c r="W53" s="117">
        <f>V53+I53/3</f>
        <v/>
      </c>
      <c r="X53" s="117">
        <f>V53+I53/5</f>
        <v/>
      </c>
      <c r="Y53" s="117" t="n"/>
      <c r="AA53" s="117" t="n"/>
    </row>
    <row r="54">
      <c r="B54" t="inlineStr">
        <is>
          <t>pb weighted</t>
        </is>
      </c>
      <c r="C54" s="165" t="n">
        <v>1.026324095751068</v>
      </c>
      <c r="D54" s="90" t="n">
        <v>0.7387920260873755</v>
      </c>
      <c r="E54" s="12" t="n">
        <v>0.2801571850978277</v>
      </c>
      <c r="F54" s="90" t="n">
        <v>2.76069785562695</v>
      </c>
      <c r="G54" s="90" t="n">
        <v>1.689888961056361</v>
      </c>
      <c r="H54" s="12" t="n">
        <v>-0.08068604149040315</v>
      </c>
      <c r="I54" s="12" t="n">
        <v>0.1685151384101864</v>
      </c>
      <c r="J54" s="12" t="n">
        <v>0.5942017669191912</v>
      </c>
      <c r="K54" s="90" t="n">
        <v>3.7367726750484</v>
      </c>
      <c r="L54" s="7" t="n">
        <v>0.8526072877197717</v>
      </c>
      <c r="M54" s="14" t="n">
        <v>0.1692611610216262</v>
      </c>
      <c r="N54" s="7" t="n">
        <v>1.838611612258593</v>
      </c>
      <c r="O54" s="7" t="n">
        <v>0.7914532260037115</v>
      </c>
      <c r="P54" s="7" t="n">
        <v>2.156457772224548</v>
      </c>
      <c r="W54" s="117">
        <f>V52+I54/3</f>
        <v/>
      </c>
      <c r="X54" s="117">
        <f>V52+I54/5</f>
        <v/>
      </c>
      <c r="Y54" s="117" t="n"/>
      <c r="AA54" s="117" t="n"/>
    </row>
    <row r="55">
      <c r="B55" t="inlineStr">
        <is>
          <t>pb equal</t>
        </is>
      </c>
      <c r="C55" s="165" t="n">
        <v>1.157786959700044</v>
      </c>
      <c r="D55" s="90" t="n">
        <v>0.9616765271437776</v>
      </c>
      <c r="E55" s="12" t="n">
        <v>0.1693838671382811</v>
      </c>
      <c r="F55" s="90" t="n">
        <v>3.350626346623676</v>
      </c>
      <c r="G55" s="90" t="n">
        <v>1.893992127439184</v>
      </c>
      <c r="H55" s="12" t="n">
        <v>-0.009465658441373259</v>
      </c>
      <c r="I55" s="12" t="n">
        <v>0.1819456607559349</v>
      </c>
      <c r="J55" s="12" t="n">
        <v>0.8604942685908852</v>
      </c>
      <c r="K55" s="90" t="n">
        <v>3.484151117398266</v>
      </c>
      <c r="L55" s="7" t="n">
        <v>1.015286919684805</v>
      </c>
      <c r="M55" s="14" t="n">
        <v>0.1230796726646132</v>
      </c>
      <c r="N55" s="7" t="n">
        <v>2.127484840195525</v>
      </c>
      <c r="O55" s="7" t="n">
        <v>0.8375443101783655</v>
      </c>
      <c r="P55" s="7" t="n">
        <v>2.095451836271072</v>
      </c>
      <c r="W55" s="117">
        <f>V53+I55/3</f>
        <v/>
      </c>
      <c r="X55" s="117">
        <f>V53+I55/5</f>
        <v/>
      </c>
      <c r="Y55" s="117" t="n"/>
      <c r="AA55" s="117" t="n"/>
    </row>
    <row r="56">
      <c r="C56" s="101" t="n"/>
      <c r="D56" s="90" t="n"/>
      <c r="F56" s="90" t="n"/>
      <c r="G56" s="90" t="n"/>
      <c r="K56" s="90" t="n"/>
      <c r="L56" s="7" t="n"/>
      <c r="N56" s="7" t="n"/>
      <c r="O56" s="7" t="n"/>
      <c r="P56" s="7" t="n"/>
      <c r="AA56" s="117" t="n"/>
    </row>
    <row r="57">
      <c r="A57" t="inlineStr">
        <is>
          <t>有色金属</t>
        </is>
      </c>
      <c r="B57" t="inlineStr">
        <is>
          <t>pe weighted</t>
        </is>
      </c>
      <c r="C57" s="167" t="n">
        <v>16.41197339319212</v>
      </c>
      <c r="D57" s="90" t="n">
        <v>14.33065183709873</v>
      </c>
      <c r="E57" s="12" t="n">
        <v>0.126817263605652</v>
      </c>
      <c r="F57" s="90" t="n">
        <v>-185.4032099567958</v>
      </c>
      <c r="G57" s="90" t="n">
        <v>-12.29682613510105</v>
      </c>
      <c r="H57" s="12" t="n">
        <v>1.09210804720654</v>
      </c>
      <c r="I57" s="12" t="n">
        <v>3.3467894356598</v>
      </c>
      <c r="J57" s="12" t="n">
        <v>12.61989970816183</v>
      </c>
      <c r="K57" s="90" t="n">
        <v>-12.93752803880351</v>
      </c>
      <c r="L57" s="7" t="n">
        <v>14.33065183709873</v>
      </c>
      <c r="M57" s="14" t="n">
        <v>0.126817263605652</v>
      </c>
      <c r="N57" s="7" t="n">
        <v>213.7688618460875</v>
      </c>
      <c r="O57" s="7" t="n">
        <v>12.02517721206892</v>
      </c>
      <c r="P57" s="7" t="n">
        <v>14.91689731046913</v>
      </c>
      <c r="Q57" s="99" t="n">
        <v>0.1585618687592256</v>
      </c>
      <c r="R57" s="99" t="n">
        <v>0.08546486411523617</v>
      </c>
      <c r="S57" s="99" t="n">
        <v>0.01104965433994557</v>
      </c>
      <c r="U57" s="117">
        <f>C57*S57</f>
        <v/>
      </c>
      <c r="V57" s="117">
        <f>(1+S57)*Q57*(1-U57)+S57</f>
        <v/>
      </c>
      <c r="W57" s="117">
        <f>V57+I57/3</f>
        <v/>
      </c>
      <c r="X57" s="117">
        <f>V57+I57/5</f>
        <v/>
      </c>
      <c r="Y57" s="117" t="n"/>
      <c r="AA57" s="117" t="n"/>
    </row>
    <row r="58">
      <c r="A58" t="inlineStr">
        <is>
          <t>C020204</t>
        </is>
      </c>
      <c r="B58" t="inlineStr">
        <is>
          <t>pe equal</t>
        </is>
      </c>
      <c r="C58" s="166" t="n">
        <v>29.9843708680854</v>
      </c>
      <c r="D58" s="90" t="n">
        <v>21.66212424676988</v>
      </c>
      <c r="E58" s="12" t="n">
        <v>0.2775528176972192</v>
      </c>
      <c r="F58" s="90" t="n">
        <v>-5.916639164913314</v>
      </c>
      <c r="G58" s="90" t="n">
        <v>-1.197324105646346</v>
      </c>
      <c r="H58" s="12" t="n">
        <v>0.7037006660526024</v>
      </c>
      <c r="I58" s="12" t="n">
        <v>3.017820142342121</v>
      </c>
      <c r="J58" s="12" t="n">
        <v>-6.169938324551327</v>
      </c>
      <c r="K58" s="90" t="n">
        <v>-0.2731329161218141</v>
      </c>
      <c r="L58" s="7" t="n">
        <v>21.66212424676988</v>
      </c>
      <c r="M58" s="14" t="n">
        <v>0.2775528176972192</v>
      </c>
      <c r="N58" s="7" t="n">
        <v>-5.916639164913314</v>
      </c>
      <c r="O58" s="7" t="n">
        <v>-1.197324105646346</v>
      </c>
      <c r="P58" s="7" t="n">
        <v>-0.2731329161218141</v>
      </c>
      <c r="S58" s="99" t="n">
        <v>0.009160639907086961</v>
      </c>
      <c r="U58" s="117">
        <f>C58*S58</f>
        <v/>
      </c>
      <c r="V58" s="117">
        <f>(1+S58)*R57*(1-U58)+S58</f>
        <v/>
      </c>
      <c r="W58" s="117">
        <f>V58+I58/3</f>
        <v/>
      </c>
      <c r="X58" s="117">
        <f>V58+I58/5</f>
        <v/>
      </c>
      <c r="Y58" s="117" t="n"/>
      <c r="AA58" s="117" t="n"/>
    </row>
    <row r="59">
      <c r="B59" t="inlineStr">
        <is>
          <t>pb weighted</t>
        </is>
      </c>
      <c r="C59" s="165" t="n">
        <v>2.602313171251232</v>
      </c>
      <c r="D59" s="90" t="n">
        <v>1.76860728299762</v>
      </c>
      <c r="E59" s="12" t="n">
        <v>0.3203710827212826</v>
      </c>
      <c r="F59" s="90" t="n">
        <v>5.017819092119535</v>
      </c>
      <c r="G59" s="90" t="n">
        <v>0.9282149233817585</v>
      </c>
      <c r="H59" s="12" t="n">
        <v>-0.1740729252317267</v>
      </c>
      <c r="I59" s="12" t="n">
        <v>0.02494849936077292</v>
      </c>
      <c r="J59" s="12" t="n">
        <v>0.2033518325629311</v>
      </c>
      <c r="K59" s="90" t="n">
        <v>2.837158446851362</v>
      </c>
      <c r="L59" s="7" t="n">
        <v>1.76860728299762</v>
      </c>
      <c r="M59" s="14" t="n">
        <v>0.3203710827212826</v>
      </c>
      <c r="N59" s="7" t="n">
        <v>4.628676298831186</v>
      </c>
      <c r="O59" s="7" t="n">
        <v>0.7786776587714259</v>
      </c>
      <c r="P59" s="7" t="n">
        <v>2.617130633424749</v>
      </c>
      <c r="W59" s="117">
        <f>V57+I59/3</f>
        <v/>
      </c>
      <c r="X59" s="117">
        <f>V57+I59/5</f>
        <v/>
      </c>
      <c r="Y59" s="117" t="n"/>
      <c r="AA59" s="117" t="n"/>
    </row>
    <row r="60">
      <c r="B60" t="inlineStr">
        <is>
          <t>pb equal</t>
        </is>
      </c>
      <c r="C60" s="165" t="n">
        <v>2.562610181821765</v>
      </c>
      <c r="D60" s="90" t="n">
        <v>1.66748950003196</v>
      </c>
      <c r="E60" s="12" t="n">
        <v>0.3493003688736854</v>
      </c>
      <c r="F60" s="90" t="n">
        <v>5.634862246858328</v>
      </c>
      <c r="G60" s="90" t="n">
        <v>1.198876086121102</v>
      </c>
      <c r="H60" s="12" t="n">
        <v>-0.1418031831018856</v>
      </c>
      <c r="I60" s="12" t="n">
        <v>0.05261721572376876</v>
      </c>
      <c r="J60" s="12" t="n">
        <v>0.2669583370254509</v>
      </c>
      <c r="K60" s="90" t="n">
        <v>3.37924901281257</v>
      </c>
      <c r="L60" s="7" t="n">
        <v>1.66748950003196</v>
      </c>
      <c r="M60" s="14" t="n">
        <v>0.3493003688736854</v>
      </c>
      <c r="N60" s="7" t="n">
        <v>3.729693895896469</v>
      </c>
      <c r="O60" s="7" t="n">
        <v>0.4554277206707351</v>
      </c>
      <c r="P60" s="7" t="n">
        <v>2.236712072744676</v>
      </c>
      <c r="W60" s="117">
        <f>V58+I60/3</f>
        <v/>
      </c>
      <c r="X60" s="117">
        <f>V58+I60/5</f>
        <v/>
      </c>
      <c r="Y60" s="117" t="n"/>
      <c r="AA60" s="117" t="n"/>
    </row>
    <row r="61">
      <c r="C61" s="101" t="n"/>
      <c r="D61" s="90" t="n"/>
      <c r="F61" s="90" t="n"/>
      <c r="G61" s="90" t="n"/>
      <c r="K61" s="90" t="n"/>
      <c r="L61" s="7" t="n"/>
      <c r="N61" s="7" t="n"/>
      <c r="O61" s="7" t="n"/>
      <c r="P61" s="7" t="n"/>
      <c r="AA61" s="117" t="n"/>
    </row>
    <row r="62">
      <c r="A62" t="inlineStr">
        <is>
          <t>非金属材料与制品</t>
        </is>
      </c>
      <c r="B62" t="inlineStr">
        <is>
          <t>pe weighted</t>
        </is>
      </c>
      <c r="C62" s="167" t="n">
        <v>20.04343096575332</v>
      </c>
      <c r="D62" s="90" t="n">
        <v>15.02044479104074</v>
      </c>
      <c r="E62" s="12" t="n">
        <v>0.250605107643246</v>
      </c>
      <c r="F62" s="90" t="n">
        <v>117.8384268126834</v>
      </c>
      <c r="G62" s="90" t="n">
        <v>4.879154472805825</v>
      </c>
      <c r="H62" s="12" t="n">
        <v>0.2314804351154462</v>
      </c>
      <c r="I62" s="12" t="n">
        <v>1.032105747529378</v>
      </c>
      <c r="J62" s="12" t="n">
        <v>2.753906563355046</v>
      </c>
      <c r="K62" s="90" t="n">
        <v>7.84520221950888</v>
      </c>
      <c r="L62" s="7" t="n">
        <v>15.02044479104074</v>
      </c>
      <c r="M62" s="14" t="n">
        <v>0.250605107643246</v>
      </c>
      <c r="N62" s="7" t="n">
        <v>89.10752834027979</v>
      </c>
      <c r="O62" s="7" t="n">
        <v>3.445722316330524</v>
      </c>
      <c r="P62" s="7" t="n">
        <v>5.932416088865081</v>
      </c>
      <c r="Q62" s="99" t="n">
        <v>0.1666349753810534</v>
      </c>
      <c r="R62" s="99" t="n">
        <v>0.08836753995770458</v>
      </c>
      <c r="S62" s="99" t="n">
        <v>0.01086353049236652</v>
      </c>
      <c r="U62" s="117">
        <f>C62*S62</f>
        <v/>
      </c>
      <c r="V62" s="117">
        <f>(1+S62)*Q62*(1-U62)+S62</f>
        <v/>
      </c>
      <c r="W62" s="117">
        <f>V62+I62/3</f>
        <v/>
      </c>
      <c r="X62" s="117">
        <f>V62+I62/5</f>
        <v/>
      </c>
      <c r="Y62" s="117" t="n"/>
      <c r="AA62" s="117" t="n"/>
    </row>
    <row r="63">
      <c r="A63" t="inlineStr">
        <is>
          <t>C020205</t>
        </is>
      </c>
      <c r="B63" t="inlineStr">
        <is>
          <t>pe equal</t>
        </is>
      </c>
      <c r="C63" s="167" t="n">
        <v>34.10502140423235</v>
      </c>
      <c r="D63" s="90" t="n">
        <v>26.93949012620391</v>
      </c>
      <c r="E63" s="12" t="n">
        <v>0.2101019434381358</v>
      </c>
      <c r="F63" s="90" t="n">
        <v>-51.63893200220242</v>
      </c>
      <c r="G63" s="90" t="n">
        <v>-2.514115220458245</v>
      </c>
      <c r="H63" s="12" t="n">
        <v>0.123523105569973</v>
      </c>
      <c r="I63" s="12" t="n">
        <v>0.7572227716089799</v>
      </c>
      <c r="J63" s="12" t="n">
        <v>2.329647703725509</v>
      </c>
      <c r="K63" s="90" t="n">
        <v>-1.916848899525885</v>
      </c>
      <c r="L63" s="7" t="n">
        <v>26.93949012620391</v>
      </c>
      <c r="M63" s="14" t="n">
        <v>0.2101019434381358</v>
      </c>
      <c r="N63" s="7" t="n">
        <v>-51.63893200220242</v>
      </c>
      <c r="O63" s="7" t="n">
        <v>-2.514115220458245</v>
      </c>
      <c r="P63" s="7" t="n">
        <v>-1.916848899525885</v>
      </c>
      <c r="S63" s="99" t="n">
        <v>0.0080646797393212</v>
      </c>
      <c r="U63" s="117">
        <f>C63*S63</f>
        <v/>
      </c>
      <c r="V63" s="117">
        <f>(1+S63)*R62*(1-U63)+S63</f>
        <v/>
      </c>
      <c r="W63" s="117">
        <f>V63+I63/3</f>
        <v/>
      </c>
      <c r="X63" s="117">
        <f>V63+I63/5</f>
        <v/>
      </c>
      <c r="Y63" s="117" t="n"/>
      <c r="AA63" s="117" t="n"/>
    </row>
    <row r="64">
      <c r="B64" t="inlineStr">
        <is>
          <t>pb weighted</t>
        </is>
      </c>
      <c r="C64" s="168" t="n">
        <v>3.339936625530148</v>
      </c>
      <c r="D64" s="90" t="n">
        <v>1.954206039050123</v>
      </c>
      <c r="E64" s="12" t="n">
        <v>0.4148972695732118</v>
      </c>
      <c r="F64" s="90" t="n">
        <v>6.162940390763548</v>
      </c>
      <c r="G64" s="90" t="n">
        <v>0.8452267458174616</v>
      </c>
      <c r="H64" s="12" t="n">
        <v>-0.2910639438796764</v>
      </c>
      <c r="I64" s="12" t="n">
        <v>-0.03426977285763366</v>
      </c>
      <c r="J64" s="12" t="n">
        <v>0.1363084190615085</v>
      </c>
      <c r="K64" s="90" t="n">
        <v>3.15367994347165</v>
      </c>
      <c r="L64" s="7" t="n">
        <v>1.954206039050123</v>
      </c>
      <c r="M64" s="14" t="n">
        <v>0.4148972695732118</v>
      </c>
      <c r="N64" s="7" t="n">
        <v>5.314678166163262</v>
      </c>
      <c r="O64" s="7" t="n">
        <v>0.5912512008576403</v>
      </c>
      <c r="P64" s="7" t="n">
        <v>2.719609938748607</v>
      </c>
      <c r="W64" s="117">
        <f>V62+I64/3</f>
        <v/>
      </c>
      <c r="X64" s="117">
        <f>V62+I64/5</f>
        <v/>
      </c>
      <c r="Y64" s="117" t="n"/>
      <c r="AA64" s="117" t="n"/>
    </row>
    <row r="65">
      <c r="B65" t="inlineStr">
        <is>
          <t>pb equal</t>
        </is>
      </c>
      <c r="C65" s="165" t="n">
        <v>3.013776841696872</v>
      </c>
      <c r="D65" s="90" t="n">
        <v>1.863455062928104</v>
      </c>
      <c r="E65" s="12" t="n">
        <v>0.3816877755690405</v>
      </c>
      <c r="F65" s="90" t="n">
        <v>6.272757329282507</v>
      </c>
      <c r="G65" s="90" t="n">
        <v>1.081360916474063</v>
      </c>
      <c r="H65" s="12" t="n">
        <v>-0.2384562329398332</v>
      </c>
      <c r="I65" s="12" t="n">
        <v>0.005244283742326994</v>
      </c>
      <c r="J65" s="12" t="n">
        <v>0.1805546563847356</v>
      </c>
      <c r="K65" s="90" t="n">
        <v>3.366197261245426</v>
      </c>
      <c r="L65" s="7" t="n">
        <v>1.863455062928104</v>
      </c>
      <c r="M65" s="14" t="n">
        <v>0.3816877755690405</v>
      </c>
      <c r="N65" s="7" t="n">
        <v>4.140408828308814</v>
      </c>
      <c r="O65" s="7" t="n">
        <v>0.3738272758037404</v>
      </c>
      <c r="P65" s="7" t="n">
        <v>2.22189893959818</v>
      </c>
      <c r="W65" s="117">
        <f>V63+I65/3</f>
        <v/>
      </c>
      <c r="X65" s="117">
        <f>V63+I65/5</f>
        <v/>
      </c>
      <c r="Y65" s="117" t="n"/>
      <c r="AA65" s="117" t="n"/>
    </row>
    <row r="66">
      <c r="C66" s="101" t="n"/>
      <c r="D66" s="90" t="n"/>
      <c r="F66" s="90" t="n"/>
      <c r="G66" s="90" t="n"/>
      <c r="K66" s="90" t="n"/>
      <c r="L66" s="7" t="n"/>
      <c r="N66" s="7" t="n"/>
      <c r="O66" s="7" t="n"/>
      <c r="P66" s="7" t="n"/>
      <c r="AA66" s="117" t="n"/>
    </row>
    <row r="67">
      <c r="A67" t="inlineStr">
        <is>
          <t>纸类与林业产品</t>
        </is>
      </c>
      <c r="B67" t="inlineStr">
        <is>
          <t>pe weighted</t>
        </is>
      </c>
      <c r="C67" s="168" t="n">
        <v>32.67184078639524</v>
      </c>
      <c r="D67" s="90" t="n">
        <v>10.28871480971457</v>
      </c>
      <c r="E67" s="12" t="n">
        <v>0.6850892217251852</v>
      </c>
      <c r="F67" s="90" t="n">
        <v>-116.8833152212783</v>
      </c>
      <c r="G67" s="90" t="n">
        <v>-4.577494025679425</v>
      </c>
      <c r="H67" s="12" t="n">
        <v>-0.4639416168359027</v>
      </c>
      <c r="I67" s="12" t="n">
        <v>-0.02917386257522425</v>
      </c>
      <c r="J67" s="12" t="n">
        <v>2.153709383081166</v>
      </c>
      <c r="K67" s="90" t="n">
        <v>-11.36034163478975</v>
      </c>
      <c r="L67" s="7" t="n">
        <v>10.28871480971457</v>
      </c>
      <c r="M67" s="14" t="n">
        <v>0.6850892217251852</v>
      </c>
      <c r="N67" s="7" t="n">
        <v>36.52516441212465</v>
      </c>
      <c r="O67" s="7" t="n">
        <v>0.1179402057852204</v>
      </c>
      <c r="P67" s="7" t="n">
        <v>3.55002204722768</v>
      </c>
      <c r="Q67" s="99" t="n">
        <v>0.04655592614307676</v>
      </c>
      <c r="R67" s="99" t="n">
        <v>0.03198920615050641</v>
      </c>
      <c r="S67" s="99" t="n">
        <v>0.01441980311325512</v>
      </c>
      <c r="U67" s="117">
        <f>C67*S67</f>
        <v/>
      </c>
      <c r="V67" s="117">
        <f>(1+S67)*Q67*(1-U67)+S67</f>
        <v/>
      </c>
      <c r="W67" s="117">
        <f>V67+I67/3</f>
        <v/>
      </c>
      <c r="X67" s="117">
        <f>V67+I67/5</f>
        <v/>
      </c>
      <c r="Y67" s="117" t="n"/>
      <c r="AA67" s="117" t="n"/>
    </row>
    <row r="68">
      <c r="A68" t="inlineStr">
        <is>
          <t>C020206</t>
        </is>
      </c>
      <c r="B68" t="inlineStr">
        <is>
          <t>pe equal</t>
        </is>
      </c>
      <c r="C68" s="166" t="n">
        <v>48.25280408952874</v>
      </c>
      <c r="D68" s="90" t="n">
        <v>16.11565631949637</v>
      </c>
      <c r="E68" s="12" t="n">
        <v>0.6660161699702422</v>
      </c>
      <c r="F68" s="90" t="n">
        <v>-20.90337021549856</v>
      </c>
      <c r="G68" s="90" t="n">
        <v>-1.433205294695708</v>
      </c>
      <c r="H68" s="12" t="n">
        <v>-0.4905968845439223</v>
      </c>
      <c r="I68" s="12" t="n">
        <v>0.02711022121959505</v>
      </c>
      <c r="J68" s="12" t="n">
        <v>-129.1527215381729</v>
      </c>
      <c r="K68" s="90" t="n">
        <v>-1.297084636274485</v>
      </c>
      <c r="L68" s="7" t="n">
        <v>16.11565631949637</v>
      </c>
      <c r="M68" s="14" t="n">
        <v>0.6660161699702422</v>
      </c>
      <c r="N68" s="7" t="n">
        <v>-20.90337021549856</v>
      </c>
      <c r="O68" s="7" t="n">
        <v>-1.433205294695708</v>
      </c>
      <c r="P68" s="7" t="n">
        <v>-1.297084636274485</v>
      </c>
      <c r="S68" s="99" t="n">
        <v>0.01157147123454478</v>
      </c>
      <c r="U68" s="117">
        <f>C68*S68</f>
        <v/>
      </c>
      <c r="V68" s="117">
        <f>(1+S68)*R67*(1-U68)+S68</f>
        <v/>
      </c>
      <c r="W68" s="117">
        <f>V68+I68/3</f>
        <v/>
      </c>
      <c r="X68" s="117">
        <f>V68+I68/5</f>
        <v/>
      </c>
      <c r="Y68" s="117" t="n"/>
      <c r="AA68" s="117" t="n"/>
    </row>
    <row r="69">
      <c r="B69" t="inlineStr">
        <is>
          <t>pb weighted</t>
        </is>
      </c>
      <c r="C69" s="167" t="n">
        <v>1.52106780660978</v>
      </c>
      <c r="D69" s="90" t="n">
        <v>1.243381413905701</v>
      </c>
      <c r="E69" s="12" t="n">
        <v>0.1825601669415369</v>
      </c>
      <c r="F69" s="90" t="n">
        <v>5.586529609504482</v>
      </c>
      <c r="G69" s="90" t="n">
        <v>2.672768291609547</v>
      </c>
      <c r="H69" s="12" t="n">
        <v>0.001424727510118684</v>
      </c>
      <c r="I69" s="12" t="n">
        <v>0.2223655078826561</v>
      </c>
      <c r="J69" s="12" t="n">
        <v>0.8174149301318789</v>
      </c>
      <c r="K69" s="90" t="n">
        <v>4.493013605500273</v>
      </c>
      <c r="L69" s="7" t="n">
        <v>1.243381413905701</v>
      </c>
      <c r="M69" s="14" t="n">
        <v>0.1825601669415369</v>
      </c>
      <c r="N69" s="7" t="n">
        <v>2.53574444718881</v>
      </c>
      <c r="O69" s="7" t="n">
        <v>0.6670817935727562</v>
      </c>
      <c r="P69" s="7" t="n">
        <v>2.039393880935977</v>
      </c>
      <c r="W69" s="117">
        <f>V67+I69/3</f>
        <v/>
      </c>
      <c r="X69" s="117">
        <f>V67+I69/5</f>
        <v/>
      </c>
      <c r="Y69" s="117" t="n"/>
      <c r="AA69" s="117" t="n"/>
    </row>
    <row r="70">
      <c r="B70" t="inlineStr">
        <is>
          <t>pb equal</t>
        </is>
      </c>
      <c r="C70" s="167" t="n">
        <v>1.543568897359933</v>
      </c>
      <c r="D70" s="90" t="n">
        <v>1.273412662290311</v>
      </c>
      <c r="E70" s="12" t="n">
        <v>0.175020522590011</v>
      </c>
      <c r="F70" s="90" t="n">
        <v>5.951327826803759</v>
      </c>
      <c r="G70" s="90" t="n">
        <v>2.855563452323187</v>
      </c>
      <c r="H70" s="12" t="n">
        <v>0.02787475370541781</v>
      </c>
      <c r="I70" s="12" t="n">
        <v>0.2046245876853656</v>
      </c>
      <c r="J70" s="12" t="n">
        <v>0.8737092717799819</v>
      </c>
      <c r="K70" s="90" t="n">
        <v>4.673526503262447</v>
      </c>
      <c r="L70" s="7" t="n">
        <v>1.273412662290311</v>
      </c>
      <c r="M70" s="14" t="n">
        <v>0.175020522590011</v>
      </c>
      <c r="N70" s="7" t="n">
        <v>2.50221382790703</v>
      </c>
      <c r="O70" s="7" t="n">
        <v>0.6210574287851549</v>
      </c>
      <c r="P70" s="7" t="n">
        <v>1.964966975753677</v>
      </c>
      <c r="W70" s="117">
        <f>V68+I70/3</f>
        <v/>
      </c>
      <c r="X70" s="117">
        <f>V68+I70/5</f>
        <v/>
      </c>
      <c r="Y70" s="117" t="n"/>
      <c r="AA70" s="117" t="n"/>
    </row>
    <row r="71">
      <c r="C71" s="101" t="n"/>
      <c r="D71" s="90" t="n"/>
      <c r="F71" s="90" t="n"/>
      <c r="G71" s="90" t="n"/>
      <c r="K71" s="90" t="n"/>
      <c r="L71" s="7" t="n"/>
      <c r="N71" s="7" t="n"/>
      <c r="O71" s="7" t="n"/>
      <c r="P71" s="7" t="n"/>
      <c r="AA71" s="117" t="n"/>
    </row>
    <row r="72">
      <c r="A72" t="inlineStr">
        <is>
          <t>航天航空</t>
        </is>
      </c>
      <c r="B72" t="inlineStr">
        <is>
          <t>pe weighted</t>
        </is>
      </c>
      <c r="C72" s="165" t="n">
        <v>35.47390493642948</v>
      </c>
      <c r="D72" s="90" t="n">
        <v>24.55492490933365</v>
      </c>
      <c r="E72" s="12" t="n">
        <v>0.3078031597215765</v>
      </c>
      <c r="F72" s="90" t="n">
        <v>-49.43538488765593</v>
      </c>
      <c r="G72" s="90" t="n">
        <v>-2.393570428072295</v>
      </c>
      <c r="H72" s="12" t="n">
        <v>-0.03469834279695516</v>
      </c>
      <c r="I72" s="12" t="n">
        <v>0.3494029846534223</v>
      </c>
      <c r="J72" s="12" t="n">
        <v>4.609450545141457</v>
      </c>
      <c r="K72" s="90" t="n">
        <v>-2.013257424740276</v>
      </c>
      <c r="L72" s="7" t="n">
        <v>24.55492490933365</v>
      </c>
      <c r="M72" s="14" t="n">
        <v>0.3078031597215765</v>
      </c>
      <c r="N72" s="7" t="n">
        <v>55.8999446810552</v>
      </c>
      <c r="O72" s="7" t="n">
        <v>0.5758046592623487</v>
      </c>
      <c r="P72" s="7" t="n">
        <v>2.276526802157187</v>
      </c>
      <c r="Q72" s="99" t="n">
        <v>0.1149369436418627</v>
      </c>
      <c r="R72" s="99" t="n">
        <v>0.08191218610645855</v>
      </c>
      <c r="S72" s="99" t="n">
        <v>0.007093150873194507</v>
      </c>
      <c r="U72" s="117">
        <f>C72*S72</f>
        <v/>
      </c>
      <c r="V72" s="117">
        <f>(1+S72)*Q72*(1-U72)+S72</f>
        <v/>
      </c>
      <c r="W72" s="117">
        <f>V72+I72/3</f>
        <v/>
      </c>
      <c r="X72" s="117">
        <f>V72+I72/5</f>
        <v/>
      </c>
      <c r="Y72" s="117" t="n"/>
      <c r="AA72" s="117" t="n"/>
    </row>
    <row r="73">
      <c r="A73" t="inlineStr">
        <is>
          <t>C020207</t>
        </is>
      </c>
      <c r="B73" t="inlineStr">
        <is>
          <t>pe equal</t>
        </is>
      </c>
      <c r="C73" s="165" t="n">
        <v>41.01247774914395</v>
      </c>
      <c r="D73" s="90" t="n">
        <v>24.47441591318584</v>
      </c>
      <c r="E73" s="12" t="n">
        <v>0.4032446402559356</v>
      </c>
      <c r="F73" s="90" t="n">
        <v>-83.68788878491407</v>
      </c>
      <c r="G73" s="90" t="n">
        <v>-3.040547008566457</v>
      </c>
      <c r="H73" s="12" t="n">
        <v>-0.05065344877631917</v>
      </c>
      <c r="I73" s="12" t="n">
        <v>0.2296638138401985</v>
      </c>
      <c r="J73" s="12" t="n">
        <v>4.510978883882491</v>
      </c>
      <c r="K73" s="90" t="n">
        <v>-3.419402901452957</v>
      </c>
      <c r="L73" s="7" t="n">
        <v>24.47441591318584</v>
      </c>
      <c r="M73" s="14" t="n">
        <v>0.4032446402559356</v>
      </c>
      <c r="N73" s="7" t="n">
        <v>56.8938557681811</v>
      </c>
      <c r="O73" s="7" t="n">
        <v>0.3872328347528</v>
      </c>
      <c r="P73" s="7" t="n">
        <v>2.324625681364227</v>
      </c>
      <c r="S73" s="99" t="n">
        <v>0.005975894575650813</v>
      </c>
      <c r="U73" s="117">
        <f>C73*S73</f>
        <v/>
      </c>
      <c r="V73" s="117">
        <f>(1+S73)*R72*(1-U73)+S73</f>
        <v/>
      </c>
      <c r="W73" s="117">
        <f>V73+I73/3</f>
        <v/>
      </c>
      <c r="X73" s="117">
        <f>V73+I73/5</f>
        <v/>
      </c>
      <c r="Y73" s="117" t="n"/>
      <c r="AA73" s="117" t="n"/>
    </row>
    <row r="74">
      <c r="B74" t="inlineStr">
        <is>
          <t>pb weighted</t>
        </is>
      </c>
      <c r="C74" s="166" t="n">
        <v>4.07726221243519</v>
      </c>
      <c r="D74" s="90" t="n">
        <v>1.529083186839634</v>
      </c>
      <c r="E74" s="12" t="n">
        <v>0.6249730561414218</v>
      </c>
      <c r="F74" s="90" t="n">
        <v>6.773217206955907</v>
      </c>
      <c r="G74" s="90" t="n">
        <v>0.6612169769946017</v>
      </c>
      <c r="H74" s="12" t="n">
        <v>-0.4083306611800119</v>
      </c>
      <c r="I74" s="12" t="n">
        <v>-0.157709789319631</v>
      </c>
      <c r="J74" s="12" t="n">
        <v>-0.007238519163699442</v>
      </c>
      <c r="K74" s="90" t="n">
        <v>4.429593671064453</v>
      </c>
      <c r="L74" s="7" t="n">
        <v>1.529083186839634</v>
      </c>
      <c r="M74" s="14" t="n">
        <v>0.6249730561414218</v>
      </c>
      <c r="N74" s="7" t="n">
        <v>5.887985100813186</v>
      </c>
      <c r="O74" s="7" t="n">
        <v>0.4441026340801668</v>
      </c>
      <c r="P74" s="7" t="n">
        <v>3.850663686246327</v>
      </c>
      <c r="W74" s="117">
        <f>V72+I74/3</f>
        <v/>
      </c>
      <c r="X74" s="117">
        <f>V72+I74/5</f>
        <v/>
      </c>
      <c r="Y74" s="117" t="n"/>
      <c r="AA74" s="117" t="n"/>
    </row>
    <row r="75">
      <c r="B75" t="inlineStr">
        <is>
          <t>pb equal</t>
        </is>
      </c>
      <c r="C75" s="165" t="n">
        <v>3.35942171007487</v>
      </c>
      <c r="D75" s="90" t="n">
        <v>1.917237816974493</v>
      </c>
      <c r="E75" s="12" t="n">
        <v>0.4292952828087294</v>
      </c>
      <c r="F75" s="90" t="n">
        <v>7.296164159318869</v>
      </c>
      <c r="G75" s="90" t="n">
        <v>1.171851225893359</v>
      </c>
      <c r="H75" s="12" t="n">
        <v>-0.1782646348813108</v>
      </c>
      <c r="I75" s="12" t="n">
        <v>0.002267607799303795</v>
      </c>
      <c r="J75" s="12" t="n">
        <v>0.2062452271513082</v>
      </c>
      <c r="K75" s="90" t="n">
        <v>3.80556031949788</v>
      </c>
      <c r="L75" s="7" t="n">
        <v>1.917237816974493</v>
      </c>
      <c r="M75" s="14" t="n">
        <v>0.4292952828087294</v>
      </c>
      <c r="N75" s="7" t="n">
        <v>4.119542501844899</v>
      </c>
      <c r="O75" s="7" t="n">
        <v>0.2262653686765299</v>
      </c>
      <c r="P75" s="7" t="n">
        <v>2.148686232543526</v>
      </c>
      <c r="W75" s="117">
        <f>V73+I75/3</f>
        <v/>
      </c>
      <c r="X75" s="117">
        <f>V73+I75/5</f>
        <v/>
      </c>
      <c r="Y75" s="117" t="n"/>
      <c r="AA75" s="117" t="n"/>
    </row>
    <row r="76">
      <c r="C76" s="101" t="n"/>
      <c r="D76" s="90" t="n"/>
      <c r="F76" s="90" t="n"/>
      <c r="G76" s="90" t="n"/>
      <c r="K76" s="90" t="n"/>
      <c r="L76" s="7" t="n"/>
      <c r="N76" s="7" t="n"/>
      <c r="O76" s="7" t="n"/>
      <c r="P76" s="7" t="n"/>
      <c r="AA76" s="117" t="n"/>
    </row>
    <row r="77">
      <c r="A77" t="inlineStr">
        <is>
          <t>建筑产品</t>
        </is>
      </c>
      <c r="B77" t="inlineStr">
        <is>
          <t>pe weighted</t>
        </is>
      </c>
      <c r="C77" s="165" t="n">
        <v>71.43722441108552</v>
      </c>
      <c r="D77" s="90" t="n">
        <v>44.67141360244064</v>
      </c>
      <c r="E77" s="12" t="n">
        <v>0.3746759624173109</v>
      </c>
      <c r="F77" s="90" t="n">
        <v>215.4331427409955</v>
      </c>
      <c r="G77" s="90" t="n">
        <v>2.015698671343745</v>
      </c>
      <c r="H77" s="12" t="n">
        <v>-0.08809410534240758</v>
      </c>
      <c r="I77" s="12" t="n">
        <v>0.136823228607039</v>
      </c>
      <c r="J77" s="12" t="n">
        <v>0.6674495326959222</v>
      </c>
      <c r="K77" s="90" t="n">
        <v>4.822617539222562</v>
      </c>
      <c r="L77" s="7" t="n">
        <v>44.67141360244064</v>
      </c>
      <c r="M77" s="14" t="n">
        <v>0.3746759624173109</v>
      </c>
      <c r="N77" s="7" t="n">
        <v>201.7176555655831</v>
      </c>
      <c r="O77" s="7" t="n">
        <v>1.82370510932506</v>
      </c>
      <c r="P77" s="7" t="n">
        <v>4.51558702307469</v>
      </c>
      <c r="Q77" s="99" t="n">
        <v>0.05442821076056174</v>
      </c>
      <c r="R77" s="99" t="n">
        <v>0.03008881867994668</v>
      </c>
      <c r="S77" s="99" t="n">
        <v>0.003986776414525094</v>
      </c>
      <c r="U77" s="117">
        <f>C77*S77</f>
        <v/>
      </c>
      <c r="V77" s="117">
        <f>(1+S77)*Q77*(1-U77)+S77</f>
        <v/>
      </c>
      <c r="W77" s="117">
        <f>V77+I77/3</f>
        <v/>
      </c>
      <c r="X77" s="117">
        <f>V77+I77/5</f>
        <v/>
      </c>
      <c r="Y77" s="117" t="n"/>
      <c r="AA77" s="117" t="n"/>
    </row>
    <row r="78">
      <c r="A78" t="inlineStr">
        <is>
          <t>C030101</t>
        </is>
      </c>
      <c r="B78" t="inlineStr">
        <is>
          <t>pe equal</t>
        </is>
      </c>
      <c r="C78" s="166" t="n">
        <v>117.1623806408673</v>
      </c>
      <c r="D78" s="90" t="n">
        <v>47.99843759269299</v>
      </c>
      <c r="E78" s="12" t="n">
        <v>0.5903255180532693</v>
      </c>
      <c r="F78" s="90" t="n">
        <v>-25.78101003976286</v>
      </c>
      <c r="G78" s="90" t="n">
        <v>-1.220045119420953</v>
      </c>
      <c r="H78" s="12" t="n">
        <v>-0.3663719380238781</v>
      </c>
      <c r="I78" s="12" t="n">
        <v>-0.01045750606615015</v>
      </c>
      <c r="J78" s="12" t="n">
        <v>-2.414349599626522</v>
      </c>
      <c r="K78" s="90" t="n">
        <v>-0.5371218592266764</v>
      </c>
      <c r="L78" s="7" t="n">
        <v>47.99843759269299</v>
      </c>
      <c r="M78" s="14" t="n">
        <v>0.5903255180532693</v>
      </c>
      <c r="N78" s="7" t="n">
        <v>-25.78101003976286</v>
      </c>
      <c r="O78" s="7" t="n">
        <v>-1.220045119420953</v>
      </c>
      <c r="P78" s="7" t="n">
        <v>-0.5371218592266764</v>
      </c>
      <c r="S78" s="99" t="n">
        <v>0.003707854914031493</v>
      </c>
      <c r="U78" s="117">
        <f>C78*S78</f>
        <v/>
      </c>
      <c r="V78" s="117">
        <f>(1+S78)*R77*(1-U78)+S78</f>
        <v/>
      </c>
      <c r="W78" s="117">
        <f>V78+I78/3</f>
        <v/>
      </c>
      <c r="X78" s="117">
        <f>V78+I78/5</f>
        <v/>
      </c>
      <c r="Y78" s="117" t="n"/>
      <c r="AA78" s="117" t="n"/>
    </row>
    <row r="79">
      <c r="B79" t="inlineStr">
        <is>
          <t>pb weighted</t>
        </is>
      </c>
      <c r="C79" s="168" t="n">
        <v>3.888200306396109</v>
      </c>
      <c r="D79" s="90" t="n">
        <v>2.307828779514818</v>
      </c>
      <c r="E79" s="12" t="n">
        <v>0.4064532180303499</v>
      </c>
      <c r="F79" s="90" t="n">
        <v>11.1136387743826</v>
      </c>
      <c r="G79" s="90" t="n">
        <v>1.858298929738935</v>
      </c>
      <c r="H79" s="12" t="n">
        <v>-0.215091113664428</v>
      </c>
      <c r="I79" s="12" t="n">
        <v>-0.02025394302774552</v>
      </c>
      <c r="J79" s="12" t="n">
        <v>0.2459995473720076</v>
      </c>
      <c r="K79" s="90" t="n">
        <v>4.8156253501263</v>
      </c>
      <c r="L79" s="7" t="n">
        <v>2.307828779514818</v>
      </c>
      <c r="M79" s="14" t="n">
        <v>0.4064532180303499</v>
      </c>
      <c r="N79" s="7" t="n">
        <v>5.58217490923409</v>
      </c>
      <c r="O79" s="7" t="n">
        <v>0.4356706109125563</v>
      </c>
      <c r="P79" s="7" t="n">
        <v>2.418799418216653</v>
      </c>
      <c r="W79" s="117">
        <f>V77+I79/3</f>
        <v/>
      </c>
      <c r="X79" s="117">
        <f>V77+I79/5</f>
        <v/>
      </c>
      <c r="Y79" s="117" t="n"/>
      <c r="AA79" s="117" t="n"/>
    </row>
    <row r="80">
      <c r="B80" t="inlineStr">
        <is>
          <t>pb equal</t>
        </is>
      </c>
      <c r="C80" s="165" t="n">
        <v>3.525277627213951</v>
      </c>
      <c r="D80" s="90" t="n">
        <v>2.279269753539959</v>
      </c>
      <c r="E80" s="12" t="n">
        <v>0.3534495734620255</v>
      </c>
      <c r="F80" s="90" t="n">
        <v>10.61632931575853</v>
      </c>
      <c r="G80" s="90" t="n">
        <v>2.011487445358644</v>
      </c>
      <c r="H80" s="12" t="n">
        <v>-0.1008289263495644</v>
      </c>
      <c r="I80" s="12" t="n">
        <v>0.05806173947205284</v>
      </c>
      <c r="J80" s="12" t="n">
        <v>0.3707651778083467</v>
      </c>
      <c r="K80" s="90" t="n">
        <v>4.657776596767534</v>
      </c>
      <c r="L80" s="7" t="n">
        <v>2.279269753539959</v>
      </c>
      <c r="M80" s="14" t="n">
        <v>0.3534495734620255</v>
      </c>
      <c r="N80" s="7" t="n">
        <v>7.568995653980172</v>
      </c>
      <c r="O80" s="7" t="n">
        <v>1.147063707989999</v>
      </c>
      <c r="P80" s="7" t="n">
        <v>3.320798533049755</v>
      </c>
      <c r="W80" s="117">
        <f>V78+I80/3</f>
        <v/>
      </c>
      <c r="X80" s="117">
        <f>V78+I80/5</f>
        <v/>
      </c>
      <c r="Y80" s="117" t="n"/>
      <c r="AA80" s="117" t="n"/>
    </row>
    <row r="81">
      <c r="C81" s="101" t="n"/>
      <c r="D81" s="90" t="n"/>
      <c r="F81" s="90" t="n"/>
      <c r="G81" s="90" t="n"/>
      <c r="K81" s="90" t="n"/>
      <c r="L81" s="7" t="n"/>
      <c r="N81" s="7" t="n"/>
      <c r="O81" s="7" t="n"/>
      <c r="P81" s="7" t="n"/>
      <c r="AA81" s="117" t="n"/>
    </row>
    <row r="82">
      <c r="A82" t="inlineStr">
        <is>
          <t>电气部件与设备</t>
        </is>
      </c>
      <c r="B82" t="inlineStr">
        <is>
          <t>pe weighted</t>
        </is>
      </c>
      <c r="C82" s="168" t="n">
        <v>87.77036647925686</v>
      </c>
      <c r="D82" s="90" t="n">
        <v>17.26971356683823</v>
      </c>
      <c r="E82" s="12" t="n">
        <v>0.8032398147623133</v>
      </c>
      <c r="F82" s="90" t="n">
        <v>949.9611236515029</v>
      </c>
      <c r="G82" s="90" t="n">
        <v>9.823255749718342</v>
      </c>
      <c r="H82" s="12" t="n">
        <v>-0.6371916758076182</v>
      </c>
      <c r="I82" s="12" t="n">
        <v>-0.4860095219478711</v>
      </c>
      <c r="J82" s="12" t="n">
        <v>0.1259880691577391</v>
      </c>
      <c r="K82" s="90" t="n">
        <v>55.00734681990581</v>
      </c>
      <c r="L82" s="7" t="n">
        <v>17.26971356683823</v>
      </c>
      <c r="M82" s="14" t="n">
        <v>0.8032398147623133</v>
      </c>
      <c r="N82" s="7" t="n">
        <v>111.3249201352631</v>
      </c>
      <c r="O82" s="7" t="n">
        <v>0.2683656751230836</v>
      </c>
      <c r="P82" s="7" t="n">
        <v>6.446251682426988</v>
      </c>
      <c r="Q82" s="99" t="n">
        <v>0.02775898042409175</v>
      </c>
      <c r="R82" s="99" t="n">
        <v>-0.02350757172424477</v>
      </c>
      <c r="S82" s="99" t="n">
        <v>0.01098077618286584</v>
      </c>
      <c r="U82" s="117">
        <f>C82*S82</f>
        <v/>
      </c>
      <c r="V82" s="117">
        <f>(1+S82)*Q82*(1-U82)+S82</f>
        <v/>
      </c>
      <c r="W82" s="117">
        <f>V82+I82/3</f>
        <v/>
      </c>
      <c r="X82" s="117">
        <f>V82+I82/5</f>
        <v/>
      </c>
      <c r="Y82" s="117" t="n"/>
      <c r="AA82" s="117" t="n"/>
    </row>
    <row r="83">
      <c r="A83" t="inlineStr">
        <is>
          <t>C030102</t>
        </is>
      </c>
      <c r="B83" t="inlineStr">
        <is>
          <t>pe equal</t>
        </is>
      </c>
      <c r="C83" s="166" t="n">
        <v>-88.45353657241996</v>
      </c>
      <c r="D83" s="90" t="n">
        <v>23.79685002383391</v>
      </c>
      <c r="E83" s="12" t="n">
        <v>1.269032205448909</v>
      </c>
      <c r="F83" s="90" t="n">
        <v>-62.3813854903105</v>
      </c>
      <c r="G83" s="90" t="n">
        <v>-0.2947553268349343</v>
      </c>
      <c r="H83" s="12" t="n">
        <v>-1.455533254747464</v>
      </c>
      <c r="I83" s="12" t="n">
        <v>-1.767223720313615</v>
      </c>
      <c r="J83" s="12" t="n">
        <v>1.309288388318875</v>
      </c>
      <c r="K83" s="90" t="n">
        <v>-2.621413566410343</v>
      </c>
      <c r="L83" s="7" t="n">
        <v>23.79685002383391</v>
      </c>
      <c r="M83" s="14" t="n">
        <v>1.269032205448909</v>
      </c>
      <c r="N83" s="7" t="n">
        <v>-62.3813854903105</v>
      </c>
      <c r="O83" s="7" t="n">
        <v>-0.2947553268349343</v>
      </c>
      <c r="P83" s="7" t="n">
        <v>-2.621413566410343</v>
      </c>
      <c r="S83" s="99" t="n">
        <v>0.007343974404757514</v>
      </c>
      <c r="U83" s="117">
        <f>C83*S83</f>
        <v/>
      </c>
      <c r="V83" s="117">
        <f>(1+S83)*R82*(1-U83)+S83</f>
        <v/>
      </c>
      <c r="W83" s="117">
        <f>V83+I83/3</f>
        <v/>
      </c>
      <c r="X83" s="117">
        <f>V83+I83/5</f>
        <v/>
      </c>
      <c r="Y83" s="117" t="n"/>
      <c r="AA83" s="117" t="n"/>
    </row>
    <row r="84">
      <c r="B84" t="inlineStr">
        <is>
          <t>pb weighted</t>
        </is>
      </c>
      <c r="C84" s="165" t="n">
        <v>2.43641588491305</v>
      </c>
      <c r="D84" s="90" t="n">
        <v>1.625969232192495</v>
      </c>
      <c r="E84" s="12" t="n">
        <v>0.3326388806357162</v>
      </c>
      <c r="F84" s="90" t="n">
        <v>6.630039881143418</v>
      </c>
      <c r="G84" s="90" t="n">
        <v>1.721226668319817</v>
      </c>
      <c r="H84" s="12" t="n">
        <v>-0.09665131266762672</v>
      </c>
      <c r="I84" s="12" t="n">
        <v>0.05574266111655835</v>
      </c>
      <c r="J84" s="12" t="n">
        <v>0.5745359222990474</v>
      </c>
      <c r="K84" s="90" t="n">
        <v>4.077592459854433</v>
      </c>
      <c r="L84" s="7" t="n">
        <v>1.625969232192495</v>
      </c>
      <c r="M84" s="14" t="n">
        <v>0.3326388806357162</v>
      </c>
      <c r="N84" s="7" t="n">
        <v>2.961705794187685</v>
      </c>
      <c r="O84" s="7" t="n">
        <v>0.2155994436448119</v>
      </c>
      <c r="P84" s="7" t="n">
        <v>1.821501745266146</v>
      </c>
      <c r="W84" s="117">
        <f>V82+I84/3</f>
        <v/>
      </c>
      <c r="X84" s="117">
        <f>V82+I84/5</f>
        <v/>
      </c>
      <c r="Y84" s="117" t="n"/>
      <c r="AA84" s="117" t="n"/>
    </row>
    <row r="85">
      <c r="B85" t="inlineStr">
        <is>
          <t>pb equal</t>
        </is>
      </c>
      <c r="C85" s="165" t="n">
        <v>2.07932785523927</v>
      </c>
      <c r="D85" s="90" t="n">
        <v>1.53990962610194</v>
      </c>
      <c r="E85" s="12" t="n">
        <v>0.2594195175994789</v>
      </c>
      <c r="F85" s="90" t="n">
        <v>6.322443705943217</v>
      </c>
      <c r="G85" s="90" t="n">
        <v>2.040618962523198</v>
      </c>
      <c r="H85" s="12" t="n">
        <v>-0.1009687009490284</v>
      </c>
      <c r="I85" s="12" t="n">
        <v>0.06485665920994332</v>
      </c>
      <c r="J85" s="12" t="n">
        <v>0.8224273890510099</v>
      </c>
      <c r="K85" s="90" t="n">
        <v>4.105723867671102</v>
      </c>
      <c r="L85" s="7" t="n">
        <v>1.53990962610194</v>
      </c>
      <c r="M85" s="14" t="n">
        <v>0.2594195175994789</v>
      </c>
      <c r="N85" s="7" t="n">
        <v>2.655301735423775</v>
      </c>
      <c r="O85" s="7" t="n">
        <v>0.2770000309153877</v>
      </c>
      <c r="P85" s="7" t="n">
        <v>1.724323096898414</v>
      </c>
      <c r="W85" s="117">
        <f>V83+I85/3</f>
        <v/>
      </c>
      <c r="X85" s="117">
        <f>V83+I85/5</f>
        <v/>
      </c>
      <c r="Y85" s="117" t="n"/>
      <c r="AA85" s="117" t="n"/>
    </row>
    <row r="86">
      <c r="C86" s="101" t="n"/>
      <c r="D86" s="90" t="n"/>
      <c r="F86" s="90" t="n"/>
      <c r="G86" s="90" t="n"/>
      <c r="K86" s="90" t="n"/>
      <c r="L86" s="7" t="n"/>
      <c r="N86" s="7" t="n"/>
      <c r="O86" s="7" t="n"/>
      <c r="P86" s="7" t="n"/>
      <c r="AA86" s="117" t="n"/>
    </row>
    <row r="87">
      <c r="A87" t="inlineStr">
        <is>
          <t>重型电气设备</t>
        </is>
      </c>
      <c r="B87" t="inlineStr">
        <is>
          <t>pe weighted</t>
        </is>
      </c>
      <c r="C87" s="165" t="n">
        <v>41.43050886660893</v>
      </c>
      <c r="D87" s="90" t="n">
        <v>23.63217825539921</v>
      </c>
      <c r="E87" s="12" t="n">
        <v>0.42959478650175</v>
      </c>
      <c r="F87" s="90" t="n">
        <v>108.8776638831493</v>
      </c>
      <c r="G87" s="90" t="n">
        <v>1.627958643561331</v>
      </c>
      <c r="H87" s="12" t="n">
        <v>-0.1674264024234938</v>
      </c>
      <c r="I87" s="12" t="n">
        <v>0.1933829928076665</v>
      </c>
      <c r="J87" s="12" t="n">
        <v>0.7161876726511551</v>
      </c>
      <c r="K87" s="90" t="n">
        <v>4.607178513401497</v>
      </c>
      <c r="L87" s="7" t="n">
        <v>23.63217825539921</v>
      </c>
      <c r="M87" s="14" t="n">
        <v>0.42959478650175</v>
      </c>
      <c r="N87" s="7" t="n">
        <v>108.8776638831493</v>
      </c>
      <c r="O87" s="7" t="n">
        <v>1.627958643561331</v>
      </c>
      <c r="P87" s="7" t="n">
        <v>4.607178513401497</v>
      </c>
      <c r="Q87" s="99" t="n">
        <v>0.104237874870826</v>
      </c>
      <c r="R87" s="99" t="n">
        <v>0.04277423372402585</v>
      </c>
      <c r="S87" s="99" t="n">
        <v>0.004380502890701749</v>
      </c>
      <c r="U87" s="117">
        <f>C87*S87</f>
        <v/>
      </c>
      <c r="V87" s="117">
        <f>(1+S87)*Q87*(1-U87)+S87</f>
        <v/>
      </c>
      <c r="W87" s="117">
        <f>V87+I87/3</f>
        <v/>
      </c>
      <c r="X87" s="117">
        <f>V87+I87/5</f>
        <v/>
      </c>
      <c r="Y87" s="117" t="n"/>
      <c r="AA87" s="117" t="n"/>
    </row>
    <row r="88">
      <c r="A88" t="inlineStr">
        <is>
          <t>C030103</t>
        </is>
      </c>
      <c r="B88" t="inlineStr">
        <is>
          <t>pe equal</t>
        </is>
      </c>
      <c r="C88" s="165" t="n">
        <v>69.28169722864506</v>
      </c>
      <c r="D88" s="90" t="n">
        <v>25.98869500904194</v>
      </c>
      <c r="E88" s="12" t="n">
        <v>0.6248836843116957</v>
      </c>
      <c r="F88" s="90" t="n">
        <v>-31.32412621595624</v>
      </c>
      <c r="G88" s="90" t="n">
        <v>-1.452127004229986</v>
      </c>
      <c r="H88" s="12" t="n">
        <v>-0.3903311587508154</v>
      </c>
      <c r="I88" s="12" t="n">
        <v>0.002850463564314953</v>
      </c>
      <c r="J88" s="12" t="n">
        <v>0.7950108706188621</v>
      </c>
      <c r="K88" s="90" t="n">
        <v>-1.205298157720424</v>
      </c>
      <c r="L88" s="7" t="n">
        <v>25.98869500904194</v>
      </c>
      <c r="M88" s="14" t="n">
        <v>0.6248836843116957</v>
      </c>
      <c r="N88" s="7" t="n">
        <v>-31.32412621595624</v>
      </c>
      <c r="O88" s="7" t="n">
        <v>-1.452127004229986</v>
      </c>
      <c r="P88" s="7" t="n">
        <v>-1.205298157720424</v>
      </c>
      <c r="S88" s="99" t="n">
        <v>0.00667175154339324</v>
      </c>
      <c r="U88" s="117">
        <f>C88*S88</f>
        <v/>
      </c>
      <c r="V88" s="117">
        <f>(1+S88)*R87*(1-U88)+S88</f>
        <v/>
      </c>
      <c r="W88" s="117">
        <f>V88+I88/3</f>
        <v/>
      </c>
      <c r="X88" s="117">
        <f>V88+I88/5</f>
        <v/>
      </c>
      <c r="Y88" s="117" t="n"/>
      <c r="AA88" s="117" t="n"/>
    </row>
    <row r="89">
      <c r="B89" t="inlineStr">
        <is>
          <t>pb weighted</t>
        </is>
      </c>
      <c r="C89" s="168" t="n">
        <v>4.318628199072228</v>
      </c>
      <c r="D89" s="90" t="n">
        <v>2.010359308888232</v>
      </c>
      <c r="E89" s="12" t="n">
        <v>0.534491228182107</v>
      </c>
      <c r="F89" s="90" t="n">
        <v>8.76955345758058</v>
      </c>
      <c r="G89" s="90" t="n">
        <v>1.030634047048677</v>
      </c>
      <c r="H89" s="12" t="n">
        <v>-0.380552826636354</v>
      </c>
      <c r="I89" s="12" t="n">
        <v>-0.1313264091947998</v>
      </c>
      <c r="J89" s="12" t="n">
        <v>0.1362071528020175</v>
      </c>
      <c r="K89" s="90" t="n">
        <v>4.362182132720501</v>
      </c>
      <c r="L89" s="7" t="n">
        <v>2.010359308888232</v>
      </c>
      <c r="M89" s="14" t="n">
        <v>0.534491228182107</v>
      </c>
      <c r="N89" s="7" t="n">
        <v>7.43770641721872</v>
      </c>
      <c r="O89" s="7" t="n">
        <v>0.7222381910108777</v>
      </c>
      <c r="P89" s="7" t="n">
        <v>3.69969009238051</v>
      </c>
      <c r="W89" s="117">
        <f>V87+I89/3</f>
        <v/>
      </c>
      <c r="X89" s="117">
        <f>V87+I89/5</f>
        <v/>
      </c>
      <c r="Y89" s="117" t="n"/>
      <c r="AA89" s="117" t="n"/>
    </row>
    <row r="90">
      <c r="B90" t="inlineStr">
        <is>
          <t>pb equal</t>
        </is>
      </c>
      <c r="C90" s="168" t="n">
        <v>2.963471510055258</v>
      </c>
      <c r="D90" s="90" t="n">
        <v>1.667143175687284</v>
      </c>
      <c r="E90" s="12" t="n">
        <v>0.437435733722914</v>
      </c>
      <c r="F90" s="90" t="n">
        <v>8.443276507142935</v>
      </c>
      <c r="G90" s="90" t="n">
        <v>1.849116814011651</v>
      </c>
      <c r="H90" s="12" t="n">
        <v>-0.2406903805484418</v>
      </c>
      <c r="I90" s="12" t="n">
        <v>-0.0497524972606177</v>
      </c>
      <c r="J90" s="12" t="n">
        <v>0.3354734130060475</v>
      </c>
      <c r="K90" s="90" t="n">
        <v>5.064517931198184</v>
      </c>
      <c r="L90" s="7" t="n">
        <v>1.667143175687284</v>
      </c>
      <c r="M90" s="14" t="n">
        <v>0.437435733722914</v>
      </c>
      <c r="N90" s="7" t="n">
        <v>3.693482636039812</v>
      </c>
      <c r="O90" s="7" t="n">
        <v>0.2463364751466572</v>
      </c>
      <c r="P90" s="7" t="n">
        <v>2.21545617071381</v>
      </c>
      <c r="W90" s="117">
        <f>V88+I90/3</f>
        <v/>
      </c>
      <c r="X90" s="117">
        <f>V88+I90/5</f>
        <v/>
      </c>
      <c r="Y90" s="117" t="n"/>
      <c r="AA90" s="117" t="n"/>
    </row>
    <row r="91">
      <c r="C91" s="101" t="n"/>
      <c r="D91" s="90" t="n"/>
      <c r="F91" s="90" t="n"/>
      <c r="G91" s="90" t="n"/>
      <c r="K91" s="90" t="n"/>
      <c r="L91" s="7" t="n"/>
      <c r="N91" s="7" t="n"/>
      <c r="O91" s="7" t="n"/>
      <c r="P91" s="7" t="n"/>
      <c r="AA91" s="117" t="n"/>
    </row>
    <row r="92">
      <c r="A92" t="inlineStr">
        <is>
          <t>通用机械</t>
        </is>
      </c>
      <c r="B92" t="inlineStr">
        <is>
          <t>pe weighted</t>
        </is>
      </c>
      <c r="C92" s="167" t="n">
        <v>28.5229005161537</v>
      </c>
      <c r="D92" s="90" t="n">
        <v>21.28392542374375</v>
      </c>
      <c r="E92" s="12" t="n">
        <v>0.2537951947877887</v>
      </c>
      <c r="F92" s="90" t="n">
        <v>96.02701322009524</v>
      </c>
      <c r="G92" s="90" t="n">
        <v>2.366663680144001</v>
      </c>
      <c r="H92" s="12" t="n">
        <v>0.04255283780405161</v>
      </c>
      <c r="I92" s="12" t="n">
        <v>0.3829806756684411</v>
      </c>
      <c r="J92" s="12" t="n">
        <v>0.9265945354858331</v>
      </c>
      <c r="K92" s="90" t="n">
        <v>4.511715358341285</v>
      </c>
      <c r="L92" s="7" t="n">
        <v>21.28392542374375</v>
      </c>
      <c r="M92" s="14" t="n">
        <v>0.2537951947877887</v>
      </c>
      <c r="N92" s="7" t="n">
        <v>44.7400961746294</v>
      </c>
      <c r="O92" s="7" t="n">
        <v>0.5685675497585256</v>
      </c>
      <c r="P92" s="7" t="n">
        <v>2.102060371096706</v>
      </c>
      <c r="Q92" s="99" t="n">
        <v>0.0783261879653309</v>
      </c>
      <c r="R92" s="99" t="n">
        <v>0.02810423546635952</v>
      </c>
      <c r="S92" s="99" t="n">
        <v>0.01089040339423494</v>
      </c>
      <c r="U92" s="117">
        <f>C92*S92</f>
        <v/>
      </c>
      <c r="V92" s="117">
        <f>(1+S92)*Q92*(1-U92)+S92</f>
        <v/>
      </c>
      <c r="W92" s="117">
        <f>V92+I92/3</f>
        <v/>
      </c>
      <c r="X92" s="117">
        <f>V92+I92/5</f>
        <v/>
      </c>
      <c r="Y92" s="117" t="n"/>
      <c r="AA92" s="117" t="n"/>
    </row>
    <row r="93">
      <c r="A93" t="inlineStr">
        <is>
          <t>C030104</t>
        </is>
      </c>
      <c r="B93" t="inlineStr">
        <is>
          <t>pe equal</t>
        </is>
      </c>
      <c r="C93" s="165" t="n">
        <v>84.5298390274157</v>
      </c>
      <c r="D93" s="90" t="n">
        <v>40.92091840247835</v>
      </c>
      <c r="E93" s="12" t="n">
        <v>0.5158997240109922</v>
      </c>
      <c r="F93" s="90" t="n">
        <v>-77.04832630916339</v>
      </c>
      <c r="G93" s="90" t="n">
        <v>-1.911492642073696</v>
      </c>
      <c r="H93" s="12" t="n">
        <v>-0.1995701563348571</v>
      </c>
      <c r="I93" s="12" t="n">
        <v>0.0481152973233776</v>
      </c>
      <c r="J93" s="12" t="n">
        <v>1.664290252921161</v>
      </c>
      <c r="K93" s="90" t="n">
        <v>-1.882859166340143</v>
      </c>
      <c r="L93" s="7" t="n">
        <v>40.92091840247835</v>
      </c>
      <c r="M93" s="14" t="n">
        <v>0.5158997240109922</v>
      </c>
      <c r="N93" s="7" t="n">
        <v>-199.7837114338715</v>
      </c>
      <c r="O93" s="7" t="n">
        <v>-3.363469678075163</v>
      </c>
      <c r="P93" s="7" t="n">
        <v>-4.882190313249952</v>
      </c>
      <c r="S93" s="99" t="n">
        <v>0.01118950783364777</v>
      </c>
      <c r="U93" s="117">
        <f>C93*S93</f>
        <v/>
      </c>
      <c r="V93" s="117">
        <f>(1+S93)*R92*(1-U93)+S93</f>
        <v/>
      </c>
      <c r="W93" s="117">
        <f>V93+I93/3</f>
        <v/>
      </c>
      <c r="X93" s="117">
        <f>V93+I93/5</f>
        <v/>
      </c>
      <c r="Y93" s="117" t="n"/>
      <c r="AA93" s="117" t="n"/>
    </row>
    <row r="94">
      <c r="B94" t="inlineStr">
        <is>
          <t>pb weighted</t>
        </is>
      </c>
      <c r="C94" s="168" t="n">
        <v>2.234090067144689</v>
      </c>
      <c r="D94" s="90" t="n">
        <v>1.487137487222257</v>
      </c>
      <c r="E94" s="12" t="n">
        <v>0.3343430915822857</v>
      </c>
      <c r="F94" s="90" t="n">
        <v>6.385499364643398</v>
      </c>
      <c r="G94" s="90" t="n">
        <v>1.858210355325772</v>
      </c>
      <c r="H94" s="12" t="n">
        <v>-0.1795098736834227</v>
      </c>
      <c r="I94" s="12" t="n">
        <v>-0.02985636339700115</v>
      </c>
      <c r="J94" s="12" t="n">
        <v>0.2476013767870764</v>
      </c>
      <c r="K94" s="90" t="n">
        <v>4.293819111890269</v>
      </c>
      <c r="L94" s="7" t="n">
        <v>1.487137487222257</v>
      </c>
      <c r="M94" s="14" t="n">
        <v>0.3343430915822857</v>
      </c>
      <c r="N94" s="7" t="n">
        <v>2.912201044954675</v>
      </c>
      <c r="O94" s="7" t="n">
        <v>0.3035289345682719</v>
      </c>
      <c r="P94" s="7" t="n">
        <v>1.958259454809532</v>
      </c>
      <c r="W94" s="117">
        <f>V92+I94/3</f>
        <v/>
      </c>
      <c r="X94" s="117">
        <f>V92+I94/5</f>
        <v/>
      </c>
      <c r="Y94" s="117" t="n"/>
      <c r="AA94" s="117" t="n"/>
    </row>
    <row r="95">
      <c r="B95" t="inlineStr">
        <is>
          <t>pb equal</t>
        </is>
      </c>
      <c r="C95" s="165" t="n">
        <v>2.375646499959957</v>
      </c>
      <c r="D95" s="90" t="n">
        <v>1.595762225830044</v>
      </c>
      <c r="E95" s="12" t="n">
        <v>0.3282829638765948</v>
      </c>
      <c r="F95" s="90" t="n">
        <v>6.824401497076427</v>
      </c>
      <c r="G95" s="90" t="n">
        <v>1.87265024370901</v>
      </c>
      <c r="H95" s="12" t="n">
        <v>-0.1118760961916929</v>
      </c>
      <c r="I95" s="12" t="n">
        <v>0.01796784133903651</v>
      </c>
      <c r="J95" s="12" t="n">
        <v>0.3967355514822029</v>
      </c>
      <c r="K95" s="90" t="n">
        <v>4.276577917820232</v>
      </c>
      <c r="L95" s="7" t="n">
        <v>1.595762225830044</v>
      </c>
      <c r="M95" s="14" t="n">
        <v>0.3282829638765948</v>
      </c>
      <c r="N95" s="7" t="n">
        <v>2.957446031020278</v>
      </c>
      <c r="O95" s="7" t="n">
        <v>0.2449015588262511</v>
      </c>
      <c r="P95" s="7" t="n">
        <v>1.853312469206963</v>
      </c>
      <c r="W95" s="117">
        <f>V93+I95/3</f>
        <v/>
      </c>
      <c r="X95" s="117">
        <f>V93+I95/5</f>
        <v/>
      </c>
      <c r="Y95" s="117" t="n"/>
      <c r="AA95" s="117" t="n"/>
    </row>
    <row r="96">
      <c r="C96" s="101" t="n"/>
      <c r="D96" s="90" t="n"/>
      <c r="F96" s="90" t="n"/>
      <c r="G96" s="90" t="n"/>
      <c r="K96" s="90" t="n"/>
      <c r="L96" s="7" t="n"/>
      <c r="N96" s="7" t="n"/>
      <c r="O96" s="7" t="n"/>
      <c r="P96" s="7" t="n"/>
      <c r="AA96" s="117" t="n"/>
    </row>
    <row r="97">
      <c r="A97" t="inlineStr">
        <is>
          <t>专用设备</t>
        </is>
      </c>
      <c r="B97" t="inlineStr">
        <is>
          <t>pe weighted</t>
        </is>
      </c>
      <c r="C97" s="168" t="n">
        <v>58.09829201699909</v>
      </c>
      <c r="D97" s="90" t="n">
        <v>20.47265737746216</v>
      </c>
      <c r="E97" s="12" t="n">
        <v>0.6476203229610944</v>
      </c>
      <c r="F97" s="90" t="n">
        <v>200.4230660686335</v>
      </c>
      <c r="G97" s="90" t="n">
        <v>2.449723892227182</v>
      </c>
      <c r="H97" s="12" t="n">
        <v>-0.4154433136885374</v>
      </c>
      <c r="I97" s="12" t="n">
        <v>-0.08199892188057523</v>
      </c>
      <c r="J97" s="12" t="n">
        <v>0.5014416315407517</v>
      </c>
      <c r="K97" s="90" t="n">
        <v>9.789792422808494</v>
      </c>
      <c r="L97" s="7" t="n">
        <v>20.47265737746216</v>
      </c>
      <c r="M97" s="14" t="n">
        <v>0.6476203229610944</v>
      </c>
      <c r="N97" s="7" t="n">
        <v>106.8890757305513</v>
      </c>
      <c r="O97" s="7" t="n">
        <v>0.8397972129589693</v>
      </c>
      <c r="P97" s="7" t="n">
        <v>5.221065041034818</v>
      </c>
      <c r="Q97" s="99" t="n">
        <v>0.04789800051535752</v>
      </c>
      <c r="R97" s="99" t="n">
        <v>0.02426326046471056</v>
      </c>
      <c r="S97" s="99" t="n">
        <v>0.009875970157441148</v>
      </c>
      <c r="U97" s="117">
        <f>C97*S97</f>
        <v/>
      </c>
      <c r="V97" s="117">
        <f>(1+S97)*Q97*(1-U97)+S97</f>
        <v/>
      </c>
      <c r="W97" s="117">
        <f>V97+I97/3</f>
        <v/>
      </c>
      <c r="X97" s="117">
        <f>V97+I97/5</f>
        <v/>
      </c>
      <c r="Y97" s="117" t="n"/>
      <c r="AA97" s="117" t="n"/>
    </row>
    <row r="98">
      <c r="A98" t="inlineStr">
        <is>
          <t>C030105</t>
        </is>
      </c>
      <c r="B98" t="inlineStr">
        <is>
          <t>pe equal</t>
        </is>
      </c>
      <c r="C98" s="166" t="n">
        <v>111.0462447477681</v>
      </c>
      <c r="D98" s="90" t="n">
        <v>33.90485366833072</v>
      </c>
      <c r="E98" s="12" t="n">
        <v>0.6946780708763032</v>
      </c>
      <c r="F98" s="90" t="n">
        <v>-23.70054835980336</v>
      </c>
      <c r="G98" s="90" t="n">
        <v>-1.213429534818013</v>
      </c>
      <c r="H98" s="12" t="n">
        <v>-0.5038671940693032</v>
      </c>
      <c r="I98" s="12" t="n">
        <v>-0.1783049643642887</v>
      </c>
      <c r="J98" s="12" t="n">
        <v>-2.438111144236995</v>
      </c>
      <c r="K98" s="90" t="n">
        <v>-0.6990311355315233</v>
      </c>
      <c r="L98" s="7" t="n">
        <v>33.90485366833072</v>
      </c>
      <c r="M98" s="14" t="n">
        <v>0.6946780708763032</v>
      </c>
      <c r="N98" s="7" t="n">
        <v>-23.70054835980336</v>
      </c>
      <c r="O98" s="7" t="n">
        <v>-1.213429534818013</v>
      </c>
      <c r="P98" s="7" t="n">
        <v>-0.6990311355315233</v>
      </c>
      <c r="S98" s="99" t="n">
        <v>0.008461482959790016</v>
      </c>
      <c r="U98" s="117">
        <f>C98*S98</f>
        <v/>
      </c>
      <c r="V98" s="117">
        <f>(1+S98)*R97*(1-U98)+S98</f>
        <v/>
      </c>
      <c r="W98" s="117">
        <f>V98+I98/3</f>
        <v/>
      </c>
      <c r="X98" s="117">
        <f>V98+I98/5</f>
        <v/>
      </c>
      <c r="Y98" s="117" t="n"/>
      <c r="AA98" s="117" t="n"/>
    </row>
    <row r="99">
      <c r="B99" t="inlineStr">
        <is>
          <t>pb weighted</t>
        </is>
      </c>
      <c r="C99" s="168" t="n">
        <v>2.782792020971614</v>
      </c>
      <c r="D99" s="90" t="n">
        <v>1.640449715121382</v>
      </c>
      <c r="E99" s="12" t="n">
        <v>0.4105022212372818</v>
      </c>
      <c r="F99" s="90" t="n">
        <v>5.952464455050789</v>
      </c>
      <c r="G99" s="90" t="n">
        <v>1.139025989075706</v>
      </c>
      <c r="H99" s="12" t="n">
        <v>-0.2387886020285306</v>
      </c>
      <c r="I99" s="12" t="n">
        <v>-0.04053307087091351</v>
      </c>
      <c r="J99" s="12" t="n">
        <v>0.1213431715173225</v>
      </c>
      <c r="K99" s="90" t="n">
        <v>3.628556486786519</v>
      </c>
      <c r="L99" s="7" t="n">
        <v>1.640449715121382</v>
      </c>
      <c r="M99" s="14" t="n">
        <v>0.4105022212372818</v>
      </c>
      <c r="N99" s="7" t="n">
        <v>3.38073880731266</v>
      </c>
      <c r="O99" s="7" t="n">
        <v>0.2148729699649894</v>
      </c>
      <c r="P99" s="7" t="n">
        <v>2.060860979857897</v>
      </c>
      <c r="W99" s="117">
        <f>V97+I99/3</f>
        <v/>
      </c>
      <c r="X99" s="117">
        <f>V97+I99/5</f>
        <v/>
      </c>
      <c r="Y99" s="117" t="n"/>
      <c r="AA99" s="117" t="n"/>
    </row>
    <row r="100">
      <c r="B100" t="inlineStr">
        <is>
          <t>pb equal</t>
        </is>
      </c>
      <c r="C100" s="168" t="n">
        <v>2.694343959943093</v>
      </c>
      <c r="D100" s="90" t="n">
        <v>1.583271303577195</v>
      </c>
      <c r="E100" s="12" t="n">
        <v>0.4123722408438769</v>
      </c>
      <c r="F100" s="90" t="n">
        <v>6.43456475210083</v>
      </c>
      <c r="G100" s="90" t="n">
        <v>1.388174950104267</v>
      </c>
      <c r="H100" s="12" t="n">
        <v>-0.2052026562227238</v>
      </c>
      <c r="I100" s="12" t="n">
        <v>-0.05113905026742627</v>
      </c>
      <c r="J100" s="12" t="n">
        <v>0.2698365923078052</v>
      </c>
      <c r="K100" s="90" t="n">
        <v>4.06409485068211</v>
      </c>
      <c r="L100" s="7" t="n">
        <v>1.583271303577195</v>
      </c>
      <c r="M100" s="14" t="n">
        <v>0.4123722408438769</v>
      </c>
      <c r="N100" s="7" t="n">
        <v>3.101225748334672</v>
      </c>
      <c r="O100" s="7" t="n">
        <v>0.1510133058142187</v>
      </c>
      <c r="P100" s="7" t="n">
        <v>1.958745630851679</v>
      </c>
      <c r="W100" s="117">
        <f>V98+I100/3</f>
        <v/>
      </c>
      <c r="X100" s="117">
        <f>V98+I100/5</f>
        <v/>
      </c>
      <c r="Y100" s="117" t="n"/>
      <c r="AA100" s="117" t="n"/>
    </row>
    <row r="101">
      <c r="C101" s="101" t="n"/>
      <c r="D101" s="90" t="n"/>
      <c r="F101" s="90" t="n"/>
      <c r="G101" s="90" t="n"/>
      <c r="K101" s="90" t="n"/>
      <c r="L101" s="7" t="n"/>
      <c r="N101" s="7" t="n"/>
      <c r="O101" s="7" t="n"/>
      <c r="P101" s="7" t="n"/>
      <c r="AA101" s="117" t="n"/>
    </row>
    <row r="102">
      <c r="A102" t="inlineStr">
        <is>
          <t>工业集团企业</t>
        </is>
      </c>
      <c r="B102" t="inlineStr">
        <is>
          <t>pe weighted</t>
        </is>
      </c>
      <c r="C102" s="168" t="n">
        <v>37.97343470784762</v>
      </c>
      <c r="D102" s="90" t="n">
        <v>17.36831252915217</v>
      </c>
      <c r="E102" s="12" t="n">
        <v>0.5426193953015575</v>
      </c>
      <c r="F102" s="90" t="n">
        <v>160.9179181926758</v>
      </c>
      <c r="G102" s="90" t="n">
        <v>3.237644538365141</v>
      </c>
      <c r="H102" s="12" t="n">
        <v>-0.1645047419131196</v>
      </c>
      <c r="I102" s="12" t="n">
        <v>-0.001929187197158622</v>
      </c>
      <c r="J102" s="12" t="n">
        <v>1.149340929558167</v>
      </c>
      <c r="K102" s="90" t="n">
        <v>9.265028938336989</v>
      </c>
      <c r="L102" s="7" t="n">
        <v>23.92590801387009</v>
      </c>
      <c r="M102" s="14" t="n">
        <v>0.3699303684813756</v>
      </c>
      <c r="N102" s="7" t="n">
        <v>54.20040247612071</v>
      </c>
      <c r="O102" s="7" t="n">
        <v>0.4273242042263723</v>
      </c>
      <c r="P102" s="7" t="n">
        <v>2.265343595097841</v>
      </c>
      <c r="Q102" s="99" t="n">
        <v>0.06405336734158104</v>
      </c>
      <c r="R102" s="99" t="n">
        <v>0.03642025344474588</v>
      </c>
      <c r="S102" s="99" t="n">
        <v>0.01130642280423582</v>
      </c>
      <c r="U102" s="117">
        <f>C102*S102</f>
        <v/>
      </c>
      <c r="V102" s="117">
        <f>(1+S102)*Q102*(1-U102)+S102</f>
        <v/>
      </c>
      <c r="W102" s="117">
        <f>V102+I102/3</f>
        <v/>
      </c>
      <c r="X102" s="117">
        <f>V102+I102/5</f>
        <v/>
      </c>
      <c r="Y102" s="117" t="n"/>
      <c r="AA102" s="117" t="n"/>
    </row>
    <row r="103">
      <c r="A103" t="inlineStr">
        <is>
          <t>C030106</t>
        </is>
      </c>
      <c r="B103" t="inlineStr">
        <is>
          <t>pe equal</t>
        </is>
      </c>
      <c r="C103" s="166" t="n">
        <v>70.85781538071268</v>
      </c>
      <c r="D103" s="90" t="n">
        <v>33.44141915590441</v>
      </c>
      <c r="E103" s="12" t="n">
        <v>0.5280489671290787</v>
      </c>
      <c r="F103" s="90" t="n">
        <v>-3.432253047086042</v>
      </c>
      <c r="G103" s="90" t="n">
        <v>-1.048438595356699</v>
      </c>
      <c r="H103" s="12" t="n">
        <v>-0.1680708842811356</v>
      </c>
      <c r="I103" s="12" t="n">
        <v>0.6001138038360863</v>
      </c>
      <c r="J103" s="12" t="n">
        <v>-3.993814234709324</v>
      </c>
      <c r="K103" s="90" t="n">
        <v>-0.1026347904401074</v>
      </c>
      <c r="L103" s="7" t="n">
        <v>37.40142616677543</v>
      </c>
      <c r="M103" s="14" t="n">
        <v>0.4721623018460148</v>
      </c>
      <c r="N103" s="7" t="n">
        <v>-3.432253047086042</v>
      </c>
      <c r="O103" s="7" t="n">
        <v>-1.048438595356699</v>
      </c>
      <c r="P103" s="7" t="n">
        <v>-0.09176797247734349</v>
      </c>
      <c r="S103" s="99" t="n">
        <v>0.007328596900559097</v>
      </c>
      <c r="U103" s="117">
        <f>C103*S103</f>
        <v/>
      </c>
      <c r="V103" s="117">
        <f>(1+S103)*R102*(1-U103)+S103</f>
        <v/>
      </c>
      <c r="W103" s="117">
        <f>V103+I103/3</f>
        <v/>
      </c>
      <c r="X103" s="117">
        <f>V103+I103/5</f>
        <v/>
      </c>
      <c r="Y103" s="117" t="n"/>
      <c r="AA103" s="117" t="n"/>
    </row>
    <row r="104">
      <c r="B104" t="inlineStr">
        <is>
          <t>pb weighted</t>
        </is>
      </c>
      <c r="C104" s="165" t="n">
        <v>2.432326362563306</v>
      </c>
      <c r="D104" s="90" t="n">
        <v>1.558916939613762</v>
      </c>
      <c r="E104" s="12" t="n">
        <v>0.3590839767197614</v>
      </c>
      <c r="F104" s="90" t="n">
        <v>6.318839712553263</v>
      </c>
      <c r="G104" s="90" t="n">
        <v>1.59785849868196</v>
      </c>
      <c r="H104" s="12" t="n">
        <v>-0.1899095138530847</v>
      </c>
      <c r="I104" s="12" t="n">
        <v>0.02597057392820323</v>
      </c>
      <c r="J104" s="12" t="n">
        <v>0.2228324569490514</v>
      </c>
      <c r="K104" s="90" t="n">
        <v>4.053352396131396</v>
      </c>
      <c r="L104" s="7" t="n">
        <v>1.658568316461793</v>
      </c>
      <c r="M104" s="14" t="n">
        <v>0.3181144019201801</v>
      </c>
      <c r="N104" s="7" t="n">
        <v>3.109356227002032</v>
      </c>
      <c r="O104" s="7" t="n">
        <v>0.2783466375479473</v>
      </c>
      <c r="P104" s="7" t="n">
        <v>1.874723034403063</v>
      </c>
      <c r="W104" s="117">
        <f>V102+I104/3</f>
        <v/>
      </c>
      <c r="X104" s="117">
        <f>V102+I104/5</f>
        <v/>
      </c>
      <c r="Y104" s="117" t="n"/>
      <c r="AA104" s="117" t="n"/>
    </row>
    <row r="105">
      <c r="B105" t="inlineStr">
        <is>
          <t>pb equal</t>
        </is>
      </c>
      <c r="C105" s="165" t="n">
        <v>2.580659594706569</v>
      </c>
      <c r="D105" s="90" t="n">
        <v>1.725166362459399</v>
      </c>
      <c r="E105" s="12" t="n">
        <v>0.3315017734233338</v>
      </c>
      <c r="F105" s="90" t="n">
        <v>42.00438867100496</v>
      </c>
      <c r="G105" s="90" t="n">
        <v>15.2766095757705</v>
      </c>
      <c r="H105" s="12" t="n">
        <v>-0.1629314017876506</v>
      </c>
      <c r="I105" s="12" t="n">
        <v>0.003432837864864924</v>
      </c>
      <c r="J105" s="12" t="n">
        <v>0.4309686371002479</v>
      </c>
      <c r="K105" s="90" t="n">
        <v>24.34802207198351</v>
      </c>
      <c r="L105" s="7" t="n">
        <v>1.72931467678428</v>
      </c>
      <c r="M105" s="14" t="n">
        <v>0.3298943106128998</v>
      </c>
      <c r="N105" s="7" t="n">
        <v>42.00438867100496</v>
      </c>
      <c r="O105" s="7" t="n">
        <v>15.2766095757705</v>
      </c>
      <c r="P105" s="7" t="n">
        <v>24.28961555401447</v>
      </c>
      <c r="W105" s="117">
        <f>V103+I105/3</f>
        <v/>
      </c>
      <c r="X105" s="117">
        <f>V103+I105/5</f>
        <v/>
      </c>
      <c r="Y105" s="117" t="n"/>
      <c r="AA105" s="117" t="n"/>
    </row>
    <row r="106">
      <c r="C106" s="101" t="n"/>
      <c r="D106" s="90" t="n"/>
      <c r="F106" s="90" t="n"/>
      <c r="G106" s="90" t="n"/>
      <c r="K106" s="90" t="n"/>
      <c r="L106" s="7" t="n"/>
      <c r="N106" s="7" t="n"/>
      <c r="O106" s="7" t="n"/>
      <c r="P106" s="7" t="n"/>
      <c r="AA106" s="117" t="n"/>
    </row>
    <row r="107">
      <c r="A107" t="inlineStr">
        <is>
          <t>建筑与工程</t>
        </is>
      </c>
      <c r="B107" t="inlineStr">
        <is>
          <t>pe weighted</t>
        </is>
      </c>
      <c r="C107" s="166" t="n">
        <v>42.28958292143434</v>
      </c>
      <c r="D107" s="90" t="n">
        <v>19.42901504317933</v>
      </c>
      <c r="E107" s="12" t="n">
        <v>0.5405720817990901</v>
      </c>
      <c r="F107" s="90" t="n">
        <v>-42.00702186459892</v>
      </c>
      <c r="G107" s="90" t="n">
        <v>-1.993318424129168</v>
      </c>
      <c r="H107" s="12" t="n">
        <v>-0.1124975571266428</v>
      </c>
      <c r="I107" s="12" t="n">
        <v>1.056156178281963</v>
      </c>
      <c r="J107" s="12" t="n">
        <v>-4.655765109550537</v>
      </c>
      <c r="K107" s="90" t="n">
        <v>-2.162076758458516</v>
      </c>
      <c r="L107" s="7" t="n">
        <v>33.55130534413257</v>
      </c>
      <c r="M107" s="14" t="n">
        <v>0.2066295520940881</v>
      </c>
      <c r="N107" s="7" t="n">
        <v>-42.00702186459892</v>
      </c>
      <c r="O107" s="7" t="n">
        <v>-1.993318424129168</v>
      </c>
      <c r="P107" s="7" t="n">
        <v>-1.252023473713969</v>
      </c>
      <c r="Q107" s="99" t="n">
        <v>0.06017062733972347</v>
      </c>
      <c r="R107" s="99" t="n">
        <v>0.0354749074120797</v>
      </c>
      <c r="S107" s="99" t="n">
        <v>0.004362205303925101</v>
      </c>
      <c r="U107" s="117">
        <f>C107*S107</f>
        <v/>
      </c>
      <c r="V107" s="117">
        <f>(1+S107)*Q107*(1-U107)+S107</f>
        <v/>
      </c>
      <c r="W107" s="117">
        <f>V107+I107/3</f>
        <v/>
      </c>
      <c r="X107" s="117">
        <f>V107+I107/5</f>
        <v/>
      </c>
      <c r="Y107" s="117" t="n"/>
      <c r="AA107" s="117" t="n"/>
    </row>
    <row r="108">
      <c r="A108" t="inlineStr">
        <is>
          <t>C030107</t>
        </is>
      </c>
      <c r="B108" t="inlineStr">
        <is>
          <t>pe equal</t>
        </is>
      </c>
      <c r="C108" s="166" t="n">
        <v>41.29091303433347</v>
      </c>
      <c r="D108" s="90" t="n">
        <v>26.36648821625538</v>
      </c>
      <c r="E108" s="12" t="n">
        <v>0.3614457448705094</v>
      </c>
      <c r="F108" s="90" t="n">
        <v>-7.855313854867084</v>
      </c>
      <c r="G108" s="90" t="n">
        <v>-1.190243161935784</v>
      </c>
      <c r="H108" s="12" t="n">
        <v>-0.0804462913289844</v>
      </c>
      <c r="I108" s="12" t="n">
        <v>2.956142093869059</v>
      </c>
      <c r="J108" s="12" t="n">
        <v>-1.380856581726878</v>
      </c>
      <c r="K108" s="90" t="n">
        <v>-0.297927952726907</v>
      </c>
      <c r="L108" s="7" t="n">
        <v>26.36648821625538</v>
      </c>
      <c r="M108" s="14" t="n">
        <v>0.3614457448705094</v>
      </c>
      <c r="N108" s="7" t="n">
        <v>-7.855313854867084</v>
      </c>
      <c r="O108" s="7" t="n">
        <v>-1.190243161935784</v>
      </c>
      <c r="P108" s="7" t="n">
        <v>-0.297927952726907</v>
      </c>
      <c r="S108" s="99" t="n">
        <v>0.007023656897844972</v>
      </c>
      <c r="U108" s="117">
        <f>C108*S108</f>
        <v/>
      </c>
      <c r="V108" s="117">
        <f>(1+S108)*R107*(1-U108)+S108</f>
        <v/>
      </c>
      <c r="W108" s="117">
        <f>V108+I108/3</f>
        <v/>
      </c>
      <c r="X108" s="117">
        <f>V108+I108/5</f>
        <v/>
      </c>
      <c r="Y108" s="117" t="n"/>
      <c r="AA108" s="117" t="n"/>
    </row>
    <row r="109">
      <c r="B109" t="inlineStr">
        <is>
          <t>pb weighted</t>
        </is>
      </c>
      <c r="C109" s="165" t="n">
        <v>2.54459073431796</v>
      </c>
      <c r="D109" s="90" t="n">
        <v>1.140108796170115</v>
      </c>
      <c r="E109" s="12" t="n">
        <v>0.5519480674067202</v>
      </c>
      <c r="F109" s="90" t="n">
        <v>6.849556743865939</v>
      </c>
      <c r="G109" s="90" t="n">
        <v>1.691810769994752</v>
      </c>
      <c r="H109" s="12" t="n">
        <v>-0.3243518170969018</v>
      </c>
      <c r="I109" s="12" t="n">
        <v>0.1094224047956915</v>
      </c>
      <c r="J109" s="12" t="n">
        <v>0.3224925846411437</v>
      </c>
      <c r="K109" s="90" t="n">
        <v>6.007809751907152</v>
      </c>
      <c r="L109" s="7" t="n">
        <v>1.140108796170115</v>
      </c>
      <c r="M109" s="14" t="n">
        <v>0.5519480674067202</v>
      </c>
      <c r="N109" s="7" t="n">
        <v>4.207397029797525</v>
      </c>
      <c r="O109" s="7" t="n">
        <v>0.6534670872820167</v>
      </c>
      <c r="P109" s="7" t="n">
        <v>3.690346959808687</v>
      </c>
      <c r="W109" s="117">
        <f>V107+I109/3</f>
        <v/>
      </c>
      <c r="X109" s="117">
        <f>V107+I109/5</f>
        <v/>
      </c>
      <c r="Y109" s="117" t="n"/>
      <c r="AA109" s="117" t="n"/>
    </row>
    <row r="110">
      <c r="B110" t="inlineStr">
        <is>
          <t>pb equal</t>
        </is>
      </c>
      <c r="C110" s="165" t="n">
        <v>1.464791316853215</v>
      </c>
      <c r="D110" s="90" t="n">
        <v>1.081658902468169</v>
      </c>
      <c r="E110" s="12" t="n">
        <v>0.261561090632434</v>
      </c>
      <c r="F110" s="90" t="n">
        <v>6.009533977195779</v>
      </c>
      <c r="G110" s="90" t="n">
        <v>3.102655380362272</v>
      </c>
      <c r="H110" s="12" t="n">
        <v>-0.03373026889062869</v>
      </c>
      <c r="I110" s="12" t="n">
        <v>0.3555988188722126</v>
      </c>
      <c r="J110" s="12" t="n">
        <v>1.183071296161769</v>
      </c>
      <c r="K110" s="90" t="n">
        <v>5.555849411938464</v>
      </c>
      <c r="L110" s="7" t="n">
        <v>1.081658902468169</v>
      </c>
      <c r="M110" s="14" t="n">
        <v>0.261561090632434</v>
      </c>
      <c r="N110" s="7" t="n">
        <v>2.149610838769552</v>
      </c>
      <c r="O110" s="7" t="n">
        <v>0.4675201948817682</v>
      </c>
      <c r="P110" s="7" t="n">
        <v>1.987327829378089</v>
      </c>
      <c r="W110" s="117">
        <f>V108+I110/3</f>
        <v/>
      </c>
      <c r="X110" s="117">
        <f>V108+I110/5</f>
        <v/>
      </c>
      <c r="Y110" s="117" t="n"/>
      <c r="AA110" s="117" t="n"/>
    </row>
    <row r="111">
      <c r="C111" s="101" t="n"/>
      <c r="D111" s="90" t="n"/>
      <c r="F111" s="90" t="n"/>
      <c r="G111" s="90" t="n"/>
      <c r="K111" s="90" t="n"/>
      <c r="L111" s="7" t="n"/>
      <c r="N111" s="7" t="n"/>
      <c r="O111" s="7" t="n"/>
      <c r="P111" s="7" t="n"/>
      <c r="AA111" s="117" t="n"/>
    </row>
    <row r="112">
      <c r="A112" t="inlineStr">
        <is>
          <t>工业贸易经销商</t>
        </is>
      </c>
      <c r="B112" t="inlineStr">
        <is>
          <t>pe weighted</t>
        </is>
      </c>
      <c r="C112" s="165" t="n">
        <v>10.13036314321889</v>
      </c>
      <c r="D112" s="90" t="n">
        <v>7.1578553704442</v>
      </c>
      <c r="E112" s="12" t="n">
        <v>0.2934255890682895</v>
      </c>
      <c r="F112" s="90" t="n">
        <v>31.2195052031017</v>
      </c>
      <c r="G112" s="90" t="n">
        <v>2.081775525885224</v>
      </c>
      <c r="H112" s="12" t="n">
        <v>-0.1314258869773788</v>
      </c>
      <c r="I112" s="12" t="n">
        <v>0.03560839675415628</v>
      </c>
      <c r="J112" s="12" t="n">
        <v>0.6358937063404109</v>
      </c>
      <c r="K112" s="90" t="n">
        <v>4.361572508437578</v>
      </c>
      <c r="L112" s="7" t="n">
        <v>7.1578553704442</v>
      </c>
      <c r="M112" s="14" t="n">
        <v>0.2934255890682895</v>
      </c>
      <c r="N112" s="7" t="n">
        <v>15.07604366799427</v>
      </c>
      <c r="O112" s="7" t="n">
        <v>0.4882036759053339</v>
      </c>
      <c r="P112" s="7" t="n">
        <v>2.106223566662913</v>
      </c>
      <c r="Q112" s="99" t="n">
        <v>0.08837685273718075</v>
      </c>
      <c r="R112" s="99" t="n">
        <v>-0.1034609272296457</v>
      </c>
      <c r="S112" s="99" t="n">
        <v>0.02217319805358872</v>
      </c>
      <c r="U112" s="117">
        <f>C112*S112</f>
        <v/>
      </c>
      <c r="V112" s="117">
        <f>(1+S112)*Q112*(1-U112)+S112</f>
        <v/>
      </c>
      <c r="W112" s="117">
        <f>V112+I112/3</f>
        <v/>
      </c>
      <c r="X112" s="117">
        <f>V112+I112/5</f>
        <v/>
      </c>
      <c r="Y112" s="117" t="n"/>
      <c r="AA112" s="117" t="n"/>
    </row>
    <row r="113">
      <c r="A113" t="inlineStr">
        <is>
          <t>C030201</t>
        </is>
      </c>
      <c r="B113" t="inlineStr">
        <is>
          <t>pe equal</t>
        </is>
      </c>
      <c r="C113" s="167" t="n">
        <v>-15.17680683489062</v>
      </c>
      <c r="D113" s="90" t="n">
        <v>16.52285154374313</v>
      </c>
      <c r="E113" s="12" t="n">
        <v>2.088690903395966</v>
      </c>
      <c r="F113" s="90" t="n">
        <v>-14.27235351614487</v>
      </c>
      <c r="G113" s="90" t="n">
        <v>-0.05959444095094235</v>
      </c>
      <c r="H113" s="12" t="n">
        <v>-2.615273654872802</v>
      </c>
      <c r="I113" s="12" t="n">
        <v>-3.175543232021702</v>
      </c>
      <c r="J113" s="12" t="n">
        <v>-3.770813860582484</v>
      </c>
      <c r="K113" s="90" t="n">
        <v>-0.8637948164310367</v>
      </c>
      <c r="L113" s="7" t="n">
        <v>22.4340426041701</v>
      </c>
      <c r="M113" s="14" t="n">
        <v>2.478179359349524</v>
      </c>
      <c r="N113" s="7" t="n">
        <v>-14.27235351614487</v>
      </c>
      <c r="O113" s="7" t="n">
        <v>-0.05959444095094235</v>
      </c>
      <c r="P113" s="7" t="n">
        <v>-0.6361917808559342</v>
      </c>
      <c r="S113" s="99" t="n">
        <v>0.009877028562140669</v>
      </c>
      <c r="U113" s="117">
        <f>C113*S113</f>
        <v/>
      </c>
      <c r="V113" s="117">
        <f>(1+S113)*R112*(1-U113)+S113</f>
        <v/>
      </c>
      <c r="W113" s="117">
        <f>V113+I113/3</f>
        <v/>
      </c>
      <c r="X113" s="117">
        <f>V113+I113/5</f>
        <v/>
      </c>
      <c r="Y113" s="117" t="n"/>
      <c r="AA113" s="117" t="n"/>
    </row>
    <row r="114">
      <c r="B114" t="inlineStr">
        <is>
          <t>pb weighted</t>
        </is>
      </c>
      <c r="C114" s="167" t="n">
        <v>0.8952896116824197</v>
      </c>
      <c r="D114" s="90" t="n">
        <v>0.7815139845413581</v>
      </c>
      <c r="E114" s="12" t="n">
        <v>0.1270824833176111</v>
      </c>
      <c r="F114" s="90" t="n">
        <v>3.677460532206793</v>
      </c>
      <c r="G114" s="90" t="n">
        <v>3.107565288617773</v>
      </c>
      <c r="H114" s="12" t="n">
        <v>0.05388287905083455</v>
      </c>
      <c r="I114" s="12" t="n">
        <v>0.3615217660330146</v>
      </c>
      <c r="J114" s="12" t="n">
        <v>1.158791211149053</v>
      </c>
      <c r="K114" s="90" t="n">
        <v>4.705559471677221</v>
      </c>
      <c r="L114" s="7" t="n">
        <v>0.7815139845413581</v>
      </c>
      <c r="M114" s="14" t="n">
        <v>0.1270824833176111</v>
      </c>
      <c r="N114" s="7" t="n">
        <v>1.674700625073485</v>
      </c>
      <c r="O114" s="7" t="n">
        <v>0.8705685883324426</v>
      </c>
      <c r="P114" s="7" t="n">
        <v>2.142892716188956</v>
      </c>
      <c r="W114" s="117">
        <f>V112+I114/3</f>
        <v/>
      </c>
      <c r="X114" s="117">
        <f>V112+I114/5</f>
        <v/>
      </c>
      <c r="Y114" s="117" t="n"/>
      <c r="AA114" s="117" t="n"/>
    </row>
    <row r="115">
      <c r="B115" t="inlineStr">
        <is>
          <t>pb equal</t>
        </is>
      </c>
      <c r="C115" s="165" t="n">
        <v>1.570206507523008</v>
      </c>
      <c r="D115" s="90" t="n">
        <v>1.211514605595621</v>
      </c>
      <c r="E115" s="12" t="n">
        <v>0.2284361325780148</v>
      </c>
      <c r="F115" s="90" t="n">
        <v>5.546110518932334</v>
      </c>
      <c r="G115" s="90" t="n">
        <v>2.532089882674918</v>
      </c>
      <c r="H115" s="12" t="n">
        <v>-0.03157471114795551</v>
      </c>
      <c r="I115" s="12" t="n">
        <v>0.1890849015484828</v>
      </c>
      <c r="J115" s="12" t="n">
        <v>0.8607470362151328</v>
      </c>
      <c r="K115" s="90" t="n">
        <v>4.57783215597775</v>
      </c>
      <c r="L115" s="7" t="n">
        <v>1.211514605595621</v>
      </c>
      <c r="M115" s="14" t="n">
        <v>0.2284361325780148</v>
      </c>
      <c r="N115" s="7" t="n">
        <v>2.522559556622685</v>
      </c>
      <c r="O115" s="7" t="n">
        <v>0.606514521839556</v>
      </c>
      <c r="P115" s="7" t="n">
        <v>2.082153648806001</v>
      </c>
      <c r="W115" s="117">
        <f>V113+I115/3</f>
        <v/>
      </c>
      <c r="X115" s="117">
        <f>V113+I115/5</f>
        <v/>
      </c>
      <c r="Y115" s="117" t="n"/>
      <c r="AA115" s="117" t="n"/>
    </row>
    <row r="116">
      <c r="C116" s="101" t="n"/>
      <c r="D116" s="90" t="n"/>
      <c r="F116" s="90" t="n"/>
      <c r="G116" s="90" t="n"/>
      <c r="K116" s="90" t="n"/>
      <c r="L116" s="7" t="n"/>
      <c r="N116" s="7" t="n"/>
      <c r="O116" s="7" t="n"/>
      <c r="P116" s="7" t="n"/>
      <c r="AA116" s="117" t="n"/>
    </row>
    <row r="117">
      <c r="A117" t="inlineStr">
        <is>
          <t>商业用品与服务</t>
        </is>
      </c>
      <c r="B117" t="inlineStr">
        <is>
          <t>pe weighted</t>
        </is>
      </c>
      <c r="C117" s="167" t="n">
        <v>14.2193541721574</v>
      </c>
      <c r="D117" s="90" t="n">
        <v>11.64120350365621</v>
      </c>
      <c r="E117" s="12" t="n">
        <v>0.1813127823730141</v>
      </c>
      <c r="F117" s="90" t="n">
        <v>276.5134998353938</v>
      </c>
      <c r="G117" s="90" t="n">
        <v>18.44627698892463</v>
      </c>
      <c r="H117" s="12" t="n">
        <v>0.13771597213821</v>
      </c>
      <c r="I117" s="12" t="n">
        <v>0.7434286391903584</v>
      </c>
      <c r="J117" s="12" t="n">
        <v>2.069979989157096</v>
      </c>
      <c r="K117" s="90" t="n">
        <v>23.75299939980843</v>
      </c>
      <c r="L117" s="7" t="n">
        <v>11.64120350365621</v>
      </c>
      <c r="M117" s="14" t="n">
        <v>0.1813127823730141</v>
      </c>
      <c r="N117" s="7" t="n">
        <v>51.3820231861288</v>
      </c>
      <c r="O117" s="7" t="n">
        <v>2.613527208341066</v>
      </c>
      <c r="P117" s="7" t="n">
        <v>4.41380680012947</v>
      </c>
      <c r="Q117" s="99" t="n">
        <v>0.09658293737382892</v>
      </c>
      <c r="R117" s="99" t="n">
        <v>0.05423058351956427</v>
      </c>
      <c r="S117" s="99" t="n">
        <v>0.01917295684117528</v>
      </c>
      <c r="U117" s="117">
        <f>C117*S117</f>
        <v/>
      </c>
      <c r="V117" s="117">
        <f>(1+S117)*Q117*(1-U117)+S117</f>
        <v/>
      </c>
      <c r="W117" s="117">
        <f>V117+I117/3</f>
        <v/>
      </c>
      <c r="X117" s="117">
        <f>V117+I117/5</f>
        <v/>
      </c>
      <c r="Y117" s="117" t="n"/>
      <c r="AA117" s="117" t="n"/>
    </row>
    <row r="118">
      <c r="A118" t="inlineStr">
        <is>
          <t>C030202</t>
        </is>
      </c>
      <c r="B118" t="inlineStr">
        <is>
          <t>pe equal</t>
        </is>
      </c>
      <c r="C118" s="167" t="n">
        <v>32.12108541161679</v>
      </c>
      <c r="D118" s="90" t="n">
        <v>18.63806817286847</v>
      </c>
      <c r="E118" s="12" t="n">
        <v>0.4197559660879984</v>
      </c>
      <c r="F118" s="90" t="n">
        <v>-13.18449349360517</v>
      </c>
      <c r="G118" s="90" t="n">
        <v>-1.410462265662944</v>
      </c>
      <c r="H118" s="12" t="n">
        <v>0.1057799429012538</v>
      </c>
      <c r="I118" s="12" t="n">
        <v>0.703598009526659</v>
      </c>
      <c r="J118" s="12" t="n">
        <v>34.15241546035929</v>
      </c>
      <c r="K118" s="90" t="n">
        <v>-0.7073959259789542</v>
      </c>
      <c r="L118" s="7" t="n">
        <v>18.63806817286847</v>
      </c>
      <c r="M118" s="14" t="n">
        <v>0.4197559660879984</v>
      </c>
      <c r="N118" s="7" t="n">
        <v>-13.18449349360517</v>
      </c>
      <c r="O118" s="7" t="n">
        <v>-1.410462265662944</v>
      </c>
      <c r="P118" s="7" t="n">
        <v>-0.7073959259789542</v>
      </c>
      <c r="S118" s="99" t="n">
        <v>0.01405990139147017</v>
      </c>
      <c r="U118" s="117">
        <f>C118*S118</f>
        <v/>
      </c>
      <c r="V118" s="117">
        <f>(1+S118)*R117*(1-U118)+S118</f>
        <v/>
      </c>
      <c r="W118" s="117">
        <f>V118+I118/3</f>
        <v/>
      </c>
      <c r="X118" s="117">
        <f>V118+I118/5</f>
        <v/>
      </c>
      <c r="Y118" s="117" t="n"/>
      <c r="AA118" s="117" t="n"/>
    </row>
    <row r="119">
      <c r="B119" t="inlineStr">
        <is>
          <t>pb weighted</t>
        </is>
      </c>
      <c r="C119" s="165" t="n">
        <v>1.373346993505771</v>
      </c>
      <c r="D119" s="90" t="n">
        <v>1.051577470975424</v>
      </c>
      <c r="E119" s="12" t="n">
        <v>0.2342958655401128</v>
      </c>
      <c r="F119" s="90" t="n">
        <v>5.439143831618623</v>
      </c>
      <c r="G119" s="90" t="n">
        <v>2.960502230928551</v>
      </c>
      <c r="H119" s="12" t="n">
        <v>-0.01714317786786124</v>
      </c>
      <c r="I119" s="12" t="n">
        <v>0.3473302743343938</v>
      </c>
      <c r="J119" s="12" t="n">
        <v>0.8697986630790657</v>
      </c>
      <c r="K119" s="90" t="n">
        <v>5.172366260921671</v>
      </c>
      <c r="L119" s="7" t="n">
        <v>1.051577470975424</v>
      </c>
      <c r="M119" s="14" t="n">
        <v>0.2342958655401128</v>
      </c>
      <c r="N119" s="7" t="n">
        <v>1.88435319293994</v>
      </c>
      <c r="O119" s="7" t="n">
        <v>0.3720881917320205</v>
      </c>
      <c r="P119" s="7" t="n">
        <v>1.79192997658275</v>
      </c>
      <c r="W119" s="117">
        <f>V117+I119/3</f>
        <v/>
      </c>
      <c r="X119" s="117">
        <f>V117+I119/5</f>
        <v/>
      </c>
      <c r="Y119" s="117" t="n"/>
      <c r="AA119" s="117" t="n"/>
    </row>
    <row r="120">
      <c r="B120" t="inlineStr">
        <is>
          <t>pb equal</t>
        </is>
      </c>
      <c r="C120" s="165" t="n">
        <v>1.741945205153742</v>
      </c>
      <c r="D120" s="90" t="n">
        <v>1.016830914310306</v>
      </c>
      <c r="E120" s="12" t="n">
        <v>0.4162669920374666</v>
      </c>
      <c r="F120" s="90" t="n">
        <v>5.91033078232635</v>
      </c>
      <c r="G120" s="90" t="n">
        <v>2.392948736182957</v>
      </c>
      <c r="H120" s="12" t="n">
        <v>-0.08413452682638523</v>
      </c>
      <c r="I120" s="12" t="n">
        <v>0.2168323395623346</v>
      </c>
      <c r="J120" s="12" t="n">
        <v>0.7602664076932426</v>
      </c>
      <c r="K120" s="90" t="n">
        <v>5.812501074807701</v>
      </c>
      <c r="L120" s="7" t="n">
        <v>1.016830914310306</v>
      </c>
      <c r="M120" s="14" t="n">
        <v>0.4162669920374666</v>
      </c>
      <c r="N120" s="7" t="n">
        <v>2.171040880645921</v>
      </c>
      <c r="O120" s="7" t="n">
        <v>0.2463313278871524</v>
      </c>
      <c r="P120" s="7" t="n">
        <v>2.135105109504357</v>
      </c>
      <c r="W120" s="117">
        <f>V118+I120/3</f>
        <v/>
      </c>
      <c r="X120" s="117">
        <f>V118+I120/5</f>
        <v/>
      </c>
      <c r="Y120" s="117" t="n"/>
      <c r="AA120" s="117" t="n"/>
    </row>
    <row r="121">
      <c r="C121" s="101" t="n"/>
      <c r="D121" s="90" t="n"/>
      <c r="F121" s="90" t="n"/>
      <c r="G121" s="90" t="n"/>
      <c r="K121" s="90" t="n"/>
      <c r="L121" s="7" t="n"/>
      <c r="N121" s="7" t="n"/>
      <c r="O121" s="7" t="n"/>
      <c r="P121" s="7" t="n"/>
      <c r="AA121" s="117" t="n"/>
    </row>
    <row r="122">
      <c r="A122" t="inlineStr">
        <is>
          <t>物流</t>
        </is>
      </c>
      <c r="B122" t="inlineStr">
        <is>
          <t>pe weighted</t>
        </is>
      </c>
      <c r="C122" s="168" t="n">
        <v>45.23021950367814</v>
      </c>
      <c r="D122" s="90" t="n">
        <v>20.79209635578604</v>
      </c>
      <c r="E122" s="12" t="n">
        <v>0.5403052078026016</v>
      </c>
      <c r="F122" s="90" t="n">
        <v>86.96292169469261</v>
      </c>
      <c r="G122" s="90" t="n">
        <v>0.9226729971456531</v>
      </c>
      <c r="H122" s="12" t="n">
        <v>-0.2281077890069082</v>
      </c>
      <c r="I122" s="12" t="n">
        <v>-0.105707221535881</v>
      </c>
      <c r="J122" s="12" t="n">
        <v>0.02995214570733773</v>
      </c>
      <c r="K122" s="90" t="n">
        <v>4.18249897492864</v>
      </c>
      <c r="L122" s="7" t="n">
        <v>20.79209635578604</v>
      </c>
      <c r="M122" s="14" t="n">
        <v>0.5403052078026016</v>
      </c>
      <c r="N122" s="7" t="n">
        <v>47.75299839546607</v>
      </c>
      <c r="O122" s="7" t="n">
        <v>0.05577640169495046</v>
      </c>
      <c r="P122" s="7" t="n">
        <v>2.296689933440855</v>
      </c>
      <c r="Q122" s="99" t="n">
        <v>0.05151100512830056</v>
      </c>
      <c r="R122" s="99" t="n">
        <v>0.01800189380140541</v>
      </c>
      <c r="S122" s="99" t="n">
        <v>0.01047056810314369</v>
      </c>
      <c r="U122" s="117">
        <f>C122*S122</f>
        <v/>
      </c>
      <c r="V122" s="117">
        <f>(1+S122)*Q122*(1-U122)+S122</f>
        <v/>
      </c>
      <c r="W122" s="117">
        <f>V122+I122/3</f>
        <v/>
      </c>
      <c r="X122" s="117">
        <f>V122+I122/5</f>
        <v/>
      </c>
      <c r="Y122" s="117" t="n"/>
      <c r="AA122" s="117" t="n"/>
    </row>
    <row r="123">
      <c r="A123" t="inlineStr">
        <is>
          <t>C030203</t>
        </is>
      </c>
      <c r="B123" t="inlineStr">
        <is>
          <t>pe equal</t>
        </is>
      </c>
      <c r="C123" s="166" t="n">
        <v>117.7058454984574</v>
      </c>
      <c r="D123" s="90" t="n">
        <v>24.42016344692685</v>
      </c>
      <c r="E123" s="12" t="n">
        <v>0.7925322795693533</v>
      </c>
      <c r="F123" s="90" t="n">
        <v>-68.53684403076079</v>
      </c>
      <c r="G123" s="90" t="n">
        <v>-1.582272220555597</v>
      </c>
      <c r="H123" s="12" t="n">
        <v>-0.6321392065552434</v>
      </c>
      <c r="I123" s="12" t="n">
        <v>-0.5040854316609736</v>
      </c>
      <c r="J123" s="12" t="n">
        <v>-0.1095135210752719</v>
      </c>
      <c r="K123" s="90" t="n">
        <v>-2.806567784843627</v>
      </c>
      <c r="L123" s="7" t="n">
        <v>24.42016344692685</v>
      </c>
      <c r="M123" s="14" t="n">
        <v>0.7925322795693533</v>
      </c>
      <c r="N123" s="7" t="n">
        <v>-68.53684403076079</v>
      </c>
      <c r="O123" s="7" t="n">
        <v>-1.582272220555597</v>
      </c>
      <c r="P123" s="7" t="n">
        <v>-2.806567784843627</v>
      </c>
      <c r="S123" s="99" t="n">
        <v>0.01049800502150422</v>
      </c>
      <c r="U123" s="117">
        <f>C123*S123</f>
        <v/>
      </c>
      <c r="V123" s="117">
        <f>(1+S123)*R122*(1-U123)+S123</f>
        <v/>
      </c>
      <c r="W123" s="117">
        <f>V123+I123/3</f>
        <v/>
      </c>
      <c r="X123" s="117">
        <f>V123+I123/5</f>
        <v/>
      </c>
      <c r="Y123" s="117" t="n"/>
      <c r="AA123" s="117" t="n"/>
    </row>
    <row r="124">
      <c r="B124" t="inlineStr">
        <is>
          <t>pb weighted</t>
        </is>
      </c>
      <c r="C124" s="167" t="n">
        <v>2.329854068808125</v>
      </c>
      <c r="D124" s="90" t="n">
        <v>1.946609736787781</v>
      </c>
      <c r="E124" s="12" t="n">
        <v>0.1644928483509692</v>
      </c>
      <c r="F124" s="90" t="n">
        <v>9.331816495491163</v>
      </c>
      <c r="G124" s="90" t="n">
        <v>3.005322316287821</v>
      </c>
      <c r="H124" s="12" t="n">
        <v>0.09120814902770191</v>
      </c>
      <c r="I124" s="12" t="n">
        <v>0.4843598762248231</v>
      </c>
      <c r="J124" s="12" t="n">
        <v>0.889140439814311</v>
      </c>
      <c r="K124" s="90" t="n">
        <v>4.793881546534417</v>
      </c>
      <c r="L124" s="7" t="n">
        <v>1.946609736787781</v>
      </c>
      <c r="M124" s="14" t="n">
        <v>0.1644928483509692</v>
      </c>
      <c r="N124" s="7" t="n">
        <v>3.685148992710554</v>
      </c>
      <c r="O124" s="7" t="n">
        <v>0.5817080743583878</v>
      </c>
      <c r="P124" s="7" t="n">
        <v>1.893111353070514</v>
      </c>
      <c r="W124" s="117">
        <f>V122+I124/3</f>
        <v/>
      </c>
      <c r="X124" s="117">
        <f>V122+I124/5</f>
        <v/>
      </c>
      <c r="Y124" s="117" t="n"/>
      <c r="AA124" s="117" t="n"/>
    </row>
    <row r="125">
      <c r="B125" t="inlineStr">
        <is>
          <t>pb equal</t>
        </is>
      </c>
      <c r="C125" s="167" t="n">
        <v>2.118928130467863</v>
      </c>
      <c r="D125" s="90" t="n">
        <v>1.787689873789362</v>
      </c>
      <c r="E125" s="12" t="n">
        <v>0.156323497675857</v>
      </c>
      <c r="F125" s="90" t="n">
        <v>9.8680606943804</v>
      </c>
      <c r="G125" s="90" t="n">
        <v>3.65710023501435</v>
      </c>
      <c r="H125" s="12" t="n">
        <v>0.1237500499006592</v>
      </c>
      <c r="I125" s="12" t="n">
        <v>0.528525470565238</v>
      </c>
      <c r="J125" s="12" t="n">
        <v>1.266751015305943</v>
      </c>
      <c r="K125" s="90" t="n">
        <v>5.520007043203247</v>
      </c>
      <c r="L125" s="7" t="n">
        <v>1.787689873789362</v>
      </c>
      <c r="M125" s="14" t="n">
        <v>0.156323497675857</v>
      </c>
      <c r="N125" s="7" t="n">
        <v>3.680456525927774</v>
      </c>
      <c r="O125" s="7" t="n">
        <v>0.7369425951767055</v>
      </c>
      <c r="P125" s="7" t="n">
        <v>2.058777968085885</v>
      </c>
      <c r="W125" s="117">
        <f>V123+I125/3</f>
        <v/>
      </c>
      <c r="X125" s="117">
        <f>V123+I125/5</f>
        <v/>
      </c>
      <c r="Y125" s="117" t="n"/>
      <c r="AA125" s="117" t="n"/>
    </row>
    <row r="126">
      <c r="C126" s="101" t="n"/>
      <c r="D126" s="90" t="n"/>
      <c r="F126" s="90" t="n"/>
      <c r="G126" s="90" t="n"/>
      <c r="K126" s="90" t="n"/>
      <c r="L126" s="7" t="n"/>
      <c r="N126" s="7" t="n"/>
      <c r="O126" s="7" t="n"/>
      <c r="P126" s="7" t="n"/>
      <c r="AA126" s="117" t="n"/>
    </row>
    <row r="127">
      <c r="A127" t="inlineStr">
        <is>
          <t>航空运输</t>
        </is>
      </c>
      <c r="B127" t="inlineStr">
        <is>
          <t>pe weighted</t>
        </is>
      </c>
      <c r="C127" s="167" t="n">
        <v>21.31207945645722</v>
      </c>
      <c r="D127" s="90" t="n">
        <v>19.77527222770232</v>
      </c>
      <c r="E127" s="12" t="n">
        <v>0.07210967995379158</v>
      </c>
      <c r="F127" s="90" t="n">
        <v>-721.3177043320666</v>
      </c>
      <c r="G127" s="90" t="n">
        <v>-34.84548681914372</v>
      </c>
      <c r="H127" s="12" t="n">
        <v>0.3315381110517714</v>
      </c>
      <c r="I127" s="12" t="n">
        <v>0.8325190167193635</v>
      </c>
      <c r="J127" s="12" t="n">
        <v>1.832464137647108</v>
      </c>
      <c r="K127" s="90" t="n">
        <v>-36.47574081542119</v>
      </c>
      <c r="L127" s="7" t="n">
        <v>19.77527222770232</v>
      </c>
      <c r="M127" s="14" t="n">
        <v>0.07210967995379158</v>
      </c>
      <c r="N127" s="7" t="n">
        <v>-721.3177043320666</v>
      </c>
      <c r="O127" s="7" t="n">
        <v>-34.84548681914372</v>
      </c>
      <c r="P127" s="7" t="n">
        <v>-36.47574081542119</v>
      </c>
      <c r="Q127" s="99" t="n">
        <v>0.09785780063013857</v>
      </c>
      <c r="R127" s="99" t="n">
        <v>0.07388062375135719</v>
      </c>
      <c r="S127" s="99" t="n">
        <v>0.01260988155872853</v>
      </c>
      <c r="U127" s="117">
        <f>C127*S127</f>
        <v/>
      </c>
      <c r="V127" s="117">
        <f>(1+S127)*Q127*(1-U127)+S127</f>
        <v/>
      </c>
      <c r="W127" s="117">
        <f>V127+I127/3</f>
        <v/>
      </c>
      <c r="X127" s="117">
        <f>V127+I127/5</f>
        <v/>
      </c>
      <c r="Y127" s="117" t="n"/>
      <c r="AA127" s="117" t="n"/>
    </row>
    <row r="128">
      <c r="A128" t="inlineStr">
        <is>
          <t>C030301</t>
        </is>
      </c>
      <c r="B128" t="inlineStr">
        <is>
          <t>pe equal</t>
        </is>
      </c>
      <c r="C128" s="166" t="n">
        <v>25.38238192528576</v>
      </c>
      <c r="D128" s="90" t="n">
        <v>14.19513287648611</v>
      </c>
      <c r="E128" s="12" t="n">
        <v>0.4407485901728941</v>
      </c>
      <c r="F128" s="90" t="n">
        <v>-2.427640403942462</v>
      </c>
      <c r="G128" s="90" t="n">
        <v>-1.095642734046329</v>
      </c>
      <c r="H128" s="12" t="n">
        <v>0.1667566790602573</v>
      </c>
      <c r="I128" s="12" t="n">
        <v>1.392563017070222</v>
      </c>
      <c r="J128" s="12" t="n">
        <v>-1.32960970642199</v>
      </c>
      <c r="K128" s="90" t="n">
        <v>-0.1710192095463783</v>
      </c>
      <c r="L128" s="7" t="n">
        <v>14.19513287648611</v>
      </c>
      <c r="M128" s="14" t="n">
        <v>0.4407485901728941</v>
      </c>
      <c r="N128" s="7" t="n">
        <v>-2.427640403942462</v>
      </c>
      <c r="O128" s="7" t="n">
        <v>-1.095642734046329</v>
      </c>
      <c r="P128" s="7" t="n">
        <v>-0.1710192095463783</v>
      </c>
      <c r="S128" s="99" t="n">
        <v>0.01513870126081232</v>
      </c>
      <c r="U128" s="117">
        <f>C128*S128</f>
        <v/>
      </c>
      <c r="V128" s="117">
        <f>(1+S128)*R127*(1-U128)+S128</f>
        <v/>
      </c>
      <c r="W128" s="117">
        <f>V128+I128/3</f>
        <v/>
      </c>
      <c r="X128" s="117">
        <f>V128+I128/5</f>
        <v/>
      </c>
      <c r="Y128" s="117" t="n"/>
      <c r="AA128" s="117" t="n"/>
    </row>
    <row r="129">
      <c r="B129" t="inlineStr">
        <is>
          <t>pb weighted</t>
        </is>
      </c>
      <c r="C129" s="167" t="n">
        <v>2.085553222463663</v>
      </c>
      <c r="D129" s="90" t="n">
        <v>1.941200823095465</v>
      </c>
      <c r="E129" s="12" t="n">
        <v>0.06921539945054689</v>
      </c>
      <c r="F129" s="90" t="n">
        <v>11.56351523581467</v>
      </c>
      <c r="G129" s="90" t="n">
        <v>4.544579304552435</v>
      </c>
      <c r="H129" s="12" t="n">
        <v>0.3435095107877755</v>
      </c>
      <c r="I129" s="12" t="n">
        <v>0.6489656670667083</v>
      </c>
      <c r="J129" s="12" t="n">
        <v>1.090689688280206</v>
      </c>
      <c r="K129" s="90" t="n">
        <v>5.956887663675789</v>
      </c>
      <c r="L129" s="7" t="n">
        <v>1.941200823095465</v>
      </c>
      <c r="M129" s="14" t="n">
        <v>0.06921539945054689</v>
      </c>
      <c r="N129" s="7" t="n">
        <v>4.659746241246067</v>
      </c>
      <c r="O129" s="7" t="n">
        <v>1.234297447341819</v>
      </c>
      <c r="P129" s="7" t="n">
        <v>2.400445222259679</v>
      </c>
      <c r="W129" s="117">
        <f>V127+I129/3</f>
        <v/>
      </c>
      <c r="X129" s="117">
        <f>V127+I129/5</f>
        <v/>
      </c>
      <c r="Y129" s="117" t="n"/>
      <c r="AA129" s="117" t="n"/>
    </row>
    <row r="130">
      <c r="B130" t="inlineStr">
        <is>
          <t>pb equal</t>
        </is>
      </c>
      <c r="C130" s="167" t="n">
        <v>1.875266208935287</v>
      </c>
      <c r="D130" s="90" t="n">
        <v>1.695443659386288</v>
      </c>
      <c r="E130" s="12" t="n">
        <v>0.09589174523178534</v>
      </c>
      <c r="F130" s="90" t="n">
        <v>11.24006592640506</v>
      </c>
      <c r="G130" s="90" t="n">
        <v>4.993850831870316</v>
      </c>
      <c r="H130" s="12" t="n">
        <v>0.2622622720112266</v>
      </c>
      <c r="I130" s="12" t="n">
        <v>0.6858696215928171</v>
      </c>
      <c r="J130" s="12" t="n">
        <v>1.283113283133609</v>
      </c>
      <c r="K130" s="90" t="n">
        <v>6.629572067569446</v>
      </c>
      <c r="L130" s="7" t="n">
        <v>1.695443659386288</v>
      </c>
      <c r="M130" s="14" t="n">
        <v>0.09589174523178534</v>
      </c>
      <c r="N130" s="7" t="n">
        <v>7.689129766088206</v>
      </c>
      <c r="O130" s="7" t="n">
        <v>3.100287057619321</v>
      </c>
      <c r="P130" s="7" t="n">
        <v>4.535172680920281</v>
      </c>
      <c r="W130" s="117">
        <f>V128+I130/3</f>
        <v/>
      </c>
      <c r="X130" s="117">
        <f>V128+I130/5</f>
        <v/>
      </c>
      <c r="Y130" s="117" t="n"/>
      <c r="AA130" s="117" t="n"/>
    </row>
    <row r="131">
      <c r="C131" s="101" t="n"/>
      <c r="D131" s="90" t="n"/>
      <c r="F131" s="90" t="n"/>
      <c r="G131" s="90" t="n"/>
      <c r="K131" s="90" t="n"/>
      <c r="L131" s="7" t="n"/>
      <c r="N131" s="7" t="n"/>
      <c r="O131" s="7" t="n"/>
      <c r="P131" s="7" t="n"/>
      <c r="AA131" s="117" t="n"/>
    </row>
    <row r="132">
      <c r="A132" t="inlineStr">
        <is>
          <t>水上运输</t>
        </is>
      </c>
      <c r="B132" t="inlineStr">
        <is>
          <t>pe weighted</t>
        </is>
      </c>
      <c r="C132" s="166" t="n">
        <v>-6.239943418440578</v>
      </c>
      <c r="D132" s="90" t="n">
        <v>9.962337854870047</v>
      </c>
      <c r="E132" s="12" t="n">
        <v>2.596542979128444</v>
      </c>
      <c r="F132" s="90" t="n">
        <v>-4.260634347584099</v>
      </c>
      <c r="G132" s="90" t="n">
        <v>-0.3171998427112546</v>
      </c>
      <c r="H132" s="12" t="n">
        <v>-3.431804569823997</v>
      </c>
      <c r="I132" s="12" t="n">
        <v>-4.648536478214801</v>
      </c>
      <c r="J132" s="12" t="n">
        <v>0.9016143246811097</v>
      </c>
      <c r="K132" s="90" t="n">
        <v>-0.4276741473389508</v>
      </c>
      <c r="L132" s="7" t="n">
        <v>12.30315324856455</v>
      </c>
      <c r="M132" s="14" t="n">
        <v>2.97167705274469</v>
      </c>
      <c r="N132" s="7" t="n">
        <v>-4.260634347584099</v>
      </c>
      <c r="O132" s="7" t="n">
        <v>-0.3171998427112546</v>
      </c>
      <c r="P132" s="7" t="n">
        <v>-0.3463042572505713</v>
      </c>
      <c r="Q132" s="99" t="n">
        <v>-0.5535200849910661</v>
      </c>
      <c r="R132" s="99" t="n">
        <v>-0.2603024548529692</v>
      </c>
      <c r="S132" s="99" t="n">
        <v>0.001762550707197186</v>
      </c>
      <c r="U132" s="117">
        <f>C132*S132</f>
        <v/>
      </c>
      <c r="V132" s="117">
        <f>(1+S132)*Q132*(1-U132)+S132</f>
        <v/>
      </c>
      <c r="W132" s="117">
        <f>V132+I132/3</f>
        <v/>
      </c>
      <c r="X132" s="117">
        <f>V132+I132/5</f>
        <v/>
      </c>
      <c r="Y132" s="117" t="n"/>
      <c r="AA132" s="117" t="n"/>
    </row>
    <row r="133">
      <c r="A133" t="inlineStr">
        <is>
          <t>C030302</t>
        </is>
      </c>
      <c r="B133" t="inlineStr">
        <is>
          <t>pe equal</t>
        </is>
      </c>
      <c r="C133" s="166" t="n">
        <v>-11.11581237007978</v>
      </c>
      <c r="D133" s="90" t="n">
        <v>11.48288653548537</v>
      </c>
      <c r="E133" s="12" t="n">
        <v>2.033022702541619</v>
      </c>
      <c r="F133" s="90" t="n">
        <v>-3.211329936035029</v>
      </c>
      <c r="G133" s="90" t="n">
        <v>-0.7111025421156887</v>
      </c>
      <c r="H133" s="12" t="n">
        <v>-2.554421055336471</v>
      </c>
      <c r="I133" s="12" t="n">
        <v>-3.136639723803352</v>
      </c>
      <c r="J133" s="12" t="n">
        <v>0.2396082191308102</v>
      </c>
      <c r="K133" s="90" t="n">
        <v>-0.2796622544436986</v>
      </c>
      <c r="L133" s="7" t="n">
        <v>14.47572523434949</v>
      </c>
      <c r="M133" s="14" t="n">
        <v>2.302264265751149</v>
      </c>
      <c r="N133" s="7" t="n">
        <v>-3.211329936035029</v>
      </c>
      <c r="O133" s="7" t="n">
        <v>-0.7111025421156887</v>
      </c>
      <c r="P133" s="7" t="n">
        <v>-0.2218424212981644</v>
      </c>
      <c r="S133" s="99" t="n">
        <v>0.006131782186985845</v>
      </c>
      <c r="U133" s="117">
        <f>C133*S133</f>
        <v/>
      </c>
      <c r="V133" s="117">
        <f>(1+S133)*R132*(1-U133)+S133</f>
        <v/>
      </c>
      <c r="W133" s="117">
        <f>V133+I133/3</f>
        <v/>
      </c>
      <c r="X133" s="117">
        <f>V133+I133/5</f>
        <v/>
      </c>
      <c r="Y133" s="117" t="n"/>
      <c r="AA133" s="117" t="n"/>
    </row>
    <row r="134">
      <c r="B134" t="inlineStr">
        <is>
          <t>pb weighted</t>
        </is>
      </c>
      <c r="C134" s="166" t="n">
        <v>3.453934011314673</v>
      </c>
      <c r="D134" s="90" t="n">
        <v>0.8791698691143297</v>
      </c>
      <c r="E134" s="12" t="n">
        <v>0.7454584059121353</v>
      </c>
      <c r="F134" s="90" t="n">
        <v>4.279452382173536</v>
      </c>
      <c r="G134" s="90" t="n">
        <v>0.2390081478553339</v>
      </c>
      <c r="H134" s="12" t="n">
        <v>-0.6389122141740264</v>
      </c>
      <c r="I134" s="12" t="n">
        <v>-0.4977831849193407</v>
      </c>
      <c r="J134" s="12" t="n">
        <v>-0.2994549755756976</v>
      </c>
      <c r="K134" s="90" t="n">
        <v>4.867605831947619</v>
      </c>
      <c r="L134" s="7" t="n">
        <v>0.9947119024487129</v>
      </c>
      <c r="M134" s="14" t="n">
        <v>0.7120061068942961</v>
      </c>
      <c r="N134" s="7" t="n">
        <v>4.279452382173536</v>
      </c>
      <c r="O134" s="7" t="n">
        <v>0.2390081478553339</v>
      </c>
      <c r="P134" s="7" t="n">
        <v>4.302202850532578</v>
      </c>
      <c r="W134" s="117">
        <f>V132+I134/3</f>
        <v/>
      </c>
      <c r="X134" s="117">
        <f>V132+I134/5</f>
        <v/>
      </c>
      <c r="Y134" s="117" t="n"/>
      <c r="AA134" s="117" t="n"/>
    </row>
    <row r="135">
      <c r="B135" t="inlineStr">
        <is>
          <t>pb equal</t>
        </is>
      </c>
      <c r="C135" s="166" t="n">
        <v>2.893473247616769</v>
      </c>
      <c r="D135" s="90" t="n">
        <v>1.002962290674347</v>
      </c>
      <c r="E135" s="12" t="n">
        <v>0.6533708091130808</v>
      </c>
      <c r="F135" s="90" t="n">
        <v>4.395539182633494</v>
      </c>
      <c r="G135" s="90" t="n">
        <v>0.5191221091309253</v>
      </c>
      <c r="H135" s="12" t="n">
        <v>-0.539339061802791</v>
      </c>
      <c r="I135" s="12" t="n">
        <v>-0.3440762620673979</v>
      </c>
      <c r="J135" s="12" t="n">
        <v>-0.05822069256422313</v>
      </c>
      <c r="K135" s="90" t="n">
        <v>4.382556775567434</v>
      </c>
      <c r="L135" s="7" t="n">
        <v>1.091926222720893</v>
      </c>
      <c r="M135" s="14" t="n">
        <v>0.6226243931509418</v>
      </c>
      <c r="N135" s="7" t="n">
        <v>3.555280097619291</v>
      </c>
      <c r="O135" s="7" t="n">
        <v>0.2287240258908991</v>
      </c>
      <c r="P135" s="7" t="n">
        <v>3.25597098379059</v>
      </c>
      <c r="W135" s="117">
        <f>V133+I135/3</f>
        <v/>
      </c>
      <c r="X135" s="117">
        <f>V133+I135/5</f>
        <v/>
      </c>
      <c r="Y135" s="117" t="n"/>
      <c r="AA135" s="117" t="n"/>
    </row>
    <row r="136">
      <c r="C136" s="101" t="n"/>
      <c r="D136" s="90" t="n"/>
      <c r="F136" s="90" t="n"/>
      <c r="G136" s="90" t="n"/>
      <c r="K136" s="90" t="n"/>
      <c r="L136" s="7" t="n"/>
      <c r="N136" s="7" t="n"/>
      <c r="O136" s="7" t="n"/>
      <c r="P136" s="7" t="n"/>
      <c r="AA136" s="117" t="n"/>
    </row>
    <row r="137">
      <c r="A137" t="inlineStr">
        <is>
          <t>陆运</t>
        </is>
      </c>
      <c r="B137" t="inlineStr">
        <is>
          <t>pe weighted</t>
        </is>
      </c>
      <c r="C137" s="166" t="n">
        <v>3.421633870539627</v>
      </c>
      <c r="D137" s="90" t="n">
        <v>3.084201833391803</v>
      </c>
      <c r="E137" s="12" t="n">
        <v>0.0986172249617715</v>
      </c>
      <c r="F137" s="90" t="n">
        <v>-8.413968499781841</v>
      </c>
      <c r="G137" s="90" t="n">
        <v>-3.459049921216402</v>
      </c>
      <c r="H137" s="12" t="n">
        <v>3.784829377249337</v>
      </c>
      <c r="I137" s="12" t="n">
        <v>9.729293403296724</v>
      </c>
      <c r="J137" s="12" t="n">
        <v>-9.776573527653966</v>
      </c>
      <c r="K137" s="90" t="n">
        <v>-2.728086212998813</v>
      </c>
      <c r="L137" s="7" t="n">
        <v>3.084201833391803</v>
      </c>
      <c r="M137" s="14" t="n">
        <v>0.0986172249617715</v>
      </c>
      <c r="N137" s="7" t="n">
        <v>50.17880563803222</v>
      </c>
      <c r="O137" s="7" t="n">
        <v>13.66515925916951</v>
      </c>
      <c r="P137" s="7" t="n">
        <v>16.26962447618055</v>
      </c>
      <c r="Q137" s="99" t="n">
        <v>0.4010156796647701</v>
      </c>
      <c r="R137" s="99" t="n">
        <v>0.1899649218199035</v>
      </c>
      <c r="S137" s="99" t="n">
        <v>0.04675486862860362</v>
      </c>
      <c r="U137" s="117">
        <f>C137*S137</f>
        <v/>
      </c>
      <c r="V137" s="117">
        <f>(1+S137)*Q137*(1-U137)+S137</f>
        <v/>
      </c>
      <c r="W137" s="117">
        <f>V137+I137/3</f>
        <v/>
      </c>
      <c r="X137" s="117">
        <f>V137+I137/5</f>
        <v/>
      </c>
      <c r="Y137" s="117" t="n"/>
      <c r="AA137" s="117" t="n"/>
    </row>
    <row r="138">
      <c r="A138" t="inlineStr">
        <is>
          <t>C030303</t>
        </is>
      </c>
      <c r="B138" t="inlineStr">
        <is>
          <t>pe equal</t>
        </is>
      </c>
      <c r="C138" s="166" t="n">
        <v>9.646378488193585</v>
      </c>
      <c r="D138" s="90" t="n">
        <v>9.116422413874119</v>
      </c>
      <c r="E138" s="12" t="n">
        <v>0.05493834551154009</v>
      </c>
      <c r="F138" s="90" t="n">
        <v>-7.876917405916563</v>
      </c>
      <c r="G138" s="90" t="n">
        <v>-1.816567317523078</v>
      </c>
      <c r="H138" s="12" t="n">
        <v>1.31140034428691</v>
      </c>
      <c r="I138" s="12" t="n">
        <v>3.818042548795044</v>
      </c>
      <c r="J138" s="12" t="n">
        <v>-11.39102667441199</v>
      </c>
      <c r="K138" s="90" t="n">
        <v>-0.8640360273267751</v>
      </c>
      <c r="L138" s="7" t="n">
        <v>9.116422413874119</v>
      </c>
      <c r="M138" s="14" t="n">
        <v>0.05493834551154009</v>
      </c>
      <c r="N138" s="7" t="n">
        <v>-32.31611465919826</v>
      </c>
      <c r="O138" s="7" t="n">
        <v>-4.350077409750266</v>
      </c>
      <c r="P138" s="7" t="n">
        <v>-3.544824185638541</v>
      </c>
      <c r="S138" s="99" t="n">
        <v>0.02685841671726015</v>
      </c>
      <c r="U138" s="117">
        <f>C138*S138</f>
        <v/>
      </c>
      <c r="V138" s="117">
        <f>(1+S138)*R137*(1-U138)+S138</f>
        <v/>
      </c>
      <c r="W138" s="117">
        <f>V138+I138/3</f>
        <v/>
      </c>
      <c r="X138" s="117">
        <f>V138+I138/5</f>
        <v/>
      </c>
      <c r="Y138" s="117" t="n"/>
      <c r="AA138" s="117" t="n"/>
    </row>
    <row r="139">
      <c r="B139" t="inlineStr">
        <is>
          <t>pb weighted</t>
        </is>
      </c>
      <c r="C139" s="165" t="n">
        <v>1.372128832158446</v>
      </c>
      <c r="D139" s="90" t="n">
        <v>0.9444689031340054</v>
      </c>
      <c r="E139" s="12" t="n">
        <v>0.3116762209214018</v>
      </c>
      <c r="F139" s="90" t="n">
        <v>4.587989654045633</v>
      </c>
      <c r="G139" s="90" t="n">
        <v>2.343701805921848</v>
      </c>
      <c r="H139" s="12" t="n">
        <v>-0.01092084938837767</v>
      </c>
      <c r="I139" s="12" t="n">
        <v>0.2878034139943655</v>
      </c>
      <c r="J139" s="12" t="n">
        <v>0.6342238358665708</v>
      </c>
      <c r="K139" s="90" t="n">
        <v>4.857745595245573</v>
      </c>
      <c r="L139" s="7" t="n">
        <v>1.236817125326658</v>
      </c>
      <c r="M139" s="14" t="n">
        <v>0.09861443303318274</v>
      </c>
      <c r="N139" s="7" t="n">
        <v>3.083934215914701</v>
      </c>
      <c r="O139" s="7" t="n">
        <v>1.247554415909675</v>
      </c>
      <c r="P139" s="7" t="n">
        <v>2.493443980329912</v>
      </c>
      <c r="W139" s="117">
        <f>V137+I139/3</f>
        <v/>
      </c>
      <c r="X139" s="117">
        <f>V137+I139/5</f>
        <v/>
      </c>
      <c r="Y139" s="117" t="n"/>
      <c r="AA139" s="117" t="n"/>
    </row>
    <row r="140">
      <c r="B140" t="inlineStr">
        <is>
          <t>pb equal</t>
        </is>
      </c>
      <c r="C140" s="168" t="n">
        <v>1.832473535354894</v>
      </c>
      <c r="D140" s="90" t="n">
        <v>1.256878461149233</v>
      </c>
      <c r="E140" s="12" t="n">
        <v>0.3141082602833801</v>
      </c>
      <c r="F140" s="90" t="n">
        <v>4.539706287350446</v>
      </c>
      <c r="G140" s="90" t="n">
        <v>1.477365265998914</v>
      </c>
      <c r="H140" s="12" t="n">
        <v>-0.1566150123474299</v>
      </c>
      <c r="I140" s="12" t="n">
        <v>-0.04591186762399002</v>
      </c>
      <c r="J140" s="12" t="n">
        <v>0.2355030638130704</v>
      </c>
      <c r="K140" s="90" t="n">
        <v>3.611889635851937</v>
      </c>
      <c r="L140" s="7" t="n">
        <v>1.31660459284671</v>
      </c>
      <c r="M140" s="14" t="n">
        <v>0.2815150846957666</v>
      </c>
      <c r="N140" s="7" t="n">
        <v>2.220477347175509</v>
      </c>
      <c r="O140" s="7" t="n">
        <v>0.2117377437298003</v>
      </c>
      <c r="P140" s="7" t="n">
        <v>1.686518001866059</v>
      </c>
      <c r="W140" s="117">
        <f>V138+I140/3</f>
        <v/>
      </c>
      <c r="X140" s="117">
        <f>V138+I140/5</f>
        <v/>
      </c>
      <c r="Y140" s="117" t="n"/>
      <c r="AA140" s="117" t="n"/>
    </row>
    <row r="141">
      <c r="C141" s="101" t="n"/>
      <c r="D141" s="90" t="n"/>
      <c r="F141" s="90" t="n"/>
      <c r="G141" s="90" t="n"/>
      <c r="K141" s="90" t="n"/>
      <c r="L141" s="7" t="n"/>
      <c r="N141" s="7" t="n"/>
      <c r="O141" s="7" t="n"/>
      <c r="P141" s="7" t="n"/>
      <c r="AA141" s="117" t="n"/>
    </row>
    <row r="142">
      <c r="A142" t="inlineStr">
        <is>
          <t>交通基本设施</t>
        </is>
      </c>
      <c r="B142" t="inlineStr">
        <is>
          <t>pe weighted</t>
        </is>
      </c>
      <c r="C142" s="166" t="n">
        <v>31.41320533648173</v>
      </c>
      <c r="D142" s="90" t="n">
        <v>8.936697854552273</v>
      </c>
      <c r="E142" s="12" t="n">
        <v>0.7155114303418875</v>
      </c>
      <c r="F142" s="90" t="n">
        <v>33.36517718072571</v>
      </c>
      <c r="G142" s="90" t="n">
        <v>0.06213857590575311</v>
      </c>
      <c r="H142" s="12" t="n">
        <v>-0.6419416116027667</v>
      </c>
      <c r="I142" s="12" t="n">
        <v>-0.496498344171451</v>
      </c>
      <c r="J142" s="12" t="n">
        <v>-0.2284944256657921</v>
      </c>
      <c r="K142" s="90" t="n">
        <v>3.733501761361417</v>
      </c>
      <c r="L142" s="7" t="n">
        <v>8.936697854552273</v>
      </c>
      <c r="M142" s="14" t="n">
        <v>0.7155114303418875</v>
      </c>
      <c r="N142" s="7" t="n">
        <v>33.36517718072571</v>
      </c>
      <c r="O142" s="7" t="n">
        <v>0.06213857590575311</v>
      </c>
      <c r="P142" s="7" t="n">
        <v>3.733501761361417</v>
      </c>
      <c r="Q142" s="99" t="n">
        <v>0.03629444472768697</v>
      </c>
      <c r="R142" s="99" t="n">
        <v>0.02467942595678704</v>
      </c>
      <c r="S142" s="99" t="n">
        <v>0.02306825050368977</v>
      </c>
      <c r="U142" s="117">
        <f>C142*S142</f>
        <v/>
      </c>
      <c r="V142" s="117">
        <f>(1+S142)*Q142*(1-U142)+S142</f>
        <v/>
      </c>
      <c r="W142" s="117">
        <f>V142+I142/3</f>
        <v/>
      </c>
      <c r="X142" s="117">
        <f>V142+I142/5</f>
        <v/>
      </c>
      <c r="Y142" s="117" t="n"/>
      <c r="AA142" s="117" t="n"/>
    </row>
    <row r="143">
      <c r="A143" t="inlineStr">
        <is>
          <t>C030304</t>
        </is>
      </c>
      <c r="B143" t="inlineStr">
        <is>
          <t>pe equal</t>
        </is>
      </c>
      <c r="C143" s="166" t="n">
        <v>54.74730328393148</v>
      </c>
      <c r="D143" s="90" t="n">
        <v>14.93201807982282</v>
      </c>
      <c r="E143" s="12" t="n">
        <v>0.7272556421202683</v>
      </c>
      <c r="F143" s="90" t="n">
        <v>-51.51222991337313</v>
      </c>
      <c r="G143" s="90" t="n">
        <v>-1.94090899137478</v>
      </c>
      <c r="H143" s="12" t="n">
        <v>-0.6310102081778878</v>
      </c>
      <c r="I143" s="12" t="n">
        <v>-0.3429532410757837</v>
      </c>
      <c r="J143" s="12" t="n">
        <v>-0.01563924885400958</v>
      </c>
      <c r="K143" s="90" t="n">
        <v>-3.449783521423675</v>
      </c>
      <c r="L143" s="7" t="n">
        <v>15.47778833294191</v>
      </c>
      <c r="M143" s="14" t="n">
        <v>0.7172867446516824</v>
      </c>
      <c r="N143" s="7" t="n">
        <v>-51.51222991337313</v>
      </c>
      <c r="O143" s="7" t="n">
        <v>-1.94090899137478</v>
      </c>
      <c r="P143" s="7" t="n">
        <v>-3.328138930788831</v>
      </c>
      <c r="S143" s="99" t="n">
        <v>0.0151810147005584</v>
      </c>
      <c r="U143" s="117">
        <f>C143*S143</f>
        <v/>
      </c>
      <c r="V143" s="117">
        <f>(1+S143)*R142*(1-U143)+S143</f>
        <v/>
      </c>
      <c r="W143" s="117">
        <f>V143+I143/3</f>
        <v/>
      </c>
      <c r="X143" s="117">
        <f>V143+I143/5</f>
        <v/>
      </c>
      <c r="Y143" s="117" t="n"/>
      <c r="AA143" s="117" t="n"/>
    </row>
    <row r="144">
      <c r="B144" t="inlineStr">
        <is>
          <t>pb weighted</t>
        </is>
      </c>
      <c r="C144" s="167" t="n">
        <v>1.140124844804417</v>
      </c>
      <c r="D144" s="90" t="n">
        <v>0.9160455328140469</v>
      </c>
      <c r="E144" s="12" t="n">
        <v>0.1965392763884645</v>
      </c>
      <c r="F144" s="90" t="n">
        <v>3.068707972635638</v>
      </c>
      <c r="G144" s="90" t="n">
        <v>1.691554338649693</v>
      </c>
      <c r="H144" s="12" t="n">
        <v>0.01705715265237107</v>
      </c>
      <c r="I144" s="12" t="n">
        <v>0.183586601981115</v>
      </c>
      <c r="J144" s="12" t="n">
        <v>0.3941419221893663</v>
      </c>
      <c r="K144" s="90" t="n">
        <v>3.34995135362837</v>
      </c>
      <c r="L144" s="7" t="n">
        <v>0.9160455328140469</v>
      </c>
      <c r="M144" s="14" t="n">
        <v>0.1965392763884645</v>
      </c>
      <c r="N144" s="7" t="n">
        <v>1.527090052279602</v>
      </c>
      <c r="O144" s="7" t="n">
        <v>0.3394059950878157</v>
      </c>
      <c r="P144" s="7" t="n">
        <v>1.667046011990754</v>
      </c>
      <c r="W144" s="117">
        <f>V142+I144/3</f>
        <v/>
      </c>
      <c r="X144" s="117">
        <f>V142+I144/5</f>
        <v/>
      </c>
      <c r="Y144" s="117" t="n"/>
      <c r="AA144" s="117" t="n"/>
    </row>
    <row r="145">
      <c r="B145" t="inlineStr">
        <is>
          <t>pb equal</t>
        </is>
      </c>
      <c r="C145" s="165" t="n">
        <v>1.351132017729551</v>
      </c>
      <c r="D145" s="90" t="n">
        <v>1.097559372453018</v>
      </c>
      <c r="E145" s="12" t="n">
        <v>0.1876742183214911</v>
      </c>
      <c r="F145" s="90" t="n">
        <v>4.778634843041167</v>
      </c>
      <c r="G145" s="90" t="n">
        <v>2.536763824952657</v>
      </c>
      <c r="H145" s="12" t="n">
        <v>-0.008508313544785207</v>
      </c>
      <c r="I145" s="12" t="n">
        <v>0.2297286941975749</v>
      </c>
      <c r="J145" s="12" t="n">
        <v>0.6330868730264392</v>
      </c>
      <c r="K145" s="90" t="n">
        <v>4.353873660940124</v>
      </c>
      <c r="L145" s="7" t="n">
        <v>1.097559372453018</v>
      </c>
      <c r="M145" s="14" t="n">
        <v>0.1876742183214911</v>
      </c>
      <c r="N145" s="7" t="n">
        <v>1.959569513990141</v>
      </c>
      <c r="O145" s="7" t="n">
        <v>0.4503168367536814</v>
      </c>
      <c r="P145" s="7" t="n">
        <v>1.785388165025234</v>
      </c>
      <c r="W145" s="117">
        <f>V143+I145/3</f>
        <v/>
      </c>
      <c r="X145" s="117">
        <f>V143+I145/5</f>
        <v/>
      </c>
      <c r="Y145" s="117" t="n"/>
      <c r="AA145" s="117" t="n"/>
    </row>
    <row r="146">
      <c r="C146" s="101" t="n"/>
      <c r="D146" s="90" t="n"/>
      <c r="F146" s="90" t="n"/>
      <c r="G146" s="90" t="n"/>
      <c r="K146" s="90" t="n"/>
      <c r="L146" s="7" t="n"/>
      <c r="N146" s="7" t="n"/>
      <c r="O146" s="7" t="n"/>
      <c r="P146" s="7" t="n"/>
      <c r="AA146" s="117" t="n"/>
    </row>
    <row r="147">
      <c r="A147" t="inlineStr">
        <is>
          <t>汽车零配件与设备</t>
        </is>
      </c>
      <c r="B147" t="inlineStr">
        <is>
          <t>pe weighted</t>
        </is>
      </c>
      <c r="C147" s="165" t="n">
        <v>14.67118516902321</v>
      </c>
      <c r="D147" s="90" t="n">
        <v>10.74270120087317</v>
      </c>
      <c r="E147" s="12" t="n">
        <v>0.2677686855486398</v>
      </c>
      <c r="F147" s="90" t="n">
        <v>37.05502828097609</v>
      </c>
      <c r="G147" s="90" t="n">
        <v>1.525701083728</v>
      </c>
      <c r="H147" s="12" t="n">
        <v>-0.05811799069859824</v>
      </c>
      <c r="I147" s="12" t="n">
        <v>0.1009770296622541</v>
      </c>
      <c r="J147" s="12" t="n">
        <v>0.4368728691048844</v>
      </c>
      <c r="K147" s="90" t="n">
        <v>3.449321319480081</v>
      </c>
      <c r="L147" s="7" t="n">
        <v>11.8802778015162</v>
      </c>
      <c r="M147" s="14" t="n">
        <v>0.1902305325271024</v>
      </c>
      <c r="N147" s="7" t="n">
        <v>22.15828192548011</v>
      </c>
      <c r="O147" s="7" t="n">
        <v>0.5103266484745335</v>
      </c>
      <c r="P147" s="7" t="n">
        <v>1.865131632077846</v>
      </c>
      <c r="Q147" s="99" t="n">
        <v>0.07812323182134212</v>
      </c>
      <c r="R147" s="99" t="n">
        <v>0.06594346770779297</v>
      </c>
      <c r="S147" s="99" t="n">
        <v>0.02724247822117649</v>
      </c>
      <c r="U147" s="117">
        <f>C147*S147</f>
        <v/>
      </c>
      <c r="V147" s="117">
        <f>(1+S147)*Q147*(1-U147)+S147</f>
        <v/>
      </c>
      <c r="W147" s="117">
        <f>V147+I147/3</f>
        <v/>
      </c>
      <c r="X147" s="117">
        <f>V147+I147/5</f>
        <v/>
      </c>
      <c r="Y147" s="117" t="n"/>
      <c r="AA147" s="117" t="n"/>
    </row>
    <row r="148">
      <c r="A148" t="inlineStr">
        <is>
          <t>C030305</t>
        </is>
      </c>
      <c r="B148" t="inlineStr">
        <is>
          <t>pe equal</t>
        </is>
      </c>
      <c r="C148" s="165" t="n">
        <v>14.73521315401947</v>
      </c>
      <c r="D148" s="90" t="n">
        <v>11.60070344669871</v>
      </c>
      <c r="E148" s="12" t="n">
        <v>0.2127223864736377</v>
      </c>
      <c r="F148" s="90" t="n">
        <v>39.78899380147469</v>
      </c>
      <c r="G148" s="90" t="n">
        <v>1.700265913060175</v>
      </c>
      <c r="H148" s="12" t="n">
        <v>-0.05993477307115913</v>
      </c>
      <c r="I148" s="12" t="n">
        <v>0.06323600321650114</v>
      </c>
      <c r="J148" s="12" t="n">
        <v>0.4945849278707564</v>
      </c>
      <c r="K148" s="90" t="n">
        <v>3.42987767804699</v>
      </c>
      <c r="L148" s="7" t="n">
        <v>12.09355018758401</v>
      </c>
      <c r="M148" s="14" t="n">
        <v>0.1792755176883793</v>
      </c>
      <c r="N148" s="7" t="n">
        <v>22.14665102891068</v>
      </c>
      <c r="O148" s="7" t="n">
        <v>0.502974595441771</v>
      </c>
      <c r="P148" s="7" t="n">
        <v>1.831277886591797</v>
      </c>
      <c r="S148" s="99" t="n">
        <v>0.02731698493038545</v>
      </c>
      <c r="U148" s="117">
        <f>C148*S148</f>
        <v/>
      </c>
      <c r="V148" s="117">
        <f>(1+S148)*R147*(1-U148)+S148</f>
        <v/>
      </c>
      <c r="W148" s="117">
        <f>V148+I148/3</f>
        <v/>
      </c>
      <c r="X148" s="117">
        <f>V148+I148/5</f>
        <v/>
      </c>
      <c r="Y148" s="117" t="n"/>
      <c r="AA148" s="117" t="n"/>
    </row>
    <row r="149">
      <c r="B149" t="inlineStr">
        <is>
          <t>pb weighted</t>
        </is>
      </c>
      <c r="C149" s="167" t="n">
        <v>1.146160400053437</v>
      </c>
      <c r="D149" s="90" t="n">
        <v>1.003108240026798</v>
      </c>
      <c r="E149" s="12" t="n">
        <v>0.1248098957353345</v>
      </c>
      <c r="F149" s="90" t="n">
        <v>3.607110438889338</v>
      </c>
      <c r="G149" s="90" t="n">
        <v>2.147125340154106</v>
      </c>
      <c r="H149" s="12" t="n">
        <v>0.04061506799166348</v>
      </c>
      <c r="I149" s="12" t="n">
        <v>0.2609324005572056</v>
      </c>
      <c r="J149" s="12" t="n">
        <v>0.6847468730240969</v>
      </c>
      <c r="K149" s="90" t="n">
        <v>3.595933414716018</v>
      </c>
      <c r="L149" s="7" t="n">
        <v>1.070603846239099</v>
      </c>
      <c r="M149" s="14" t="n">
        <v>0.06592144852571669</v>
      </c>
      <c r="N149" s="7" t="n">
        <v>1.970298715182867</v>
      </c>
      <c r="O149" s="7" t="n">
        <v>0.7190427405195707</v>
      </c>
      <c r="P149" s="7" t="n">
        <v>1.840362074267047</v>
      </c>
      <c r="W149" s="117">
        <f>V147+I149/3</f>
        <v/>
      </c>
      <c r="X149" s="117">
        <f>V147+I149/5</f>
        <v/>
      </c>
      <c r="Y149" s="117" t="n"/>
      <c r="AA149" s="117" t="n"/>
    </row>
    <row r="150">
      <c r="B150" t="inlineStr">
        <is>
          <t>pb equal</t>
        </is>
      </c>
      <c r="C150" s="167" t="n">
        <v>0.9716910527895289</v>
      </c>
      <c r="D150" s="90" t="n">
        <v>0.8910788679213478</v>
      </c>
      <c r="E150" s="12" t="n">
        <v>0.0829607153804286</v>
      </c>
      <c r="F150" s="90" t="n">
        <v>3.357902123666116</v>
      </c>
      <c r="G150" s="90" t="n">
        <v>2.45573020768922</v>
      </c>
      <c r="H150" s="12" t="n">
        <v>0.03270258308931373</v>
      </c>
      <c r="I150" s="12" t="n">
        <v>0.2202765382065885</v>
      </c>
      <c r="J150" s="12" t="n">
        <v>0.793179254363592</v>
      </c>
      <c r="K150" s="90" t="n">
        <v>3.768355691678803</v>
      </c>
      <c r="L150" s="7" t="n">
        <v>0.8910788679213478</v>
      </c>
      <c r="M150" s="14" t="n">
        <v>0.0829607153804286</v>
      </c>
      <c r="N150" s="7" t="n">
        <v>1.615838275230674</v>
      </c>
      <c r="O150" s="7" t="n">
        <v>0.6629136087977017</v>
      </c>
      <c r="P150" s="7" t="n">
        <v>1.813350460212348</v>
      </c>
      <c r="W150" s="117">
        <f>V148+I150/3</f>
        <v/>
      </c>
      <c r="X150" s="117">
        <f>V148+I150/5</f>
        <v/>
      </c>
      <c r="Y150" s="117" t="n"/>
      <c r="AA150" s="117" t="n"/>
    </row>
    <row r="151">
      <c r="C151" s="101" t="n"/>
      <c r="D151" s="90" t="n"/>
      <c r="F151" s="90" t="n"/>
      <c r="G151" s="90" t="n"/>
      <c r="K151" s="90" t="n"/>
      <c r="L151" s="7" t="n"/>
      <c r="N151" s="7" t="n"/>
      <c r="O151" s="7" t="n"/>
      <c r="P151" s="7" t="n"/>
      <c r="AA151" s="117" t="n"/>
    </row>
    <row r="152">
      <c r="A152" s="128" t="inlineStr">
        <is>
          <t>汽车</t>
        </is>
      </c>
      <c r="B152" t="inlineStr">
        <is>
          <t>pe weighted</t>
        </is>
      </c>
      <c r="C152" s="168" t="n">
        <v>43.2561690352426</v>
      </c>
      <c r="D152" s="90" t="n">
        <v>16.4441470163136</v>
      </c>
      <c r="E152" s="12" t="n">
        <v>0.6198427326535583</v>
      </c>
      <c r="F152" s="90" t="n">
        <v>163.2074209635638</v>
      </c>
      <c r="G152" s="90" t="n">
        <v>2.773043813255675</v>
      </c>
      <c r="H152" s="12" t="n">
        <v>-0.4868496499257693</v>
      </c>
      <c r="I152" s="12" t="n">
        <v>-0.1917965603784795</v>
      </c>
      <c r="J152" s="12" t="n">
        <v>0.03082985258351711</v>
      </c>
      <c r="K152" s="90" t="n">
        <v>9.924955110268236</v>
      </c>
      <c r="L152" s="7" t="n">
        <v>16.4441470163136</v>
      </c>
      <c r="M152" s="14" t="n">
        <v>0.6198427326535583</v>
      </c>
      <c r="N152" s="7" t="n">
        <v>163.2074209635638</v>
      </c>
      <c r="O152" s="7" t="n">
        <v>2.773043813255675</v>
      </c>
      <c r="P152" s="7" t="n">
        <v>9.924955110268236</v>
      </c>
      <c r="Q152" s="99" t="n">
        <v>0.05481358753932786</v>
      </c>
      <c r="R152" s="99" t="n">
        <v>0.03281858988321425</v>
      </c>
      <c r="S152" s="99" t="n">
        <v>0.0120015862756691</v>
      </c>
      <c r="U152" s="117">
        <f>C152*S152</f>
        <v/>
      </c>
      <c r="V152" s="117">
        <f>(1+S152)*Q152*(1-U152)+S152</f>
        <v/>
      </c>
      <c r="W152" s="117">
        <f>V152+I152/3</f>
        <v/>
      </c>
      <c r="X152" s="117">
        <f>V152+I152/5</f>
        <v/>
      </c>
      <c r="Y152" s="117" t="n"/>
      <c r="AA152" s="117" t="n"/>
    </row>
    <row r="153">
      <c r="A153" t="inlineStr">
        <is>
          <t>C040101</t>
        </is>
      </c>
      <c r="B153" t="inlineStr">
        <is>
          <t>pe equal</t>
        </is>
      </c>
      <c r="C153" s="168" t="n">
        <v>69.17613260179976</v>
      </c>
      <c r="D153" s="90" t="n">
        <v>21.50895574445613</v>
      </c>
      <c r="E153" s="12" t="n">
        <v>0.6890696988183966</v>
      </c>
      <c r="F153" s="90" t="n">
        <v>-30.98596268423064</v>
      </c>
      <c r="G153" s="90" t="n">
        <v>-1.447928519834953</v>
      </c>
      <c r="H153" s="12" t="n">
        <v>-0.5599554990099298</v>
      </c>
      <c r="I153" s="12" t="n">
        <v>-0.3396979837763926</v>
      </c>
      <c r="J153" s="12" t="n">
        <v>0.1598914177470081</v>
      </c>
      <c r="K153" s="90" t="n">
        <v>-1.44060748705651</v>
      </c>
      <c r="L153" s="7" t="n">
        <v>21.50895574445613</v>
      </c>
      <c r="M153" s="14" t="n">
        <v>0.6890696988183966</v>
      </c>
      <c r="N153" s="7" t="n">
        <v>-30.98596268423064</v>
      </c>
      <c r="O153" s="7" t="n">
        <v>-1.447928519834953</v>
      </c>
      <c r="P153" s="7" t="n">
        <v>-1.44060748705651</v>
      </c>
      <c r="S153" s="99" t="n">
        <v>0.01016780022783588</v>
      </c>
      <c r="U153" s="117">
        <f>C153*S153</f>
        <v/>
      </c>
      <c r="V153" s="117">
        <f>(1+S153)*R152*(1-U153)+S153</f>
        <v/>
      </c>
      <c r="W153" s="117">
        <f>V153+I153/3</f>
        <v/>
      </c>
      <c r="X153" s="117">
        <f>V153+I153/5</f>
        <v/>
      </c>
      <c r="Y153" s="117" t="n"/>
      <c r="AA153" s="117" t="n"/>
    </row>
    <row r="154">
      <c r="B154" t="inlineStr">
        <is>
          <t>pb weighted</t>
        </is>
      </c>
      <c r="C154" s="165" t="n">
        <v>2.371025808029233</v>
      </c>
      <c r="D154" s="90" t="n">
        <v>1.623700519728603</v>
      </c>
      <c r="E154" s="12" t="n">
        <v>0.3151907017502259</v>
      </c>
      <c r="F154" s="90" t="n">
        <v>6.522381737614548</v>
      </c>
      <c r="G154" s="90" t="n">
        <v>1.750869145130002</v>
      </c>
      <c r="H154" s="12" t="n">
        <v>-0.1390155371607771</v>
      </c>
      <c r="I154" s="12" t="n">
        <v>0.0327117934485659</v>
      </c>
      <c r="J154" s="12" t="n">
        <v>0.3677214284958337</v>
      </c>
      <c r="K154" s="90" t="n">
        <v>4.016985680773661</v>
      </c>
      <c r="L154" s="7" t="n">
        <v>1.623700519728603</v>
      </c>
      <c r="M154" s="14" t="n">
        <v>0.3151907017502259</v>
      </c>
      <c r="N154" s="7" t="n">
        <v>3.021814080920785</v>
      </c>
      <c r="O154" s="7" t="n">
        <v>0.2744754066732318</v>
      </c>
      <c r="P154" s="7" t="n">
        <v>1.861066153643822</v>
      </c>
      <c r="W154" s="117">
        <f>V152+I154/3</f>
        <v/>
      </c>
      <c r="X154" s="117">
        <f>V152+I154/5</f>
        <v/>
      </c>
      <c r="Y154" s="117" t="n"/>
      <c r="AA154" s="117" t="n"/>
    </row>
    <row r="155">
      <c r="B155" t="inlineStr">
        <is>
          <t>pb equal</t>
        </is>
      </c>
      <c r="C155" s="168" t="n">
        <v>2.270263125565314</v>
      </c>
      <c r="D155" s="90" t="n">
        <v>1.55076587547285</v>
      </c>
      <c r="E155" s="12" t="n">
        <v>0.3169224051565843</v>
      </c>
      <c r="F155" s="90" t="n">
        <v>6.464906467585043</v>
      </c>
      <c r="G155" s="90" t="n">
        <v>1.84764633437599</v>
      </c>
      <c r="H155" s="12" t="n">
        <v>-0.1340375640188618</v>
      </c>
      <c r="I155" s="12" t="n">
        <v>-0.002657764799573026</v>
      </c>
      <c r="J155" s="12" t="n">
        <v>0.4552418947913994</v>
      </c>
      <c r="K155" s="90" t="n">
        <v>4.168847515821048</v>
      </c>
      <c r="L155" s="7" t="n">
        <v>1.55076587547285</v>
      </c>
      <c r="M155" s="14" t="n">
        <v>0.3169224051565843</v>
      </c>
      <c r="N155" s="7" t="n">
        <v>2.640392787729379</v>
      </c>
      <c r="O155" s="7" t="n">
        <v>0.1630338166514951</v>
      </c>
      <c r="P155" s="7" t="n">
        <v>1.702637922003724</v>
      </c>
      <c r="W155" s="117">
        <f>V153+I155/3</f>
        <v/>
      </c>
      <c r="X155" s="117">
        <f>V153+I155/5</f>
        <v/>
      </c>
      <c r="Y155" s="117" t="n"/>
      <c r="AA155" s="117" t="n"/>
    </row>
    <row r="156">
      <c r="C156" s="101" t="n"/>
      <c r="D156" s="90" t="n"/>
      <c r="F156" s="90" t="n"/>
      <c r="G156" s="90" t="n"/>
      <c r="K156" s="90" t="n"/>
      <c r="L156" s="7" t="n"/>
      <c r="N156" s="7" t="n"/>
      <c r="O156" s="7" t="n"/>
      <c r="P156" s="7" t="n"/>
      <c r="AA156" s="117" t="n"/>
    </row>
    <row r="157">
      <c r="A157" s="128" t="inlineStr">
        <is>
          <t>家用电器</t>
        </is>
      </c>
      <c r="B157" t="inlineStr">
        <is>
          <t>pe weighted</t>
        </is>
      </c>
      <c r="C157" s="166" t="n">
        <v>43.83668164430419</v>
      </c>
      <c r="D157" s="90" t="n">
        <v>11.69412161614922</v>
      </c>
      <c r="E157" s="12" t="n">
        <v>0.7332343330401547</v>
      </c>
      <c r="F157" s="90" t="n">
        <v>61.6869415670612</v>
      </c>
      <c r="G157" s="90" t="n">
        <v>0.4071991595439646</v>
      </c>
      <c r="H157" s="12" t="n">
        <v>-0.6714001721805941</v>
      </c>
      <c r="I157" s="12" t="n">
        <v>-0.614079595083071</v>
      </c>
      <c r="J157" s="12" t="n">
        <v>-0.06038587016937857</v>
      </c>
      <c r="K157" s="90" t="n">
        <v>5.275038484453031</v>
      </c>
      <c r="L157" s="7" t="n">
        <v>11.83718426181124</v>
      </c>
      <c r="M157" s="14" t="n">
        <v>0.729970795739981</v>
      </c>
      <c r="N157" s="7" t="n">
        <v>61.6869415670612</v>
      </c>
      <c r="O157" s="7" t="n">
        <v>0.4071991595439646</v>
      </c>
      <c r="P157" s="7" t="n">
        <v>5.211285065999498</v>
      </c>
      <c r="Q157" s="99" t="n">
        <v>0.05621711764607192</v>
      </c>
      <c r="R157" s="99" t="n">
        <v>-0.007667374205906281</v>
      </c>
      <c r="S157" s="99" t="n">
        <v>0.009819802200210106</v>
      </c>
      <c r="U157" s="117">
        <f>C157*S157</f>
        <v/>
      </c>
      <c r="V157" s="117">
        <f>(1+S157)*Q157*(1-U157)+S157</f>
        <v/>
      </c>
      <c r="W157" s="117">
        <f>V157+I157/3</f>
        <v/>
      </c>
      <c r="X157" s="117">
        <f>V157+I157/5</f>
        <v/>
      </c>
      <c r="Y157" s="117" t="n"/>
      <c r="AA157" s="117" t="n"/>
    </row>
    <row r="158">
      <c r="A158" t="inlineStr">
        <is>
          <t>C040102</t>
        </is>
      </c>
      <c r="B158" t="inlineStr">
        <is>
          <t>pe equal</t>
        </is>
      </c>
      <c r="C158" s="167" t="n">
        <v>-290.0494638875105</v>
      </c>
      <c r="D158" s="90" t="n">
        <v>24.82995239943465</v>
      </c>
      <c r="E158" s="12" t="n">
        <v>1.08560592412977</v>
      </c>
      <c r="F158" s="90" t="n">
        <v>-23.26027933167883</v>
      </c>
      <c r="G158" s="90" t="n">
        <v>-0.9198058185665193</v>
      </c>
      <c r="H158" s="12" t="n">
        <v>-1.104974729063163</v>
      </c>
      <c r="I158" s="12" t="n">
        <v>-1.209747645876494</v>
      </c>
      <c r="J158" s="12" t="n">
        <v>-0.467147545006998</v>
      </c>
      <c r="K158" s="90" t="n">
        <v>-0.9367830818801103</v>
      </c>
      <c r="L158" s="7" t="n">
        <v>35.74500198702756</v>
      </c>
      <c r="M158" s="14" t="n">
        <v>1.12323760750301</v>
      </c>
      <c r="N158" s="7" t="n">
        <v>-23.26027933167883</v>
      </c>
      <c r="O158" s="7" t="n">
        <v>-0.9198058185665193</v>
      </c>
      <c r="P158" s="7" t="n">
        <v>-0.6507281588659684</v>
      </c>
      <c r="S158" s="99" t="n">
        <v>0.01110444990743997</v>
      </c>
      <c r="U158" s="117">
        <f>C158*S158</f>
        <v/>
      </c>
      <c r="V158" s="117">
        <f>(1+S158)*R157*(1-U158)+S158</f>
        <v/>
      </c>
      <c r="W158" s="117">
        <f>V158+I158/3</f>
        <v/>
      </c>
      <c r="X158" s="117">
        <f>V158+I158/5</f>
        <v/>
      </c>
      <c r="Y158" s="117" t="n"/>
      <c r="AA158" s="117" t="n"/>
    </row>
    <row r="159">
      <c r="B159" t="inlineStr">
        <is>
          <t>pb weighted</t>
        </is>
      </c>
      <c r="C159" s="168" t="n">
        <v>2.46437188921125</v>
      </c>
      <c r="D159" s="90" t="n">
        <v>1.201480206567386</v>
      </c>
      <c r="E159" s="12" t="n">
        <v>0.5124598637781357</v>
      </c>
      <c r="F159" s="90" t="n">
        <v>3.65938670442001</v>
      </c>
      <c r="G159" s="90" t="n">
        <v>0.4849165908929587</v>
      </c>
      <c r="H159" s="12" t="n">
        <v>-0.330954511927837</v>
      </c>
      <c r="I159" s="12" t="n">
        <v>-0.1162853801461023</v>
      </c>
      <c r="J159" s="12" t="n">
        <v>0.03909575428648604</v>
      </c>
      <c r="K159" s="90" t="n">
        <v>3.045731993267564</v>
      </c>
      <c r="L159" s="7" t="n">
        <v>1.201480206567386</v>
      </c>
      <c r="M159" s="14" t="n">
        <v>0.5124598637781357</v>
      </c>
      <c r="N159" s="7" t="n">
        <v>3.65938670442001</v>
      </c>
      <c r="O159" s="7" t="n">
        <v>0.4849165908929587</v>
      </c>
      <c r="P159" s="7" t="n">
        <v>3.045731993267564</v>
      </c>
      <c r="W159" s="117">
        <f>V157+I159/3</f>
        <v/>
      </c>
      <c r="X159" s="117">
        <f>V157+I159/5</f>
        <v/>
      </c>
      <c r="Y159" s="117" t="n"/>
      <c r="AA159" s="117" t="n"/>
    </row>
    <row r="160">
      <c r="B160" t="inlineStr">
        <is>
          <t>pb equal</t>
        </is>
      </c>
      <c r="C160" s="168" t="n">
        <v>2.223917777848043</v>
      </c>
      <c r="D160" s="90" t="n">
        <v>1.265327491300932</v>
      </c>
      <c r="E160" s="12" t="n">
        <v>0.4310367478939278</v>
      </c>
      <c r="F160" s="90" t="n">
        <v>4.535803318076979</v>
      </c>
      <c r="G160" s="90" t="n">
        <v>1.039555312366815</v>
      </c>
      <c r="H160" s="12" t="n">
        <v>-0.2155296274977095</v>
      </c>
      <c r="I160" s="12" t="n">
        <v>-0.03761673947103295</v>
      </c>
      <c r="J160" s="12" t="n">
        <v>0.1844550609728957</v>
      </c>
      <c r="K160" s="90" t="n">
        <v>3.584687244417288</v>
      </c>
      <c r="L160" s="7" t="n">
        <v>1.265327491300932</v>
      </c>
      <c r="M160" s="14" t="n">
        <v>0.4310367478939278</v>
      </c>
      <c r="N160" s="7" t="n">
        <v>2.531864229152353</v>
      </c>
      <c r="O160" s="7" t="n">
        <v>0.138470250281596</v>
      </c>
      <c r="P160" s="7" t="n">
        <v>2.000955678714643</v>
      </c>
      <c r="W160" s="117">
        <f>V158+I160/3</f>
        <v/>
      </c>
      <c r="X160" s="117">
        <f>V158+I160/5</f>
        <v/>
      </c>
      <c r="Y160" s="117" t="n"/>
      <c r="AA160" s="117" t="n"/>
    </row>
    <row r="161">
      <c r="C161" s="101" t="n"/>
      <c r="D161" s="90" t="n"/>
      <c r="F161" s="90" t="n"/>
      <c r="G161" s="90" t="n"/>
      <c r="K161" s="90" t="n"/>
      <c r="L161" s="7" t="n"/>
      <c r="N161" s="7" t="n"/>
      <c r="O161" s="7" t="n"/>
      <c r="P161" s="7" t="n"/>
      <c r="AA161" s="117" t="n"/>
    </row>
    <row r="162">
      <c r="A162" t="inlineStr">
        <is>
          <t>耐用家居用品</t>
        </is>
      </c>
      <c r="B162" t="inlineStr">
        <is>
          <t>pe weighted</t>
        </is>
      </c>
      <c r="C162" s="165" t="n">
        <v>16.02350646020075</v>
      </c>
      <c r="D162" s="90" t="n">
        <v>11.69969229462233</v>
      </c>
      <c r="E162" s="12" t="n">
        <v>0.2698419460383362</v>
      </c>
      <c r="F162" s="90" t="n">
        <v>36.17167569913357</v>
      </c>
      <c r="G162" s="90" t="n">
        <v>1.257413244034751</v>
      </c>
      <c r="H162" s="12" t="n">
        <v>-0.05731300459432753</v>
      </c>
      <c r="I162" s="12" t="n">
        <v>0.1980658136520252</v>
      </c>
      <c r="J162" s="12" t="n">
        <v>0.3431428981786555</v>
      </c>
      <c r="K162" s="90" t="n">
        <v>3.091677523498596</v>
      </c>
      <c r="L162" s="7" t="n">
        <v>11.69969229462233</v>
      </c>
      <c r="M162" s="14" t="n">
        <v>0.2698419460383362</v>
      </c>
      <c r="N162" s="7" t="n">
        <v>36.17167569913357</v>
      </c>
      <c r="O162" s="7" t="n">
        <v>1.257413244034751</v>
      </c>
      <c r="P162" s="7" t="n">
        <v>3.091677523498596</v>
      </c>
      <c r="Q162" s="99" t="n">
        <v>0.1673567784982295</v>
      </c>
      <c r="R162" s="99" t="n">
        <v>0.07075918279619735</v>
      </c>
      <c r="S162" s="99" t="n">
        <v>0.02942569618836949</v>
      </c>
      <c r="U162" s="117">
        <f>C162*S162</f>
        <v/>
      </c>
      <c r="V162" s="117">
        <f>(1+S162)*Q162*(1-U162)+S162</f>
        <v/>
      </c>
      <c r="W162" s="117">
        <f>V162+I162/3</f>
        <v/>
      </c>
      <c r="X162" s="117">
        <f>V162+I162/5</f>
        <v/>
      </c>
      <c r="Y162" s="117" t="n"/>
      <c r="AA162" s="117" t="n"/>
    </row>
    <row r="163">
      <c r="A163" t="inlineStr">
        <is>
          <t>C040201</t>
        </is>
      </c>
      <c r="B163" t="inlineStr">
        <is>
          <t>pe equal</t>
        </is>
      </c>
      <c r="C163" s="166" t="n">
        <v>35.26525088925598</v>
      </c>
      <c r="D163" s="90" t="n">
        <v>23.23337819427</v>
      </c>
      <c r="E163" s="12" t="n">
        <v>0.3411821096288201</v>
      </c>
      <c r="F163" s="90" t="n">
        <v>-13.76005417868328</v>
      </c>
      <c r="G163" s="90" t="n">
        <v>-1.390187332620834</v>
      </c>
      <c r="H163" s="12" t="n">
        <v>-0.05058303428589084</v>
      </c>
      <c r="I163" s="12" t="n">
        <v>0.3078861583390491</v>
      </c>
      <c r="J163" s="12" t="n">
        <v>-2.256690995513603</v>
      </c>
      <c r="K163" s="90" t="n">
        <v>-0.5922536991231391</v>
      </c>
      <c r="L163" s="7" t="n">
        <v>28.34490778552232</v>
      </c>
      <c r="M163" s="14" t="n">
        <v>0.1962368884164676</v>
      </c>
      <c r="N163" s="7" t="n">
        <v>-13.76005417868328</v>
      </c>
      <c r="O163" s="7" t="n">
        <v>-1.390187332620834</v>
      </c>
      <c r="P163" s="7" t="n">
        <v>-0.4854506595259231</v>
      </c>
      <c r="S163" s="99" t="n">
        <v>0.01583807510582168</v>
      </c>
      <c r="U163" s="117">
        <f>C163*S163</f>
        <v/>
      </c>
      <c r="V163" s="117">
        <f>(1+S163)*R162*(1-U163)+S163</f>
        <v/>
      </c>
      <c r="W163" s="117">
        <f>V163+I163/3</f>
        <v/>
      </c>
      <c r="X163" s="117">
        <f>V163+I163/5</f>
        <v/>
      </c>
      <c r="Y163" s="117" t="n"/>
      <c r="AA163" s="117" t="n"/>
    </row>
    <row r="164">
      <c r="B164" t="inlineStr">
        <is>
          <t>pb weighted</t>
        </is>
      </c>
      <c r="C164" s="165" t="n">
        <v>2.681642421424766</v>
      </c>
      <c r="D164" s="90" t="n">
        <v>2.087200936605537</v>
      </c>
      <c r="E164" s="12" t="n">
        <v>0.2216706746842857</v>
      </c>
      <c r="F164" s="90" t="n">
        <v>4.851543616655755</v>
      </c>
      <c r="G164" s="90" t="n">
        <v>0.8091687310339135</v>
      </c>
      <c r="H164" s="12" t="n">
        <v>-0.05365440466683336</v>
      </c>
      <c r="I164" s="12" t="n">
        <v>0.1462285178963301</v>
      </c>
      <c r="J164" s="12" t="n">
        <v>0.3737205284338494</v>
      </c>
      <c r="K164" s="90" t="n">
        <v>2.324425756796532</v>
      </c>
      <c r="L164" s="7" t="n">
        <v>2.171627881290364</v>
      </c>
      <c r="M164" s="14" t="n">
        <v>0.1901873777277994</v>
      </c>
      <c r="N164" s="7" t="n">
        <v>4.616168714365077</v>
      </c>
      <c r="O164" s="7" t="n">
        <v>0.72139606589028</v>
      </c>
      <c r="P164" s="7" t="n">
        <v>2.125672061100167</v>
      </c>
      <c r="W164" s="117">
        <f>V162+I164/3</f>
        <v/>
      </c>
      <c r="X164" s="117">
        <f>V162+I164/5</f>
        <v/>
      </c>
      <c r="Y164" s="117" t="n"/>
      <c r="AA164" s="117" t="n"/>
    </row>
    <row r="165">
      <c r="B165" t="inlineStr">
        <is>
          <t>pb equal</t>
        </is>
      </c>
      <c r="C165" s="165" t="n">
        <v>2.495340334026625</v>
      </c>
      <c r="D165" s="90" t="n">
        <v>1.520247459221516</v>
      </c>
      <c r="E165" s="12" t="n">
        <v>0.3907654845748609</v>
      </c>
      <c r="F165" s="90" t="n">
        <v>8.606460776942912</v>
      </c>
      <c r="G165" s="90" t="n">
        <v>2.449012809829844</v>
      </c>
      <c r="H165" s="12" t="n">
        <v>-0.1126220792266892</v>
      </c>
      <c r="I165" s="12" t="n">
        <v>0.1015175689726344</v>
      </c>
      <c r="J165" s="12" t="n">
        <v>0.3654820998292532</v>
      </c>
      <c r="K165" s="90" t="n">
        <v>5.661223588790003</v>
      </c>
      <c r="L165" s="7" t="n">
        <v>1.520247459221516</v>
      </c>
      <c r="M165" s="14" t="n">
        <v>0.3907654845748609</v>
      </c>
      <c r="N165" s="7" t="n">
        <v>8.606460776942912</v>
      </c>
      <c r="O165" s="7" t="n">
        <v>2.449012809829844</v>
      </c>
      <c r="P165" s="7" t="n">
        <v>5.661223588790003</v>
      </c>
      <c r="W165" s="117">
        <f>V163+I165/3</f>
        <v/>
      </c>
      <c r="X165" s="117">
        <f>V163+I165/5</f>
        <v/>
      </c>
      <c r="Y165" s="117" t="n"/>
      <c r="AA165" s="117" t="n"/>
    </row>
    <row r="166">
      <c r="C166" s="101" t="n"/>
      <c r="D166" s="90" t="n"/>
      <c r="F166" s="90" t="n"/>
      <c r="G166" s="90" t="n"/>
      <c r="K166" s="90" t="n"/>
      <c r="L166" s="7" t="n"/>
      <c r="N166" s="7" t="n"/>
      <c r="O166" s="7" t="n"/>
      <c r="P166" s="7" t="n"/>
      <c r="AA166" s="117" t="n"/>
    </row>
    <row r="167">
      <c r="A167" t="inlineStr">
        <is>
          <t>休闲设备与用品</t>
        </is>
      </c>
      <c r="B167" t="inlineStr">
        <is>
          <t>pe weighted</t>
        </is>
      </c>
      <c r="C167" s="168" t="n">
        <v>37.01192211498022</v>
      </c>
      <c r="D167" s="90" t="n">
        <v>18.76676227151976</v>
      </c>
      <c r="E167" s="12" t="n">
        <v>0.4929535890295172</v>
      </c>
      <c r="F167" s="90" t="n">
        <v>62.05708195609422</v>
      </c>
      <c r="G167" s="90" t="n">
        <v>0.676678173138628</v>
      </c>
      <c r="H167" s="12" t="n">
        <v>-0.3124512999589365</v>
      </c>
      <c r="I167" s="12" t="n">
        <v>-0.1380291760918912</v>
      </c>
      <c r="J167" s="12" t="n">
        <v>0.03111896667004643</v>
      </c>
      <c r="K167" s="90" t="n">
        <v>3.306754839127013</v>
      </c>
      <c r="L167" s="7" t="n">
        <v>18.76676227151976</v>
      </c>
      <c r="M167" s="14" t="n">
        <v>0.4929535890295172</v>
      </c>
      <c r="N167" s="7" t="n">
        <v>40.4790765097998</v>
      </c>
      <c r="O167" s="7" t="n">
        <v>0.09367669109560461</v>
      </c>
      <c r="P167" s="7" t="n">
        <v>2.156955788331715</v>
      </c>
      <c r="Q167" s="99" t="n">
        <v>0.07799567125304967</v>
      </c>
      <c r="R167" s="99" t="n">
        <v>0.01412320022386368</v>
      </c>
      <c r="S167" s="99" t="n">
        <v>0.01481071317207079</v>
      </c>
      <c r="U167" s="117">
        <f>C167*S167</f>
        <v/>
      </c>
      <c r="V167" s="117">
        <f>(1+S167)*Q167*(1-U167)+S167</f>
        <v/>
      </c>
      <c r="W167" s="117">
        <f>V167+I167/3</f>
        <v/>
      </c>
      <c r="X167" s="117">
        <f>V167+I167/5</f>
        <v/>
      </c>
      <c r="Y167" s="117" t="n"/>
      <c r="AA167" s="117" t="n"/>
    </row>
    <row r="168">
      <c r="A168" t="inlineStr">
        <is>
          <t>C040202</t>
        </is>
      </c>
      <c r="B168" t="inlineStr">
        <is>
          <t>pe equal</t>
        </is>
      </c>
      <c r="C168" s="166" t="n">
        <v>156.6897780165069</v>
      </c>
      <c r="D168" s="90" t="n">
        <v>19.38272989758846</v>
      </c>
      <c r="E168" s="12" t="n">
        <v>0.8762986957863548</v>
      </c>
      <c r="F168" s="90" t="n">
        <v>-81.05874809496876</v>
      </c>
      <c r="G168" s="90" t="n">
        <v>-1.517319949782745</v>
      </c>
      <c r="H168" s="12" t="n">
        <v>-0.8174267336620047</v>
      </c>
      <c r="I168" s="12" t="n">
        <v>-0.729151290825278</v>
      </c>
      <c r="J168" s="12" t="n">
        <v>-0.4459044407786638</v>
      </c>
      <c r="K168" s="90" t="n">
        <v>-4.182008856505494</v>
      </c>
      <c r="L168" s="7" t="n">
        <v>19.38272989758846</v>
      </c>
      <c r="M168" s="14" t="n">
        <v>0.8762986957863548</v>
      </c>
      <c r="N168" s="7" t="n">
        <v>-81.05874809496876</v>
      </c>
      <c r="O168" s="7" t="n">
        <v>-1.517319949782745</v>
      </c>
      <c r="P168" s="7" t="n">
        <v>-4.182008856505494</v>
      </c>
      <c r="S168" s="99" t="n">
        <v>0.01232738912924892</v>
      </c>
      <c r="U168" s="117">
        <f>C168*S168</f>
        <v/>
      </c>
      <c r="V168" s="117">
        <f>(1+S168)*R167*(1-U168)+S168</f>
        <v/>
      </c>
      <c r="W168" s="117">
        <f>V168+I168/3</f>
        <v/>
      </c>
      <c r="X168" s="117">
        <f>V168+I168/5</f>
        <v/>
      </c>
      <c r="Y168" s="117" t="n"/>
      <c r="AA168" s="117" t="n"/>
    </row>
    <row r="169">
      <c r="B169" t="inlineStr">
        <is>
          <t>pb weighted</t>
        </is>
      </c>
      <c r="C169" s="165" t="n">
        <v>2.886769709723476</v>
      </c>
      <c r="D169" s="90" t="n">
        <v>2.069339588352179</v>
      </c>
      <c r="E169" s="12" t="n">
        <v>0.2831642990495417</v>
      </c>
      <c r="F169" s="90" t="n">
        <v>5.983802333018161</v>
      </c>
      <c r="G169" s="90" t="n">
        <v>1.072836746506998</v>
      </c>
      <c r="H169" s="12" t="n">
        <v>-0.09970106866348849</v>
      </c>
      <c r="I169" s="12" t="n">
        <v>0.1534407284532384</v>
      </c>
      <c r="J169" s="12" t="n">
        <v>0.565968060499431</v>
      </c>
      <c r="K169" s="90" t="n">
        <v>2.891648314611852</v>
      </c>
      <c r="L169" s="7" t="n">
        <v>2.069339588352179</v>
      </c>
      <c r="M169" s="14" t="n">
        <v>0.2831642990495417</v>
      </c>
      <c r="N169" s="7" t="n">
        <v>4.742886657605361</v>
      </c>
      <c r="O169" s="7" t="n">
        <v>0.6429736814924814</v>
      </c>
      <c r="P169" s="7" t="n">
        <v>2.291980825332847</v>
      </c>
      <c r="W169" s="117">
        <f>V167+I169/3</f>
        <v/>
      </c>
      <c r="X169" s="117">
        <f>V167+I169/5</f>
        <v/>
      </c>
      <c r="Y169" s="117" t="n"/>
      <c r="AA169" s="117" t="n"/>
    </row>
    <row r="170">
      <c r="B170" t="inlineStr">
        <is>
          <t>pb equal</t>
        </is>
      </c>
      <c r="C170" s="165" t="n">
        <v>2.21296110795988</v>
      </c>
      <c r="D170" s="90" t="n">
        <v>1.532843458667306</v>
      </c>
      <c r="E170" s="12" t="n">
        <v>0.3073337560457952</v>
      </c>
      <c r="F170" s="90" t="n">
        <v>6.074772862551886</v>
      </c>
      <c r="G170" s="90" t="n">
        <v>1.745087946056221</v>
      </c>
      <c r="H170" s="12" t="n">
        <v>-0.0622203247649985</v>
      </c>
      <c r="I170" s="12" t="n">
        <v>0.06876047349594305</v>
      </c>
      <c r="J170" s="12" t="n">
        <v>0.8316878784947825</v>
      </c>
      <c r="K170" s="90" t="n">
        <v>3.963074525453143</v>
      </c>
      <c r="L170" s="7" t="n">
        <v>1.532843458667306</v>
      </c>
      <c r="M170" s="14" t="n">
        <v>0.3073337560457952</v>
      </c>
      <c r="N170" s="7" t="n">
        <v>3.589617687319636</v>
      </c>
      <c r="O170" s="7" t="n">
        <v>0.6220880133898468</v>
      </c>
      <c r="P170" s="7" t="n">
        <v>2.341803180893986</v>
      </c>
      <c r="W170" s="117">
        <f>V168+I170/3</f>
        <v/>
      </c>
      <c r="X170" s="117">
        <f>V168+I170/5</f>
        <v/>
      </c>
      <c r="Y170" s="117" t="n"/>
      <c r="AA170" s="117" t="n"/>
    </row>
    <row r="171">
      <c r="C171" s="101" t="n"/>
      <c r="D171" s="90" t="n"/>
      <c r="F171" s="90" t="n"/>
      <c r="G171" s="90" t="n"/>
      <c r="K171" s="90" t="n"/>
      <c r="L171" s="7" t="n"/>
      <c r="N171" s="7" t="n"/>
      <c r="O171" s="7" t="n"/>
      <c r="P171" s="7" t="n"/>
      <c r="AA171" s="117" t="n"/>
    </row>
    <row r="172">
      <c r="A172" t="inlineStr">
        <is>
          <t>服装与配饰</t>
        </is>
      </c>
      <c r="B172" t="inlineStr">
        <is>
          <t>pe weighted</t>
        </is>
      </c>
      <c r="C172" s="165" t="n">
        <v>76.09391654774895</v>
      </c>
      <c r="D172" s="90" t="n">
        <v>32.79064395356983</v>
      </c>
      <c r="E172" s="12" t="n">
        <v>0.5690766694471077</v>
      </c>
      <c r="F172" s="90" t="n">
        <v>-92.99909869747056</v>
      </c>
      <c r="G172" s="90" t="n">
        <v>-2.222162071774997</v>
      </c>
      <c r="H172" s="12" t="n">
        <v>-0.2533305386779392</v>
      </c>
      <c r="I172" s="12" t="n">
        <v>0.03057288631181598</v>
      </c>
      <c r="J172" s="12" t="n">
        <v>0.4456643120929316</v>
      </c>
      <c r="K172" s="90" t="n">
        <v>-2.836147372682079</v>
      </c>
      <c r="L172" s="7" t="n">
        <v>48.15340438275308</v>
      </c>
      <c r="M172" s="14" t="n">
        <v>0.3671845718108515</v>
      </c>
      <c r="N172" s="7" t="n">
        <v>-92.99909869747056</v>
      </c>
      <c r="O172" s="7" t="n">
        <v>-2.222162071774997</v>
      </c>
      <c r="P172" s="7" t="n">
        <v>-1.931308905145234</v>
      </c>
      <c r="Q172" s="99" t="n">
        <v>0.04152413898739765</v>
      </c>
      <c r="R172" s="99" t="n">
        <v>0.04029964545589072</v>
      </c>
      <c r="S172" s="99" t="n">
        <v>0.007795351364430285</v>
      </c>
      <c r="U172" s="117">
        <f>C172*S172</f>
        <v/>
      </c>
      <c r="V172" s="117">
        <f>(1+S172)*Q172*(1-U172)+S172</f>
        <v/>
      </c>
      <c r="W172" s="117">
        <f>V172+I172/3</f>
        <v/>
      </c>
      <c r="X172" s="117">
        <f>V172+I172/5</f>
        <v/>
      </c>
      <c r="Y172" s="117" t="n"/>
      <c r="AA172" s="117" t="n"/>
    </row>
    <row r="173">
      <c r="A173" t="inlineStr">
        <is>
          <t>C040203</t>
        </is>
      </c>
      <c r="B173" t="inlineStr">
        <is>
          <t>pe equal</t>
        </is>
      </c>
      <c r="C173" s="165" t="n">
        <v>70.0959473314374</v>
      </c>
      <c r="D173" s="90" t="n">
        <v>26.71843181241814</v>
      </c>
      <c r="E173" s="12" t="n">
        <v>0.618830576808038</v>
      </c>
      <c r="F173" s="90" t="n">
        <v>-101.935436876875</v>
      </c>
      <c r="G173" s="90" t="n">
        <v>-2.45422725218178</v>
      </c>
      <c r="H173" s="12" t="n">
        <v>-0.167089698104023</v>
      </c>
      <c r="I173" s="12" t="n">
        <v>0.3606300142490109</v>
      </c>
      <c r="J173" s="12" t="n">
        <v>2.716007466733087</v>
      </c>
      <c r="K173" s="90" t="n">
        <v>-3.81517289609406</v>
      </c>
      <c r="L173" s="7" t="n">
        <v>50.06079402812406</v>
      </c>
      <c r="M173" s="14" t="n">
        <v>0.2858247026547819</v>
      </c>
      <c r="N173" s="7" t="n">
        <v>-101.935436876875</v>
      </c>
      <c r="O173" s="7" t="n">
        <v>-2.45422725218178</v>
      </c>
      <c r="P173" s="7" t="n">
        <v>-2.036232921507554</v>
      </c>
      <c r="S173" s="99" t="n">
        <v>0.009038775026427318</v>
      </c>
      <c r="U173" s="117">
        <f>C173*S173</f>
        <v/>
      </c>
      <c r="V173" s="117">
        <f>(1+S173)*R172*(1-U173)+S173</f>
        <v/>
      </c>
      <c r="W173" s="117">
        <f>V173+I173/3</f>
        <v/>
      </c>
      <c r="X173" s="117">
        <f>V173+I173/5</f>
        <v/>
      </c>
      <c r="Y173" s="117" t="n"/>
      <c r="AA173" s="117" t="n"/>
    </row>
    <row r="174">
      <c r="B174" t="inlineStr">
        <is>
          <t>pb weighted</t>
        </is>
      </c>
      <c r="C174" s="165" t="n">
        <v>3.159734366824166</v>
      </c>
      <c r="D174" s="90" t="n">
        <v>1.868371958477</v>
      </c>
      <c r="E174" s="12" t="n">
        <v>0.4086933452083531</v>
      </c>
      <c r="F174" s="90" t="n">
        <v>12.8076300496406</v>
      </c>
      <c r="G174" s="90" t="n">
        <v>3.053388216463742</v>
      </c>
      <c r="H174" s="12" t="n">
        <v>-0.06885152307466047</v>
      </c>
      <c r="I174" s="12" t="n">
        <v>0.2386652675217027</v>
      </c>
      <c r="J174" s="12" t="n">
        <v>0.8609478547411231</v>
      </c>
      <c r="K174" s="90" t="n">
        <v>6.854968033282149</v>
      </c>
      <c r="L174" s="7" t="n">
        <v>1.868371958477</v>
      </c>
      <c r="M174" s="14" t="n">
        <v>0.4086933452083531</v>
      </c>
      <c r="N174" s="7" t="n">
        <v>4.537094697817722</v>
      </c>
      <c r="O174" s="7" t="n">
        <v>0.4359101655681059</v>
      </c>
      <c r="P174" s="7" t="n">
        <v>2.428368011643745</v>
      </c>
      <c r="W174" s="117">
        <f>V172+I174/3</f>
        <v/>
      </c>
      <c r="X174" s="117">
        <f>V172+I174/5</f>
        <v/>
      </c>
      <c r="Y174" s="117" t="n"/>
      <c r="AA174" s="117" t="n"/>
    </row>
    <row r="175">
      <c r="B175" t="inlineStr">
        <is>
          <t>pb equal</t>
        </is>
      </c>
      <c r="C175" s="165" t="n">
        <v>2.824841825351717</v>
      </c>
      <c r="D175" s="90" t="n">
        <v>1.934928239790585</v>
      </c>
      <c r="E175" s="12" t="n">
        <v>0.3150312975312628</v>
      </c>
      <c r="F175" s="90" t="n">
        <v>11.37861751239748</v>
      </c>
      <c r="G175" s="90" t="n">
        <v>3.02805474284591</v>
      </c>
      <c r="H175" s="12" t="n">
        <v>-0.0412203262173344</v>
      </c>
      <c r="I175" s="12" t="n">
        <v>0.1546752226994879</v>
      </c>
      <c r="J175" s="12" t="n">
        <v>0.9896383140801881</v>
      </c>
      <c r="K175" s="90" t="n">
        <v>5.88064057281472</v>
      </c>
      <c r="L175" s="7" t="n">
        <v>1.934928239790585</v>
      </c>
      <c r="M175" s="14" t="n">
        <v>0.3150312975312628</v>
      </c>
      <c r="N175" s="7" t="n">
        <v>3.502647005381565</v>
      </c>
      <c r="O175" s="7" t="n">
        <v>0.2399444719158585</v>
      </c>
      <c r="P175" s="7" t="n">
        <v>1.810220623872156</v>
      </c>
      <c r="W175" s="117">
        <f>V173+I175/3</f>
        <v/>
      </c>
      <c r="X175" s="117">
        <f>V173+I175/5</f>
        <v/>
      </c>
      <c r="Y175" s="117" t="n"/>
      <c r="AA175" s="117" t="n"/>
    </row>
    <row r="176">
      <c r="C176" s="101" t="n"/>
      <c r="D176" s="90" t="n"/>
      <c r="F176" s="90" t="n"/>
      <c r="G176" s="90" t="n"/>
      <c r="K176" s="90" t="n"/>
      <c r="L176" s="7" t="n"/>
      <c r="N176" s="7" t="n"/>
      <c r="O176" s="7" t="n"/>
      <c r="P176" s="7" t="n"/>
      <c r="AA176" s="117" t="n"/>
    </row>
    <row r="177">
      <c r="A177" t="inlineStr">
        <is>
          <t>纺织品</t>
        </is>
      </c>
      <c r="B177" t="inlineStr">
        <is>
          <t>pe weighted</t>
        </is>
      </c>
      <c r="C177" s="168" t="n">
        <v>40.0279011363348</v>
      </c>
      <c r="D177" s="90" t="n">
        <v>15.24417329175786</v>
      </c>
      <c r="E177" s="12" t="n">
        <v>0.6191613135088874</v>
      </c>
      <c r="F177" s="90" t="n">
        <v>-15.76316717593058</v>
      </c>
      <c r="G177" s="90" t="n">
        <v>-1.393804489579439</v>
      </c>
      <c r="H177" s="12" t="n">
        <v>-0.3774910372853079</v>
      </c>
      <c r="I177" s="12" t="n">
        <v>-0.002419540250560903</v>
      </c>
      <c r="J177" s="12" t="n">
        <v>11.95723128401933</v>
      </c>
      <c r="K177" s="90" t="n">
        <v>-1.034045393885238</v>
      </c>
      <c r="L177" s="7" t="n">
        <v>19.82559355950098</v>
      </c>
      <c r="M177" s="14" t="n">
        <v>0.5047056428970602</v>
      </c>
      <c r="N177" s="7" t="n">
        <v>-15.76316717593058</v>
      </c>
      <c r="O177" s="7" t="n">
        <v>-1.393804489579439</v>
      </c>
      <c r="P177" s="7" t="n">
        <v>-0.7950918154668027</v>
      </c>
      <c r="Q177" s="99" t="n">
        <v>0.049199719833799</v>
      </c>
      <c r="R177" s="99" t="n">
        <v>-0.05523199761909126</v>
      </c>
      <c r="S177" s="99" t="n">
        <v>0.02931737941187964</v>
      </c>
      <c r="U177" s="117">
        <f>C177*S177</f>
        <v/>
      </c>
      <c r="V177" s="117">
        <f>(1+S177)*Q177*(1-U177)+S177</f>
        <v/>
      </c>
      <c r="W177" s="117">
        <f>V177+I177/3</f>
        <v/>
      </c>
      <c r="X177" s="117">
        <f>V177+I177/5</f>
        <v/>
      </c>
      <c r="Y177" s="117" t="n"/>
      <c r="AA177" s="117" t="n"/>
    </row>
    <row r="178">
      <c r="A178" t="inlineStr">
        <is>
          <t>C040301</t>
        </is>
      </c>
      <c r="B178" t="inlineStr">
        <is>
          <t>pe equal</t>
        </is>
      </c>
      <c r="C178" s="167" t="n">
        <v>-35.50889877265826</v>
      </c>
      <c r="D178" s="90" t="n">
        <v>19.49774513427822</v>
      </c>
      <c r="E178" s="12" t="n">
        <v>1.549094615947128</v>
      </c>
      <c r="F178" s="90" t="n">
        <v>-2.066629037123646</v>
      </c>
      <c r="G178" s="90" t="n">
        <v>-0.9417996865981396</v>
      </c>
      <c r="H178" s="12" t="n">
        <v>-1.886665572174369</v>
      </c>
      <c r="I178" s="12" t="n">
        <v>-2.76344387943255</v>
      </c>
      <c r="J178" s="12" t="n">
        <v>-0.5369066219239718</v>
      </c>
      <c r="K178" s="90" t="n">
        <v>-0.1059932326990154</v>
      </c>
      <c r="L178" s="7" t="n">
        <v>25.51560798071495</v>
      </c>
      <c r="M178" s="14" t="n">
        <v>1.718569397042577</v>
      </c>
      <c r="N178" s="7" t="n">
        <v>-2.066629037123646</v>
      </c>
      <c r="O178" s="7" t="n">
        <v>-0.9417996865981396</v>
      </c>
      <c r="P178" s="7" t="n">
        <v>-0.08099470091740056</v>
      </c>
      <c r="S178" s="99" t="n">
        <v>0.01865271916546853</v>
      </c>
      <c r="U178" s="117">
        <f>C178*S178</f>
        <v/>
      </c>
      <c r="V178" s="117">
        <f>(1+S178)*R177*(1-U178)+S178</f>
        <v/>
      </c>
      <c r="W178" s="117">
        <f>V178+I178/3</f>
        <v/>
      </c>
      <c r="X178" s="117">
        <f>V178+I178/5</f>
        <v/>
      </c>
      <c r="Y178" s="117" t="n"/>
      <c r="AA178" s="117" t="n"/>
    </row>
    <row r="179">
      <c r="B179" t="inlineStr">
        <is>
          <t>pb weighted</t>
        </is>
      </c>
      <c r="C179" s="165" t="n">
        <v>1.969361521442677</v>
      </c>
      <c r="D179" s="90" t="n">
        <v>1.557575412521701</v>
      </c>
      <c r="E179" s="12" t="n">
        <v>0.2090962499456767</v>
      </c>
      <c r="F179" s="90" t="n">
        <v>6.829533374368419</v>
      </c>
      <c r="G179" s="90" t="n">
        <v>2.467892156928795</v>
      </c>
      <c r="H179" s="12" t="n">
        <v>-0.03241130199473219</v>
      </c>
      <c r="I179" s="12" t="n">
        <v>0.1380711652948523</v>
      </c>
      <c r="J179" s="12" t="n">
        <v>0.8068572439085919</v>
      </c>
      <c r="K179" s="90" t="n">
        <v>4.384720842062769</v>
      </c>
      <c r="L179" s="7" t="n">
        <v>1.557575412521701</v>
      </c>
      <c r="M179" s="14" t="n">
        <v>0.2090962499456767</v>
      </c>
      <c r="N179" s="7" t="n">
        <v>3.26597133129603</v>
      </c>
      <c r="O179" s="7" t="n">
        <v>0.658390953481973</v>
      </c>
      <c r="P179" s="7" t="n">
        <v>2.096830307566586</v>
      </c>
      <c r="W179" s="117">
        <f>V177+I179/3</f>
        <v/>
      </c>
      <c r="X179" s="117">
        <f>V177+I179/5</f>
        <v/>
      </c>
      <c r="Y179" s="117" t="n"/>
      <c r="AA179" s="117" t="n"/>
    </row>
    <row r="180">
      <c r="B180" t="inlineStr">
        <is>
          <t>pb equal</t>
        </is>
      </c>
      <c r="C180" s="165" t="n">
        <v>1.961227412468013</v>
      </c>
      <c r="D180" s="90" t="n">
        <v>1.325329023521066</v>
      </c>
      <c r="E180" s="12" t="n">
        <v>0.3242349076422155</v>
      </c>
      <c r="F180" s="90" t="n">
        <v>6.430806346143569</v>
      </c>
      <c r="G180" s="90" t="n">
        <v>2.278970253659176</v>
      </c>
      <c r="H180" s="12" t="n">
        <v>-0.0620760240711995</v>
      </c>
      <c r="I180" s="12" t="n">
        <v>0.08794815890655383</v>
      </c>
      <c r="J180" s="12" t="n">
        <v>0.8102340358348141</v>
      </c>
      <c r="K180" s="90" t="n">
        <v>4.852233846851505</v>
      </c>
      <c r="L180" s="7" t="n">
        <v>1.325329023521066</v>
      </c>
      <c r="M180" s="14" t="n">
        <v>0.3242349076422155</v>
      </c>
      <c r="N180" s="7" t="n">
        <v>2.653114265544545</v>
      </c>
      <c r="O180" s="7" t="n">
        <v>0.3527825731366157</v>
      </c>
      <c r="P180" s="7" t="n">
        <v>2.001853289604938</v>
      </c>
      <c r="W180" s="117">
        <f>V178+I180/3</f>
        <v/>
      </c>
      <c r="X180" s="117">
        <f>V178+I180/5</f>
        <v/>
      </c>
      <c r="Y180" s="117" t="n"/>
      <c r="AA180" s="117" t="n"/>
    </row>
    <row r="181">
      <c r="C181" s="101" t="n"/>
      <c r="D181" s="90" t="n"/>
      <c r="F181" s="90" t="n"/>
      <c r="G181" s="90" t="n"/>
      <c r="K181" s="90" t="n"/>
      <c r="L181" s="7" t="n"/>
      <c r="N181" s="7" t="n"/>
      <c r="O181" s="7" t="n"/>
      <c r="P181" s="7" t="n"/>
      <c r="AA181" s="117" t="n"/>
    </row>
    <row r="182">
      <c r="A182" s="128" t="inlineStr">
        <is>
          <t>酒店餐饮与休闲</t>
        </is>
      </c>
      <c r="B182" t="inlineStr">
        <is>
          <t>pe weighted</t>
        </is>
      </c>
      <c r="C182" s="165" t="n">
        <v>23.9846723021717</v>
      </c>
      <c r="D182" s="90" t="n">
        <v>16.82654621773571</v>
      </c>
      <c r="E182" s="12" t="n">
        <v>0.298445857181374</v>
      </c>
      <c r="F182" s="90" t="n">
        <v>109.7630079890877</v>
      </c>
      <c r="G182" s="90" t="n">
        <v>3.576381390841397</v>
      </c>
      <c r="H182" s="12" t="n">
        <v>-0.02531033436100272</v>
      </c>
      <c r="I182" s="12" t="n">
        <v>0.5851915113957913</v>
      </c>
      <c r="J182" s="12" t="n">
        <v>1.591702631375161</v>
      </c>
      <c r="K182" s="90" t="n">
        <v>6.523204855515387</v>
      </c>
      <c r="L182" s="7" t="n">
        <v>16.82654621773571</v>
      </c>
      <c r="M182" s="14" t="n">
        <v>0.298445857181374</v>
      </c>
      <c r="N182" s="7" t="n">
        <v>109.7630079890877</v>
      </c>
      <c r="O182" s="7" t="n">
        <v>3.576381390841397</v>
      </c>
      <c r="P182" s="7" t="n">
        <v>6.523204855515387</v>
      </c>
      <c r="Q182" s="99" t="n">
        <v>0.0721543992552679</v>
      </c>
      <c r="R182" s="99" t="n">
        <v>0.04473526507324233</v>
      </c>
      <c r="S182" s="99" t="n">
        <v>0.02097471869803481</v>
      </c>
      <c r="U182" s="117">
        <f>C182*S182</f>
        <v/>
      </c>
      <c r="V182" s="117">
        <f>(1+S182)*Q182*(1-U182)+S182</f>
        <v/>
      </c>
      <c r="W182" s="117">
        <f>V182+I182/3</f>
        <v/>
      </c>
      <c r="X182" s="117">
        <f>V182+I182/5</f>
        <v/>
      </c>
      <c r="Y182" s="117" t="n"/>
      <c r="AA182" s="117" t="n"/>
    </row>
    <row r="183">
      <c r="A183" t="inlineStr">
        <is>
          <t>C040302</t>
        </is>
      </c>
      <c r="B183" t="inlineStr">
        <is>
          <t>pe equal</t>
        </is>
      </c>
      <c r="C183" s="165" t="n">
        <v>36.32944254623156</v>
      </c>
      <c r="D183" s="90" t="n">
        <v>20.96767426922755</v>
      </c>
      <c r="E183" s="12" t="n">
        <v>0.422846242615894</v>
      </c>
      <c r="F183" s="90" t="n">
        <v>-322.1925512493665</v>
      </c>
      <c r="G183" s="90" t="n">
        <v>-9.868634602343697</v>
      </c>
      <c r="H183" s="12" t="n">
        <v>-0.1540248538841653</v>
      </c>
      <c r="I183" s="12" t="n">
        <v>0.7821642476103439</v>
      </c>
      <c r="J183" s="12" t="n">
        <v>1.778355986299101</v>
      </c>
      <c r="K183" s="90" t="n">
        <v>-15.36615587939674</v>
      </c>
      <c r="L183" s="7" t="n">
        <v>20.96767426922755</v>
      </c>
      <c r="M183" s="14" t="n">
        <v>0.422846242615894</v>
      </c>
      <c r="N183" s="7" t="n">
        <v>-322.1925512493665</v>
      </c>
      <c r="O183" s="7" t="n">
        <v>-9.868634602343697</v>
      </c>
      <c r="P183" s="7" t="n">
        <v>-15.36615587939674</v>
      </c>
      <c r="S183" s="99" t="n">
        <v>0.01678416562888462</v>
      </c>
      <c r="U183" s="117">
        <f>C183*S183</f>
        <v/>
      </c>
      <c r="V183" s="117">
        <f>(1+S183)*R182*(1-U183)+S183</f>
        <v/>
      </c>
      <c r="W183" s="117">
        <f>V183+I183/3</f>
        <v/>
      </c>
      <c r="X183" s="117">
        <f>V183+I183/5</f>
        <v/>
      </c>
      <c r="Y183" s="117" t="n"/>
      <c r="AA183" s="117" t="n"/>
    </row>
    <row r="184">
      <c r="B184" t="inlineStr">
        <is>
          <t>pb weighted</t>
        </is>
      </c>
      <c r="C184" s="167" t="n">
        <v>1.730599621297662</v>
      </c>
      <c r="D184" s="90" t="n">
        <v>1.468695643190482</v>
      </c>
      <c r="E184" s="12" t="n">
        <v>0.1513371289835348</v>
      </c>
      <c r="F184" s="90" t="n">
        <v>6.00993804297097</v>
      </c>
      <c r="G184" s="90" t="n">
        <v>2.472748964584029</v>
      </c>
      <c r="H184" s="12" t="n">
        <v>0.007898320292348382</v>
      </c>
      <c r="I184" s="12" t="n">
        <v>0.1811820434020712</v>
      </c>
      <c r="J184" s="12" t="n">
        <v>0.7796493794905883</v>
      </c>
      <c r="K184" s="90" t="n">
        <v>4.092024151386084</v>
      </c>
      <c r="L184" s="7" t="n">
        <v>1.468695643190482</v>
      </c>
      <c r="M184" s="14" t="n">
        <v>0.1513371289835348</v>
      </c>
      <c r="N184" s="7" t="n">
        <v>2.348201710265744</v>
      </c>
      <c r="O184" s="7" t="n">
        <v>0.356871734725668</v>
      </c>
      <c r="P184" s="7" t="n">
        <v>1.59883480362527</v>
      </c>
      <c r="W184" s="117">
        <f>V182+I184/3</f>
        <v/>
      </c>
      <c r="X184" s="117">
        <f>V182+I184/5</f>
        <v/>
      </c>
      <c r="Y184" s="117" t="n"/>
      <c r="AA184" s="117" t="n"/>
    </row>
    <row r="185">
      <c r="B185" t="inlineStr">
        <is>
          <t>pb equal</t>
        </is>
      </c>
      <c r="C185" s="167" t="n">
        <v>1.625207242268797</v>
      </c>
      <c r="D185" s="90" t="n">
        <v>1.335373824321052</v>
      </c>
      <c r="E185" s="12" t="n">
        <v>0.1783362825427334</v>
      </c>
      <c r="F185" s="90" t="n">
        <v>6.006395248121867</v>
      </c>
      <c r="G185" s="90" t="n">
        <v>2.695771894135121</v>
      </c>
      <c r="H185" s="12" t="n">
        <v>0.003692126935008311</v>
      </c>
      <c r="I185" s="12" t="n">
        <v>0.2852744841088481</v>
      </c>
      <c r="J185" s="12" t="n">
        <v>1.011100686136888</v>
      </c>
      <c r="K185" s="90" t="n">
        <v>4.497912972927798</v>
      </c>
      <c r="L185" s="7" t="n">
        <v>1.335373824321052</v>
      </c>
      <c r="M185" s="14" t="n">
        <v>0.1783362825427334</v>
      </c>
      <c r="N185" s="7" t="n">
        <v>2.462997674588926</v>
      </c>
      <c r="O185" s="7" t="n">
        <v>0.5154975996480113</v>
      </c>
      <c r="P185" s="7" t="n">
        <v>1.844425605572428</v>
      </c>
      <c r="W185" s="117">
        <f>V183+I185/3</f>
        <v/>
      </c>
      <c r="X185" s="117">
        <f>V183+I185/5</f>
        <v/>
      </c>
      <c r="Y185" s="117" t="n"/>
      <c r="AA185" s="117" t="n"/>
    </row>
    <row r="186">
      <c r="C186" s="101" t="n"/>
      <c r="D186" s="90" t="n"/>
      <c r="F186" s="90" t="n"/>
      <c r="G186" s="90" t="n"/>
      <c r="K186" s="90" t="n"/>
      <c r="L186" s="7" t="n"/>
      <c r="N186" s="7" t="n"/>
      <c r="O186" s="7" t="n"/>
      <c r="P186" s="7" t="n"/>
      <c r="AA186" s="117" t="n"/>
    </row>
    <row r="187">
      <c r="A187" t="inlineStr">
        <is>
          <t>其他消费者服务</t>
        </is>
      </c>
      <c r="B187" t="inlineStr">
        <is>
          <t>pe weighted</t>
        </is>
      </c>
      <c r="C187" s="166" t="n">
        <v>37.42758695732262</v>
      </c>
      <c r="D187" s="90" t="n">
        <v>15.30354211391464</v>
      </c>
      <c r="E187" s="12" t="n">
        <v>0.5911159826743644</v>
      </c>
      <c r="F187" s="90" t="n">
        <v>40.26709949570945</v>
      </c>
      <c r="G187" s="90" t="n">
        <v>0.07586683431193753</v>
      </c>
      <c r="H187" s="12" t="n">
        <v>-0.5019257751567712</v>
      </c>
      <c r="I187" s="12" t="n">
        <v>-0.4474938002943308</v>
      </c>
      <c r="J187" s="12" t="n">
        <v>-0.1921554291914068</v>
      </c>
      <c r="K187" s="90" t="n">
        <v>2.631227411012047</v>
      </c>
      <c r="L187" s="7" t="n">
        <v>15.30354211391464</v>
      </c>
      <c r="M187" s="14" t="n">
        <v>0.5911159826743644</v>
      </c>
      <c r="N187" s="7" t="n">
        <v>40.26709949570945</v>
      </c>
      <c r="O187" s="7" t="n">
        <v>0.07586683431193753</v>
      </c>
      <c r="P187" s="7" t="n">
        <v>2.631227411012047</v>
      </c>
      <c r="Q187" s="99" t="n">
        <v>0.07251074473781108</v>
      </c>
      <c r="R187" s="99" t="n">
        <v>-0.183400371499167</v>
      </c>
      <c r="S187" s="99" t="n">
        <v>0.02539659620930769</v>
      </c>
      <c r="U187" s="117">
        <f>C187*S187</f>
        <v/>
      </c>
      <c r="V187" s="117">
        <f>(1+S187)*Q187*(1-U187)+S187</f>
        <v/>
      </c>
      <c r="W187" s="117">
        <f>V187+I187/3</f>
        <v/>
      </c>
      <c r="X187" s="117">
        <f>V187+I187/5</f>
        <v/>
      </c>
      <c r="Y187" s="117" t="n"/>
      <c r="AA187" s="117" t="n"/>
    </row>
    <row r="188">
      <c r="A188" t="inlineStr">
        <is>
          <t>C040303</t>
        </is>
      </c>
      <c r="B188" t="inlineStr">
        <is>
          <t>pe equal</t>
        </is>
      </c>
      <c r="C188" s="166" t="n">
        <v>-13.85987544777605</v>
      </c>
      <c r="D188" s="90" t="n">
        <v>20.50300326113709</v>
      </c>
      <c r="E188" s="12" t="n">
        <v>2.479306458300604</v>
      </c>
      <c r="F188" s="90" t="n">
        <v>-13.04013813905179</v>
      </c>
      <c r="G188" s="90" t="n">
        <v>-0.05914463746900389</v>
      </c>
      <c r="H188" s="12" t="n">
        <v>-2.626378672014656</v>
      </c>
      <c r="I188" s="12" t="n">
        <v>-2.821354057106662</v>
      </c>
      <c r="J188" s="12" t="n">
        <v>0.4487227738718325</v>
      </c>
      <c r="K188" s="90" t="n">
        <v>-0.6360111234908219</v>
      </c>
      <c r="L188" s="7" t="n">
        <v>20.50300326113709</v>
      </c>
      <c r="M188" s="14" t="n">
        <v>2.479306458300604</v>
      </c>
      <c r="N188" s="7" t="n">
        <v>-13.04013813905179</v>
      </c>
      <c r="O188" s="7" t="n">
        <v>-0.05914463746900389</v>
      </c>
      <c r="P188" s="7" t="n">
        <v>-0.6360111234908219</v>
      </c>
      <c r="S188" s="99" t="n">
        <v>0.01529950855238732</v>
      </c>
      <c r="U188" s="117">
        <f>C188*S188</f>
        <v/>
      </c>
      <c r="V188" s="117">
        <f>(1+S188)*R187*(1-U188)+S188</f>
        <v/>
      </c>
      <c r="W188" s="117">
        <f>V188+I188/3</f>
        <v/>
      </c>
      <c r="X188" s="117">
        <f>V188+I188/5</f>
        <v/>
      </c>
      <c r="Y188" s="117" t="n"/>
      <c r="AA188" s="117" t="n"/>
    </row>
    <row r="189">
      <c r="B189" t="inlineStr">
        <is>
          <t>pb weighted</t>
        </is>
      </c>
      <c r="C189" s="165" t="n">
        <v>2.713902204014648</v>
      </c>
      <c r="D189" s="90" t="n">
        <v>2.10629991289353</v>
      </c>
      <c r="E189" s="12" t="n">
        <v>0.223885109132635</v>
      </c>
      <c r="F189" s="90" t="n">
        <v>3.98858138196316</v>
      </c>
      <c r="G189" s="90" t="n">
        <v>0.4696850078322248</v>
      </c>
      <c r="H189" s="12" t="n">
        <v>-0.03483211486668547</v>
      </c>
      <c r="I189" s="12" t="n">
        <v>0.0969995448091554</v>
      </c>
      <c r="J189" s="12" t="n">
        <v>0.2338750536627454</v>
      </c>
      <c r="K189" s="90" t="n">
        <v>1.893643615302555</v>
      </c>
      <c r="L189" s="7" t="n">
        <v>2.10629991289353</v>
      </c>
      <c r="M189" s="14" t="n">
        <v>0.223885109132635</v>
      </c>
      <c r="N189" s="7" t="n">
        <v>3.98858138196316</v>
      </c>
      <c r="O189" s="7" t="n">
        <v>0.4696850078322248</v>
      </c>
      <c r="P189" s="7" t="n">
        <v>1.893643615302555</v>
      </c>
      <c r="W189" s="117">
        <f>V187+I189/3</f>
        <v/>
      </c>
      <c r="X189" s="117">
        <f>V187+I189/5</f>
        <v/>
      </c>
      <c r="Y189" s="117" t="n"/>
      <c r="AA189" s="117" t="n"/>
    </row>
    <row r="190">
      <c r="B190" t="inlineStr">
        <is>
          <t>pb equal</t>
        </is>
      </c>
      <c r="C190" s="166" t="n">
        <v>2.54190630605431</v>
      </c>
      <c r="D190" s="90" t="n">
        <v>1.511480626639532</v>
      </c>
      <c r="E190" s="12" t="n">
        <v>0.4053751615315292</v>
      </c>
      <c r="F190" s="90" t="n">
        <v>2.628542765734186</v>
      </c>
      <c r="G190" s="90" t="n">
        <v>0.0340832624214058</v>
      </c>
      <c r="H190" s="12" t="n">
        <v>-0.2772103447619265</v>
      </c>
      <c r="I190" s="12" t="n">
        <v>-0.1787234071082449</v>
      </c>
      <c r="J190" s="12" t="n">
        <v>-0.09634886976626111</v>
      </c>
      <c r="K190" s="90" t="n">
        <v>1.739051575922752</v>
      </c>
      <c r="L190" s="7" t="n">
        <v>1.511480626639532</v>
      </c>
      <c r="M190" s="14" t="n">
        <v>0.4053751615315292</v>
      </c>
      <c r="N190" s="7" t="n">
        <v>2.628542765734186</v>
      </c>
      <c r="O190" s="7" t="n">
        <v>0.0340832624214058</v>
      </c>
      <c r="P190" s="7" t="n">
        <v>1.739051575922752</v>
      </c>
      <c r="W190" s="117">
        <f>V188+I190/3</f>
        <v/>
      </c>
      <c r="X190" s="117">
        <f>V188+I190/5</f>
        <v/>
      </c>
      <c r="Y190" s="117" t="n"/>
      <c r="AA190" s="117" t="n"/>
    </row>
    <row r="191">
      <c r="C191" s="101" t="n"/>
      <c r="D191" s="90" t="n"/>
      <c r="F191" s="90" t="n"/>
      <c r="G191" s="90" t="n"/>
      <c r="K191" s="90" t="n"/>
      <c r="L191" s="7" t="n"/>
      <c r="N191" s="7" t="n"/>
      <c r="O191" s="7" t="n"/>
      <c r="P191" s="7" t="n"/>
      <c r="AA191" s="117" t="n"/>
    </row>
    <row r="192">
      <c r="A192" s="33" t="inlineStr">
        <is>
          <t>传媒</t>
        </is>
      </c>
      <c r="B192" t="inlineStr">
        <is>
          <t>pe weighted</t>
        </is>
      </c>
      <c r="C192" s="166" t="n">
        <v>284.1771630797428</v>
      </c>
      <c r="D192" s="90" t="n">
        <v>15.44757659528975</v>
      </c>
      <c r="E192" s="12" t="n">
        <v>0.9456410345297345</v>
      </c>
      <c r="F192" s="90" t="n">
        <v>322.9066165798028</v>
      </c>
      <c r="G192" s="90" t="n">
        <v>0.1362862978866186</v>
      </c>
      <c r="H192" s="12" t="n">
        <v>-0.9205707589197814</v>
      </c>
      <c r="I192" s="12" t="n">
        <v>-0.8891713455201581</v>
      </c>
      <c r="J192" s="12" t="n">
        <v>-0.8306152246403549</v>
      </c>
      <c r="K192" s="90" t="n">
        <v>20.90338342638567</v>
      </c>
      <c r="L192" s="7" t="n">
        <v>15.44757659528975</v>
      </c>
      <c r="M192" s="14" t="n">
        <v>0.9456410345297345</v>
      </c>
      <c r="N192" s="7" t="n">
        <v>322.9066165798028</v>
      </c>
      <c r="O192" s="7" t="n">
        <v>0.1362862978866186</v>
      </c>
      <c r="P192" s="7" t="n">
        <v>20.90338342638567</v>
      </c>
      <c r="Q192" s="99" t="n">
        <v>0.01290196181897392</v>
      </c>
      <c r="R192" s="99" t="n">
        <v>-0.07441749673701996</v>
      </c>
      <c r="S192" s="99" t="n">
        <v>0.005776025315748493</v>
      </c>
      <c r="U192" s="117">
        <f>C192*S192</f>
        <v/>
      </c>
      <c r="V192" s="117">
        <f>(1+S192)*Q192*(1-U192)+S192</f>
        <v/>
      </c>
      <c r="W192" s="117">
        <f>V192+I192/3</f>
        <v/>
      </c>
      <c r="X192" s="117">
        <f>V192+I192/5</f>
        <v/>
      </c>
      <c r="Y192" s="117" t="n"/>
      <c r="AA192" s="36" t="n"/>
    </row>
    <row r="193">
      <c r="A193" t="inlineStr">
        <is>
          <t>C040401</t>
        </is>
      </c>
      <c r="B193" t="inlineStr">
        <is>
          <t>pe equal</t>
        </is>
      </c>
      <c r="C193" s="166" t="n">
        <v>-39.13225728026077</v>
      </c>
      <c r="D193" s="90" t="n">
        <v>16.43829334953029</v>
      </c>
      <c r="E193" s="12" t="n">
        <v>1.420070154190215</v>
      </c>
      <c r="F193" s="90" t="n">
        <v>-17.43295223271735</v>
      </c>
      <c r="G193" s="90" t="n">
        <v>-0.554511969297745</v>
      </c>
      <c r="H193" s="12" t="n">
        <v>-2.044498647988219</v>
      </c>
      <c r="I193" s="12" t="n">
        <v>-2.759369982162066</v>
      </c>
      <c r="J193" s="12" t="n">
        <v>1.480365975578573</v>
      </c>
      <c r="K193" s="90" t="n">
        <v>-1.060508646611753</v>
      </c>
      <c r="L193" s="7" t="n">
        <v>25.03799257311822</v>
      </c>
      <c r="M193" s="14" t="n">
        <v>1.639830010157578</v>
      </c>
      <c r="N193" s="7" t="n">
        <v>-17.43295223271735</v>
      </c>
      <c r="O193" s="7" t="n">
        <v>-0.554511969297745</v>
      </c>
      <c r="P193" s="7" t="n">
        <v>-0.6962599809792283</v>
      </c>
      <c r="S193" s="99" t="n">
        <v>0.002458402717545812</v>
      </c>
      <c r="U193" s="117">
        <f>C193*S193</f>
        <v/>
      </c>
      <c r="V193" s="117">
        <f>(1+S193)*R192*(1-U193)+S193</f>
        <v/>
      </c>
      <c r="W193" s="117">
        <f>V193+I193/3</f>
        <v/>
      </c>
      <c r="X193" s="117">
        <f>V193+I193/5</f>
        <v/>
      </c>
      <c r="Y193" s="117" t="n"/>
      <c r="AA193" s="117" t="n"/>
    </row>
    <row r="194">
      <c r="B194" t="inlineStr">
        <is>
          <t>pb weighted</t>
        </is>
      </c>
      <c r="C194" s="168" t="n">
        <v>3.666442907879166</v>
      </c>
      <c r="D194" s="90" t="n">
        <v>2.06488264689256</v>
      </c>
      <c r="E194" s="12" t="n">
        <v>0.4368158188267058</v>
      </c>
      <c r="F194" s="90" t="n">
        <v>6.362974587287085</v>
      </c>
      <c r="G194" s="90" t="n">
        <v>0.7354626124446357</v>
      </c>
      <c r="H194" s="12" t="n">
        <v>-0.2562292601972606</v>
      </c>
      <c r="I194" s="12" t="n">
        <v>-0.1366077918130759</v>
      </c>
      <c r="J194" s="12" t="n">
        <v>0.08548255630741419</v>
      </c>
      <c r="K194" s="90" t="n">
        <v>3.081518747257971</v>
      </c>
      <c r="L194" s="7" t="n">
        <v>2.06488264689256</v>
      </c>
      <c r="M194" s="14" t="n">
        <v>0.4368158188267058</v>
      </c>
      <c r="N194" s="7" t="n">
        <v>6.093249331147357</v>
      </c>
      <c r="O194" s="7" t="n">
        <v>0.6618966895824276</v>
      </c>
      <c r="P194" s="7" t="n">
        <v>2.950893766440956</v>
      </c>
      <c r="W194" s="117">
        <f>V192+I194/3</f>
        <v/>
      </c>
      <c r="X194" s="117">
        <f>V192+I194/5</f>
        <v/>
      </c>
      <c r="Y194" s="117" t="n"/>
      <c r="AA194" s="117" t="n"/>
    </row>
    <row r="195">
      <c r="B195" t="inlineStr">
        <is>
          <t>pb equal</t>
        </is>
      </c>
      <c r="C195" s="165" t="n">
        <v>2.912124628466032</v>
      </c>
      <c r="D195" s="90" t="n">
        <v>1.689407159047664</v>
      </c>
      <c r="E195" s="12" t="n">
        <v>0.4198712711215374</v>
      </c>
      <c r="F195" s="90" t="n">
        <v>7.505986518831224</v>
      </c>
      <c r="G195" s="90" t="n">
        <v>1.577494948348079</v>
      </c>
      <c r="H195" s="12" t="n">
        <v>-0.2519789567103811</v>
      </c>
      <c r="I195" s="12" t="n">
        <v>0.02170668305597778</v>
      </c>
      <c r="J195" s="12" t="n">
        <v>0.4236200178131113</v>
      </c>
      <c r="K195" s="90" t="n">
        <v>4.442970706400004</v>
      </c>
      <c r="L195" s="7" t="n">
        <v>1.689407159047664</v>
      </c>
      <c r="M195" s="14" t="n">
        <v>0.4198712711215374</v>
      </c>
      <c r="N195" s="7" t="n">
        <v>3.204607846341917</v>
      </c>
      <c r="O195" s="7" t="n">
        <v>0.1004363669799226</v>
      </c>
      <c r="P195" s="7" t="n">
        <v>1.896883074739891</v>
      </c>
      <c r="W195" s="117">
        <f>V193+I195/3</f>
        <v/>
      </c>
      <c r="X195" s="117">
        <f>V193+I195/5</f>
        <v/>
      </c>
      <c r="Y195" s="117" t="n"/>
      <c r="AA195" s="117" t="n"/>
    </row>
    <row r="196">
      <c r="C196" s="101" t="n"/>
      <c r="D196" s="90" t="n"/>
      <c r="F196" s="90" t="n"/>
      <c r="G196" s="90" t="n"/>
      <c r="K196" s="90" t="n"/>
      <c r="L196" s="7" t="n"/>
      <c r="N196" s="7" t="n"/>
      <c r="O196" s="7" t="n"/>
      <c r="P196" s="7" t="n"/>
      <c r="AA196" s="117" t="n"/>
    </row>
    <row r="197">
      <c r="A197" t="inlineStr">
        <is>
          <t>消费品经销商</t>
        </is>
      </c>
      <c r="B197" t="inlineStr">
        <is>
          <t>pe weighted</t>
        </is>
      </c>
      <c r="C197" s="167" t="n">
        <v>-19.83608663396819</v>
      </c>
      <c r="D197" s="90" t="n">
        <v>25.87707487370605</v>
      </c>
      <c r="E197" s="12" t="n">
        <v>2.304545364779412</v>
      </c>
      <c r="F197" s="90" t="n">
        <v>-8.851280408394748</v>
      </c>
      <c r="G197" s="90" t="n">
        <v>-0.5537788994509922</v>
      </c>
      <c r="H197" s="12" t="n">
        <v>-4.293600273843871</v>
      </c>
      <c r="I197" s="12" t="n">
        <v>-7.117241862780419</v>
      </c>
      <c r="J197" s="12" t="n">
        <v>-0.05835534604106829</v>
      </c>
      <c r="K197" s="90" t="n">
        <v>-0.3420510413790479</v>
      </c>
      <c r="L197" s="7" t="n">
        <v>25.87707487370605</v>
      </c>
      <c r="M197" s="14" t="n">
        <v>2.304545364779412</v>
      </c>
      <c r="N197" s="7" t="n">
        <v>-8.851280408394748</v>
      </c>
      <c r="O197" s="7" t="n">
        <v>-0.5537788994509922</v>
      </c>
      <c r="P197" s="7" t="n">
        <v>-0.3420510413790479</v>
      </c>
      <c r="Q197" s="99" t="n">
        <v>-0.1717376196288882</v>
      </c>
      <c r="R197" s="99" t="n">
        <v>-0.2453141431532936</v>
      </c>
      <c r="S197" s="99" t="n">
        <v>0.003297648349818689</v>
      </c>
      <c r="U197" s="117">
        <f>C197*S197</f>
        <v/>
      </c>
      <c r="V197" s="117">
        <f>(1+S197)*Q197*(1-U197)+S197</f>
        <v/>
      </c>
      <c r="W197" s="117">
        <f>V197+I197/3</f>
        <v/>
      </c>
      <c r="X197" s="117">
        <f>V197+I197/5</f>
        <v/>
      </c>
      <c r="Y197" s="117" t="n"/>
      <c r="AA197" s="117" t="n"/>
    </row>
    <row r="198">
      <c r="A198" t="inlineStr">
        <is>
          <t>C040402</t>
        </is>
      </c>
      <c r="B198" t="inlineStr">
        <is>
          <t>pe equal</t>
        </is>
      </c>
      <c r="C198" s="167" t="n">
        <v>-15.35347950617919</v>
      </c>
      <c r="D198" s="90" t="n">
        <v>28.99936961654816</v>
      </c>
      <c r="E198" s="12" t="n">
        <v>2.888781601908351</v>
      </c>
      <c r="F198" s="90" t="n">
        <v>-0.9992628757002153</v>
      </c>
      <c r="G198" s="90" t="n">
        <v>-0.9349161943845986</v>
      </c>
      <c r="H198" s="12" t="n">
        <v>-5.985986726978214</v>
      </c>
      <c r="I198" s="12" t="n">
        <v>-10.42712893549546</v>
      </c>
      <c r="J198" s="12" t="n">
        <v>-0.3738752371985269</v>
      </c>
      <c r="K198" s="90" t="n">
        <v>-0.03445808956929869</v>
      </c>
      <c r="L198" s="7" t="n">
        <v>28.99936961654816</v>
      </c>
      <c r="M198" s="14" t="n">
        <v>2.888781601908351</v>
      </c>
      <c r="N198" s="7" t="n">
        <v>-0.9992628757002153</v>
      </c>
      <c r="O198" s="7" t="n">
        <v>-0.9349161943845986</v>
      </c>
      <c r="P198" s="7" t="n">
        <v>-0.03445808956929869</v>
      </c>
      <c r="S198" s="99" t="n">
        <v>0.002798482118866055</v>
      </c>
      <c r="U198" s="117">
        <f>C198*S198</f>
        <v/>
      </c>
      <c r="V198" s="117">
        <f>(1+S198)*R197*(1-U198)+S198</f>
        <v/>
      </c>
      <c r="W198" s="117">
        <f>V198+I198/3</f>
        <v/>
      </c>
      <c r="X198" s="117">
        <f>V198+I198/5</f>
        <v/>
      </c>
      <c r="Y198" s="117" t="n"/>
      <c r="AA198" s="117" t="n"/>
    </row>
    <row r="199">
      <c r="B199" t="inlineStr">
        <is>
          <t>pb weighted</t>
        </is>
      </c>
      <c r="C199" s="165" t="n">
        <v>3.406602301270102</v>
      </c>
      <c r="D199" s="90" t="n">
        <v>1.948655386889008</v>
      </c>
      <c r="E199" s="12" t="n">
        <v>0.4279768477340368</v>
      </c>
      <c r="F199" s="90" t="n">
        <v>13.40298982971871</v>
      </c>
      <c r="G199" s="90" t="n">
        <v>2.934415773957999</v>
      </c>
      <c r="H199" s="12" t="n">
        <v>-0.1119823699205453</v>
      </c>
      <c r="I199" s="12" t="n">
        <v>0.3035820676925751</v>
      </c>
      <c r="J199" s="12" t="n">
        <v>0.7350964130511706</v>
      </c>
      <c r="K199" s="90" t="n">
        <v>6.878070858447851</v>
      </c>
      <c r="L199" s="7" t="n">
        <v>2.347703860915403</v>
      </c>
      <c r="M199" s="14" t="n">
        <v>0.3108371176641032</v>
      </c>
      <c r="N199" s="7" t="n">
        <v>5.914716800415849</v>
      </c>
      <c r="O199" s="7" t="n">
        <v>0.7362510435135423</v>
      </c>
      <c r="P199" s="7" t="n">
        <v>2.51936238589718</v>
      </c>
      <c r="W199" s="117">
        <f>V197+I199/3</f>
        <v/>
      </c>
      <c r="X199" s="117">
        <f>V197+I199/5</f>
        <v/>
      </c>
      <c r="Y199" s="117" t="n"/>
      <c r="AA199" s="117" t="n"/>
    </row>
    <row r="200">
      <c r="B200" t="inlineStr">
        <is>
          <t>pb equal</t>
        </is>
      </c>
      <c r="C200" s="165" t="n">
        <v>3.766425669480002</v>
      </c>
      <c r="D200" s="90" t="n">
        <v>2.126017360170597</v>
      </c>
      <c r="E200" s="12" t="n">
        <v>0.4355344969640358</v>
      </c>
      <c r="F200" s="90" t="n">
        <v>-2.076588306349549</v>
      </c>
      <c r="G200" s="90" t="n">
        <v>-1.551341905716208</v>
      </c>
      <c r="H200" s="12" t="n">
        <v>-0.1557452305010233</v>
      </c>
      <c r="I200" s="12" t="n">
        <v>0.1772701862824537</v>
      </c>
      <c r="J200" s="12" t="n">
        <v>0.8456357539006851</v>
      </c>
      <c r="K200" s="90" t="n">
        <v>-0.9767503997158886</v>
      </c>
      <c r="L200" s="7" t="n">
        <v>2.187941612373929</v>
      </c>
      <c r="M200" s="14" t="n">
        <v>0.4190933780790635</v>
      </c>
      <c r="N200" s="7" t="n">
        <v>-2.076588306349549</v>
      </c>
      <c r="O200" s="7" t="n">
        <v>-1.551341905716208</v>
      </c>
      <c r="P200" s="7" t="n">
        <v>-0.9491059060284699</v>
      </c>
      <c r="W200" s="117">
        <f>V198+I200/3</f>
        <v/>
      </c>
      <c r="X200" s="117">
        <f>V198+I200/5</f>
        <v/>
      </c>
      <c r="Y200" s="117" t="n"/>
      <c r="AA200" s="117" t="n"/>
    </row>
    <row r="201">
      <c r="C201" s="101" t="n"/>
      <c r="D201" s="90" t="n"/>
      <c r="F201" s="90" t="n"/>
      <c r="G201" s="90" t="n"/>
      <c r="K201" s="90" t="n"/>
      <c r="L201" s="7" t="n"/>
      <c r="N201" s="7" t="n"/>
      <c r="O201" s="7" t="n"/>
      <c r="P201" s="7" t="n"/>
      <c r="AA201" s="117" t="n"/>
    </row>
    <row r="202">
      <c r="A202" s="128" t="inlineStr">
        <is>
          <t>网络零售</t>
        </is>
      </c>
      <c r="B202" t="inlineStr">
        <is>
          <t>pe weighted</t>
        </is>
      </c>
      <c r="C202" s="168" t="n">
        <v>58.01643893118861</v>
      </c>
      <c r="D202" s="90" t="n">
        <v>18.34307245669031</v>
      </c>
      <c r="E202" s="12" t="n">
        <v>0.6838297421452146</v>
      </c>
      <c r="F202" s="90" t="n">
        <v>-77.09075279298798</v>
      </c>
      <c r="G202" s="90" t="n">
        <v>-2.328774295927104</v>
      </c>
      <c r="H202" s="12" t="n">
        <v>-0.4500818946740394</v>
      </c>
      <c r="I202" s="12" t="n">
        <v>-0.2283955833912636</v>
      </c>
      <c r="J202" s="12" t="n">
        <v>7.541317287157581</v>
      </c>
      <c r="K202" s="90" t="n">
        <v>-4.202717564083464</v>
      </c>
      <c r="L202" s="7" t="n">
        <v>18.34307245669031</v>
      </c>
      <c r="M202" s="14" t="n">
        <v>0.6838297421452146</v>
      </c>
      <c r="N202" s="7" t="n">
        <v>-77.09075279298798</v>
      </c>
      <c r="O202" s="7" t="n">
        <v>-2.328774295927104</v>
      </c>
      <c r="P202" s="7" t="n">
        <v>-4.202717564083464</v>
      </c>
      <c r="Q202" s="99" t="n">
        <v>0.03248265504283042</v>
      </c>
      <c r="R202" s="99" t="n">
        <v>-0.03827685983829358</v>
      </c>
      <c r="S202" s="99" t="n">
        <v>0.01646076007646948</v>
      </c>
      <c r="U202" s="117">
        <f>C202*S202</f>
        <v/>
      </c>
      <c r="V202" s="117">
        <f>(1+S202)*Q202*(1-U202)+S202</f>
        <v/>
      </c>
      <c r="W202" s="117">
        <f>V202+I202/3</f>
        <v/>
      </c>
      <c r="X202" s="117">
        <f>V202+I202/5</f>
        <v/>
      </c>
      <c r="Y202" s="117" t="n"/>
      <c r="AA202" s="117" t="n"/>
    </row>
    <row r="203">
      <c r="A203" t="inlineStr">
        <is>
          <t>C040501</t>
        </is>
      </c>
      <c r="B203" t="inlineStr">
        <is>
          <t>pe equal</t>
        </is>
      </c>
      <c r="C203" s="167" t="n">
        <v>-52.73493864537136</v>
      </c>
      <c r="D203" s="90" t="n">
        <v>27.32569038368226</v>
      </c>
      <c r="E203" s="12" t="n">
        <v>1.518170516276512</v>
      </c>
      <c r="F203" s="90" t="n">
        <v>-6.279847530740986</v>
      </c>
      <c r="G203" s="90" t="n">
        <v>-0.880916756669211</v>
      </c>
      <c r="H203" s="12" t="n">
        <v>-1.800018291120947</v>
      </c>
      <c r="I203" s="12" t="n">
        <v>-2.249241588937974</v>
      </c>
      <c r="J203" s="12" t="n">
        <v>-0.6036770187498071</v>
      </c>
      <c r="K203" s="90" t="n">
        <v>-0.2298147802512995</v>
      </c>
      <c r="L203" s="7" t="n">
        <v>27.65091623470616</v>
      </c>
      <c r="M203" s="14" t="n">
        <v>1.524337696126876</v>
      </c>
      <c r="N203" s="7" t="n">
        <v>-6.279847530740986</v>
      </c>
      <c r="O203" s="7" t="n">
        <v>-0.880916756669211</v>
      </c>
      <c r="P203" s="7" t="n">
        <v>-0.22711173392724</v>
      </c>
      <c r="S203" s="99" t="n">
        <v>0.009475926012157115</v>
      </c>
      <c r="U203" s="117">
        <f>C203*S203</f>
        <v/>
      </c>
      <c r="V203" s="117">
        <f>(1+S203)*R202*(1-U203)+S203</f>
        <v/>
      </c>
      <c r="W203" s="117">
        <f>V203+I203/3</f>
        <v/>
      </c>
      <c r="X203" s="117">
        <f>V203+I203/5</f>
        <v/>
      </c>
      <c r="Y203" s="117" t="n"/>
      <c r="AA203" s="117" t="n"/>
    </row>
    <row r="204">
      <c r="B204" t="inlineStr">
        <is>
          <t>pb weighted</t>
        </is>
      </c>
      <c r="C204" s="167" t="n">
        <v>1.884527972615237</v>
      </c>
      <c r="D204" s="90" t="n">
        <v>1.484147459028185</v>
      </c>
      <c r="E204" s="12" t="n">
        <v>0.2124566572665023</v>
      </c>
      <c r="F204" s="90" t="n">
        <v>8.080064590599559</v>
      </c>
      <c r="G204" s="90" t="n">
        <v>3.287580077353016</v>
      </c>
      <c r="H204" s="12" t="n">
        <v>0.001798281951991054</v>
      </c>
      <c r="I204" s="12" t="n">
        <v>0.5379914248033251</v>
      </c>
      <c r="J204" s="12" t="n">
        <v>1.252591398200062</v>
      </c>
      <c r="K204" s="90" t="n">
        <v>5.444246487401164</v>
      </c>
      <c r="L204" s="7" t="n">
        <v>1.484147459028185</v>
      </c>
      <c r="M204" s="14" t="n">
        <v>0.2124566572665023</v>
      </c>
      <c r="N204" s="7" t="n">
        <v>3.025578142801807</v>
      </c>
      <c r="O204" s="7" t="n">
        <v>0.6054832757950992</v>
      </c>
      <c r="P204" s="7" t="n">
        <v>2.038596720559658</v>
      </c>
      <c r="W204" s="117">
        <f>V202+I204/3</f>
        <v/>
      </c>
      <c r="X204" s="117">
        <f>V202+I204/5</f>
        <v/>
      </c>
      <c r="Y204" s="117" t="n"/>
      <c r="AA204" s="117" t="n"/>
    </row>
    <row r="205">
      <c r="B205" t="inlineStr">
        <is>
          <t>pb equal</t>
        </is>
      </c>
      <c r="C205" s="165" t="n">
        <v>2.018527855109891</v>
      </c>
      <c r="D205" s="90" t="n">
        <v>1.347497238270218</v>
      </c>
      <c r="E205" s="12" t="n">
        <v>0.3324356486540245</v>
      </c>
      <c r="F205" s="90" t="n">
        <v>7.79328273210344</v>
      </c>
      <c r="G205" s="90" t="n">
        <v>2.860874504344734</v>
      </c>
      <c r="H205" s="12" t="n">
        <v>-0.09811859059975747</v>
      </c>
      <c r="I205" s="12" t="n">
        <v>0.2097516230342915</v>
      </c>
      <c r="J205" s="12" t="n">
        <v>0.9413652225958165</v>
      </c>
      <c r="K205" s="90" t="n">
        <v>5.783524085071728</v>
      </c>
      <c r="L205" s="7" t="n">
        <v>1.347497238270218</v>
      </c>
      <c r="M205" s="14" t="n">
        <v>0.3324356486540245</v>
      </c>
      <c r="N205" s="7" t="n">
        <v>2.497524123145501</v>
      </c>
      <c r="O205" s="7" t="n">
        <v>0.2372998058079971</v>
      </c>
      <c r="P205" s="7" t="n">
        <v>1.853453982845689</v>
      </c>
      <c r="W205" s="117">
        <f>V203+I205/3</f>
        <v/>
      </c>
      <c r="X205" s="117">
        <f>V203+I205/5</f>
        <v/>
      </c>
      <c r="Y205" s="117" t="n"/>
      <c r="AA205" s="117" t="n"/>
    </row>
    <row r="206">
      <c r="C206" s="101" t="n"/>
      <c r="D206" s="90" t="n"/>
      <c r="F206" s="90" t="n"/>
      <c r="G206" s="90" t="n"/>
      <c r="K206" s="90" t="n"/>
      <c r="L206" s="7" t="n"/>
      <c r="N206" s="7" t="n"/>
      <c r="O206" s="7" t="n"/>
      <c r="P206" s="7" t="n"/>
      <c r="AA206" s="117" t="n"/>
    </row>
    <row r="207">
      <c r="A207" t="inlineStr">
        <is>
          <t>百货商店</t>
        </is>
      </c>
      <c r="B207" t="inlineStr">
        <is>
          <t>pe weighted</t>
        </is>
      </c>
      <c r="C207" s="167" t="n">
        <v>-35.21442897736241</v>
      </c>
      <c r="D207" s="90" t="n">
        <v>11.58629004990858</v>
      </c>
      <c r="E207" t="n">
        <v>1.329021096930376</v>
      </c>
      <c r="F207" s="90" t="n">
        <v>-31.05213677915342</v>
      </c>
      <c r="G207" s="90" t="n">
        <v>-0.1181984862195186</v>
      </c>
      <c r="H207" t="n">
        <v>-1.512189007163234</v>
      </c>
      <c r="I207" t="n">
        <v>-1.850688987738044</v>
      </c>
      <c r="J207" t="n">
        <v>-2.202547828178037</v>
      </c>
      <c r="K207" s="90" t="n">
        <v>-2.680075903968798</v>
      </c>
      <c r="L207" s="7" t="n">
        <v>11.58629004990858</v>
      </c>
      <c r="M207" t="n">
        <v>1.329021096930376</v>
      </c>
      <c r="N207" s="7" t="n">
        <v>-31.05213677915342</v>
      </c>
      <c r="O207" s="7" t="n">
        <v>-0.1181984862195186</v>
      </c>
      <c r="P207" s="7" t="n">
        <v>-2.680075903968798</v>
      </c>
      <c r="Q207" s="99" t="n">
        <v>-0.03189676446960625</v>
      </c>
      <c r="R207" s="99" t="n">
        <v>-0.006450712706088478</v>
      </c>
      <c r="S207" s="99" t="n">
        <v>0.003914144993094692</v>
      </c>
      <c r="U207" s="117">
        <f>C207*S207</f>
        <v/>
      </c>
      <c r="V207" s="117">
        <f>(1+S207)*Q207*(1-U207)+S207</f>
        <v/>
      </c>
      <c r="W207" s="117">
        <f>V207+I207/3</f>
        <v/>
      </c>
      <c r="X207" s="117">
        <f>V207+I207/5</f>
        <v/>
      </c>
      <c r="Y207" s="117" t="n"/>
      <c r="AA207" s="117" t="n"/>
    </row>
    <row r="208">
      <c r="A208" t="inlineStr">
        <is>
          <t>C040601</t>
        </is>
      </c>
      <c r="B208" t="inlineStr">
        <is>
          <t>pe equal</t>
        </is>
      </c>
      <c r="C208" s="167" t="n">
        <v>-215.7801658954675</v>
      </c>
      <c r="D208" s="90" t="n">
        <v>18.1812668278504</v>
      </c>
      <c r="E208" t="n">
        <v>1.084258285521284</v>
      </c>
      <c r="F208" s="90" t="n">
        <v>-159.8040104065024</v>
      </c>
      <c r="G208" s="90" t="n">
        <v>-0.2594128855943237</v>
      </c>
      <c r="H208" t="n">
        <v>-1.151970802499646</v>
      </c>
      <c r="I208" t="n">
        <v>-1.199560452766448</v>
      </c>
      <c r="J208" t="n">
        <v>-1.269564957101528</v>
      </c>
      <c r="K208" s="90" t="n">
        <v>-8.789487108880206</v>
      </c>
      <c r="L208" s="7" t="n">
        <v>18.1812668278504</v>
      </c>
      <c r="M208" t="n">
        <v>1.084258285521284</v>
      </c>
      <c r="N208" s="7" t="n">
        <v>-159.8040104065024</v>
      </c>
      <c r="O208" s="7" t="n">
        <v>-0.2594128855943237</v>
      </c>
      <c r="P208" s="7" t="n">
        <v>-8.789487108880206</v>
      </c>
      <c r="S208" s="99" t="n">
        <v>0.005132622639212805</v>
      </c>
      <c r="U208" s="117">
        <f>C208*S208</f>
        <v/>
      </c>
      <c r="V208" s="117">
        <f>(1+S208)*R207*(1-U208)+S208</f>
        <v/>
      </c>
      <c r="W208" s="117">
        <f>V208+I208/3</f>
        <v/>
      </c>
      <c r="X208" s="117">
        <f>V208+I208/5</f>
        <v/>
      </c>
      <c r="Y208" s="117" t="n"/>
      <c r="AA208" s="117" t="n"/>
    </row>
    <row r="209">
      <c r="B209" t="inlineStr">
        <is>
          <t>pb weighted</t>
        </is>
      </c>
      <c r="C209" s="165" t="n">
        <v>1.123226347022606</v>
      </c>
      <c r="D209" s="90" t="n">
        <v>0.7839490864787103</v>
      </c>
      <c r="E209" t="n">
        <v>0.3020560027310929</v>
      </c>
      <c r="F209" s="90" t="n">
        <v>4.079284531149374</v>
      </c>
      <c r="G209" s="90" t="n">
        <v>2.631756450480835</v>
      </c>
      <c r="H209" t="n">
        <v>-0.07840030170787438</v>
      </c>
      <c r="I209" t="n">
        <v>0.1168296724928386</v>
      </c>
      <c r="J209" t="n">
        <v>0.6237366363994215</v>
      </c>
      <c r="K209" s="90" t="n">
        <v>5.203506964300997</v>
      </c>
      <c r="L209" s="7" t="n">
        <v>0.7839490864787103</v>
      </c>
      <c r="M209" t="n">
        <v>0.3020560027310929</v>
      </c>
      <c r="N209" s="7" t="n">
        <v>1.380345876524295</v>
      </c>
      <c r="O209" s="7" t="n">
        <v>0.2289115904227577</v>
      </c>
      <c r="P209" s="7" t="n">
        <v>1.760759595657468</v>
      </c>
      <c r="W209" s="117">
        <f>V207+I209/3</f>
        <v/>
      </c>
      <c r="X209" s="117">
        <f>V207+I209/5</f>
        <v/>
      </c>
      <c r="Y209" s="117" t="n"/>
      <c r="AA209" s="117" t="n"/>
    </row>
    <row r="210">
      <c r="B210" t="inlineStr">
        <is>
          <t>pb equal</t>
        </is>
      </c>
      <c r="C210" s="167" t="n">
        <v>1.391935857863772</v>
      </c>
      <c r="D210" s="90" t="n">
        <v>1.121809578103154</v>
      </c>
      <c r="E210" t="n">
        <v>0.1940651778129959</v>
      </c>
      <c r="F210" s="90" t="n">
        <v>5.384256516930712</v>
      </c>
      <c r="G210" s="90" t="n">
        <v>2.86817861362809</v>
      </c>
      <c r="H210" t="n">
        <v>0.07452979844185803</v>
      </c>
      <c r="I210" t="n">
        <v>0.211598785091335</v>
      </c>
      <c r="J210" t="n">
        <v>0.7714105866633543</v>
      </c>
      <c r="K210" s="90" t="n">
        <v>4.799617173918987</v>
      </c>
      <c r="L210" s="7" t="n">
        <v>1.121809578103154</v>
      </c>
      <c r="M210" t="n">
        <v>0.1940651778129959</v>
      </c>
      <c r="N210" s="7" t="n">
        <v>2.151968171555849</v>
      </c>
      <c r="O210" s="7" t="n">
        <v>0.5460253857232416</v>
      </c>
      <c r="P210" s="7" t="n">
        <v>1.918300764729225</v>
      </c>
      <c r="W210" s="117">
        <f>V208+I210/3</f>
        <v/>
      </c>
      <c r="X210" s="117">
        <f>V208+I210/5</f>
        <v/>
      </c>
      <c r="Y210" s="117" t="n"/>
      <c r="AA210" s="117" t="n"/>
    </row>
    <row r="211">
      <c r="C211" s="101" t="n"/>
      <c r="D211" s="90" t="n"/>
      <c r="F211" s="90" t="n"/>
      <c r="G211" s="90" t="n"/>
      <c r="K211" s="90" t="n"/>
      <c r="L211" s="7" t="n"/>
      <c r="N211" s="7" t="n"/>
      <c r="O211" s="7" t="n"/>
      <c r="P211" s="7" t="n"/>
      <c r="AA211" s="117" t="n"/>
    </row>
    <row r="212">
      <c r="A212" t="inlineStr">
        <is>
          <t>专营零售</t>
        </is>
      </c>
      <c r="B212" t="inlineStr">
        <is>
          <t>pe weighted</t>
        </is>
      </c>
      <c r="C212" s="166" t="n">
        <v>-20.06758893905105</v>
      </c>
      <c r="D212" s="90" t="n">
        <v>21.441634821985</v>
      </c>
      <c r="E212" s="12" t="n">
        <v>2.0684709003711</v>
      </c>
      <c r="F212" s="90" t="n">
        <v>-11.43638506678</v>
      </c>
      <c r="G212" s="90" t="n">
        <v>-0.430106670935188</v>
      </c>
      <c r="H212" s="12" t="n">
        <v>-3.233101574789199</v>
      </c>
      <c r="I212" s="12" t="n">
        <v>-6.573680105270927</v>
      </c>
      <c r="J212" s="12" t="n">
        <v>0.6132923116840749</v>
      </c>
      <c r="K212" s="90" t="n">
        <v>-0.5333728123684768</v>
      </c>
      <c r="L212" s="7" t="n">
        <v>30.04608882825988</v>
      </c>
      <c r="M212" s="14" t="n">
        <v>2.497244582770524</v>
      </c>
      <c r="N212" s="7" t="n">
        <v>-11.43638506678</v>
      </c>
      <c r="O212" s="7" t="n">
        <v>-0.430106670935188</v>
      </c>
      <c r="P212" s="7" t="n">
        <v>-0.3806280788208115</v>
      </c>
      <c r="Q212" s="99" t="n">
        <v>-0.1333643650661491</v>
      </c>
      <c r="R212" s="99" t="n">
        <v>-0.2329611531128431</v>
      </c>
      <c r="S212" s="99" t="n">
        <v>0.006859117270995152</v>
      </c>
      <c r="U212" s="117">
        <f>C212*S212</f>
        <v/>
      </c>
      <c r="V212" s="117">
        <f>(1+S212)*Q212*(1-U212)+S212</f>
        <v/>
      </c>
      <c r="W212" s="117">
        <f>V212+I212/3</f>
        <v/>
      </c>
      <c r="X212" s="117">
        <f>V212+I212/5</f>
        <v/>
      </c>
      <c r="Y212" s="117" t="n"/>
      <c r="AA212" s="117" t="n"/>
    </row>
    <row r="213">
      <c r="A213" t="inlineStr">
        <is>
          <t>C040602</t>
        </is>
      </c>
      <c r="B213" t="inlineStr">
        <is>
          <t>pe equal</t>
        </is>
      </c>
      <c r="C213" s="166" t="n">
        <v>-11.18141839238893</v>
      </c>
      <c r="D213" s="90" t="n">
        <v>21.44163490866742</v>
      </c>
      <c r="E213" s="12" t="n">
        <v>2.917613146759852</v>
      </c>
      <c r="F213" s="90" t="n">
        <v>-4.034574179896158</v>
      </c>
      <c r="G213" s="90" t="n">
        <v>-0.6391715220456782</v>
      </c>
      <c r="H213" s="12" t="n">
        <v>-5.007806767895263</v>
      </c>
      <c r="I213" s="12" t="n">
        <v>-11.00323195806689</v>
      </c>
      <c r="J213" s="12" t="n">
        <v>0.1728591646671143</v>
      </c>
      <c r="K213" s="90" t="n">
        <v>-0.1881654172865917</v>
      </c>
      <c r="L213" s="7" t="n">
        <v>30.04608882825988</v>
      </c>
      <c r="M213" s="14" t="n">
        <v>3.687144669294543</v>
      </c>
      <c r="N213" s="7" t="n">
        <v>-4.034574179896158</v>
      </c>
      <c r="O213" s="7" t="n">
        <v>-0.6391715220456782</v>
      </c>
      <c r="P213" s="7" t="n">
        <v>-0.1342795131491935</v>
      </c>
      <c r="S213" s="99" t="n">
        <v>0.005131920524910323</v>
      </c>
      <c r="U213" s="117">
        <f>C213*S213</f>
        <v/>
      </c>
      <c r="V213" s="117">
        <f>(1+S213)*R212*(1-U213)+S213</f>
        <v/>
      </c>
      <c r="W213" s="117">
        <f>V213+I213/3</f>
        <v/>
      </c>
      <c r="X213" s="117">
        <f>V213+I213/5</f>
        <v/>
      </c>
      <c r="Y213" s="117" t="n"/>
      <c r="AA213" s="117" t="n"/>
    </row>
    <row r="214">
      <c r="B214" t="inlineStr">
        <is>
          <t>pb weighted</t>
        </is>
      </c>
      <c r="C214" s="167" t="n">
        <v>2.676301257265021</v>
      </c>
      <c r="D214" s="90" t="n">
        <v>1.62586327824059</v>
      </c>
      <c r="E214" s="12" t="n">
        <v>0.3924961646873417</v>
      </c>
      <c r="F214" s="90" t="n">
        <v>23.4152975317435</v>
      </c>
      <c r="G214" s="90" t="n">
        <v>7.749126230905775</v>
      </c>
      <c r="H214" s="12" t="n">
        <v>0.1386242572861134</v>
      </c>
      <c r="I214" s="12" t="n">
        <v>1.18724954395408</v>
      </c>
      <c r="J214" s="12" t="n">
        <v>1.958741840359037</v>
      </c>
      <c r="K214" s="90" t="n">
        <v>14.40176295578932</v>
      </c>
      <c r="L214" s="7" t="n">
        <v>1.62586327824059</v>
      </c>
      <c r="M214" s="14" t="n">
        <v>0.3924961646873417</v>
      </c>
      <c r="N214" s="7" t="n">
        <v>10.41011773110145</v>
      </c>
      <c r="O214" s="7" t="n">
        <v>2.8897406272341</v>
      </c>
      <c r="P214" s="7" t="n">
        <v>6.402824807241263</v>
      </c>
      <c r="W214" s="117">
        <f>V212+I214/3</f>
        <v/>
      </c>
      <c r="X214" s="117">
        <f>V212+I214/5</f>
        <v/>
      </c>
      <c r="Y214" s="117" t="n"/>
      <c r="AA214" s="117" t="n"/>
    </row>
    <row r="215">
      <c r="B215" t="inlineStr">
        <is>
          <t>pb equal</t>
        </is>
      </c>
      <c r="C215" s="167" t="n">
        <v>2.604836122128078</v>
      </c>
      <c r="D215" s="90" t="n">
        <v>1.62586327824059</v>
      </c>
      <c r="E215" s="12" t="n">
        <v>0.3758289573655385</v>
      </c>
      <c r="F215" s="90" t="n">
        <v>23.41529753836229</v>
      </c>
      <c r="G215" s="90" t="n">
        <v>7.989163402430343</v>
      </c>
      <c r="H215" s="12" t="n">
        <v>0.011294530405076</v>
      </c>
      <c r="I215" s="12" t="n">
        <v>1.199758150140452</v>
      </c>
      <c r="J215" s="12" t="n">
        <v>2.050301384893378</v>
      </c>
      <c r="K215" s="90" t="n">
        <v>14.40176295986025</v>
      </c>
      <c r="L215" s="7" t="n">
        <v>1.62586327824059</v>
      </c>
      <c r="M215" s="14" t="n">
        <v>0.3758289573655385</v>
      </c>
      <c r="N215" s="7" t="n">
        <v>10.41011773110145</v>
      </c>
      <c r="O215" s="7" t="n">
        <v>2.996457835741574</v>
      </c>
      <c r="P215" s="7" t="n">
        <v>6.402824807241262</v>
      </c>
      <c r="W215" s="117">
        <f>V213+I215/3</f>
        <v/>
      </c>
      <c r="X215" s="117">
        <f>V213+I215/5</f>
        <v/>
      </c>
      <c r="Y215" s="117" t="n"/>
      <c r="AA215" s="117" t="n"/>
    </row>
    <row r="216">
      <c r="C216" s="101" t="n"/>
      <c r="D216" s="90" t="n"/>
      <c r="F216" s="90" t="n"/>
      <c r="G216" s="90" t="n"/>
      <c r="K216" s="90" t="n"/>
      <c r="L216" s="7" t="n"/>
      <c r="N216" s="7" t="n"/>
      <c r="O216" s="7" t="n"/>
      <c r="P216" s="7" t="n"/>
      <c r="AA216" s="117" t="n"/>
    </row>
    <row r="217">
      <c r="A217" t="inlineStr">
        <is>
          <t>食品与主要用品零售</t>
        </is>
      </c>
      <c r="B217" t="inlineStr">
        <is>
          <t>pe weighted</t>
        </is>
      </c>
      <c r="C217" s="166" t="n">
        <v>48.02421751526002</v>
      </c>
      <c r="D217" s="90" t="n">
        <v>14.03654476150235</v>
      </c>
      <c r="E217" s="12" t="n">
        <v>0.7077194489000858</v>
      </c>
      <c r="F217" s="90" t="n">
        <v>84.88425616041874</v>
      </c>
      <c r="G217" s="90" t="n">
        <v>0.7675302285445087</v>
      </c>
      <c r="H217" s="12" t="n">
        <v>-0.6219030553289611</v>
      </c>
      <c r="I217" s="12" t="n">
        <v>-0.3356481229569102</v>
      </c>
      <c r="J217" s="12" t="n">
        <v>-0.0540826143309211</v>
      </c>
      <c r="K217" s="90" t="n">
        <v>6.047375447640682</v>
      </c>
      <c r="L217" s="7" t="n">
        <v>14.03654476150235</v>
      </c>
      <c r="M217" s="14" t="n">
        <v>0.7077194489000858</v>
      </c>
      <c r="N217" s="7" t="n">
        <v>84.88425616041874</v>
      </c>
      <c r="O217" s="7" t="n">
        <v>0.7675302285445087</v>
      </c>
      <c r="P217" s="7" t="n">
        <v>6.047375447640682</v>
      </c>
      <c r="Q217" s="99" t="n">
        <v>0.02945906152983549</v>
      </c>
      <c r="R217" s="99" t="n">
        <v>0.02319433688393856</v>
      </c>
      <c r="S217" s="99" t="n">
        <v>0.01936207722260079</v>
      </c>
      <c r="U217" s="117">
        <f>C217*S217</f>
        <v/>
      </c>
      <c r="V217" s="117">
        <f>(1+S217)*Q217*(1-U217)+S217</f>
        <v/>
      </c>
      <c r="W217" s="117">
        <f>V217+I217/3</f>
        <v/>
      </c>
      <c r="X217" s="117">
        <f>V217+I217/5</f>
        <v/>
      </c>
      <c r="Y217" s="117" t="n"/>
      <c r="AA217" s="117" t="n"/>
    </row>
    <row r="218">
      <c r="A218" t="inlineStr">
        <is>
          <t>C040603</t>
        </is>
      </c>
      <c r="B218" t="inlineStr">
        <is>
          <t>pe equal</t>
        </is>
      </c>
      <c r="C218" s="166" t="n">
        <v>61.96219499682608</v>
      </c>
      <c r="D218" s="90" t="n">
        <v>17.44883113441908</v>
      </c>
      <c r="E218" s="12" t="n">
        <v>0.7183955291559172</v>
      </c>
      <c r="F218" s="90" t="n">
        <v>-7.497377405204269</v>
      </c>
      <c r="G218" s="90" t="n">
        <v>-1.120999222277202</v>
      </c>
      <c r="H218" s="12" t="n">
        <v>-0.6197207430390552</v>
      </c>
      <c r="I218" s="12" t="n">
        <v>-0.3852293968572885</v>
      </c>
      <c r="J218" s="12" t="n">
        <v>-1.493098115651277</v>
      </c>
      <c r="K218" s="90" t="n">
        <v>-0.4296779163857657</v>
      </c>
      <c r="L218" s="7" t="n">
        <v>19.27131671127785</v>
      </c>
      <c r="M218" s="14" t="n">
        <v>0.6889826657647458</v>
      </c>
      <c r="N218" s="7" t="n">
        <v>-7.497377405204269</v>
      </c>
      <c r="O218" s="7" t="n">
        <v>-1.120999222277202</v>
      </c>
      <c r="P218" s="7" t="n">
        <v>-0.3890433392554176</v>
      </c>
      <c r="S218" s="99" t="n">
        <v>0.01825120964096658</v>
      </c>
      <c r="U218" s="117">
        <f>C218*S218</f>
        <v/>
      </c>
      <c r="V218" s="117">
        <f>(1+S218)*R217*(1-U218)+S218</f>
        <v/>
      </c>
      <c r="W218" s="117">
        <f>V218+I218/3</f>
        <v/>
      </c>
      <c r="X218" s="117">
        <f>V218+I218/5</f>
        <v/>
      </c>
      <c r="Y218" s="117" t="n"/>
      <c r="AA218" s="117" t="n"/>
    </row>
    <row r="219">
      <c r="B219" t="inlineStr">
        <is>
          <t>pb weighted</t>
        </is>
      </c>
      <c r="C219" s="165" t="n">
        <v>1.414748378704248</v>
      </c>
      <c r="D219" s="90" t="n">
        <v>1.042907493115092</v>
      </c>
      <c r="E219" s="12" t="n">
        <v>0.2628318160220977</v>
      </c>
      <c r="F219" s="90" t="n">
        <v>5.363000486874705</v>
      </c>
      <c r="G219" s="90" t="n">
        <v>2.790780443789315</v>
      </c>
      <c r="H219" s="12" t="n">
        <v>-0.0822936777125659</v>
      </c>
      <c r="I219" s="12" t="n">
        <v>0.3252822249031964</v>
      </c>
      <c r="J219" s="12" t="n">
        <v>0.7709890376770185</v>
      </c>
      <c r="K219" s="90" t="n">
        <v>5.1423549281977</v>
      </c>
      <c r="L219" s="7" t="n">
        <v>1.042907493115092</v>
      </c>
      <c r="M219" s="14" t="n">
        <v>0.2628318160220977</v>
      </c>
      <c r="N219" s="7" t="n">
        <v>2.11100865794955</v>
      </c>
      <c r="O219" s="7" t="n">
        <v>0.4921442496247981</v>
      </c>
      <c r="P219" s="7" t="n">
        <v>2.024157149014352</v>
      </c>
      <c r="W219" s="117">
        <f>V217+I219/3</f>
        <v/>
      </c>
      <c r="X219" s="117">
        <f>V217+I219/5</f>
        <v/>
      </c>
      <c r="Y219" s="117" t="n"/>
      <c r="AA219" s="117" t="n"/>
    </row>
    <row r="220">
      <c r="B220" t="inlineStr">
        <is>
          <t>pb equal</t>
        </is>
      </c>
      <c r="C220" s="165" t="n">
        <v>1.437172024824676</v>
      </c>
      <c r="D220" s="90" t="n">
        <v>1.228462382282088</v>
      </c>
      <c r="E220" s="12" t="n">
        <v>0.145222450018152</v>
      </c>
      <c r="F220" s="90" t="n">
        <v>4.903475455300353</v>
      </c>
      <c r="G220" s="90" t="n">
        <v>2.411891805992076</v>
      </c>
      <c r="H220" s="12" t="n">
        <v>-0.02063423083395211</v>
      </c>
      <c r="I220" s="12" t="n">
        <v>0.3680946488266079</v>
      </c>
      <c r="J220" s="12" t="n">
        <v>0.8371348227336106</v>
      </c>
      <c r="K220" s="90" t="n">
        <v>3.991555236873653</v>
      </c>
      <c r="L220" s="7" t="n">
        <v>1.228462382282088</v>
      </c>
      <c r="M220" s="14" t="n">
        <v>0.145222450018152</v>
      </c>
      <c r="N220" s="7" t="n">
        <v>2.293763345120984</v>
      </c>
      <c r="O220" s="7" t="n">
        <v>0.5960256013199294</v>
      </c>
      <c r="P220" s="7" t="n">
        <v>1.867182404771654</v>
      </c>
      <c r="W220" s="117">
        <f>V218+I220/3</f>
        <v/>
      </c>
      <c r="X220" s="117">
        <f>V218+I220/5</f>
        <v/>
      </c>
      <c r="Y220" s="117" t="n"/>
      <c r="AA220" s="117" t="n"/>
    </row>
    <row r="221">
      <c r="C221" s="101" t="n"/>
      <c r="D221" s="90" t="n"/>
      <c r="F221" s="90" t="n"/>
      <c r="G221" s="90" t="n"/>
      <c r="K221" s="90" t="n"/>
      <c r="L221" s="7" t="n"/>
      <c r="N221" s="7" t="n"/>
      <c r="O221" s="7" t="n"/>
      <c r="P221" s="7" t="n"/>
      <c r="AA221" s="117" t="n"/>
    </row>
    <row r="222">
      <c r="A222" t="inlineStr">
        <is>
          <t>农牧渔产品</t>
        </is>
      </c>
      <c r="B222" t="inlineStr">
        <is>
          <t>pe weighted</t>
        </is>
      </c>
      <c r="C222" s="167" t="n">
        <v>-8.641826191299675</v>
      </c>
      <c r="D222" s="90" t="n">
        <v>12.63107691069949</v>
      </c>
      <c r="E222" s="12" t="n">
        <v>2.461621262808556</v>
      </c>
      <c r="F222" s="90" t="n">
        <v>-6.643047553651758</v>
      </c>
      <c r="G222" s="90" t="n">
        <v>-0.2312912332881938</v>
      </c>
      <c r="H222" s="12" t="n">
        <v>-4.105320931715572</v>
      </c>
      <c r="I222" s="12" t="n">
        <v>-6.514575229196393</v>
      </c>
      <c r="J222" s="12" t="n">
        <v>-14.1585194257102</v>
      </c>
      <c r="K222" s="90" t="n">
        <v>-0.5259288341459302</v>
      </c>
      <c r="L222" s="7" t="n">
        <v>12.63107691069949</v>
      </c>
      <c r="M222" s="14" t="n">
        <v>2.461621262808556</v>
      </c>
      <c r="N222" s="7" t="n">
        <v>-6.643047553651758</v>
      </c>
      <c r="O222" s="7" t="n">
        <v>-0.2312912332881938</v>
      </c>
      <c r="P222" s="7" t="n">
        <v>-0.5259288341459302</v>
      </c>
      <c r="Q222" s="99" t="n">
        <v>-0.1340648236854563</v>
      </c>
      <c r="R222" s="99" t="n">
        <v>-0.077022302622533</v>
      </c>
      <c r="S222" s="99" t="n">
        <v>0.01594404586062128</v>
      </c>
      <c r="U222" s="117">
        <f>C222*S222</f>
        <v/>
      </c>
      <c r="V222" s="117">
        <f>(1+S222)*Q222*(1-U222)+S222</f>
        <v/>
      </c>
      <c r="W222" s="117">
        <f>V222+I222/3</f>
        <v/>
      </c>
      <c r="X222" s="117">
        <f>V222+I222/5</f>
        <v/>
      </c>
      <c r="Y222" s="117" t="n"/>
      <c r="AA222" s="117" t="n"/>
    </row>
    <row r="223">
      <c r="A223" t="inlineStr">
        <is>
          <t>C040604</t>
        </is>
      </c>
      <c r="B223" t="inlineStr">
        <is>
          <t>pe equal</t>
        </is>
      </c>
      <c r="C223" s="166" t="n">
        <v>-19.91143993332103</v>
      </c>
      <c r="D223" s="90" t="n">
        <v>23.43696010873882</v>
      </c>
      <c r="E223" s="12" t="n">
        <v>2.17706003117926</v>
      </c>
      <c r="F223" s="90" t="n">
        <v>-9.922128995338381</v>
      </c>
      <c r="G223" s="90" t="n">
        <v>-0.5016870186904927</v>
      </c>
      <c r="H223" s="12" t="n">
        <v>-2.858022811876659</v>
      </c>
      <c r="I223" s="12" t="n">
        <v>-5.644892393987897</v>
      </c>
      <c r="J223" s="12" t="n">
        <v>0.34308479064209</v>
      </c>
      <c r="K223" s="90" t="n">
        <v>-0.4233539225779869</v>
      </c>
      <c r="L223" s="7" t="n">
        <v>23.43696010873882</v>
      </c>
      <c r="M223" s="14" t="n">
        <v>2.17706003117926</v>
      </c>
      <c r="N223" s="7" t="n">
        <v>-9.922128995338381</v>
      </c>
      <c r="O223" s="7" t="n">
        <v>-0.5016870186904927</v>
      </c>
      <c r="P223" s="7" t="n">
        <v>-0.4233539225779869</v>
      </c>
      <c r="S223" s="99" t="n">
        <v>0.01434113192129107</v>
      </c>
      <c r="U223" s="117">
        <f>C223*S223</f>
        <v/>
      </c>
      <c r="V223" s="117">
        <f>(1+S223)*R222*(1-U223)+S223</f>
        <v/>
      </c>
      <c r="W223" s="117">
        <f>V223+I223/3</f>
        <v/>
      </c>
      <c r="X223" s="117">
        <f>V223+I223/5</f>
        <v/>
      </c>
      <c r="Y223" s="117" t="n"/>
      <c r="AA223" s="117" t="n"/>
    </row>
    <row r="224">
      <c r="B224" t="inlineStr">
        <is>
          <t>pb weighted</t>
        </is>
      </c>
      <c r="C224" s="167" t="n">
        <v>1.158564904656949</v>
      </c>
      <c r="D224" s="90" t="n">
        <v>0.8690974776236828</v>
      </c>
      <c r="E224" s="12" t="n">
        <v>0.2498499875749107</v>
      </c>
      <c r="F224" s="90" t="n">
        <v>5.908985580279587</v>
      </c>
      <c r="G224" s="90" t="n">
        <v>4.100262882578198</v>
      </c>
      <c r="H224" s="12" t="n">
        <v>0.2172617566777482</v>
      </c>
      <c r="I224" s="12" t="n">
        <v>0.5967721656531839</v>
      </c>
      <c r="J224" s="12" t="n">
        <v>1.147352486328088</v>
      </c>
      <c r="K224" s="90" t="n">
        <v>6.798990599346975</v>
      </c>
      <c r="L224" s="7" t="n">
        <v>0.8690974776236828</v>
      </c>
      <c r="M224" s="14" t="n">
        <v>0.2498499875749107</v>
      </c>
      <c r="N224" s="7" t="n">
        <v>2.150525806661995</v>
      </c>
      <c r="O224" s="7" t="n">
        <v>0.8561979549162724</v>
      </c>
      <c r="P224" s="7" t="n">
        <v>2.474435678425899</v>
      </c>
      <c r="W224" s="117">
        <f>V222+I224/3</f>
        <v/>
      </c>
      <c r="X224" s="117">
        <f>V222+I224/5</f>
        <v/>
      </c>
      <c r="Y224" s="117" t="n"/>
      <c r="AA224" s="117" t="n"/>
    </row>
    <row r="225">
      <c r="B225" t="inlineStr">
        <is>
          <t>pb equal</t>
        </is>
      </c>
      <c r="C225" s="167" t="n">
        <v>1.533624952194641</v>
      </c>
      <c r="D225" s="90" t="n">
        <v>1.257449355495621</v>
      </c>
      <c r="E225" s="12" t="n">
        <v>0.1800802708014165</v>
      </c>
      <c r="F225" s="90" t="n">
        <v>7.852134676006294</v>
      </c>
      <c r="G225" s="90" t="n">
        <v>4.119983647090358</v>
      </c>
      <c r="H225" s="12" t="n">
        <v>0.008650955134250404</v>
      </c>
      <c r="I225" s="12" t="n">
        <v>0.2940973755761096</v>
      </c>
      <c r="J225" s="12" t="n">
        <v>0.9772664987205688</v>
      </c>
      <c r="K225" s="90" t="n">
        <v>6.244493777573567</v>
      </c>
      <c r="L225" s="7" t="n">
        <v>1.257449355495621</v>
      </c>
      <c r="M225" s="14" t="n">
        <v>0.1800802708014165</v>
      </c>
      <c r="N225" s="7" t="n">
        <v>2.084291397528864</v>
      </c>
      <c r="O225" s="7" t="n">
        <v>0.3590620017926878</v>
      </c>
      <c r="P225" s="7" t="n">
        <v>1.657554945190891</v>
      </c>
      <c r="W225" s="117">
        <f>V223+I225/3</f>
        <v/>
      </c>
      <c r="X225" s="117">
        <f>V223+I225/5</f>
        <v/>
      </c>
      <c r="Y225" s="117" t="n"/>
      <c r="AA225" s="117" t="n"/>
    </row>
    <row r="226">
      <c r="C226" s="101" t="n"/>
      <c r="D226" s="90" t="n"/>
      <c r="F226" s="90" t="n"/>
      <c r="G226" s="90" t="n"/>
      <c r="K226" s="90" t="n"/>
      <c r="L226" s="7" t="n"/>
      <c r="N226" s="7" t="n"/>
      <c r="O226" s="7" t="n"/>
      <c r="P226" s="7" t="n"/>
      <c r="AA226" s="117" t="n"/>
    </row>
    <row r="227">
      <c r="A227" t="inlineStr">
        <is>
          <t>食品</t>
        </is>
      </c>
      <c r="B227" t="inlineStr">
        <is>
          <t>pe weighted</t>
        </is>
      </c>
      <c r="C227" s="167" t="n">
        <v>-44.45710535259703</v>
      </c>
      <c r="D227" s="90" t="n">
        <v>19.15168270984174</v>
      </c>
      <c r="E227" s="12" t="n">
        <v>1.430790141597084</v>
      </c>
      <c r="F227" s="90" t="n">
        <v>-26.6961349976236</v>
      </c>
      <c r="G227" s="90" t="n">
        <v>-0.399508024962671</v>
      </c>
      <c r="H227" s="12" t="n">
        <v>-1.722750580111835</v>
      </c>
      <c r="I227" s="12" t="n">
        <v>-2.071482985590774</v>
      </c>
      <c r="J227" s="12" t="n">
        <v>-2.663029131435223</v>
      </c>
      <c r="K227" s="90" t="n">
        <v>-1.393931562154843</v>
      </c>
      <c r="L227" s="7" t="n">
        <v>19.15168270984174</v>
      </c>
      <c r="M227" s="14" t="n">
        <v>1.430790141597084</v>
      </c>
      <c r="N227" s="7" t="n">
        <v>-26.6961349976236</v>
      </c>
      <c r="O227" s="7" t="n">
        <v>-0.399508024962671</v>
      </c>
      <c r="P227" s="7" t="n">
        <v>-1.393931562154843</v>
      </c>
      <c r="Q227" s="99" t="n">
        <v>-0.05156744206426559</v>
      </c>
      <c r="R227" s="99" t="n">
        <v>-0.0235700004059753</v>
      </c>
      <c r="S227" s="99" t="n">
        <v>0.005314041587696633</v>
      </c>
      <c r="U227" s="117">
        <f>C227*S227</f>
        <v/>
      </c>
      <c r="V227" s="117">
        <f>(1+S227)*Q227*(1-U227)+S227</f>
        <v/>
      </c>
      <c r="W227" s="117">
        <f>V227+I227/3</f>
        <v/>
      </c>
      <c r="X227" s="117">
        <f>V227+I227/5</f>
        <v/>
      </c>
      <c r="Y227" s="117" t="n"/>
      <c r="AA227" s="117" t="n"/>
    </row>
    <row r="228">
      <c r="A228" t="inlineStr">
        <is>
          <t>C050101</t>
        </is>
      </c>
      <c r="B228" t="inlineStr">
        <is>
          <t>pe equal</t>
        </is>
      </c>
      <c r="C228" s="166" t="n">
        <v>-86.86117625270285</v>
      </c>
      <c r="D228" s="90" t="n">
        <v>20.7122548340141</v>
      </c>
      <c r="E228" s="12" t="n">
        <v>1.238452387217927</v>
      </c>
      <c r="F228" s="90" t="n">
        <v>-27.56785008687615</v>
      </c>
      <c r="G228" s="90" t="n">
        <v>-0.6826217272642756</v>
      </c>
      <c r="H228" s="12" t="n">
        <v>-1.461473748773433</v>
      </c>
      <c r="I228" s="12" t="n">
        <v>-1.957257782935891</v>
      </c>
      <c r="J228" s="12" t="n">
        <v>8.082576667664901</v>
      </c>
      <c r="K228" s="90" t="n">
        <v>-1.330992222131395</v>
      </c>
      <c r="L228" s="7" t="n">
        <v>20.7122548340141</v>
      </c>
      <c r="M228" s="14" t="n">
        <v>1.238452387217927</v>
      </c>
      <c r="N228" s="7" t="n">
        <v>-27.56785008687615</v>
      </c>
      <c r="O228" s="7" t="n">
        <v>-0.6826217272642756</v>
      </c>
      <c r="P228" s="7" t="n">
        <v>-1.330992222131395</v>
      </c>
      <c r="S228" s="99" t="n">
        <v>0.005684201373778988</v>
      </c>
      <c r="U228" s="117">
        <f>C228*S228</f>
        <v/>
      </c>
      <c r="V228" s="117">
        <f>(1+S228)*R227*(1-U228)+S228</f>
        <v/>
      </c>
      <c r="W228" s="117">
        <f>V228+I228/3</f>
        <v/>
      </c>
      <c r="X228" s="117">
        <f>V228+I228/5</f>
        <v/>
      </c>
      <c r="Y228" s="117" t="n"/>
      <c r="AA228" s="117" t="n"/>
    </row>
    <row r="229">
      <c r="B229" t="inlineStr">
        <is>
          <t>pb weighted</t>
        </is>
      </c>
      <c r="C229" s="165" t="n">
        <v>2.292539204614999</v>
      </c>
      <c r="D229" s="90" t="n">
        <v>1.685206766397595</v>
      </c>
      <c r="E229" s="12" t="n">
        <v>0.2649169257366732</v>
      </c>
      <c r="F229" s="90" t="n">
        <v>4.606694151009797</v>
      </c>
      <c r="G229" s="90" t="n">
        <v>1.00942873375351</v>
      </c>
      <c r="H229" s="12" t="n">
        <v>-0.005102268609421534</v>
      </c>
      <c r="I229" s="12" t="n">
        <v>0.1742800100130593</v>
      </c>
      <c r="J229" s="12" t="n">
        <v>0.387532165086371</v>
      </c>
      <c r="K229" s="90" t="n">
        <v>2.733607675251244</v>
      </c>
      <c r="L229" s="7" t="n">
        <v>1.894063607492637</v>
      </c>
      <c r="M229" s="14" t="n">
        <v>0.1738140819228783</v>
      </c>
      <c r="N229" s="7" t="n">
        <v>3.975397453536877</v>
      </c>
      <c r="O229" s="7" t="n">
        <v>0.7340586566782363</v>
      </c>
      <c r="P229" s="7" t="n">
        <v>2.098872201446028</v>
      </c>
      <c r="W229" s="117">
        <f>V227+I229/3</f>
        <v/>
      </c>
      <c r="X229" s="117">
        <f>V227+I229/5</f>
        <v/>
      </c>
      <c r="Y229" s="117" t="n"/>
      <c r="AA229" s="117" t="n"/>
    </row>
    <row r="230">
      <c r="B230" t="inlineStr">
        <is>
          <t>pb equal</t>
        </is>
      </c>
      <c r="C230" s="165" t="n">
        <v>2.047317959539698</v>
      </c>
      <c r="D230" s="90" t="n">
        <v>1.4863251444856</v>
      </c>
      <c r="E230" s="12" t="n">
        <v>0.2740135270342798</v>
      </c>
      <c r="F230" s="90" t="n">
        <v>5.11734074976602</v>
      </c>
      <c r="G230" s="90" t="n">
        <v>1.49953395168602</v>
      </c>
      <c r="H230" s="12" t="n">
        <v>-0.08386805436500822</v>
      </c>
      <c r="I230" s="12" t="n">
        <v>0.07256664305290972</v>
      </c>
      <c r="J230" s="12" t="n">
        <v>0.4254692094047416</v>
      </c>
      <c r="K230" s="90" t="n">
        <v>3.442948380945996</v>
      </c>
      <c r="L230" s="7" t="n">
        <v>1.554716529220238</v>
      </c>
      <c r="M230" s="14" t="n">
        <v>0.2406081713024255</v>
      </c>
      <c r="N230" s="7" t="n">
        <v>3.027287899201879</v>
      </c>
      <c r="O230" s="7" t="n">
        <v>0.4786603541945726</v>
      </c>
      <c r="P230" s="7" t="n">
        <v>1.947163899209462</v>
      </c>
      <c r="W230" s="117">
        <f>V228+I230/3</f>
        <v/>
      </c>
      <c r="X230" s="117">
        <f>V228+I230/5</f>
        <v/>
      </c>
      <c r="Y230" s="117" t="n"/>
      <c r="AA230" s="117" t="n"/>
    </row>
    <row r="231">
      <c r="C231" s="101" t="n"/>
      <c r="D231" s="90" t="n"/>
      <c r="F231" s="90" t="n"/>
      <c r="G231" s="90" t="n"/>
      <c r="K231" s="90" t="n"/>
      <c r="L231" s="7" t="n"/>
      <c r="N231" s="7" t="n"/>
      <c r="O231" s="7" t="n"/>
      <c r="P231" s="7" t="n"/>
      <c r="AA231" s="117" t="n"/>
    </row>
    <row r="232">
      <c r="A232" s="128" t="inlineStr">
        <is>
          <t>饮料</t>
        </is>
      </c>
      <c r="B232" t="inlineStr">
        <is>
          <t>pe weighted</t>
        </is>
      </c>
      <c r="C232" s="167" t="n">
        <v>-216.8899624691689</v>
      </c>
      <c r="D232" s="90" t="n">
        <v>15.49839196193451</v>
      </c>
      <c r="E232" s="12" t="n">
        <v>1.071457396116879</v>
      </c>
      <c r="F232" s="90" t="n">
        <v>-20.68825620952551</v>
      </c>
      <c r="G232" s="90" t="n">
        <v>-0.9046140449562465</v>
      </c>
      <c r="H232" s="12" t="n">
        <v>-1.12779522008844</v>
      </c>
      <c r="I232" s="12" t="n">
        <v>-1.202373146387169</v>
      </c>
      <c r="J232" s="12" t="n">
        <v>-1.449107448562736</v>
      </c>
      <c r="K232" s="90" t="n">
        <v>-1.334864691791109</v>
      </c>
      <c r="L232" s="7" t="n">
        <v>15.49839196193451</v>
      </c>
      <c r="M232" s="14" t="n">
        <v>1.071457396116879</v>
      </c>
      <c r="N232" s="7" t="n">
        <v>-20.68825620952551</v>
      </c>
      <c r="O232" s="7" t="n">
        <v>-0.9046140449562465</v>
      </c>
      <c r="P232" s="7" t="n">
        <v>-1.334864691791109</v>
      </c>
      <c r="Q232" s="99" t="n">
        <v>-0.0152630658256077</v>
      </c>
      <c r="R232" s="99" t="n">
        <v>-0.1106597472166296</v>
      </c>
      <c r="S232" s="99" t="n">
        <v>0.007737289826744318</v>
      </c>
      <c r="U232" s="117">
        <f>C232*S232</f>
        <v/>
      </c>
      <c r="V232" s="117">
        <f>(1+S232)*Q232*(1-U232)+S232</f>
        <v/>
      </c>
      <c r="W232" s="117">
        <f>V232+I232/3</f>
        <v/>
      </c>
      <c r="X232" s="117">
        <f>V232+I232/5</f>
        <v/>
      </c>
      <c r="Y232" s="117" t="n"/>
      <c r="AA232" s="117" t="n"/>
    </row>
    <row r="233">
      <c r="A233" t="inlineStr">
        <is>
          <t>C050201</t>
        </is>
      </c>
      <c r="B233" t="inlineStr">
        <is>
          <t>pe equal</t>
        </is>
      </c>
      <c r="C233" s="166" t="n">
        <v>-25.24125409672944</v>
      </c>
      <c r="D233" s="90" t="n">
        <v>41.39452330687045</v>
      </c>
      <c r="E233" s="12" t="n">
        <v>2.639955096852102</v>
      </c>
      <c r="F233" s="90" t="n">
        <v>-5.696529777349175</v>
      </c>
      <c r="G233" s="90" t="n">
        <v>-0.7743166898316955</v>
      </c>
      <c r="H233" s="12" t="n">
        <v>-3.420277058832159</v>
      </c>
      <c r="I233" s="12" t="n">
        <v>-5.973623900401186</v>
      </c>
      <c r="J233" s="12" t="n">
        <v>0.1536291074869869</v>
      </c>
      <c r="K233" s="90" t="n">
        <v>-0.1376155424020475</v>
      </c>
      <c r="L233" s="7" t="n">
        <v>42.17922343116794</v>
      </c>
      <c r="M233" s="14" t="n">
        <v>2.671043097523161</v>
      </c>
      <c r="N233" s="7" t="n">
        <v>-5.696529777349175</v>
      </c>
      <c r="O233" s="7" t="n">
        <v>-0.7743166898316955</v>
      </c>
      <c r="P233" s="7" t="n">
        <v>-0.1350553498607036</v>
      </c>
      <c r="S233" s="99" t="n">
        <v>0.005050685785552738</v>
      </c>
      <c r="U233" s="117">
        <f>C233*S233</f>
        <v/>
      </c>
      <c r="V233" s="117">
        <f>(1+S233)*R232*(1-U233)+S233</f>
        <v/>
      </c>
      <c r="W233" s="117">
        <f>V233+I233/3</f>
        <v/>
      </c>
      <c r="X233" s="117">
        <f>V233+I233/5</f>
        <v/>
      </c>
      <c r="Y233" s="117" t="n"/>
      <c r="AA233" s="117" t="n"/>
    </row>
    <row r="234">
      <c r="B234" t="inlineStr">
        <is>
          <t>pb weighted</t>
        </is>
      </c>
      <c r="C234" s="165" t="n">
        <v>3.310405774080509</v>
      </c>
      <c r="D234" s="90" t="n">
        <v>2.372366904708927</v>
      </c>
      <c r="E234" s="12" t="n">
        <v>0.2833606915249323</v>
      </c>
      <c r="F234" s="90" t="n">
        <v>6.933566616900758</v>
      </c>
      <c r="G234" s="90" t="n">
        <v>1.094476354285181</v>
      </c>
      <c r="H234" s="12" t="n">
        <v>-0.07278513608966053</v>
      </c>
      <c r="I234" s="12" t="n">
        <v>0.1103456496195583</v>
      </c>
      <c r="J234" s="12" t="n">
        <v>0.3020041856776599</v>
      </c>
      <c r="K234" s="90" t="n">
        <v>2.922636714893583</v>
      </c>
      <c r="L234" s="7" t="n">
        <v>2.372366904708927</v>
      </c>
      <c r="M234" s="14" t="n">
        <v>0.2833606915249323</v>
      </c>
      <c r="N234" s="7" t="n">
        <v>5.244884016154878</v>
      </c>
      <c r="O234" s="7" t="n">
        <v>0.5843628769683638</v>
      </c>
      <c r="P234" s="7" t="n">
        <v>2.210823294552066</v>
      </c>
      <c r="W234" s="117">
        <f>V232+I234/3</f>
        <v/>
      </c>
      <c r="X234" s="117">
        <f>V232+I234/5</f>
        <v/>
      </c>
      <c r="Y234" s="117" t="n"/>
      <c r="AA234" s="117" t="n"/>
    </row>
    <row r="235">
      <c r="B235" t="inlineStr">
        <is>
          <t>pb equal</t>
        </is>
      </c>
      <c r="C235" s="165" t="n">
        <v>2.793190797774796</v>
      </c>
      <c r="D235" s="90" t="n">
        <v>1.79298002014694</v>
      </c>
      <c r="E235" s="12" t="n">
        <v>0.3580889563379189</v>
      </c>
      <c r="F235" s="90" t="n">
        <v>7.508162493532406</v>
      </c>
      <c r="G235" s="90" t="n">
        <v>1.688023496108396</v>
      </c>
      <c r="H235" s="12" t="n">
        <v>-0.09151484677397037</v>
      </c>
      <c r="I235" s="12" t="n">
        <v>0.01916831109146289</v>
      </c>
      <c r="J235" s="12" t="n">
        <v>0.374302046455425</v>
      </c>
      <c r="K235" s="90" t="n">
        <v>4.187532716018269</v>
      </c>
      <c r="L235" s="7" t="n">
        <v>1.79298002014694</v>
      </c>
      <c r="M235" s="14" t="n">
        <v>0.3580889563379189</v>
      </c>
      <c r="N235" s="7" t="n">
        <v>3.130280414996284</v>
      </c>
      <c r="O235" s="7" t="n">
        <v>0.1206826320242897</v>
      </c>
      <c r="P235" s="7" t="n">
        <v>1.745853484044818</v>
      </c>
      <c r="W235" s="117">
        <f>V233+I235/3</f>
        <v/>
      </c>
      <c r="X235" s="117">
        <f>V233+I235/5</f>
        <v/>
      </c>
      <c r="Y235" s="117" t="n"/>
      <c r="AA235" s="117" t="n"/>
    </row>
    <row r="236">
      <c r="C236" s="101" t="n"/>
      <c r="D236" s="90" t="n"/>
      <c r="F236" s="90" t="n"/>
      <c r="G236" s="90" t="n"/>
      <c r="K236" s="90" t="n"/>
      <c r="L236" s="7" t="n"/>
      <c r="N236" s="7" t="n"/>
      <c r="O236" s="7" t="n"/>
      <c r="P236" s="7" t="n"/>
      <c r="AA236" s="117" t="n"/>
    </row>
    <row r="237">
      <c r="A237" t="inlineStr">
        <is>
          <t>家常用品</t>
        </is>
      </c>
      <c r="B237" t="inlineStr">
        <is>
          <t>pe weighted</t>
        </is>
      </c>
      <c r="C237" s="165" t="n">
        <v>37.2948740900729</v>
      </c>
      <c r="D237" s="90" t="n">
        <v>29.83572563147458</v>
      </c>
      <c r="E237" s="12" t="n">
        <v>0.2000046558833612</v>
      </c>
      <c r="F237" s="90" t="n">
        <v>65.44065531615206</v>
      </c>
      <c r="G237" s="90" t="n">
        <v>0.7546822965028044</v>
      </c>
      <c r="H237" s="12" t="n">
        <v>-0.03225243457477445</v>
      </c>
      <c r="I237" s="12" t="n">
        <v>0.0720203599806013</v>
      </c>
      <c r="J237" s="12" t="n">
        <v>0.2292303042592216</v>
      </c>
      <c r="K237" s="90" t="n">
        <v>2.193365635696716</v>
      </c>
      <c r="L237" s="7" t="n">
        <v>30.16044148830263</v>
      </c>
      <c r="M237" s="14" t="n">
        <v>0.1912979404231132</v>
      </c>
      <c r="N237" s="7" t="n">
        <v>62.1222523746377</v>
      </c>
      <c r="O237" s="7" t="n">
        <v>0.6657048425636947</v>
      </c>
      <c r="P237" s="7" t="n">
        <v>2.059726227771934</v>
      </c>
      <c r="Q237" s="99" t="n">
        <v>0.1052087603727503</v>
      </c>
      <c r="R237" s="99" t="n">
        <v>0.05181363905085445</v>
      </c>
      <c r="S237" s="99" t="n">
        <v>0.01435716971174037</v>
      </c>
      <c r="U237" s="117">
        <f>C237*S237</f>
        <v/>
      </c>
      <c r="V237" s="117">
        <f>(1+S237)*Q237*(1-U237)+S237</f>
        <v/>
      </c>
      <c r="W237" s="117">
        <f>V237+I237/3</f>
        <v/>
      </c>
      <c r="X237" s="117">
        <f>V237+I237/5</f>
        <v/>
      </c>
      <c r="Y237" s="117" t="n"/>
      <c r="AA237" s="117" t="n"/>
    </row>
    <row r="238">
      <c r="A238" t="inlineStr">
        <is>
          <t>C050301</t>
        </is>
      </c>
      <c r="B238" t="inlineStr">
        <is>
          <t>pe equal</t>
        </is>
      </c>
      <c r="C238" s="166" t="n">
        <v>57.80291023039291</v>
      </c>
      <c r="D238" s="90" t="n">
        <v>44.40525925967774</v>
      </c>
      <c r="E238" s="12" t="n">
        <v>0.2317815991844413</v>
      </c>
      <c r="F238" s="90" t="n">
        <v>-16.06990659305942</v>
      </c>
      <c r="G238" s="90" t="n">
        <v>-1.278012067714366</v>
      </c>
      <c r="H238" s="12" t="n">
        <v>-0.0426825210825853</v>
      </c>
      <c r="I238" s="12" t="n">
        <v>0.3093637079304044</v>
      </c>
      <c r="J238" s="12" t="n">
        <v>-3.139453821282973</v>
      </c>
      <c r="K238" s="90" t="n">
        <v>-0.36189196642416</v>
      </c>
      <c r="L238" s="7" t="n">
        <v>44.40525925967774</v>
      </c>
      <c r="M238" s="14" t="n">
        <v>0.2317815991844413</v>
      </c>
      <c r="N238" s="7" t="n">
        <v>-16.06990659305942</v>
      </c>
      <c r="O238" s="7" t="n">
        <v>-1.278012067714366</v>
      </c>
      <c r="P238" s="7" t="n">
        <v>-0.36189196642416</v>
      </c>
      <c r="S238" s="99" t="n">
        <v>0.009352992661929949</v>
      </c>
      <c r="U238" s="117">
        <f>C238*S238</f>
        <v/>
      </c>
      <c r="V238" s="117">
        <f>(1+S238)*R237*(1-U238)+S238</f>
        <v/>
      </c>
      <c r="W238" s="117">
        <f>V238+I238/3</f>
        <v/>
      </c>
      <c r="X238" s="117">
        <f>V238+I238/5</f>
        <v/>
      </c>
      <c r="Y238" s="117" t="n"/>
      <c r="AA238" s="117" t="n"/>
    </row>
    <row r="239">
      <c r="B239" t="inlineStr">
        <is>
          <t>pb weighted</t>
        </is>
      </c>
      <c r="C239" s="167" t="n">
        <v>3.923747471274375</v>
      </c>
      <c r="D239" s="90" t="n">
        <v>3.215422275583898</v>
      </c>
      <c r="E239" s="12" t="n">
        <v>0.1805226255960921</v>
      </c>
      <c r="F239" s="90" t="n">
        <v>9.190855368613006</v>
      </c>
      <c r="G239" s="90" t="n">
        <v>1.342366687942828</v>
      </c>
      <c r="H239" s="12" t="n">
        <v>0.04455737797207693</v>
      </c>
      <c r="I239" s="12" t="n">
        <v>0.193474263502559</v>
      </c>
      <c r="J239" s="12" t="n">
        <v>0.3786001365482998</v>
      </c>
      <c r="K239" s="90" t="n">
        <v>2.85836651639916</v>
      </c>
      <c r="L239" s="7" t="n">
        <v>3.215422275583898</v>
      </c>
      <c r="M239" s="14" t="n">
        <v>0.1805226255960921</v>
      </c>
      <c r="N239" s="7" t="n">
        <v>9.190855368613006</v>
      </c>
      <c r="O239" s="7" t="n">
        <v>1.342366687942828</v>
      </c>
      <c r="P239" s="7" t="n">
        <v>2.85836651639916</v>
      </c>
      <c r="W239" s="117">
        <f>V237+I239/3</f>
        <v/>
      </c>
      <c r="X239" s="117">
        <f>V237+I239/5</f>
        <v/>
      </c>
      <c r="Y239" s="117" t="n"/>
      <c r="AA239" s="117" t="n"/>
    </row>
    <row r="240">
      <c r="B240" t="inlineStr">
        <is>
          <t>pb equal</t>
        </is>
      </c>
      <c r="C240" s="165" t="n">
        <v>2.99497912676652</v>
      </c>
      <c r="D240" s="90" t="n">
        <v>2.241929585396104</v>
      </c>
      <c r="E240" s="12" t="n">
        <v>0.2514373254358648</v>
      </c>
      <c r="F240" s="90" t="n">
        <v>6.970263776849887</v>
      </c>
      <c r="G240" s="90" t="n">
        <v>1.32731631234279</v>
      </c>
      <c r="H240" s="12" t="n">
        <v>-0.04645468853422741</v>
      </c>
      <c r="I240" s="12" t="n">
        <v>0.07656784152857221</v>
      </c>
      <c r="J240" s="12" t="n">
        <v>0.3213108452102662</v>
      </c>
      <c r="K240" s="90" t="n">
        <v>3.109046698992725</v>
      </c>
      <c r="L240" s="7" t="n">
        <v>2.241929585396104</v>
      </c>
      <c r="M240" s="14" t="n">
        <v>0.2514373254358648</v>
      </c>
      <c r="N240" s="7" t="n">
        <v>5.532449571881354</v>
      </c>
      <c r="O240" s="7" t="n">
        <v>0.8472414456705655</v>
      </c>
      <c r="P240" s="7" t="n">
        <v>2.467717812334361</v>
      </c>
      <c r="W240" s="117">
        <f>V238+I240/3</f>
        <v/>
      </c>
      <c r="X240" s="117">
        <f>V238+I240/5</f>
        <v/>
      </c>
      <c r="Y240" s="117" t="n"/>
      <c r="AA240" s="117" t="n"/>
    </row>
    <row r="241">
      <c r="C241" s="101" t="n"/>
      <c r="D241" s="90" t="n"/>
      <c r="F241" s="90" t="n"/>
      <c r="G241" s="90" t="n"/>
      <c r="K241" s="90" t="n"/>
      <c r="L241" s="7" t="n"/>
      <c r="N241" s="7" t="n"/>
      <c r="O241" s="7" t="n"/>
      <c r="P241" s="7" t="n"/>
      <c r="AA241" s="117" t="n"/>
    </row>
    <row r="242">
      <c r="A242" t="inlineStr">
        <is>
          <t>个人用品</t>
        </is>
      </c>
      <c r="B242" t="inlineStr">
        <is>
          <t>pe weighted</t>
        </is>
      </c>
      <c r="C242" s="168" t="n">
        <v>38.21062131689851</v>
      </c>
      <c r="D242" s="90" t="n">
        <v>11.04830995765735</v>
      </c>
      <c r="E242" s="12" t="n">
        <v>0.7108576208162498</v>
      </c>
      <c r="F242" s="90" t="n">
        <v>70.17398134385162</v>
      </c>
      <c r="G242" s="90" t="n">
        <v>0.8365045876084047</v>
      </c>
      <c r="H242" s="12" t="n">
        <v>-0.452600128043775</v>
      </c>
      <c r="I242" s="12" t="n">
        <v>-0.2209667250242774</v>
      </c>
      <c r="J242" s="12" t="n">
        <v>0.002741337734501581</v>
      </c>
      <c r="K242" s="90" t="n">
        <v>6.351557986044327</v>
      </c>
      <c r="L242" s="7" t="n">
        <v>19.40794301199836</v>
      </c>
      <c r="M242" s="14" t="n">
        <v>0.4920798892266307</v>
      </c>
      <c r="N242" s="7" t="n">
        <v>70.17398134385162</v>
      </c>
      <c r="O242" s="7" t="n">
        <v>0.8365045876084047</v>
      </c>
      <c r="P242" s="7" t="n">
        <v>3.615735129707911</v>
      </c>
      <c r="Q242" s="99" t="n">
        <v>0.2338981589048293</v>
      </c>
      <c r="R242" s="99" t="n">
        <v>0.05451752554838109</v>
      </c>
      <c r="S242" s="99" t="n">
        <v>0.0172158088799249</v>
      </c>
      <c r="U242" s="117">
        <f>C242*S242</f>
        <v/>
      </c>
      <c r="V242" s="117">
        <f>(1+S242)*Q242*(1-U242)+S242</f>
        <v/>
      </c>
      <c r="W242" s="117">
        <f>V242+I242/3</f>
        <v/>
      </c>
      <c r="X242" s="117">
        <f>V242+I242/5</f>
        <v/>
      </c>
      <c r="Y242" s="117" t="n"/>
      <c r="AA242" s="117" t="n"/>
    </row>
    <row r="243">
      <c r="A243" t="inlineStr">
        <is>
          <t>C050302</t>
        </is>
      </c>
      <c r="B243" t="inlineStr">
        <is>
          <t>pe equal</t>
        </is>
      </c>
      <c r="C243" s="166" t="n">
        <v>76.50747970874575</v>
      </c>
      <c r="D243" s="90" t="n">
        <v>21.57142501299463</v>
      </c>
      <c r="E243" s="12" t="n">
        <v>0.7180481556167539</v>
      </c>
      <c r="F243" s="90" t="n">
        <v>2784.999423211794</v>
      </c>
      <c r="G243" s="90" t="n">
        <v>35.40166208341893</v>
      </c>
      <c r="H243" s="12" t="n">
        <v>-0.3918132528607325</v>
      </c>
      <c r="I243" s="12" t="n">
        <v>-0.2717478279854935</v>
      </c>
      <c r="J243" s="12" t="n">
        <v>-0.06874575671375427</v>
      </c>
      <c r="K243" s="90" t="n">
        <v>129.1059548237592</v>
      </c>
      <c r="L243" s="7" t="n">
        <v>39.4640189183432</v>
      </c>
      <c r="M243" s="14" t="n">
        <v>0.4841809053366063</v>
      </c>
      <c r="N243" s="7" t="n">
        <v>2784.999423211794</v>
      </c>
      <c r="O243" s="7" t="n">
        <v>35.40166208341893</v>
      </c>
      <c r="P243" s="7" t="n">
        <v>70.57059821946577</v>
      </c>
      <c r="S243" s="99" t="n">
        <v>0.009434955364293349</v>
      </c>
      <c r="U243" s="117">
        <f>C243*S243</f>
        <v/>
      </c>
      <c r="V243" s="117">
        <f>(1+S243)*R242*(1-U243)+S243</f>
        <v/>
      </c>
      <c r="W243" s="117">
        <f>V243+I243/3</f>
        <v/>
      </c>
      <c r="X243" s="117">
        <f>V243+I243/5</f>
        <v/>
      </c>
      <c r="Y243" s="117" t="n"/>
      <c r="AA243" s="117" t="n"/>
    </row>
    <row r="244">
      <c r="B244" t="inlineStr">
        <is>
          <t>pb weighted</t>
        </is>
      </c>
      <c r="C244" s="166" t="n">
        <v>8.937393976632185</v>
      </c>
      <c r="D244" s="90" t="n">
        <v>2.620326219416213</v>
      </c>
      <c r="E244" s="12" t="n">
        <v>0.7068131687752215</v>
      </c>
      <c r="F244" s="90" t="n">
        <v>14.7105302668004</v>
      </c>
      <c r="G244" s="90" t="n">
        <v>0.6459529819612659</v>
      </c>
      <c r="H244" s="12" t="n">
        <v>-0.5959232576094886</v>
      </c>
      <c r="I244" s="12" t="n">
        <v>-0.3940879336403798</v>
      </c>
      <c r="J244" s="12" t="n">
        <v>-0.04352488687286071</v>
      </c>
      <c r="K244" s="90" t="n">
        <v>5.614007201774207</v>
      </c>
      <c r="L244" s="7" t="n">
        <v>3.913218463823611</v>
      </c>
      <c r="M244" s="14" t="n">
        <v>0.5621521805959144</v>
      </c>
      <c r="N244" s="7" t="n">
        <v>14.7105302668004</v>
      </c>
      <c r="O244" s="7" t="n">
        <v>0.6459529819612659</v>
      </c>
      <c r="P244" s="7" t="n">
        <v>3.759189629404622</v>
      </c>
      <c r="W244" s="117">
        <f>V242+I244/3</f>
        <v/>
      </c>
      <c r="X244" s="117">
        <f>V242+I244/5</f>
        <v/>
      </c>
      <c r="Y244" s="117" t="n"/>
      <c r="AA244" s="117" t="n"/>
    </row>
    <row r="245">
      <c r="B245" t="inlineStr">
        <is>
          <t>pb equal</t>
        </is>
      </c>
      <c r="C245" s="166" t="n">
        <v>4.170998479663794</v>
      </c>
      <c r="D245" s="90" t="n">
        <v>2.248859210724432</v>
      </c>
      <c r="E245" s="12" t="n">
        <v>0.4608343249969962</v>
      </c>
      <c r="F245" s="90" t="n">
        <v>6.043354887204192</v>
      </c>
      <c r="G245" s="90" t="n">
        <v>0.4488988468035404</v>
      </c>
      <c r="H245" s="12" t="n">
        <v>-0.3189940131344372</v>
      </c>
      <c r="I245" s="12" t="n">
        <v>-0.1769414198436022</v>
      </c>
      <c r="J245" s="12" t="n">
        <v>-0.06955793054783321</v>
      </c>
      <c r="K245" s="90" t="n">
        <v>2.687298012425343</v>
      </c>
      <c r="L245" s="7" t="n">
        <v>2.248859210724432</v>
      </c>
      <c r="M245" s="14" t="n">
        <v>0.4608343249969962</v>
      </c>
      <c r="N245" s="7" t="n">
        <v>4.644654923289783</v>
      </c>
      <c r="O245" s="7" t="n">
        <v>0.113559486040419</v>
      </c>
      <c r="P245" s="7" t="n">
        <v>2.065338239557285</v>
      </c>
      <c r="W245" s="117">
        <f>V243+I245/3</f>
        <v/>
      </c>
      <c r="X245" s="117">
        <f>V243+I245/5</f>
        <v/>
      </c>
      <c r="Y245" s="117" t="n"/>
      <c r="AA245" s="117" t="n"/>
    </row>
    <row r="246">
      <c r="C246" s="101" t="n"/>
      <c r="D246" s="90" t="n"/>
      <c r="F246" s="90" t="n"/>
      <c r="G246" s="90" t="n"/>
      <c r="K246" s="90" t="n"/>
      <c r="L246" s="7" t="n"/>
      <c r="N246" s="7" t="n"/>
      <c r="O246" s="7" t="n"/>
      <c r="P246" s="7" t="n"/>
      <c r="AA246" s="117" t="n"/>
    </row>
    <row r="247">
      <c r="A247" s="128" t="inlineStr">
        <is>
          <t>医疗保健设备与用品</t>
        </is>
      </c>
      <c r="B247" t="inlineStr">
        <is>
          <t>pe weighted</t>
        </is>
      </c>
      <c r="C247" s="166" t="n">
        <v>15.13873855642509</v>
      </c>
      <c r="D247" s="90" t="n">
        <v>11.40232032346622</v>
      </c>
      <c r="E247" s="12" t="n">
        <v>0.2468117286676494</v>
      </c>
      <c r="F247" s="90" t="n">
        <v>-9.309872785537259</v>
      </c>
      <c r="G247" s="90" t="n">
        <v>-1.614970180694878</v>
      </c>
      <c r="H247" s="12" t="n">
        <v>0.9256402234418148</v>
      </c>
      <c r="I247" s="12" t="n">
        <v>5.85145965967375</v>
      </c>
      <c r="J247" s="12" t="n">
        <v>-30.29276763574376</v>
      </c>
      <c r="K247" s="90" t="n">
        <v>-0.8164893215968807</v>
      </c>
      <c r="L247" s="7" t="n">
        <v>11.40232032346622</v>
      </c>
      <c r="M247" s="14" t="n">
        <v>0.2468117286676494</v>
      </c>
      <c r="N247" s="7" t="n">
        <v>-9.309872785537259</v>
      </c>
      <c r="O247" s="7" t="n">
        <v>-1.614970180694878</v>
      </c>
      <c r="P247" s="7" t="n">
        <v>-0.8164893215968807</v>
      </c>
      <c r="Q247" s="99" t="n">
        <v>0.1788855147579181</v>
      </c>
      <c r="R247" s="99" t="n">
        <v>0.1342460913915047</v>
      </c>
      <c r="S247" s="99" t="n">
        <v>0.006355354940855048</v>
      </c>
      <c r="U247" s="117">
        <f>C247*S247</f>
        <v/>
      </c>
      <c r="V247" s="117">
        <f>(1+S247)*Q247*(1-U247)+S247</f>
        <v/>
      </c>
      <c r="W247" s="117">
        <f>V247+I247/3</f>
        <v/>
      </c>
      <c r="X247" s="117">
        <f>V247+I247/5</f>
        <v/>
      </c>
      <c r="Y247" s="117" t="n"/>
      <c r="AA247" s="117" t="n"/>
    </row>
    <row r="248">
      <c r="A248" t="inlineStr">
        <is>
          <t>C050401</t>
        </is>
      </c>
      <c r="B248" t="inlineStr">
        <is>
          <t>pe equal</t>
        </is>
      </c>
      <c r="C248" s="166" t="n">
        <v>15.80363877310162</v>
      </c>
      <c r="D248" s="90" t="n">
        <v>12.45013930530455</v>
      </c>
      <c r="E248" s="12" t="n">
        <v>0.212197932130975</v>
      </c>
      <c r="F248" s="90" t="n">
        <v>-1.741204212978857</v>
      </c>
      <c r="G248" s="90" t="n">
        <v>-1.110177424198182</v>
      </c>
      <c r="H248" s="12" t="n">
        <v>1.129850802089034</v>
      </c>
      <c r="I248" s="12" t="n">
        <v>16.81048994490891</v>
      </c>
      <c r="J248" s="12" t="n">
        <v>-3.16562762861408</v>
      </c>
      <c r="K248" s="90" t="n">
        <v>-0.1398541952247067</v>
      </c>
      <c r="L248" s="7" t="n">
        <v>12.45013930530455</v>
      </c>
      <c r="M248" s="14" t="n">
        <v>0.212197932130975</v>
      </c>
      <c r="N248" s="7" t="n">
        <v>-1.741204212978857</v>
      </c>
      <c r="O248" s="7" t="n">
        <v>-1.110177424198182</v>
      </c>
      <c r="P248" s="7" t="n">
        <v>-0.1398541952247067</v>
      </c>
      <c r="S248" s="99" t="n">
        <v>0.005702216514238386</v>
      </c>
      <c r="U248" s="117">
        <f>C248*S248</f>
        <v/>
      </c>
      <c r="V248" s="117">
        <f>(1+S248)*R247*(1-U248)+S248</f>
        <v/>
      </c>
      <c r="W248" s="117">
        <f>V248+I248/3</f>
        <v/>
      </c>
      <c r="X248" s="117">
        <f>V248+I248/5</f>
        <v/>
      </c>
      <c r="Y248" s="117" t="n"/>
      <c r="AA248" s="117" t="n"/>
    </row>
    <row r="249">
      <c r="B249" t="inlineStr">
        <is>
          <t>pb weighted</t>
        </is>
      </c>
      <c r="C249" s="167" t="n">
        <v>2.708101039451645</v>
      </c>
      <c r="D249" s="90" t="n">
        <v>2.073526332961054</v>
      </c>
      <c r="E249" s="12" t="n">
        <v>0.2343246050446788</v>
      </c>
      <c r="F249" s="90" t="n">
        <v>8.891928346657565</v>
      </c>
      <c r="G249" s="90" t="n">
        <v>2.283455165490452</v>
      </c>
      <c r="H249" s="12" t="n">
        <v>0.02050379336194141</v>
      </c>
      <c r="I249" s="12" t="n">
        <v>0.2280384306074281</v>
      </c>
      <c r="J249" s="12" t="n">
        <v>0.7512328606484966</v>
      </c>
      <c r="K249" s="90" t="n">
        <v>4.288312236652254</v>
      </c>
      <c r="L249" s="7" t="n">
        <v>2.073526332961054</v>
      </c>
      <c r="M249" s="14" t="n">
        <v>0.2343246050446788</v>
      </c>
      <c r="N249" s="7" t="n">
        <v>8.891928346657565</v>
      </c>
      <c r="O249" s="7" t="n">
        <v>2.283455165490452</v>
      </c>
      <c r="P249" s="7" t="n">
        <v>4.288312236652254</v>
      </c>
      <c r="W249" s="117">
        <f>V247+I249/3</f>
        <v/>
      </c>
      <c r="X249" s="117">
        <f>V247+I249/5</f>
        <v/>
      </c>
      <c r="Y249" s="117" t="n"/>
      <c r="AA249" s="117" t="n"/>
    </row>
    <row r="250">
      <c r="B250" t="inlineStr">
        <is>
          <t>pb equal</t>
        </is>
      </c>
      <c r="C250" s="167" t="n">
        <v>2.121576735052127</v>
      </c>
      <c r="D250" s="90" t="n">
        <v>1.738747176145414</v>
      </c>
      <c r="E250" s="12" t="n">
        <v>0.1804457753432648</v>
      </c>
      <c r="F250" s="90" t="n">
        <v>-44.83433701013298</v>
      </c>
      <c r="G250" s="90" t="n">
        <v>-22.13255498582351</v>
      </c>
      <c r="H250" s="12" t="n">
        <v>0.02680693210094409</v>
      </c>
      <c r="I250" s="12" t="n">
        <v>0.3781124850115158</v>
      </c>
      <c r="J250" s="12" t="n">
        <v>0.9653763544053824</v>
      </c>
      <c r="K250" s="90" t="n">
        <v>-25.78542621102922</v>
      </c>
      <c r="L250" s="7" t="n">
        <v>1.738747176145414</v>
      </c>
      <c r="M250" s="14" t="n">
        <v>0.1804457753432648</v>
      </c>
      <c r="N250" s="7" t="n">
        <v>-44.83433701013298</v>
      </c>
      <c r="O250" s="7" t="n">
        <v>-22.13255498582351</v>
      </c>
      <c r="P250" s="7" t="n">
        <v>-25.78542621102922</v>
      </c>
      <c r="W250" s="117">
        <f>V248+I250/3</f>
        <v/>
      </c>
      <c r="X250" s="117">
        <f>V248+I250/5</f>
        <v/>
      </c>
      <c r="Y250" s="117" t="n"/>
      <c r="AA250" s="117" t="n"/>
    </row>
    <row r="251">
      <c r="C251" s="101" t="n"/>
      <c r="D251" s="90" t="n"/>
      <c r="F251" s="90" t="n"/>
      <c r="G251" s="90" t="n"/>
      <c r="K251" s="90" t="n"/>
      <c r="L251" s="7" t="n"/>
      <c r="N251" s="7" t="n"/>
      <c r="O251" s="7" t="n"/>
      <c r="P251" s="7" t="n"/>
      <c r="AA251" s="117" t="n"/>
    </row>
    <row r="252">
      <c r="A252" t="inlineStr">
        <is>
          <t>医疗保健提供商与服务</t>
        </is>
      </c>
      <c r="B252" t="inlineStr">
        <is>
          <t>pe weighted</t>
        </is>
      </c>
      <c r="C252" s="166" t="n">
        <v>99.7859717406461</v>
      </c>
      <c r="D252" s="90" t="n">
        <v>15.36706198858756</v>
      </c>
      <c r="E252" s="12" t="n">
        <v>0.8459997761155433</v>
      </c>
      <c r="F252" s="90" t="n">
        <v>106.1143815794032</v>
      </c>
      <c r="G252" s="90" t="n">
        <v>0.06341983475598401</v>
      </c>
      <c r="H252" s="12" t="n">
        <v>-0.6852905588138567</v>
      </c>
      <c r="I252" s="12" t="n">
        <v>-0.4839325817037868</v>
      </c>
      <c r="J252" s="12" t="n">
        <v>-0.2743235781177156</v>
      </c>
      <c r="K252" s="90" t="n">
        <v>6.905313563400059</v>
      </c>
      <c r="L252" s="7" t="n">
        <v>23.82699641864719</v>
      </c>
      <c r="M252" s="14" t="n">
        <v>0.7612189769462187</v>
      </c>
      <c r="N252" s="7" t="n">
        <v>99.7859717406461</v>
      </c>
      <c r="O252" s="7" t="n">
        <v>0</v>
      </c>
      <c r="P252" s="7" t="n">
        <v>4.187937496920628</v>
      </c>
      <c r="Q252" s="99" t="n">
        <v>0.05276773223136204</v>
      </c>
      <c r="R252" s="99" t="n">
        <v>-0.01196132533519788</v>
      </c>
      <c r="S252" s="99" t="n">
        <v>0.006124321449237689</v>
      </c>
      <c r="U252" s="117">
        <f>C252*S252</f>
        <v/>
      </c>
      <c r="V252" s="117">
        <f>(1+S252)*Q252*(1-U252)+S252</f>
        <v/>
      </c>
      <c r="W252" s="117">
        <f>V252+I252/3</f>
        <v/>
      </c>
      <c r="X252" s="117">
        <f>V252+I252/5</f>
        <v/>
      </c>
      <c r="Y252" s="117" t="n"/>
      <c r="AA252" s="117" t="n"/>
    </row>
    <row r="253">
      <c r="A253" t="inlineStr">
        <is>
          <t>C050402</t>
        </is>
      </c>
      <c r="B253" t="inlineStr">
        <is>
          <t>pe equal</t>
        </is>
      </c>
      <c r="C253" s="167" t="n">
        <v>-233.4616708595269</v>
      </c>
      <c r="D253" s="90" t="n">
        <v>20.62553248355882</v>
      </c>
      <c r="E253" s="12" t="n">
        <v>1.088346547026853</v>
      </c>
      <c r="F253" s="90" t="n">
        <v>-102.5435350355374</v>
      </c>
      <c r="G253" s="90" t="n">
        <v>-0.5607692917727918</v>
      </c>
      <c r="H253" s="12" t="n">
        <v>-1.163537813501709</v>
      </c>
      <c r="I253" s="12" t="n">
        <v>-1.24743287414074</v>
      </c>
      <c r="J253" s="12" t="n">
        <v>-1.567251213282133</v>
      </c>
      <c r="K253" s="90" t="n">
        <v>-4.971679403539164</v>
      </c>
      <c r="L253" s="7" t="n">
        <v>20.62553248355882</v>
      </c>
      <c r="M253" s="14" t="n">
        <v>1.088346547026853</v>
      </c>
      <c r="N253" s="7" t="n">
        <v>-141.5895254790014</v>
      </c>
      <c r="O253" s="7" t="n">
        <v>-0.3935213221180306</v>
      </c>
      <c r="P253" s="7" t="n">
        <v>-6.864769459497168</v>
      </c>
      <c r="S253" s="99" t="n">
        <v>0.007469576810489252</v>
      </c>
      <c r="U253" s="117">
        <f>C253*S253</f>
        <v/>
      </c>
      <c r="V253" s="117">
        <f>(1+S253)*R252*(1-U253)+S253</f>
        <v/>
      </c>
      <c r="W253" s="117">
        <f>V253+I253/3</f>
        <v/>
      </c>
      <c r="X253" s="117">
        <f>V253+I253/5</f>
        <v/>
      </c>
      <c r="Y253" s="117" t="n"/>
      <c r="AA253" s="117" t="n"/>
    </row>
    <row r="254">
      <c r="B254" t="inlineStr">
        <is>
          <t>pb weighted</t>
        </is>
      </c>
      <c r="C254" s="168" t="n">
        <v>5.265479437256673</v>
      </c>
      <c r="D254" s="90" t="n">
        <v>2.302238881327534</v>
      </c>
      <c r="E254" s="12" t="n">
        <v>0.5627674727893334</v>
      </c>
      <c r="F254" s="90" t="n">
        <v>9.552414420637822</v>
      </c>
      <c r="G254" s="90" t="n">
        <v>0.8141585271510723</v>
      </c>
      <c r="H254" s="12" t="n">
        <v>-0.3602074131864724</v>
      </c>
      <c r="I254" s="12" t="n">
        <v>-0.1040375075488855</v>
      </c>
      <c r="J254" s="12" t="n">
        <v>0.07467577213451593</v>
      </c>
      <c r="K254" s="90" t="n">
        <v>4.14918473409225</v>
      </c>
      <c r="L254" s="7" t="n">
        <v>2.302238881327534</v>
      </c>
      <c r="M254" s="14" t="n">
        <v>0.5627674727893334</v>
      </c>
      <c r="N254" s="7" t="n">
        <v>8.449525121074776</v>
      </c>
      <c r="O254" s="7" t="n">
        <v>0.6047019500805417</v>
      </c>
      <c r="P254" s="7" t="n">
        <v>3.67013396811479</v>
      </c>
      <c r="W254" s="117">
        <f>V252+I254/3</f>
        <v/>
      </c>
      <c r="X254" s="117">
        <f>V252+I254/5</f>
        <v/>
      </c>
      <c r="Y254" s="117" t="n"/>
      <c r="AA254" s="117" t="n"/>
    </row>
    <row r="255">
      <c r="B255" t="inlineStr">
        <is>
          <t>pb equal</t>
        </is>
      </c>
      <c r="C255" s="165" t="n">
        <v>2.792510998449687</v>
      </c>
      <c r="D255" s="90" t="n">
        <v>1.908065157189159</v>
      </c>
      <c r="E255" s="12" t="n">
        <v>0.316720629480616</v>
      </c>
      <c r="F255" s="90" t="n">
        <v>10.0555257717961</v>
      </c>
      <c r="G255" s="90" t="n">
        <v>2.600890301731525</v>
      </c>
      <c r="H255" s="12" t="n">
        <v>-0.1421748235483391</v>
      </c>
      <c r="I255" s="12" t="n">
        <v>0.09237030210888308</v>
      </c>
      <c r="J255" s="12" t="n">
        <v>0.3731032110424768</v>
      </c>
      <c r="K255" s="90" t="n">
        <v>5.270011736186861</v>
      </c>
      <c r="L255" s="7" t="n">
        <v>1.908065157189159</v>
      </c>
      <c r="M255" s="14" t="n">
        <v>0.316720629480616</v>
      </c>
      <c r="N255" s="7" t="n">
        <v>3.809053926426492</v>
      </c>
      <c r="O255" s="7" t="n">
        <v>0.3640246819228845</v>
      </c>
      <c r="P255" s="7" t="n">
        <v>1.996291327932296</v>
      </c>
      <c r="W255" s="117">
        <f>V253+I255/3</f>
        <v/>
      </c>
      <c r="X255" s="117">
        <f>V253+I255/5</f>
        <v/>
      </c>
      <c r="Y255" s="117" t="n"/>
      <c r="AA255" s="117" t="n"/>
    </row>
    <row r="256">
      <c r="C256" s="101" t="n"/>
      <c r="D256" s="90" t="n"/>
      <c r="F256" s="90" t="n"/>
      <c r="G256" s="90" t="n"/>
      <c r="K256" s="90" t="n"/>
      <c r="L256" s="7" t="n"/>
      <c r="N256" s="7" t="n"/>
      <c r="O256" s="7" t="n"/>
      <c r="P256" s="7" t="n"/>
      <c r="AA256" s="117" t="n"/>
    </row>
    <row r="257">
      <c r="A257" t="inlineStr">
        <is>
          <t>化学原料药</t>
        </is>
      </c>
      <c r="B257" t="inlineStr">
        <is>
          <t>pe weighted</t>
        </is>
      </c>
      <c r="C257" s="167" t="n">
        <v>30.12294965486188</v>
      </c>
      <c r="D257" s="90" t="n">
        <v>21.32007111918252</v>
      </c>
      <c r="E257" s="12" t="n">
        <v>0.2922316252737408</v>
      </c>
      <c r="F257" s="90" t="n">
        <v>145.4886839200491</v>
      </c>
      <c r="G257" s="90" t="n">
        <v>3.829828605332714</v>
      </c>
      <c r="H257" s="12" t="n">
        <v>0.2067835376362732</v>
      </c>
      <c r="I257" s="12" t="n">
        <v>0.8117848857181376</v>
      </c>
      <c r="J257" s="12" t="n">
        <v>1.34790375451536</v>
      </c>
      <c r="K257" s="90" t="n">
        <v>6.824024324625591</v>
      </c>
      <c r="L257" s="7" t="n">
        <v>21.32007111918252</v>
      </c>
      <c r="M257" s="14" t="n">
        <v>0.2922316252737408</v>
      </c>
      <c r="N257" s="7" t="n">
        <v>89.78445393570888</v>
      </c>
      <c r="O257" s="7" t="n">
        <v>1.980599674481665</v>
      </c>
      <c r="P257" s="7" t="n">
        <v>4.211264279269979</v>
      </c>
      <c r="Q257" s="99" t="n">
        <v>0.1676307131791081</v>
      </c>
      <c r="R257" s="99" t="n">
        <v>0.05648175930020487</v>
      </c>
      <c r="S257" s="99" t="n">
        <v>0.008596104967337715</v>
      </c>
      <c r="U257" s="117">
        <f>C257*S257</f>
        <v/>
      </c>
      <c r="V257" s="117">
        <f>(1+S257)*Q257*(1-U257)+S257</f>
        <v/>
      </c>
      <c r="W257" s="117">
        <f>V257+I257/3</f>
        <v/>
      </c>
      <c r="X257" s="117">
        <f>V257+I257/5</f>
        <v/>
      </c>
      <c r="Y257" s="117" t="n"/>
      <c r="AA257" s="117" t="n"/>
    </row>
    <row r="258">
      <c r="A258" t="inlineStr">
        <is>
          <t>C060101</t>
        </is>
      </c>
      <c r="B258" t="inlineStr">
        <is>
          <t>pe equal</t>
        </is>
      </c>
      <c r="C258" s="165" t="n">
        <v>52.12655450911939</v>
      </c>
      <c r="D258" s="90" t="n">
        <v>21.31818092085514</v>
      </c>
      <c r="E258" s="12" t="n">
        <v>0.5910303084174575</v>
      </c>
      <c r="F258" s="90" t="n">
        <v>163.0016447567473</v>
      </c>
      <c r="G258" s="90" t="n">
        <v>2.127036618701331</v>
      </c>
      <c r="H258" s="12" t="n">
        <v>-0.2974045207302443</v>
      </c>
      <c r="I258" s="12" t="n">
        <v>0.08427893612301007</v>
      </c>
      <c r="J258" s="12" t="n">
        <v>0.5223700454421365</v>
      </c>
      <c r="K258" s="90" t="n">
        <v>7.646132911710405</v>
      </c>
      <c r="L258" s="7" t="n">
        <v>21.31818092085514</v>
      </c>
      <c r="M258" s="14" t="n">
        <v>0.5910303084174575</v>
      </c>
      <c r="N258" s="7" t="n">
        <v>111.7706926907205</v>
      </c>
      <c r="O258" s="7" t="n">
        <v>1.144217927758231</v>
      </c>
      <c r="P258" s="7" t="n">
        <v>5.242975144346274</v>
      </c>
      <c r="S258" s="99" t="n">
        <v>0.008706052525141913</v>
      </c>
      <c r="U258" s="117">
        <f>C258*S258</f>
        <v/>
      </c>
      <c r="V258" s="117">
        <f>(1+S258)*R257*(1-U258)+S258</f>
        <v/>
      </c>
      <c r="W258" s="117">
        <f>V258+I258/3</f>
        <v/>
      </c>
      <c r="X258" s="117">
        <f>V258+I258/5</f>
        <v/>
      </c>
      <c r="Y258" s="117" t="n"/>
      <c r="AA258" s="117" t="n"/>
    </row>
    <row r="259">
      <c r="B259" t="inlineStr">
        <is>
          <t>pb weighted</t>
        </is>
      </c>
      <c r="C259" s="165" t="n">
        <v>5.049531533702866</v>
      </c>
      <c r="D259" s="90" t="n">
        <v>3.308963949367426</v>
      </c>
      <c r="E259" s="12" t="n">
        <v>0.3446988245777062</v>
      </c>
      <c r="F259" s="90" t="n">
        <v>15.42435027673006</v>
      </c>
      <c r="G259" s="90" t="n">
        <v>2.054610150225014</v>
      </c>
      <c r="H259" s="12" t="n">
        <v>-0.01942050696120323</v>
      </c>
      <c r="I259" s="12" t="n">
        <v>0.203111242362825</v>
      </c>
      <c r="J259" s="12" t="n">
        <v>0.633639405277671</v>
      </c>
      <c r="K259" s="90" t="n">
        <v>4.661383597025506</v>
      </c>
      <c r="L259" s="7" t="n">
        <v>3.308963949367426</v>
      </c>
      <c r="M259" s="14" t="n">
        <v>0.3446988245777062</v>
      </c>
      <c r="N259" s="7" t="n">
        <v>12.02463529015044</v>
      </c>
      <c r="O259" s="7" t="n">
        <v>1.381336805185305</v>
      </c>
      <c r="P259" s="7" t="n">
        <v>3.633957780787906</v>
      </c>
      <c r="W259" s="117">
        <f>V257+I259/3</f>
        <v/>
      </c>
      <c r="X259" s="117">
        <f>V257+I259/5</f>
        <v/>
      </c>
      <c r="Y259" s="117" t="n"/>
      <c r="AA259" s="117" t="n"/>
    </row>
    <row r="260">
      <c r="B260" t="inlineStr">
        <is>
          <t>pb equal</t>
        </is>
      </c>
      <c r="C260" s="167" t="n">
        <v>2.944199504933091</v>
      </c>
      <c r="D260" s="90" t="n">
        <v>2.355440769167658</v>
      </c>
      <c r="E260" s="12" t="n">
        <v>0.1999724321598962</v>
      </c>
      <c r="F260" s="90" t="n">
        <v>14.6616987006083</v>
      </c>
      <c r="G260" s="90" t="n">
        <v>3.979859101274285</v>
      </c>
      <c r="H260" s="12" t="n">
        <v>0.07305836047766623</v>
      </c>
      <c r="I260" s="12" t="n">
        <v>0.5347803365834014</v>
      </c>
      <c r="J260" s="12" t="n">
        <v>1.110472308646313</v>
      </c>
      <c r="K260" s="90" t="n">
        <v>6.224609377797812</v>
      </c>
      <c r="L260" s="7" t="n">
        <v>2.355440769167658</v>
      </c>
      <c r="M260" s="14" t="n">
        <v>0.1999724321598962</v>
      </c>
      <c r="N260" s="7" t="n">
        <v>7.097771777627602</v>
      </c>
      <c r="O260" s="7" t="n">
        <v>1.410764544228434</v>
      </c>
      <c r="P260" s="7" t="n">
        <v>3.013351840783388</v>
      </c>
      <c r="W260" s="117">
        <f>V258+I260/3</f>
        <v/>
      </c>
      <c r="X260" s="117">
        <f>V258+I260/5</f>
        <v/>
      </c>
      <c r="Y260" s="117" t="n"/>
      <c r="AA260" s="117" t="n"/>
    </row>
    <row r="261">
      <c r="C261" s="101" t="n"/>
      <c r="D261" s="90" t="n"/>
      <c r="F261" s="90" t="n"/>
      <c r="G261" s="90" t="n"/>
      <c r="K261" s="90" t="n"/>
      <c r="L261" s="7" t="n"/>
      <c r="N261" s="7" t="n"/>
      <c r="O261" s="7" t="n"/>
      <c r="P261" s="7" t="n"/>
      <c r="AA261" s="117" t="n"/>
    </row>
    <row r="262">
      <c r="A262" t="inlineStr">
        <is>
          <t>化学制剂</t>
        </is>
      </c>
      <c r="B262" t="inlineStr">
        <is>
          <t>pe weighted</t>
        </is>
      </c>
      <c r="C262" s="165" t="n">
        <v>68.51969024138484</v>
      </c>
      <c r="D262" s="90" t="n">
        <v>44.82477982770235</v>
      </c>
      <c r="E262" s="12" t="n">
        <v>0.3458116977792629</v>
      </c>
      <c r="F262" s="90" t="n">
        <v>-96.46579156778691</v>
      </c>
      <c r="G262" s="90" t="n">
        <v>-2.407855044702509</v>
      </c>
      <c r="H262" s="12" t="n">
        <v>-0.09313782398179371</v>
      </c>
      <c r="I262" s="12" t="n">
        <v>0.2047252730801101</v>
      </c>
      <c r="J262" s="12" t="n">
        <v>0.7086258428178651</v>
      </c>
      <c r="K262" s="90" t="n">
        <v>-2.152063923985404</v>
      </c>
      <c r="L262" s="7" t="n">
        <v>44.82477982770235</v>
      </c>
      <c r="M262" s="14" t="n">
        <v>0.3458116977792629</v>
      </c>
      <c r="N262" s="7" t="n">
        <v>-96.46579156778691</v>
      </c>
      <c r="O262" s="7" t="n">
        <v>-2.407855044702509</v>
      </c>
      <c r="P262" s="7" t="n">
        <v>-2.152063923985404</v>
      </c>
      <c r="Q262" s="99" t="n">
        <v>0.09545755475885864</v>
      </c>
      <c r="R262" s="99" t="n">
        <v>-0.1635223409582862</v>
      </c>
      <c r="S262" s="99" t="n">
        <v>0.003010127578780431</v>
      </c>
      <c r="U262" s="117">
        <f>C262*S262</f>
        <v/>
      </c>
      <c r="V262" s="117">
        <f>(1+S262)*Q262*(1-U262)+S262</f>
        <v/>
      </c>
      <c r="W262" s="117">
        <f>V262+I262/3</f>
        <v/>
      </c>
      <c r="X262" s="117">
        <f>V262+I262/5</f>
        <v/>
      </c>
      <c r="Y262" s="117" t="n"/>
      <c r="AA262" s="117" t="n"/>
    </row>
    <row r="263">
      <c r="A263" t="inlineStr">
        <is>
          <t>C060102</t>
        </is>
      </c>
      <c r="B263" t="inlineStr">
        <is>
          <t>pe equal</t>
        </is>
      </c>
      <c r="C263" s="166" t="n">
        <v>-27.51131405234349</v>
      </c>
      <c r="D263" s="90" t="n">
        <v>41.5357739871168</v>
      </c>
      <c r="E263" s="12" t="n">
        <v>2.509770631387877</v>
      </c>
      <c r="F263" s="90" t="n">
        <v>-5.068298244991847</v>
      </c>
      <c r="G263" s="90" t="n">
        <v>-0.815774039896865</v>
      </c>
      <c r="H263" s="12" t="n">
        <v>-3.570006508031006</v>
      </c>
      <c r="I263" s="12" t="n">
        <v>-6.989709968833735</v>
      </c>
      <c r="J263" s="12" t="n">
        <v>0.8177494257854376</v>
      </c>
      <c r="K263" s="90" t="n">
        <v>-0.1220224822718818</v>
      </c>
      <c r="L263" s="7" t="n">
        <v>69.6931598859331</v>
      </c>
      <c r="M263" s="14" t="n">
        <v>3.533254491346132</v>
      </c>
      <c r="N263" s="7" t="n">
        <v>-5.068298244991847</v>
      </c>
      <c r="O263" s="7" t="n">
        <v>-0.815774039896865</v>
      </c>
      <c r="P263" s="7" t="n">
        <v>-0.07272303699942918</v>
      </c>
      <c r="S263" s="99" t="n">
        <v>0.002097625295854865</v>
      </c>
      <c r="U263" s="117">
        <f>C263*S263</f>
        <v/>
      </c>
      <c r="V263" s="117">
        <f>(1+S263)*R262*(1-U263)+S263</f>
        <v/>
      </c>
      <c r="W263" s="117">
        <f>V263+I263/3</f>
        <v/>
      </c>
      <c r="X263" s="117">
        <f>V263+I263/5</f>
        <v/>
      </c>
      <c r="Y263" s="117" t="n"/>
      <c r="AA263" s="117" t="n"/>
    </row>
    <row r="264">
      <c r="B264" t="inlineStr">
        <is>
          <t>pb weighted</t>
        </is>
      </c>
      <c r="C264" s="167" t="n">
        <v>6.540722083277025</v>
      </c>
      <c r="D264" s="90" t="n">
        <v>4.875793642694325</v>
      </c>
      <c r="E264" s="12" t="n">
        <v>0.2545481094265573</v>
      </c>
      <c r="F264" s="90" t="n">
        <v>28.36955940559029</v>
      </c>
      <c r="G264" s="90" t="n">
        <v>3.337374229387316</v>
      </c>
      <c r="H264" s="12" t="n">
        <v>0.05695542223077577</v>
      </c>
      <c r="I264" s="12" t="n">
        <v>0.3827584661714398</v>
      </c>
      <c r="J264" s="12" t="n">
        <v>0.8680748058107808</v>
      </c>
      <c r="K264" s="90" t="n">
        <v>5.818449566276864</v>
      </c>
      <c r="L264" s="7" t="n">
        <v>4.875793642694325</v>
      </c>
      <c r="M264" s="14" t="n">
        <v>0.2545481094265573</v>
      </c>
      <c r="N264" s="7" t="n">
        <v>15.65260558462624</v>
      </c>
      <c r="O264" s="7" t="n">
        <v>1.393100545373423</v>
      </c>
      <c r="P264" s="7" t="n">
        <v>3.210268262291907</v>
      </c>
      <c r="W264" s="117">
        <f>V262+I264/3</f>
        <v/>
      </c>
      <c r="X264" s="117">
        <f>V262+I264/5</f>
        <v/>
      </c>
      <c r="Y264" s="117" t="n"/>
      <c r="AA264" s="117" t="n"/>
    </row>
    <row r="265">
      <c r="B265" t="inlineStr">
        <is>
          <t>pb equal</t>
        </is>
      </c>
      <c r="C265" s="165" t="n">
        <v>4.498714476677803</v>
      </c>
      <c r="D265" s="90" t="n">
        <v>2.369587839844973</v>
      </c>
      <c r="E265" s="12" t="n">
        <v>0.4732744538180029</v>
      </c>
      <c r="F265" s="90" t="n">
        <v>28.08399729626401</v>
      </c>
      <c r="G265" s="90" t="n">
        <v>5.242671643612154</v>
      </c>
      <c r="H265" s="12" t="n">
        <v>-0.2761377054655662</v>
      </c>
      <c r="I265" s="12" t="n">
        <v>0.1342391425403191</v>
      </c>
      <c r="J265" s="12" t="n">
        <v>1.41486188360911</v>
      </c>
      <c r="K265" s="90" t="n">
        <v>11.85184901105053</v>
      </c>
      <c r="L265" s="7" t="n">
        <v>2.369587839844973</v>
      </c>
      <c r="M265" s="14" t="n">
        <v>0.4732744538180029</v>
      </c>
      <c r="N265" s="7" t="n">
        <v>6.040459138904483</v>
      </c>
      <c r="O265" s="7" t="n">
        <v>0.342707826917974</v>
      </c>
      <c r="P265" s="7" t="n">
        <v>2.549160253666592</v>
      </c>
      <c r="W265" s="117">
        <f>V263+I265/3</f>
        <v/>
      </c>
      <c r="X265" s="117">
        <f>V263+I265/5</f>
        <v/>
      </c>
      <c r="Y265" s="117" t="n"/>
      <c r="AA265" s="117" t="n"/>
    </row>
    <row r="266">
      <c r="C266" s="101" t="n"/>
      <c r="D266" s="90" t="n"/>
      <c r="F266" s="90" t="n"/>
      <c r="G266" s="90" t="n"/>
      <c r="K266" s="90" t="n"/>
      <c r="L266" s="7" t="n"/>
      <c r="N266" s="7" t="n"/>
      <c r="O266" s="7" t="n"/>
      <c r="P266" s="7" t="n"/>
      <c r="AA266" s="117" t="n"/>
    </row>
    <row r="267">
      <c r="A267" s="128" t="inlineStr">
        <is>
          <t>中药</t>
        </is>
      </c>
      <c r="B267" t="inlineStr">
        <is>
          <t>pe weighted</t>
        </is>
      </c>
      <c r="C267" s="165" t="n">
        <v>36.2849087446705</v>
      </c>
      <c r="D267" s="90" t="n">
        <v>18.89272848380804</v>
      </c>
      <c r="E267" s="12" t="n">
        <v>0.4793226953731008</v>
      </c>
      <c r="F267" s="90" t="n">
        <v>108.2491529721118</v>
      </c>
      <c r="G267" s="90" t="n">
        <v>1.983310602593466</v>
      </c>
      <c r="H267" s="12" t="n">
        <v>-0.03474398504447695</v>
      </c>
      <c r="I267" s="12" t="n">
        <v>0.1698512190912242</v>
      </c>
      <c r="J267" s="12" t="n">
        <v>0.3660741638450715</v>
      </c>
      <c r="K267" s="90" t="n">
        <v>5.729672824382486</v>
      </c>
      <c r="L267" s="7" t="n">
        <v>18.89272848380804</v>
      </c>
      <c r="M267" s="14" t="n">
        <v>0.4793226953731008</v>
      </c>
      <c r="N267" s="7" t="n">
        <v>61.15776855453084</v>
      </c>
      <c r="O267" s="7" t="n">
        <v>0.685487732238369</v>
      </c>
      <c r="P267" s="7" t="n">
        <v>3.237106202364891</v>
      </c>
      <c r="Q267" s="99" t="n">
        <v>0.08529831264834956</v>
      </c>
      <c r="R267" s="99" t="n">
        <v>0.05503156606728796</v>
      </c>
      <c r="S267" s="99" t="n">
        <v>0.00885567956037131</v>
      </c>
      <c r="U267" s="117">
        <f>C267*S267</f>
        <v/>
      </c>
      <c r="V267" s="117">
        <f>(1+S267)*Q267*(1-U267)+S267</f>
        <v/>
      </c>
      <c r="W267" s="117">
        <f>V267+I267/3</f>
        <v/>
      </c>
      <c r="X267" s="117">
        <f>V267+I267/5</f>
        <v/>
      </c>
      <c r="Y267" s="117" t="n"/>
      <c r="AA267" s="36" t="n"/>
    </row>
    <row r="268">
      <c r="A268" t="inlineStr">
        <is>
          <t>C060201</t>
        </is>
      </c>
      <c r="B268" t="inlineStr">
        <is>
          <t>pe equal</t>
        </is>
      </c>
      <c r="C268" s="165" t="n">
        <v>50.36177566928117</v>
      </c>
      <c r="D268" s="90" t="n">
        <v>21.07208516276985</v>
      </c>
      <c r="E268" s="12" t="n">
        <v>0.5815857387327381</v>
      </c>
      <c r="F268" s="90" t="n">
        <v>174.4481482319497</v>
      </c>
      <c r="G268" s="90" t="n">
        <v>2.463899870757667</v>
      </c>
      <c r="H268" s="12" t="n">
        <v>-0.1349721651819691</v>
      </c>
      <c r="I268" s="12" t="n">
        <v>0.03938866560118881</v>
      </c>
      <c r="J268" s="12" t="n">
        <v>0.2730024043716635</v>
      </c>
      <c r="K268" s="90" t="n">
        <v>8.278637205783726</v>
      </c>
      <c r="L268" s="7" t="n">
        <v>21.07208516276985</v>
      </c>
      <c r="M268" s="14" t="n">
        <v>0.5815857387327381</v>
      </c>
      <c r="N268" s="7" t="n">
        <v>90.29359027658252</v>
      </c>
      <c r="O268" s="7" t="n">
        <v>0.7928992589444832</v>
      </c>
      <c r="P268" s="7" t="n">
        <v>4.284986017241104</v>
      </c>
      <c r="S268" s="99" t="n">
        <v>0.006150050283371307</v>
      </c>
      <c r="U268" s="117">
        <f>C268*S268</f>
        <v/>
      </c>
      <c r="V268" s="117">
        <f>(1+S268)*R267*(1-U268)+S268</f>
        <v/>
      </c>
      <c r="W268" s="117">
        <f>V268+I268/3</f>
        <v/>
      </c>
      <c r="X268" s="117">
        <f>V268+I268/5</f>
        <v/>
      </c>
      <c r="Y268" s="117" t="n"/>
      <c r="AA268" s="117" t="n"/>
    </row>
    <row r="269">
      <c r="B269" t="inlineStr">
        <is>
          <t>pb weighted</t>
        </is>
      </c>
      <c r="C269" s="165" t="n">
        <v>3.095041490519737</v>
      </c>
      <c r="D269" s="90" t="n">
        <v>1.92061057864176</v>
      </c>
      <c r="E269" s="12" t="n">
        <v>0.3794556278083239</v>
      </c>
      <c r="F269" s="90" t="n">
        <v>6.731567346517218</v>
      </c>
      <c r="G269" s="90" t="n">
        <v>1.174952215385912</v>
      </c>
      <c r="H269" s="12" t="n">
        <v>-0.08021037104630713</v>
      </c>
      <c r="I269" s="12" t="n">
        <v>0.08046604133691182</v>
      </c>
      <c r="J269" s="12" t="n">
        <v>0.2958394864056826</v>
      </c>
      <c r="K269" s="90" t="n">
        <v>3.504910064213917</v>
      </c>
      <c r="L269" s="7" t="n">
        <v>1.92061057864176</v>
      </c>
      <c r="M269" s="14" t="n">
        <v>0.3794556278083239</v>
      </c>
      <c r="N269" s="7" t="n">
        <v>5.083407889668288</v>
      </c>
      <c r="O269" s="7" t="n">
        <v>0.6424361047304259</v>
      </c>
      <c r="P269" s="7" t="n">
        <v>2.646766578398851</v>
      </c>
      <c r="W269" s="117">
        <f>V267+I269/3</f>
        <v/>
      </c>
      <c r="X269" s="117">
        <f>V267+I269/5</f>
        <v/>
      </c>
      <c r="Y269" s="117" t="n"/>
      <c r="AA269" s="117" t="n"/>
    </row>
    <row r="270">
      <c r="B270" t="inlineStr">
        <is>
          <t>pb equal</t>
        </is>
      </c>
      <c r="C270" s="165" t="n">
        <v>2.771487385009982</v>
      </c>
      <c r="D270" s="90" t="n">
        <v>1.8646284114572</v>
      </c>
      <c r="E270" s="12" t="n">
        <v>0.3272102115483796</v>
      </c>
      <c r="F270" s="90" t="n">
        <v>6.695258685760934</v>
      </c>
      <c r="G270" s="90" t="n">
        <v>1.415763723830487</v>
      </c>
      <c r="H270" s="12" t="n">
        <v>-0.05846036878920446</v>
      </c>
      <c r="I270" s="12" t="n">
        <v>0.0480683279814873</v>
      </c>
      <c r="J270" s="12" t="n">
        <v>0.335669084317523</v>
      </c>
      <c r="K270" s="90" t="n">
        <v>3.590666453767382</v>
      </c>
      <c r="L270" s="7" t="n">
        <v>1.8646284114572</v>
      </c>
      <c r="M270" s="14" t="n">
        <v>0.3272102115483796</v>
      </c>
      <c r="N270" s="7" t="n">
        <v>3.738271079461352</v>
      </c>
      <c r="O270" s="7" t="n">
        <v>0.3488320746759914</v>
      </c>
      <c r="P270" s="7" t="n">
        <v>2.004834344736766</v>
      </c>
      <c r="W270" s="117">
        <f>V268+I270/3</f>
        <v/>
      </c>
      <c r="X270" s="117">
        <f>V268+I270/5</f>
        <v/>
      </c>
      <c r="Y270" s="117" t="n"/>
      <c r="AA270" s="117" t="n"/>
    </row>
    <row r="271">
      <c r="C271" s="101" t="n"/>
      <c r="D271" s="90" t="n"/>
      <c r="F271" s="90" t="n"/>
      <c r="G271" s="90" t="n"/>
      <c r="K271" s="90" t="n"/>
      <c r="L271" s="7" t="n"/>
      <c r="N271" s="7" t="n"/>
      <c r="O271" s="7" t="n"/>
      <c r="P271" s="7" t="n"/>
      <c r="AA271" s="117" t="n"/>
    </row>
    <row r="272">
      <c r="A272" t="inlineStr">
        <is>
          <t>生物科技</t>
        </is>
      </c>
      <c r="B272" t="inlineStr">
        <is>
          <t>pe weighted</t>
        </is>
      </c>
      <c r="C272" s="168" t="n">
        <v>46.53270602635081</v>
      </c>
      <c r="D272" s="90" t="n">
        <v>22.84438249311873</v>
      </c>
      <c r="E272" s="12" t="n">
        <v>0.5090682566326084</v>
      </c>
      <c r="F272" s="90" t="n">
        <v>86.30566477373343</v>
      </c>
      <c r="G272" s="90" t="n">
        <v>0.8547312663239433</v>
      </c>
      <c r="H272" s="12" t="n">
        <v>-0.2575937051547609</v>
      </c>
      <c r="I272" s="12" t="n">
        <v>-0.1193854384439665</v>
      </c>
      <c r="J272" s="12" t="n">
        <v>0.09928438106298376</v>
      </c>
      <c r="K272" s="90" t="n">
        <v>3.777981952444139</v>
      </c>
      <c r="L272" s="7" t="n">
        <v>22.84438249311873</v>
      </c>
      <c r="M272" s="14" t="n">
        <v>0.5090682566326084</v>
      </c>
      <c r="N272" s="7" t="n">
        <v>73.0344072095353</v>
      </c>
      <c r="O272" s="7" t="n">
        <v>0.5695284767702304</v>
      </c>
      <c r="P272" s="7" t="n">
        <v>3.197040113977035</v>
      </c>
      <c r="Q272" s="99" t="n">
        <v>0.06957343623592292</v>
      </c>
      <c r="R272" s="99" t="n">
        <v>0.02861625554573979</v>
      </c>
      <c r="S272" s="99" t="n">
        <v>0.01049669086829784</v>
      </c>
      <c r="U272" s="117">
        <f>C272*S272</f>
        <v/>
      </c>
      <c r="V272" s="117">
        <f>(1+S272)*Q272*(1-U272)+S272</f>
        <v/>
      </c>
      <c r="W272" s="117">
        <f>V272+I272/3</f>
        <v/>
      </c>
      <c r="X272" s="117">
        <f>V272+I272/5</f>
        <v/>
      </c>
      <c r="Y272" s="117" t="n"/>
      <c r="AA272" s="117" t="n"/>
    </row>
    <row r="273">
      <c r="A273" t="inlineStr">
        <is>
          <t>C060202</t>
        </is>
      </c>
      <c r="B273" t="inlineStr">
        <is>
          <t>pe equal</t>
        </is>
      </c>
      <c r="C273" s="166" t="n">
        <v>97.19915215388075</v>
      </c>
      <c r="D273" s="90" t="n">
        <v>23.41109135083707</v>
      </c>
      <c r="E273" s="12" t="n">
        <v>0.759143049789428</v>
      </c>
      <c r="F273" s="90" t="n">
        <v>-124.9078864859786</v>
      </c>
      <c r="G273" s="90" t="n">
        <v>-2.285071769846621</v>
      </c>
      <c r="H273" s="12" t="n">
        <v>-0.5533919926388713</v>
      </c>
      <c r="I273" s="12" t="n">
        <v>-0.4171738057178008</v>
      </c>
      <c r="J273" s="12" t="n">
        <v>-0.1467951198481149</v>
      </c>
      <c r="K273" s="90" t="n">
        <v>-5.335414937053437</v>
      </c>
      <c r="L273" s="7" t="n">
        <v>23.41109135083707</v>
      </c>
      <c r="M273" s="14" t="n">
        <v>0.759143049789428</v>
      </c>
      <c r="N273" s="7" t="n">
        <v>-124.9078864859786</v>
      </c>
      <c r="O273" s="7" t="n">
        <v>-2.285071769846621</v>
      </c>
      <c r="P273" s="7" t="n">
        <v>-5.335414937053437</v>
      </c>
      <c r="S273" s="99" t="n">
        <v>0.01113595593912755</v>
      </c>
      <c r="U273" s="117">
        <f>C273*S273</f>
        <v/>
      </c>
      <c r="V273" s="117">
        <f>(1+S273)*R272*(1-U273)+S273</f>
        <v/>
      </c>
      <c r="W273" s="117">
        <f>V273+I273/3</f>
        <v/>
      </c>
      <c r="X273" s="117">
        <f>V273+I273/5</f>
        <v/>
      </c>
      <c r="Y273" s="117" t="n"/>
      <c r="AA273" s="117" t="n"/>
    </row>
    <row r="274">
      <c r="B274" t="inlineStr">
        <is>
          <t>pb weighted</t>
        </is>
      </c>
      <c r="C274" s="167" t="n">
        <v>3.237440255609264</v>
      </c>
      <c r="D274" s="90" t="n">
        <v>2.534333163407851</v>
      </c>
      <c r="E274" s="12" t="n">
        <v>0.2171799436246563</v>
      </c>
      <c r="F274" s="90" t="n">
        <v>7.180686020642626</v>
      </c>
      <c r="G274" s="90" t="n">
        <v>1.218013446951246</v>
      </c>
      <c r="H274" s="12" t="n">
        <v>0.04516806835825649</v>
      </c>
      <c r="I274" s="12" t="n">
        <v>0.1849391456539051</v>
      </c>
      <c r="J274" s="12" t="n">
        <v>0.3086527974357487</v>
      </c>
      <c r="K274" s="90" t="n">
        <v>2.833363081192902</v>
      </c>
      <c r="L274" s="7" t="n">
        <v>2.534333163407851</v>
      </c>
      <c r="M274" s="14" t="n">
        <v>0.2171799436246563</v>
      </c>
      <c r="N274" s="7" t="n">
        <v>5.145485873809</v>
      </c>
      <c r="O274" s="7" t="n">
        <v>0.5893685960362702</v>
      </c>
      <c r="P274" s="7" t="n">
        <v>2.03031154234276</v>
      </c>
      <c r="W274" s="117">
        <f>V272+I274/3</f>
        <v/>
      </c>
      <c r="X274" s="117">
        <f>V272+I274/5</f>
        <v/>
      </c>
      <c r="Y274" s="117" t="n"/>
      <c r="AA274" s="117" t="n"/>
    </row>
    <row r="275">
      <c r="B275" t="inlineStr">
        <is>
          <t>pb equal</t>
        </is>
      </c>
      <c r="C275" s="165" t="n">
        <v>2.781475776864695</v>
      </c>
      <c r="D275" s="90" t="n">
        <v>1.959006872632971</v>
      </c>
      <c r="E275" s="12" t="n">
        <v>0.2956951525778947</v>
      </c>
      <c r="F275" s="90" t="n">
        <v>7.352819575007775</v>
      </c>
      <c r="G275" s="90" t="n">
        <v>1.643495814763464</v>
      </c>
      <c r="H275" s="12" t="n">
        <v>-0.1069609159824831</v>
      </c>
      <c r="I275" s="12" t="n">
        <v>0.1571569879745407</v>
      </c>
      <c r="J275" s="12" t="n">
        <v>0.4373591788738107</v>
      </c>
      <c r="K275" s="90" t="n">
        <v>3.753340367369584</v>
      </c>
      <c r="L275" s="7" t="n">
        <v>1.959006872632971</v>
      </c>
      <c r="M275" s="14" t="n">
        <v>0.2956951525778947</v>
      </c>
      <c r="N275" s="7" t="n">
        <v>3.38736150738958</v>
      </c>
      <c r="O275" s="7" t="n">
        <v>0.2178288718400578</v>
      </c>
      <c r="P275" s="7" t="n">
        <v>1.729121808968874</v>
      </c>
      <c r="W275" s="117">
        <f>V273+I275/3</f>
        <v/>
      </c>
      <c r="X275" s="117">
        <f>V273+I275/5</f>
        <v/>
      </c>
      <c r="Y275" s="117" t="n"/>
      <c r="AA275" s="117" t="n"/>
    </row>
    <row r="276">
      <c r="C276" s="101" t="n"/>
      <c r="D276" s="90" t="n"/>
      <c r="F276" s="90" t="n"/>
      <c r="G276" s="90" t="n"/>
      <c r="K276" s="90" t="n"/>
      <c r="L276" s="7" t="n"/>
      <c r="N276" s="7" t="n"/>
      <c r="O276" s="7" t="n"/>
      <c r="P276" s="7" t="n"/>
      <c r="AA276" s="117" t="n"/>
    </row>
    <row r="277">
      <c r="A277" s="128" t="inlineStr">
        <is>
          <t>银行</t>
        </is>
      </c>
      <c r="B277" t="inlineStr">
        <is>
          <t>pe weighted</t>
        </is>
      </c>
      <c r="C277" s="168" t="n">
        <v>34.82987163005827</v>
      </c>
      <c r="D277" s="90" t="n">
        <v>17.71092100224108</v>
      </c>
      <c r="E277" s="12" t="n">
        <v>0.4915019730662313</v>
      </c>
      <c r="F277" s="90" t="n">
        <v>-248.8592675954448</v>
      </c>
      <c r="G277" s="90" t="n">
        <v>-8.144995256906963</v>
      </c>
      <c r="H277" s="12" t="n">
        <v>-0.1538318621828478</v>
      </c>
      <c r="I277" s="12" t="n">
        <v>-0.02787030828727899</v>
      </c>
      <c r="J277" s="12" t="n">
        <v>0.3744182972521377</v>
      </c>
      <c r="K277" s="90" t="n">
        <v>-14.05117597012346</v>
      </c>
      <c r="L277" s="7" t="n">
        <v>17.71092100224108</v>
      </c>
      <c r="M277" s="14" t="n">
        <v>0.4915019730662313</v>
      </c>
      <c r="N277" s="7" t="n">
        <v>-248.8592675954448</v>
      </c>
      <c r="O277" s="7" t="n">
        <v>-8.144995256906963</v>
      </c>
      <c r="P277" s="7" t="n">
        <v>-14.05117597012346</v>
      </c>
      <c r="Q277" s="99" t="n">
        <v>0.0894638957631876</v>
      </c>
      <c r="R277" s="99" t="n">
        <v>-0.1103368545961204</v>
      </c>
      <c r="S277" s="99" t="n">
        <v>0.01198716492377569</v>
      </c>
      <c r="U277" s="117">
        <f>C277*S277</f>
        <v/>
      </c>
      <c r="V277" s="117">
        <f>(1+S277)*Q277*(1-U277)+S277</f>
        <v/>
      </c>
      <c r="W277" s="117">
        <f>V277+I277/3</f>
        <v/>
      </c>
      <c r="X277" s="117">
        <f>V277+I277/5</f>
        <v/>
      </c>
      <c r="Y277" s="117" t="n"/>
      <c r="AA277" s="36" t="n"/>
    </row>
    <row r="278">
      <c r="A278" t="inlineStr">
        <is>
          <t>C060203</t>
        </is>
      </c>
      <c r="B278" t="inlineStr">
        <is>
          <t>pe equal</t>
        </is>
      </c>
      <c r="C278" s="166" t="n">
        <v>-24.04110993580173</v>
      </c>
      <c r="D278" s="90" t="n">
        <v>20.44626827172686</v>
      </c>
      <c r="E278" s="12" t="n">
        <v>1.850471060875543</v>
      </c>
      <c r="F278" s="90" t="n">
        <v>-23.71954296452377</v>
      </c>
      <c r="G278" s="90" t="n">
        <v>-0.01337571235840018</v>
      </c>
      <c r="H278" s="12" t="n">
        <v>-2.485083418599429</v>
      </c>
      <c r="I278" s="12" t="n">
        <v>-2.727809511211335</v>
      </c>
      <c r="J278" s="12" t="n">
        <v>19.09622596564499</v>
      </c>
      <c r="K278" s="90" t="n">
        <v>-1.160091545767459</v>
      </c>
      <c r="L278" s="7" t="n">
        <v>20.44626827172686</v>
      </c>
      <c r="M278" s="14" t="n">
        <v>1.850471060875543</v>
      </c>
      <c r="N278" s="7" t="n">
        <v>-23.71954296452377</v>
      </c>
      <c r="O278" s="7" t="n">
        <v>-0.01337571235840018</v>
      </c>
      <c r="P278" s="7" t="n">
        <v>-1.160091545767459</v>
      </c>
      <c r="S278" s="99" t="n">
        <v>0.0111741647397319</v>
      </c>
      <c r="U278" s="117">
        <f>C278*S278</f>
        <v/>
      </c>
      <c r="V278" s="117">
        <f>(1+S278)*R277*(1-U278)+S278</f>
        <v/>
      </c>
      <c r="W278" s="117">
        <f>V278+I278/3</f>
        <v/>
      </c>
      <c r="X278" s="117">
        <f>V278+I278/5</f>
        <v/>
      </c>
      <c r="Y278" s="117" t="n"/>
      <c r="AA278" s="117" t="n"/>
    </row>
    <row r="279">
      <c r="B279" t="inlineStr">
        <is>
          <t>pb weighted</t>
        </is>
      </c>
      <c r="C279" s="165" t="n">
        <v>3.116016004956738</v>
      </c>
      <c r="D279" s="90" t="n">
        <v>2.295731650284373</v>
      </c>
      <c r="E279" s="12" t="n">
        <v>0.2632477989097344</v>
      </c>
      <c r="F279" s="90" t="n">
        <v>7.977689134230285</v>
      </c>
      <c r="G279" s="90" t="n">
        <v>1.560220846600255</v>
      </c>
      <c r="H279" s="12" t="n">
        <v>-0.06961106984512488</v>
      </c>
      <c r="I279" s="12" t="n">
        <v>0.2540509886131523</v>
      </c>
      <c r="J279" s="12" t="n">
        <v>0.5345343220514096</v>
      </c>
      <c r="K279" s="90" t="n">
        <v>3.475009430323482</v>
      </c>
      <c r="L279" s="7" t="n">
        <v>2.295731650284373</v>
      </c>
      <c r="M279" s="14" t="n">
        <v>0.2632477989097344</v>
      </c>
      <c r="N279" s="7" t="n">
        <v>4.305228885841947</v>
      </c>
      <c r="O279" s="7" t="n">
        <v>0.3816453057344675</v>
      </c>
      <c r="P279" s="7" t="n">
        <v>1.875318870700178</v>
      </c>
      <c r="W279" s="117">
        <f>V277+I279/3</f>
        <v/>
      </c>
      <c r="X279" s="117">
        <f>V277+I279/5</f>
        <v/>
      </c>
      <c r="Y279" s="117" t="n"/>
      <c r="AA279" s="117" t="n"/>
    </row>
    <row r="280">
      <c r="B280" t="inlineStr">
        <is>
          <t>pb equal</t>
        </is>
      </c>
      <c r="C280" s="165" t="n">
        <v>2.652620451315902</v>
      </c>
      <c r="D280" s="90" t="n">
        <v>1.765686254058722</v>
      </c>
      <c r="E280" s="12" t="n">
        <v>0.3343615166720112</v>
      </c>
      <c r="F280" s="90" t="n">
        <v>8.405159636497366</v>
      </c>
      <c r="G280" s="90" t="n">
        <v>2.168625059920565</v>
      </c>
      <c r="H280" s="12" t="n">
        <v>-0.1595654290112825</v>
      </c>
      <c r="I280" s="12" t="n">
        <v>0.2457487902247544</v>
      </c>
      <c r="J280" s="12" t="n">
        <v>0.6603831226465444</v>
      </c>
      <c r="K280" s="90" t="n">
        <v>4.760279249598685</v>
      </c>
      <c r="L280" s="7" t="n">
        <v>1.765686254058722</v>
      </c>
      <c r="M280" s="14" t="n">
        <v>0.3343615166720112</v>
      </c>
      <c r="N280" s="7" t="n">
        <v>3.436050985466544</v>
      </c>
      <c r="O280" s="7" t="n">
        <v>0.2953421149120679</v>
      </c>
      <c r="P280" s="7" t="n">
        <v>1.946014461837833</v>
      </c>
      <c r="W280" s="117">
        <f>V278+I280/3</f>
        <v/>
      </c>
      <c r="X280" s="117">
        <f>V278+I280/5</f>
        <v/>
      </c>
      <c r="Y280" s="117" t="n"/>
      <c r="AA280" s="117" t="n"/>
    </row>
    <row r="281">
      <c r="A281" s="99">
        <f>2.08/C284-1</f>
        <v/>
      </c>
      <c r="B281" s="99">
        <f>2.21/C284-1</f>
        <v/>
      </c>
      <c r="C281" s="99">
        <f>2.54/C284-1</f>
        <v/>
      </c>
      <c r="D281" s="99">
        <f>2.95/C284-1</f>
        <v/>
      </c>
      <c r="F281" s="12" t="n"/>
      <c r="G281" s="90" t="n"/>
      <c r="K281" s="90" t="n"/>
      <c r="L281" s="7" t="n"/>
      <c r="N281" s="7" t="n"/>
      <c r="O281" s="7" t="n"/>
      <c r="P281" s="7" t="n"/>
      <c r="AA281" s="117" t="n"/>
    </row>
    <row r="282">
      <c r="A282" s="33" t="inlineStr">
        <is>
          <t>证券</t>
        </is>
      </c>
      <c r="B282" t="inlineStr">
        <is>
          <t>pe weighted</t>
        </is>
      </c>
      <c r="C282" s="165" t="n">
        <v>22.50028145770477</v>
      </c>
      <c r="D282" s="90" t="n">
        <v>14.95254868671353</v>
      </c>
      <c r="E282" s="12" t="n">
        <v>0.3354505935927603</v>
      </c>
      <c r="F282" s="90" t="n">
        <v>65.01235778706994</v>
      </c>
      <c r="G282" s="90" t="n">
        <v>1.889401979672026</v>
      </c>
      <c r="H282" s="12" t="n">
        <v>-0.1604100699167977</v>
      </c>
      <c r="I282" s="12" t="n">
        <v>0.05171143818306434</v>
      </c>
      <c r="J282" s="12" t="n">
        <v>0.559754803935554</v>
      </c>
      <c r="K282" s="90" t="n">
        <v>4.347911459725815</v>
      </c>
      <c r="L282" s="7" t="n">
        <v>14.95254868671353</v>
      </c>
      <c r="M282" s="14" t="n">
        <v>0.3354505935927603</v>
      </c>
      <c r="N282" s="7" t="n">
        <v>29.5923535124697</v>
      </c>
      <c r="O282" s="7" t="n">
        <v>0.3151992595335462</v>
      </c>
      <c r="P282" s="7" t="n">
        <v>1.979084243929916</v>
      </c>
      <c r="Q282" s="99" t="n">
        <v>0.09124493914533056</v>
      </c>
      <c r="R282" s="99" t="n">
        <v>0.07247825807722588</v>
      </c>
      <c r="S282" s="99" t="n">
        <v>0.01164855295005737</v>
      </c>
      <c r="U282" s="117">
        <f>C282*S282</f>
        <v/>
      </c>
      <c r="V282" s="117">
        <f>(1+S282)*Q282*(1-U282)+S282</f>
        <v/>
      </c>
      <c r="W282" s="117">
        <f>V282+I282/3</f>
        <v/>
      </c>
      <c r="X282" s="117">
        <f>V282+I282/5</f>
        <v/>
      </c>
      <c r="Y282" s="117" t="n"/>
      <c r="AA282" s="117" t="n"/>
    </row>
    <row r="283">
      <c r="A283" t="inlineStr">
        <is>
          <t>C060204</t>
        </is>
      </c>
      <c r="B283" t="inlineStr">
        <is>
          <t>pe equal</t>
        </is>
      </c>
      <c r="C283" s="165" t="n">
        <v>25.56289846335468</v>
      </c>
      <c r="D283" s="90" t="n">
        <v>16.07465943595172</v>
      </c>
      <c r="E283" s="12" t="n">
        <v>0.3711722690994799</v>
      </c>
      <c r="F283" s="90" t="n">
        <v>-8.29059906398051</v>
      </c>
      <c r="G283" s="90" t="n">
        <v>-1.324321558287507</v>
      </c>
      <c r="H283" s="12" t="n">
        <v>-0.1698761771047189</v>
      </c>
      <c r="I283" s="12" t="n">
        <v>0.4476309579577511</v>
      </c>
      <c r="J283" s="12" t="n">
        <v>1.670789799137262</v>
      </c>
      <c r="K283" s="90" t="n">
        <v>-0.5157558141131253</v>
      </c>
      <c r="L283" s="7" t="n">
        <v>16.07465943595172</v>
      </c>
      <c r="M283" s="14" t="n">
        <v>0.3711722690994799</v>
      </c>
      <c r="N283" s="7" t="n">
        <v>-8.29059906398051</v>
      </c>
      <c r="O283" s="7" t="n">
        <v>-1.324321558287507</v>
      </c>
      <c r="P283" s="7" t="n">
        <v>-0.5157558141131253</v>
      </c>
      <c r="S283" s="99" t="n">
        <v>0.01091346414227696</v>
      </c>
      <c r="U283" s="117">
        <f>C283*S283</f>
        <v/>
      </c>
      <c r="V283" s="117">
        <f>(1+S283)*R282*(1-U283)+S283</f>
        <v/>
      </c>
      <c r="W283" s="117">
        <f>V283+I283/3</f>
        <v/>
      </c>
      <c r="X283" s="117">
        <f>V283+I283/5</f>
        <v/>
      </c>
      <c r="Y283" s="117" t="n"/>
      <c r="AA283" s="117" t="n"/>
    </row>
    <row r="284">
      <c r="B284" t="inlineStr">
        <is>
          <t>pb weighted</t>
        </is>
      </c>
      <c r="C284" s="165" t="n">
        <v>2.053036812361082</v>
      </c>
      <c r="D284" s="90" t="n">
        <v>1.497659202538538</v>
      </c>
      <c r="E284" s="12" t="n">
        <v>0.270515173658204</v>
      </c>
      <c r="F284" s="90" t="n">
        <v>6.447757268481657</v>
      </c>
      <c r="G284" s="90" t="n">
        <v>2.140595058822377</v>
      </c>
      <c r="H284" s="12" t="n">
        <v>-0.02921921629884894</v>
      </c>
      <c r="I284" s="59" t="n">
        <v>0.1757380361246446</v>
      </c>
      <c r="J284" s="12" t="n">
        <v>0.6723713575457806</v>
      </c>
      <c r="K284" s="90" t="n">
        <v>4.305223282808721</v>
      </c>
      <c r="L284" s="7" t="n">
        <v>1.497659202538538</v>
      </c>
      <c r="M284" s="14" t="n">
        <v>0.270515173658204</v>
      </c>
      <c r="N284" s="7" t="n">
        <v>3.331449903049008</v>
      </c>
      <c r="O284" s="7" t="n">
        <v>0.6226937008585325</v>
      </c>
      <c r="P284" s="7" t="n">
        <v>2.224437907771132</v>
      </c>
      <c r="W284" s="117">
        <f>V282+I284/3</f>
        <v/>
      </c>
      <c r="X284" s="117">
        <f>V282+I284/5</f>
        <v/>
      </c>
      <c r="Y284" s="117" t="n"/>
      <c r="AA284" s="117" t="n"/>
    </row>
    <row r="285">
      <c r="B285" t="inlineStr">
        <is>
          <t>pb equal</t>
        </is>
      </c>
      <c r="C285" s="165" t="n">
        <v>1.852754352028942</v>
      </c>
      <c r="D285" s="90" t="n">
        <v>1.134961536095206</v>
      </c>
      <c r="E285" s="12" t="n">
        <v>0.3874193117655799</v>
      </c>
      <c r="F285" s="90" t="n">
        <v>8.211243296872661</v>
      </c>
      <c r="G285" s="90" t="n">
        <v>3.43191148782383</v>
      </c>
      <c r="H285" s="12" t="n">
        <v>-0.1249153432036207</v>
      </c>
      <c r="I285" s="12" t="n">
        <v>0.0465115455599836</v>
      </c>
      <c r="J285" s="12" t="n">
        <v>1.217938616333425</v>
      </c>
      <c r="K285" s="90" t="n">
        <v>7.234820772096952</v>
      </c>
      <c r="L285" s="7" t="n">
        <v>1.134961536095206</v>
      </c>
      <c r="M285" s="14" t="n">
        <v>0.3874193117655799</v>
      </c>
      <c r="N285" s="7" t="n">
        <v>3.225999861001354</v>
      </c>
      <c r="O285" s="7" t="n">
        <v>0.7411913551672831</v>
      </c>
      <c r="P285" s="7" t="n">
        <v>2.842386951808331</v>
      </c>
      <c r="W285" s="117">
        <f>V283+I285/3</f>
        <v/>
      </c>
      <c r="X285" s="117">
        <f>V283+I285/5</f>
        <v/>
      </c>
      <c r="Y285" s="117" t="n"/>
      <c r="AA285" s="117" t="n"/>
    </row>
    <row r="286">
      <c r="C286" s="101" t="n"/>
      <c r="D286" s="90" t="n"/>
      <c r="F286" s="90" t="n"/>
      <c r="G286" s="90" t="n"/>
      <c r="K286" s="90" t="n"/>
      <c r="L286" s="7" t="n"/>
      <c r="N286" s="7" t="n"/>
      <c r="O286" s="7" t="n"/>
      <c r="P286" s="7" t="n"/>
      <c r="AA286" s="117" t="n"/>
    </row>
    <row r="287">
      <c r="A287" s="128" t="inlineStr">
        <is>
          <t>保险</t>
        </is>
      </c>
      <c r="B287" t="inlineStr">
        <is>
          <t>pe weighted</t>
        </is>
      </c>
      <c r="C287" s="167" t="n">
        <v>37.2702508532613</v>
      </c>
      <c r="D287" s="90" t="n">
        <v>27.13755210783591</v>
      </c>
      <c r="E287" s="12" t="n">
        <v>0.2718709564182806</v>
      </c>
      <c r="F287" s="90" t="n">
        <v>139.5524165664656</v>
      </c>
      <c r="G287" s="90" t="n">
        <v>2.744338000726232</v>
      </c>
      <c r="H287" s="12" t="n">
        <v>0.2183530112932266</v>
      </c>
      <c r="I287" s="12" t="n">
        <v>0.5115681585769891</v>
      </c>
      <c r="J287" s="12" t="n">
        <v>0.9589770544567149</v>
      </c>
      <c r="K287" s="90" t="n">
        <v>5.142409897986712</v>
      </c>
      <c r="L287" s="7" t="n">
        <v>27.13755210783591</v>
      </c>
      <c r="M287" s="14" t="n">
        <v>0.2718709564182806</v>
      </c>
      <c r="N287" s="7" t="n">
        <v>139.5524165664656</v>
      </c>
      <c r="O287" s="7" t="n">
        <v>2.744338000726232</v>
      </c>
      <c r="P287" s="7" t="n">
        <v>5.142409897986712</v>
      </c>
      <c r="Q287" s="99" t="n">
        <v>0.1182866856932686</v>
      </c>
      <c r="R287" s="99" t="n">
        <v>0.1337548550593755</v>
      </c>
      <c r="S287" s="99" t="n">
        <v>0.007221321269194498</v>
      </c>
      <c r="U287" s="117">
        <f>C287*S287</f>
        <v/>
      </c>
      <c r="V287" s="117">
        <f>(1+S287)*Q287*(1-U287)+S287</f>
        <v/>
      </c>
      <c r="W287" s="117">
        <f>V287+I287/3</f>
        <v/>
      </c>
      <c r="X287" s="117">
        <f>V287+I287/5</f>
        <v/>
      </c>
      <c r="Y287" s="117" t="n"/>
      <c r="AA287" s="117" t="n"/>
    </row>
    <row r="288">
      <c r="A288" t="inlineStr">
        <is>
          <t>C060301</t>
        </is>
      </c>
      <c r="B288" t="inlineStr">
        <is>
          <t>pe equal</t>
        </is>
      </c>
      <c r="C288" s="167" t="n">
        <v>23.38942460648059</v>
      </c>
      <c r="D288" s="90" t="n">
        <v>20.8678901193494</v>
      </c>
      <c r="E288" s="12" t="n">
        <v>0.1078066061716001</v>
      </c>
      <c r="F288" s="90" t="n">
        <v>176.715626389398</v>
      </c>
      <c r="G288" s="90" t="n">
        <v>6.555364416294139</v>
      </c>
      <c r="H288" s="12" t="n">
        <v>0.6561963932603971</v>
      </c>
      <c r="I288" s="12" t="n">
        <v>1.333430791132015</v>
      </c>
      <c r="J288" s="12" t="n">
        <v>2.177634124892235</v>
      </c>
      <c r="K288" s="90" t="n">
        <v>8.468303473840001</v>
      </c>
      <c r="L288" s="7" t="n">
        <v>20.8678901193494</v>
      </c>
      <c r="M288" s="14" t="n">
        <v>0.1078066061716001</v>
      </c>
      <c r="N288" s="7" t="n">
        <v>176.715626389398</v>
      </c>
      <c r="O288" s="7" t="n">
        <v>6.555364416294139</v>
      </c>
      <c r="P288" s="7" t="n">
        <v>8.468303473840001</v>
      </c>
      <c r="S288" s="99" t="n">
        <v>0.01052964423735755</v>
      </c>
      <c r="U288" s="117">
        <f>C288*S288</f>
        <v/>
      </c>
      <c r="V288" s="117">
        <f>(1+S288)*R287*(1-U288)+S288</f>
        <v/>
      </c>
      <c r="W288" s="117">
        <f>V288+I288/3</f>
        <v/>
      </c>
      <c r="X288" s="117">
        <f>V288+I288/5</f>
        <v/>
      </c>
      <c r="Y288" s="117" t="n"/>
      <c r="AA288" s="117" t="n"/>
    </row>
    <row r="289">
      <c r="B289" t="inlineStr">
        <is>
          <t>pb weighted</t>
        </is>
      </c>
      <c r="C289" s="167" t="n">
        <v>4.408574448388994</v>
      </c>
      <c r="D289" s="90" t="n">
        <v>3.811715675907847</v>
      </c>
      <c r="E289" s="12" t="n">
        <v>0.1353858893546086</v>
      </c>
      <c r="F289" s="90" t="n">
        <v>13.20591571489889</v>
      </c>
      <c r="G289" s="90" t="n">
        <v>1.995507021487336</v>
      </c>
      <c r="H289" s="12" t="n">
        <v>0.3448972403589958</v>
      </c>
      <c r="I289" s="12" t="n">
        <v>0.5531374537680398</v>
      </c>
      <c r="J289" s="12" t="n">
        <v>0.858101092774435</v>
      </c>
      <c r="K289" s="90" t="n">
        <v>3.464559489147522</v>
      </c>
      <c r="L289" s="7" t="n">
        <v>3.811715675907847</v>
      </c>
      <c r="M289" s="14" t="n">
        <v>0.1353858893546086</v>
      </c>
      <c r="N289" s="7" t="n">
        <v>13.20591571489889</v>
      </c>
      <c r="O289" s="7" t="n">
        <v>1.995507021487336</v>
      </c>
      <c r="P289" s="7" t="n">
        <v>3.464559489147522</v>
      </c>
      <c r="W289" s="117">
        <f>V287+I289/3</f>
        <v/>
      </c>
      <c r="X289" s="117">
        <f>V287+I289/5</f>
        <v/>
      </c>
      <c r="Y289" s="117" t="n"/>
      <c r="AA289" s="117" t="n"/>
    </row>
    <row r="290">
      <c r="B290" t="inlineStr">
        <is>
          <t>pb equal</t>
        </is>
      </c>
      <c r="C290" s="167" t="n">
        <v>3.128449098162001</v>
      </c>
      <c r="D290" s="90" t="n">
        <v>2.222094086014402</v>
      </c>
      <c r="E290" s="12" t="n">
        <v>0.2897138434120895</v>
      </c>
      <c r="F290" s="90" t="n">
        <v>11.3848035106735</v>
      </c>
      <c r="G290" s="90" t="n">
        <v>2.639120584497347</v>
      </c>
      <c r="H290" s="12" t="n">
        <v>0.1393918068421744</v>
      </c>
      <c r="I290" s="12" t="n">
        <v>0.6900944920479923</v>
      </c>
      <c r="J290" s="12" t="n">
        <v>0.9861827917481381</v>
      </c>
      <c r="K290" s="90" t="n">
        <v>5.123457004961269</v>
      </c>
      <c r="L290" s="7" t="n">
        <v>2.222094086014402</v>
      </c>
      <c r="M290" s="14" t="n">
        <v>0.2897138434120895</v>
      </c>
      <c r="N290" s="7" t="n">
        <v>7.253759673576105</v>
      </c>
      <c r="O290" s="7" t="n">
        <v>1.318643981721733</v>
      </c>
      <c r="P290" s="7" t="n">
        <v>3.264380081487284</v>
      </c>
      <c r="W290" s="117">
        <f>V288+I290/3</f>
        <v/>
      </c>
      <c r="X290" s="117">
        <f>V288+I290/5</f>
        <v/>
      </c>
      <c r="Y290" s="117" t="n"/>
      <c r="AA290" s="117" t="n"/>
    </row>
    <row r="291">
      <c r="C291" s="101" t="n"/>
      <c r="D291" s="90" t="n"/>
      <c r="F291" s="90" t="n"/>
      <c r="G291" s="90" t="n"/>
      <c r="K291" s="90" t="n"/>
      <c r="L291" s="7" t="n"/>
      <c r="N291" s="7" t="n"/>
      <c r="O291" s="7" t="n"/>
      <c r="P291" s="7" t="n"/>
      <c r="AA291" s="117" t="n"/>
    </row>
    <row r="292">
      <c r="A292" t="inlineStr">
        <is>
          <t>投资信托</t>
        </is>
      </c>
      <c r="B292" t="inlineStr">
        <is>
          <t>pe weighted</t>
        </is>
      </c>
      <c r="C292" s="167" t="n">
        <v>4.518770862465093</v>
      </c>
      <c r="D292" s="90" t="n">
        <v>4.118254372850062</v>
      </c>
      <c r="E292" s="12" t="n">
        <v>0.08863394533719282</v>
      </c>
      <c r="F292" s="90" t="n">
        <v>9.084638393652934</v>
      </c>
      <c r="G292" s="90" t="n">
        <v>1.010422451183342</v>
      </c>
      <c r="H292" s="12" t="n">
        <v>0.164219653335236</v>
      </c>
      <c r="I292" s="12" t="n">
        <v>0.3762551890112009</v>
      </c>
      <c r="J292" s="12" t="n">
        <v>0.5048573075208376</v>
      </c>
      <c r="K292" s="90" t="n">
        <v>2.205943968285246</v>
      </c>
      <c r="L292" s="7" t="n">
        <v>4.118254372850062</v>
      </c>
      <c r="M292" s="14" t="n">
        <v>0.08863394533719282</v>
      </c>
      <c r="N292" s="7" t="n">
        <v>8.27991327058561</v>
      </c>
      <c r="O292" s="7" t="n">
        <v>0.832337492339394</v>
      </c>
      <c r="P292" s="7" t="n">
        <v>2.010539544417565</v>
      </c>
      <c r="Q292" s="99" t="n">
        <v>0.1177003169704419</v>
      </c>
      <c r="R292" s="99" t="n">
        <v>0.109941770506394</v>
      </c>
      <c r="S292" s="99" t="n">
        <v>0.0593653505352404</v>
      </c>
      <c r="U292" s="117">
        <f>C292*S292</f>
        <v/>
      </c>
      <c r="V292" s="117">
        <f>(1+S292)*Q292*(1-U292)+S292</f>
        <v/>
      </c>
      <c r="W292" s="117">
        <f>V292+I292/3</f>
        <v/>
      </c>
      <c r="X292" s="117">
        <f>V292+I292/5</f>
        <v/>
      </c>
      <c r="Y292" s="117" t="n"/>
      <c r="AA292" s="117" t="n"/>
    </row>
    <row r="293">
      <c r="A293" t="inlineStr">
        <is>
          <t>C070101</t>
        </is>
      </c>
      <c r="B293" t="inlineStr">
        <is>
          <t>pe equal</t>
        </is>
      </c>
      <c r="C293" s="167" t="n">
        <v>5.01782230692496</v>
      </c>
      <c r="D293" s="90" t="n">
        <v>4.571919583312054</v>
      </c>
      <c r="E293" s="12" t="n">
        <v>0.0888637931633266</v>
      </c>
      <c r="F293" s="90" t="n">
        <v>9.826408451626936</v>
      </c>
      <c r="G293" s="90" t="n">
        <v>0.9583014006027628</v>
      </c>
      <c r="H293" s="12" t="n">
        <v>0.08961666669534596</v>
      </c>
      <c r="I293" s="12" t="n">
        <v>0.3315999550176327</v>
      </c>
      <c r="J293" s="12" t="n">
        <v>0.5124368953552112</v>
      </c>
      <c r="K293" s="90" t="n">
        <v>2.149295995383268</v>
      </c>
      <c r="L293" s="7" t="n">
        <v>4.624648259826527</v>
      </c>
      <c r="M293" s="14" t="n">
        <v>0.07835551421496612</v>
      </c>
      <c r="N293" s="7" t="n">
        <v>9.081514787672107</v>
      </c>
      <c r="O293" s="7" t="n">
        <v>0.8098518106428274</v>
      </c>
      <c r="P293" s="7" t="n">
        <v>1.963720109605213</v>
      </c>
      <c r="S293" s="99" t="n">
        <v>0.04653467559127265</v>
      </c>
      <c r="U293" s="117">
        <f>C293*S293</f>
        <v/>
      </c>
      <c r="V293" s="117">
        <f>(1+S293)*R292*(1-U293)+S293</f>
        <v/>
      </c>
      <c r="W293" s="117">
        <f>V293+I293/3</f>
        <v/>
      </c>
      <c r="X293" s="117">
        <f>V293+I293/5</f>
        <v/>
      </c>
      <c r="Y293" s="117" t="n"/>
      <c r="AA293" s="117" t="n"/>
    </row>
    <row r="294">
      <c r="B294" t="inlineStr">
        <is>
          <t>pb weighted</t>
        </is>
      </c>
      <c r="C294" s="167" t="n">
        <v>0.5318607628289386</v>
      </c>
      <c r="D294" s="90" t="n">
        <v>0.484775809454944</v>
      </c>
      <c r="E294" s="12" t="n">
        <v>0.08852872154650449</v>
      </c>
      <c r="F294" s="90" t="n">
        <v>1.431324950837465</v>
      </c>
      <c r="G294" s="90" t="n">
        <v>1.691164776330416</v>
      </c>
      <c r="H294" s="12" t="n">
        <v>0.3549391700804487</v>
      </c>
      <c r="I294" s="12" t="n">
        <v>0.6746860430061048</v>
      </c>
      <c r="J294" s="12" t="n">
        <v>0.9636805026391841</v>
      </c>
      <c r="K294" s="90" t="n">
        <v>2.952550277718622</v>
      </c>
      <c r="L294" s="7" t="n">
        <v>0.484775809454944</v>
      </c>
      <c r="M294" s="14" t="n">
        <v>0.08852872154650449</v>
      </c>
      <c r="N294" s="7" t="n">
        <v>1.131644796751708</v>
      </c>
      <c r="O294" s="7" t="n">
        <v>1.12770874604953</v>
      </c>
      <c r="P294" s="7" t="n">
        <v>2.334367298615969</v>
      </c>
      <c r="W294" s="117">
        <f>V292+I294/3</f>
        <v/>
      </c>
      <c r="X294" s="117">
        <f>V292+I294/5</f>
        <v/>
      </c>
      <c r="Y294" s="117" t="n"/>
      <c r="AA294" s="117" t="n"/>
    </row>
    <row r="295">
      <c r="B295" t="inlineStr">
        <is>
          <t>pb equal</t>
        </is>
      </c>
      <c r="C295" s="167" t="n">
        <v>0.5516682685098087</v>
      </c>
      <c r="D295" s="90" t="n">
        <v>0.5115892761700012</v>
      </c>
      <c r="E295" s="12" t="n">
        <v>0.07265053045024805</v>
      </c>
      <c r="F295" s="90" t="n">
        <v>1.521258747308089</v>
      </c>
      <c r="G295" s="90" t="n">
        <v>1.757560719265913</v>
      </c>
      <c r="H295" s="12" t="n">
        <v>0.3613309967681724</v>
      </c>
      <c r="I295" s="12" t="n">
        <v>0.6673007811995793</v>
      </c>
      <c r="J295" s="12" t="n">
        <v>1.022248435179135</v>
      </c>
      <c r="K295" s="90" t="n">
        <v>2.973593892930966</v>
      </c>
      <c r="L295" s="7" t="n">
        <v>0.5115892761700012</v>
      </c>
      <c r="M295" s="14" t="n">
        <v>0.07265053045024805</v>
      </c>
      <c r="N295" s="7" t="n">
        <v>1.170373160276302</v>
      </c>
      <c r="O295" s="7" t="n">
        <v>1.121516184785772</v>
      </c>
      <c r="P295" s="7" t="n">
        <v>2.287720276387082</v>
      </c>
      <c r="W295" s="117">
        <f>V293+I295/3</f>
        <v/>
      </c>
      <c r="X295" s="117">
        <f>V293+I295/5</f>
        <v/>
      </c>
      <c r="Y295" s="117" t="n"/>
      <c r="AA295" s="117" t="n"/>
    </row>
    <row r="296">
      <c r="C296" s="101" t="n"/>
      <c r="D296" s="90" t="n"/>
      <c r="F296" s="90" t="n"/>
      <c r="G296" s="90" t="n"/>
      <c r="K296" s="90" t="n"/>
      <c r="L296" s="7" t="n"/>
      <c r="N296" s="7" t="n"/>
      <c r="O296" s="7" t="n"/>
      <c r="P296" s="7" t="n"/>
      <c r="AA296" s="117" t="n"/>
    </row>
    <row r="297">
      <c r="A297" t="inlineStr">
        <is>
          <t>其他金融服务</t>
        </is>
      </c>
      <c r="B297" t="inlineStr">
        <is>
          <t>pe weighted</t>
        </is>
      </c>
      <c r="C297" s="165" t="n">
        <v>19.32100063019322</v>
      </c>
      <c r="D297" s="90" t="n">
        <v>10.42069270256567</v>
      </c>
      <c r="E297" s="12" t="n">
        <v>0.46065460573087</v>
      </c>
      <c r="F297" s="90" t="n">
        <v>59.16821968143496</v>
      </c>
      <c r="G297" s="90" t="n">
        <v>2.062378642489762</v>
      </c>
      <c r="H297" s="12" t="n">
        <v>-0.04620229956088528</v>
      </c>
      <c r="I297" s="12" t="n">
        <v>0.2729736410888521</v>
      </c>
      <c r="J297" s="12" t="n">
        <v>0.6028447443279477</v>
      </c>
      <c r="K297" s="90" t="n">
        <v>5.677954563122967</v>
      </c>
      <c r="L297" s="7" t="n">
        <v>13.79678612493524</v>
      </c>
      <c r="M297" s="14" t="n">
        <v>0.2859176194334989</v>
      </c>
      <c r="N297" s="7" t="n">
        <v>46.93349700980443</v>
      </c>
      <c r="O297" s="7" t="n">
        <v>1.429144220225361</v>
      </c>
      <c r="P297" s="7" t="n">
        <v>3.40177028075984</v>
      </c>
      <c r="Q297" s="99" t="n">
        <v>0.06820168812254944</v>
      </c>
      <c r="R297" s="99" t="n">
        <v>0.04496158701579824</v>
      </c>
      <c r="S297" s="99" t="n">
        <v>0.02154159412572286</v>
      </c>
      <c r="U297" s="117">
        <f>C297*S297</f>
        <v/>
      </c>
      <c r="V297" s="117">
        <f>(1+S297)*Q297*(1-U297)+S297</f>
        <v/>
      </c>
      <c r="W297" s="117">
        <f>V297+I297/3</f>
        <v/>
      </c>
      <c r="X297" s="117">
        <f>V297+I297/5</f>
        <v/>
      </c>
      <c r="Y297" s="117" t="n"/>
      <c r="AA297" s="117" t="n"/>
    </row>
    <row r="298">
      <c r="A298" t="inlineStr">
        <is>
          <t>C070201</t>
        </is>
      </c>
      <c r="B298" t="inlineStr">
        <is>
          <t>pe equal</t>
        </is>
      </c>
      <c r="C298" s="165" t="n">
        <v>27.60864810640061</v>
      </c>
      <c r="D298" s="90" t="n">
        <v>11.58148045151953</v>
      </c>
      <c r="E298" s="12" t="n">
        <v>0.5805125840683755</v>
      </c>
      <c r="F298" s="90" t="n">
        <v>68.55011343928592</v>
      </c>
      <c r="G298" s="90" t="n">
        <v>1.482921770566293</v>
      </c>
      <c r="H298" s="12" t="n">
        <v>-0.1727780139514217</v>
      </c>
      <c r="I298" s="12" t="n">
        <v>0.0949554928916756</v>
      </c>
      <c r="J298" s="12" t="n">
        <v>0.412472565011569</v>
      </c>
      <c r="K298" s="90" t="n">
        <v>5.918942204862239</v>
      </c>
      <c r="L298" s="7" t="n">
        <v>16.93096831419257</v>
      </c>
      <c r="M298" s="14" t="n">
        <v>0.3867512726830182</v>
      </c>
      <c r="N298" s="7" t="n">
        <v>67.82283705381433</v>
      </c>
      <c r="O298" s="7" t="n">
        <v>1.456579430924426</v>
      </c>
      <c r="P298" s="7" t="n">
        <v>4.005845135092544</v>
      </c>
      <c r="S298" s="99" t="n">
        <v>0.01789780303909526</v>
      </c>
      <c r="U298" s="117">
        <f>C298*S298</f>
        <v/>
      </c>
      <c r="V298" s="117">
        <f>(1+S298)*R297*(1-U298)+S298</f>
        <v/>
      </c>
      <c r="W298" s="117">
        <f>V298+I298/3</f>
        <v/>
      </c>
      <c r="X298" s="117">
        <f>V298+I298/5</f>
        <v/>
      </c>
      <c r="Y298" s="117" t="n"/>
      <c r="AA298" s="117" t="n"/>
    </row>
    <row r="299">
      <c r="B299" t="inlineStr">
        <is>
          <t>pb weighted</t>
        </is>
      </c>
      <c r="C299" s="167" t="n">
        <v>1.317724859196019</v>
      </c>
      <c r="D299" s="90" t="n">
        <v>1.063188938957171</v>
      </c>
      <c r="E299" s="12" t="n">
        <v>0.1931631770187195</v>
      </c>
      <c r="F299" s="90" t="n">
        <v>5.320570059397347</v>
      </c>
      <c r="G299" s="90" t="n">
        <v>3.037694229008911</v>
      </c>
      <c r="H299" s="12" t="n">
        <v>0.1849418506887566</v>
      </c>
      <c r="I299" s="12" t="n">
        <v>0.3915606120530175</v>
      </c>
      <c r="J299" s="12" t="n">
        <v>0.6021887174407587</v>
      </c>
      <c r="K299" s="90" t="n">
        <v>5.004350463442581</v>
      </c>
      <c r="L299" s="7" t="n">
        <v>1.063188938957171</v>
      </c>
      <c r="M299" s="14" t="n">
        <v>0.1931631770187195</v>
      </c>
      <c r="N299" s="7" t="n">
        <v>2.370811062199079</v>
      </c>
      <c r="O299" s="7" t="n">
        <v>0.7991700207018766</v>
      </c>
      <c r="P299" s="7" t="n">
        <v>2.229905687811697</v>
      </c>
      <c r="W299" s="117">
        <f>V297+I299/3</f>
        <v/>
      </c>
      <c r="X299" s="117">
        <f>V297+I299/5</f>
        <v/>
      </c>
      <c r="Y299" s="117" t="n"/>
      <c r="AA299" s="117" t="n"/>
    </row>
    <row r="300">
      <c r="B300" t="inlineStr">
        <is>
          <t>pb equal</t>
        </is>
      </c>
      <c r="C300" s="167" t="n">
        <v>1.241328634224484</v>
      </c>
      <c r="D300" s="90" t="n">
        <v>1.047658131144682</v>
      </c>
      <c r="E300" s="12" t="n">
        <v>0.1560187187664426</v>
      </c>
      <c r="F300" s="90" t="n">
        <v>5.726970403823531</v>
      </c>
      <c r="G300" s="90" t="n">
        <v>3.613581162897637</v>
      </c>
      <c r="H300" s="12" t="n">
        <v>0.2586142306208172</v>
      </c>
      <c r="I300" s="12" t="n">
        <v>0.5229165996522678</v>
      </c>
      <c r="J300" s="12" t="n">
        <v>0.8361400872980163</v>
      </c>
      <c r="K300" s="90" t="n">
        <v>5.466449630440212</v>
      </c>
      <c r="L300" s="7" t="n">
        <v>1.047658131144682</v>
      </c>
      <c r="M300" s="14" t="n">
        <v>0.1560187187664426</v>
      </c>
      <c r="N300" s="7" t="n">
        <v>2.295998930953882</v>
      </c>
      <c r="O300" s="7" t="n">
        <v>0.8496302007794247</v>
      </c>
      <c r="P300" s="7" t="n">
        <v>2.191553582889916</v>
      </c>
      <c r="W300" s="117">
        <f>V298+I300/3</f>
        <v/>
      </c>
      <c r="X300" s="117">
        <f>V298+I300/5</f>
        <v/>
      </c>
      <c r="Y300" s="117" t="n"/>
      <c r="AA300" s="117" t="n"/>
    </row>
    <row r="301">
      <c r="C301" s="101" t="n"/>
      <c r="D301" s="90" t="n"/>
      <c r="F301" s="90" t="n"/>
      <c r="G301" s="90" t="n"/>
      <c r="K301" s="90" t="n"/>
      <c r="L301" s="7" t="n"/>
      <c r="N301" s="7" t="n"/>
      <c r="O301" s="7" t="n"/>
      <c r="P301" s="7" t="n"/>
      <c r="AA301" s="117" t="n"/>
    </row>
    <row r="302">
      <c r="A302" t="inlineStr">
        <is>
          <t>房地产开发和管理</t>
        </is>
      </c>
      <c r="B302" t="inlineStr">
        <is>
          <t>pe weighted</t>
        </is>
      </c>
      <c r="C302" s="165" t="n">
        <v>13.14639841292201</v>
      </c>
      <c r="D302" s="90" t="n">
        <v>8.144063353218803</v>
      </c>
      <c r="E302" s="12" t="n">
        <v>0.3805099239032841</v>
      </c>
      <c r="F302" s="90" t="n">
        <v>33.00599446352664</v>
      </c>
      <c r="G302" s="90" t="n">
        <v>1.510649185185503</v>
      </c>
      <c r="H302" s="12" t="n">
        <v>-0.08128421103993033</v>
      </c>
      <c r="I302" s="12" t="n">
        <v>0.114777019316334</v>
      </c>
      <c r="J302" s="12" t="n">
        <v>0.4758613076437734</v>
      </c>
      <c r="K302" s="90" t="n">
        <v>4.052767400253779</v>
      </c>
      <c r="L302" s="7" t="n">
        <v>8.144063353218803</v>
      </c>
      <c r="M302" s="14" t="n">
        <v>0.3805099239032841</v>
      </c>
      <c r="N302" s="7" t="n">
        <v>21.978449071103</v>
      </c>
      <c r="O302" s="7" t="n">
        <v>0.6718228354847124</v>
      </c>
      <c r="P302" s="7" t="n">
        <v>2.698708018082447</v>
      </c>
      <c r="Q302" s="99" t="n">
        <v>0.1018132476833869</v>
      </c>
      <c r="R302" s="99" t="n">
        <v>0.08219686847514908</v>
      </c>
      <c r="S302" s="99" t="n">
        <v>0.03371963891372322</v>
      </c>
      <c r="U302" s="117">
        <f>C302*S302</f>
        <v/>
      </c>
      <c r="V302" s="117">
        <f>(1+S302)*Q302*(1-U302)+S302</f>
        <v/>
      </c>
      <c r="W302" s="117">
        <f>V302+I302/3</f>
        <v/>
      </c>
      <c r="X302" s="117">
        <f>V302+I302/5</f>
        <v/>
      </c>
      <c r="Y302" s="117" t="n"/>
      <c r="AA302" s="117" t="n"/>
    </row>
    <row r="303">
      <c r="A303" t="inlineStr">
        <is>
          <t>C070202</t>
        </is>
      </c>
      <c r="B303" t="inlineStr">
        <is>
          <t>pe equal</t>
        </is>
      </c>
      <c r="C303" s="167" t="n">
        <v>13.28721945789398</v>
      </c>
      <c r="D303" s="90" t="n">
        <v>1.210124233595139</v>
      </c>
      <c r="E303" s="12" t="n">
        <v>0.9089256983050581</v>
      </c>
      <c r="F303" s="90" t="n">
        <v>-1.719870401830079</v>
      </c>
      <c r="G303" s="90" t="n">
        <v>-1.12943794653804</v>
      </c>
      <c r="H303" s="12" t="n">
        <v>0.03577146245056895</v>
      </c>
      <c r="I303" s="12" t="n">
        <v>0.4452965147144661</v>
      </c>
      <c r="J303" s="12" t="n">
        <v>0.9565249247934988</v>
      </c>
      <c r="K303" s="90" t="n">
        <v>-1.421234575825776</v>
      </c>
      <c r="L303" s="7" t="n">
        <v>1.210124233595139</v>
      </c>
      <c r="M303" s="14" t="n">
        <v>0.9089256983050581</v>
      </c>
      <c r="N303" s="7" t="n">
        <v>-1.719870401830079</v>
      </c>
      <c r="O303" s="7" t="n">
        <v>-1.12943794653804</v>
      </c>
      <c r="P303" s="7" t="n">
        <v>-1.421234575825776</v>
      </c>
      <c r="S303" s="99" t="n">
        <v>0.03048942631018632</v>
      </c>
      <c r="U303" s="117">
        <f>C303*S303</f>
        <v/>
      </c>
      <c r="V303" s="117">
        <f>(1+S303)*R302*(1-U303)+S303</f>
        <v/>
      </c>
      <c r="W303" s="117">
        <f>V303+I303/3</f>
        <v/>
      </c>
      <c r="X303" s="117">
        <f>V303+I303/5</f>
        <v/>
      </c>
      <c r="Y303" s="117" t="n"/>
      <c r="AA303" s="117" t="n"/>
    </row>
    <row r="304">
      <c r="B304" t="inlineStr">
        <is>
          <t>pb weighted</t>
        </is>
      </c>
      <c r="C304" s="167" t="n">
        <v>1.338477517759313</v>
      </c>
      <c r="D304" s="90" t="n">
        <v>1.031373676918545</v>
      </c>
      <c r="E304" s="12" t="n">
        <v>0.2294426591153189</v>
      </c>
      <c r="F304" s="90" t="n">
        <v>3.676588936823915</v>
      </c>
      <c r="G304" s="90" t="n">
        <v>1.746843998529563</v>
      </c>
      <c r="H304" s="12" t="n">
        <v>0.2238382625477584</v>
      </c>
      <c r="I304" s="12" t="n">
        <v>0.481250751885147</v>
      </c>
      <c r="J304" s="12" t="n">
        <v>0.7693104265387052</v>
      </c>
      <c r="K304" s="90" t="n">
        <v>3.564749633526165</v>
      </c>
      <c r="L304" s="7" t="n">
        <v>1.031373676918545</v>
      </c>
      <c r="M304" s="14" t="n">
        <v>0.2294426591153189</v>
      </c>
      <c r="N304" s="7" t="n">
        <v>2.760425224325279</v>
      </c>
      <c r="O304" s="7" t="n">
        <v>1.062362040227905</v>
      </c>
      <c r="P304" s="7" t="n">
        <v>2.676454990176456</v>
      </c>
      <c r="W304" s="117">
        <f>V302+I304/3</f>
        <v/>
      </c>
      <c r="X304" s="117">
        <f>V302+I304/5</f>
        <v/>
      </c>
      <c r="Y304" s="117" t="n"/>
      <c r="AA304" s="117" t="n"/>
    </row>
    <row r="305">
      <c r="B305" t="inlineStr">
        <is>
          <t>pb equal</t>
        </is>
      </c>
      <c r="C305" s="167" t="n">
        <v>1.092167830180953</v>
      </c>
      <c r="D305" s="90" t="n">
        <v>0.7756936049598353</v>
      </c>
      <c r="E305" s="12" t="n">
        <v>0.2897670270774075</v>
      </c>
      <c r="F305" s="90" t="n">
        <v>12.70251206900706</v>
      </c>
      <c r="G305" s="90" t="n">
        <v>10.63054955290386</v>
      </c>
      <c r="H305" s="12" t="n">
        <v>0.2854588158951241</v>
      </c>
      <c r="I305" s="12" t="n">
        <v>0.6321931452901051</v>
      </c>
      <c r="J305" s="12" t="n">
        <v>1.023231031396948</v>
      </c>
      <c r="K305" s="90" t="n">
        <v>16.37568234130895</v>
      </c>
      <c r="L305" s="7" t="n">
        <v>0.7756936049598353</v>
      </c>
      <c r="M305" s="14" t="n">
        <v>0.2897670270774075</v>
      </c>
      <c r="N305" s="7" t="n">
        <v>12.70251206900706</v>
      </c>
      <c r="O305" s="7" t="n">
        <v>10.63054955290386</v>
      </c>
      <c r="P305" s="7" t="n">
        <v>16.37568234130895</v>
      </c>
      <c r="W305" s="117">
        <f>V303+I305/3</f>
        <v/>
      </c>
      <c r="X305" s="117">
        <f>V303+I305/5</f>
        <v/>
      </c>
      <c r="Y305" s="117" t="n"/>
      <c r="AA305" s="117" t="n"/>
    </row>
    <row r="306">
      <c r="C306" s="101" t="n"/>
      <c r="D306" s="90" t="n"/>
      <c r="F306" s="90" t="n"/>
      <c r="G306" s="90" t="n"/>
      <c r="K306" s="90" t="n"/>
      <c r="L306" s="7" t="n"/>
      <c r="N306" s="7" t="n"/>
      <c r="O306" s="7" t="n"/>
      <c r="P306" s="7" t="n"/>
      <c r="AA306" s="117" t="n"/>
    </row>
    <row r="307">
      <c r="A307" s="78" t="inlineStr">
        <is>
          <t>房地产服务</t>
        </is>
      </c>
      <c r="B307" t="inlineStr">
        <is>
          <t>pe weighted</t>
        </is>
      </c>
      <c r="C307" s="165" t="n">
        <v>21.71427261777897</v>
      </c>
      <c r="D307" s="90" t="n">
        <v>11.83356382172328</v>
      </c>
      <c r="E307" s="12" t="n">
        <v>0.4550329163669831</v>
      </c>
      <c r="F307" s="90" t="n">
        <v>-123.5072319021445</v>
      </c>
      <c r="G307" s="90" t="n">
        <v>-6.687836478621925</v>
      </c>
      <c r="H307" s="12" t="n">
        <v>-0.05916972013291733</v>
      </c>
      <c r="I307" s="12" t="n">
        <v>0.2570796213750701</v>
      </c>
      <c r="J307" s="12" t="n">
        <v>0.9400034939757338</v>
      </c>
      <c r="K307" s="90" t="n">
        <v>-10.43702757367294</v>
      </c>
      <c r="L307" s="7" t="n">
        <v>11.83356382172328</v>
      </c>
      <c r="M307" s="14" t="n">
        <v>0.4550329163669831</v>
      </c>
      <c r="N307" s="7" t="n">
        <v>-123.5072319021445</v>
      </c>
      <c r="O307" s="7" t="n">
        <v>-6.687836478621925</v>
      </c>
      <c r="P307" s="7" t="n">
        <v>-10.43702757367294</v>
      </c>
      <c r="Q307" s="99" t="n">
        <v>0.06248615094733175</v>
      </c>
      <c r="R307" s="99" t="n">
        <v>0.05238872717445146</v>
      </c>
      <c r="S307" s="99" t="n">
        <v>0.01674396151772531</v>
      </c>
      <c r="U307" s="117">
        <f>C307*S307</f>
        <v/>
      </c>
      <c r="V307" s="117">
        <f>(1+S307)*Q307*(1-U307)+S307</f>
        <v/>
      </c>
      <c r="W307" s="117">
        <f>V307+I307/3</f>
        <v/>
      </c>
      <c r="X307" s="117">
        <f>V307+I307/5</f>
        <v/>
      </c>
      <c r="Y307" s="117" t="n"/>
      <c r="AA307" s="117" t="n"/>
    </row>
    <row r="308">
      <c r="A308" t="inlineStr">
        <is>
          <t>C070203</t>
        </is>
      </c>
      <c r="B308" t="inlineStr">
        <is>
          <t>pe equal</t>
        </is>
      </c>
      <c r="C308" s="165" t="n">
        <v>22.8022082025196</v>
      </c>
      <c r="D308" s="90" t="n">
        <v>15.79892953852169</v>
      </c>
      <c r="E308" s="12" t="n">
        <v>0.3071315989134801</v>
      </c>
      <c r="F308" s="90" t="n">
        <v>-11.32681262601056</v>
      </c>
      <c r="G308" s="90" t="n">
        <v>-1.49674191751126</v>
      </c>
      <c r="H308" s="12" t="n">
        <v>-0.01649600527320527</v>
      </c>
      <c r="I308" s="12" t="n">
        <v>0.3173031160488555</v>
      </c>
      <c r="J308" s="12" t="n">
        <v>0.727966050311617</v>
      </c>
      <c r="K308" s="90" t="n">
        <v>-0.7169354479613947</v>
      </c>
      <c r="L308" s="7" t="n">
        <v>15.79892953852169</v>
      </c>
      <c r="M308" s="14" t="n">
        <v>0.3071315989134801</v>
      </c>
      <c r="N308" s="7" t="n">
        <v>-11.32681262601056</v>
      </c>
      <c r="O308" s="7" t="n">
        <v>-1.49674191751126</v>
      </c>
      <c r="P308" s="7" t="n">
        <v>-0.7169354479613947</v>
      </c>
      <c r="S308" s="99" t="n">
        <v>0.01230630455505812</v>
      </c>
      <c r="U308" s="117">
        <f>C308*S308</f>
        <v/>
      </c>
      <c r="V308" s="117">
        <f>(1+S308)*R307*(1-U308)+S308</f>
        <v/>
      </c>
      <c r="W308" s="117">
        <f>V308+I308/3</f>
        <v/>
      </c>
      <c r="X308" s="117">
        <f>V308+I308/5</f>
        <v/>
      </c>
      <c r="Y308" s="117" t="n"/>
      <c r="AA308" s="117" t="n"/>
    </row>
    <row r="309">
      <c r="B309" t="inlineStr">
        <is>
          <t>pb weighted</t>
        </is>
      </c>
      <c r="C309" s="167" t="n">
        <v>1.356841316506049</v>
      </c>
      <c r="D309" s="90" t="n">
        <v>1.156257199872877</v>
      </c>
      <c r="E309" s="12" t="n">
        <v>0.1478316691812488</v>
      </c>
      <c r="F309" s="90" t="n">
        <v>7.547174647829667</v>
      </c>
      <c r="G309" s="90" t="n">
        <v>4.562311934356562</v>
      </c>
      <c r="H309" s="12" t="n">
        <v>0.08637417144215487</v>
      </c>
      <c r="I309" s="12" t="n">
        <v>0.9579034774264812</v>
      </c>
      <c r="J309" s="12" t="n">
        <v>1.540256391966275</v>
      </c>
      <c r="K309" s="90" t="n">
        <v>6.52724553729</v>
      </c>
      <c r="L309" s="7" t="n">
        <v>1.156257199872877</v>
      </c>
      <c r="M309" s="14" t="n">
        <v>0.1478316691812488</v>
      </c>
      <c r="N309" s="7" t="n">
        <v>2.750942627360854</v>
      </c>
      <c r="O309" s="7" t="n">
        <v>1.027460834141388</v>
      </c>
      <c r="P309" s="7" t="n">
        <v>2.379178808714274</v>
      </c>
      <c r="W309" s="117">
        <f>V307+I309/3</f>
        <v/>
      </c>
      <c r="X309" s="117">
        <f>V307+I309/5</f>
        <v/>
      </c>
      <c r="Y309" s="117" t="n"/>
      <c r="AA309" s="117" t="n"/>
    </row>
    <row r="310">
      <c r="B310" t="inlineStr">
        <is>
          <t>pb equal</t>
        </is>
      </c>
      <c r="C310" s="167" t="n">
        <v>1.194578664496839</v>
      </c>
      <c r="D310" s="90" t="n">
        <v>0.9977722554763535</v>
      </c>
      <c r="E310" s="12" t="n">
        <v>0.1647496434262711</v>
      </c>
      <c r="F310" s="90" t="n">
        <v>7.240361524221565</v>
      </c>
      <c r="G310" s="90" t="n">
        <v>5.061016942129327</v>
      </c>
      <c r="H310" s="12" t="n">
        <v>0.2116097377456445</v>
      </c>
      <c r="I310" s="12" t="n">
        <v>1.29133187976084</v>
      </c>
      <c r="J310" s="12" t="n">
        <v>2.150362831182348</v>
      </c>
      <c r="K310" s="90" t="n">
        <v>7.256527212980975</v>
      </c>
      <c r="L310" s="7" t="n">
        <v>0.9977722554763535</v>
      </c>
      <c r="M310" s="14" t="n">
        <v>0.1647496434262711</v>
      </c>
      <c r="N310" s="7" t="n">
        <v>3.030692727121749</v>
      </c>
      <c r="O310" s="7" t="n">
        <v>1.53703905585681</v>
      </c>
      <c r="P310" s="7" t="n">
        <v>3.037459410689711</v>
      </c>
      <c r="W310" s="117">
        <f>V308+I310/3</f>
        <v/>
      </c>
      <c r="X310" s="117">
        <f>V308+I310/5</f>
        <v/>
      </c>
      <c r="Y310" s="117" t="n"/>
      <c r="AA310" s="117" t="n"/>
    </row>
    <row r="311">
      <c r="C311" s="101" t="n"/>
      <c r="D311" s="90" t="n"/>
      <c r="F311" s="90" t="n"/>
      <c r="G311" s="90" t="n"/>
      <c r="K311" s="90" t="n"/>
      <c r="L311" s="7" t="n"/>
      <c r="N311" s="7" t="n"/>
      <c r="O311" s="7" t="n"/>
      <c r="P311" s="7" t="n"/>
      <c r="AA311" s="117" t="n"/>
    </row>
    <row r="312">
      <c r="A312" t="inlineStr">
        <is>
          <t>互联网软件与服务</t>
        </is>
      </c>
      <c r="B312" t="inlineStr">
        <is>
          <t>pe weighted</t>
        </is>
      </c>
      <c r="C312" s="166" t="n">
        <v>750.9893287114019</v>
      </c>
      <c r="D312" s="90" t="n">
        <v>11.64207097407293</v>
      </c>
      <c r="E312" s="12" t="n">
        <v>0.9844976878778702</v>
      </c>
      <c r="F312" s="90" t="n">
        <v>-191.64322877226</v>
      </c>
      <c r="G312" s="90" t="n">
        <v>-1.25518768569068</v>
      </c>
      <c r="H312" s="12" t="n">
        <v>-0.9815776356800961</v>
      </c>
      <c r="I312" s="12" t="n">
        <v>-0.9782848957526468</v>
      </c>
      <c r="J312" s="12" t="n">
        <v>-0.9101902269959202</v>
      </c>
      <c r="K312" s="90" t="n">
        <v>-16.46126614406083</v>
      </c>
      <c r="L312" s="7" t="n">
        <v>11.64207097407293</v>
      </c>
      <c r="M312" s="14" t="n">
        <v>0.9844976878778702</v>
      </c>
      <c r="N312" s="7" t="n">
        <v>-191.64322877226</v>
      </c>
      <c r="O312" s="7" t="n">
        <v>-1.25518768569068</v>
      </c>
      <c r="P312" s="7" t="n">
        <v>-16.46126614406083</v>
      </c>
      <c r="Q312" s="99" t="n">
        <v>0.001250773865579662</v>
      </c>
      <c r="R312" s="99" t="n">
        <v>-0.1976439472427637</v>
      </c>
      <c r="S312" s="99" t="n">
        <v>0.02160756562314078</v>
      </c>
      <c r="U312" s="117">
        <f>C312*S312</f>
        <v/>
      </c>
      <c r="V312" s="117">
        <f>(1+S312)*Q312*(1-U312)+S312</f>
        <v/>
      </c>
      <c r="W312" s="117">
        <f>V312+I312/3</f>
        <v/>
      </c>
      <c r="X312" s="117">
        <f>V312+I312/5</f>
        <v/>
      </c>
      <c r="Y312" s="117" t="n"/>
      <c r="AA312" s="117" t="n"/>
    </row>
    <row r="313">
      <c r="A313" t="inlineStr">
        <is>
          <t>C070204</t>
        </is>
      </c>
      <c r="B313" t="inlineStr">
        <is>
          <t>pe equal</t>
        </is>
      </c>
      <c r="C313" s="166" t="n">
        <v>-6.270128425681221</v>
      </c>
      <c r="D313" s="90" t="n">
        <v>20.49509424725525</v>
      </c>
      <c r="E313" s="12" t="n">
        <v>4.268688112242063</v>
      </c>
      <c r="F313" s="90" t="n">
        <v>-4.789720139722261</v>
      </c>
      <c r="G313" s="90" t="n">
        <v>-0.2361049384404148</v>
      </c>
      <c r="H313" s="12" t="n">
        <v>-5.26772921257276</v>
      </c>
      <c r="I313" s="12" t="n">
        <v>-9.137730225084104</v>
      </c>
      <c r="J313" s="12" t="n">
        <v>1.517415220956935</v>
      </c>
      <c r="K313" s="90" t="n">
        <v>-0.2337008106397809</v>
      </c>
      <c r="L313" s="7" t="n">
        <v>21.25324152544231</v>
      </c>
      <c r="M313" s="14" t="n">
        <v>4.389602266899859</v>
      </c>
      <c r="N313" s="7" t="n">
        <v>-4.789720139722261</v>
      </c>
      <c r="O313" s="7" t="n">
        <v>-0.2361049384404148</v>
      </c>
      <c r="P313" s="7" t="n">
        <v>-0.2253642172178054</v>
      </c>
      <c r="S313" s="99" t="n">
        <v>0.01615811376143846</v>
      </c>
      <c r="U313" s="117">
        <f>C313*S313</f>
        <v/>
      </c>
      <c r="V313" s="117">
        <f>(1+S313)*R312*(1-U313)+S313</f>
        <v/>
      </c>
      <c r="W313" s="117">
        <f>V313+I313/3</f>
        <v/>
      </c>
      <c r="X313" s="117">
        <f>V313+I313/5</f>
        <v/>
      </c>
      <c r="Y313" s="117" t="n"/>
      <c r="AA313" s="117" t="n"/>
    </row>
    <row r="314">
      <c r="B314" t="inlineStr">
        <is>
          <t>pb weighted</t>
        </is>
      </c>
      <c r="C314" s="165" t="n">
        <v>0.9393178256814358</v>
      </c>
      <c r="D314" s="90" t="n">
        <v>0.7747455384178518</v>
      </c>
      <c r="E314" s="12" t="n">
        <v>0.1752040499648708</v>
      </c>
      <c r="F314" s="90" t="n">
        <v>2.136889876266581</v>
      </c>
      <c r="G314" s="90" t="n">
        <v>1.274938064457956</v>
      </c>
      <c r="H314" s="12" t="n">
        <v>-0.01220050197317479</v>
      </c>
      <c r="I314" s="12" t="n">
        <v>0.1140969088042572</v>
      </c>
      <c r="J314" s="12" t="n">
        <v>0.4630522650377251</v>
      </c>
      <c r="K314" s="90" t="n">
        <v>2.758182874638343</v>
      </c>
      <c r="L314" s="7" t="n">
        <v>0.7747455384178518</v>
      </c>
      <c r="M314" s="14" t="n">
        <v>0.1752040499648708</v>
      </c>
      <c r="N314" s="7" t="n">
        <v>1.683855240008983</v>
      </c>
      <c r="O314" s="7" t="n">
        <v>0.792636309001606</v>
      </c>
      <c r="P314" s="7" t="n">
        <v>2.173430057367832</v>
      </c>
      <c r="W314" s="117">
        <f>V312+I314/3</f>
        <v/>
      </c>
      <c r="X314" s="117">
        <f>V312+I314/5</f>
        <v/>
      </c>
      <c r="Y314" s="117" t="n"/>
      <c r="AA314" s="117" t="n"/>
    </row>
    <row r="315">
      <c r="B315" t="inlineStr">
        <is>
          <t>pb equal</t>
        </is>
      </c>
      <c r="C315" s="168" t="n">
        <v>1.239252931770692</v>
      </c>
      <c r="D315" s="90" t="n">
        <v>0.8946127232225416</v>
      </c>
      <c r="E315" s="12" t="n">
        <v>0.2781032021088025</v>
      </c>
      <c r="F315" s="90" t="n">
        <v>2.761671379446763</v>
      </c>
      <c r="G315" s="90" t="n">
        <v>1.228496950578749</v>
      </c>
      <c r="H315" s="12" t="n">
        <v>-0.1184059259405937</v>
      </c>
      <c r="I315" s="12" t="n">
        <v>-0.04742337136152086</v>
      </c>
      <c r="J315" s="12" t="n">
        <v>0.4516860829464175</v>
      </c>
      <c r="K315" s="90" t="n">
        <v>3.087002127019578</v>
      </c>
      <c r="L315" s="7" t="n">
        <v>0.8946127232225416</v>
      </c>
      <c r="M315" s="14" t="n">
        <v>0.2781032021088025</v>
      </c>
      <c r="N315" s="7" t="n">
        <v>2.094231537471928</v>
      </c>
      <c r="O315" s="7" t="n">
        <v>0.6899145313940143</v>
      </c>
      <c r="P315" s="7" t="n">
        <v>2.340936455641009</v>
      </c>
      <c r="W315" s="117">
        <f>V313+I315/3</f>
        <v/>
      </c>
      <c r="X315" s="117">
        <f>V313+I315/5</f>
        <v/>
      </c>
      <c r="Y315" s="117" t="n"/>
      <c r="AA315" s="117" t="n"/>
    </row>
    <row r="316">
      <c r="C316" s="101" t="n"/>
      <c r="D316" s="90" t="n"/>
      <c r="F316" s="90" t="n"/>
      <c r="G316" s="90" t="n"/>
      <c r="K316" s="90" t="n"/>
      <c r="L316" s="7" t="n"/>
      <c r="N316" s="7" t="n"/>
      <c r="O316" s="7" t="n"/>
      <c r="P316" s="7" t="n"/>
      <c r="AA316" s="117" t="n"/>
    </row>
    <row r="317">
      <c r="A317" t="inlineStr">
        <is>
          <t>信息技术服务</t>
        </is>
      </c>
      <c r="B317" t="inlineStr">
        <is>
          <t>pe weighted</t>
        </is>
      </c>
      <c r="C317" s="166" t="n">
        <v>-18.5180491890948</v>
      </c>
      <c r="D317" s="90" t="n">
        <v>17.34889764507156</v>
      </c>
      <c r="E317" s="12" t="n">
        <v>1.936864216522778</v>
      </c>
      <c r="F317" s="90" t="n">
        <v>-16.15839900384805</v>
      </c>
      <c r="G317" s="90" t="n">
        <v>-0.1274243394188812</v>
      </c>
      <c r="H317" s="12" t="n">
        <v>-3.0490499323487</v>
      </c>
      <c r="I317" s="12" t="n">
        <v>-4.640052173662402</v>
      </c>
      <c r="J317" s="12" t="n">
        <v>38.66133817055353</v>
      </c>
      <c r="K317" s="90" t="n">
        <v>-0.9313790036935456</v>
      </c>
      <c r="L317" s="7" t="n">
        <v>17.34889764507156</v>
      </c>
      <c r="M317" s="14" t="n">
        <v>1.936864216522778</v>
      </c>
      <c r="N317" s="7" t="n">
        <v>-16.15839900384805</v>
      </c>
      <c r="O317" s="7" t="n">
        <v>-0.1274243394188812</v>
      </c>
      <c r="P317" s="7" t="n">
        <v>-0.9313790036935456</v>
      </c>
      <c r="Q317" s="99" t="n">
        <v>-0.1554266367117243</v>
      </c>
      <c r="R317" s="99" t="n">
        <v>-0.1249023404385391</v>
      </c>
      <c r="S317" s="99" t="n">
        <v>0.002747110452600116</v>
      </c>
      <c r="U317" s="117">
        <f>C317*S317</f>
        <v/>
      </c>
      <c r="V317" s="117">
        <f>(1+S317)*Q317*(1-U317)+S317</f>
        <v/>
      </c>
      <c r="W317" s="117">
        <f>V317+I317/3</f>
        <v/>
      </c>
      <c r="X317" s="117">
        <f>V317+I317/5</f>
        <v/>
      </c>
      <c r="Y317" s="117" t="n"/>
      <c r="AA317" s="117" t="n"/>
    </row>
    <row r="318">
      <c r="A318" t="inlineStr">
        <is>
          <t>C070205</t>
        </is>
      </c>
      <c r="B318" t="inlineStr">
        <is>
          <t>pe equal</t>
        </is>
      </c>
      <c r="C318" s="166" t="n">
        <v>-22.56042599574106</v>
      </c>
      <c r="D318" s="90" t="n">
        <v>38.5481971440938</v>
      </c>
      <c r="E318" s="12" t="n">
        <v>2.708664417567776</v>
      </c>
      <c r="F318" s="90" t="n">
        <v>-14.07181492639131</v>
      </c>
      <c r="G318" s="90" t="n">
        <v>-0.376261116299498</v>
      </c>
      <c r="H318" s="12" t="n">
        <v>-3.898577925619638</v>
      </c>
      <c r="I318" s="12" t="n">
        <v>-10.69726605583891</v>
      </c>
      <c r="J318" s="12" t="n">
        <v>0.7057193654318079</v>
      </c>
      <c r="K318" s="90" t="n">
        <v>-0.3650446964819298</v>
      </c>
      <c r="L318" s="7" t="n">
        <v>38.5481971440938</v>
      </c>
      <c r="M318" s="14" t="n">
        <v>2.708664417567776</v>
      </c>
      <c r="N318" s="7" t="n">
        <v>-14.07181492639131</v>
      </c>
      <c r="O318" s="7" t="n">
        <v>-0.376261116299498</v>
      </c>
      <c r="P318" s="7" t="n">
        <v>-0.3650446964819298</v>
      </c>
      <c r="S318" s="99" t="n">
        <v>0.003537735849056604</v>
      </c>
      <c r="U318" s="117">
        <f>C318*S318</f>
        <v/>
      </c>
      <c r="V318" s="117">
        <f>(1+S318)*R317*(1-U318)+S318</f>
        <v/>
      </c>
      <c r="W318" s="117">
        <f>V318+I318/3</f>
        <v/>
      </c>
      <c r="X318" s="117">
        <f>V318+I318/5</f>
        <v/>
      </c>
      <c r="Y318" s="117" t="n"/>
      <c r="AA318" s="117" t="n"/>
    </row>
    <row r="319">
      <c r="B319" t="inlineStr">
        <is>
          <t>pb weighted</t>
        </is>
      </c>
      <c r="C319" s="165" t="n">
        <v>2.878198103923279</v>
      </c>
      <c r="D319" s="90" t="n">
        <v>1.601848541401672</v>
      </c>
      <c r="E319" s="12" t="n">
        <v>0.4434543823727114</v>
      </c>
      <c r="F319" s="90" t="n">
        <v>10.34655116282759</v>
      </c>
      <c r="G319" s="90" t="n">
        <v>2.594801604769382</v>
      </c>
      <c r="H319" s="12" t="n">
        <v>-0.1059733775316939</v>
      </c>
      <c r="I319" s="12" t="n">
        <v>0.2180844995723952</v>
      </c>
      <c r="J319" s="12" t="n">
        <v>0.7532770253506225</v>
      </c>
      <c r="K319" s="90" t="n">
        <v>6.459131993698985</v>
      </c>
      <c r="L319" s="7" t="n">
        <v>1.601848541401672</v>
      </c>
      <c r="M319" s="14" t="n">
        <v>0.4434543823727114</v>
      </c>
      <c r="N319" s="7" t="n">
        <v>5.521530971928893</v>
      </c>
      <c r="O319" s="7" t="n">
        <v>0.9183985162114037</v>
      </c>
      <c r="P319" s="7" t="n">
        <v>3.446974435608853</v>
      </c>
      <c r="W319" s="117">
        <f>V317+I319/3</f>
        <v/>
      </c>
      <c r="X319" s="117">
        <f>V317+I319/5</f>
        <v/>
      </c>
      <c r="Y319" s="117" t="n"/>
      <c r="AA319" s="117" t="n"/>
    </row>
    <row r="320">
      <c r="B320" t="inlineStr">
        <is>
          <t>pb equal</t>
        </is>
      </c>
      <c r="C320" s="165" t="n">
        <v>2.817850008158518</v>
      </c>
      <c r="D320" s="90" t="n">
        <v>1.983427016077024</v>
      </c>
      <c r="E320" s="12" t="n">
        <v>0.2961204427721807</v>
      </c>
      <c r="F320" s="90" t="n">
        <v>10.76918036191569</v>
      </c>
      <c r="G320" s="90" t="n">
        <v>2.821772035678157</v>
      </c>
      <c r="H320" s="12" t="n">
        <v>-0.003823749520987407</v>
      </c>
      <c r="I320" s="12" t="n">
        <v>0.1816910537146952</v>
      </c>
      <c r="J320" s="12" t="n">
        <v>0.7299175289334978</v>
      </c>
      <c r="K320" s="90" t="n">
        <v>5.429582371634631</v>
      </c>
      <c r="L320" s="7" t="n">
        <v>1.983427016077024</v>
      </c>
      <c r="M320" s="14" t="n">
        <v>0.2961204427721807</v>
      </c>
      <c r="N320" s="7" t="n">
        <v>5.302798338194383</v>
      </c>
      <c r="O320" s="7" t="n">
        <v>0.8818596883585701</v>
      </c>
      <c r="P320" s="7" t="n">
        <v>2.673553549090335</v>
      </c>
      <c r="W320" s="117">
        <f>V318+I320/3</f>
        <v/>
      </c>
      <c r="X320" s="117">
        <f>V318+I320/5</f>
        <v/>
      </c>
      <c r="Y320" s="117" t="n"/>
      <c r="AA320" s="117" t="n"/>
    </row>
    <row r="321">
      <c r="C321" s="101" t="n"/>
      <c r="D321" s="90" t="n"/>
      <c r="F321" s="90" t="n"/>
      <c r="G321" s="90" t="n"/>
      <c r="K321" s="90" t="n"/>
      <c r="L321" s="7" t="n"/>
      <c r="N321" s="7" t="n"/>
      <c r="O321" s="7" t="n"/>
      <c r="P321" s="7" t="n"/>
      <c r="AA321" s="117" t="n"/>
    </row>
    <row r="322">
      <c r="A322" t="inlineStr">
        <is>
          <t>计算机软件</t>
        </is>
      </c>
      <c r="B322" t="inlineStr">
        <is>
          <t>pe weighted</t>
        </is>
      </c>
      <c r="C322" s="166" t="n">
        <v>48.85908609963876</v>
      </c>
      <c r="D322" s="90" t="n">
        <v>8.558683289979335</v>
      </c>
      <c r="E322" s="12" t="n">
        <v>0.8248292390789804</v>
      </c>
      <c r="F322" s="90" t="n">
        <v>93.14905532989239</v>
      </c>
      <c r="G322" s="90" t="n">
        <v>0.9064837835880253</v>
      </c>
      <c r="H322" s="12" t="n">
        <v>-0.7331353585955742</v>
      </c>
      <c r="I322" s="12" t="n">
        <v>-0.5335493775273332</v>
      </c>
      <c r="J322" s="12" t="n">
        <v>-0.1637728537306543</v>
      </c>
      <c r="K322" s="90" t="n">
        <v>10.88357311211095</v>
      </c>
      <c r="L322" s="7" t="n">
        <v>8.558683289979335</v>
      </c>
      <c r="M322" s="14" t="n">
        <v>0.8248292390789804</v>
      </c>
      <c r="N322" s="7" t="n">
        <v>93.14905532989239</v>
      </c>
      <c r="O322" s="7" t="n">
        <v>0.9064837835880253</v>
      </c>
      <c r="P322" s="7" t="n">
        <v>10.88357311211095</v>
      </c>
      <c r="Q322" s="99" t="n">
        <v>0.05554148768594053</v>
      </c>
      <c r="R322" s="99" t="n">
        <v>-0.233864755368162</v>
      </c>
      <c r="S322" s="99" t="n">
        <v>0.007410697891352295</v>
      </c>
      <c r="U322" s="117">
        <f>C322*S322</f>
        <v/>
      </c>
      <c r="V322" s="117">
        <f>(1+S322)*Q322*(1-U322)+S322</f>
        <v/>
      </c>
      <c r="W322" s="117">
        <f>V322+I322/3</f>
        <v/>
      </c>
      <c r="X322" s="117">
        <f>V322+I322/5</f>
        <v/>
      </c>
      <c r="Y322" s="117" t="n"/>
      <c r="AA322" s="117" t="n"/>
    </row>
    <row r="323">
      <c r="A323" t="inlineStr">
        <is>
          <t>C070301</t>
        </is>
      </c>
      <c r="B323" t="inlineStr">
        <is>
          <t>pe equal</t>
        </is>
      </c>
      <c r="C323" s="166" t="n">
        <v>-17.28461101222041</v>
      </c>
      <c r="D323" s="90" t="n">
        <v>12.61471063147631</v>
      </c>
      <c r="E323" s="12" t="n">
        <v>1.729823229609134</v>
      </c>
      <c r="F323" s="90" t="n">
        <v>-8.942353606993434</v>
      </c>
      <c r="G323" s="90" t="n">
        <v>-0.4826407374356825</v>
      </c>
      <c r="H323" s="12" t="n">
        <v>-2.184422438435741</v>
      </c>
      <c r="I323" s="12" t="n">
        <v>-3.55122835496929</v>
      </c>
      <c r="J323" s="12" t="n">
        <v>3.397249528054101</v>
      </c>
      <c r="K323" s="90" t="n">
        <v>-0.7088829754588594</v>
      </c>
      <c r="L323" s="7" t="n">
        <v>12.61471063147631</v>
      </c>
      <c r="M323" s="14" t="n">
        <v>1.729823229609134</v>
      </c>
      <c r="N323" s="7" t="n">
        <v>-8.942353606993434</v>
      </c>
      <c r="O323" s="7" t="n">
        <v>-0.4826407374356825</v>
      </c>
      <c r="P323" s="7" t="n">
        <v>-0.7088829754588594</v>
      </c>
      <c r="S323" s="99" t="n">
        <v>0.007383130879479508</v>
      </c>
      <c r="U323" s="117">
        <f>C323*S323</f>
        <v/>
      </c>
      <c r="V323" s="117">
        <f>(1+S323)*R322*(1-U323)+S323</f>
        <v/>
      </c>
      <c r="W323" s="117">
        <f>V323+I323/3</f>
        <v/>
      </c>
      <c r="X323" s="117">
        <f>V323+I323/5</f>
        <v/>
      </c>
      <c r="Y323" s="117" t="n"/>
      <c r="AA323" s="117" t="n"/>
    </row>
    <row r="324">
      <c r="B324" t="inlineStr">
        <is>
          <t>pb weighted</t>
        </is>
      </c>
      <c r="C324" s="168" t="n">
        <v>2.713706328949395</v>
      </c>
      <c r="D324" s="90" t="n">
        <v>1.237122211599679</v>
      </c>
      <c r="E324" s="12" t="n">
        <v>0.5441208216223499</v>
      </c>
      <c r="F324" s="90" t="n">
        <v>7.239487643951843</v>
      </c>
      <c r="G324" s="90" t="n">
        <v>1.667749110035276</v>
      </c>
      <c r="H324" s="12" t="n">
        <v>-0.3402061907210389</v>
      </c>
      <c r="I324" s="12" t="n">
        <v>-0.1333653839256126</v>
      </c>
      <c r="J324" s="12" t="n">
        <v>0.3300344094497232</v>
      </c>
      <c r="K324" s="90" t="n">
        <v>5.851877507389281</v>
      </c>
      <c r="L324" s="7" t="n">
        <v>1.237122211599679</v>
      </c>
      <c r="M324" s="14" t="n">
        <v>0.5441208216223499</v>
      </c>
      <c r="N324" s="7" t="n">
        <v>7.239487643951843</v>
      </c>
      <c r="O324" s="7" t="n">
        <v>1.667749110035276</v>
      </c>
      <c r="P324" s="7" t="n">
        <v>5.851877507389281</v>
      </c>
      <c r="W324" s="117">
        <f>V322+I324/3</f>
        <v/>
      </c>
      <c r="X324" s="117">
        <f>V322+I324/5</f>
        <v/>
      </c>
      <c r="Y324" s="117" t="n"/>
      <c r="AA324" s="117" t="n"/>
    </row>
    <row r="325">
      <c r="B325" t="inlineStr">
        <is>
          <t>pb equal</t>
        </is>
      </c>
      <c r="C325" s="166" t="n">
        <v>4.042261326006766</v>
      </c>
      <c r="D325" s="90" t="n">
        <v>1.080316750837688</v>
      </c>
      <c r="E325" s="12" t="n">
        <v>0.7327444557116494</v>
      </c>
      <c r="F325" s="90" t="n">
        <v>6.339599105623463</v>
      </c>
      <c r="G325" s="90" t="n">
        <v>0.5683298516195068</v>
      </c>
      <c r="H325" s="12" t="n">
        <v>-0.5195692951133855</v>
      </c>
      <c r="I325" s="12" t="n">
        <v>-0.3596543499076273</v>
      </c>
      <c r="J325" s="12" t="n">
        <v>-0.06824926827574851</v>
      </c>
      <c r="K325" s="90" t="n">
        <v>5.868278077432083</v>
      </c>
      <c r="L325" s="7" t="n">
        <v>1.080316750837688</v>
      </c>
      <c r="M325" s="14" t="n">
        <v>0.7327444557116494</v>
      </c>
      <c r="N325" s="7" t="n">
        <v>6.339599105623463</v>
      </c>
      <c r="O325" s="7" t="n">
        <v>0.5683298516195068</v>
      </c>
      <c r="P325" s="7" t="n">
        <v>5.868278077432083</v>
      </c>
      <c r="W325" s="117">
        <f>V323+I325/3</f>
        <v/>
      </c>
      <c r="X325" s="117">
        <f>V323+I325/5</f>
        <v/>
      </c>
      <c r="Y325" s="117" t="n"/>
      <c r="AA325" s="117" t="n"/>
    </row>
    <row r="326">
      <c r="C326" s="101" t="n"/>
      <c r="D326" s="90" t="n"/>
      <c r="F326" s="90" t="n"/>
      <c r="G326" s="90" t="n"/>
      <c r="K326" s="90" t="n"/>
      <c r="L326" s="7" t="n"/>
      <c r="N326" s="7" t="n"/>
      <c r="O326" s="7" t="n"/>
      <c r="P326" s="7" t="n"/>
      <c r="AA326" s="117" t="n"/>
    </row>
    <row r="327">
      <c r="A327" t="inlineStr">
        <is>
          <t>电脑与外围设备</t>
        </is>
      </c>
      <c r="B327" t="inlineStr">
        <is>
          <t>pe weighted</t>
        </is>
      </c>
      <c r="C327" s="166" t="n">
        <v>287.1224026193004</v>
      </c>
      <c r="D327" s="90" t="n">
        <v>49.99587498782397</v>
      </c>
      <c r="E327" s="12" t="n">
        <v>0.8258726085748377</v>
      </c>
      <c r="F327" s="90" t="n">
        <v>-39.32002265043402</v>
      </c>
      <c r="G327" s="90" t="n">
        <v>-1.136945157506811</v>
      </c>
      <c r="H327" s="12" t="n">
        <v>-0.6954183624197687</v>
      </c>
      <c r="I327" s="12" t="n">
        <v>-0.4927201532458695</v>
      </c>
      <c r="J327" s="12" t="n">
        <v>-1.447494737676528</v>
      </c>
      <c r="K327" s="90" t="n">
        <v>-0.7864653365904696</v>
      </c>
      <c r="L327" s="7" t="n">
        <v>55.31461258493285</v>
      </c>
      <c r="M327" s="14" t="n">
        <v>0.8073483222475145</v>
      </c>
      <c r="N327" s="7" t="n">
        <v>-39.32002265043402</v>
      </c>
      <c r="O327" s="7" t="n">
        <v>-1.136945157506811</v>
      </c>
      <c r="P327" s="7" t="n">
        <v>-0.7108433163128471</v>
      </c>
      <c r="Q327" s="99" t="n">
        <v>0.01085872964415819</v>
      </c>
      <c r="R327" s="99" t="n">
        <v>-0.04278011883444787</v>
      </c>
      <c r="S327" s="99" t="n">
        <v>0.00471308986296951</v>
      </c>
      <c r="U327" s="117">
        <f>C327*S327</f>
        <v/>
      </c>
      <c r="V327" s="117">
        <f>(1+S327)*Q327*(1-U327)+S327</f>
        <v/>
      </c>
      <c r="W327" s="117">
        <f>V327+I327/3</f>
        <v/>
      </c>
      <c r="X327" s="117">
        <f>V327+I327/5</f>
        <v/>
      </c>
      <c r="Y327" s="117" t="n"/>
      <c r="AA327" s="117" t="n"/>
    </row>
    <row r="328">
      <c r="A328" t="inlineStr">
        <is>
          <t>C080101</t>
        </is>
      </c>
      <c r="B328" t="inlineStr">
        <is>
          <t>pe equal</t>
        </is>
      </c>
      <c r="C328" s="167" t="n">
        <v>-77.02208087203307</v>
      </c>
      <c r="D328" s="90" t="n">
        <v>46.07056996475764</v>
      </c>
      <c r="E328" s="12" t="n">
        <v>1.598147562921609</v>
      </c>
      <c r="F328" s="90" t="n">
        <v>-2.425901026527125</v>
      </c>
      <c r="G328" s="90" t="n">
        <v>-0.9685038238507527</v>
      </c>
      <c r="H328" s="12" t="n">
        <v>-2.192882058994549</v>
      </c>
      <c r="I328" s="12" t="n">
        <v>-3.117221029927781</v>
      </c>
      <c r="J328" s="12" t="n">
        <v>-0.8608949342466283</v>
      </c>
      <c r="K328" s="90" t="n">
        <v>-0.05265619740287245</v>
      </c>
      <c r="L328" s="7" t="n">
        <v>55.28450244331486</v>
      </c>
      <c r="M328" s="14" t="n">
        <v>1.717774718851939</v>
      </c>
      <c r="N328" s="7" t="n">
        <v>-2.425901026527125</v>
      </c>
      <c r="O328" s="7" t="n">
        <v>-0.9685038238507527</v>
      </c>
      <c r="P328" s="7" t="n">
        <v>-0.04388030857317539</v>
      </c>
      <c r="S328" s="99" t="n">
        <v>0.00419370925847582</v>
      </c>
      <c r="U328" s="117">
        <f>C328*S328</f>
        <v/>
      </c>
      <c r="V328" s="117">
        <f>(1+S328)*R327*(1-U328)+S328</f>
        <v/>
      </c>
      <c r="W328" s="117">
        <f>V328+I328/3</f>
        <v/>
      </c>
      <c r="X328" s="117">
        <f>V328+I328/5</f>
        <v/>
      </c>
      <c r="Y328" s="117" t="n"/>
      <c r="AA328" s="117" t="n"/>
    </row>
    <row r="329">
      <c r="B329" t="inlineStr">
        <is>
          <t>pb weighted</t>
        </is>
      </c>
      <c r="C329" s="167" t="n">
        <v>3.117784544824119</v>
      </c>
      <c r="D329" s="90" t="n">
        <v>2.261875097708244</v>
      </c>
      <c r="E329" s="12" t="n">
        <v>0.274524886120429</v>
      </c>
      <c r="F329" s="90" t="n">
        <v>30.34791878825532</v>
      </c>
      <c r="G329" s="90" t="n">
        <v>8.733808847900139</v>
      </c>
      <c r="H329" s="12" t="n">
        <v>0.1199707638399794</v>
      </c>
      <c r="I329" s="12" t="n">
        <v>0.4431963953594449</v>
      </c>
      <c r="J329" s="12" t="n">
        <v>1.692947116838062</v>
      </c>
      <c r="K329" s="90" t="n">
        <v>13.41715058404602</v>
      </c>
      <c r="L329" s="7" t="n">
        <v>2.261875097708244</v>
      </c>
      <c r="M329" s="14" t="n">
        <v>0.274524886120429</v>
      </c>
      <c r="N329" s="7" t="n">
        <v>5.887777932978569</v>
      </c>
      <c r="O329" s="7" t="n">
        <v>0.8884492652813221</v>
      </c>
      <c r="P329" s="7" t="n">
        <v>2.603051750710784</v>
      </c>
      <c r="W329" s="117">
        <f>V327+I329/3</f>
        <v/>
      </c>
      <c r="X329" s="117">
        <f>V327+I329/5</f>
        <v/>
      </c>
      <c r="Y329" s="117" t="n"/>
      <c r="AA329" s="117" t="n"/>
    </row>
    <row r="330">
      <c r="B330" t="inlineStr">
        <is>
          <t>pb equal</t>
        </is>
      </c>
      <c r="C330" s="165" t="n">
        <v>3.295013772582029</v>
      </c>
      <c r="D330" s="90" t="n">
        <v>1.923502375151819</v>
      </c>
      <c r="E330" s="12" t="n">
        <v>0.4162384415029228</v>
      </c>
      <c r="F330" s="90" t="n">
        <v>24.6904161521141</v>
      </c>
      <c r="G330" s="90" t="n">
        <v>6.493266449313281</v>
      </c>
      <c r="H330" s="12" t="n">
        <v>-0.1654920022535779</v>
      </c>
      <c r="I330" s="12" t="n">
        <v>0.2645678081325451</v>
      </c>
      <c r="J330" s="12" t="n">
        <v>1.343913871265935</v>
      </c>
      <c r="K330" s="90" t="n">
        <v>12.83617658655884</v>
      </c>
      <c r="L330" s="7" t="n">
        <v>1.923502375151819</v>
      </c>
      <c r="M330" s="14" t="n">
        <v>0.4162384415029228</v>
      </c>
      <c r="N330" s="7" t="n">
        <v>6.169102578910727</v>
      </c>
      <c r="O330" s="7" t="n">
        <v>0.8722539584641897</v>
      </c>
      <c r="P330" s="7" t="n">
        <v>3.207223790625062</v>
      </c>
      <c r="W330" s="117">
        <f>V328+I330/3</f>
        <v/>
      </c>
      <c r="X330" s="117">
        <f>V328+I330/5</f>
        <v/>
      </c>
      <c r="Y330" s="117" t="n"/>
      <c r="AA330" s="117" t="n"/>
    </row>
    <row r="331">
      <c r="C331" s="101" t="n"/>
      <c r="D331" s="90" t="n"/>
      <c r="F331" s="90" t="n"/>
      <c r="G331" s="90" t="n"/>
      <c r="K331" s="90" t="n"/>
      <c r="L331" s="7" t="n"/>
      <c r="N331" s="7" t="n"/>
      <c r="O331" s="7" t="n"/>
      <c r="P331" s="7" t="n"/>
      <c r="AA331" s="117" t="n"/>
    </row>
    <row r="332">
      <c r="A332" t="inlineStr">
        <is>
          <t>电子设备及服务</t>
        </is>
      </c>
      <c r="B332" t="inlineStr">
        <is>
          <t>pe weighted</t>
        </is>
      </c>
      <c r="C332" s="168" t="n">
        <v>193.3127412530557</v>
      </c>
      <c r="D332" s="90" t="n">
        <v>35.36037083086829</v>
      </c>
      <c r="E332" s="12" t="n">
        <v>0.8170820474550105</v>
      </c>
      <c r="F332" s="90" t="n">
        <v>-152.1602905804621</v>
      </c>
      <c r="G332" s="90" t="n">
        <v>-1.787119822491561</v>
      </c>
      <c r="H332" s="12" t="n">
        <v>-0.6726433755971126</v>
      </c>
      <c r="I332" s="12" t="n">
        <v>-0.4925641540629498</v>
      </c>
      <c r="J332" s="12" t="n">
        <v>2.257571570477408</v>
      </c>
      <c r="K332" s="90" t="n">
        <v>-4.303130510374396</v>
      </c>
      <c r="L332" s="7" t="n">
        <v>43.21741332918489</v>
      </c>
      <c r="M332" s="14" t="n">
        <v>0.7764378434186539</v>
      </c>
      <c r="N332" s="7" t="n">
        <v>-152.1602905804621</v>
      </c>
      <c r="O332" s="7" t="n">
        <v>-1.787119822491561</v>
      </c>
      <c r="P332" s="7" t="n">
        <v>-3.520809758359779</v>
      </c>
      <c r="Q332" s="99" t="n">
        <v>0.01598510711768413</v>
      </c>
      <c r="R332" s="99" t="n">
        <v>-0.03476570323654479</v>
      </c>
      <c r="S332" s="99" t="n">
        <v>0.003895151594144321</v>
      </c>
      <c r="U332" s="117">
        <f>C332*S332</f>
        <v/>
      </c>
      <c r="V332" s="117">
        <f>(1+S332)*Q332*(1-U332)+S332</f>
        <v/>
      </c>
      <c r="W332" s="117">
        <f>V332+I332/3</f>
        <v/>
      </c>
      <c r="X332" s="117">
        <f>V332+I332/5</f>
        <v/>
      </c>
      <c r="Y332" s="117" t="n"/>
      <c r="AA332" s="117" t="n"/>
    </row>
    <row r="333">
      <c r="A333" t="inlineStr">
        <is>
          <t>C080102</t>
        </is>
      </c>
      <c r="B333" t="inlineStr">
        <is>
          <t>pe equal</t>
        </is>
      </c>
      <c r="C333" s="167" t="n">
        <v>-80.69187285643508</v>
      </c>
      <c r="D333" s="90" t="n">
        <v>34.46083492217377</v>
      </c>
      <c r="E333" s="12" t="n">
        <v>1.427066985834938</v>
      </c>
      <c r="F333" s="90" t="n">
        <v>-11.29337053528283</v>
      </c>
      <c r="G333" s="90" t="n">
        <v>-0.8600432715773532</v>
      </c>
      <c r="H333" s="12" t="n">
        <v>-1.963267040626957</v>
      </c>
      <c r="I333" s="12" t="n">
        <v>-2.921149528557119</v>
      </c>
      <c r="J333" s="12" t="n">
        <v>-0.6322176236911106</v>
      </c>
      <c r="K333" s="90" t="n">
        <v>-0.3277161032455463</v>
      </c>
      <c r="L333" s="7" t="n">
        <v>48.68492702975433</v>
      </c>
      <c r="M333" s="14" t="n">
        <v>1.603343624411511</v>
      </c>
      <c r="N333" s="7" t="n">
        <v>-11.29337053528283</v>
      </c>
      <c r="O333" s="7" t="n">
        <v>-0.8600432715773532</v>
      </c>
      <c r="P333" s="7" t="n">
        <v>-0.2319685213532467</v>
      </c>
      <c r="S333" s="99" t="n">
        <v>0.003699852889432822</v>
      </c>
      <c r="U333" s="117">
        <f>C333*S333</f>
        <v/>
      </c>
      <c r="V333" s="117">
        <f>(1+S333)*R332*(1-U333)+S333</f>
        <v/>
      </c>
      <c r="W333" s="117">
        <f>V333+I333/3</f>
        <v/>
      </c>
      <c r="X333" s="117">
        <f>V333+I333/5</f>
        <v/>
      </c>
      <c r="Y333" s="117" t="n"/>
      <c r="AA333" s="117" t="n"/>
    </row>
    <row r="334">
      <c r="B334" t="inlineStr">
        <is>
          <t>pb weighted</t>
        </is>
      </c>
      <c r="C334" s="165" t="n">
        <v>3.090124876143251</v>
      </c>
      <c r="D334" s="90" t="n">
        <v>1.945556605025841</v>
      </c>
      <c r="E334" s="12" t="n">
        <v>0.3703954749381947</v>
      </c>
      <c r="F334" s="90" t="n">
        <v>18.83662504224361</v>
      </c>
      <c r="G334" s="90" t="n">
        <v>5.095748811858174</v>
      </c>
      <c r="H334" s="12" t="n">
        <v>-0.008439229012291438</v>
      </c>
      <c r="I334" s="12" t="n">
        <v>0.1940153401500981</v>
      </c>
      <c r="J334" s="12" t="n">
        <v>0.9197351353449474</v>
      </c>
      <c r="K334" s="90" t="n">
        <v>9.6818694421864</v>
      </c>
      <c r="L334" s="7" t="n">
        <v>1.945556605025841</v>
      </c>
      <c r="M334" s="14" t="n">
        <v>0.3703954749381947</v>
      </c>
      <c r="N334" s="7" t="n">
        <v>4.670324875733637</v>
      </c>
      <c r="O334" s="7" t="n">
        <v>0.5113709195994094</v>
      </c>
      <c r="P334" s="7" t="n">
        <v>2.400508349985327</v>
      </c>
      <c r="W334" s="117">
        <f>V332+I334/3</f>
        <v/>
      </c>
      <c r="X334" s="117">
        <f>V332+I334/5</f>
        <v/>
      </c>
      <c r="Y334" s="117" t="n"/>
      <c r="AA334" s="117" t="n"/>
    </row>
    <row r="335">
      <c r="B335" t="inlineStr">
        <is>
          <t>pb equal</t>
        </is>
      </c>
      <c r="C335" s="165" t="n">
        <v>2.805309705327826</v>
      </c>
      <c r="D335" s="90" t="n">
        <v>1.948743182918545</v>
      </c>
      <c r="E335" s="12" t="n">
        <v>0.305337596338292</v>
      </c>
      <c r="F335" s="90" t="n">
        <v>17.16084384908092</v>
      </c>
      <c r="G335" s="90" t="n">
        <v>5.117272476721253</v>
      </c>
      <c r="H335" s="12" t="n">
        <v>-0.01035101848670728</v>
      </c>
      <c r="I335" s="12" t="n">
        <v>0.289500294139289</v>
      </c>
      <c r="J335" s="12" t="n">
        <v>1.143542041718598</v>
      </c>
      <c r="K335" s="90" t="n">
        <v>8.806108470065253</v>
      </c>
      <c r="L335" s="7" t="n">
        <v>1.948743182918545</v>
      </c>
      <c r="M335" s="14" t="n">
        <v>0.305337596338292</v>
      </c>
      <c r="N335" s="7" t="n">
        <v>9.295167879902882</v>
      </c>
      <c r="O335" s="7" t="n">
        <v>2.313419499547433</v>
      </c>
      <c r="P335" s="7" t="n">
        <v>4.76982701536994</v>
      </c>
      <c r="W335" s="117">
        <f>V333+I335/3</f>
        <v/>
      </c>
      <c r="X335" s="117">
        <f>V333+I335/5</f>
        <v/>
      </c>
      <c r="Y335" s="117" t="n"/>
      <c r="AA335" s="117" t="n"/>
    </row>
    <row r="336">
      <c r="C336" s="101" t="n"/>
      <c r="D336" s="90" t="n"/>
      <c r="F336" s="90" t="n"/>
      <c r="G336" s="90" t="n"/>
      <c r="K336" s="90" t="n"/>
      <c r="L336" s="7" t="n"/>
      <c r="N336" s="7" t="n"/>
      <c r="O336" s="7" t="n"/>
      <c r="P336" s="7" t="n"/>
      <c r="AA336" s="117" t="n"/>
    </row>
    <row r="337">
      <c r="A337" t="inlineStr">
        <is>
          <t>电子元器件</t>
        </is>
      </c>
      <c r="B337" t="inlineStr">
        <is>
          <t>pe weighted</t>
        </is>
      </c>
      <c r="C337" s="168" t="n">
        <v>90.41206769293488</v>
      </c>
      <c r="D337" s="90" t="n">
        <v>32.32495848587302</v>
      </c>
      <c r="E337" s="12" t="n">
        <v>0.642470752956809</v>
      </c>
      <c r="F337" s="90" t="n">
        <v>-670.9374267985557</v>
      </c>
      <c r="G337" s="90" t="n">
        <v>-8.420883560336771</v>
      </c>
      <c r="H337" s="12" t="n">
        <v>-0.4136302011766421</v>
      </c>
      <c r="I337" s="12" t="n">
        <v>-0.307037035104458</v>
      </c>
      <c r="J337" s="12" t="n">
        <v>0.185965295068329</v>
      </c>
      <c r="K337" s="90" t="n">
        <v>-20.75601820468774</v>
      </c>
      <c r="L337" s="7" t="n">
        <v>35.90488761843117</v>
      </c>
      <c r="M337" s="14" t="n">
        <v>0.6028750526934703</v>
      </c>
      <c r="N337" s="7" t="n">
        <v>-670.9374267985557</v>
      </c>
      <c r="O337" s="7" t="n">
        <v>-8.420883560336771</v>
      </c>
      <c r="P337" s="7" t="n">
        <v>-18.68652073023455</v>
      </c>
      <c r="Q337" s="99" t="n">
        <v>0.05024997395879689</v>
      </c>
      <c r="R337" s="99" t="n">
        <v>0.01036069711590229</v>
      </c>
      <c r="S337" s="99" t="n">
        <v>0.007782464252964224</v>
      </c>
      <c r="U337" s="117">
        <f>C337*S337</f>
        <v/>
      </c>
      <c r="V337" s="117">
        <f>(1+S337)*Q337*(1-U337)+S337</f>
        <v/>
      </c>
      <c r="W337" s="117">
        <f>V337+I337/3</f>
        <v/>
      </c>
      <c r="X337" s="117">
        <f>V337+I337/5</f>
        <v/>
      </c>
      <c r="Y337" s="117" t="n"/>
      <c r="AA337" s="117" t="n"/>
    </row>
    <row r="338">
      <c r="A338" t="inlineStr">
        <is>
          <t>C080103</t>
        </is>
      </c>
      <c r="B338" t="inlineStr">
        <is>
          <t>pe equal</t>
        </is>
      </c>
      <c r="C338" s="166" t="n">
        <v>326.2378656198653</v>
      </c>
      <c r="D338" s="90" t="n">
        <v>12.10754606189405</v>
      </c>
      <c r="E338" s="12" t="n">
        <v>0.962887367354218</v>
      </c>
      <c r="F338" s="90" t="n">
        <v>-5.534617712165994</v>
      </c>
      <c r="G338" s="90" t="n">
        <v>-1.016964976464795</v>
      </c>
      <c r="H338" s="12" t="n">
        <v>-0.844699508009545</v>
      </c>
      <c r="I338" s="12" t="n">
        <v>-0.7767216651645178</v>
      </c>
      <c r="J338" s="12" t="n">
        <v>-0.5473921496081247</v>
      </c>
      <c r="K338" s="90" t="n">
        <v>-0.4571213426629064</v>
      </c>
      <c r="L338" s="7" t="n">
        <v>12.10754606189405</v>
      </c>
      <c r="M338" s="14" t="n">
        <v>0.962887367354218</v>
      </c>
      <c r="N338" s="7" t="n">
        <v>-5.534617712165994</v>
      </c>
      <c r="O338" s="7" t="n">
        <v>-1.016964976464795</v>
      </c>
      <c r="P338" s="7" t="n">
        <v>-0.4571213426629064</v>
      </c>
      <c r="S338" s="99" t="n">
        <v>0.005850084882829443</v>
      </c>
      <c r="U338" s="117">
        <f>C338*S338</f>
        <v/>
      </c>
      <c r="V338" s="117">
        <f>(1+S338)*R337*(1-U338)+S338</f>
        <v/>
      </c>
      <c r="W338" s="117">
        <f>V338+I338/3</f>
        <v/>
      </c>
      <c r="X338" s="117">
        <f>V338+I338/5</f>
        <v/>
      </c>
      <c r="Y338" s="117" t="n"/>
      <c r="AA338" s="117" t="n"/>
    </row>
    <row r="339">
      <c r="B339" t="inlineStr">
        <is>
          <t>pb weighted</t>
        </is>
      </c>
      <c r="C339" s="165" t="n">
        <v>4.543204047130959</v>
      </c>
      <c r="D339" s="90" t="n">
        <v>2.988235866070111</v>
      </c>
      <c r="E339" s="12" t="n">
        <v>0.3422624572723766</v>
      </c>
      <c r="F339" s="90" t="n">
        <v>20.70701452753017</v>
      </c>
      <c r="G339" s="90" t="n">
        <v>3.557799806637936</v>
      </c>
      <c r="H339" s="12" t="n">
        <v>-0.05241796653969955</v>
      </c>
      <c r="I339" s="12" t="n">
        <v>0.2080470524088158</v>
      </c>
      <c r="J339" s="12" t="n">
        <v>0.5368260479662106</v>
      </c>
      <c r="K339" s="90" t="n">
        <v>6.929511409272517</v>
      </c>
      <c r="L339" s="7" t="n">
        <v>2.988235866070111</v>
      </c>
      <c r="M339" s="14" t="n">
        <v>0.3422624572723766</v>
      </c>
      <c r="N339" s="7" t="n">
        <v>8.145258644637117</v>
      </c>
      <c r="O339" s="7" t="n">
        <v>0.7928445564272777</v>
      </c>
      <c r="P339" s="7" t="n">
        <v>2.725775008968456</v>
      </c>
      <c r="W339" s="117">
        <f>V337+I339/3</f>
        <v/>
      </c>
      <c r="X339" s="117">
        <f>V337+I339/5</f>
        <v/>
      </c>
      <c r="Y339" s="117" t="n"/>
      <c r="AA339" s="117" t="n"/>
    </row>
    <row r="340">
      <c r="B340" t="inlineStr">
        <is>
          <t>pb equal</t>
        </is>
      </c>
      <c r="C340" s="167" t="n">
        <v>3.380051713425858</v>
      </c>
      <c r="D340" s="90" t="n">
        <v>2.540868716560203</v>
      </c>
      <c r="E340" s="12" t="n">
        <v>0.2482751945872151</v>
      </c>
      <c r="F340" s="90" t="n">
        <v>24.89339364949605</v>
      </c>
      <c r="G340" s="90" t="n">
        <v>6.364796683617986</v>
      </c>
      <c r="H340" s="12" t="n">
        <v>0.08026438270109448</v>
      </c>
      <c r="I340" s="12" t="n">
        <v>0.3792524837874036</v>
      </c>
      <c r="J340" s="12" t="n">
        <v>1.052285740251311</v>
      </c>
      <c r="K340" s="90" t="n">
        <v>9.797197898204054</v>
      </c>
      <c r="L340" s="7" t="n">
        <v>2.540868716560203</v>
      </c>
      <c r="M340" s="14" t="n">
        <v>0.2482751945872151</v>
      </c>
      <c r="N340" s="7" t="n">
        <v>24.89339364949605</v>
      </c>
      <c r="O340" s="7" t="n">
        <v>6.364796683617986</v>
      </c>
      <c r="P340" s="7" t="n">
        <v>9.797197898204054</v>
      </c>
      <c r="W340" s="117">
        <f>V338+I340/3</f>
        <v/>
      </c>
      <c r="X340" s="117">
        <f>V338+I340/5</f>
        <v/>
      </c>
      <c r="Y340" s="117" t="n"/>
      <c r="AA340" s="117" t="n"/>
    </row>
    <row r="341">
      <c r="C341" s="101" t="n"/>
      <c r="D341" s="90" t="n"/>
      <c r="F341" s="90" t="n"/>
      <c r="G341" s="90" t="n"/>
      <c r="K341" s="90" t="n"/>
      <c r="L341" s="7" t="n"/>
      <c r="N341" s="7" t="n"/>
      <c r="O341" s="7" t="n"/>
      <c r="P341" s="7" t="n"/>
      <c r="AA341" s="117" t="n"/>
    </row>
    <row r="342">
      <c r="A342" t="inlineStr">
        <is>
          <t>光电子器件</t>
        </is>
      </c>
      <c r="B342" t="inlineStr">
        <is>
          <t>pe weighted</t>
        </is>
      </c>
      <c r="C342" s="168" t="n">
        <v>75.88505319304028</v>
      </c>
      <c r="D342" s="90" t="n">
        <v>27.49177819973955</v>
      </c>
      <c r="E342" s="12" t="n">
        <v>0.6377181402271068</v>
      </c>
      <c r="F342" s="90" t="n">
        <v>-2897.244743612386</v>
      </c>
      <c r="G342" s="90" t="n">
        <v>-39.17938608071113</v>
      </c>
      <c r="H342" s="12" t="n">
        <v>-0.4771553527814887</v>
      </c>
      <c r="I342" s="12" t="n">
        <v>-0.3046711855571681</v>
      </c>
      <c r="J342" s="12" t="n">
        <v>0.1399857480477329</v>
      </c>
      <c r="K342" s="90" t="n">
        <v>-105.3858620043659</v>
      </c>
      <c r="L342" s="7" t="n">
        <v>33.85794377777983</v>
      </c>
      <c r="M342" s="14" t="n">
        <v>0.5538259202157998</v>
      </c>
      <c r="N342" s="7" t="n">
        <v>-2897.244743612386</v>
      </c>
      <c r="O342" s="7" t="n">
        <v>-39.17938608071113</v>
      </c>
      <c r="P342" s="7" t="n">
        <v>-85.57060530987648</v>
      </c>
      <c r="Q342" s="99" t="n">
        <v>0.0381378537724767</v>
      </c>
      <c r="R342" s="99" t="n">
        <v>-0.05954723313380469</v>
      </c>
      <c r="S342" s="99" t="n">
        <v>0.006601415061480259</v>
      </c>
      <c r="U342" s="117">
        <f>C342*S342</f>
        <v/>
      </c>
      <c r="V342" s="117">
        <f>(1+S342)*Q342*(1-U342)+S342</f>
        <v/>
      </c>
      <c r="W342" s="117">
        <f>V342+I342/3</f>
        <v/>
      </c>
      <c r="X342" s="117">
        <f>V342+I342/5</f>
        <v/>
      </c>
      <c r="Y342" s="117" t="n"/>
      <c r="AA342" s="117" t="n"/>
    </row>
    <row r="343">
      <c r="A343" t="inlineStr">
        <is>
          <t>C080201</t>
        </is>
      </c>
      <c r="B343" t="inlineStr">
        <is>
          <t>pe equal</t>
        </is>
      </c>
      <c r="C343" s="166" t="n">
        <v>-36.02215752273126</v>
      </c>
      <c r="D343" s="90" t="n">
        <v>40.25863407091847</v>
      </c>
      <c r="E343" s="12" t="n">
        <v>2.117607518248007</v>
      </c>
      <c r="F343" s="90" t="n">
        <v>-3.359494036717741</v>
      </c>
      <c r="G343" s="90" t="n">
        <v>-0.906738122651377</v>
      </c>
      <c r="H343" s="12" t="n">
        <v>-2.469884832051889</v>
      </c>
      <c r="I343" s="12" t="n">
        <v>-3.122569848963611</v>
      </c>
      <c r="J343" s="12" t="n">
        <v>4.570294631449301</v>
      </c>
      <c r="K343" s="90" t="n">
        <v>-0.08344778987781235</v>
      </c>
      <c r="L343" s="7" t="n">
        <v>41.32988622081555</v>
      </c>
      <c r="M343" s="14" t="n">
        <v>2.147346218635986</v>
      </c>
      <c r="N343" s="7" t="n">
        <v>-3.359494036717741</v>
      </c>
      <c r="O343" s="7" t="n">
        <v>-0.906738122651377</v>
      </c>
      <c r="P343" s="7" t="n">
        <v>-0.08128486051882119</v>
      </c>
      <c r="S343" s="99" t="n">
        <v>0.007006649304185974</v>
      </c>
      <c r="U343" s="117">
        <f>C343*S343</f>
        <v/>
      </c>
      <c r="V343" s="117">
        <f>(1+S343)*R342*(1-U343)+S343</f>
        <v/>
      </c>
      <c r="W343" s="117">
        <f>V343+I343/3</f>
        <v/>
      </c>
      <c r="X343" s="117">
        <f>V343+I343/5</f>
        <v/>
      </c>
      <c r="Y343" s="117" t="n"/>
      <c r="AA343" s="117" t="n"/>
    </row>
    <row r="344">
      <c r="B344" t="inlineStr">
        <is>
          <t>pb weighted</t>
        </is>
      </c>
      <c r="C344" s="165" t="n">
        <v>2.894093062192786</v>
      </c>
      <c r="D344" s="90" t="n">
        <v>1.877752567083608</v>
      </c>
      <c r="E344" s="12" t="n">
        <v>0.3511775444909575</v>
      </c>
      <c r="F344" s="90" t="n">
        <v>9.431574181084164</v>
      </c>
      <c r="G344" s="90" t="n">
        <v>2.25890494134217</v>
      </c>
      <c r="H344" s="12" t="n">
        <v>-0.09852445839706858</v>
      </c>
      <c r="I344" s="12" t="n">
        <v>0.06395312142870124</v>
      </c>
      <c r="J344" s="12" t="n">
        <v>0.2920180920279123</v>
      </c>
      <c r="K344" s="90" t="n">
        <v>5.022799247577447</v>
      </c>
      <c r="L344" s="7" t="n">
        <v>1.877752567083608</v>
      </c>
      <c r="M344" s="14" t="n">
        <v>0.3511775444909575</v>
      </c>
      <c r="N344" s="7" t="n">
        <v>4.610723578813652</v>
      </c>
      <c r="O344" s="7" t="n">
        <v>0.5931497293733241</v>
      </c>
      <c r="P344" s="7" t="n">
        <v>2.455447890013912</v>
      </c>
      <c r="W344" s="117">
        <f>V342+I344/3</f>
        <v/>
      </c>
      <c r="X344" s="117">
        <f>V342+I344/5</f>
        <v/>
      </c>
      <c r="Y344" s="117" t="n"/>
      <c r="AA344" s="117" t="n"/>
    </row>
    <row r="345">
      <c r="B345" t="inlineStr">
        <is>
          <t>pb equal</t>
        </is>
      </c>
      <c r="C345" s="167" t="n">
        <v>2.145019811988715</v>
      </c>
      <c r="D345" s="90" t="n">
        <v>1.800292459848757</v>
      </c>
      <c r="E345" s="12" t="n">
        <v>0.1607105678993009</v>
      </c>
      <c r="F345" s="90" t="n">
        <v>10.04893353819853</v>
      </c>
      <c r="G345" s="90" t="n">
        <v>3.684774230071958</v>
      </c>
      <c r="H345" s="12" t="n">
        <v>0.1723629252511734</v>
      </c>
      <c r="I345" s="12" t="n">
        <v>0.4723119752456659</v>
      </c>
      <c r="J345" s="12" t="n">
        <v>0.9937944700471271</v>
      </c>
      <c r="K345" s="90" t="n">
        <v>5.581833931050704</v>
      </c>
      <c r="L345" s="7" t="n">
        <v>1.800292459848757</v>
      </c>
      <c r="M345" s="14" t="n">
        <v>0.1607105678993009</v>
      </c>
      <c r="N345" s="7" t="n">
        <v>4.727234598320268</v>
      </c>
      <c r="O345" s="7" t="n">
        <v>1.20381861831733</v>
      </c>
      <c r="P345" s="7" t="n">
        <v>2.625814807177165</v>
      </c>
      <c r="W345" s="117">
        <f>V343+I345/3</f>
        <v/>
      </c>
      <c r="X345" s="117">
        <f>V343+I345/5</f>
        <v/>
      </c>
      <c r="Y345" s="117" t="n"/>
      <c r="AA345" s="117" t="n"/>
    </row>
    <row r="346">
      <c r="C346" s="101" t="n"/>
      <c r="D346" s="90" t="n"/>
      <c r="F346" s="90" t="n"/>
      <c r="G346" s="90" t="n"/>
      <c r="K346" s="90" t="n"/>
      <c r="L346" s="7" t="n"/>
      <c r="N346" s="7" t="n"/>
      <c r="O346" s="7" t="n"/>
      <c r="P346" s="7" t="n"/>
      <c r="AA346" s="117" t="n"/>
    </row>
    <row r="347">
      <c r="A347" t="inlineStr">
        <is>
          <t>半导体</t>
        </is>
      </c>
      <c r="B347" t="inlineStr">
        <is>
          <t>pe weighted</t>
        </is>
      </c>
      <c r="C347" s="167" t="n">
        <v>30.06198814516214</v>
      </c>
      <c r="D347" s="90" t="n">
        <v>25.62123321187239</v>
      </c>
      <c r="E347" s="12" t="n">
        <v>0.1477199349506227</v>
      </c>
      <c r="F347" s="90" t="n">
        <v>106.1977548013625</v>
      </c>
      <c r="G347" s="90" t="n">
        <v>2.532625796023835</v>
      </c>
      <c r="H347" s="12" t="n">
        <v>0.3553262696845048</v>
      </c>
      <c r="I347" s="12" t="n">
        <v>0.5409506501190944</v>
      </c>
      <c r="J347" s="12" t="n">
        <v>0.8143365442061308</v>
      </c>
      <c r="K347" s="90" t="n">
        <v>4.144911914394209</v>
      </c>
      <c r="L347" s="7" t="n">
        <v>25.62123321187239</v>
      </c>
      <c r="M347" s="14" t="n">
        <v>0.1477199349506227</v>
      </c>
      <c r="N347" s="7" t="n">
        <v>64.01561182557114</v>
      </c>
      <c r="O347" s="7" t="n">
        <v>1.12945369802074</v>
      </c>
      <c r="P347" s="7" t="n">
        <v>2.498537494124503</v>
      </c>
      <c r="Q347" s="99" t="n">
        <v>0.1130883293614422</v>
      </c>
      <c r="R347" s="99" t="n">
        <v>0.04018685103531967</v>
      </c>
      <c r="S347" s="99" t="n">
        <v>0.01329332208351383</v>
      </c>
      <c r="U347" s="117">
        <f>C347*S347</f>
        <v/>
      </c>
      <c r="V347" s="117">
        <f>(1+S347)*Q347*(1-U347)+S347</f>
        <v/>
      </c>
      <c r="W347" s="117">
        <f>V347+I347/3</f>
        <v/>
      </c>
      <c r="X347" s="117">
        <f>V347+I347/5</f>
        <v/>
      </c>
      <c r="Y347" s="117" t="n"/>
      <c r="AA347" s="117" t="n"/>
    </row>
    <row r="348">
      <c r="A348" t="inlineStr">
        <is>
          <t>C080202</t>
        </is>
      </c>
      <c r="B348" t="inlineStr">
        <is>
          <t>pe equal</t>
        </is>
      </c>
      <c r="C348" s="166" t="n">
        <v>74.43061621508299</v>
      </c>
      <c r="D348" s="90" t="n">
        <v>38.02484361103853</v>
      </c>
      <c r="E348" s="12" t="n">
        <v>0.4891236221777647</v>
      </c>
      <c r="F348" s="90" t="n">
        <v>-16.26006255039558</v>
      </c>
      <c r="G348" s="90" t="n">
        <v>-1.218459330007543</v>
      </c>
      <c r="H348" s="12" t="n">
        <v>-0.1082347824003812</v>
      </c>
      <c r="I348" s="12" t="n">
        <v>0.2712496281687551</v>
      </c>
      <c r="J348" s="12" t="n">
        <v>-5.42746853609976</v>
      </c>
      <c r="K348" s="90" t="n">
        <v>-0.4276168159091475</v>
      </c>
      <c r="L348" s="7" t="n">
        <v>54.17024103450315</v>
      </c>
      <c r="M348" s="14" t="n">
        <v>0.2722048561580251</v>
      </c>
      <c r="N348" s="7" t="n">
        <v>-16.26006255039558</v>
      </c>
      <c r="O348" s="7" t="n">
        <v>-1.218459330007543</v>
      </c>
      <c r="P348" s="7" t="n">
        <v>-0.3001659627107606</v>
      </c>
      <c r="S348" s="99" t="n">
        <v>0.006620581570363437</v>
      </c>
      <c r="U348" s="117">
        <f>C348*S348</f>
        <v/>
      </c>
      <c r="V348" s="117">
        <f>(1+S348)*R347*(1-U348)+S348</f>
        <v/>
      </c>
      <c r="W348" s="117">
        <f>V348+I348/3</f>
        <v/>
      </c>
      <c r="X348" s="117">
        <f>V348+I348/5</f>
        <v/>
      </c>
      <c r="Y348" s="117" t="n"/>
      <c r="AA348" s="117" t="n"/>
    </row>
    <row r="349">
      <c r="B349" t="inlineStr">
        <is>
          <t>pb weighted</t>
        </is>
      </c>
      <c r="C349" s="167" t="n">
        <v>3.399660016619865</v>
      </c>
      <c r="D349" s="90" t="n">
        <v>2.983046352415669</v>
      </c>
      <c r="E349" s="12" t="n">
        <v>0.1225456846177275</v>
      </c>
      <c r="F349" s="90" t="n">
        <v>12.23194525352195</v>
      </c>
      <c r="G349" s="90" t="n">
        <v>2.597990738404378</v>
      </c>
      <c r="H349" s="12" t="n">
        <v>0.1619140190690447</v>
      </c>
      <c r="I349" s="12" t="n">
        <v>0.4218002740308306</v>
      </c>
      <c r="J349" s="12" t="n">
        <v>0.6472134480912823</v>
      </c>
      <c r="K349" s="90" t="n">
        <v>4.10048782635125</v>
      </c>
      <c r="L349" s="7" t="n">
        <v>2.983046352415669</v>
      </c>
      <c r="M349" s="14" t="n">
        <v>0.1225456846177275</v>
      </c>
      <c r="N349" s="7" t="n">
        <v>5.504479524516415</v>
      </c>
      <c r="O349" s="7" t="n">
        <v>0.6191264707667095</v>
      </c>
      <c r="P349" s="7" t="n">
        <v>1.845254439328069</v>
      </c>
      <c r="W349" s="117">
        <f>V347+I349/3</f>
        <v/>
      </c>
      <c r="X349" s="117">
        <f>V347+I349/5</f>
        <v/>
      </c>
      <c r="Y349" s="117" t="n"/>
      <c r="AA349" s="117" t="n"/>
    </row>
    <row r="350">
      <c r="B350" t="inlineStr">
        <is>
          <t>pb equal</t>
        </is>
      </c>
      <c r="C350" s="167" t="n">
        <v>2.991132086302589</v>
      </c>
      <c r="D350" s="90" t="n">
        <v>2.257907971389327</v>
      </c>
      <c r="E350" s="12" t="n">
        <v>0.2451326433462918</v>
      </c>
      <c r="F350" s="90" t="n">
        <v>11.4054151825417</v>
      </c>
      <c r="G350" s="90" t="n">
        <v>2.813076405007648</v>
      </c>
      <c r="H350" s="12" t="n">
        <v>0.05263910187477783</v>
      </c>
      <c r="I350" s="12" t="n">
        <v>0.2196169657963398</v>
      </c>
      <c r="J350" s="12" t="n">
        <v>0.7891478237134797</v>
      </c>
      <c r="K350" s="90" t="n">
        <v>5.051319773464358</v>
      </c>
      <c r="L350" s="7" t="n">
        <v>2.257907971389327</v>
      </c>
      <c r="M350" s="14" t="n">
        <v>0.2451326433462918</v>
      </c>
      <c r="N350" s="7" t="n">
        <v>4.277546825043614</v>
      </c>
      <c r="O350" s="7" t="n">
        <v>0.430076205805807</v>
      </c>
      <c r="P350" s="7" t="n">
        <v>1.894473503457969</v>
      </c>
      <c r="W350" s="117">
        <f>V348+I350/3</f>
        <v/>
      </c>
      <c r="X350" s="117">
        <f>V348+I350/5</f>
        <v/>
      </c>
      <c r="Y350" s="117" t="n"/>
      <c r="AA350" s="117" t="n"/>
    </row>
    <row r="351">
      <c r="C351" s="101" t="n"/>
      <c r="D351" s="90" t="n"/>
      <c r="F351" s="90" t="n"/>
      <c r="G351" s="90" t="n"/>
      <c r="K351" s="90" t="n"/>
      <c r="L351" s="7" t="n"/>
      <c r="N351" s="7" t="n"/>
      <c r="O351" s="7" t="n"/>
      <c r="P351" s="7" t="n"/>
      <c r="AA351" s="117" t="n"/>
    </row>
    <row r="352">
      <c r="A352" t="inlineStr">
        <is>
          <t>电信运营</t>
        </is>
      </c>
      <c r="B352" t="inlineStr">
        <is>
          <t>pe weighted</t>
        </is>
      </c>
      <c r="C352" s="167" t="n">
        <v>34.13429087322324</v>
      </c>
      <c r="D352" s="90" t="n">
        <v>29.09434291161284</v>
      </c>
      <c r="E352" s="12" t="n">
        <v>0.1476505834068462</v>
      </c>
      <c r="F352" s="90" t="n">
        <v>-817.2122190251072</v>
      </c>
      <c r="G352" s="90" t="n">
        <v>-24.94109261154074</v>
      </c>
      <c r="H352" s="12" t="n">
        <v>0.1459891609585819</v>
      </c>
      <c r="I352" s="12" t="n">
        <v>0.4555127453097216</v>
      </c>
      <c r="J352" s="12" t="n">
        <v>1.5730367974356</v>
      </c>
      <c r="K352" s="90" t="n">
        <v>-28.08835454740315</v>
      </c>
      <c r="L352" s="7" t="n">
        <v>29.09434291161284</v>
      </c>
      <c r="M352" s="14" t="n">
        <v>0.1476505834068462</v>
      </c>
      <c r="N352" s="7" t="n">
        <v>105.0850487757996</v>
      </c>
      <c r="O352" s="7" t="n">
        <v>2.0785771752544</v>
      </c>
      <c r="P352" s="7" t="n">
        <v>3.611872214988417</v>
      </c>
      <c r="Q352" s="99" t="n">
        <v>0.09792417841626416</v>
      </c>
      <c r="R352" s="99" t="n">
        <v>0.05649710612616049</v>
      </c>
      <c r="S352" s="99" t="n">
        <v>0.00740704815379319</v>
      </c>
      <c r="U352" s="117">
        <f>C352*S352</f>
        <v/>
      </c>
      <c r="V352" s="117">
        <f>(1+S352)*Q352*(1-U352)+S352</f>
        <v/>
      </c>
      <c r="W352" s="117">
        <f>V352+I352/3</f>
        <v/>
      </c>
      <c r="X352" s="117">
        <f>V352+I352/5</f>
        <v/>
      </c>
      <c r="Y352" s="117" t="n"/>
      <c r="AA352" s="117" t="n"/>
    </row>
    <row r="353">
      <c r="A353" t="inlineStr">
        <is>
          <t>C080203</t>
        </is>
      </c>
      <c r="B353" t="inlineStr">
        <is>
          <t>pe equal</t>
        </is>
      </c>
      <c r="C353" s="166" t="n">
        <v>49.42760321023781</v>
      </c>
      <c r="D353" s="90" t="n">
        <v>39.8950382830834</v>
      </c>
      <c r="E353" s="12" t="n">
        <v>0.1928591375674867</v>
      </c>
      <c r="F353" s="90" t="n">
        <v>-14.49854117948991</v>
      </c>
      <c r="G353" s="90" t="n">
        <v>-1.293328833239619</v>
      </c>
      <c r="H353" s="12" t="n">
        <v>0.1668731750937882</v>
      </c>
      <c r="I353" s="12" t="n">
        <v>0.8945445248085635</v>
      </c>
      <c r="J353" s="12" t="n">
        <v>-2.432358674946287</v>
      </c>
      <c r="K353" s="90" t="n">
        <v>-0.3634171516922115</v>
      </c>
      <c r="L353" s="7" t="n">
        <v>39.8950382830834</v>
      </c>
      <c r="M353" s="14" t="n">
        <v>0.1928591375674867</v>
      </c>
      <c r="N353" s="7" t="n">
        <v>-14.49854117948991</v>
      </c>
      <c r="O353" s="7" t="n">
        <v>-1.293328833239619</v>
      </c>
      <c r="P353" s="7" t="n">
        <v>-0.3634171516922115</v>
      </c>
      <c r="S353" s="99" t="n">
        <v>0.007238639764991586</v>
      </c>
      <c r="U353" s="117">
        <f>C353*S353</f>
        <v/>
      </c>
      <c r="V353" s="117">
        <f>(1+S353)*R352*(1-U353)+S353</f>
        <v/>
      </c>
      <c r="W353" s="117">
        <f>V353+I353/3</f>
        <v/>
      </c>
      <c r="X353" s="117">
        <f>V353+I353/5</f>
        <v/>
      </c>
      <c r="Y353" s="117" t="n"/>
      <c r="AA353" s="117" t="n"/>
    </row>
    <row r="354">
      <c r="B354" t="inlineStr">
        <is>
          <t>pb weighted</t>
        </is>
      </c>
      <c r="C354" s="167" t="n">
        <v>3.34257238958217</v>
      </c>
      <c r="D354" s="90" t="n">
        <v>2.39337387676767</v>
      </c>
      <c r="E354" s="12" t="n">
        <v>0.2839724625778867</v>
      </c>
      <c r="F354" s="90" t="n">
        <v>7.470905368654289</v>
      </c>
      <c r="G354" s="90" t="n">
        <v>1.235076611037337</v>
      </c>
      <c r="H354" s="12" t="n">
        <v>0.03989265551628307</v>
      </c>
      <c r="I354" s="12" t="n">
        <v>0.2338535804727719</v>
      </c>
      <c r="J354" s="12" t="n">
        <v>0.4074957825613545</v>
      </c>
      <c r="K354" s="90" t="n">
        <v>3.121495325562754</v>
      </c>
      <c r="L354" s="7" t="n">
        <v>2.39337387676767</v>
      </c>
      <c r="M354" s="14" t="n">
        <v>0.2839724625778867</v>
      </c>
      <c r="N354" s="7" t="n">
        <v>6.265359565291592</v>
      </c>
      <c r="O354" s="7" t="n">
        <v>0.8744125287514801</v>
      </c>
      <c r="P354" s="7" t="n">
        <v>2.617793912647349</v>
      </c>
      <c r="W354" s="117">
        <f>V352+I354/3</f>
        <v/>
      </c>
      <c r="X354" s="117">
        <f>V352+I354/5</f>
        <v/>
      </c>
      <c r="Y354" s="117" t="n"/>
      <c r="AA354" s="117" t="n"/>
    </row>
    <row r="355">
      <c r="B355" t="inlineStr">
        <is>
          <t>pb equal</t>
        </is>
      </c>
      <c r="C355" s="167" t="n">
        <v>2.792516544130556</v>
      </c>
      <c r="D355" s="90" t="n">
        <v>2.000048175094077</v>
      </c>
      <c r="E355" s="12" t="n">
        <v>0.2837828734451465</v>
      </c>
      <c r="F355" s="90" t="n">
        <v>7.671408238549897</v>
      </c>
      <c r="G355" s="90" t="n">
        <v>1.747130810979089</v>
      </c>
      <c r="H355" s="12" t="n">
        <v>0.05360496444363649</v>
      </c>
      <c r="I355" s="12" t="n">
        <v>0.2383837540350491</v>
      </c>
      <c r="J355" s="12" t="n">
        <v>0.4436206495913595</v>
      </c>
      <c r="K355" s="90" t="n">
        <v>3.83561172879701</v>
      </c>
      <c r="L355" s="7" t="n">
        <v>2.000048175094077</v>
      </c>
      <c r="M355" s="14" t="n">
        <v>0.2837828734451465</v>
      </c>
      <c r="N355" s="7" t="n">
        <v>4.039444838637074</v>
      </c>
      <c r="O355" s="7" t="n">
        <v>0.4465249443651</v>
      </c>
      <c r="P355" s="7" t="n">
        <v>2.019673770331592</v>
      </c>
      <c r="W355" s="117">
        <f>V353+I355/3</f>
        <v/>
      </c>
      <c r="X355" s="117">
        <f>V353+I355/5</f>
        <v/>
      </c>
      <c r="Y355" s="117" t="n"/>
      <c r="AA355" s="117" t="n"/>
    </row>
    <row r="356">
      <c r="C356" s="101" t="n"/>
      <c r="D356" s="90" t="n"/>
      <c r="F356" s="90" t="n"/>
      <c r="G356" s="90" t="n"/>
      <c r="K356" s="90" t="n"/>
      <c r="L356" s="7" t="n"/>
      <c r="N356" s="7" t="n"/>
      <c r="O356" s="7" t="n"/>
      <c r="P356" s="7" t="n"/>
      <c r="AA356" s="117" t="n"/>
    </row>
    <row r="357">
      <c r="A357" t="inlineStr">
        <is>
          <t>电信增值服务</t>
        </is>
      </c>
      <c r="B357" t="inlineStr">
        <is>
          <t>pe weighted</t>
        </is>
      </c>
      <c r="C357" s="166" t="n">
        <v>151.6320426285102</v>
      </c>
      <c r="D357" s="90" t="n">
        <v>16.16530090503314</v>
      </c>
      <c r="E357" s="12" t="n">
        <v>0.8933912606807177</v>
      </c>
      <c r="F357" s="90" t="n">
        <v>244.4031947988834</v>
      </c>
      <c r="G357" s="90" t="n">
        <v>0.6118175984587717</v>
      </c>
      <c r="H357" s="12" t="n">
        <v>-0.7803967527122714</v>
      </c>
      <c r="I357" s="12" t="n">
        <v>-0.6431563021680465</v>
      </c>
      <c r="J357" s="12" t="n">
        <v>-0.4328903535105975</v>
      </c>
      <c r="K357" s="90" t="n">
        <v>15.11900064432376</v>
      </c>
      <c r="L357" s="7" t="n">
        <v>16.16530090503314</v>
      </c>
      <c r="M357" s="14" t="n">
        <v>0.8933912606807177</v>
      </c>
      <c r="N357" s="7" t="n">
        <v>244.4031947988834</v>
      </c>
      <c r="O357" s="7" t="n">
        <v>0.6118175984587717</v>
      </c>
      <c r="P357" s="7" t="n">
        <v>15.11900064432376</v>
      </c>
      <c r="Q357" s="99" t="n">
        <v>0.01318142990071923</v>
      </c>
      <c r="R357" s="99" t="n">
        <v>-0.01642842068499505</v>
      </c>
      <c r="S357" s="99" t="n">
        <v>0.0137017111555348</v>
      </c>
      <c r="U357" s="117">
        <f>C357*S357</f>
        <v/>
      </c>
      <c r="V357" s="117">
        <f>(1+S357)*Q357*(1-U357)+S357</f>
        <v/>
      </c>
      <c r="W357" s="117">
        <f>V357+I357/3</f>
        <v/>
      </c>
      <c r="X357" s="117">
        <f>V357+I357/5</f>
        <v/>
      </c>
      <c r="Y357" s="117" t="n"/>
      <c r="AA357" s="117" t="n"/>
    </row>
    <row r="358">
      <c r="A358" t="inlineStr">
        <is>
          <t>C080204</t>
        </is>
      </c>
      <c r="B358" t="inlineStr">
        <is>
          <t>pe equal</t>
        </is>
      </c>
      <c r="C358" s="167" t="n">
        <v>-150.3055648667409</v>
      </c>
      <c r="D358" s="90" t="n">
        <v>26.80451590837362</v>
      </c>
      <c r="E358" s="12" t="n">
        <v>1.178333489728994</v>
      </c>
      <c r="F358" s="90" t="n">
        <v>-35.7860983183541</v>
      </c>
      <c r="G358" s="90" t="n">
        <v>-0.7619110220564247</v>
      </c>
      <c r="H358" s="12" t="n">
        <v>-1.409527830235825</v>
      </c>
      <c r="I358" s="12" t="n">
        <v>-2.183824372563448</v>
      </c>
      <c r="J358" s="12" t="n">
        <v>-6.282583354509991</v>
      </c>
      <c r="K358" s="90" t="n">
        <v>-1.335077210149304</v>
      </c>
      <c r="L358" s="7" t="n">
        <v>26.80451590837362</v>
      </c>
      <c r="M358" s="14" t="n">
        <v>1.178333489728994</v>
      </c>
      <c r="N358" s="7" t="n">
        <v>-35.7860983183541</v>
      </c>
      <c r="O358" s="7" t="n">
        <v>-0.7619110220564247</v>
      </c>
      <c r="P358" s="7" t="n">
        <v>-1.335077210149304</v>
      </c>
      <c r="S358" s="99" t="n">
        <v>0.005772387126640322</v>
      </c>
      <c r="U358" s="117">
        <f>C358*S358</f>
        <v/>
      </c>
      <c r="V358" s="117">
        <f>(1+S358)*R357*(1-U358)+S358</f>
        <v/>
      </c>
      <c r="W358" s="117">
        <f>V358+I358/3</f>
        <v/>
      </c>
      <c r="X358" s="117">
        <f>V358+I358/5</f>
        <v/>
      </c>
      <c r="Y358" s="117" t="n"/>
      <c r="AA358" s="117" t="n"/>
    </row>
    <row r="359">
      <c r="B359" t="inlineStr">
        <is>
          <t>pb weighted</t>
        </is>
      </c>
      <c r="C359" s="167" t="n">
        <v>1.998727140610578</v>
      </c>
      <c r="D359" s="90" t="n">
        <v>1.401870720565118</v>
      </c>
      <c r="E359" s="12" t="n">
        <v>0.2986182595504908</v>
      </c>
      <c r="F359" s="90" t="n">
        <v>4.80274660862367</v>
      </c>
      <c r="G359" s="90" t="n">
        <v>1.40290258286907</v>
      </c>
      <c r="H359" s="12" t="n">
        <v>0.01724930434619409</v>
      </c>
      <c r="I359" s="12" t="n">
        <v>0.3090933967971985</v>
      </c>
      <c r="J359" s="12" t="n">
        <v>0.4689642565231631</v>
      </c>
      <c r="K359" s="90" t="n">
        <v>3.425955430959854</v>
      </c>
      <c r="L359" s="7" t="n">
        <v>1.401870720565118</v>
      </c>
      <c r="M359" s="14" t="n">
        <v>0.2986182595504908</v>
      </c>
      <c r="N359" s="7" t="n">
        <v>3.239317938375977</v>
      </c>
      <c r="O359" s="7" t="n">
        <v>0.6206904247002016</v>
      </c>
      <c r="P359" s="7" t="n">
        <v>2.310710888569063</v>
      </c>
      <c r="W359" s="117">
        <f>V357+I359/3</f>
        <v/>
      </c>
      <c r="X359" s="117">
        <f>V357+I359/5</f>
        <v/>
      </c>
      <c r="Y359" s="117" t="n"/>
      <c r="AA359" s="117" t="n"/>
    </row>
    <row r="360">
      <c r="B360" t="inlineStr">
        <is>
          <t>pb equal</t>
        </is>
      </c>
      <c r="C360" s="165" t="n">
        <v>2.469283050926632</v>
      </c>
      <c r="D360" s="90" t="n">
        <v>1.66959509558664</v>
      </c>
      <c r="E360" s="12" t="n">
        <v>0.3238543086584983</v>
      </c>
      <c r="F360" s="90" t="n">
        <v>6.535946489810573</v>
      </c>
      <c r="G360" s="90" t="n">
        <v>1.646900478808159</v>
      </c>
      <c r="H360" s="12" t="n">
        <v>-0.05395751482354461</v>
      </c>
      <c r="I360" s="12" t="n">
        <v>0.1336432145916979</v>
      </c>
      <c r="J360" s="12" t="n">
        <v>0.4669358405657391</v>
      </c>
      <c r="K360" s="90" t="n">
        <v>3.914689559814537</v>
      </c>
      <c r="L360" s="7" t="n">
        <v>1.66959509558664</v>
      </c>
      <c r="M360" s="14" t="n">
        <v>0.3238543086584983</v>
      </c>
      <c r="N360" s="7" t="n">
        <v>3.087657139095469</v>
      </c>
      <c r="O360" s="7" t="n">
        <v>0.2504265713632077</v>
      </c>
      <c r="P360" s="7" t="n">
        <v>1.849344878442261</v>
      </c>
      <c r="W360" s="117">
        <f>V358+I360/3</f>
        <v/>
      </c>
      <c r="X360" s="117">
        <f>V358+I360/5</f>
        <v/>
      </c>
      <c r="Y360" s="117" t="n"/>
      <c r="AA360" s="117" t="n"/>
    </row>
    <row r="361">
      <c r="C361" s="101" t="n"/>
      <c r="D361" s="90" t="n"/>
      <c r="F361" s="90" t="n"/>
      <c r="G361" s="90" t="n"/>
      <c r="K361" s="90" t="n"/>
      <c r="L361" s="7" t="n"/>
      <c r="N361" s="7" t="n"/>
      <c r="O361" s="7" t="n"/>
      <c r="P361" s="7" t="n"/>
      <c r="AA361" s="117" t="n"/>
    </row>
    <row r="362">
      <c r="A362" t="inlineStr">
        <is>
          <t>通信设备</t>
        </is>
      </c>
      <c r="B362" t="inlineStr">
        <is>
          <t>pe weighted</t>
        </is>
      </c>
      <c r="C362" s="167" t="n">
        <v>44.7005979807838</v>
      </c>
      <c r="D362" s="90" t="n">
        <v>29.23804420906061</v>
      </c>
      <c r="E362" s="12" t="n">
        <v>0.3459138013851702</v>
      </c>
      <c r="F362" s="90" t="n">
        <v>168.8933719097406</v>
      </c>
      <c r="G362" s="90" t="n">
        <v>2.778324665418249</v>
      </c>
      <c r="H362" s="12" t="n">
        <v>0.1317402930825815</v>
      </c>
      <c r="I362" s="12" t="n">
        <v>0.9267909197167283</v>
      </c>
      <c r="J362" s="12" t="n">
        <v>1.37397110270392</v>
      </c>
      <c r="K362" s="90" t="n">
        <v>5.776493485751077</v>
      </c>
      <c r="L362" s="7" t="n">
        <v>29.23804420906061</v>
      </c>
      <c r="M362" s="14" t="n">
        <v>0.3459138013851702</v>
      </c>
      <c r="N362" s="7" t="n">
        <v>146.0423530297105</v>
      </c>
      <c r="O362" s="7" t="n">
        <v>2.267123028029562</v>
      </c>
      <c r="P362" s="7" t="n">
        <v>4.994942616047255</v>
      </c>
      <c r="Q362" s="99" t="n">
        <v>0.1012140009522406</v>
      </c>
      <c r="R362" s="99" t="n">
        <v>0.06039275279242969</v>
      </c>
      <c r="S362" s="99" t="n">
        <v>0.003017257734627112</v>
      </c>
      <c r="U362" s="117">
        <f>C362*S362</f>
        <v/>
      </c>
      <c r="V362" s="117">
        <f>(1+S362)*Q362*(1-U362)+S362</f>
        <v/>
      </c>
      <c r="W362" s="117">
        <f>V362+I362/3</f>
        <v/>
      </c>
      <c r="X362" s="117">
        <f>V362+I362/5</f>
        <v/>
      </c>
      <c r="Y362" s="117" t="n"/>
      <c r="AA362" s="117" t="n"/>
    </row>
    <row r="363">
      <c r="A363" t="inlineStr">
        <is>
          <t>C080301</t>
        </is>
      </c>
      <c r="B363" t="inlineStr">
        <is>
          <t>pe equal</t>
        </is>
      </c>
      <c r="C363" s="167" t="n">
        <v>67.85630786397918</v>
      </c>
      <c r="D363" s="90" t="n">
        <v>36.42086927434983</v>
      </c>
      <c r="E363" s="12" t="n">
        <v>0.4632647955536132</v>
      </c>
      <c r="F363" s="90" t="n">
        <v>-267.9239644936737</v>
      </c>
      <c r="G363" s="90" t="n">
        <v>-4.948401746684164</v>
      </c>
      <c r="H363" s="12" t="n">
        <v>0.03142712888261823</v>
      </c>
      <c r="I363" s="12" t="n">
        <v>0.4449376613569118</v>
      </c>
      <c r="J363" s="12" t="n">
        <v>0.8539596753267602</v>
      </c>
      <c r="K363" s="90" t="n">
        <v>-7.356330857329779</v>
      </c>
      <c r="L363" s="7" t="n">
        <v>36.42086927434983</v>
      </c>
      <c r="M363" s="14" t="n">
        <v>0.4632647955536132</v>
      </c>
      <c r="N363" s="7" t="n">
        <v>-267.9239644936737</v>
      </c>
      <c r="O363" s="7" t="n">
        <v>-4.948401746684164</v>
      </c>
      <c r="P363" s="7" t="n">
        <v>-7.356330857329779</v>
      </c>
      <c r="S363" s="99" t="n">
        <v>0.003999930147129877</v>
      </c>
      <c r="U363" s="117">
        <f>C363*S363</f>
        <v/>
      </c>
      <c r="V363" s="117">
        <f>(1+S363)*R362*(1-U363)+S363</f>
        <v/>
      </c>
      <c r="W363" s="117">
        <f>V363+I363/3</f>
        <v/>
      </c>
      <c r="X363" s="117">
        <f>V363+I363/5</f>
        <v/>
      </c>
      <c r="Y363" s="117" t="n"/>
      <c r="AA363" s="117" t="n"/>
    </row>
    <row r="364">
      <c r="B364" t="inlineStr">
        <is>
          <t>pb weighted</t>
        </is>
      </c>
      <c r="C364" s="168" t="n">
        <v>4.524326366592775</v>
      </c>
      <c r="D364" s="90" t="n">
        <v>2.115800748003151</v>
      </c>
      <c r="E364" s="12" t="n">
        <v>0.5323501055038743</v>
      </c>
      <c r="F364" s="90" t="n">
        <v>9.79871011384129</v>
      </c>
      <c r="G364" s="90" t="n">
        <v>1.165783217186562</v>
      </c>
      <c r="H364" s="12" t="n">
        <v>-0.2476919446321135</v>
      </c>
      <c r="I364" s="12" t="n">
        <v>-0.02178354948538741</v>
      </c>
      <c r="J364" s="12" t="n">
        <v>0.4240680845570546</v>
      </c>
      <c r="K364" s="90" t="n">
        <v>4.631206470216588</v>
      </c>
      <c r="L364" s="7" t="n">
        <v>2.645581330576589</v>
      </c>
      <c r="M364" s="14" t="n">
        <v>0.4152540917226204</v>
      </c>
      <c r="N364" s="7" t="n">
        <v>9.79871011384129</v>
      </c>
      <c r="O364" s="7" t="n">
        <v>1.165783217186562</v>
      </c>
      <c r="P364" s="7" t="n">
        <v>3.703802260997101</v>
      </c>
      <c r="W364" s="117">
        <f>V362+I364/3</f>
        <v/>
      </c>
      <c r="X364" s="117">
        <f>V362+I364/5</f>
        <v/>
      </c>
      <c r="Y364" s="117" t="n"/>
      <c r="AA364" s="117" t="n"/>
    </row>
    <row r="365">
      <c r="B365" t="inlineStr">
        <is>
          <t>pb equal</t>
        </is>
      </c>
      <c r="C365" s="168" t="n">
        <v>4.098029226236298</v>
      </c>
      <c r="D365" s="90" t="n">
        <v>1.884283146280178</v>
      </c>
      <c r="E365" s="12" t="n">
        <v>0.540197728650477</v>
      </c>
      <c r="F365" s="90" t="n">
        <v>7.833933505421897</v>
      </c>
      <c r="G365" s="90" t="n">
        <v>0.9116343668970659</v>
      </c>
      <c r="H365" s="12" t="n">
        <v>-0.2555900000015303</v>
      </c>
      <c r="I365" s="12" t="n">
        <v>-0.05574288332246291</v>
      </c>
      <c r="J365" s="12" t="n">
        <v>0.1689459005792924</v>
      </c>
      <c r="K365" s="90" t="n">
        <v>4.157513970703984</v>
      </c>
      <c r="L365" s="7" t="n">
        <v>2.378571931465407</v>
      </c>
      <c r="M365" s="14" t="n">
        <v>0.4195815109766972</v>
      </c>
      <c r="N365" s="7" t="n">
        <v>6.543163364677615</v>
      </c>
      <c r="O365" s="7" t="n">
        <v>0.5966609810362362</v>
      </c>
      <c r="P365" s="7" t="n">
        <v>2.750878911047462</v>
      </c>
      <c r="W365" s="117">
        <f>V363+I365/3</f>
        <v/>
      </c>
      <c r="X365" s="117">
        <f>V363+I365/5</f>
        <v/>
      </c>
      <c r="Y365" s="117" t="n"/>
      <c r="AA365" s="117" t="n"/>
    </row>
    <row r="366">
      <c r="C366" s="101" t="n"/>
      <c r="D366" s="90" t="n"/>
      <c r="F366" s="90" t="n"/>
      <c r="G366" s="90" t="n"/>
      <c r="K366" s="90" t="n"/>
      <c r="L366" s="7" t="n"/>
      <c r="N366" s="7" t="n"/>
      <c r="O366" s="7" t="n"/>
      <c r="P366" s="7" t="n"/>
      <c r="AA366" s="117" t="n"/>
    </row>
    <row r="367">
      <c r="A367" t="inlineStr">
        <is>
          <t>通信技术服务</t>
        </is>
      </c>
      <c r="B367" t="inlineStr">
        <is>
          <t>pe weighted</t>
        </is>
      </c>
      <c r="C367" s="167" t="n">
        <v>14.02838461802052</v>
      </c>
      <c r="D367" s="90" t="n">
        <v>11.06792510491745</v>
      </c>
      <c r="E367" s="12" t="n">
        <v>0.2110335290707765</v>
      </c>
      <c r="F367" s="90" t="n">
        <v>1071.701556155459</v>
      </c>
      <c r="G367" s="90" t="n">
        <v>75.39522192589281</v>
      </c>
      <c r="H367" s="12" t="n">
        <v>0.3844545756153159</v>
      </c>
      <c r="I367" s="12" t="n">
        <v>1.301609152533992</v>
      </c>
      <c r="J367" s="12" t="n">
        <v>4.364388962036992</v>
      </c>
      <c r="K367" s="90" t="n">
        <v>96.82949116445542</v>
      </c>
      <c r="L367" s="7" t="n">
        <v>11.06792510491745</v>
      </c>
      <c r="M367" s="14" t="n">
        <v>0.2110335290707765</v>
      </c>
      <c r="N367" s="7" t="n">
        <v>438.0552250805055</v>
      </c>
      <c r="O367" s="7" t="n">
        <v>30.22634836499924</v>
      </c>
      <c r="P367" s="7" t="n">
        <v>39.57880279528442</v>
      </c>
      <c r="Q367" s="99" t="n">
        <v>0.08918001565503091</v>
      </c>
      <c r="R367" s="99" t="n">
        <v>0.06918785076267805</v>
      </c>
      <c r="S367" s="99" t="n">
        <v>0.05055962338402167</v>
      </c>
      <c r="U367" s="117">
        <f>C367*S367</f>
        <v/>
      </c>
      <c r="V367" s="117">
        <f>(1+S367)*Q367*(1-U367)+S367</f>
        <v/>
      </c>
      <c r="W367" s="117">
        <f>V367+I367/3</f>
        <v/>
      </c>
      <c r="X367" s="117">
        <f>V367+I367/5</f>
        <v/>
      </c>
      <c r="Y367" s="117" t="n"/>
      <c r="AA367" s="117" t="n"/>
    </row>
    <row r="368">
      <c r="A368" t="inlineStr">
        <is>
          <t>C090101</t>
        </is>
      </c>
      <c r="B368" t="inlineStr">
        <is>
          <t>pe equal</t>
        </is>
      </c>
      <c r="C368" s="167" t="n">
        <v>16.58356709002323</v>
      </c>
      <c r="D368" s="90" t="n">
        <v>12.56158568735018</v>
      </c>
      <c r="E368" s="12" t="n">
        <v>0.2425281232222165</v>
      </c>
      <c r="F368" s="90" t="n">
        <v>1071.701556155459</v>
      </c>
      <c r="G368" s="90" t="n">
        <v>63.62430853011115</v>
      </c>
      <c r="H368" s="12" t="n">
        <v>0.1711389454078436</v>
      </c>
      <c r="I368" s="12" t="n">
        <v>0.9469790942340539</v>
      </c>
      <c r="J368" s="12" t="n">
        <v>3.537848292324989</v>
      </c>
      <c r="K368" s="90" t="n">
        <v>85.31578598669179</v>
      </c>
      <c r="L368" s="7" t="n">
        <v>12.56158568735018</v>
      </c>
      <c r="M368" s="14" t="n">
        <v>0.2425281232222165</v>
      </c>
      <c r="N368" s="7" t="n">
        <v>438.0552250805055</v>
      </c>
      <c r="O368" s="7" t="n">
        <v>25.4150181141693</v>
      </c>
      <c r="P368" s="7" t="n">
        <v>34.87260573493023</v>
      </c>
      <c r="S368" s="99" t="n">
        <v>0.04222907373292314</v>
      </c>
      <c r="U368" s="117">
        <f>C368*S368</f>
        <v/>
      </c>
      <c r="V368" s="117">
        <f>(1+S368)*R367*(1-U368)+S368</f>
        <v/>
      </c>
      <c r="W368" s="117">
        <f>V368+I368/3</f>
        <v/>
      </c>
      <c r="X368" s="117">
        <f>V368+I368/5</f>
        <v/>
      </c>
      <c r="Y368" s="117" t="n"/>
      <c r="AA368" s="117" t="n"/>
    </row>
    <row r="369">
      <c r="B369" t="inlineStr">
        <is>
          <t>pb weighted</t>
        </is>
      </c>
      <c r="C369" s="168" t="n">
        <v>1.251051559849865</v>
      </c>
      <c r="D369" s="90" t="n">
        <v>0.7812097784786827</v>
      </c>
      <c r="E369" s="12" t="n">
        <v>0.3755574881562568</v>
      </c>
      <c r="F369" s="90" t="n">
        <v>2.850593687500725</v>
      </c>
      <c r="G369" s="90" t="n">
        <v>1.278558117814758</v>
      </c>
      <c r="H369" s="12" t="n">
        <v>-0.2524400608994917</v>
      </c>
      <c r="I369" s="12" t="n">
        <v>-0.08468530703826371</v>
      </c>
      <c r="J369" s="12" t="n">
        <v>0.205678523722306</v>
      </c>
      <c r="K369" s="90" t="n">
        <v>3.648947780776544</v>
      </c>
      <c r="L369" s="7" t="n">
        <v>0.7812097784786827</v>
      </c>
      <c r="M369" s="14" t="n">
        <v>0.3755574881562568</v>
      </c>
      <c r="N369" s="7" t="n">
        <v>1.670511410176822</v>
      </c>
      <c r="O369" s="7" t="n">
        <v>0.33528582177484</v>
      </c>
      <c r="P369" s="7" t="n">
        <v>2.138364695626255</v>
      </c>
      <c r="W369" s="117">
        <f>V367+I369/3</f>
        <v/>
      </c>
      <c r="X369" s="117">
        <f>V367+I369/5</f>
        <v/>
      </c>
      <c r="Y369" s="117" t="n"/>
      <c r="AA369" s="117" t="n"/>
    </row>
    <row r="370">
      <c r="B370" t="inlineStr">
        <is>
          <t>pb equal</t>
        </is>
      </c>
      <c r="C370" s="168" t="n">
        <v>1.147381364937387</v>
      </c>
      <c r="D370" s="90" t="n">
        <v>0.7525989540326944</v>
      </c>
      <c r="E370" s="12" t="n">
        <v>0.3440725315651573</v>
      </c>
      <c r="F370" s="90" t="n">
        <v>2.850593687500725</v>
      </c>
      <c r="G370" s="90" t="n">
        <v>1.484434360371788</v>
      </c>
      <c r="H370" s="12" t="n">
        <v>-0.2137907251442771</v>
      </c>
      <c r="I370" s="12" t="n">
        <v>-0.01113866214874804</v>
      </c>
      <c r="J370" s="12" t="n">
        <v>0.3146160848294637</v>
      </c>
      <c r="K370" s="90" t="n">
        <v>3.787666289231768</v>
      </c>
      <c r="L370" s="7" t="n">
        <v>0.7525989540326944</v>
      </c>
      <c r="M370" s="14" t="n">
        <v>0.3440725315651573</v>
      </c>
      <c r="N370" s="7" t="n">
        <v>1.670511410176822</v>
      </c>
      <c r="O370" s="7" t="n">
        <v>0.4559338866968465</v>
      </c>
      <c r="P370" s="7" t="n">
        <v>2.21965683213566</v>
      </c>
      <c r="W370" s="117">
        <f>V368+I370/3</f>
        <v/>
      </c>
      <c r="X370" s="117">
        <f>V368+I370/5</f>
        <v/>
      </c>
      <c r="Y370" s="117" t="n"/>
      <c r="AA370" s="117" t="n"/>
    </row>
    <row r="371">
      <c r="C371" s="101" t="n"/>
      <c r="D371" s="90" t="n"/>
      <c r="F371" s="90" t="n"/>
      <c r="G371" s="90" t="n"/>
      <c r="K371" s="90" t="n"/>
      <c r="L371" s="7" t="n"/>
      <c r="N371" s="7" t="n"/>
      <c r="O371" s="7" t="n"/>
      <c r="P371" s="7" t="n"/>
      <c r="AA371" s="117" t="n"/>
    </row>
    <row r="372">
      <c r="A372" t="inlineStr">
        <is>
          <t>电力公用事业</t>
        </is>
      </c>
      <c r="B372" t="inlineStr">
        <is>
          <t>pe weighted</t>
        </is>
      </c>
      <c r="C372" s="166" t="n">
        <v>-11.49125331168094</v>
      </c>
      <c r="D372" s="90" t="n">
        <v>21.34483360434892</v>
      </c>
      <c r="E372" s="12" t="n">
        <v>2.857485256429927</v>
      </c>
      <c r="F372" s="90" t="n">
        <v>-5.393333728037984</v>
      </c>
      <c r="G372" s="90" t="n">
        <v>-0.5306574851538934</v>
      </c>
      <c r="H372" s="12" t="n">
        <v>-5.426905218530099</v>
      </c>
      <c r="I372" s="12" t="n">
        <v>-7.104085970955097</v>
      </c>
      <c r="J372" s="12" t="n">
        <v>0.4149687721732975</v>
      </c>
      <c r="K372" s="90" t="n">
        <v>-0.2526763069700911</v>
      </c>
      <c r="L372" s="7" t="n">
        <v>21.34483360434892</v>
      </c>
      <c r="M372" s="14" t="n">
        <v>2.857485256429927</v>
      </c>
      <c r="N372" s="7" t="n">
        <v>-5.393333728037984</v>
      </c>
      <c r="O372" s="7" t="n">
        <v>-0.5306574851538934</v>
      </c>
      <c r="P372" s="7" t="n">
        <v>-0.2526763069700911</v>
      </c>
      <c r="Q372" s="99" t="n">
        <v>-0.2827336463349216</v>
      </c>
      <c r="R372" s="99" t="n">
        <v>-0.1848325153559711</v>
      </c>
      <c r="S372" s="99" t="n">
        <v>0.001989793918317341</v>
      </c>
      <c r="U372" s="117">
        <f>C372*S372</f>
        <v/>
      </c>
      <c r="V372" s="117">
        <f>(1+S372)*Q372*(1-U372)+S372</f>
        <v/>
      </c>
      <c r="W372" s="117">
        <f>V372+I372/3</f>
        <v/>
      </c>
      <c r="X372" s="117">
        <f>V372+I372/5</f>
        <v/>
      </c>
      <c r="Y372" s="117" t="n"/>
      <c r="AA372" s="117" t="n"/>
    </row>
    <row r="373">
      <c r="A373" t="inlineStr">
        <is>
          <t>C090102</t>
        </is>
      </c>
      <c r="B373" t="inlineStr">
        <is>
          <t>pe equal</t>
        </is>
      </c>
      <c r="C373" s="166" t="n">
        <v>-16.25793018187266</v>
      </c>
      <c r="D373" s="90" t="n">
        <v>36.48299929629883</v>
      </c>
      <c r="E373" s="12" t="n">
        <v>3.244012545765316</v>
      </c>
      <c r="F373" s="90" t="n">
        <v>-7.122481601127998</v>
      </c>
      <c r="G373" s="90" t="n">
        <v>-0.561907234103548</v>
      </c>
      <c r="H373" s="12" t="n">
        <v>-5.213076353925318</v>
      </c>
      <c r="I373" s="12" t="n">
        <v>-8.735241961419351</v>
      </c>
      <c r="J373" s="12" t="n">
        <v>0.5603022002358158</v>
      </c>
      <c r="K373" s="90" t="n">
        <v>-0.1952274138231438</v>
      </c>
      <c r="L373" s="7" t="n">
        <v>51.81671737425805</v>
      </c>
      <c r="M373" s="14" t="n">
        <v>4.187165696653865</v>
      </c>
      <c r="N373" s="7" t="n">
        <v>-7.122481601127998</v>
      </c>
      <c r="O373" s="7" t="n">
        <v>-0.561907234103548</v>
      </c>
      <c r="P373" s="7" t="n">
        <v>-0.1374552839710831</v>
      </c>
      <c r="S373" s="99" t="n">
        <v>0.00333473716366419</v>
      </c>
      <c r="U373" s="117">
        <f>C373*S373</f>
        <v/>
      </c>
      <c r="V373" s="117">
        <f>(1+S373)*R372*(1-U373)+S373</f>
        <v/>
      </c>
      <c r="W373" s="117">
        <f>V373+I373/3</f>
        <v/>
      </c>
      <c r="X373" s="117">
        <f>V373+I373/5</f>
        <v/>
      </c>
      <c r="Y373" s="117" t="n"/>
      <c r="AA373" s="117" t="n"/>
    </row>
    <row r="374">
      <c r="B374" t="inlineStr">
        <is>
          <t>pb weighted</t>
        </is>
      </c>
      <c r="C374" s="165" t="n">
        <v>3.248963949769796</v>
      </c>
      <c r="D374" s="90" t="n">
        <v>2.186312949674771</v>
      </c>
      <c r="E374" s="12" t="n">
        <v>0.3270738046109494</v>
      </c>
      <c r="F374" s="90" t="n">
        <v>19.54180985814851</v>
      </c>
      <c r="G374" s="90" t="n">
        <v>5.014781992128026</v>
      </c>
      <c r="H374" s="12" t="n">
        <v>-0.01354754099874067</v>
      </c>
      <c r="I374" s="12" t="n">
        <v>0.4323436135929883</v>
      </c>
      <c r="J374" s="12" t="n">
        <v>1.042521891294586</v>
      </c>
      <c r="K374" s="90" t="n">
        <v>8.938249147294073</v>
      </c>
      <c r="L374" s="7" t="n">
        <v>2.186312949674771</v>
      </c>
      <c r="M374" s="14" t="n">
        <v>0.3270738046109494</v>
      </c>
      <c r="N374" s="7" t="n">
        <v>7.969666323340527</v>
      </c>
      <c r="O374" s="7" t="n">
        <v>1.45298699725653</v>
      </c>
      <c r="P374" s="7" t="n">
        <v>3.645254136433701</v>
      </c>
      <c r="W374" s="117">
        <f>V372+I374/3</f>
        <v/>
      </c>
      <c r="X374" s="117">
        <f>V372+I374/5</f>
        <v/>
      </c>
      <c r="Y374" s="117" t="n"/>
      <c r="AA374" s="117" t="n"/>
    </row>
    <row r="375">
      <c r="B375" t="inlineStr">
        <is>
          <t>pb equal</t>
        </is>
      </c>
      <c r="C375" s="167" t="n">
        <v>3.004994129997284</v>
      </c>
      <c r="D375" s="90" t="n">
        <v>2.384930734049564</v>
      </c>
      <c r="E375" s="12" t="n">
        <v>0.2063442952377015</v>
      </c>
      <c r="F375" s="90" t="n">
        <v>16.68916053181757</v>
      </c>
      <c r="G375" s="90" t="n">
        <v>4.55380803084386</v>
      </c>
      <c r="H375" s="12" t="n">
        <v>0.3329834180435653</v>
      </c>
      <c r="I375" s="12" t="n">
        <v>0.7817196088348024</v>
      </c>
      <c r="J375" s="12" t="n">
        <v>1.161971353994268</v>
      </c>
      <c r="K375" s="90" t="n">
        <v>6.997754816752986</v>
      </c>
      <c r="L375" s="7" t="n">
        <v>2.384930734049564</v>
      </c>
      <c r="M375" s="14" t="n">
        <v>0.2063442952377015</v>
      </c>
      <c r="N375" s="7" t="n">
        <v>6.99571725940898</v>
      </c>
      <c r="O375" s="7" t="n">
        <v>1.328030257887826</v>
      </c>
      <c r="P375" s="7" t="n">
        <v>2.933299973676969</v>
      </c>
      <c r="W375" s="117">
        <f>V373+I375/3</f>
        <v/>
      </c>
      <c r="X375" s="117">
        <f>V373+I375/5</f>
        <v/>
      </c>
      <c r="Y375" s="117" t="n"/>
      <c r="AA375" s="117" t="n"/>
    </row>
    <row r="376">
      <c r="C376" s="101" t="n"/>
      <c r="D376" s="90" t="n"/>
      <c r="F376" s="90" t="n"/>
      <c r="G376" s="90" t="n"/>
      <c r="K376" s="90" t="n"/>
      <c r="L376" s="7" t="n"/>
      <c r="N376" s="7" t="n"/>
      <c r="O376" s="7" t="n"/>
      <c r="P376" s="7" t="n"/>
      <c r="AA376" s="117" t="n"/>
    </row>
    <row r="377">
      <c r="A377" t="inlineStr">
        <is>
          <t>燃气公用事业</t>
        </is>
      </c>
      <c r="B377" t="inlineStr">
        <is>
          <t>pe weighted</t>
        </is>
      </c>
      <c r="C377" s="167" t="n">
        <v>38.97180460020656</v>
      </c>
      <c r="D377" s="90" t="n">
        <v>34.13329843867186</v>
      </c>
      <c r="E377" s="12" t="n">
        <v>0.1241540188136183</v>
      </c>
      <c r="F377" s="90" t="n">
        <v>312.4723269673575</v>
      </c>
      <c r="G377" s="90" t="n">
        <v>7.017907566068965</v>
      </c>
      <c r="H377" s="12" t="n">
        <v>0.4088020231879426</v>
      </c>
      <c r="I377" s="12" t="n">
        <v>0.7198598117555111</v>
      </c>
      <c r="J377" s="12" t="n">
        <v>1.344241127399622</v>
      </c>
      <c r="K377" s="90" t="n">
        <v>9.15447206278011</v>
      </c>
      <c r="L377" s="7" t="n">
        <v>34.13329843867186</v>
      </c>
      <c r="M377" s="14" t="n">
        <v>0.1241540188136183</v>
      </c>
      <c r="N377" s="7" t="n">
        <v>136.0097592805826</v>
      </c>
      <c r="O377" s="7" t="n">
        <v>2.489952817834403</v>
      </c>
      <c r="P377" s="7" t="n">
        <v>3.98466498996441</v>
      </c>
      <c r="Q377" s="99" t="n">
        <v>0.07162502460374581</v>
      </c>
      <c r="R377" s="99" t="n">
        <v>-0.1688053423727976</v>
      </c>
      <c r="S377" s="99" t="n">
        <v>0.00650855416551019</v>
      </c>
      <c r="U377" s="117">
        <f>C377*S377</f>
        <v/>
      </c>
      <c r="V377" s="117">
        <f>(1+S377)*Q377*(1-U377)+S377</f>
        <v/>
      </c>
      <c r="W377" s="117">
        <f>V377+I377/3</f>
        <v/>
      </c>
      <c r="X377" s="117">
        <f>V377+I377/5</f>
        <v/>
      </c>
      <c r="Y377" s="117" t="n"/>
      <c r="AA377" s="117" t="n"/>
    </row>
    <row r="378">
      <c r="A378" t="inlineStr">
        <is>
          <t>C090201</t>
        </is>
      </c>
      <c r="B378" t="inlineStr">
        <is>
          <t>pe equal</t>
        </is>
      </c>
      <c r="C378" s="166" t="n">
        <v>-19.77758873023386</v>
      </c>
      <c r="D378" s="90" t="n">
        <v>37.73038333383977</v>
      </c>
      <c r="E378" s="12" t="n">
        <v>2.907734246498999</v>
      </c>
      <c r="F378" s="90" t="n">
        <v>-16.2075745771362</v>
      </c>
      <c r="G378" s="90" t="n">
        <v>-0.1805080589849763</v>
      </c>
      <c r="H378" s="12" t="n">
        <v>-5.381199804678579</v>
      </c>
      <c r="I378" s="12" t="n">
        <v>-7.931074348860919</v>
      </c>
      <c r="J378" s="12" t="n">
        <v>0.6286098545578147</v>
      </c>
      <c r="K378" s="90" t="n">
        <v>-0.429562944901222</v>
      </c>
      <c r="L378" s="7" t="n">
        <v>81.08500454826611</v>
      </c>
      <c r="M378" s="14" t="n">
        <v>5.099842789445412</v>
      </c>
      <c r="N378" s="7" t="n">
        <v>-16.2075745771362</v>
      </c>
      <c r="O378" s="7" t="n">
        <v>-0.1805080589849763</v>
      </c>
      <c r="P378" s="7" t="n">
        <v>-0.1998837475243476</v>
      </c>
      <c r="S378" s="99" t="n">
        <v>0.003723182507866586</v>
      </c>
      <c r="U378" s="117">
        <f>C378*S378</f>
        <v/>
      </c>
      <c r="V378" s="117">
        <f>(1+S378)*R377*(1-U378)+S378</f>
        <v/>
      </c>
      <c r="W378" s="117">
        <f>V378+I378/3</f>
        <v/>
      </c>
      <c r="X378" s="117">
        <f>V378+I378/5</f>
        <v/>
      </c>
      <c r="Y378" s="117" t="n"/>
      <c r="AA378" s="117" t="n"/>
    </row>
    <row r="379">
      <c r="B379" t="inlineStr">
        <is>
          <t>pb weighted</t>
        </is>
      </c>
      <c r="C379" s="167" t="n">
        <v>2.791356463342169</v>
      </c>
      <c r="D379" s="90" t="n">
        <v>2.250165142158161</v>
      </c>
      <c r="E379" s="12" t="n">
        <v>0.1938811213441455</v>
      </c>
      <c r="F379" s="90" t="n">
        <v>7.669506159034264</v>
      </c>
      <c r="G379" s="90" t="n">
        <v>1.747591094063046</v>
      </c>
      <c r="H379" s="12" t="n">
        <v>0.05938958599732347</v>
      </c>
      <c r="I379" s="12" t="n">
        <v>0.2903929270302346</v>
      </c>
      <c r="J379" s="12" t="n">
        <v>0.4952630417848702</v>
      </c>
      <c r="K379" s="90" t="n">
        <v>3.408419237922398</v>
      </c>
      <c r="L379" s="7" t="n">
        <v>2.3215470204863</v>
      </c>
      <c r="M379" s="14" t="n">
        <v>0.1683086517346314</v>
      </c>
      <c r="N379" s="7" t="n">
        <v>4.883612157549413</v>
      </c>
      <c r="O379" s="7" t="n">
        <v>0.7495480142661994</v>
      </c>
      <c r="P379" s="7" t="n">
        <v>2.103602517827285</v>
      </c>
      <c r="W379" s="117">
        <f>V377+I379/3</f>
        <v/>
      </c>
      <c r="X379" s="117">
        <f>V377+I379/5</f>
        <v/>
      </c>
      <c r="Y379" s="117" t="n"/>
      <c r="AA379" s="117" t="n"/>
    </row>
    <row r="380">
      <c r="B380" t="inlineStr">
        <is>
          <t>pb equal</t>
        </is>
      </c>
      <c r="C380" s="168" t="n">
        <v>3.338562636915509</v>
      </c>
      <c r="D380" s="90" t="n">
        <v>2.10649754476942</v>
      </c>
      <c r="E380" s="12" t="n">
        <v>0.3690405800756194</v>
      </c>
      <c r="F380" s="90" t="n">
        <v>9.024285316089143</v>
      </c>
      <c r="G380" s="90" t="n">
        <v>1.703045081827987</v>
      </c>
      <c r="H380" s="12" t="n">
        <v>-0.1569951801771345</v>
      </c>
      <c r="I380" s="12" t="n">
        <v>-0.03095960997061087</v>
      </c>
      <c r="J380" s="12" t="n">
        <v>0.3584217697201448</v>
      </c>
      <c r="K380" s="90" t="n">
        <v>4.284023657419906</v>
      </c>
      <c r="L380" s="7" t="n">
        <v>2.10649754476942</v>
      </c>
      <c r="M380" s="14" t="n">
        <v>0.3690405800756194</v>
      </c>
      <c r="N380" s="7" t="n">
        <v>3.866530664778322</v>
      </c>
      <c r="O380" s="7" t="n">
        <v>0.1581423161048137</v>
      </c>
      <c r="P380" s="7" t="n">
        <v>1.835525834995244</v>
      </c>
      <c r="W380" s="117">
        <f>V378+I380/3</f>
        <v/>
      </c>
      <c r="X380" s="117">
        <f>V378+I380/5</f>
        <v/>
      </c>
      <c r="Y380" s="117" t="n"/>
      <c r="AA380" s="117" t="n"/>
    </row>
    <row r="381">
      <c r="C381" s="101" t="n"/>
      <c r="D381" s="90" t="n"/>
      <c r="F381" s="90" t="n"/>
      <c r="G381" s="90" t="n"/>
      <c r="K381" s="90" t="n"/>
      <c r="L381" s="7" t="n"/>
      <c r="N381" s="7" t="n"/>
      <c r="O381" s="7" t="n"/>
      <c r="P381" s="7" t="n"/>
      <c r="AA381" s="117" t="n"/>
    </row>
    <row r="382">
      <c r="A382" t="inlineStr">
        <is>
          <t>水公用事业</t>
        </is>
      </c>
      <c r="B382" t="inlineStr">
        <is>
          <t>pe weighted</t>
        </is>
      </c>
      <c r="C382" s="168" t="n">
        <v>-51.94414245411541</v>
      </c>
      <c r="D382" s="90" t="n">
        <v>38.14278318830409</v>
      </c>
      <c r="E382" s="12" t="n">
        <v>1.73430383843563</v>
      </c>
      <c r="F382" s="90" t="n">
        <v>-6.599136001635229</v>
      </c>
      <c r="G382" s="90" t="n">
        <v>-0.8729570710024803</v>
      </c>
      <c r="H382" s="12" t="n">
        <v>-2.348735159445284</v>
      </c>
      <c r="I382" s="12" t="n">
        <v>3.015904702750339</v>
      </c>
      <c r="J382" s="12" t="n">
        <v>-0.2852124353255616</v>
      </c>
      <c r="K382" s="90" t="n">
        <v>-0.1730113916715641</v>
      </c>
      <c r="L382" s="7" t="n">
        <v>70.00959887143658</v>
      </c>
      <c r="M382" s="14" t="n">
        <v>2.347786209643931</v>
      </c>
      <c r="N382" s="7" t="n">
        <v>-6.599136001635229</v>
      </c>
      <c r="O382" s="7" t="n">
        <v>-0.8729570710024803</v>
      </c>
      <c r="P382" s="7" t="n">
        <v>-0.09426044582477433</v>
      </c>
      <c r="Q382" s="99" t="n">
        <v>-0.063862749124956</v>
      </c>
      <c r="R382" s="99" t="n">
        <v>-0.3054790012113106</v>
      </c>
      <c r="S382" s="99" t="n">
        <v>0.001766162833426291</v>
      </c>
      <c r="U382" s="117">
        <f>C382*S382</f>
        <v/>
      </c>
      <c r="V382" s="117">
        <f>(1+S382)*Q382*(1-U382)+S382</f>
        <v/>
      </c>
      <c r="W382" s="117">
        <f>V382+I382/3</f>
        <v/>
      </c>
      <c r="X382" s="117">
        <f>V382+I382/5</f>
        <v/>
      </c>
      <c r="Y382" s="117" t="n"/>
      <c r="AA382" s="117" t="n"/>
    </row>
    <row r="383">
      <c r="A383" t="inlineStr">
        <is>
          <t>C090202</t>
        </is>
      </c>
      <c r="B383" t="inlineStr">
        <is>
          <t>pe equal</t>
        </is>
      </c>
      <c r="C383" s="167" t="n">
        <v>-10.39192585207965</v>
      </c>
      <c r="D383" s="90" t="n">
        <v>44.19539412986884</v>
      </c>
      <c r="E383" s="12" t="n">
        <v>5.252858878994444</v>
      </c>
      <c r="F383" s="90" t="n">
        <v>-3.064145797531348</v>
      </c>
      <c r="G383" s="90" t="n">
        <v>-0.7051416800748106</v>
      </c>
      <c r="H383" s="12" t="n">
        <v>-12.47798124625819</v>
      </c>
      <c r="I383" s="12" t="n">
        <v>-37.17953305226231</v>
      </c>
      <c r="J383" s="12" t="n">
        <v>-0.1186512304218591</v>
      </c>
      <c r="K383" s="90" t="n">
        <v>-0.06933179028853795</v>
      </c>
      <c r="L383" s="7" t="n">
        <v>119.6470632674128</v>
      </c>
      <c r="M383" s="14" t="n">
        <v>12.51346391135661</v>
      </c>
      <c r="N383" s="7" t="n">
        <v>-3.064145797531348</v>
      </c>
      <c r="O383" s="7" t="n">
        <v>-0.7051416800748106</v>
      </c>
      <c r="P383" s="7" t="n">
        <v>-0.0256098705129347</v>
      </c>
      <c r="S383" s="99" t="n">
        <v>0.0009825686173443619</v>
      </c>
      <c r="U383" s="117">
        <f>C383*S383</f>
        <v/>
      </c>
      <c r="V383" s="117">
        <f>(1+S383)*R382*(1-U383)+S383</f>
        <v/>
      </c>
      <c r="W383" s="117">
        <f>V383+I383/3</f>
        <v/>
      </c>
      <c r="X383" s="117">
        <f>V383+I383/5</f>
        <v/>
      </c>
      <c r="Y383" s="117" t="n"/>
      <c r="AA383" s="117" t="n"/>
    </row>
    <row r="384">
      <c r="B384" t="inlineStr">
        <is>
          <t>pb weighted</t>
        </is>
      </c>
      <c r="C384" s="165" t="n">
        <v>3.317295738058148</v>
      </c>
      <c r="D384" s="90" t="n">
        <v>2.022784861633863</v>
      </c>
      <c r="E384" s="12" t="n">
        <v>0.390230771882297</v>
      </c>
      <c r="F384" s="90" t="n">
        <v>14.37222263542842</v>
      </c>
      <c r="G384" s="90" t="n">
        <v>3.332511711434421</v>
      </c>
      <c r="H384" s="12" t="n">
        <v>-0.06253927428490635</v>
      </c>
      <c r="I384" s="12" t="n">
        <v>0.2184940416590848</v>
      </c>
      <c r="J384" s="12" t="n">
        <v>0.6779639289027408</v>
      </c>
      <c r="K384" s="90" t="n">
        <v>7.10516620330031</v>
      </c>
      <c r="L384" s="7" t="n">
        <v>2.022784861633863</v>
      </c>
      <c r="M384" s="14" t="n">
        <v>0.390230771882297</v>
      </c>
      <c r="N384" s="7" t="n">
        <v>7.336400341680027</v>
      </c>
      <c r="O384" s="7" t="n">
        <v>1.211560536346557</v>
      </c>
      <c r="P384" s="7" t="n">
        <v>3.626881177939111</v>
      </c>
      <c r="W384" s="117">
        <f>V382+I384/3</f>
        <v/>
      </c>
      <c r="X384" s="117">
        <f>V382+I384/5</f>
        <v/>
      </c>
      <c r="Y384" s="117" t="n"/>
      <c r="AA384" s="117" t="n"/>
    </row>
    <row r="385">
      <c r="B385" t="inlineStr">
        <is>
          <t>pb equal</t>
        </is>
      </c>
      <c r="C385" s="165" t="n">
        <v>3.174515129955289</v>
      </c>
      <c r="D385" s="90" t="n">
        <v>1.968926645829722</v>
      </c>
      <c r="E385" s="12" t="n">
        <v>0.3797709050901726</v>
      </c>
      <c r="F385" s="90" t="n">
        <v>11.48928147084627</v>
      </c>
      <c r="G385" s="90" t="n">
        <v>2.619224039108011</v>
      </c>
      <c r="H385" s="12" t="n">
        <v>-0.05870764485959168</v>
      </c>
      <c r="I385" s="12" t="n">
        <v>0.2357617902708797</v>
      </c>
      <c r="J385" s="12" t="n">
        <v>0.7572229802596373</v>
      </c>
      <c r="K385" s="90" t="n">
        <v>5.835301937317524</v>
      </c>
      <c r="L385" s="7" t="n">
        <v>1.968926645829722</v>
      </c>
      <c r="M385" s="14" t="n">
        <v>0.3797709050901726</v>
      </c>
      <c r="N385" s="7" t="n">
        <v>7.982233328726101</v>
      </c>
      <c r="O385" s="7" t="n">
        <v>1.514473235110562</v>
      </c>
      <c r="P385" s="7" t="n">
        <v>4.054103968592655</v>
      </c>
      <c r="W385" s="117">
        <f>V383+I385/3</f>
        <v/>
      </c>
      <c r="X385" s="117">
        <f>V383+I385/5</f>
        <v/>
      </c>
      <c r="Y385" s="117" t="n"/>
      <c r="AA385" s="117" t="n"/>
    </row>
    <row r="386">
      <c r="C386" s="101" t="n"/>
      <c r="D386" s="90" t="n"/>
      <c r="F386" s="90" t="n"/>
      <c r="G386" s="90" t="n"/>
      <c r="K386" s="90" t="n"/>
      <c r="L386" s="7" t="n"/>
      <c r="N386" s="7" t="n"/>
      <c r="O386" s="7" t="n"/>
      <c r="P386" s="7" t="n"/>
      <c r="AA386" s="117" t="n"/>
    </row>
    <row r="387">
      <c r="A387" t="inlineStr">
        <is>
          <t>复合型公用事业</t>
        </is>
      </c>
      <c r="B387" t="inlineStr">
        <is>
          <t>pe weighted</t>
        </is>
      </c>
      <c r="C387" s="166" t="n">
        <v>50.65416729396576</v>
      </c>
      <c r="D387" s="90" t="n">
        <v>9.19446963809744</v>
      </c>
      <c r="E387" s="12" t="n">
        <v>0.8184854252022669</v>
      </c>
      <c r="F387" s="90" t="n">
        <v>88.42441909223713</v>
      </c>
      <c r="G387" s="90" t="n">
        <v>0.7456494463540573</v>
      </c>
      <c r="H387" s="12" t="n">
        <v>-0.7012657609514756</v>
      </c>
      <c r="I387" s="12" t="n">
        <v>-0.6361280780532268</v>
      </c>
      <c r="J387" s="12" t="n">
        <v>-0.5309205598158508</v>
      </c>
      <c r="K387" s="90" t="n">
        <v>9.617131011651729</v>
      </c>
      <c r="L387" s="7" t="n">
        <v>15.45160704173195</v>
      </c>
      <c r="M387" s="14" t="n">
        <v>0.6949588184510016</v>
      </c>
      <c r="N387" s="7" t="n">
        <v>88.42441909223713</v>
      </c>
      <c r="O387" s="7" t="n">
        <v>0.7456494463540573</v>
      </c>
      <c r="P387" s="7" t="n">
        <v>5.722668124643542</v>
      </c>
      <c r="Q387" s="99" t="n">
        <v>0.03480371377009463</v>
      </c>
      <c r="R387" s="99" t="n">
        <v>-0.01427341175783995</v>
      </c>
      <c r="S387" s="99" t="n">
        <v>0.01734554103607261</v>
      </c>
      <c r="U387" s="117">
        <f>C387*S387</f>
        <v/>
      </c>
      <c r="V387" s="117">
        <f>(1+S387)*Q387*(1-U387)+S387</f>
        <v/>
      </c>
      <c r="W387" s="117">
        <f>V387+I387/3</f>
        <v/>
      </c>
      <c r="X387" s="117">
        <f>V387+I387/5</f>
        <v/>
      </c>
      <c r="Y387" s="117" t="n"/>
      <c r="AA387" s="117" t="n"/>
    </row>
    <row r="388">
      <c r="A388" t="inlineStr">
        <is>
          <t>C100101</t>
        </is>
      </c>
      <c r="B388" t="inlineStr">
        <is>
          <t>pe equal</t>
        </is>
      </c>
      <c r="C388" s="167" t="n">
        <v>-112.9559881185783</v>
      </c>
      <c r="D388" s="90" t="n">
        <v>13.02966689531631</v>
      </c>
      <c r="E388" s="12" t="n">
        <v>1.115351714524759</v>
      </c>
      <c r="F388" s="90" t="n">
        <v>-19.92874502180687</v>
      </c>
      <c r="G388" s="90" t="n">
        <v>-0.8235707079036289</v>
      </c>
      <c r="H388" s="12" t="n">
        <v>-1.194141114353577</v>
      </c>
      <c r="I388" s="12" t="n">
        <v>-1.265208670383915</v>
      </c>
      <c r="J388" s="12" t="n">
        <v>-1.80151711585787</v>
      </c>
      <c r="K388" s="90" t="n">
        <v>-1.52948998481078</v>
      </c>
      <c r="L388" s="7" t="n">
        <v>21.71059297310572</v>
      </c>
      <c r="M388" s="14" t="n">
        <v>1.192204002060648</v>
      </c>
      <c r="N388" s="7" t="n">
        <v>-19.92874502180687</v>
      </c>
      <c r="O388" s="7" t="n">
        <v>-0.8235707079036289</v>
      </c>
      <c r="P388" s="7" t="n">
        <v>-0.917927255441335</v>
      </c>
      <c r="S388" s="99" t="n">
        <v>0.008776844898520179</v>
      </c>
      <c r="U388" s="117">
        <f>C388*S388</f>
        <v/>
      </c>
      <c r="V388" s="117">
        <f>(1+S388)*R387*(1-U388)+S388</f>
        <v/>
      </c>
      <c r="W388" s="117">
        <f>V388+I388/3</f>
        <v/>
      </c>
      <c r="X388" s="117">
        <f>V388+I388/5</f>
        <v/>
      </c>
      <c r="Y388" s="117" t="n"/>
      <c r="AA388" s="117" t="n"/>
    </row>
    <row r="389">
      <c r="B389" t="inlineStr">
        <is>
          <t>pb weighted</t>
        </is>
      </c>
      <c r="C389" s="168" t="n">
        <v>1.762953139761673</v>
      </c>
      <c r="D389" s="90" t="n">
        <v>1.231172687252373</v>
      </c>
      <c r="E389" s="12" t="n">
        <v>0.3016418533853881</v>
      </c>
      <c r="F389" s="90" t="n">
        <v>3.520005471974687</v>
      </c>
      <c r="G389" s="90" t="n">
        <v>0.9966528846311495</v>
      </c>
      <c r="H389" s="12" t="n">
        <v>-0.1825854865614015</v>
      </c>
      <c r="I389" s="12" t="n">
        <v>-0.07658538303396245</v>
      </c>
      <c r="J389" s="12" t="n">
        <v>0.05903530991506023</v>
      </c>
      <c r="K389" s="90" t="n">
        <v>2.859067219749926</v>
      </c>
      <c r="L389" s="7" t="n">
        <v>1.275726564091447</v>
      </c>
      <c r="M389" s="14" t="n">
        <v>0.2763695555379834</v>
      </c>
      <c r="N389" s="7" t="n">
        <v>2.169967280195396</v>
      </c>
      <c r="O389" s="7" t="n">
        <v>0.2308706517796304</v>
      </c>
      <c r="P389" s="7" t="n">
        <v>1.700965819223819</v>
      </c>
      <c r="W389" s="117">
        <f>V387+I389/3</f>
        <v/>
      </c>
      <c r="X389" s="117">
        <f>V387+I389/5</f>
        <v/>
      </c>
      <c r="Y389" s="117" t="n"/>
      <c r="AA389" s="117" t="n"/>
    </row>
    <row r="390">
      <c r="B390" t="inlineStr">
        <is>
          <t>pb equal</t>
        </is>
      </c>
      <c r="C390" s="168" t="n">
        <v>1.612267328930145</v>
      </c>
      <c r="D390" s="90" t="n">
        <v>1.071272075218916</v>
      </c>
      <c r="E390" s="12" t="n">
        <v>0.335549349666608</v>
      </c>
      <c r="F390" s="90" t="n">
        <v>4.288504635387167</v>
      </c>
      <c r="G390" s="90" t="n">
        <v>1.659921564144637</v>
      </c>
      <c r="H390" s="12" t="n">
        <v>-0.2001464459781462</v>
      </c>
      <c r="I390" s="12" t="n">
        <v>-0.02052454626593314</v>
      </c>
      <c r="J390" s="12" t="n">
        <v>0.2436254498574766</v>
      </c>
      <c r="K390" s="90" t="n">
        <v>4.003189044679249</v>
      </c>
      <c r="L390" s="7" t="n">
        <v>1.071272075218916</v>
      </c>
      <c r="M390" s="14" t="n">
        <v>0.335549349666608</v>
      </c>
      <c r="N390" s="7" t="n">
        <v>1.873078518706589</v>
      </c>
      <c r="O390" s="7" t="n">
        <v>0.1617667151696927</v>
      </c>
      <c r="P390" s="7" t="n">
        <v>1.748462003290642</v>
      </c>
      <c r="W390" s="117">
        <f>V388+I390/3</f>
        <v/>
      </c>
      <c r="X390" s="117">
        <f>V388+I390/5</f>
        <v/>
      </c>
      <c r="Y390" s="117" t="n"/>
      <c r="AA390" s="117" t="n"/>
    </row>
    <row r="392">
      <c r="A392" t="inlineStr">
        <is>
          <t>药品流通</t>
        </is>
      </c>
      <c r="B392" t="inlineStr">
        <is>
          <t>pe weighted</t>
        </is>
      </c>
      <c r="C392" s="167" t="n">
        <v>21.19030744559744</v>
      </c>
      <c r="D392" s="90" t="n">
        <v>16.3339669283867</v>
      </c>
      <c r="E392" s="12" t="n">
        <v>0.2291774449086492</v>
      </c>
      <c r="F392" s="90" t="n">
        <v>93.36795331577412</v>
      </c>
      <c r="G392" s="90" t="n">
        <v>3.406163221344507</v>
      </c>
      <c r="H392" s="12" t="n">
        <v>0.1189898489194143</v>
      </c>
      <c r="I392" s="12" t="n">
        <v>0.4469362065541338</v>
      </c>
      <c r="J392" s="12" t="n">
        <v>1.05169371415398</v>
      </c>
      <c r="K392" s="90" t="n">
        <v>5.716183565518952</v>
      </c>
      <c r="L392" s="7" t="n">
        <v>16.3339669283867</v>
      </c>
      <c r="M392" s="14" t="n">
        <v>0.2291774449086492</v>
      </c>
      <c r="N392" s="7" t="n">
        <v>93.36795331577412</v>
      </c>
      <c r="O392" s="7" t="n">
        <v>3.406163221344507</v>
      </c>
      <c r="P392" s="7" t="n">
        <v>5.716183565518952</v>
      </c>
      <c r="Q392" s="99" t="n">
        <v>0.1055601066450543</v>
      </c>
      <c r="R392" s="99" t="n">
        <v>0.03768493191946871</v>
      </c>
      <c r="S392" s="99" t="n">
        <v>0.02044366941491593</v>
      </c>
      <c r="U392" s="117" t="n"/>
      <c r="V392" s="117" t="n"/>
      <c r="W392" s="117" t="n"/>
      <c r="X392" s="117" t="n"/>
      <c r="Y392" s="117" t="n"/>
      <c r="AA392" s="117" t="n"/>
    </row>
    <row r="393">
      <c r="A393" t="inlineStr">
        <is>
          <t>C100102</t>
        </is>
      </c>
      <c r="B393" t="inlineStr">
        <is>
          <t>pe equal</t>
        </is>
      </c>
      <c r="C393" s="168" t="n">
        <v>52.7414329760797</v>
      </c>
      <c r="D393" s="90" t="n">
        <v>18.07544286923532</v>
      </c>
      <c r="E393" s="12" t="n">
        <v>0.6572819157675666</v>
      </c>
      <c r="F393" s="90" t="n">
        <v>-9.517803015941265</v>
      </c>
      <c r="G393" s="90" t="n">
        <v>-1.180461593075371</v>
      </c>
      <c r="H393" s="12" t="n">
        <v>-0.4818637444803749</v>
      </c>
      <c r="I393" s="12" t="n">
        <v>-0.3360066485998973</v>
      </c>
      <c r="J393" s="12" t="n">
        <v>0.5125537097351578</v>
      </c>
      <c r="K393" s="90" t="n">
        <v>-0.5265598793233834</v>
      </c>
      <c r="L393" s="7" t="n">
        <v>18.07544286923532</v>
      </c>
      <c r="M393" s="14" t="n">
        <v>0.6572819157675666</v>
      </c>
      <c r="N393" s="7" t="n">
        <v>-9.517803015941265</v>
      </c>
      <c r="O393" s="7" t="n">
        <v>-1.180461593075371</v>
      </c>
      <c r="P393" s="7" t="n">
        <v>-0.5265598793233834</v>
      </c>
      <c r="S393" s="99" t="n">
        <v>0.02011520112224483</v>
      </c>
      <c r="U393" s="117" t="n"/>
      <c r="V393" s="117" t="n"/>
      <c r="W393" s="117" t="n"/>
      <c r="X393" s="117" t="n"/>
      <c r="Y393" s="117" t="n"/>
      <c r="AA393" s="117" t="n"/>
    </row>
    <row r="394">
      <c r="B394" t="inlineStr">
        <is>
          <t>pb weighted</t>
        </is>
      </c>
      <c r="C394" s="167" t="n">
        <v>2.236851113798754</v>
      </c>
      <c r="D394" s="90" t="n">
        <v>1.825683262736017</v>
      </c>
      <c r="E394" s="12" t="n">
        <v>0.1838154754808277</v>
      </c>
      <c r="F394" s="90" t="n">
        <v>6.647585851779317</v>
      </c>
      <c r="G394" s="90" t="n">
        <v>1.971849941541254</v>
      </c>
      <c r="H394" s="12" t="n">
        <v>0.01769008222626045</v>
      </c>
      <c r="I394" s="12" t="n">
        <v>0.2023472059157723</v>
      </c>
      <c r="J394" s="12" t="n">
        <v>0.4762660804966499</v>
      </c>
      <c r="K394" s="90" t="n">
        <v>3.641149583535684</v>
      </c>
      <c r="L394" s="7" t="n">
        <v>1.825683262736017</v>
      </c>
      <c r="M394" s="14" t="n">
        <v>0.1838154754808277</v>
      </c>
      <c r="N394" s="7" t="n">
        <v>3.339482244780266</v>
      </c>
      <c r="O394" s="7" t="n">
        <v>0.4929389909679582</v>
      </c>
      <c r="P394" s="7" t="n">
        <v>1.829168461442556</v>
      </c>
      <c r="W394" s="117" t="n"/>
      <c r="X394" s="117" t="n"/>
      <c r="Y394" s="117" t="n"/>
      <c r="AA394" s="117" t="n"/>
    </row>
    <row r="395">
      <c r="B395" t="inlineStr">
        <is>
          <t>pb equal</t>
        </is>
      </c>
      <c r="C395" s="165" t="n">
        <v>1.987557311038786</v>
      </c>
      <c r="D395" s="90" t="n">
        <v>1.58000468636201</v>
      </c>
      <c r="E395" s="12" t="n">
        <v>0.2050520115386112</v>
      </c>
      <c r="F395" s="90" t="n">
        <v>6.302212025852473</v>
      </c>
      <c r="G395" s="90" t="n">
        <v>2.170832856416431</v>
      </c>
      <c r="H395" s="12" t="n">
        <v>-0.02955603153974407</v>
      </c>
      <c r="I395" s="12" t="n">
        <v>0.2170901792191406</v>
      </c>
      <c r="J395" s="12" t="n">
        <v>0.5377152778973728</v>
      </c>
      <c r="K395" s="90" t="n">
        <v>3.988729957734134</v>
      </c>
      <c r="L395" s="7" t="n">
        <v>1.58000468636201</v>
      </c>
      <c r="M395" s="14" t="n">
        <v>0.2050520115386112</v>
      </c>
      <c r="N395" s="7" t="n">
        <v>2.57783872976472</v>
      </c>
      <c r="O395" s="7" t="n">
        <v>0.2969883763590329</v>
      </c>
      <c r="P395" s="7" t="n">
        <v>1.631538660622736</v>
      </c>
      <c r="W395" s="117" t="n"/>
      <c r="X395" s="117" t="n"/>
      <c r="Y395" s="117" t="n"/>
      <c r="AA395" s="117" t="n"/>
    </row>
    <row r="396">
      <c r="C396" s="121" t="n"/>
      <c r="D396" s="90" t="n"/>
      <c r="F396" s="90" t="n"/>
      <c r="G396" s="90" t="n"/>
      <c r="K396" s="90" t="n"/>
      <c r="L396" s="7" t="n"/>
      <c r="N396" s="7" t="n"/>
      <c r="O396" s="7" t="n"/>
      <c r="P396" s="7" t="n"/>
      <c r="U396" s="117" t="n"/>
      <c r="V396" s="117" t="n"/>
      <c r="W396" s="117" t="n"/>
      <c r="X396" s="117" t="n"/>
      <c r="Y396" s="117" t="n"/>
      <c r="AA396" s="117" t="n"/>
    </row>
    <row r="397">
      <c r="A397" t="inlineStr">
        <is>
          <t>消费金融</t>
        </is>
      </c>
      <c r="B397" t="inlineStr">
        <is>
          <t>pe weighted</t>
        </is>
      </c>
      <c r="C397" s="167" t="n">
        <v>12.94277426018717</v>
      </c>
      <c r="D397" s="90" t="n">
        <v>12.16224985586508</v>
      </c>
      <c r="E397" s="12" t="n">
        <v>0.06030580373506467</v>
      </c>
      <c r="F397" s="90" t="n">
        <v>58.94184970551964</v>
      </c>
      <c r="G397" s="90" t="n">
        <v>3.554035210737521</v>
      </c>
      <c r="H397" s="12" t="n">
        <v>0.2272401962022659</v>
      </c>
      <c r="I397" s="12" t="n">
        <v>0.7438287879651946</v>
      </c>
      <c r="J397" s="12" t="n">
        <v>1.313583579518567</v>
      </c>
      <c r="K397" s="90" t="n">
        <v>4.846294921091079</v>
      </c>
      <c r="L397" s="7" t="n">
        <v>12.16224985586508</v>
      </c>
      <c r="M397" s="14" t="n">
        <v>0.06030580373506467</v>
      </c>
      <c r="N397" s="7" t="n">
        <v>27.10861302706896</v>
      </c>
      <c r="O397" s="7" t="n">
        <v>1.09449786283122</v>
      </c>
      <c r="P397" s="7" t="n">
        <v>2.228914333148336</v>
      </c>
      <c r="Q397" s="99" t="n">
        <v>0.1020443754285571</v>
      </c>
      <c r="R397" s="99" t="n">
        <v>0.08013155156316731</v>
      </c>
      <c r="S397" s="99" t="n">
        <v>0.02903806685855474</v>
      </c>
      <c r="U397" s="117" t="n"/>
      <c r="V397" s="117" t="n"/>
      <c r="W397" s="117" t="n"/>
      <c r="X397" s="117" t="n"/>
      <c r="Y397" s="117" t="n"/>
      <c r="AA397" s="117" t="n"/>
    </row>
    <row r="398">
      <c r="A398" t="inlineStr">
        <is>
          <t>C100103</t>
        </is>
      </c>
      <c r="B398" t="inlineStr">
        <is>
          <t>pe equal</t>
        </is>
      </c>
      <c r="C398" s="167" t="n">
        <v>17.20867159410432</v>
      </c>
      <c r="D398" s="90" t="n">
        <v>15.8136947233386</v>
      </c>
      <c r="E398" s="12" t="n">
        <v>0.08106243780278966</v>
      </c>
      <c r="F398" s="90" t="n">
        <v>62.62329299683508</v>
      </c>
      <c r="G398" s="90" t="n">
        <v>2.63905445312175</v>
      </c>
      <c r="H398" s="12" t="n">
        <v>0.06627632114373716</v>
      </c>
      <c r="I398" s="12" t="n">
        <v>0.3982166810365015</v>
      </c>
      <c r="J398" s="12" t="n">
        <v>1.05721088736965</v>
      </c>
      <c r="K398" s="90" t="n">
        <v>3.960067150177918</v>
      </c>
      <c r="L398" s="7" t="n">
        <v>15.8136947233386</v>
      </c>
      <c r="M398" s="14" t="n">
        <v>0.08106243780278966</v>
      </c>
      <c r="N398" s="7" t="n">
        <v>28.99713137891775</v>
      </c>
      <c r="O398" s="7" t="n">
        <v>0.6850302023807671</v>
      </c>
      <c r="P398" s="7" t="n">
        <v>1.833672135843271</v>
      </c>
      <c r="S398" s="99" t="n">
        <v>0.02102782384544299</v>
      </c>
      <c r="W398" s="117" t="n"/>
      <c r="X398" s="117" t="n"/>
      <c r="Y398" s="117" t="n"/>
      <c r="AA398" s="117" t="n"/>
    </row>
    <row r="399">
      <c r="B399" t="inlineStr">
        <is>
          <t>pb weighted</t>
        </is>
      </c>
      <c r="C399" s="167" t="n">
        <v>1.320737315693605</v>
      </c>
      <c r="D399" s="90" t="n">
        <v>1.209544947893031</v>
      </c>
      <c r="E399" s="12" t="n">
        <v>0.08418961626913601</v>
      </c>
      <c r="F399" s="90" t="n">
        <v>5.574686068383311</v>
      </c>
      <c r="G399" s="90" t="n">
        <v>3.220889348807172</v>
      </c>
      <c r="H399" s="12" t="n">
        <v>0.1151958870364596</v>
      </c>
      <c r="I399" s="12" t="n">
        <v>0.6383448927905797</v>
      </c>
      <c r="J399" s="12" t="n">
        <v>1.007610181390691</v>
      </c>
      <c r="K399" s="90" t="n">
        <v>4.608911870612286</v>
      </c>
      <c r="L399" s="7" t="n">
        <v>1.209544947893031</v>
      </c>
      <c r="M399" s="14" t="n">
        <v>0.08418961626913601</v>
      </c>
      <c r="N399" s="7" t="n">
        <v>2.312038231055278</v>
      </c>
      <c r="O399" s="7" t="n">
        <v>0.7505662962517849</v>
      </c>
      <c r="P399" s="7" t="n">
        <v>1.911494264915691</v>
      </c>
      <c r="W399" s="117" t="n"/>
      <c r="X399" s="117" t="n"/>
      <c r="Y399" s="117" t="n"/>
      <c r="AA399" s="117" t="n"/>
    </row>
    <row r="400">
      <c r="B400" t="inlineStr">
        <is>
          <t>pb equal</t>
        </is>
      </c>
      <c r="C400" s="167" t="n">
        <v>1.378957555176583</v>
      </c>
      <c r="D400" s="90" t="n">
        <v>1.188461876304019</v>
      </c>
      <c r="E400" s="12" t="n">
        <v>0.1381447007976762</v>
      </c>
      <c r="F400" s="90" t="n">
        <v>5.044956383843582</v>
      </c>
      <c r="G400" s="90" t="n">
        <v>2.658529129417293</v>
      </c>
      <c r="H400" s="12" t="n">
        <v>0.04252641687843184</v>
      </c>
      <c r="I400" s="12" t="n">
        <v>0.4936610930162859</v>
      </c>
      <c r="J400" s="12" t="n">
        <v>0.944521608274856</v>
      </c>
      <c r="K400" s="90" t="n">
        <v>4.244945912386203</v>
      </c>
      <c r="L400" s="7" t="n">
        <v>1.188461876304019</v>
      </c>
      <c r="M400" s="14" t="n">
        <v>0.1381447007976762</v>
      </c>
      <c r="N400" s="7" t="n">
        <v>2.301284954411236</v>
      </c>
      <c r="O400" s="7" t="n">
        <v>0.668858440038457</v>
      </c>
      <c r="P400" s="7" t="n">
        <v>1.936355721874707</v>
      </c>
      <c r="U400" s="117" t="n"/>
      <c r="V400" s="117" t="n"/>
      <c r="W400" s="117" t="n"/>
      <c r="X400" s="117" t="n"/>
      <c r="Y400" s="117" t="n"/>
      <c r="AA400" s="117" t="n"/>
    </row>
    <row r="401">
      <c r="C401" s="121" t="n"/>
      <c r="D401" s="90" t="n"/>
      <c r="F401" s="90" t="n"/>
      <c r="G401" s="90" t="n"/>
      <c r="K401" s="90" t="n"/>
      <c r="L401" s="7" t="n"/>
      <c r="N401" s="7" t="n"/>
      <c r="O401" s="7" t="n"/>
      <c r="P401" s="7" t="n"/>
      <c r="U401" s="117" t="n"/>
      <c r="V401" s="117" t="n"/>
      <c r="W401" s="117" t="n"/>
      <c r="X401" s="117" t="n"/>
      <c r="Y401" s="117" t="n"/>
      <c r="AA401" s="117" t="n"/>
    </row>
    <row r="402">
      <c r="A402" t="inlineStr">
        <is>
          <t>住宅地产开发和管理</t>
        </is>
      </c>
      <c r="B402" t="inlineStr">
        <is>
          <t>pe weighted</t>
        </is>
      </c>
      <c r="C402" s="165" t="n">
        <v>20.66630000939132</v>
      </c>
      <c r="D402" s="90" t="n">
        <v>15.25595753524159</v>
      </c>
      <c r="E402" s="12" t="n">
        <v>0.2617954095165139</v>
      </c>
      <c r="F402" s="90" t="n">
        <v>71.61533716813246</v>
      </c>
      <c r="G402" s="90" t="n">
        <v>2.465319729975298</v>
      </c>
      <c r="H402" s="12" t="n">
        <v>-0.05137885860007951</v>
      </c>
      <c r="I402" s="12" t="n">
        <v>0.1091347392869835</v>
      </c>
      <c r="J402" s="12" t="n">
        <v>0.6158876959553521</v>
      </c>
      <c r="K402" s="90" t="n">
        <v>4.694253835113233</v>
      </c>
      <c r="L402" s="7" t="n">
        <v>15.25595753524159</v>
      </c>
      <c r="M402" s="14" t="n">
        <v>0.2617954095165139</v>
      </c>
      <c r="N402" s="7" t="n">
        <v>28.43155477666004</v>
      </c>
      <c r="O402" s="7" t="n">
        <v>0.3757448001693566</v>
      </c>
      <c r="P402" s="7" t="n">
        <v>1.863636203167356</v>
      </c>
      <c r="Q402" s="99" t="n">
        <v>0.0727939904068699</v>
      </c>
      <c r="R402" s="99" t="n">
        <v>0.006394138282881293</v>
      </c>
      <c r="S402" s="99" t="n">
        <v>0.01941675885866534</v>
      </c>
      <c r="W402" s="117" t="n"/>
      <c r="X402" s="117" t="n"/>
      <c r="Y402" s="117" t="n"/>
      <c r="AA402" s="117" t="n"/>
    </row>
    <row r="403">
      <c r="A403" t="inlineStr">
        <is>
          <t>C100104</t>
        </is>
      </c>
      <c r="B403" t="inlineStr">
        <is>
          <t>pe equal</t>
        </is>
      </c>
      <c r="C403" s="166" t="n">
        <v>325.9172361974834</v>
      </c>
      <c r="D403" s="90" t="n">
        <v>16.01419048906144</v>
      </c>
      <c r="E403" s="12" t="n">
        <v>0.9508642418673496</v>
      </c>
      <c r="F403" s="90" t="n">
        <v>402.9565153590682</v>
      </c>
      <c r="G403" s="90" t="n">
        <v>0.2363768178093666</v>
      </c>
      <c r="H403" s="12" t="n">
        <v>-0.9048890321406284</v>
      </c>
      <c r="I403" s="12" t="n">
        <v>-0.8825108566202928</v>
      </c>
      <c r="J403" s="12" t="n">
        <v>-0.8227397973493755</v>
      </c>
      <c r="K403" s="90" t="n">
        <v>25.16246547924538</v>
      </c>
      <c r="L403" s="7" t="n">
        <v>24.4714728066211</v>
      </c>
      <c r="M403" s="14" t="n">
        <v>0.9249150701812129</v>
      </c>
      <c r="N403" s="7" t="n">
        <v>402.9565153590682</v>
      </c>
      <c r="O403" s="7" t="n">
        <v>0.2363768178093666</v>
      </c>
      <c r="P403" s="7" t="n">
        <v>16.4663777510785</v>
      </c>
      <c r="S403" s="99" t="n">
        <v>0.01885243941939317</v>
      </c>
      <c r="W403" s="117" t="n"/>
      <c r="X403" s="117" t="n"/>
      <c r="Y403" s="117" t="n"/>
      <c r="AA403" s="117" t="n"/>
    </row>
    <row r="404">
      <c r="B404" t="inlineStr">
        <is>
          <t>pb weighted</t>
        </is>
      </c>
      <c r="C404" s="167" t="n">
        <v>1.504382444629127</v>
      </c>
      <c r="D404" s="90" t="n">
        <v>1.134167169689235</v>
      </c>
      <c r="E404" s="12" t="n">
        <v>0.2460911959333328</v>
      </c>
      <c r="F404" s="90" t="n">
        <v>6.061541813145012</v>
      </c>
      <c r="G404" s="90" t="n">
        <v>3.029255881564978</v>
      </c>
      <c r="H404" s="12" t="n">
        <v>0.06648333403122009</v>
      </c>
      <c r="I404" s="12" t="n">
        <v>0.3221591129847718</v>
      </c>
      <c r="J404" s="12" t="n">
        <v>0.7892654880931333</v>
      </c>
      <c r="K404" s="90" t="n">
        <v>5.344487104847069</v>
      </c>
      <c r="L404" s="7" t="n">
        <v>1.134167169689235</v>
      </c>
      <c r="M404" s="14" t="n">
        <v>0.2460911959333328</v>
      </c>
      <c r="N404" s="7" t="n">
        <v>2.011987996107068</v>
      </c>
      <c r="O404" s="7" t="n">
        <v>0.3374178908363157</v>
      </c>
      <c r="P404" s="7" t="n">
        <v>1.7739783427679</v>
      </c>
      <c r="U404" s="117" t="n"/>
      <c r="V404" s="117" t="n"/>
      <c r="W404" s="117" t="n"/>
      <c r="X404" s="117" t="n"/>
      <c r="Y404" s="117" t="n"/>
      <c r="AA404" s="117" t="n"/>
    </row>
    <row r="405">
      <c r="B405" t="inlineStr">
        <is>
          <t>pb equal</t>
        </is>
      </c>
      <c r="C405" s="165" t="n">
        <v>2.083959877021193</v>
      </c>
      <c r="D405" s="90" t="n">
        <v>1.145979630151883</v>
      </c>
      <c r="E405" s="12" t="n">
        <v>0.4500951564432499</v>
      </c>
      <c r="F405" s="90" t="n">
        <v>5.886756407568769</v>
      </c>
      <c r="G405" s="90" t="n">
        <v>1.824793544481904</v>
      </c>
      <c r="H405" s="12" t="n">
        <v>-0.2253350478999497</v>
      </c>
      <c r="I405" s="12" t="n">
        <v>0.05096515940487656</v>
      </c>
      <c r="J405" s="12" t="n">
        <v>0.4286396340026275</v>
      </c>
      <c r="K405" s="90" t="n">
        <v>5.136877002594333</v>
      </c>
      <c r="L405" s="7" t="n">
        <v>1.145979630151883</v>
      </c>
      <c r="M405" s="14" t="n">
        <v>0.4500951564432499</v>
      </c>
      <c r="N405" s="7" t="n">
        <v>2.312804254038795</v>
      </c>
      <c r="O405" s="7" t="n">
        <v>0.1098122759180522</v>
      </c>
      <c r="P405" s="7" t="n">
        <v>2.018189672125555</v>
      </c>
      <c r="U405" s="117" t="n"/>
      <c r="V405" s="117" t="n"/>
      <c r="W405" s="117" t="n"/>
      <c r="X405" s="117" t="n"/>
      <c r="Y405" s="117" t="n"/>
      <c r="AA405" s="117" t="n"/>
    </row>
    <row r="406">
      <c r="C406" s="120" t="n"/>
      <c r="D406" s="90" t="n"/>
      <c r="F406" s="90" t="n"/>
      <c r="G406" s="90" t="n"/>
      <c r="K406" s="90" t="n"/>
      <c r="L406" s="7" t="n"/>
      <c r="N406" s="7" t="n"/>
      <c r="O406" s="7" t="n"/>
      <c r="P406" s="7" t="n"/>
      <c r="W406" s="117" t="n"/>
      <c r="X406" s="117" t="n"/>
      <c r="Y406" s="117" t="n"/>
      <c r="AA406" s="117" t="n"/>
    </row>
    <row r="407">
      <c r="A407" t="inlineStr">
        <is>
          <t>商业地产开发和管理</t>
        </is>
      </c>
      <c r="B407" t="inlineStr">
        <is>
          <t>pe weighted</t>
        </is>
      </c>
      <c r="C407" s="167" t="n">
        <v>-120.8778447213421</v>
      </c>
      <c r="D407" s="90" t="n">
        <v>7.77717384797299</v>
      </c>
      <c r="E407" s="12" t="n">
        <v>1.06433911744457</v>
      </c>
      <c r="F407" s="90" t="n">
        <v>-103.0798896114391</v>
      </c>
      <c r="G407" s="90" t="n">
        <v>-0.1472391830854725</v>
      </c>
      <c r="H407" s="12" t="n">
        <v>-1.078533814930986</v>
      </c>
      <c r="I407" s="12" t="n">
        <v>-1.100586559256586</v>
      </c>
      <c r="J407" s="12" t="n">
        <v>-1.173872325528475</v>
      </c>
      <c r="K407" s="90" t="n">
        <v>-13.25415782473545</v>
      </c>
      <c r="L407" s="7" t="n">
        <v>7.77717384797299</v>
      </c>
      <c r="M407" s="14" t="n">
        <v>1.06433911744457</v>
      </c>
      <c r="N407" s="7" t="n">
        <v>-103.0798896114391</v>
      </c>
      <c r="O407" s="7" t="n">
        <v>-0.1472391830854725</v>
      </c>
      <c r="P407" s="7" t="n">
        <v>-13.25415782473545</v>
      </c>
      <c r="Q407" s="99" t="n">
        <v>-0.007350182146933644</v>
      </c>
      <c r="R407" s="99" t="n">
        <v>-0.132621476213592</v>
      </c>
      <c r="S407" s="99" t="n">
        <v>0.02378897629174383</v>
      </c>
      <c r="W407" s="117" t="n"/>
      <c r="X407" s="117" t="n"/>
      <c r="Y407" s="117" t="n"/>
      <c r="AA407" s="117" t="n"/>
    </row>
    <row r="408">
      <c r="A408" t="inlineStr">
        <is>
          <t>C110101</t>
        </is>
      </c>
      <c r="B408" t="inlineStr">
        <is>
          <t>pe equal</t>
        </is>
      </c>
      <c r="C408" s="167" t="n">
        <v>-6.993036123226434</v>
      </c>
      <c r="D408" s="90" t="n">
        <v>11.93326912386396</v>
      </c>
      <c r="E408" s="12" t="n">
        <v>2.706450376286375</v>
      </c>
      <c r="F408" s="90" t="n">
        <v>-6.01707556728882</v>
      </c>
      <c r="G408" s="90" t="n">
        <v>-0.139561778137552</v>
      </c>
      <c r="H408" s="12" t="n">
        <v>-3.406206592439414</v>
      </c>
      <c r="I408" s="12" t="n">
        <v>-4.747212221623928</v>
      </c>
      <c r="J408" s="12" t="n">
        <v>-9.438442614304297</v>
      </c>
      <c r="K408" s="90" t="n">
        <v>-0.5042269226339637</v>
      </c>
      <c r="L408" s="7" t="n">
        <v>11.93326912386396</v>
      </c>
      <c r="M408" s="14" t="n">
        <v>2.706450376286375</v>
      </c>
      <c r="N408" s="7" t="n">
        <v>-6.01707556728882</v>
      </c>
      <c r="O408" s="7" t="n">
        <v>-0.139561778137552</v>
      </c>
      <c r="P408" s="7" t="n">
        <v>-0.5042269226339637</v>
      </c>
      <c r="S408" s="99" t="n">
        <v>0.01183280209674152</v>
      </c>
      <c r="U408" s="117" t="n"/>
      <c r="V408" s="117" t="n"/>
      <c r="W408" s="117" t="n"/>
      <c r="X408" s="117" t="n"/>
      <c r="Y408" s="117" t="n"/>
      <c r="AA408" s="117" t="n"/>
    </row>
    <row r="409">
      <c r="B409" t="inlineStr">
        <is>
          <t>pb weighted</t>
        </is>
      </c>
      <c r="C409" s="167" t="n">
        <v>0.8884741762306263</v>
      </c>
      <c r="D409" s="90" t="n">
        <v>0.757579689909203</v>
      </c>
      <c r="E409" s="12" t="n">
        <v>0.1473250318616421</v>
      </c>
      <c r="F409" s="90" t="n">
        <v>3.917604790889864</v>
      </c>
      <c r="G409" s="90" t="n">
        <v>3.409362585540077</v>
      </c>
      <c r="H409" s="12" t="n">
        <v>0.2694075474834581</v>
      </c>
      <c r="I409" s="12" t="n">
        <v>0.720622222611695</v>
      </c>
      <c r="J409" s="12" t="n">
        <v>1.388881828208503</v>
      </c>
      <c r="K409" s="90" t="n">
        <v>5.17121148186984</v>
      </c>
      <c r="L409" s="7" t="n">
        <v>0.757579689909203</v>
      </c>
      <c r="M409" s="14" t="n">
        <v>0.1473250318616421</v>
      </c>
      <c r="N409" s="7" t="n">
        <v>2.023556147303272</v>
      </c>
      <c r="O409" s="7" t="n">
        <v>1.27756326682252</v>
      </c>
      <c r="P409" s="7" t="n">
        <v>2.671080249717094</v>
      </c>
      <c r="U409" s="117" t="n"/>
      <c r="V409" s="117" t="n"/>
      <c r="W409" s="117" t="n"/>
      <c r="X409" s="117" t="n"/>
      <c r="Y409" s="117" t="n"/>
      <c r="AA409" s="117" t="n"/>
    </row>
    <row r="410">
      <c r="B410" t="inlineStr">
        <is>
          <t>pb equal</t>
        </is>
      </c>
      <c r="C410" s="167" t="n">
        <v>0.9274267738772638</v>
      </c>
      <c r="D410" s="90" t="n">
        <v>0.8001387312136167</v>
      </c>
      <c r="E410" s="12" t="n">
        <v>0.1372486176256246</v>
      </c>
      <c r="F410" s="90" t="n">
        <v>4.449843187724607</v>
      </c>
      <c r="G410" s="90" t="n">
        <v>3.798053402233891</v>
      </c>
      <c r="H410" s="12" t="n">
        <v>0.1107866810659537</v>
      </c>
      <c r="I410" s="12" t="n">
        <v>0.7182286610749391</v>
      </c>
      <c r="J410" s="12" t="n">
        <v>1.461239434021449</v>
      </c>
      <c r="K410" s="90" t="n">
        <v>5.561339570420835</v>
      </c>
      <c r="L410" s="7" t="n">
        <v>0.8001387312136167</v>
      </c>
      <c r="M410" s="14" t="n">
        <v>0.1372486176256246</v>
      </c>
      <c r="N410" s="7" t="n">
        <v>1.884794583754388</v>
      </c>
      <c r="O410" s="7" t="n">
        <v>1.032283989251989</v>
      </c>
      <c r="P410" s="7" t="n">
        <v>2.355584738281087</v>
      </c>
      <c r="W410" s="117" t="n"/>
      <c r="X410" s="117" t="n"/>
      <c r="Y410" s="117" t="n"/>
      <c r="AA410" s="117" t="n"/>
    </row>
    <row r="411">
      <c r="C411" s="122" t="n"/>
      <c r="D411" s="90" t="n"/>
      <c r="F411" s="90" t="n"/>
      <c r="G411" s="90" t="n"/>
      <c r="K411" s="90" t="n"/>
      <c r="L411" s="7" t="n"/>
      <c r="N411" s="7" t="n"/>
      <c r="O411" s="7" t="n"/>
      <c r="P411" s="7" t="n"/>
      <c r="W411" s="117" t="n"/>
      <c r="X411" s="117" t="n"/>
      <c r="Y411" s="117" t="n"/>
      <c r="AA411" s="117" t="n"/>
    </row>
    <row r="412">
      <c r="A412" t="inlineStr">
        <is>
          <t>工业地产开发和管理</t>
        </is>
      </c>
      <c r="B412" t="inlineStr">
        <is>
          <t>pe weighted</t>
        </is>
      </c>
      <c r="C412" s="167" t="n">
        <v>-17.76942012679529</v>
      </c>
      <c r="D412" s="90" t="n">
        <v>9.561848203931573</v>
      </c>
      <c r="E412" s="12" t="n">
        <v>1.538106935156136</v>
      </c>
      <c r="F412" s="90" t="n">
        <v>-15.94589810666683</v>
      </c>
      <c r="G412" s="90" t="n">
        <v>-0.102621357766126</v>
      </c>
      <c r="H412" s="12" t="n">
        <v>-1.988950485849091</v>
      </c>
      <c r="I412" s="12" t="n">
        <v>-2.43791123714716</v>
      </c>
      <c r="J412" s="12" t="n">
        <v>-3.955652571150474</v>
      </c>
      <c r="K412" s="90" t="n">
        <v>-1.667658570454017</v>
      </c>
      <c r="L412" s="7" t="n">
        <v>9.561848203931573</v>
      </c>
      <c r="M412" s="14" t="n">
        <v>1.538106935156136</v>
      </c>
      <c r="N412" s="7" t="n">
        <v>-15.94589810666683</v>
      </c>
      <c r="O412" s="7" t="n">
        <v>-0.102621357766126</v>
      </c>
      <c r="P412" s="7" t="n">
        <v>-1.667658570454017</v>
      </c>
      <c r="Q412" s="99" t="n">
        <v>-0.08721639630988855</v>
      </c>
      <c r="R412" s="99" t="n">
        <v>-4.456377414574482</v>
      </c>
      <c r="S412" s="99" t="n">
        <v>0.03936655077995633</v>
      </c>
      <c r="U412" s="117" t="n"/>
      <c r="V412" s="117" t="n"/>
      <c r="W412" s="117" t="n"/>
      <c r="X412" s="117" t="n"/>
      <c r="Y412" s="117" t="n"/>
      <c r="AA412" s="117" t="n"/>
    </row>
    <row r="413">
      <c r="A413" t="inlineStr">
        <is>
          <t>C110102</t>
        </is>
      </c>
      <c r="B413" t="inlineStr">
        <is>
          <t>pe equal</t>
        </is>
      </c>
      <c r="C413" s="166" t="n">
        <v>-1.076790440332051</v>
      </c>
      <c r="D413" s="90" t="n">
        <v>7.389798494712073</v>
      </c>
      <c r="E413" s="12" t="n">
        <v>7.862800985151086</v>
      </c>
      <c r="F413" s="90" t="n">
        <v>-1.076790440332051</v>
      </c>
      <c r="G413" s="90" t="n">
        <v>0</v>
      </c>
      <c r="H413" s="12" t="n">
        <v>-20.54216189527253</v>
      </c>
      <c r="I413" s="12" t="n">
        <v>-32.34518749990183</v>
      </c>
      <c r="J413" s="12" t="n">
        <v>30.92935748124573</v>
      </c>
      <c r="K413" s="90" t="n">
        <v>-0.1457130990922921</v>
      </c>
      <c r="L413" s="7" t="n">
        <v>7.389798494712073</v>
      </c>
      <c r="M413" s="14" t="n">
        <v>7.862800985151086</v>
      </c>
      <c r="N413" s="7" t="n">
        <v>-1.076790440332051</v>
      </c>
      <c r="O413" s="7" t="n">
        <v>0</v>
      </c>
      <c r="P413" s="7" t="n">
        <v>-0.1457130990922921</v>
      </c>
      <c r="S413" s="99" t="n">
        <v>0.02721130359661123</v>
      </c>
      <c r="U413" s="117" t="n"/>
      <c r="V413" s="117" t="n"/>
      <c r="W413" s="117" t="n"/>
      <c r="X413" s="117" t="n"/>
      <c r="Y413" s="117" t="n"/>
      <c r="AA413" s="117" t="n"/>
    </row>
    <row r="414">
      <c r="B414" t="inlineStr">
        <is>
          <t>pb weighted</t>
        </is>
      </c>
      <c r="C414" s="167" t="n">
        <v>1.549784787975488</v>
      </c>
      <c r="D414" s="90" t="n">
        <v>1.233846019351754</v>
      </c>
      <c r="E414" s="12" t="n">
        <v>0.2038597688369694</v>
      </c>
      <c r="F414" s="90" t="n">
        <v>8.603849602868827</v>
      </c>
      <c r="G414" s="90" t="n">
        <v>4.551641537344157</v>
      </c>
      <c r="H414" s="12" t="n">
        <v>0.1285516040465147</v>
      </c>
      <c r="I414" s="12" t="n">
        <v>0.564357479967827</v>
      </c>
      <c r="J414" s="12" t="n">
        <v>1.317473318398574</v>
      </c>
      <c r="K414" s="90" t="n">
        <v>6.973195575400224</v>
      </c>
      <c r="L414" s="7" t="n">
        <v>1.233846019351754</v>
      </c>
      <c r="M414" s="14" t="n">
        <v>0.2038597688369694</v>
      </c>
      <c r="N414" s="7" t="n">
        <v>3.207666885027229</v>
      </c>
      <c r="O414" s="7" t="n">
        <v>1.06974988392902</v>
      </c>
      <c r="P414" s="7" t="n">
        <v>2.599730302418526</v>
      </c>
      <c r="W414" s="117" t="n"/>
      <c r="X414" s="117" t="n"/>
      <c r="Y414" s="117" t="n"/>
      <c r="AA414" s="117" t="n"/>
    </row>
    <row r="415">
      <c r="B415" t="inlineStr">
        <is>
          <t>pb equal</t>
        </is>
      </c>
      <c r="C415" s="166" t="n">
        <v>4.798584598525465</v>
      </c>
      <c r="D415" s="90" t="n">
        <v>0.7859104207244676</v>
      </c>
      <c r="E415" s="12" t="n">
        <v>0.836220367779706</v>
      </c>
      <c r="F415" s="90" t="n">
        <v>5.71922424137552</v>
      </c>
      <c r="G415" s="90" t="n">
        <v>0.1918564993379412</v>
      </c>
      <c r="H415" s="12" t="n">
        <v>-0.7513127931370674</v>
      </c>
      <c r="I415" s="12" t="n">
        <v>-0.5496776052371677</v>
      </c>
      <c r="J415" s="12" t="n">
        <v>-0.45169024215973</v>
      </c>
      <c r="K415" s="90" t="n">
        <v>7.277196090749665</v>
      </c>
      <c r="L415" s="7" t="n">
        <v>0.7859104207244676</v>
      </c>
      <c r="M415" s="14" t="n">
        <v>0.836220367779706</v>
      </c>
      <c r="N415" s="7" t="n">
        <v>4.950688224673399</v>
      </c>
      <c r="O415" s="7" t="n">
        <v>0.03169760228769825</v>
      </c>
      <c r="P415" s="7" t="n">
        <v>6.299303450016298</v>
      </c>
      <c r="W415" s="117" t="n"/>
      <c r="X415" s="117" t="n"/>
      <c r="Y415" s="117" t="n"/>
      <c r="AA415" s="117" t="n"/>
    </row>
    <row r="416">
      <c r="C416" s="121" t="n"/>
      <c r="D416" s="90" t="n"/>
      <c r="F416" s="90" t="n"/>
      <c r="G416" s="90" t="n"/>
      <c r="K416" s="90" t="n"/>
      <c r="L416" s="7" t="n"/>
      <c r="N416" s="7" t="n"/>
      <c r="O416" s="7" t="n"/>
      <c r="P416" s="7" t="n"/>
      <c r="U416" s="117" t="n"/>
      <c r="V416" s="117" t="n"/>
      <c r="W416" s="117" t="n"/>
      <c r="X416" s="117" t="n"/>
      <c r="Y416" s="117" t="n"/>
      <c r="AA416" s="117" t="n"/>
    </row>
    <row r="417">
      <c r="A417" t="inlineStr">
        <is>
          <t>房地产租赁</t>
        </is>
      </c>
      <c r="B417" t="inlineStr">
        <is>
          <t>pe weighted</t>
        </is>
      </c>
      <c r="C417" s="165" t="n">
        <v>21.97591471641795</v>
      </c>
      <c r="D417" s="90" t="n">
        <v>8.017156424069976</v>
      </c>
      <c r="E417" s="12" t="n">
        <v>0.6351844040384607</v>
      </c>
      <c r="F417" s="90" t="n">
        <v>125.3338135595836</v>
      </c>
      <c r="G417" s="90" t="n">
        <v>4.703235345464286</v>
      </c>
      <c r="H417" s="12" t="n">
        <v>-0.3950860644824558</v>
      </c>
      <c r="I417" s="12" t="n">
        <v>0.01051271209836457</v>
      </c>
      <c r="J417" s="12" t="n">
        <v>1.149721533741046</v>
      </c>
      <c r="K417" s="90" t="n">
        <v>15.63320046784828</v>
      </c>
      <c r="L417" s="7" t="n">
        <v>8.017156424069976</v>
      </c>
      <c r="M417" s="14" t="n">
        <v>0.6351844040384607</v>
      </c>
      <c r="N417" s="7" t="n">
        <v>31.12349517218132</v>
      </c>
      <c r="O417" s="7" t="n">
        <v>0.4162548214172546</v>
      </c>
      <c r="P417" s="7" t="n">
        <v>3.882111502619431</v>
      </c>
      <c r="Q417" s="99" t="n">
        <v>0.06673944252663758</v>
      </c>
      <c r="R417" s="99" t="n">
        <v>0.05457619717531626</v>
      </c>
      <c r="S417" s="99" t="n">
        <v>0.02277091852106657</v>
      </c>
      <c r="U417" s="117" t="n"/>
      <c r="V417" s="117" t="n"/>
      <c r="W417" s="117" t="n"/>
      <c r="X417" s="117" t="n"/>
      <c r="Y417" s="117" t="n"/>
      <c r="AA417" s="117" t="n"/>
    </row>
    <row r="418">
      <c r="A418" t="inlineStr">
        <is>
          <t>C110103</t>
        </is>
      </c>
      <c r="B418" t="inlineStr">
        <is>
          <t>pe equal</t>
        </is>
      </c>
      <c r="C418" s="165" t="n">
        <v>26.6599739369023</v>
      </c>
      <c r="D418" s="90" t="n">
        <v>13.28386041992599</v>
      </c>
      <c r="E418" s="12" t="n">
        <v>0.5017301798056639</v>
      </c>
      <c r="F418" s="90" t="n">
        <v>-262.1462345621601</v>
      </c>
      <c r="G418" s="90" t="n">
        <v>-10.83295164438633</v>
      </c>
      <c r="H418" s="12" t="n">
        <v>-0.0782820352181256</v>
      </c>
      <c r="I418" s="12" t="n">
        <v>0.2452163505644673</v>
      </c>
      <c r="J418" s="12" t="n">
        <v>1.484552245990302</v>
      </c>
      <c r="K418" s="90" t="n">
        <v>-19.73419068518191</v>
      </c>
      <c r="L418" s="7" t="n">
        <v>13.28386041992599</v>
      </c>
      <c r="M418" s="14" t="n">
        <v>0.5017301798056639</v>
      </c>
      <c r="N418" s="7" t="n">
        <v>43.799057534827</v>
      </c>
      <c r="O418" s="7" t="n">
        <v>0.6428769824940102</v>
      </c>
      <c r="P418" s="7" t="n">
        <v>3.297163335827269</v>
      </c>
      <c r="S418" s="99" t="n">
        <v>0.01568803559619525</v>
      </c>
      <c r="W418" s="117" t="n"/>
      <c r="X418" s="117" t="n"/>
      <c r="Y418" s="117" t="n"/>
      <c r="AA418" s="117" t="n"/>
    </row>
    <row r="419">
      <c r="B419" t="inlineStr">
        <is>
          <t>pb weighted</t>
        </is>
      </c>
      <c r="C419" s="167" t="n">
        <v>1.466660297186665</v>
      </c>
      <c r="D419" s="90" t="n">
        <v>1.233519526932219</v>
      </c>
      <c r="E419" s="12" t="n">
        <v>0.1589603064197305</v>
      </c>
      <c r="F419" s="90" t="n">
        <v>7.915739623757062</v>
      </c>
      <c r="G419" s="90" t="n">
        <v>4.397118636770196</v>
      </c>
      <c r="H419" s="12" t="n">
        <v>0.1038774141587446</v>
      </c>
      <c r="I419" s="12" t="n">
        <v>0.6106900950759013</v>
      </c>
      <c r="J419" s="12" t="n">
        <v>1.027959797277293</v>
      </c>
      <c r="K419" s="90" t="n">
        <v>6.417198472280061</v>
      </c>
      <c r="L419" s="7" t="n">
        <v>1.233519526932219</v>
      </c>
      <c r="M419" s="14" t="n">
        <v>0.1589603064197305</v>
      </c>
      <c r="N419" s="7" t="n">
        <v>3.122016024620051</v>
      </c>
      <c r="O419" s="7" t="n">
        <v>1.128656533901324</v>
      </c>
      <c r="P419" s="7" t="n">
        <v>2.530982247508112</v>
      </c>
      <c r="W419" s="117" t="n"/>
      <c r="X419" s="117" t="n"/>
      <c r="Y419" s="117" t="n"/>
      <c r="AA419" s="117" t="n"/>
    </row>
    <row r="420">
      <c r="B420" t="inlineStr">
        <is>
          <t>pb equal</t>
        </is>
      </c>
      <c r="C420" s="167" t="n">
        <v>1.454999994269172</v>
      </c>
      <c r="D420" s="90" t="n">
        <v>1.167991759255239</v>
      </c>
      <c r="E420" s="12" t="n">
        <v>0.1972565196868564</v>
      </c>
      <c r="F420" s="90" t="n">
        <v>6.787369471467961</v>
      </c>
      <c r="G420" s="90" t="n">
        <v>3.66485876165049</v>
      </c>
      <c r="H420" s="12" t="n">
        <v>0.02090895983943764</v>
      </c>
      <c r="I420" s="12" t="n">
        <v>0.4576826023527081</v>
      </c>
      <c r="J420" s="12" t="n">
        <v>1.037382462747512</v>
      </c>
      <c r="K420" s="90" t="n">
        <v>5.811144999683793</v>
      </c>
      <c r="L420" s="7" t="n">
        <v>1.167991759255239</v>
      </c>
      <c r="M420" s="14" t="n">
        <v>0.1972565196868564</v>
      </c>
      <c r="N420" s="7" t="n">
        <v>2.539029306585371</v>
      </c>
      <c r="O420" s="7" t="n">
        <v>0.7450373309868588</v>
      </c>
      <c r="P420" s="7" t="n">
        <v>2.173841798510944</v>
      </c>
      <c r="U420" s="117" t="n"/>
      <c r="V420" s="117" t="n"/>
      <c r="W420" s="117" t="n"/>
      <c r="X420" s="117" t="n"/>
      <c r="Y420" s="117" t="n"/>
      <c r="AA420" s="117" t="n"/>
    </row>
    <row r="421">
      <c r="C421" s="121" t="n"/>
      <c r="D421" s="90" t="n"/>
      <c r="F421" s="90" t="n"/>
      <c r="G421" s="90" t="n"/>
      <c r="K421" s="90" t="n"/>
      <c r="L421" s="7" t="n"/>
      <c r="N421" s="7" t="n"/>
      <c r="O421" s="7" t="n"/>
      <c r="P421" s="7" t="n"/>
      <c r="U421" s="117" t="n"/>
      <c r="V421" s="117" t="n"/>
      <c r="W421" s="117" t="n"/>
      <c r="X421" s="117" t="n"/>
      <c r="Y421" s="117" t="n"/>
      <c r="AA421" s="117" t="n"/>
    </row>
    <row r="422">
      <c r="A422" t="inlineStr">
        <is>
          <t>其他房地产服务</t>
        </is>
      </c>
      <c r="B422" t="inlineStr">
        <is>
          <t>pe weighted</t>
        </is>
      </c>
      <c r="C422" s="165" t="n">
        <v>26.46928082261294</v>
      </c>
      <c r="D422" s="90" t="n">
        <v>9.525001099062841</v>
      </c>
      <c r="E422" s="12" t="n">
        <v>0.6401488516860061</v>
      </c>
      <c r="F422" s="90" t="n">
        <v>124.2109763600788</v>
      </c>
      <c r="G422" s="90" t="n">
        <v>3.692646437675943</v>
      </c>
      <c r="H422" s="12" t="n">
        <v>-0.2251858330507341</v>
      </c>
      <c r="I422" s="12" t="n">
        <v>0.01619289552690928</v>
      </c>
      <c r="J422" s="12" t="n">
        <v>0.7802539385972067</v>
      </c>
      <c r="K422" s="90" t="n">
        <v>13.04052094779284</v>
      </c>
      <c r="L422" s="7" t="n">
        <v>16.59650504659911</v>
      </c>
      <c r="M422" s="14" t="n">
        <v>0.3729899517171402</v>
      </c>
      <c r="N422" s="7" t="n">
        <v>32.60907900372261</v>
      </c>
      <c r="O422" s="7" t="n">
        <v>0.2319593880263036</v>
      </c>
      <c r="P422" s="7" t="n">
        <v>1.964816020732312</v>
      </c>
      <c r="Q422" s="99" t="n">
        <v>0.06507830271729552</v>
      </c>
      <c r="R422" s="99" t="n">
        <v>0.05446086640467328</v>
      </c>
      <c r="S422" s="99" t="n">
        <v>0.02129346862109392</v>
      </c>
      <c r="W422" s="117" t="n"/>
      <c r="X422" s="117" t="n"/>
      <c r="Y422" s="117" t="n"/>
      <c r="AA422" s="117" t="n"/>
    </row>
    <row r="423">
      <c r="A423" t="inlineStr">
        <is>
          <t>C110202</t>
        </is>
      </c>
      <c r="B423" t="inlineStr">
        <is>
          <t>pe equal</t>
        </is>
      </c>
      <c r="C423" s="165" t="n">
        <v>32.44093978754786</v>
      </c>
      <c r="D423" s="90" t="n">
        <v>5.029240081724668</v>
      </c>
      <c r="E423" s="12" t="n">
        <v>0.8449724294468469</v>
      </c>
      <c r="F423" s="90" t="n">
        <v>260.8640503874158</v>
      </c>
      <c r="G423" s="90" t="n">
        <v>7.04119893245343</v>
      </c>
      <c r="H423" s="12" t="n">
        <v>-0.2137001195592786</v>
      </c>
      <c r="I423" s="12" t="n">
        <v>0.05852573356941759</v>
      </c>
      <c r="J423" s="12" t="n">
        <v>1.060797207951109</v>
      </c>
      <c r="K423" s="90" t="n">
        <v>51.86947653092716</v>
      </c>
      <c r="L423" s="7" t="n">
        <v>21.81202549490033</v>
      </c>
      <c r="M423" s="14" t="n">
        <v>0.3276389143549825</v>
      </c>
      <c r="N423" s="7" t="n">
        <v>52.74791169528685</v>
      </c>
      <c r="O423" s="7" t="n">
        <v>0.6259674362311052</v>
      </c>
      <c r="P423" s="7" t="n">
        <v>2.418294977127152</v>
      </c>
      <c r="S423" s="99" t="n">
        <v>0.01850428417097537</v>
      </c>
      <c r="W423" s="117" t="n"/>
      <c r="X423" s="117" t="n"/>
      <c r="Y423" s="117" t="n"/>
      <c r="AA423" s="117" t="n"/>
    </row>
    <row r="424">
      <c r="B424" t="inlineStr">
        <is>
          <t>pb weighted</t>
        </is>
      </c>
      <c r="C424" s="165" t="n">
        <v>1.72257587008311</v>
      </c>
      <c r="D424" s="90" t="n">
        <v>1.314539695049976</v>
      </c>
      <c r="E424" s="12" t="n">
        <v>0.2368755897024422</v>
      </c>
      <c r="F424" s="90" t="n">
        <v>7.658360797281636</v>
      </c>
      <c r="G424" s="90" t="n">
        <v>3.445877206507101</v>
      </c>
      <c r="H424" s="12" t="n">
        <v>-0.09515208993114865</v>
      </c>
      <c r="I424" s="12" t="n">
        <v>0.2152345423727628</v>
      </c>
      <c r="J424" s="12" t="n">
        <v>0.9078062225311814</v>
      </c>
      <c r="K424" s="90" t="n">
        <v>5.825887819226701</v>
      </c>
      <c r="L424" s="7" t="n">
        <v>1.314539695049976</v>
      </c>
      <c r="M424" s="14" t="n">
        <v>0.2368755897024422</v>
      </c>
      <c r="N424" s="7" t="n">
        <v>2.239796594375131</v>
      </c>
      <c r="O424" s="7" t="n">
        <v>0.3002600543029008</v>
      </c>
      <c r="P424" s="7" t="n">
        <v>1.703863795676386</v>
      </c>
      <c r="U424" s="117" t="n"/>
      <c r="V424" s="117" t="n"/>
      <c r="W424" s="117" t="n"/>
      <c r="X424" s="117" t="n"/>
      <c r="Y424" s="117" t="n"/>
      <c r="AA424" s="117" t="n"/>
    </row>
    <row r="425">
      <c r="B425" t="inlineStr">
        <is>
          <t>pb equal</t>
        </is>
      </c>
      <c r="C425" s="165" t="n">
        <v>1.766761687811694</v>
      </c>
      <c r="D425" s="90" t="n">
        <v>1.126453732954297</v>
      </c>
      <c r="E425" s="12" t="n">
        <v>0.3624189721085025</v>
      </c>
      <c r="F425" s="90" t="n">
        <v>7.889067134714964</v>
      </c>
      <c r="G425" s="90" t="n">
        <v>3.465269531900672</v>
      </c>
      <c r="H425" s="12" t="n">
        <v>-0.1180726429609226</v>
      </c>
      <c r="I425" s="12" t="n">
        <v>0.2439631512276974</v>
      </c>
      <c r="J425" s="12" t="n">
        <v>1.095591971752414</v>
      </c>
      <c r="K425" s="90" t="n">
        <v>7.003454206702907</v>
      </c>
      <c r="L425" s="7" t="n">
        <v>1.126453732954297</v>
      </c>
      <c r="M425" s="14" t="n">
        <v>0.3624189721085025</v>
      </c>
      <c r="N425" s="7" t="n">
        <v>2.324636271602159</v>
      </c>
      <c r="O425" s="7" t="n">
        <v>0.3157610829117801</v>
      </c>
      <c r="P425" s="7" t="n">
        <v>2.063676654970502</v>
      </c>
      <c r="U425" s="117" t="n"/>
      <c r="V425" s="117" t="n"/>
      <c r="W425" s="117" t="n"/>
      <c r="X425" s="117" t="n"/>
      <c r="Y425" s="117" t="n"/>
      <c r="AA425" s="117" t="n"/>
    </row>
    <row r="427">
      <c r="B427" t="inlineStr">
        <is>
          <t>pe weighted</t>
        </is>
      </c>
      <c r="C427" s="171" t="n">
        <v>-9.470641280204466</v>
      </c>
      <c r="D427" t="n">
        <v>15.15107240931915</v>
      </c>
      <c r="E427" t="n">
        <v>2.599793716291201</v>
      </c>
      <c r="F427" t="n">
        <v>-4.26302797827484</v>
      </c>
      <c r="G427" t="n">
        <v>-0.5498691321795262</v>
      </c>
      <c r="H427" t="n">
        <v>-3.76614212584785</v>
      </c>
      <c r="I427" t="n">
        <v>-5.758743988827691</v>
      </c>
      <c r="J427" t="n">
        <v>-12.97478401949974</v>
      </c>
      <c r="K427" t="n">
        <v>-0.2813680684182281</v>
      </c>
      <c r="L427" t="n">
        <v>15.15107240931915</v>
      </c>
      <c r="M427" t="n">
        <v>2.599793716291201</v>
      </c>
      <c r="N427" t="n">
        <v>-4.26302797827484</v>
      </c>
      <c r="O427" t="n">
        <v>-0.5498691321795262</v>
      </c>
      <c r="P427" t="n">
        <v>-0.2813680684182281</v>
      </c>
      <c r="Q427" t="n">
        <v>-0.1489775445080114</v>
      </c>
      <c r="R427" t="n">
        <v>-0.2231306603792265</v>
      </c>
      <c r="S427" t="n">
        <v>0.004433271869781685</v>
      </c>
    </row>
    <row r="428">
      <c r="A428" t="inlineStr">
        <is>
          <t>C110203</t>
        </is>
      </c>
      <c r="B428" t="inlineStr">
        <is>
          <t>pe equal</t>
        </is>
      </c>
      <c r="C428" s="171" t="n">
        <v>-7.435574441937553</v>
      </c>
      <c r="D428" t="n">
        <v>18.8641633971398</v>
      </c>
      <c r="E428" t="n">
        <v>3.537014933337712</v>
      </c>
      <c r="F428" t="n">
        <v>-2.181597939593376</v>
      </c>
      <c r="G428" t="n">
        <v>-0.706599946429304</v>
      </c>
      <c r="H428" t="n">
        <v>-5.075713287949016</v>
      </c>
      <c r="I428" t="n">
        <v>-8.564071559277579</v>
      </c>
      <c r="J428" t="n">
        <v>-21.05637434187857</v>
      </c>
      <c r="K428" t="n">
        <v>-0.1156477440141423</v>
      </c>
      <c r="L428" t="n">
        <v>18.8641633971398</v>
      </c>
      <c r="M428" t="n">
        <v>3.537014933337712</v>
      </c>
      <c r="N428" t="n">
        <v>-2.181597939593376</v>
      </c>
      <c r="O428" t="n">
        <v>-0.706599946429304</v>
      </c>
      <c r="P428" t="n">
        <v>-0.1156477440141423</v>
      </c>
      <c r="S428" t="n">
        <v>0.00423639037188331</v>
      </c>
    </row>
    <row r="429">
      <c r="B429" t="inlineStr">
        <is>
          <t>pb weighted</t>
        </is>
      </c>
      <c r="C429" s="170" t="n">
        <v>1.410912882841071</v>
      </c>
      <c r="D429" t="n">
        <v>1.067742058159822</v>
      </c>
      <c r="E429" t="n">
        <v>0.2432260906075411</v>
      </c>
      <c r="F429" t="n">
        <v>12.07473399343523</v>
      </c>
      <c r="G429" t="n">
        <v>7.558100319504534</v>
      </c>
      <c r="H429" t="n">
        <v>-0.04451811885123957</v>
      </c>
      <c r="I429" t="n">
        <v>0.7155288453112529</v>
      </c>
      <c r="J429" t="n">
        <v>2.335327711194986</v>
      </c>
      <c r="K429" t="n">
        <v>11.30866195740682</v>
      </c>
      <c r="L429" t="n">
        <v>1.067742058159822</v>
      </c>
      <c r="M429" t="n">
        <v>0.2432260906075411</v>
      </c>
      <c r="N429" t="n">
        <v>2.683571430040442</v>
      </c>
      <c r="O429" t="n">
        <v>0.9020107213399982</v>
      </c>
      <c r="P429" t="n">
        <v>2.513314343602226</v>
      </c>
    </row>
    <row r="430">
      <c r="B430" t="inlineStr">
        <is>
          <t>pb equal</t>
        </is>
      </c>
      <c r="C430" s="170" t="n">
        <v>1.659104635528425</v>
      </c>
      <c r="D430" t="n">
        <v>1.023997558943994</v>
      </c>
      <c r="E430" t="n">
        <v>0.3828010982454697</v>
      </c>
      <c r="F430" t="n">
        <v>11.49451435267129</v>
      </c>
      <c r="G430" t="n">
        <v>5.928143111968515</v>
      </c>
      <c r="H430" t="n">
        <v>-0.1621681564043758</v>
      </c>
      <c r="I430" t="n">
        <v>0.4753855792569595</v>
      </c>
      <c r="J430" t="n">
        <v>2.222534900297654</v>
      </c>
      <c r="K430" t="n">
        <v>11.22513843150671</v>
      </c>
      <c r="L430" t="n">
        <v>1.023997558943994</v>
      </c>
      <c r="M430" t="n">
        <v>0.3828010982454697</v>
      </c>
      <c r="N430" t="n">
        <v>2.601101823400238</v>
      </c>
      <c r="O430" t="n">
        <v>0.5677744294721871</v>
      </c>
      <c r="P430" t="n">
        <v>2.54014455472203</v>
      </c>
    </row>
  </sheetData>
  <conditionalFormatting sqref="Q1:Q206 Q208:Q311 Q316:Q391 Q426:Q1048576">
    <cfRule priority="54" type="dataBar">
      <dataBar>
        <cfvo type="min"/>
        <cfvo type="max"/>
        <color rgb="FF638EC6"/>
      </dataBar>
    </cfRule>
  </conditionalFormatting>
  <conditionalFormatting sqref="R1:R206 R208:R311 R316:R391 R426:R1048576">
    <cfRule priority="53" type="dataBar">
      <dataBar>
        <cfvo type="min"/>
        <cfvo type="max"/>
        <color rgb="FF638EC6"/>
      </dataBar>
    </cfRule>
  </conditionalFormatting>
  <conditionalFormatting sqref="S1:S311 S316:S391 S426:S1048576">
    <cfRule priority="52" type="dataBar">
      <dataBar>
        <cfvo type="min"/>
        <cfvo type="max"/>
        <color rgb="FF638EC6"/>
      </dataBar>
    </cfRule>
  </conditionalFormatting>
  <conditionalFormatting sqref="E1:E280 E282:E311 E316:E391 E426:E1048576">
    <cfRule priority="51" type="dataBar">
      <dataBar>
        <cfvo type="min"/>
        <cfvo type="max"/>
        <color rgb="FF638EC6"/>
      </dataBar>
    </cfRule>
  </conditionalFormatting>
  <conditionalFormatting sqref="M1:M311 M316:M391 M426:M1048576">
    <cfRule priority="50" type="dataBar">
      <dataBar>
        <cfvo type="min"/>
        <cfvo type="max"/>
        <color rgb="FF638EC6"/>
      </dataBar>
    </cfRule>
  </conditionalFormatting>
  <conditionalFormatting sqref="I1:J311 I316:J391 I426:J1048576">
    <cfRule priority="49" type="dataBar">
      <dataBar>
        <cfvo type="min"/>
        <cfvo type="max"/>
        <color rgb="FF638EC6"/>
      </dataBar>
    </cfRule>
  </conditionalFormatting>
  <conditionalFormatting sqref="H1:H311 H316:H391 H426:H1048576">
    <cfRule priority="48" type="dataBar">
      <dataBar>
        <cfvo type="min"/>
        <cfvo type="max"/>
        <color rgb="FF638EC6"/>
      </dataBar>
    </cfRule>
  </conditionalFormatting>
  <conditionalFormatting sqref="V1:V311 V316:V391 V426:V1048576">
    <cfRule dxfId="0" percent="1" priority="35" rank="20" type="top10"/>
    <cfRule priority="39" type="dataBar">
      <dataBar>
        <cfvo type="min"/>
        <cfvo type="max"/>
        <color rgb="FF638EC6"/>
      </dataBar>
    </cfRule>
    <cfRule dxfId="0" percent="1" priority="40" rank="10" type="top10"/>
  </conditionalFormatting>
  <conditionalFormatting sqref="W1:W311 W316:W391 W426:W1048576">
    <cfRule dxfId="0" percent="1" priority="36" rank="20" type="top10"/>
    <cfRule dxfId="0" percent="1" priority="37" rank="10" type="top10"/>
    <cfRule priority="38" type="dataBar">
      <dataBar>
        <cfvo type="min"/>
        <cfvo type="max"/>
        <color rgb="FF638EC6"/>
      </dataBar>
    </cfRule>
  </conditionalFormatting>
  <conditionalFormatting sqref="Q392:Q425">
    <cfRule priority="34" type="dataBar">
      <dataBar>
        <cfvo type="min"/>
        <cfvo type="max"/>
        <color rgb="FF638EC6"/>
      </dataBar>
    </cfRule>
  </conditionalFormatting>
  <conditionalFormatting sqref="R392:R425">
    <cfRule priority="33" type="dataBar">
      <dataBar>
        <cfvo type="min"/>
        <cfvo type="max"/>
        <color rgb="FF638EC6"/>
      </dataBar>
    </cfRule>
  </conditionalFormatting>
  <conditionalFormatting sqref="S392:S425">
    <cfRule priority="32" type="dataBar">
      <dataBar>
        <cfvo type="min"/>
        <cfvo type="max"/>
        <color rgb="FF638EC6"/>
      </dataBar>
    </cfRule>
  </conditionalFormatting>
  <conditionalFormatting sqref="E392:E425">
    <cfRule priority="31" type="dataBar">
      <dataBar>
        <cfvo type="min"/>
        <cfvo type="max"/>
        <color rgb="FF638EC6"/>
      </dataBar>
    </cfRule>
  </conditionalFormatting>
  <conditionalFormatting sqref="M392:M425">
    <cfRule priority="30" type="dataBar">
      <dataBar>
        <cfvo type="min"/>
        <cfvo type="max"/>
        <color rgb="FF638EC6"/>
      </dataBar>
    </cfRule>
  </conditionalFormatting>
  <conditionalFormatting sqref="I392:J425">
    <cfRule priority="29" type="dataBar">
      <dataBar>
        <cfvo type="min"/>
        <cfvo type="max"/>
        <color rgb="FF638EC6"/>
      </dataBar>
    </cfRule>
  </conditionalFormatting>
  <conditionalFormatting sqref="H392:H425">
    <cfRule priority="28" type="dataBar">
      <dataBar>
        <cfvo type="min"/>
        <cfvo type="max"/>
        <color rgb="FF638EC6"/>
      </dataBar>
    </cfRule>
  </conditionalFormatting>
  <conditionalFormatting sqref="V392:V425">
    <cfRule dxfId="0" percent="1" priority="22" rank="20" type="top10"/>
    <cfRule priority="26" type="dataBar">
      <dataBar>
        <cfvo type="min"/>
        <cfvo type="max"/>
        <color rgb="FF638EC6"/>
      </dataBar>
    </cfRule>
    <cfRule dxfId="0" percent="1" priority="27" rank="10" type="top10"/>
  </conditionalFormatting>
  <conditionalFormatting sqref="W392:W425">
    <cfRule dxfId="0" percent="1" priority="23" rank="20" type="top10"/>
    <cfRule dxfId="0" percent="1" priority="24" rank="10" type="top10"/>
    <cfRule priority="25" type="dataBar">
      <dataBar>
        <cfvo type="min"/>
        <cfvo type="max"/>
        <color rgb="FF638EC6"/>
      </dataBar>
    </cfRule>
  </conditionalFormatting>
  <conditionalFormatting sqref="E1:E311 E316:E1048576">
    <cfRule priority="18" type="dataBar">
      <dataBar>
        <cfvo type="min"/>
        <cfvo type="max"/>
        <color rgb="FF638EC6"/>
      </dataBar>
    </cfRule>
    <cfRule priority="21" type="colorScale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12:Q315">
    <cfRule priority="17" type="dataBar">
      <dataBar>
        <cfvo type="min"/>
        <cfvo type="max"/>
        <color rgb="FF638EC6"/>
      </dataBar>
    </cfRule>
  </conditionalFormatting>
  <conditionalFormatting sqref="R312:R315">
    <cfRule priority="16" type="dataBar">
      <dataBar>
        <cfvo type="min"/>
        <cfvo type="max"/>
        <color rgb="FF638EC6"/>
      </dataBar>
    </cfRule>
  </conditionalFormatting>
  <conditionalFormatting sqref="S312:S315">
    <cfRule priority="15" type="dataBar">
      <dataBar>
        <cfvo type="min"/>
        <cfvo type="max"/>
        <color rgb="FF638EC6"/>
      </dataBar>
    </cfRule>
  </conditionalFormatting>
  <conditionalFormatting sqref="E312:E315">
    <cfRule priority="3" type="dataBar">
      <dataBar>
        <cfvo type="min"/>
        <cfvo type="max"/>
        <color rgb="FF638EC6"/>
      </dataBar>
    </cfRule>
    <cfRule priority="4" type="colorScale">
      <colorScale>
        <cfvo type="min"/>
        <cfvo type="percentile" val="50"/>
        <cfvo type="max"/>
        <color rgb="FF63BE7B"/>
        <color rgb="FFFFEB84"/>
        <color rgb="FFF8696B"/>
      </colorScale>
    </cfRule>
    <cfRule priority="14" type="dataBar">
      <dataBar>
        <cfvo type="min"/>
        <cfvo type="max"/>
        <color rgb="FF638EC6"/>
      </dataBar>
    </cfRule>
  </conditionalFormatting>
  <conditionalFormatting sqref="M312:M315">
    <cfRule priority="13" type="dataBar">
      <dataBar>
        <cfvo type="min"/>
        <cfvo type="max"/>
        <color rgb="FF638EC6"/>
      </dataBar>
    </cfRule>
  </conditionalFormatting>
  <conditionalFormatting sqref="I312:J315">
    <cfRule priority="12" type="dataBar">
      <dataBar>
        <cfvo type="min"/>
        <cfvo type="max"/>
        <color rgb="FF638EC6"/>
      </dataBar>
    </cfRule>
  </conditionalFormatting>
  <conditionalFormatting sqref="H312:H315">
    <cfRule priority="11" type="dataBar">
      <dataBar>
        <cfvo type="min"/>
        <cfvo type="max"/>
        <color rgb="FF638EC6"/>
      </dataBar>
    </cfRule>
  </conditionalFormatting>
  <conditionalFormatting sqref="V312:V315">
    <cfRule dxfId="0" percent="1" priority="5" rank="20" type="top10"/>
    <cfRule priority="9" type="dataBar">
      <dataBar>
        <cfvo type="min"/>
        <cfvo type="max"/>
        <color rgb="FF638EC6"/>
      </dataBar>
    </cfRule>
    <cfRule dxfId="0" percent="1" priority="10" rank="10" type="top10"/>
  </conditionalFormatting>
  <conditionalFormatting sqref="W312:W315">
    <cfRule dxfId="0" percent="1" priority="6" rank="20" type="top10"/>
    <cfRule dxfId="0" percent="1" priority="7" rank="10" type="top10"/>
    <cfRule priority="8" type="dataBar">
      <dataBar>
        <cfvo type="min"/>
        <cfvo type="max"/>
        <color rgb="FF638EC6"/>
      </dataBar>
    </cfRule>
  </conditionalFormatting>
  <conditionalFormatting sqref="Q207">
    <cfRule priority="2" type="dataBar">
      <dataBar>
        <cfvo type="min"/>
        <cfvo type="max"/>
        <color rgb="FF638EC6"/>
      </dataBar>
    </cfRule>
  </conditionalFormatting>
  <conditionalFormatting sqref="R207">
    <cfRule priority="1" type="dataBar">
      <dataBar>
        <cfvo type="min"/>
        <cfvo type="max"/>
        <color rgb="FF638EC6"/>
      </dataBar>
    </cfRule>
  </conditionalFormatting>
  <pageMargins bottom="0.75" footer="0.3" header="0.3" left="0.7" right="0.7" top="0.75"/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B1:Q30"/>
  <sheetViews>
    <sheetView topLeftCell="A2" workbookViewId="0" zoomScale="110" zoomScaleNormal="110">
      <pane activePane="bottomLeft" state="frozen" topLeftCell="A6" ySplit="1"/>
      <selection activeCell="A2" sqref="A2"/>
      <selection activeCell="O7" pane="bottomLeft" sqref="O7"/>
    </sheetView>
  </sheetViews>
  <sheetFormatPr baseColWidth="10" defaultRowHeight="16"/>
  <cols>
    <col customWidth="1" max="2" min="1" style="155" width="10.83203125"/>
    <col customWidth="1" max="3" min="3" style="155" width="18.5"/>
    <col customWidth="1" max="7" min="4" style="155" width="10.83203125"/>
    <col customWidth="1" max="8" min="8" style="113" width="14.33203125"/>
    <col customWidth="1" max="9" min="9" style="155" width="10.83203125"/>
    <col customWidth="1" max="10" min="10" style="113" width="19"/>
    <col customWidth="1" max="12" min="11" style="155" width="10.83203125"/>
    <col customWidth="1" max="13" min="13" style="155" width="18"/>
    <col customWidth="1" max="14" min="14" style="155" width="11"/>
    <col customWidth="1" max="15" min="15" style="155" width="15.5"/>
    <col customWidth="1" max="16" min="16" style="155" width="9.1640625"/>
    <col customWidth="1" max="17" min="17" style="155" width="17.1640625"/>
    <col customWidth="1" max="64" min="18" style="155" width="10.83203125"/>
  </cols>
  <sheetData>
    <row r="1">
      <c r="B1" s="112" t="n">
        <v>43407</v>
      </c>
    </row>
    <row customHeight="1" ht="17" r="2" s="155">
      <c r="B2" s="114" t="inlineStr">
        <is>
          <t>指数代码</t>
        </is>
      </c>
      <c r="C2" s="114" t="inlineStr">
        <is>
          <t>指数名称</t>
        </is>
      </c>
      <c r="D2" s="114" t="inlineStr">
        <is>
          <t>点位</t>
        </is>
      </c>
      <c r="E2" s="114" t="inlineStr">
        <is>
          <t>涨跌幅(%)</t>
        </is>
      </c>
      <c r="F2" s="114" t="inlineStr">
        <is>
          <t>今年收益(%)</t>
        </is>
      </c>
      <c r="G2" s="114" t="inlineStr">
        <is>
          <t>最新PE</t>
        </is>
      </c>
      <c r="H2" s="114" t="inlineStr">
        <is>
          <t>pe分位</t>
        </is>
      </c>
      <c r="I2" s="114" t="inlineStr">
        <is>
          <t>最新PB</t>
        </is>
      </c>
      <c r="J2" s="114" t="inlineStr">
        <is>
          <t>PB分位</t>
        </is>
      </c>
      <c r="K2" s="114" t="inlineStr">
        <is>
          <t>基期</t>
        </is>
      </c>
      <c r="L2" s="114" t="inlineStr">
        <is>
          <t>查看基金</t>
        </is>
      </c>
      <c r="M2" s="114" t="inlineStr">
        <is>
          <t>roe</t>
        </is>
      </c>
      <c r="O2" s="114" t="n"/>
    </row>
    <row customHeight="1" ht="17" r="3" s="155">
      <c r="B3" s="115" t="inlineStr">
        <is>
          <t>si801760</t>
        </is>
      </c>
      <c r="C3" s="115" t="inlineStr">
        <is>
          <t>传媒(申万)</t>
        </is>
      </c>
      <c r="D3" s="115" t="n">
        <v>733.45</v>
      </c>
      <c r="E3" s="115" t="n">
        <v>-0.04</v>
      </c>
      <c r="F3" s="115" t="n">
        <v>7.84</v>
      </c>
      <c r="G3" s="115" t="n">
        <v>44.69</v>
      </c>
      <c r="H3" s="115" t="n">
        <v>0.27</v>
      </c>
      <c r="I3" s="115" t="n">
        <v>2.56</v>
      </c>
      <c r="J3" s="115" t="n">
        <v>0.07000000000000001</v>
      </c>
      <c r="K3" s="116" t="n">
        <v>36529</v>
      </c>
      <c r="L3" s="132" t="inlineStr">
        <is>
          <t>查看基金</t>
        </is>
      </c>
      <c r="M3" s="117">
        <f>I3/G3</f>
        <v/>
      </c>
      <c r="N3" s="115" t="n"/>
      <c r="O3" s="118" t="n"/>
      <c r="P3" s="115" t="n"/>
      <c r="Q3" s="118" t="n"/>
    </row>
    <row customHeight="1" ht="17" r="4" s="155">
      <c r="B4" s="115" t="inlineStr">
        <is>
          <t>si801080</t>
        </is>
      </c>
      <c r="C4" s="115" t="inlineStr">
        <is>
          <t>电子(申万)</t>
        </is>
      </c>
      <c r="D4" s="115" t="n">
        <v>3980.69</v>
      </c>
      <c r="E4" s="115" t="n">
        <v>3.85</v>
      </c>
      <c r="F4" s="115" t="n">
        <v>14.39</v>
      </c>
      <c r="G4" s="115" t="n">
        <v>48.51</v>
      </c>
      <c r="H4" s="115" t="n">
        <v>0.46</v>
      </c>
      <c r="I4" s="115" t="n">
        <v>3.87</v>
      </c>
      <c r="J4" s="115" t="n">
        <v>0.68</v>
      </c>
      <c r="K4" s="116" t="n">
        <v>36529</v>
      </c>
      <c r="L4" s="132" t="inlineStr">
        <is>
          <t>查看基金</t>
        </is>
      </c>
      <c r="M4" s="117">
        <f>I4/G4</f>
        <v/>
      </c>
      <c r="N4" s="115" t="n"/>
      <c r="O4" s="118" t="n"/>
      <c r="P4" s="115" t="n"/>
      <c r="Q4" s="118" t="n"/>
    </row>
    <row customHeight="1" ht="17" r="5" s="155">
      <c r="B5" s="115" t="inlineStr">
        <is>
          <t>si801750</t>
        </is>
      </c>
      <c r="C5" s="115" t="inlineStr">
        <is>
          <t>计算机(申万)</t>
        </is>
      </c>
      <c r="D5" s="115" t="n">
        <v>5280.49</v>
      </c>
      <c r="E5" s="115" t="n">
        <v>1.33</v>
      </c>
      <c r="F5" s="115" t="n">
        <v>13.04</v>
      </c>
      <c r="G5" s="115" t="n">
        <v>65.5</v>
      </c>
      <c r="H5" s="115" t="n">
        <v>0.83</v>
      </c>
      <c r="I5" s="115" t="n">
        <v>4.31</v>
      </c>
      <c r="J5" s="115" t="n">
        <v>0.55</v>
      </c>
      <c r="K5" s="116" t="n">
        <v>36529</v>
      </c>
      <c r="L5" s="132" t="inlineStr">
        <is>
          <t>查看基金</t>
        </is>
      </c>
      <c r="M5" s="117">
        <f>I5/G5</f>
        <v/>
      </c>
      <c r="N5" s="115" t="n"/>
      <c r="O5" s="118" t="n"/>
      <c r="P5" s="115" t="n"/>
      <c r="Q5" s="118" t="n"/>
    </row>
    <row customHeight="1" ht="17" r="6" s="155">
      <c r="B6" s="115" t="inlineStr">
        <is>
          <t>si801770</t>
        </is>
      </c>
      <c r="C6" s="115" t="inlineStr">
        <is>
          <t>通信(申万)</t>
        </is>
      </c>
      <c r="D6" s="115" t="n">
        <v>2473.97</v>
      </c>
      <c r="E6" s="115" t="n">
        <v>1.8</v>
      </c>
      <c r="F6" s="115" t="n">
        <v>7.3</v>
      </c>
      <c r="G6" s="115" t="n">
        <v>40.49</v>
      </c>
      <c r="H6" s="115" t="n">
        <v>0.53</v>
      </c>
      <c r="I6" s="115" t="n">
        <v>2.89</v>
      </c>
      <c r="J6" s="115" t="n">
        <v>0.6</v>
      </c>
      <c r="K6" s="116" t="n">
        <v>36529</v>
      </c>
      <c r="L6" s="132" t="inlineStr">
        <is>
          <t>查看基金</t>
        </is>
      </c>
      <c r="M6" s="117">
        <f>I6/G6</f>
        <v/>
      </c>
      <c r="N6" s="115" t="n"/>
      <c r="O6" s="118" t="n"/>
      <c r="P6" s="115" t="n"/>
      <c r="Q6" s="118" t="n"/>
    </row>
    <row customHeight="1" ht="17" r="7" s="155">
      <c r="B7" s="115" t="inlineStr">
        <is>
          <t>si801170</t>
        </is>
      </c>
      <c r="C7" s="115" t="inlineStr">
        <is>
          <t>交通运输(申万)</t>
        </is>
      </c>
      <c r="D7" s="115" t="n">
        <v>2335.33</v>
      </c>
      <c r="E7" s="115" t="n">
        <v>0.32</v>
      </c>
      <c r="F7" s="115" t="n">
        <v>-1.94</v>
      </c>
      <c r="G7" s="115" t="n">
        <v>17.24</v>
      </c>
      <c r="H7" s="115" t="n">
        <v>0.24</v>
      </c>
      <c r="I7" s="115" t="n">
        <v>1.43</v>
      </c>
      <c r="J7" s="115" t="n">
        <v>0.14</v>
      </c>
      <c r="K7" s="116" t="n">
        <v>36529</v>
      </c>
      <c r="L7" s="132" t="inlineStr">
        <is>
          <t>查看基金</t>
        </is>
      </c>
      <c r="M7" s="117">
        <f>I7/G7</f>
        <v/>
      </c>
      <c r="N7" s="115" t="n"/>
      <c r="O7" s="118" t="n"/>
      <c r="P7" s="115" t="n"/>
      <c r="Q7" s="118" t="n"/>
    </row>
    <row customHeight="1" ht="17" r="8" s="155">
      <c r="B8" s="115" t="inlineStr">
        <is>
          <t>si801740</t>
        </is>
      </c>
      <c r="C8" s="115" t="inlineStr">
        <is>
          <t>国防军工(申万)</t>
        </is>
      </c>
      <c r="D8" s="115" t="n">
        <v>1197.58</v>
      </c>
      <c r="E8" s="115" t="n">
        <v>2.02</v>
      </c>
      <c r="F8" s="115" t="n">
        <v>6.32</v>
      </c>
      <c r="G8" s="115" t="n">
        <v>61.62</v>
      </c>
      <c r="H8" s="115" t="n">
        <v>0.46</v>
      </c>
      <c r="I8" s="115" t="n">
        <v>2.53</v>
      </c>
      <c r="J8" s="115" t="n">
        <v>0.27</v>
      </c>
      <c r="K8" s="116" t="n">
        <v>36529</v>
      </c>
      <c r="L8" s="132" t="inlineStr">
        <is>
          <t>查看基金</t>
        </is>
      </c>
      <c r="M8" s="117">
        <f>I8/G8</f>
        <v/>
      </c>
      <c r="N8" s="115" t="n"/>
      <c r="O8" s="118" t="n"/>
      <c r="P8" s="115" t="n"/>
      <c r="Q8" s="118" t="n"/>
    </row>
    <row customHeight="1" ht="17" r="9" s="155">
      <c r="B9" s="115" t="inlineStr">
        <is>
          <t>si801150</t>
        </is>
      </c>
      <c r="C9" s="115" t="inlineStr">
        <is>
          <t>医药生物(申万)</t>
        </is>
      </c>
      <c r="D9" s="115" t="n">
        <v>8493.950000000001</v>
      </c>
      <c r="E9" s="115" t="n">
        <v>1.85</v>
      </c>
      <c r="F9" s="115" t="n">
        <v>6.27</v>
      </c>
      <c r="G9" s="115" t="n">
        <v>38.63</v>
      </c>
      <c r="H9" s="115" t="n">
        <v>0.48</v>
      </c>
      <c r="I9" s="115" t="n">
        <v>3.64</v>
      </c>
      <c r="J9" s="115" t="n">
        <v>0.31</v>
      </c>
      <c r="K9" s="116" t="n">
        <v>36529</v>
      </c>
      <c r="L9" s="132" t="inlineStr">
        <is>
          <t>查看基金</t>
        </is>
      </c>
      <c r="M9" s="117">
        <f>I9/G9</f>
        <v/>
      </c>
      <c r="N9" s="115" t="n"/>
      <c r="O9" s="118" t="n"/>
      <c r="P9" s="115" t="n"/>
      <c r="Q9" s="118" t="n"/>
    </row>
    <row customHeight="1" ht="17" r="10" s="155">
      <c r="B10" s="115" t="inlineStr">
        <is>
          <t>si801180</t>
        </is>
      </c>
      <c r="C10" s="115" t="inlineStr">
        <is>
          <t>房地产(申万)</t>
        </is>
      </c>
      <c r="D10" s="115" t="n">
        <v>4192.07</v>
      </c>
      <c r="E10" s="115" t="n">
        <v>-0.52</v>
      </c>
      <c r="F10" s="115" t="n">
        <v>-2.34</v>
      </c>
      <c r="G10" s="115" t="n">
        <v>9.68</v>
      </c>
      <c r="H10" s="115" t="n">
        <v>0.03</v>
      </c>
      <c r="I10" s="115" t="n">
        <v>1.4</v>
      </c>
      <c r="J10" s="115" t="n">
        <v>0.06</v>
      </c>
      <c r="K10" s="116" t="n">
        <v>36529</v>
      </c>
      <c r="L10" s="132" t="inlineStr">
        <is>
          <t>查看基金</t>
        </is>
      </c>
      <c r="M10" s="117">
        <f>I10/G10</f>
        <v/>
      </c>
      <c r="N10" s="115" t="n"/>
      <c r="O10" s="118" t="n"/>
      <c r="P10" s="115" t="n"/>
      <c r="Q10" s="118" t="n"/>
    </row>
    <row customHeight="1" ht="17" r="11" s="155">
      <c r="B11" s="115" t="inlineStr">
        <is>
          <t>si801010</t>
        </is>
      </c>
      <c r="C11" s="115" t="inlineStr">
        <is>
          <t>农林牧渔(申万)</t>
        </is>
      </c>
      <c r="D11" s="115" t="n">
        <v>3454.75</v>
      </c>
      <c r="E11" s="115" t="n">
        <v>0.64</v>
      </c>
      <c r="F11" s="115" t="n">
        <v>4.43</v>
      </c>
      <c r="G11" s="115" t="n">
        <v>33.44</v>
      </c>
      <c r="H11" s="115" t="n">
        <v>0.23</v>
      </c>
      <c r="I11" s="115" t="n">
        <v>3.73</v>
      </c>
      <c r="J11" s="115" t="n">
        <v>0.5600000000000001</v>
      </c>
      <c r="K11" s="116" t="n">
        <v>36529</v>
      </c>
      <c r="L11" s="132" t="inlineStr">
        <is>
          <t>查看基金</t>
        </is>
      </c>
      <c r="M11" s="117">
        <f>I11/G11</f>
        <v/>
      </c>
      <c r="N11" s="115" t="n"/>
      <c r="O11" s="118" t="n"/>
      <c r="P11" s="115" t="n"/>
      <c r="Q11" s="118" t="n"/>
    </row>
    <row customHeight="1" ht="17" r="12" s="155">
      <c r="B12" s="115" t="inlineStr">
        <is>
          <t>si801200</t>
        </is>
      </c>
      <c r="C12" s="115" t="inlineStr">
        <is>
          <t>商业贸易(申万)</t>
        </is>
      </c>
      <c r="D12" s="115" t="n">
        <v>3345.88</v>
      </c>
      <c r="E12" s="115" t="n">
        <v>-0.06</v>
      </c>
      <c r="F12" s="115" t="n">
        <v>3.24</v>
      </c>
      <c r="G12" s="115" t="n">
        <v>15.26</v>
      </c>
      <c r="H12" s="115" t="n">
        <v>0.01</v>
      </c>
      <c r="I12" s="115" t="n">
        <v>1.48</v>
      </c>
      <c r="J12" s="115" t="n">
        <v>0.03</v>
      </c>
      <c r="K12" s="116" t="n">
        <v>36529</v>
      </c>
      <c r="L12" s="132" t="inlineStr">
        <is>
          <t>查看基金</t>
        </is>
      </c>
      <c r="M12" s="117">
        <f>I12/G12</f>
        <v/>
      </c>
      <c r="N12" s="115" t="n"/>
      <c r="O12" s="118" t="n"/>
      <c r="P12" s="115" t="n"/>
      <c r="Q12" s="118" t="n"/>
    </row>
    <row customHeight="1" ht="17" r="13" s="155">
      <c r="B13" s="115" t="inlineStr">
        <is>
          <t>si801110</t>
        </is>
      </c>
      <c r="C13" s="115" t="inlineStr">
        <is>
          <t>家用电器(申万)</t>
        </is>
      </c>
      <c r="D13" s="115" t="n">
        <v>8091.27</v>
      </c>
      <c r="E13" s="115" t="n">
        <v>0.45</v>
      </c>
      <c r="F13" s="115" t="n">
        <v>4.01</v>
      </c>
      <c r="G13" s="115" t="n">
        <v>17.82</v>
      </c>
      <c r="H13" s="115" t="n">
        <v>0.33</v>
      </c>
      <c r="I13" s="115" t="n">
        <v>3.5</v>
      </c>
      <c r="J13" s="115" t="n">
        <v>0.76</v>
      </c>
      <c r="K13" s="116" t="n">
        <v>36529</v>
      </c>
      <c r="L13" s="132" t="inlineStr">
        <is>
          <t>查看基金</t>
        </is>
      </c>
      <c r="M13" s="117">
        <f>I13/G13</f>
        <v/>
      </c>
      <c r="N13" s="115" t="n"/>
      <c r="O13" s="118" t="n"/>
      <c r="P13" s="115" t="n"/>
      <c r="Q13" s="118" t="n"/>
    </row>
    <row customHeight="1" ht="17" r="14" s="155">
      <c r="B14" s="115" t="inlineStr">
        <is>
          <t>si801880</t>
        </is>
      </c>
      <c r="C14" s="115" t="inlineStr">
        <is>
          <t>汽车(申万)</t>
        </is>
      </c>
      <c r="D14" s="115" t="n">
        <v>4179.71</v>
      </c>
      <c r="E14" s="115" t="n">
        <v>0.09</v>
      </c>
      <c r="F14" s="115" t="n">
        <v>6.8</v>
      </c>
      <c r="G14" s="115" t="n">
        <v>20.75</v>
      </c>
      <c r="H14" s="115" t="n">
        <v>0.51</v>
      </c>
      <c r="I14" s="115" t="n">
        <v>1.7</v>
      </c>
      <c r="J14" s="115" t="n">
        <v>0.16</v>
      </c>
      <c r="K14" s="116" t="n">
        <v>36529</v>
      </c>
      <c r="L14" s="132" t="inlineStr">
        <is>
          <t>查看基金</t>
        </is>
      </c>
      <c r="M14" s="117">
        <f>I14/G14</f>
        <v/>
      </c>
      <c r="N14" s="115" t="n"/>
      <c r="O14" s="118" t="n"/>
      <c r="P14" s="115" t="n"/>
      <c r="Q14" s="118" t="n"/>
    </row>
    <row customHeight="1" ht="17" r="15" s="155">
      <c r="B15" s="115" t="inlineStr">
        <is>
          <t>si801130</t>
        </is>
      </c>
      <c r="C15" s="115" t="inlineStr">
        <is>
          <t>纺织服装(申万)</t>
        </is>
      </c>
      <c r="D15" s="115" t="n">
        <v>1989.44</v>
      </c>
      <c r="E15" s="115" t="n">
        <v>0.96</v>
      </c>
      <c r="F15" s="115" t="n">
        <v>3.64</v>
      </c>
      <c r="G15" s="115" t="n">
        <v>26.15</v>
      </c>
      <c r="H15" s="115" t="n">
        <v>0.33</v>
      </c>
      <c r="I15" s="115" t="n">
        <v>1.88</v>
      </c>
      <c r="J15" s="115" t="n">
        <v>0.22</v>
      </c>
      <c r="K15" s="116" t="n">
        <v>36529</v>
      </c>
      <c r="L15" s="132" t="inlineStr">
        <is>
          <t>查看基金</t>
        </is>
      </c>
      <c r="M15" s="117">
        <f>I15/G15</f>
        <v/>
      </c>
      <c r="N15" s="115" t="n"/>
      <c r="O15" s="118" t="n"/>
      <c r="P15" s="115" t="n"/>
      <c r="Q15" s="118" t="n"/>
    </row>
    <row customHeight="1" ht="17" r="16" s="155">
      <c r="B16" s="115" t="inlineStr">
        <is>
          <t>si801120</t>
        </is>
      </c>
      <c r="C16" s="115" t="inlineStr">
        <is>
          <t>食品饮料(申万)</t>
        </is>
      </c>
      <c r="D16" s="115" t="n">
        <v>15513.59</v>
      </c>
      <c r="E16" s="115" t="n">
        <v>-0.73</v>
      </c>
      <c r="F16" s="115" t="n">
        <v>-0.27</v>
      </c>
      <c r="G16" s="115" t="n">
        <v>32.41</v>
      </c>
      <c r="H16" s="115" t="n">
        <v>0.47</v>
      </c>
      <c r="I16" s="115" t="n">
        <v>6.58</v>
      </c>
      <c r="J16" s="115" t="n">
        <v>0.8100000000000001</v>
      </c>
      <c r="K16" s="116" t="n">
        <v>36529</v>
      </c>
      <c r="L16" s="132" t="inlineStr">
        <is>
          <t>查看基金</t>
        </is>
      </c>
      <c r="M16" s="117">
        <f>I16/G16</f>
        <v/>
      </c>
      <c r="N16" s="115" t="n"/>
      <c r="O16" s="118" t="n"/>
      <c r="P16" s="115" t="n"/>
      <c r="Q16" s="118" t="n"/>
    </row>
    <row customHeight="1" ht="17" r="17" s="155">
      <c r="B17" s="115" t="inlineStr">
        <is>
          <t>si801710</t>
        </is>
      </c>
      <c r="C17" s="115" t="inlineStr">
        <is>
          <t>建筑材料(申万)</t>
        </is>
      </c>
      <c r="D17" s="115" t="n">
        <v>6348.68</v>
      </c>
      <c r="E17" s="115" t="n">
        <v>0.79</v>
      </c>
      <c r="F17" s="115" t="n">
        <v>0.48</v>
      </c>
      <c r="G17" s="115" t="n">
        <v>13.13</v>
      </c>
      <c r="H17" s="115" t="n">
        <v>0.06</v>
      </c>
      <c r="I17" s="115" t="n">
        <v>1.94</v>
      </c>
      <c r="J17" s="115" t="n">
        <v>0.23</v>
      </c>
      <c r="K17" s="116" t="n">
        <v>36529</v>
      </c>
      <c r="L17" s="132" t="inlineStr">
        <is>
          <t>查看基金</t>
        </is>
      </c>
      <c r="M17" s="117">
        <f>I17/G17</f>
        <v/>
      </c>
      <c r="N17" s="115" t="n"/>
      <c r="O17" s="118" t="n"/>
      <c r="P17" s="115" t="n"/>
      <c r="Q17" s="118" t="n"/>
    </row>
    <row customHeight="1" ht="17" r="18" s="155">
      <c r="B18" s="115" t="inlineStr">
        <is>
          <t>si801720</t>
        </is>
      </c>
      <c r="C18" s="115" t="inlineStr">
        <is>
          <t>建筑装饰(申万)</t>
        </is>
      </c>
      <c r="D18" s="115" t="n">
        <v>2138.92</v>
      </c>
      <c r="E18" s="115" t="n">
        <v>0.73</v>
      </c>
      <c r="F18" s="115" t="n">
        <v>2.38</v>
      </c>
      <c r="G18" s="115" t="n">
        <v>9.789999999999999</v>
      </c>
      <c r="H18" s="115" t="n">
        <v>0.03</v>
      </c>
      <c r="I18" s="115" t="n">
        <v>1.03</v>
      </c>
      <c r="J18" s="115" t="n">
        <v>0.01</v>
      </c>
      <c r="K18" s="116" t="n">
        <v>36529</v>
      </c>
      <c r="L18" s="132" t="inlineStr">
        <is>
          <t>查看基金</t>
        </is>
      </c>
      <c r="M18" s="117">
        <f>I18/G18</f>
        <v/>
      </c>
      <c r="N18" s="115" t="n"/>
      <c r="O18" s="118" t="n"/>
      <c r="P18" s="115" t="n"/>
      <c r="Q18" s="118" t="n"/>
    </row>
    <row customHeight="1" ht="17" r="19" s="155">
      <c r="B19" s="115" t="inlineStr">
        <is>
          <t>si801890</t>
        </is>
      </c>
      <c r="C19" s="115" t="inlineStr">
        <is>
          <t>机械设备(申万)</t>
        </is>
      </c>
      <c r="D19" s="115" t="n">
        <v>1214.92</v>
      </c>
      <c r="E19" s="115" t="n">
        <v>1.14</v>
      </c>
      <c r="F19" s="115" t="n">
        <v>3.61</v>
      </c>
      <c r="G19" s="115" t="n">
        <v>27.64</v>
      </c>
      <c r="H19" s="115" t="n">
        <v>0.34</v>
      </c>
      <c r="I19" s="115" t="n">
        <v>2.14</v>
      </c>
      <c r="J19" s="115" t="n">
        <v>0.22</v>
      </c>
      <c r="K19" s="116" t="n">
        <v>36529</v>
      </c>
      <c r="L19" s="132" t="inlineStr">
        <is>
          <t>查看基金</t>
        </is>
      </c>
      <c r="M19" s="117">
        <f>I19/G19</f>
        <v/>
      </c>
      <c r="N19" s="115" t="n"/>
      <c r="O19" s="118" t="n"/>
      <c r="P19" s="115" t="n"/>
      <c r="Q19" s="118" t="n"/>
    </row>
    <row customHeight="1" ht="17" r="20" s="155">
      <c r="B20" s="115" t="inlineStr">
        <is>
          <t>si801210</t>
        </is>
      </c>
      <c r="C20" s="115" t="inlineStr">
        <is>
          <t>休闲服务(申万)</t>
        </is>
      </c>
      <c r="D20" s="115" t="n">
        <v>6020.06</v>
      </c>
      <c r="E20" s="115" t="n">
        <v>-3.72</v>
      </c>
      <c r="F20" s="115" t="n">
        <v>-2.46</v>
      </c>
      <c r="G20" s="115" t="n">
        <v>33.45</v>
      </c>
      <c r="H20" s="115" t="n">
        <v>0.17</v>
      </c>
      <c r="I20" s="115" t="n">
        <v>3.58</v>
      </c>
      <c r="J20" s="115" t="n">
        <v>0.37</v>
      </c>
      <c r="K20" s="116" t="n">
        <v>36529</v>
      </c>
      <c r="L20" s="132" t="inlineStr">
        <is>
          <t>查看基金</t>
        </is>
      </c>
      <c r="M20" s="117">
        <f>I20/G20</f>
        <v/>
      </c>
      <c r="N20" s="115" t="n"/>
      <c r="O20" s="118" t="n"/>
      <c r="P20" s="115" t="n"/>
      <c r="Q20" s="118" t="n"/>
    </row>
    <row customHeight="1" ht="17" r="21" s="155">
      <c r="B21" s="115" t="inlineStr">
        <is>
          <t>si801160</t>
        </is>
      </c>
      <c r="C21" s="115" t="inlineStr">
        <is>
          <t>公用事业(申万)</t>
        </is>
      </c>
      <c r="D21" s="115" t="n">
        <v>1988.98</v>
      </c>
      <c r="E21" s="115" t="n">
        <v>0.41</v>
      </c>
      <c r="F21" s="115" t="n">
        <v>0.39</v>
      </c>
      <c r="G21" s="115" t="n">
        <v>19.13</v>
      </c>
      <c r="H21" s="115" t="n">
        <v>0.12</v>
      </c>
      <c r="I21" s="115" t="n">
        <v>1.43</v>
      </c>
      <c r="J21" s="115" t="n">
        <v>0.01</v>
      </c>
      <c r="K21" s="116" t="n">
        <v>36529</v>
      </c>
      <c r="L21" s="132" t="inlineStr">
        <is>
          <t>查看基金</t>
        </is>
      </c>
      <c r="M21" s="117">
        <f>I21/G21</f>
        <v/>
      </c>
      <c r="N21" s="115" t="n"/>
      <c r="O21" s="118" t="n"/>
      <c r="P21" s="115" t="n"/>
      <c r="Q21" s="118" t="n"/>
    </row>
    <row customHeight="1" ht="17" r="22" s="155">
      <c r="B22" s="115" t="inlineStr">
        <is>
          <t>si801730</t>
        </is>
      </c>
      <c r="C22" s="115" t="inlineStr">
        <is>
          <t>电气设备(申万)</t>
        </is>
      </c>
      <c r="D22" s="115" t="n">
        <v>4676.44</v>
      </c>
      <c r="E22" s="115" t="n">
        <v>2.1</v>
      </c>
      <c r="F22" s="115" t="n">
        <v>7.39</v>
      </c>
      <c r="G22" s="115" t="n">
        <v>34.74</v>
      </c>
      <c r="H22" s="115" t="n">
        <v>0.29</v>
      </c>
      <c r="I22" s="115" t="n">
        <v>2.35</v>
      </c>
      <c r="J22" s="115" t="n">
        <v>0.16</v>
      </c>
      <c r="K22" s="116" t="n">
        <v>36529</v>
      </c>
      <c r="L22" s="132" t="inlineStr">
        <is>
          <t>查看基金</t>
        </is>
      </c>
      <c r="M22" s="117">
        <f>I22/G22</f>
        <v/>
      </c>
      <c r="N22" s="115" t="n"/>
      <c r="O22" s="118" t="n"/>
      <c r="P22" s="115" t="n"/>
      <c r="Q22" s="118" t="n"/>
    </row>
    <row customHeight="1" ht="17" r="23" s="155">
      <c r="B23" s="115" t="inlineStr">
        <is>
          <t>si801230</t>
        </is>
      </c>
      <c r="C23" s="115" t="inlineStr">
        <is>
          <t>综合(申万)</t>
        </is>
      </c>
      <c r="D23" s="115" t="n">
        <v>2222.95</v>
      </c>
      <c r="E23" s="115" t="n">
        <v>0.6899999999999999</v>
      </c>
      <c r="F23" s="115" t="n">
        <v>4.82</v>
      </c>
      <c r="G23" s="115" t="n">
        <v>33.95</v>
      </c>
      <c r="H23" s="115" t="n">
        <v>0.18</v>
      </c>
      <c r="I23" s="115" t="n">
        <v>1.93</v>
      </c>
      <c r="J23" s="115" t="n">
        <v>0.15</v>
      </c>
      <c r="K23" s="116" t="n">
        <v>36529</v>
      </c>
      <c r="L23" s="132" t="inlineStr">
        <is>
          <t>查看基金</t>
        </is>
      </c>
      <c r="M23" s="117">
        <f>I23/G23</f>
        <v/>
      </c>
      <c r="N23" s="115" t="n"/>
      <c r="O23" s="118" t="n"/>
      <c r="P23" s="115" t="n"/>
      <c r="Q23" s="118" t="n"/>
    </row>
    <row customHeight="1" ht="17" r="24" s="155">
      <c r="B24" s="115" t="inlineStr">
        <is>
          <t>si801030</t>
        </is>
      </c>
      <c r="C24" s="115" t="inlineStr">
        <is>
          <t>化工(申万)</t>
        </is>
      </c>
      <c r="D24" s="115" t="n">
        <v>2817.49</v>
      </c>
      <c r="E24" s="115" t="n">
        <v>0.9</v>
      </c>
      <c r="F24" s="115" t="n">
        <v>4.22</v>
      </c>
      <c r="G24" s="115" t="n">
        <v>22.57</v>
      </c>
      <c r="H24" s="115" t="n">
        <v>0.25</v>
      </c>
      <c r="I24" s="115" t="n">
        <v>1.98</v>
      </c>
      <c r="J24" s="115" t="n">
        <v>0.13</v>
      </c>
      <c r="K24" s="116" t="n">
        <v>36529</v>
      </c>
      <c r="L24" s="132" t="inlineStr">
        <is>
          <t>查看基金</t>
        </is>
      </c>
      <c r="M24" s="117">
        <f>I24/G24</f>
        <v/>
      </c>
      <c r="N24" s="115" t="n"/>
      <c r="O24" s="118" t="n"/>
      <c r="P24" s="115" t="n"/>
      <c r="Q24" s="118" t="n"/>
    </row>
    <row customHeight="1" ht="17" r="25" s="155">
      <c r="B25" s="115" t="inlineStr">
        <is>
          <t>si801050</t>
        </is>
      </c>
      <c r="C25" s="115" t="inlineStr">
        <is>
          <t>有色金属(申万)</t>
        </is>
      </c>
      <c r="D25" s="115" t="n">
        <v>3168.93</v>
      </c>
      <c r="E25" s="115" t="n">
        <v>0.42</v>
      </c>
      <c r="F25" s="115" t="n">
        <v>4.31</v>
      </c>
      <c r="G25" s="115" t="n">
        <v>40.32</v>
      </c>
      <c r="H25" s="115" t="n">
        <v>0.45</v>
      </c>
      <c r="I25" s="115" t="n">
        <v>2.19</v>
      </c>
      <c r="J25" s="115" t="n">
        <v>0.16</v>
      </c>
      <c r="K25" s="116" t="n">
        <v>36529</v>
      </c>
      <c r="L25" s="132" t="inlineStr">
        <is>
          <t>查看基金</t>
        </is>
      </c>
      <c r="M25" s="117">
        <f>I25/G25</f>
        <v/>
      </c>
      <c r="N25" s="115" t="n"/>
      <c r="O25" s="118" t="n"/>
      <c r="P25" s="115" t="n"/>
      <c r="Q25" s="118" t="n"/>
    </row>
    <row customHeight="1" ht="17" r="26" s="155">
      <c r="B26" s="115" t="inlineStr">
        <is>
          <t>si801020</t>
        </is>
      </c>
      <c r="C26" s="115" t="inlineStr">
        <is>
          <t>采掘(申万)</t>
        </is>
      </c>
      <c r="D26" s="115" t="n">
        <v>2522.44</v>
      </c>
      <c r="E26" s="115" t="n">
        <v>-0.19</v>
      </c>
      <c r="F26" s="115" t="n">
        <v>0.29</v>
      </c>
      <c r="G26" s="115" t="n">
        <v>13.04</v>
      </c>
      <c r="H26" s="115" t="n">
        <v>0.1</v>
      </c>
      <c r="I26" s="115" t="n">
        <v>1.13</v>
      </c>
      <c r="J26" s="115" t="n">
        <v>0.01</v>
      </c>
      <c r="K26" s="116" t="n">
        <v>36529</v>
      </c>
      <c r="L26" s="132" t="inlineStr">
        <is>
          <t>查看基金</t>
        </is>
      </c>
      <c r="M26" s="117">
        <f>I26/G26</f>
        <v/>
      </c>
      <c r="N26" s="115" t="n"/>
      <c r="O26" s="118" t="n"/>
      <c r="P26" s="115" t="n"/>
      <c r="Q26" s="118" t="n"/>
    </row>
    <row customHeight="1" ht="17" r="27" s="155">
      <c r="B27" s="115" t="inlineStr">
        <is>
          <t>si801040</t>
        </is>
      </c>
      <c r="C27" s="115" t="inlineStr">
        <is>
          <t>钢铁(申万)</t>
        </is>
      </c>
      <c r="D27" s="115" t="n">
        <v>2107.86</v>
      </c>
      <c r="E27" s="115" t="n">
        <v>0.15</v>
      </c>
      <c r="F27" s="115" t="n">
        <v>-1.17</v>
      </c>
      <c r="G27" s="115" t="n">
        <v>9.619999999999999</v>
      </c>
      <c r="H27" s="115" t="n">
        <v>0.2</v>
      </c>
      <c r="I27" s="115" t="n">
        <v>0.92</v>
      </c>
      <c r="J27" s="115" t="n">
        <v>0.09</v>
      </c>
      <c r="K27" s="116" t="n">
        <v>36529</v>
      </c>
      <c r="L27" s="132" t="inlineStr">
        <is>
          <t>查看基金</t>
        </is>
      </c>
      <c r="M27" s="117">
        <f>I27/G27</f>
        <v/>
      </c>
      <c r="N27" s="115" t="n"/>
      <c r="O27" s="118" t="n"/>
      <c r="P27" s="115" t="n"/>
      <c r="Q27" s="118" t="n"/>
    </row>
    <row customHeight="1" ht="17" r="28" s="155">
      <c r="B28" s="115" t="inlineStr">
        <is>
          <t>si801140</t>
        </is>
      </c>
      <c r="C28" s="115" t="inlineStr">
        <is>
          <t>轻工制造(申万)</t>
        </is>
      </c>
      <c r="D28" s="115" t="n">
        <v>2395.02</v>
      </c>
      <c r="E28" s="115" t="n">
        <v>1.55</v>
      </c>
      <c r="F28" s="115" t="n">
        <v>6.4</v>
      </c>
      <c r="G28" s="115" t="n">
        <v>25.85</v>
      </c>
      <c r="H28" s="115" t="n">
        <v>0.23</v>
      </c>
      <c r="I28" s="115" t="n">
        <v>1.87</v>
      </c>
      <c r="J28" s="115" t="n">
        <v>0.24</v>
      </c>
      <c r="K28" s="116" t="n">
        <v>36529</v>
      </c>
      <c r="L28" s="132" t="inlineStr">
        <is>
          <t>查看基金</t>
        </is>
      </c>
      <c r="M28" s="117">
        <f>I28/G28</f>
        <v/>
      </c>
      <c r="N28" s="115" t="n"/>
      <c r="O28" s="118" t="n"/>
      <c r="P28" s="115" t="n"/>
      <c r="Q28" s="118" t="n"/>
    </row>
    <row customHeight="1" ht="17" r="29" s="155">
      <c r="B29" s="115" t="inlineStr">
        <is>
          <t>si801790</t>
        </is>
      </c>
      <c r="C29" s="115" t="inlineStr">
        <is>
          <t>非银金融(申万)</t>
        </is>
      </c>
      <c r="D29" s="115" t="n">
        <v>2166.41</v>
      </c>
      <c r="E29" s="115" t="n">
        <v>1.5</v>
      </c>
      <c r="F29" s="115" t="n">
        <v>1.21</v>
      </c>
      <c r="G29" s="115" t="n">
        <v>16.03</v>
      </c>
      <c r="H29" s="115" t="n">
        <v>0.12</v>
      </c>
      <c r="I29" s="115" t="n">
        <v>1.94</v>
      </c>
      <c r="J29" s="115" t="n">
        <v>0.21</v>
      </c>
      <c r="K29" s="116" t="n">
        <v>36529</v>
      </c>
      <c r="L29" s="132" t="inlineStr">
        <is>
          <t>查看基金</t>
        </is>
      </c>
      <c r="M29" s="117">
        <f>I29/G29</f>
        <v/>
      </c>
      <c r="N29" s="115" t="n"/>
      <c r="O29" s="118" t="n"/>
      <c r="P29" s="115" t="n"/>
      <c r="Q29" s="118" t="n"/>
    </row>
    <row customHeight="1" ht="17" r="30" s="155">
      <c r="B30" s="115" t="inlineStr">
        <is>
          <t>si801780</t>
        </is>
      </c>
      <c r="C30" s="115" t="inlineStr">
        <is>
          <t>银行(申万)</t>
        </is>
      </c>
      <c r="D30" s="115" t="n">
        <v>3794.77</v>
      </c>
      <c r="E30" s="115" t="n">
        <v>0.54</v>
      </c>
      <c r="F30" s="115" t="n">
        <v>-0.6899999999999999</v>
      </c>
      <c r="G30" s="115" t="n">
        <v>6.98</v>
      </c>
      <c r="H30" s="115" t="n">
        <v>0.3</v>
      </c>
      <c r="I30" s="115" t="n">
        <v>0.8100000000000001</v>
      </c>
      <c r="J30" s="115" t="n">
        <v>0.03</v>
      </c>
      <c r="K30" s="116" t="n">
        <v>36529</v>
      </c>
      <c r="L30" s="132" t="inlineStr">
        <is>
          <t>查看基金</t>
        </is>
      </c>
      <c r="M30" s="117">
        <f>I30/G30</f>
        <v/>
      </c>
      <c r="N30" s="115" t="n"/>
      <c r="O30" s="118" t="n"/>
      <c r="P30" s="115" t="n"/>
      <c r="Q30" s="118" t="n"/>
    </row>
  </sheetData>
  <autoFilter ref="B2:Q30">
    <sortState ref="B3:Q30">
      <sortCondition descending="1" ref="F2:F30"/>
    </sortState>
  </autoFilter>
  <conditionalFormatting sqref="J1 J31:J69 J99:J1048576">
    <cfRule priority="3" type="dataBar">
      <dataBar>
        <cfvo type="min"/>
        <cfvo type="max"/>
        <color rgb="FF638EC6"/>
      </dataBar>
    </cfRule>
    <cfRule priority="5" type="dataBar">
      <dataBar>
        <cfvo type="min"/>
        <cfvo type="max"/>
        <color rgb="FF638EC6"/>
      </dataBar>
    </cfRule>
    <cfRule priority="11" type="dataBar">
      <dataBar>
        <cfvo type="min"/>
        <cfvo type="max"/>
        <color rgb="FF638EC6"/>
      </dataBar>
    </cfRule>
  </conditionalFormatting>
  <conditionalFormatting sqref="H1 H31:H69 H99:H1048576">
    <cfRule priority="4" type="dataBar">
      <dataBar>
        <cfvo type="min"/>
        <cfvo type="max"/>
        <color rgb="FF638EC6"/>
      </dataBar>
    </cfRule>
    <cfRule priority="6" type="dataBar">
      <dataBar>
        <cfvo type="min"/>
        <cfvo type="max"/>
        <color rgb="FF638EC6"/>
      </dataBar>
    </cfRule>
    <cfRule priority="10" type="dataBar">
      <dataBar>
        <cfvo type="min"/>
        <cfvo type="max"/>
        <color rgb="FF638EC6"/>
      </dataBar>
    </cfRule>
  </conditionalFormatting>
  <conditionalFormatting sqref="M3:M30">
    <cfRule priority="9" type="dataBar">
      <dataBar>
        <cfvo type="min"/>
        <cfvo type="max"/>
        <color rgb="FF638EC6"/>
      </dataBar>
    </cfRule>
  </conditionalFormatting>
  <conditionalFormatting sqref="O1:O1048576">
    <cfRule priority="8" type="dataBar">
      <dataBar>
        <cfvo type="min"/>
        <cfvo type="max"/>
        <color rgb="FF638EC6"/>
      </dataBar>
    </cfRule>
  </conditionalFormatting>
  <conditionalFormatting sqref="Q1:Q1048576">
    <cfRule priority="7" type="dataBar">
      <dataBar>
        <cfvo type="min"/>
        <cfvo type="max"/>
        <color rgb="FF638EC6"/>
      </dataBar>
    </cfRule>
  </conditionalFormatting>
  <conditionalFormatting sqref="H1:H1048576">
    <cfRule priority="2" type="colorScale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J1048576">
    <cfRule priority="1" type="colorScale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display="http://discuss.jiucaishuo.com/?/invest/showData/search_gu-si801760" ref="L3" r:id="rId1"/>
    <hyperlink display="http://discuss.jiucaishuo.com/?/invest/showData/search_gu-si801080" ref="L4" r:id="rId2"/>
    <hyperlink display="http://discuss.jiucaishuo.com/?/invest/showData/search_gu-si801750" ref="L5" r:id="rId3"/>
    <hyperlink display="http://discuss.jiucaishuo.com/?/invest/showData/search_gu-si801770" ref="L6" r:id="rId4"/>
    <hyperlink display="http://discuss.jiucaishuo.com/?/invest/showData/search_gu-si801170" ref="L7" r:id="rId5"/>
    <hyperlink display="http://discuss.jiucaishuo.com/?/invest/showData/search_gu-si801740" ref="L8" r:id="rId6"/>
    <hyperlink display="http://discuss.jiucaishuo.com/?/invest/showData/search_gu-si801150" ref="L9" r:id="rId7"/>
    <hyperlink display="http://discuss.jiucaishuo.com/?/invest/showData/search_gu-si801180" ref="L10" r:id="rId8"/>
    <hyperlink display="http://discuss.jiucaishuo.com/?/invest/showData/search_gu-si801010" ref="L11" r:id="rId9"/>
    <hyperlink display="http://discuss.jiucaishuo.com/?/invest/showData/search_gu-si801200" ref="L12" r:id="rId10"/>
    <hyperlink display="http://discuss.jiucaishuo.com/?/invest/showData/search_gu-si801110" ref="L13" r:id="rId11"/>
    <hyperlink display="http://discuss.jiucaishuo.com/?/invest/showData/search_gu-si801880" ref="L14" r:id="rId12"/>
    <hyperlink display="http://discuss.jiucaishuo.com/?/invest/showData/search_gu-si801130" ref="L15" r:id="rId13"/>
    <hyperlink display="http://discuss.jiucaishuo.com/?/invest/showData/search_gu-si801120" ref="L16" r:id="rId14"/>
    <hyperlink display="http://discuss.jiucaishuo.com/?/invest/showData/search_gu-si801710" ref="L17" r:id="rId15"/>
    <hyperlink display="http://discuss.jiucaishuo.com/?/invest/showData/search_gu-si801720" ref="L18" r:id="rId16"/>
    <hyperlink display="http://discuss.jiucaishuo.com/?/invest/showData/search_gu-si801890" ref="L19" r:id="rId17"/>
    <hyperlink display="http://discuss.jiucaishuo.com/?/invest/showData/search_gu-si801210" ref="L20" r:id="rId18"/>
    <hyperlink display="http://discuss.jiucaishuo.com/?/invest/showData/search_gu-si801160" ref="L21" r:id="rId19"/>
    <hyperlink display="http://discuss.jiucaishuo.com/?/invest/showData/search_gu-si801730" ref="L22" r:id="rId20"/>
    <hyperlink display="http://discuss.jiucaishuo.com/?/invest/showData/search_gu-si801230" ref="L23" r:id="rId21"/>
    <hyperlink display="http://discuss.jiucaishuo.com/?/invest/showData/search_gu-si801030" ref="L24" r:id="rId22"/>
    <hyperlink display="http://discuss.jiucaishuo.com/?/invest/showData/search_gu-si801050" ref="L25" r:id="rId23"/>
    <hyperlink display="http://discuss.jiucaishuo.com/?/invest/showData/search_gu-si801020" ref="L26" r:id="rId24"/>
    <hyperlink display="http://discuss.jiucaishuo.com/?/invest/showData/search_gu-si801040" ref="L27" r:id="rId25"/>
    <hyperlink display="http://discuss.jiucaishuo.com/?/invest/showData/search_gu-si801140" ref="L28" r:id="rId26"/>
    <hyperlink display="http://discuss.jiucaishuo.com/?/invest/showData/search_gu-si801790" ref="L29" r:id="rId27"/>
    <hyperlink display="http://discuss.jiucaishuo.com/?/invest/showData/search_gu-si801780" ref="L30" r:id="rId28"/>
  </hyperlinks>
  <pageMargins bottom="0.75" footer="0.3" header="0.3" left="0.7" right="0.7" top="0.75"/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B1:N105"/>
  <sheetViews>
    <sheetView workbookViewId="0" zoomScale="108">
      <pane activePane="bottomLeft" state="frozen" topLeftCell="A2" ySplit="1"/>
      <selection activeCell="H35" pane="bottomLeft" sqref="H35"/>
    </sheetView>
  </sheetViews>
  <sheetFormatPr baseColWidth="10" defaultRowHeight="16"/>
  <cols>
    <col customWidth="1" max="1" min="1" style="155" width="10.83203125"/>
    <col customWidth="1" max="3" min="3" style="155" width="22.5"/>
    <col customWidth="1" max="6" min="6" style="155" width="14"/>
    <col customWidth="1" max="8" min="8" style="113" width="16.5"/>
    <col customWidth="1" max="10" min="10" style="113" width="18.33203125"/>
    <col customWidth="1" max="11" min="11" style="155" width="15.33203125"/>
    <col customWidth="1" max="13" min="13" style="155" width="19.1640625"/>
  </cols>
  <sheetData>
    <row customHeight="1" ht="17" r="1" s="155">
      <c r="B1" s="114" t="inlineStr">
        <is>
          <t>指数代码</t>
        </is>
      </c>
      <c r="C1" s="114" t="inlineStr">
        <is>
          <t>指数名称</t>
        </is>
      </c>
      <c r="D1" s="114" t="inlineStr">
        <is>
          <t>点位</t>
        </is>
      </c>
      <c r="E1" s="114" t="inlineStr">
        <is>
          <t>涨跌幅(%)</t>
        </is>
      </c>
      <c r="F1" s="114" t="inlineStr">
        <is>
          <t>今年收益(%)</t>
        </is>
      </c>
      <c r="G1" s="114" t="inlineStr">
        <is>
          <t>最新PE</t>
        </is>
      </c>
      <c r="H1" s="114" t="inlineStr">
        <is>
          <t>pe分位</t>
        </is>
      </c>
      <c r="I1" s="114" t="inlineStr">
        <is>
          <t>最新PB</t>
        </is>
      </c>
      <c r="J1" s="114" t="inlineStr">
        <is>
          <t>PB分位</t>
        </is>
      </c>
      <c r="K1" s="114" t="inlineStr">
        <is>
          <t>基期</t>
        </is>
      </c>
      <c r="L1" s="114" t="inlineStr">
        <is>
          <t>查看基金</t>
        </is>
      </c>
      <c r="M1" s="114" t="inlineStr">
        <is>
          <t>roe</t>
        </is>
      </c>
      <c r="N1" s="101" t="n"/>
    </row>
    <row customHeight="1" ht="17" r="2" s="155">
      <c r="B2" s="115" t="inlineStr">
        <is>
          <t>si801761</t>
        </is>
      </c>
      <c r="C2" s="115" t="inlineStr">
        <is>
          <t>文化传媒(申万)</t>
        </is>
      </c>
      <c r="D2" s="115" t="n">
        <v>2242.17</v>
      </c>
      <c r="E2" s="115" t="n">
        <v>0.2</v>
      </c>
      <c r="F2" s="115" t="n">
        <v>27.93</v>
      </c>
      <c r="G2" s="115" t="n">
        <v>26.64</v>
      </c>
      <c r="H2" s="115" t="n">
        <v>0.04</v>
      </c>
      <c r="I2" s="115" t="n">
        <v>1.78</v>
      </c>
      <c r="J2" s="115" t="n">
        <v>0.03</v>
      </c>
      <c r="K2" s="116" t="n">
        <v>36529</v>
      </c>
      <c r="L2" s="132" t="inlineStr">
        <is>
          <t>查看基金</t>
        </is>
      </c>
      <c r="M2" s="99">
        <f>I2/G2</f>
        <v/>
      </c>
    </row>
    <row customHeight="1" ht="17" r="3" s="155">
      <c r="B3" s="115" t="inlineStr">
        <is>
          <t>si801752</t>
        </is>
      </c>
      <c r="C3" s="115" t="inlineStr">
        <is>
          <t>互联网传媒(申万)</t>
        </is>
      </c>
      <c r="D3" s="115" t="n">
        <v>1075.74</v>
      </c>
      <c r="E3" s="115" t="n">
        <v>-0.24</v>
      </c>
      <c r="F3" s="115" t="n">
        <v>38.39</v>
      </c>
      <c r="G3" s="115" t="n">
        <v>33.59</v>
      </c>
      <c r="H3" s="115" t="n">
        <v>0.05</v>
      </c>
      <c r="I3" s="115" t="n">
        <v>2.93</v>
      </c>
      <c r="J3" s="115" t="n">
        <v>0.04</v>
      </c>
      <c r="K3" s="116" t="n">
        <v>36529</v>
      </c>
      <c r="L3" s="132" t="inlineStr">
        <is>
          <t>查看基金</t>
        </is>
      </c>
      <c r="M3" s="99">
        <f>I3/G3</f>
        <v/>
      </c>
    </row>
    <row customHeight="1" ht="17" r="4" s="155">
      <c r="B4" s="115" t="inlineStr">
        <is>
          <t>si801751</t>
        </is>
      </c>
      <c r="C4" s="115" t="inlineStr">
        <is>
          <t>营销传播(申万)</t>
        </is>
      </c>
      <c r="D4" s="115" t="n">
        <v>3319.92</v>
      </c>
      <c r="E4" s="115" t="n">
        <v>1.48</v>
      </c>
      <c r="F4" s="115" t="n">
        <v>32.62</v>
      </c>
      <c r="G4" s="115" t="n">
        <v>19.37</v>
      </c>
      <c r="H4" s="115" t="n">
        <v>0.05</v>
      </c>
      <c r="I4" s="115" t="n">
        <v>2.73</v>
      </c>
      <c r="J4" s="115" t="n">
        <v>0.06</v>
      </c>
      <c r="K4" s="116" t="n">
        <v>40826</v>
      </c>
      <c r="L4" s="132" t="inlineStr">
        <is>
          <t>查看基金</t>
        </is>
      </c>
      <c r="M4" s="99">
        <f>I4/G4</f>
        <v/>
      </c>
    </row>
    <row customHeight="1" ht="17" r="5" s="155">
      <c r="B5" s="115" t="inlineStr">
        <is>
          <t>si801085</t>
        </is>
      </c>
      <c r="C5" s="115" t="inlineStr">
        <is>
          <t>电子制造Ⅱ(申万)</t>
        </is>
      </c>
      <c r="D5" s="115" t="n">
        <v>4070.1</v>
      </c>
      <c r="E5" s="115" t="n">
        <v>-1.63</v>
      </c>
      <c r="F5" s="115" t="n">
        <v>42.3</v>
      </c>
      <c r="G5" s="115" t="n">
        <v>32.97</v>
      </c>
      <c r="H5" s="115" t="n">
        <v>0.14</v>
      </c>
      <c r="I5" s="115" t="n">
        <v>4.45</v>
      </c>
      <c r="J5" s="115" t="n">
        <v>0.29</v>
      </c>
      <c r="K5" s="116" t="n">
        <v>36529</v>
      </c>
      <c r="L5" s="132" t="inlineStr">
        <is>
          <t>查看基金</t>
        </is>
      </c>
      <c r="M5" s="99">
        <f>I5/G5</f>
        <v/>
      </c>
    </row>
    <row customHeight="1" ht="17" r="6" s="155">
      <c r="B6" s="115" t="inlineStr">
        <is>
          <t>si801084</t>
        </is>
      </c>
      <c r="C6" s="115" t="inlineStr">
        <is>
          <t>光学光电子(申万)</t>
        </is>
      </c>
      <c r="D6" s="115" t="n">
        <v>1522.81</v>
      </c>
      <c r="E6" s="115" t="n">
        <v>-1.08</v>
      </c>
      <c r="F6" s="115" t="n">
        <v>41.83</v>
      </c>
      <c r="G6" s="115" t="n">
        <v>28.32</v>
      </c>
      <c r="H6" s="115" t="n">
        <v>0.13</v>
      </c>
      <c r="I6" s="115" t="n">
        <v>2.04</v>
      </c>
      <c r="J6" s="115" t="n">
        <v>0.17</v>
      </c>
      <c r="K6" s="116" t="n">
        <v>36529</v>
      </c>
      <c r="L6" s="132" t="inlineStr">
        <is>
          <t>查看基金</t>
        </is>
      </c>
      <c r="M6" s="99">
        <f>I6/G6</f>
        <v/>
      </c>
    </row>
    <row customHeight="1" ht="17" r="7" s="155">
      <c r="B7" s="115" t="inlineStr">
        <is>
          <t>si801083</t>
        </is>
      </c>
      <c r="C7" s="115" t="inlineStr">
        <is>
          <t>元件Ⅱ(申万)</t>
        </is>
      </c>
      <c r="D7" s="115" t="n">
        <v>3661.97</v>
      </c>
      <c r="E7" s="115" t="n">
        <v>-1.78</v>
      </c>
      <c r="F7" s="115" t="n">
        <v>30.58</v>
      </c>
      <c r="G7" s="115" t="n">
        <v>33.21</v>
      </c>
      <c r="H7" s="115" t="n">
        <v>0.2</v>
      </c>
      <c r="I7" s="115" t="n">
        <v>3.45</v>
      </c>
      <c r="J7" s="115" t="n">
        <v>0.57</v>
      </c>
      <c r="K7" s="116" t="n">
        <v>36529</v>
      </c>
      <c r="L7" s="132" t="inlineStr">
        <is>
          <t>查看基金</t>
        </is>
      </c>
      <c r="M7" s="99">
        <f>I7/G7</f>
        <v/>
      </c>
    </row>
    <row customHeight="1" ht="17" r="8" s="155">
      <c r="B8" s="115" t="inlineStr">
        <is>
          <t>si801082</t>
        </is>
      </c>
      <c r="C8" s="115" t="inlineStr">
        <is>
          <t>其他电子Ⅱ(申万)</t>
        </is>
      </c>
      <c r="D8" s="115" t="n">
        <v>4666.24</v>
      </c>
      <c r="E8" s="115" t="n">
        <v>-1.23</v>
      </c>
      <c r="F8" s="115" t="n">
        <v>34.69</v>
      </c>
      <c r="G8" s="115" t="n">
        <v>33.22</v>
      </c>
      <c r="H8" s="115" t="n">
        <v>0.18</v>
      </c>
      <c r="I8" s="115" t="n">
        <v>3.3</v>
      </c>
      <c r="J8" s="115" t="n">
        <v>0.25</v>
      </c>
      <c r="K8" s="116" t="n">
        <v>36529</v>
      </c>
      <c r="L8" s="132" t="inlineStr">
        <is>
          <t>查看基金</t>
        </is>
      </c>
      <c r="M8" s="99">
        <f>I8/G8</f>
        <v/>
      </c>
    </row>
    <row customHeight="1" ht="17" r="9" s="155">
      <c r="B9" s="115" t="inlineStr">
        <is>
          <t>si801081</t>
        </is>
      </c>
      <c r="C9" s="115" t="inlineStr">
        <is>
          <t>半导体(申万)</t>
        </is>
      </c>
      <c r="D9" s="115" t="n">
        <v>2031.06</v>
      </c>
      <c r="E9" s="115" t="n">
        <v>-1.81</v>
      </c>
      <c r="F9" s="115" t="n">
        <v>49.04</v>
      </c>
      <c r="G9" s="115" t="n">
        <v>56.12</v>
      </c>
      <c r="H9" s="115" t="n">
        <v>0.28</v>
      </c>
      <c r="I9" s="115" t="n">
        <v>3.35</v>
      </c>
      <c r="J9" s="115" t="n">
        <v>0.37</v>
      </c>
      <c r="K9" s="116" t="n">
        <v>36529</v>
      </c>
      <c r="L9" s="132" t="inlineStr">
        <is>
          <t>查看基金</t>
        </is>
      </c>
      <c r="M9" s="99">
        <f>I9/G9</f>
        <v/>
      </c>
    </row>
    <row customHeight="1" ht="17" r="10" s="155">
      <c r="B10" s="115" t="inlineStr">
        <is>
          <t>si801222</t>
        </is>
      </c>
      <c r="C10" s="115" t="inlineStr">
        <is>
          <t>计算机应用(申万)</t>
        </is>
      </c>
      <c r="D10" s="115" t="n">
        <v>4861.95</v>
      </c>
      <c r="E10" s="115" t="n">
        <v>-0.31</v>
      </c>
      <c r="F10" s="115" t="n">
        <v>47.26</v>
      </c>
      <c r="G10" s="115" t="n">
        <v>54.68</v>
      </c>
      <c r="H10" s="115" t="n">
        <v>0.58</v>
      </c>
      <c r="I10" s="115" t="n">
        <v>4.1</v>
      </c>
      <c r="J10" s="115" t="n">
        <v>0.41</v>
      </c>
      <c r="K10" s="116" t="n">
        <v>36529</v>
      </c>
      <c r="L10" s="132" t="inlineStr">
        <is>
          <t>查看基金</t>
        </is>
      </c>
      <c r="M10" s="99">
        <f>I10/G10</f>
        <v/>
      </c>
    </row>
    <row customHeight="1" ht="17" r="11" s="155">
      <c r="B11" s="115" t="inlineStr">
        <is>
          <t>si801101</t>
        </is>
      </c>
      <c r="C11" s="115" t="inlineStr">
        <is>
          <t>计算机设备Ⅱ(申万)</t>
        </is>
      </c>
      <c r="D11" s="115" t="n">
        <v>3144.97</v>
      </c>
      <c r="E11" s="115" t="n">
        <v>-0.13</v>
      </c>
      <c r="F11" s="115" t="n">
        <v>45.5</v>
      </c>
      <c r="G11" s="115" t="n">
        <v>63.12</v>
      </c>
      <c r="H11" s="115" t="n">
        <v>0.73</v>
      </c>
      <c r="I11" s="115" t="n">
        <v>3.01</v>
      </c>
      <c r="J11" s="115" t="n">
        <v>0.29</v>
      </c>
      <c r="K11" s="116" t="n">
        <v>36529</v>
      </c>
      <c r="L11" s="132" t="inlineStr">
        <is>
          <t>查看基金</t>
        </is>
      </c>
      <c r="M11" s="99">
        <f>I11/G11</f>
        <v/>
      </c>
    </row>
    <row customHeight="1" ht="17" r="12" s="155">
      <c r="B12" s="115" t="inlineStr">
        <is>
          <t>si801223</t>
        </is>
      </c>
      <c r="C12" s="115" t="inlineStr">
        <is>
          <t>通信运营Ⅱ(申万)</t>
        </is>
      </c>
      <c r="D12" s="115" t="n">
        <v>2956.87</v>
      </c>
      <c r="E12" s="115" t="n">
        <v>0.8100000000000001</v>
      </c>
      <c r="F12" s="115" t="n">
        <v>38.05</v>
      </c>
      <c r="G12" s="115" t="n">
        <v>76.66</v>
      </c>
      <c r="H12" s="115" t="n">
        <v>0.71</v>
      </c>
      <c r="I12" s="115" t="n">
        <v>1.68</v>
      </c>
      <c r="J12" s="115" t="n">
        <v>0.47</v>
      </c>
      <c r="K12" s="116" t="n">
        <v>36529</v>
      </c>
      <c r="L12" s="132" t="inlineStr">
        <is>
          <t>查看基金</t>
        </is>
      </c>
      <c r="M12" s="99">
        <f>I12/G12</f>
        <v/>
      </c>
    </row>
    <row customHeight="1" ht="17" r="13" s="155">
      <c r="B13" s="115" t="inlineStr">
        <is>
          <t>si801102</t>
        </is>
      </c>
      <c r="C13" s="115" t="inlineStr">
        <is>
          <t>通信设备(申万)</t>
        </is>
      </c>
      <c r="D13" s="115" t="n">
        <v>2465.66</v>
      </c>
      <c r="E13" s="115" t="n">
        <v>-0.72</v>
      </c>
      <c r="F13" s="115" t="n">
        <v>34.64</v>
      </c>
      <c r="G13" s="115" t="n">
        <v>46.5</v>
      </c>
      <c r="H13" s="115" t="n">
        <v>0.54</v>
      </c>
      <c r="I13" s="115" t="n">
        <v>3.51</v>
      </c>
      <c r="J13" s="115" t="n">
        <v>0.46</v>
      </c>
      <c r="K13" s="116" t="n">
        <v>36529</v>
      </c>
      <c r="L13" s="132" t="inlineStr">
        <is>
          <t>查看基金</t>
        </is>
      </c>
      <c r="M13" s="99">
        <f>I13/G13</f>
        <v/>
      </c>
    </row>
    <row customHeight="1" ht="17" r="14" s="155">
      <c r="B14" s="115" t="inlineStr">
        <is>
          <t>si801881</t>
        </is>
      </c>
      <c r="C14" s="115" t="inlineStr">
        <is>
          <t>其他交运设备Ⅱ(申万)</t>
        </is>
      </c>
      <c r="D14" s="115" t="n">
        <v>1295.89</v>
      </c>
      <c r="E14" s="115" t="n">
        <v>1.86</v>
      </c>
      <c r="F14" s="115" t="n">
        <v>26.74</v>
      </c>
      <c r="G14" s="115" t="n">
        <v>60.31</v>
      </c>
      <c r="H14" s="115" t="n">
        <v>0.57</v>
      </c>
      <c r="I14" s="115" t="n">
        <v>3.04</v>
      </c>
      <c r="J14" s="115" t="n">
        <v>0.38</v>
      </c>
      <c r="K14" s="116" t="n">
        <v>36529</v>
      </c>
      <c r="L14" s="132" t="inlineStr">
        <is>
          <t>查看基金</t>
        </is>
      </c>
      <c r="M14" s="99">
        <f>I14/G14</f>
        <v/>
      </c>
    </row>
    <row customHeight="1" ht="17" r="15" s="155">
      <c r="B15" s="115" t="inlineStr">
        <is>
          <t>si801172</t>
        </is>
      </c>
      <c r="C15" s="115" t="inlineStr">
        <is>
          <t>公交Ⅱ(申万)</t>
        </is>
      </c>
      <c r="D15" s="115" t="n">
        <v>2799.12</v>
      </c>
      <c r="E15" s="115" t="n">
        <v>-0.17</v>
      </c>
      <c r="F15" s="115" t="n">
        <v>28.61</v>
      </c>
      <c r="G15" s="115" t="n">
        <v>22.68</v>
      </c>
      <c r="H15" s="115" t="n">
        <v>0.25</v>
      </c>
      <c r="I15" s="115" t="n">
        <v>1.48</v>
      </c>
      <c r="J15" s="115" t="n">
        <v>0.04</v>
      </c>
      <c r="K15" s="116" t="n">
        <v>36529</v>
      </c>
      <c r="L15" s="132" t="inlineStr">
        <is>
          <t>查看基金</t>
        </is>
      </c>
      <c r="M15" s="99">
        <f>I15/G15</f>
        <v/>
      </c>
    </row>
    <row customHeight="1" ht="17" r="16" s="155">
      <c r="B16" s="115" t="inlineStr">
        <is>
          <t>si801174</t>
        </is>
      </c>
      <c r="C16" s="115" t="inlineStr">
        <is>
          <t>机场Ⅱ(申万)</t>
        </is>
      </c>
      <c r="D16" s="115" t="n">
        <v>6838.56</v>
      </c>
      <c r="E16" s="115" t="n">
        <v>-0.86</v>
      </c>
      <c r="F16" s="115" t="n">
        <v>19.29</v>
      </c>
      <c r="G16" s="115" t="n">
        <v>24.51</v>
      </c>
      <c r="H16" s="115" t="n">
        <v>0.62</v>
      </c>
      <c r="I16" s="115" t="n">
        <v>2.83</v>
      </c>
      <c r="J16" s="115" t="n">
        <v>0.7</v>
      </c>
      <c r="K16" s="116" t="n">
        <v>36529</v>
      </c>
      <c r="L16" s="132" t="inlineStr">
        <is>
          <t>查看基金</t>
        </is>
      </c>
      <c r="M16" s="99">
        <f>I16/G16</f>
        <v/>
      </c>
    </row>
    <row customHeight="1" ht="17" r="17" s="155">
      <c r="B17" s="115" t="inlineStr">
        <is>
          <t>si801171</t>
        </is>
      </c>
      <c r="C17" s="115" t="inlineStr">
        <is>
          <t>港口Ⅱ(申万)</t>
        </is>
      </c>
      <c r="D17" s="115" t="n">
        <v>4605.64</v>
      </c>
      <c r="E17" s="115" t="n">
        <v>1.64</v>
      </c>
      <c r="F17" s="115" t="n">
        <v>30.79</v>
      </c>
      <c r="G17" s="115" t="n">
        <v>20.07</v>
      </c>
      <c r="H17" s="115" t="n">
        <v>0.27</v>
      </c>
      <c r="I17" s="115" t="n">
        <v>1.52</v>
      </c>
      <c r="J17" s="115" t="n">
        <v>0.18</v>
      </c>
      <c r="K17" s="116" t="n">
        <v>36529</v>
      </c>
      <c r="L17" s="132" t="inlineStr">
        <is>
          <t>查看基金</t>
        </is>
      </c>
      <c r="M17" s="99">
        <f>I17/G17</f>
        <v/>
      </c>
    </row>
    <row customHeight="1" ht="17" r="18" s="155">
      <c r="B18" s="115" t="inlineStr">
        <is>
          <t>si801178</t>
        </is>
      </c>
      <c r="C18" s="115" t="inlineStr">
        <is>
          <t>物流Ⅱ(申万)</t>
        </is>
      </c>
      <c r="D18" s="115" t="n">
        <v>5357.64</v>
      </c>
      <c r="E18" s="115" t="n">
        <v>-0.08</v>
      </c>
      <c r="F18" s="115" t="n">
        <v>23.69</v>
      </c>
      <c r="G18" s="115" t="n">
        <v>23.03</v>
      </c>
      <c r="H18" s="115" t="n">
        <v>0.24</v>
      </c>
      <c r="I18" s="115" t="n">
        <v>1.98</v>
      </c>
      <c r="J18" s="115" t="n">
        <v>0.16</v>
      </c>
      <c r="K18" s="116" t="n">
        <v>36529</v>
      </c>
      <c r="L18" s="132" t="inlineStr">
        <is>
          <t>查看基金</t>
        </is>
      </c>
      <c r="M18" s="99">
        <f>I18/G18</f>
        <v/>
      </c>
    </row>
    <row customHeight="1" ht="17" r="19" s="155">
      <c r="B19" s="115" t="inlineStr">
        <is>
          <t>si801173</t>
        </is>
      </c>
      <c r="C19" s="115" t="inlineStr">
        <is>
          <t>航空运输Ⅱ(申万)</t>
        </is>
      </c>
      <c r="D19" s="115" t="n">
        <v>2444.72</v>
      </c>
      <c r="E19" s="115" t="n">
        <v>-0.9</v>
      </c>
      <c r="F19" s="115" t="n">
        <v>24.02</v>
      </c>
      <c r="G19" s="115" t="n">
        <v>29.19</v>
      </c>
      <c r="H19" s="115" t="n">
        <v>0.57</v>
      </c>
      <c r="I19" s="115" t="n">
        <v>1.26</v>
      </c>
      <c r="J19" s="115" t="n">
        <v>0.11</v>
      </c>
      <c r="K19" s="116" t="n">
        <v>36529</v>
      </c>
      <c r="L19" s="132" t="inlineStr">
        <is>
          <t>查看基金</t>
        </is>
      </c>
      <c r="M19" s="99">
        <f>I19/G19</f>
        <v/>
      </c>
    </row>
    <row customHeight="1" ht="17" r="20" s="155">
      <c r="B20" s="115" t="inlineStr">
        <is>
          <t>si801176</t>
        </is>
      </c>
      <c r="C20" s="115" t="inlineStr">
        <is>
          <t>航运Ⅱ(申万)</t>
        </is>
      </c>
      <c r="D20" s="115" t="n">
        <v>1423.58</v>
      </c>
      <c r="E20" s="115" t="n">
        <v>1.69</v>
      </c>
      <c r="F20" s="115" t="n">
        <v>31.7</v>
      </c>
      <c r="G20" s="115" t="n">
        <v>66.72</v>
      </c>
      <c r="H20" s="115" t="n">
        <v>0.71</v>
      </c>
      <c r="I20" s="115" t="n">
        <v>1.62</v>
      </c>
      <c r="J20" s="115" t="n">
        <v>0.22</v>
      </c>
      <c r="K20" s="116" t="n">
        <v>36529</v>
      </c>
      <c r="L20" s="132" t="inlineStr">
        <is>
          <t>查看基金</t>
        </is>
      </c>
      <c r="M20" s="99">
        <f>I20/G20</f>
        <v/>
      </c>
    </row>
    <row customHeight="1" ht="17" r="21" s="155">
      <c r="B21" s="115" t="inlineStr">
        <is>
          <t>si801076</t>
        </is>
      </c>
      <c r="C21" s="115" t="inlineStr">
        <is>
          <t>运输设备Ⅱ(申万)</t>
        </is>
      </c>
      <c r="D21" s="115" t="n">
        <v>8918.459999999999</v>
      </c>
      <c r="E21" s="115" t="n">
        <v>-0.35</v>
      </c>
      <c r="F21" s="115" t="n">
        <v>8.75</v>
      </c>
      <c r="G21" s="115" t="n">
        <v>23.64</v>
      </c>
      <c r="H21" s="115" t="n">
        <v>0.25</v>
      </c>
      <c r="I21" s="115" t="n">
        <v>2.14</v>
      </c>
      <c r="J21" s="115" t="n">
        <v>0.25</v>
      </c>
      <c r="K21" s="116" t="n">
        <v>36529</v>
      </c>
      <c r="L21" s="132" t="inlineStr">
        <is>
          <t>查看基金</t>
        </is>
      </c>
      <c r="M21" s="99">
        <f>I21/G21</f>
        <v/>
      </c>
    </row>
    <row customHeight="1" ht="17" r="22" s="155">
      <c r="B22" s="115" t="inlineStr">
        <is>
          <t>si801177</t>
        </is>
      </c>
      <c r="C22" s="115" t="inlineStr">
        <is>
          <t>铁路运输Ⅱ(申万)</t>
        </is>
      </c>
      <c r="D22" s="115" t="n">
        <v>1298.54</v>
      </c>
      <c r="E22" s="115" t="n">
        <v>-0.12</v>
      </c>
      <c r="F22" s="115" t="n">
        <v>9.25</v>
      </c>
      <c r="G22" s="115" t="n">
        <v>11.57</v>
      </c>
      <c r="H22" s="115" t="n">
        <v>0.15</v>
      </c>
      <c r="I22" s="115" t="n">
        <v>1.25</v>
      </c>
      <c r="J22" s="115" t="n">
        <v>0.1</v>
      </c>
      <c r="K22" s="116" t="n">
        <v>36529</v>
      </c>
      <c r="L22" s="132" t="inlineStr">
        <is>
          <t>查看基金</t>
        </is>
      </c>
      <c r="M22" s="99">
        <f>I22/G22</f>
        <v/>
      </c>
    </row>
    <row customHeight="1" ht="17" r="23" s="155">
      <c r="B23" s="115" t="inlineStr">
        <is>
          <t>si801175</t>
        </is>
      </c>
      <c r="C23" s="115" t="inlineStr">
        <is>
          <t>高速公路Ⅱ(申万)</t>
        </is>
      </c>
      <c r="D23" s="115" t="n">
        <v>2149.49</v>
      </c>
      <c r="E23" s="115" t="n">
        <v>0.93</v>
      </c>
      <c r="F23" s="115" t="n">
        <v>22.9</v>
      </c>
      <c r="G23" s="115" t="n">
        <v>12.08</v>
      </c>
      <c r="H23" s="115" t="n">
        <v>0.16</v>
      </c>
      <c r="I23" s="115" t="n">
        <v>1.16</v>
      </c>
      <c r="J23" s="115" t="n">
        <v>0.17</v>
      </c>
      <c r="K23" s="116" t="n">
        <v>36529</v>
      </c>
      <c r="L23" s="132" t="inlineStr">
        <is>
          <t>查看基金</t>
        </is>
      </c>
      <c r="M23" s="99">
        <f>I23/G23</f>
        <v/>
      </c>
    </row>
    <row customHeight="1" ht="17" r="24" s="155">
      <c r="B24" s="115" t="inlineStr">
        <is>
          <t>si801743</t>
        </is>
      </c>
      <c r="C24" s="115" t="inlineStr">
        <is>
          <t>地面兵装Ⅱ(申万)</t>
        </is>
      </c>
      <c r="D24" s="115" t="n">
        <v>12678.69</v>
      </c>
      <c r="E24" s="115" t="n">
        <v>-1.01</v>
      </c>
      <c r="F24" s="115" t="n">
        <v>31.26</v>
      </c>
      <c r="G24" s="115" t="n">
        <v>58.91</v>
      </c>
      <c r="H24" s="115" t="n">
        <v>0.12</v>
      </c>
      <c r="I24" s="115" t="n">
        <v>3.04</v>
      </c>
      <c r="J24" s="115" t="n">
        <v>0.39</v>
      </c>
      <c r="K24" s="116" t="n">
        <v>36529</v>
      </c>
      <c r="L24" s="132" t="inlineStr">
        <is>
          <t>查看基金</t>
        </is>
      </c>
      <c r="M24" s="99">
        <f>I24/G24</f>
        <v/>
      </c>
    </row>
    <row customHeight="1" ht="17" r="25" s="155">
      <c r="B25" s="115" t="inlineStr">
        <is>
          <t>si801742</t>
        </is>
      </c>
      <c r="C25" s="115" t="inlineStr">
        <is>
          <t>航空装备Ⅱ(申万)</t>
        </is>
      </c>
      <c r="D25" s="115" t="n">
        <v>6316.19</v>
      </c>
      <c r="E25" s="115" t="n">
        <v>-1.41</v>
      </c>
      <c r="F25" s="115" t="n">
        <v>29.78</v>
      </c>
      <c r="G25" s="115" t="n">
        <v>60.87</v>
      </c>
      <c r="H25" s="115" t="n">
        <v>0.21</v>
      </c>
      <c r="I25" s="115" t="n">
        <v>2.92</v>
      </c>
      <c r="J25" s="115" t="n">
        <v>0.34</v>
      </c>
      <c r="K25" s="116" t="n">
        <v>36529</v>
      </c>
      <c r="L25" s="132" t="inlineStr">
        <is>
          <t>查看基金</t>
        </is>
      </c>
      <c r="M25" s="99">
        <f>I25/G25</f>
        <v/>
      </c>
    </row>
    <row customHeight="1" ht="17" r="26" s="155">
      <c r="B26" s="115" t="inlineStr">
        <is>
          <t>si801741</t>
        </is>
      </c>
      <c r="C26" s="115" t="inlineStr">
        <is>
          <t>航天装备Ⅱ(申万)</t>
        </is>
      </c>
      <c r="D26" s="115" t="n">
        <v>8411.6</v>
      </c>
      <c r="E26" s="115" t="n">
        <v>-1.41</v>
      </c>
      <c r="F26" s="115" t="n">
        <v>38.14</v>
      </c>
      <c r="G26" s="115" t="n">
        <v>61.06</v>
      </c>
      <c r="H26" s="115" t="n">
        <v>0.37</v>
      </c>
      <c r="I26" s="115" t="n">
        <v>2.99</v>
      </c>
      <c r="J26" s="115" t="n">
        <v>0.16</v>
      </c>
      <c r="K26" s="116" t="n">
        <v>39265</v>
      </c>
      <c r="L26" s="132" t="inlineStr">
        <is>
          <t>查看基金</t>
        </is>
      </c>
      <c r="M26" s="99">
        <f>I26/G26</f>
        <v/>
      </c>
    </row>
    <row customHeight="1" ht="17" r="27" s="155">
      <c r="B27" s="115" t="inlineStr">
        <is>
          <t>si801744</t>
        </is>
      </c>
      <c r="C27" s="115" t="inlineStr">
        <is>
          <t>船舶制造Ⅱ(申万)</t>
        </is>
      </c>
      <c r="D27" s="115" t="n">
        <v>2405.67</v>
      </c>
      <c r="E27" s="115" t="n">
        <v>0.31</v>
      </c>
      <c r="F27" s="115" t="n">
        <v>38.95</v>
      </c>
      <c r="G27" s="115" t="n">
        <v>146.92</v>
      </c>
      <c r="H27" s="115" t="n">
        <v>0.82</v>
      </c>
      <c r="I27" s="115" t="n">
        <v>1.68</v>
      </c>
      <c r="J27" s="115" t="n">
        <v>0.13</v>
      </c>
      <c r="K27" s="116" t="n">
        <v>39265</v>
      </c>
      <c r="L27" s="132" t="inlineStr">
        <is>
          <t>查看基金</t>
        </is>
      </c>
      <c r="M27" s="99">
        <f>I27/G27</f>
        <v/>
      </c>
    </row>
    <row customHeight="1" ht="17" r="28" s="155">
      <c r="B28" s="115" t="inlineStr">
        <is>
          <t>si801155</t>
        </is>
      </c>
      <c r="C28" s="115" t="inlineStr">
        <is>
          <t>中药Ⅱ(申万)</t>
        </is>
      </c>
      <c r="D28" s="115" t="n">
        <v>6706.07</v>
      </c>
      <c r="E28" s="115" t="n">
        <v>0.23</v>
      </c>
      <c r="F28" s="115" t="n">
        <v>23.8</v>
      </c>
      <c r="G28" s="115" t="n">
        <v>21.7</v>
      </c>
      <c r="H28" s="115" t="n">
        <v>0.02</v>
      </c>
      <c r="I28" s="115" t="n">
        <v>2.58</v>
      </c>
      <c r="J28" s="115" t="n">
        <v>0.15</v>
      </c>
      <c r="K28" s="116" t="n">
        <v>36529</v>
      </c>
      <c r="L28" s="132" t="inlineStr">
        <is>
          <t>查看基金</t>
        </is>
      </c>
      <c r="M28" s="99">
        <f>I28/G28</f>
        <v/>
      </c>
    </row>
    <row customHeight="1" ht="17" r="29" s="155">
      <c r="B29" s="115" t="inlineStr">
        <is>
          <t>si801156</t>
        </is>
      </c>
      <c r="C29" s="115" t="inlineStr">
        <is>
          <t>医疗服务Ⅱ(申万)</t>
        </is>
      </c>
      <c r="D29" s="115" t="n">
        <v>5414.77</v>
      </c>
      <c r="E29" s="115" t="n">
        <v>0.31</v>
      </c>
      <c r="F29" s="115" t="n">
        <v>32.97</v>
      </c>
      <c r="G29" s="115" t="n">
        <v>79.45</v>
      </c>
      <c r="H29" s="115" t="n">
        <v>0.41</v>
      </c>
      <c r="I29" s="115" t="n">
        <v>7.34</v>
      </c>
      <c r="J29" s="115" t="n">
        <v>0.55</v>
      </c>
      <c r="K29" s="116" t="n">
        <v>39265</v>
      </c>
      <c r="L29" s="132" t="inlineStr">
        <is>
          <t>查看基金</t>
        </is>
      </c>
      <c r="M29" s="99">
        <f>I29/G29</f>
        <v/>
      </c>
    </row>
    <row customHeight="1" ht="17" r="30" s="155">
      <c r="B30" s="115" t="inlineStr">
        <is>
          <t>si801153</t>
        </is>
      </c>
      <c r="C30" s="115" t="inlineStr">
        <is>
          <t>医疗器械Ⅱ(申万)</t>
        </is>
      </c>
      <c r="D30" s="115" t="n">
        <v>5208.21</v>
      </c>
      <c r="E30" s="115" t="n">
        <v>-0.38</v>
      </c>
      <c r="F30" s="115" t="n">
        <v>27.82</v>
      </c>
      <c r="G30" s="115" t="n">
        <v>53.2</v>
      </c>
      <c r="H30" s="115" t="n">
        <v>0.54</v>
      </c>
      <c r="I30" s="115" t="n">
        <v>4.18</v>
      </c>
      <c r="J30" s="115" t="n">
        <v>0.52</v>
      </c>
      <c r="K30" s="116" t="n">
        <v>36529</v>
      </c>
      <c r="L30" s="132" t="inlineStr">
        <is>
          <t>查看基金</t>
        </is>
      </c>
      <c r="M30" s="99">
        <f>I30/G30</f>
        <v/>
      </c>
    </row>
    <row customHeight="1" ht="17" r="31" s="155">
      <c r="B31" s="115" t="inlineStr">
        <is>
          <t>si801154</t>
        </is>
      </c>
      <c r="C31" s="115" t="inlineStr">
        <is>
          <t>医药商业Ⅱ(申万)</t>
        </is>
      </c>
      <c r="D31" s="115" t="n">
        <v>6820.1</v>
      </c>
      <c r="E31" s="115" t="n">
        <v>0.93</v>
      </c>
      <c r="F31" s="115" t="n">
        <v>24.68</v>
      </c>
      <c r="G31" s="115" t="n">
        <v>16.45</v>
      </c>
      <c r="H31" s="115" t="n">
        <v>0.01</v>
      </c>
      <c r="I31" s="115" t="n">
        <v>1.95</v>
      </c>
      <c r="J31" s="115" t="n">
        <v>0.12</v>
      </c>
      <c r="K31" s="116" t="n">
        <v>36529</v>
      </c>
      <c r="L31" s="132" t="inlineStr">
        <is>
          <t>查看基金</t>
        </is>
      </c>
      <c r="M31" s="99">
        <f>I31/G31</f>
        <v/>
      </c>
    </row>
    <row customHeight="1" ht="17" r="32" s="155">
      <c r="B32" s="115" t="inlineStr">
        <is>
          <t>si801152</t>
        </is>
      </c>
      <c r="C32" s="115" t="inlineStr">
        <is>
          <t>生物制品Ⅱ(申万)</t>
        </is>
      </c>
      <c r="D32" s="115" t="n">
        <v>7930.96</v>
      </c>
      <c r="E32" s="115" t="n">
        <v>-0.88</v>
      </c>
      <c r="F32" s="115" t="n">
        <v>28.17</v>
      </c>
      <c r="G32" s="115" t="n">
        <v>44.19</v>
      </c>
      <c r="H32" s="115" t="n">
        <v>0.36</v>
      </c>
      <c r="I32" s="115" t="n">
        <v>5.03</v>
      </c>
      <c r="J32" s="115" t="n">
        <v>0.45</v>
      </c>
      <c r="K32" s="116" t="n">
        <v>36529</v>
      </c>
      <c r="L32" s="132" t="inlineStr">
        <is>
          <t>查看基金</t>
        </is>
      </c>
      <c r="M32" s="99">
        <f>I32/G32</f>
        <v/>
      </c>
    </row>
    <row customHeight="1" ht="17" r="33" s="155">
      <c r="B33" s="115" t="inlineStr">
        <is>
          <t>si801151</t>
        </is>
      </c>
      <c r="C33" s="115" t="inlineStr">
        <is>
          <t>化学制药(申万)</t>
        </is>
      </c>
      <c r="D33" s="115" t="n">
        <v>8730.809999999999</v>
      </c>
      <c r="E33" s="115" t="n">
        <v>-0.05</v>
      </c>
      <c r="F33" s="115" t="n">
        <v>32.84</v>
      </c>
      <c r="G33" s="115" t="n">
        <v>31.3</v>
      </c>
      <c r="H33" s="115" t="n">
        <v>0.27</v>
      </c>
      <c r="I33" s="115" t="n">
        <v>3.21</v>
      </c>
      <c r="J33" s="115" t="n">
        <v>0.27</v>
      </c>
      <c r="K33" s="116" t="n">
        <v>36529</v>
      </c>
      <c r="L33" s="132" t="inlineStr">
        <is>
          <t>查看基金</t>
        </is>
      </c>
      <c r="M33" s="99">
        <f>I33/G33</f>
        <v/>
      </c>
    </row>
    <row customHeight="1" ht="17" r="34" s="155">
      <c r="B34" s="115" t="inlineStr">
        <is>
          <t>si801182</t>
        </is>
      </c>
      <c r="C34" s="115" t="inlineStr">
        <is>
          <t>园区开发Ⅱ(申万)</t>
        </is>
      </c>
      <c r="D34" s="115" t="n">
        <v>3176.33</v>
      </c>
      <c r="E34" s="115" t="n">
        <v>0.33</v>
      </c>
      <c r="F34" s="115" t="n">
        <v>50.39</v>
      </c>
      <c r="G34" s="115" t="n">
        <v>26.5</v>
      </c>
      <c r="H34" s="115" t="n">
        <v>0.23</v>
      </c>
      <c r="I34" s="115" t="n">
        <v>2.51</v>
      </c>
      <c r="J34" s="115" t="n">
        <v>0.48</v>
      </c>
      <c r="K34" s="116" t="n">
        <v>36529</v>
      </c>
      <c r="L34" s="132" t="inlineStr">
        <is>
          <t>查看基金</t>
        </is>
      </c>
      <c r="M34" s="99">
        <f>I34/G34</f>
        <v/>
      </c>
    </row>
    <row customHeight="1" ht="17" r="35" s="155">
      <c r="B35" s="115" t="inlineStr">
        <is>
          <t>si801181</t>
        </is>
      </c>
      <c r="C35" s="115" t="inlineStr">
        <is>
          <t>房地产开发Ⅱ(申万)</t>
        </is>
      </c>
      <c r="D35" s="115" t="n">
        <v>5265.12</v>
      </c>
      <c r="E35" s="115" t="n">
        <v>0.75</v>
      </c>
      <c r="F35" s="115" t="n">
        <v>29.71</v>
      </c>
      <c r="G35" s="115" t="n">
        <v>10.62</v>
      </c>
      <c r="H35" s="115" t="n">
        <v>0.04</v>
      </c>
      <c r="I35" s="115" t="n">
        <v>1.51</v>
      </c>
      <c r="J35" s="115" t="n">
        <v>0.07000000000000001</v>
      </c>
      <c r="K35" s="116" t="n">
        <v>36529</v>
      </c>
      <c r="L35" s="132" t="inlineStr">
        <is>
          <t>查看基金</t>
        </is>
      </c>
      <c r="M35" s="99">
        <f>I35/G35</f>
        <v/>
      </c>
    </row>
    <row customHeight="1" ht="17" r="36" s="155">
      <c r="B36" s="115" t="inlineStr">
        <is>
          <t>si801013</t>
        </is>
      </c>
      <c r="C36" s="115" t="inlineStr">
        <is>
          <t>农业综合Ⅱ(申万)</t>
        </is>
      </c>
      <c r="D36" s="115" t="n">
        <v>2194.31</v>
      </c>
      <c r="E36" s="115" t="n">
        <v>0.33</v>
      </c>
      <c r="F36" s="115" t="n">
        <v>47.23</v>
      </c>
      <c r="G36" s="115" t="n">
        <v>38.58</v>
      </c>
      <c r="H36" s="115" t="n">
        <v>0.24</v>
      </c>
      <c r="I36" s="115" t="n">
        <v>3.39</v>
      </c>
      <c r="J36" s="115" t="n">
        <v>0.43</v>
      </c>
      <c r="K36" s="116" t="n">
        <v>36529</v>
      </c>
      <c r="L36" s="132" t="inlineStr">
        <is>
          <t>查看基金</t>
        </is>
      </c>
      <c r="M36" s="99">
        <f>I36/G36</f>
        <v/>
      </c>
    </row>
    <row customHeight="1" ht="17" r="37" s="155">
      <c r="B37" s="115" t="inlineStr">
        <is>
          <t>si801012</t>
        </is>
      </c>
      <c r="C37" s="115" t="inlineStr">
        <is>
          <t>农产品加工(申万)</t>
        </is>
      </c>
      <c r="D37" s="115" t="n">
        <v>2089.05</v>
      </c>
      <c r="E37" s="115" t="n">
        <v>0.89</v>
      </c>
      <c r="F37" s="115" t="n">
        <v>26.13</v>
      </c>
      <c r="G37" s="115" t="n">
        <v>28.29</v>
      </c>
      <c r="H37" s="115" t="n">
        <v>0.09</v>
      </c>
      <c r="I37" s="115" t="n">
        <v>2.43</v>
      </c>
      <c r="J37" s="115" t="n">
        <v>0.29</v>
      </c>
      <c r="K37" s="116" t="n">
        <v>36529</v>
      </c>
      <c r="L37" s="132" t="inlineStr">
        <is>
          <t>查看基金</t>
        </is>
      </c>
      <c r="M37" s="99">
        <f>I37/G37</f>
        <v/>
      </c>
    </row>
    <row customHeight="1" ht="17" r="38" s="155">
      <c r="B38" s="115" t="inlineStr">
        <is>
          <t>si801018</t>
        </is>
      </c>
      <c r="C38" s="115" t="inlineStr">
        <is>
          <t>动物保健Ⅱ(申万)</t>
        </is>
      </c>
      <c r="D38" s="115" t="n">
        <v>5778.81</v>
      </c>
      <c r="E38" s="115" t="n">
        <v>0.65</v>
      </c>
      <c r="F38" s="115" t="n">
        <v>19.44</v>
      </c>
      <c r="G38" s="115" t="n">
        <v>25.88</v>
      </c>
      <c r="H38" s="115" t="n">
        <v>0.19</v>
      </c>
      <c r="I38" s="115" t="n">
        <v>3.13</v>
      </c>
      <c r="J38" s="115" t="n">
        <v>0.32</v>
      </c>
      <c r="K38" s="116" t="n">
        <v>36529</v>
      </c>
      <c r="L38" s="132" t="inlineStr">
        <is>
          <t>查看基金</t>
        </is>
      </c>
      <c r="M38" s="99">
        <f>I38/G38</f>
        <v/>
      </c>
    </row>
    <row customHeight="1" ht="17" r="39" s="155">
      <c r="B39" s="115" t="inlineStr">
        <is>
          <t>si801011</t>
        </is>
      </c>
      <c r="C39" s="115" t="inlineStr">
        <is>
          <t>林业Ⅱ(申万)</t>
        </is>
      </c>
      <c r="D39" s="115" t="n">
        <v>1620.3</v>
      </c>
      <c r="E39" s="115" t="n">
        <v>-0.84</v>
      </c>
      <c r="F39" s="115" t="n">
        <v>40.6</v>
      </c>
      <c r="G39" s="115" t="n">
        <v>83.48</v>
      </c>
      <c r="H39" s="115" t="n">
        <v>0.51</v>
      </c>
      <c r="I39" s="115" t="n">
        <v>2.89</v>
      </c>
      <c r="J39" s="115" t="n">
        <v>0.38</v>
      </c>
      <c r="K39" s="116" t="n">
        <v>36529</v>
      </c>
      <c r="L39" s="132" t="inlineStr">
        <is>
          <t>查看基金</t>
        </is>
      </c>
      <c r="M39" s="99">
        <f>I39/G39</f>
        <v/>
      </c>
    </row>
    <row customHeight="1" ht="17" r="40" s="155">
      <c r="B40" s="115" t="inlineStr">
        <is>
          <t>si801015</t>
        </is>
      </c>
      <c r="C40" s="115" t="inlineStr">
        <is>
          <t>渔业(申万)</t>
        </is>
      </c>
      <c r="D40" s="115" t="n">
        <v>1119.33</v>
      </c>
      <c r="E40" s="115" t="n">
        <v>0.58</v>
      </c>
      <c r="F40" s="115" t="n">
        <v>24.65</v>
      </c>
      <c r="G40" s="115" t="n">
        <v>37.35</v>
      </c>
      <c r="H40" s="115" t="n">
        <v>0.18</v>
      </c>
      <c r="I40" s="115" t="n">
        <v>1.9</v>
      </c>
      <c r="J40" s="115" t="n">
        <v>0.15</v>
      </c>
      <c r="K40" s="116" t="n">
        <v>36529</v>
      </c>
      <c r="L40" s="132" t="inlineStr">
        <is>
          <t>查看基金</t>
        </is>
      </c>
      <c r="M40" s="99">
        <f>I40/G40</f>
        <v/>
      </c>
    </row>
    <row customHeight="1" ht="17" r="41" s="155">
      <c r="B41" s="115" t="inlineStr">
        <is>
          <t>si801017</t>
        </is>
      </c>
      <c r="C41" s="115" t="inlineStr">
        <is>
          <t>畜禽养殖Ⅱ(申万)</t>
        </is>
      </c>
      <c r="D41" s="115" t="n">
        <v>4497.22</v>
      </c>
      <c r="E41" s="115" t="n">
        <v>-4.38</v>
      </c>
      <c r="F41" s="115" t="n">
        <v>57.2</v>
      </c>
      <c r="G41" s="115" t="n">
        <v>42.95</v>
      </c>
      <c r="H41" s="115" t="n">
        <v>0.39</v>
      </c>
      <c r="I41" s="115" t="n">
        <v>5.37</v>
      </c>
      <c r="J41" s="115" t="n">
        <v>0.92</v>
      </c>
      <c r="K41" s="116" t="n">
        <v>36529</v>
      </c>
      <c r="L41" s="132" t="inlineStr">
        <is>
          <t>查看基金</t>
        </is>
      </c>
      <c r="M41" s="99">
        <f>I41/G41</f>
        <v/>
      </c>
    </row>
    <row customHeight="1" ht="17" r="42" s="155">
      <c r="B42" s="115" t="inlineStr">
        <is>
          <t>si801016</t>
        </is>
      </c>
      <c r="C42" s="115" t="inlineStr">
        <is>
          <t>种植业(申万)</t>
        </is>
      </c>
      <c r="D42" s="115" t="n">
        <v>2285.19</v>
      </c>
      <c r="E42" s="115" t="n">
        <v>1.05</v>
      </c>
      <c r="F42" s="115" t="n">
        <v>20.93</v>
      </c>
      <c r="G42" s="115" t="n">
        <v>40.3</v>
      </c>
      <c r="H42" s="115" t="n">
        <v>0.18</v>
      </c>
      <c r="I42" s="115" t="n">
        <v>2.37</v>
      </c>
      <c r="J42" s="115" t="n">
        <v>0.19</v>
      </c>
      <c r="K42" s="116" t="n">
        <v>36529</v>
      </c>
      <c r="L42" s="132" t="inlineStr">
        <is>
          <t>查看基金</t>
        </is>
      </c>
      <c r="M42" s="99">
        <f>I42/G42</f>
        <v/>
      </c>
    </row>
    <row customHeight="1" ht="17" r="43" s="155">
      <c r="B43" s="115" t="inlineStr">
        <is>
          <t>si801014</t>
        </is>
      </c>
      <c r="C43" s="115" t="inlineStr">
        <is>
          <t>饲料Ⅱ(申万)</t>
        </is>
      </c>
      <c r="D43" s="115" t="n">
        <v>4956.52</v>
      </c>
      <c r="E43" s="115" t="n">
        <v>-3.73</v>
      </c>
      <c r="F43" s="115" t="n">
        <v>67.64</v>
      </c>
      <c r="G43" s="115" t="n">
        <v>35.04</v>
      </c>
      <c r="H43" s="115" t="n">
        <v>0.43</v>
      </c>
      <c r="I43" s="115" t="n">
        <v>3.5</v>
      </c>
      <c r="J43" s="115" t="n">
        <v>0.5600000000000001</v>
      </c>
      <c r="K43" s="116" t="n">
        <v>36529</v>
      </c>
      <c r="L43" s="132" t="inlineStr">
        <is>
          <t>查看基金</t>
        </is>
      </c>
      <c r="M43" s="99">
        <f>I43/G43</f>
        <v/>
      </c>
    </row>
    <row customHeight="1" ht="17" r="44" s="155">
      <c r="B44" s="115" t="inlineStr">
        <is>
          <t>si801205</t>
        </is>
      </c>
      <c r="C44" s="115" t="inlineStr">
        <is>
          <t>商业物业经营(申万)</t>
        </is>
      </c>
      <c r="D44" s="115" t="n">
        <v>864.3</v>
      </c>
      <c r="E44" s="115" t="n">
        <v>-0.24</v>
      </c>
      <c r="F44" s="115" t="n">
        <v>27.3</v>
      </c>
      <c r="G44" s="115" t="n">
        <v>15.89</v>
      </c>
      <c r="H44" s="115" t="n">
        <v>0.08</v>
      </c>
      <c r="I44" s="115" t="n">
        <v>1.66</v>
      </c>
      <c r="J44" s="115" t="n">
        <v>0.06</v>
      </c>
      <c r="K44" s="116" t="n">
        <v>39265</v>
      </c>
      <c r="L44" s="132" t="inlineStr">
        <is>
          <t>查看基金</t>
        </is>
      </c>
      <c r="M44" s="99">
        <f>I44/G44</f>
        <v/>
      </c>
    </row>
    <row customHeight="1" ht="17" r="45" s="155">
      <c r="B45" s="115" t="inlineStr">
        <is>
          <t>si801202</t>
        </is>
      </c>
      <c r="C45" s="115" t="inlineStr">
        <is>
          <t>贸易Ⅱ(申万)</t>
        </is>
      </c>
      <c r="D45" s="115" t="n">
        <v>4363.21</v>
      </c>
      <c r="E45" s="115" t="n">
        <v>0.18</v>
      </c>
      <c r="F45" s="115" t="n">
        <v>32.9</v>
      </c>
      <c r="G45" s="115" t="n">
        <v>17.2</v>
      </c>
      <c r="H45" s="115" t="n">
        <v>0.17</v>
      </c>
      <c r="I45" s="115" t="n">
        <v>1.33</v>
      </c>
      <c r="J45" s="115" t="n">
        <v>0.04</v>
      </c>
      <c r="K45" s="116" t="n">
        <v>36529</v>
      </c>
      <c r="L45" s="132" t="inlineStr">
        <is>
          <t>查看基金</t>
        </is>
      </c>
      <c r="M45" s="99">
        <f>I45/G45</f>
        <v/>
      </c>
    </row>
    <row customHeight="1" ht="17" r="46" s="155">
      <c r="B46" s="115" t="inlineStr">
        <is>
          <t>si801112</t>
        </is>
      </c>
      <c r="C46" s="115" t="inlineStr">
        <is>
          <t>视听器材(申万)</t>
        </is>
      </c>
      <c r="D46" s="115" t="n">
        <v>1237.93</v>
      </c>
      <c r="E46" s="115" t="n">
        <v>-0.67</v>
      </c>
      <c r="F46" s="115" t="n">
        <v>51.3</v>
      </c>
      <c r="G46" s="115" t="n">
        <v>15.4</v>
      </c>
      <c r="H46" s="115" t="n">
        <v>0.04</v>
      </c>
      <c r="I46" s="115" t="n">
        <v>1.73</v>
      </c>
      <c r="J46" s="115" t="n">
        <v>0.44</v>
      </c>
      <c r="K46" s="116" t="n">
        <v>36529</v>
      </c>
      <c r="L46" s="132" t="inlineStr">
        <is>
          <t>查看基金</t>
        </is>
      </c>
      <c r="M46" s="99">
        <f>I46/G46</f>
        <v/>
      </c>
    </row>
    <row customHeight="1" ht="17" r="47" s="155">
      <c r="B47" s="115" t="inlineStr">
        <is>
          <t>si801111</t>
        </is>
      </c>
      <c r="C47" s="115" t="inlineStr">
        <is>
          <t>白色家电(申万)</t>
        </is>
      </c>
      <c r="D47" s="115" t="n">
        <v>14166.1</v>
      </c>
      <c r="E47" s="115" t="n">
        <v>-1.02</v>
      </c>
      <c r="F47" s="115" t="n">
        <v>30.63</v>
      </c>
      <c r="G47" s="115" t="n">
        <v>13.78</v>
      </c>
      <c r="H47" s="115" t="n">
        <v>0.21</v>
      </c>
      <c r="I47" s="115" t="n">
        <v>3.3</v>
      </c>
      <c r="J47" s="115" t="n">
        <v>0.57</v>
      </c>
      <c r="K47" s="116" t="n">
        <v>36529</v>
      </c>
      <c r="L47" s="132" t="inlineStr">
        <is>
          <t>查看基金</t>
        </is>
      </c>
      <c r="M47" s="99">
        <f>I47/G47</f>
        <v/>
      </c>
    </row>
    <row customHeight="1" ht="17" r="48" s="155">
      <c r="B48" s="115" t="inlineStr">
        <is>
          <t>si801094</t>
        </is>
      </c>
      <c r="C48" s="115" t="inlineStr">
        <is>
          <t>汽车整车(申万)</t>
        </is>
      </c>
      <c r="D48" s="115" t="n">
        <v>4733.46</v>
      </c>
      <c r="E48" s="115" t="n">
        <v>-0.18</v>
      </c>
      <c r="F48" s="115" t="n">
        <v>11.97</v>
      </c>
      <c r="G48" s="115" t="n">
        <v>15.09</v>
      </c>
      <c r="H48" s="115" t="n">
        <v>0.39</v>
      </c>
      <c r="I48" s="115" t="n">
        <v>1.47</v>
      </c>
      <c r="J48" s="115" t="n">
        <v>0.1</v>
      </c>
      <c r="K48" s="116" t="n">
        <v>36529</v>
      </c>
      <c r="L48" s="132" t="inlineStr">
        <is>
          <t>查看基金</t>
        </is>
      </c>
      <c r="M48" s="99">
        <f>I48/G48</f>
        <v/>
      </c>
    </row>
    <row customHeight="1" ht="17" r="49" s="155">
      <c r="B49" s="115" t="inlineStr">
        <is>
          <t>si801093</t>
        </is>
      </c>
      <c r="C49" s="115" t="inlineStr">
        <is>
          <t>汽车零部件Ⅱ(申万)</t>
        </is>
      </c>
      <c r="D49" s="115" t="n">
        <v>4718.29</v>
      </c>
      <c r="E49" s="115" t="n">
        <v>0.21</v>
      </c>
      <c r="F49" s="115" t="n">
        <v>25.29</v>
      </c>
      <c r="G49" s="115" t="n">
        <v>16.12</v>
      </c>
      <c r="H49" s="115" t="n">
        <v>0.13</v>
      </c>
      <c r="I49" s="115" t="n">
        <v>1.9</v>
      </c>
      <c r="J49" s="115" t="n">
        <v>0.16</v>
      </c>
      <c r="K49" s="116" t="n">
        <v>36529</v>
      </c>
      <c r="L49" s="132" t="inlineStr">
        <is>
          <t>查看基金</t>
        </is>
      </c>
      <c r="M49" s="99">
        <f>I49/G49</f>
        <v/>
      </c>
    </row>
    <row customHeight="1" ht="17" r="50" s="155">
      <c r="B50" s="115" t="inlineStr">
        <is>
          <t>si801092</t>
        </is>
      </c>
      <c r="C50" s="115" t="inlineStr">
        <is>
          <t>汽车服务Ⅱ(申万)</t>
        </is>
      </c>
      <c r="D50" s="115" t="n">
        <v>1058.24</v>
      </c>
      <c r="E50" s="115" t="n">
        <v>0.27</v>
      </c>
      <c r="F50" s="115" t="n">
        <v>34.26</v>
      </c>
      <c r="G50" s="115" t="n">
        <v>26.64</v>
      </c>
      <c r="H50" s="115" t="n">
        <v>0.11</v>
      </c>
      <c r="I50" s="115" t="n">
        <v>1.63</v>
      </c>
      <c r="J50" s="115" t="n">
        <v>0.1</v>
      </c>
      <c r="K50" s="116" t="n">
        <v>36529</v>
      </c>
      <c r="L50" s="132" t="inlineStr">
        <is>
          <t>查看基金</t>
        </is>
      </c>
      <c r="M50" s="99">
        <f>I50/G50</f>
        <v/>
      </c>
    </row>
    <row customHeight="1" ht="17" r="51" s="155">
      <c r="B51" s="115" t="inlineStr">
        <is>
          <t>si801132</t>
        </is>
      </c>
      <c r="C51" s="115" t="inlineStr">
        <is>
          <t>服装家纺(申万)</t>
        </is>
      </c>
      <c r="D51" s="115" t="n">
        <v>2093.08</v>
      </c>
      <c r="E51" s="115" t="n">
        <v>-0.35</v>
      </c>
      <c r="F51" s="115" t="n">
        <v>21.41</v>
      </c>
      <c r="G51" s="115" t="n">
        <v>27.38</v>
      </c>
      <c r="H51" s="115" t="n">
        <v>0.47</v>
      </c>
      <c r="I51" s="115" t="n">
        <v>2.16</v>
      </c>
      <c r="J51" s="115" t="n">
        <v>0.3</v>
      </c>
      <c r="K51" s="116" t="n">
        <v>36529</v>
      </c>
      <c r="L51" s="132" t="inlineStr">
        <is>
          <t>查看基金</t>
        </is>
      </c>
      <c r="M51" s="99">
        <f>I51/G51</f>
        <v/>
      </c>
    </row>
    <row customHeight="1" ht="17" r="52" s="155">
      <c r="B52" s="115" t="inlineStr">
        <is>
          <t>si801131</t>
        </is>
      </c>
      <c r="C52" s="115" t="inlineStr">
        <is>
          <t>纺织制造(申万)</t>
        </is>
      </c>
      <c r="D52" s="115" t="n">
        <v>2382.98</v>
      </c>
      <c r="E52" s="115" t="n">
        <v>0.7</v>
      </c>
      <c r="F52" s="115" t="n">
        <v>24.71</v>
      </c>
      <c r="G52" s="115" t="n">
        <v>19.56</v>
      </c>
      <c r="H52" s="115" t="n">
        <v>0.03</v>
      </c>
      <c r="I52" s="115" t="n">
        <v>1.59</v>
      </c>
      <c r="J52" s="115" t="n">
        <v>0.11</v>
      </c>
      <c r="K52" s="116" t="n">
        <v>36529</v>
      </c>
      <c r="L52" s="132" t="inlineStr">
        <is>
          <t>查看基金</t>
        </is>
      </c>
      <c r="M52" s="99">
        <f>I52/G52</f>
        <v/>
      </c>
    </row>
    <row customHeight="1" ht="17" r="53" s="155">
      <c r="B53" s="115" t="inlineStr">
        <is>
          <t>si801123</t>
        </is>
      </c>
      <c r="C53" s="115" t="inlineStr">
        <is>
          <t>饮料制造(申万)</t>
        </is>
      </c>
      <c r="D53" s="115" t="n">
        <v>15155.17</v>
      </c>
      <c r="E53" s="115" t="n">
        <v>0.23</v>
      </c>
      <c r="F53" s="115" t="n">
        <v>41.7</v>
      </c>
      <c r="G53" s="115" t="n">
        <v>28.24</v>
      </c>
      <c r="H53" s="115" t="n">
        <v>0.3</v>
      </c>
      <c r="I53" s="115" t="n">
        <v>5.56</v>
      </c>
      <c r="J53" s="115" t="n">
        <v>0.67</v>
      </c>
      <c r="K53" s="116" t="n">
        <v>36529</v>
      </c>
      <c r="L53" s="132" t="inlineStr">
        <is>
          <t>查看基金</t>
        </is>
      </c>
      <c r="M53" s="99">
        <f>I53/G53</f>
        <v/>
      </c>
    </row>
    <row customHeight="1" ht="17" r="54" s="155">
      <c r="B54" s="115" t="inlineStr">
        <is>
          <t>si801204</t>
        </is>
      </c>
      <c r="C54" s="115" t="inlineStr">
        <is>
          <t>专业零售(申万)</t>
        </is>
      </c>
      <c r="D54" s="115" t="inlineStr">
        <is>
          <t>---</t>
        </is>
      </c>
      <c r="E54" s="115" t="inlineStr">
        <is>
          <t>---</t>
        </is>
      </c>
      <c r="F54" s="115" t="inlineStr">
        <is>
          <t>---</t>
        </is>
      </c>
      <c r="G54" s="115" t="n">
        <v>50.65</v>
      </c>
      <c r="H54" s="115" t="n">
        <v>0.76</v>
      </c>
      <c r="I54" s="115" t="n">
        <v>2.13</v>
      </c>
      <c r="J54" s="115" t="n">
        <v>0.27</v>
      </c>
      <c r="K54" s="116" t="n">
        <v>36529</v>
      </c>
      <c r="L54" s="132" t="inlineStr">
        <is>
          <t>查看基金</t>
        </is>
      </c>
      <c r="M54" s="99">
        <f>I54/G54</f>
        <v/>
      </c>
    </row>
    <row customHeight="1" ht="17" r="55" s="155">
      <c r="B55" s="115" t="inlineStr">
        <is>
          <t>si801203</t>
        </is>
      </c>
      <c r="C55" s="115" t="inlineStr">
        <is>
          <t>一般零售(申万)</t>
        </is>
      </c>
      <c r="D55" s="115" t="n">
        <v>4121.52</v>
      </c>
      <c r="E55" s="115" t="n">
        <v>0.25</v>
      </c>
      <c r="F55" s="115" t="n">
        <v>23.69</v>
      </c>
      <c r="G55" s="115" t="n">
        <v>20.87</v>
      </c>
      <c r="H55" s="115" t="n">
        <v>0.16</v>
      </c>
      <c r="I55" s="115" t="n">
        <v>1.83</v>
      </c>
      <c r="J55" s="115" t="n">
        <v>0.1</v>
      </c>
      <c r="K55" s="116" t="n">
        <v>36529</v>
      </c>
      <c r="L55" s="132" t="inlineStr">
        <is>
          <t>查看基金</t>
        </is>
      </c>
      <c r="M55" s="99">
        <f>I55/G55</f>
        <v/>
      </c>
    </row>
    <row customHeight="1" ht="17" r="56" s="155">
      <c r="B56" s="115" t="inlineStr">
        <is>
          <t>si801124</t>
        </is>
      </c>
      <c r="C56" s="115" t="inlineStr">
        <is>
          <t>食品加工(申万)</t>
        </is>
      </c>
      <c r="D56" s="115" t="n">
        <v>14055.3</v>
      </c>
      <c r="E56" s="115" t="n">
        <v>0.17</v>
      </c>
      <c r="F56" s="115" t="n">
        <v>21.66</v>
      </c>
      <c r="G56" s="115" t="n">
        <v>28.34</v>
      </c>
      <c r="H56" s="115" t="n">
        <v>0.2</v>
      </c>
      <c r="I56" s="115" t="n">
        <v>4.52</v>
      </c>
      <c r="J56" s="115" t="n">
        <v>0.53</v>
      </c>
      <c r="K56" s="116" t="n">
        <v>36529</v>
      </c>
      <c r="L56" s="132" t="inlineStr">
        <is>
          <t>查看基金</t>
        </is>
      </c>
      <c r="M56" s="99">
        <f>I56/G56</f>
        <v/>
      </c>
    </row>
    <row customHeight="1" ht="17" r="57" s="155">
      <c r="B57" s="115" t="inlineStr">
        <is>
          <t>si801725</t>
        </is>
      </c>
      <c r="C57" s="115" t="inlineStr">
        <is>
          <t>园林工程Ⅱ(申万)</t>
        </is>
      </c>
      <c r="D57" s="115" t="n">
        <v>7769.53</v>
      </c>
      <c r="E57" s="115" t="n">
        <v>0.76</v>
      </c>
      <c r="F57" s="115" t="n">
        <v>25.12</v>
      </c>
      <c r="G57" s="115" t="n">
        <v>18.12</v>
      </c>
      <c r="H57" s="115" t="n">
        <v>0.05</v>
      </c>
      <c r="I57" s="115" t="n">
        <v>1.91</v>
      </c>
      <c r="J57" s="115" t="n">
        <v>0.04</v>
      </c>
      <c r="K57" s="116" t="n">
        <v>40147</v>
      </c>
      <c r="L57" s="132" t="inlineStr">
        <is>
          <t>查看基金</t>
        </is>
      </c>
      <c r="M57" s="99">
        <f>I57/G57</f>
        <v/>
      </c>
    </row>
    <row customHeight="1" ht="17" r="58" s="155">
      <c r="B58" s="115" t="inlineStr">
        <is>
          <t>si801724</t>
        </is>
      </c>
      <c r="C58" s="115" t="inlineStr">
        <is>
          <t>专业工程(申万)</t>
        </is>
      </c>
      <c r="D58" s="115" t="n">
        <v>1795.17</v>
      </c>
      <c r="E58" s="115" t="n">
        <v>0.62</v>
      </c>
      <c r="F58" s="115" t="n">
        <v>28.43</v>
      </c>
      <c r="G58" s="115" t="n">
        <v>14.42</v>
      </c>
      <c r="H58" s="115" t="n">
        <v>0.06</v>
      </c>
      <c r="I58" s="115" t="n">
        <v>1.35</v>
      </c>
      <c r="J58" s="115" t="n">
        <v>0.06</v>
      </c>
      <c r="K58" s="116" t="n">
        <v>40826</v>
      </c>
      <c r="L58" s="132" t="inlineStr">
        <is>
          <t>查看基金</t>
        </is>
      </c>
      <c r="M58" s="99">
        <f>I58/G58</f>
        <v/>
      </c>
    </row>
    <row customHeight="1" ht="17" r="59" s="155">
      <c r="B59" s="115" t="inlineStr">
        <is>
          <t>si801723</t>
        </is>
      </c>
      <c r="C59" s="115" t="inlineStr">
        <is>
          <t>基础建设(申万)</t>
        </is>
      </c>
      <c r="D59" s="115" t="n">
        <v>2746.13</v>
      </c>
      <c r="E59" s="115" t="n">
        <v>-0.01</v>
      </c>
      <c r="F59" s="115" t="n">
        <v>16.9</v>
      </c>
      <c r="G59" s="115" t="n">
        <v>11.09</v>
      </c>
      <c r="H59" s="115" t="n">
        <v>0.32</v>
      </c>
      <c r="I59" s="115" t="n">
        <v>1.17</v>
      </c>
      <c r="J59" s="115" t="n">
        <v>0.3</v>
      </c>
      <c r="K59" s="116" t="n">
        <v>40826</v>
      </c>
      <c r="L59" s="132" t="inlineStr">
        <is>
          <t>查看基金</t>
        </is>
      </c>
      <c r="M59" s="99">
        <f>I59/G59</f>
        <v/>
      </c>
    </row>
    <row customHeight="1" ht="17" r="60" s="155">
      <c r="B60" s="115" t="inlineStr">
        <is>
          <t>si801711</t>
        </is>
      </c>
      <c r="C60" s="115" t="inlineStr">
        <is>
          <t>水泥制造Ⅱ(申万)</t>
        </is>
      </c>
      <c r="D60" s="115" t="n">
        <v>6876.71</v>
      </c>
      <c r="E60" s="115" t="n">
        <v>1.98</v>
      </c>
      <c r="F60" s="115" t="n">
        <v>30.55</v>
      </c>
      <c r="G60" s="115" t="n">
        <v>9.4</v>
      </c>
      <c r="H60" s="115" t="n">
        <v>0.02</v>
      </c>
      <c r="I60" s="115" t="n">
        <v>1.69</v>
      </c>
      <c r="J60" s="115" t="n">
        <v>0.28</v>
      </c>
      <c r="K60" s="116" t="n">
        <v>36529</v>
      </c>
      <c r="L60" s="132" t="inlineStr">
        <is>
          <t>查看基金</t>
        </is>
      </c>
      <c r="M60" s="99">
        <f>I60/G60</f>
        <v/>
      </c>
    </row>
    <row customHeight="1" ht="17" r="61" s="155">
      <c r="B61" s="115" t="inlineStr">
        <is>
          <t>si801712</t>
        </is>
      </c>
      <c r="C61" s="115" t="inlineStr">
        <is>
          <t>玻璃制造Ⅱ(申万)</t>
        </is>
      </c>
      <c r="D61" s="115" t="n">
        <v>4877.58</v>
      </c>
      <c r="E61" s="115" t="n">
        <v>0.6</v>
      </c>
      <c r="F61" s="115" t="n">
        <v>37.14</v>
      </c>
      <c r="G61" s="115" t="n">
        <v>21.71</v>
      </c>
      <c r="H61" s="115" t="n">
        <v>0.16</v>
      </c>
      <c r="I61" s="115" t="n">
        <v>1.8</v>
      </c>
      <c r="J61" s="115" t="n">
        <v>0.05</v>
      </c>
      <c r="K61" s="116" t="n">
        <v>36529</v>
      </c>
      <c r="L61" s="132" t="inlineStr">
        <is>
          <t>查看基金</t>
        </is>
      </c>
      <c r="M61" s="99">
        <f>I61/G61</f>
        <v/>
      </c>
    </row>
    <row customHeight="1" ht="17" r="62" s="155">
      <c r="B62" s="115" t="inlineStr">
        <is>
          <t>si801713</t>
        </is>
      </c>
      <c r="C62" s="115" t="inlineStr">
        <is>
          <t>其他建材Ⅱ(申万)</t>
        </is>
      </c>
      <c r="D62" s="115" t="n">
        <v>5311.94</v>
      </c>
      <c r="E62" s="115" t="n">
        <v>1.1</v>
      </c>
      <c r="F62" s="115" t="n">
        <v>36.11</v>
      </c>
      <c r="G62" s="115" t="n">
        <v>25.17</v>
      </c>
      <c r="H62" s="115" t="n">
        <v>0.14</v>
      </c>
      <c r="I62" s="115" t="n">
        <v>2.67</v>
      </c>
      <c r="J62" s="115" t="n">
        <v>0.32</v>
      </c>
      <c r="K62" s="116" t="n">
        <v>36529</v>
      </c>
      <c r="L62" s="132" t="inlineStr">
        <is>
          <t>查看基金</t>
        </is>
      </c>
      <c r="M62" s="99">
        <f>I62/G62</f>
        <v/>
      </c>
    </row>
    <row customHeight="1" ht="17" r="63" s="155">
      <c r="B63" s="115" t="inlineStr">
        <is>
          <t>si801721</t>
        </is>
      </c>
      <c r="C63" s="115" t="inlineStr">
        <is>
          <t>房屋建设Ⅱ(申万)</t>
        </is>
      </c>
      <c r="D63" s="115" t="n">
        <v>3953.41</v>
      </c>
      <c r="E63" s="115" t="n">
        <v>-0.44</v>
      </c>
      <c r="F63" s="115" t="n">
        <v>15.67</v>
      </c>
      <c r="G63" s="115" t="n">
        <v>9.57</v>
      </c>
      <c r="H63" s="115" t="n">
        <v>0.73</v>
      </c>
      <c r="I63" s="115" t="n">
        <v>1.26</v>
      </c>
      <c r="J63" s="115" t="n">
        <v>0.63</v>
      </c>
      <c r="K63" s="116" t="n">
        <v>40826</v>
      </c>
      <c r="L63" s="132" t="inlineStr">
        <is>
          <t>查看基金</t>
        </is>
      </c>
      <c r="M63" s="99">
        <f>I63/G63</f>
        <v/>
      </c>
    </row>
    <row customHeight="1" ht="17" r="64" s="155">
      <c r="B64" s="115" t="inlineStr">
        <is>
          <t>si801074</t>
        </is>
      </c>
      <c r="C64" s="115" t="inlineStr">
        <is>
          <t>专用设备(申万)</t>
        </is>
      </c>
      <c r="D64" s="115" t="n">
        <v>5806.86</v>
      </c>
      <c r="E64" s="115" t="n">
        <v>0.31</v>
      </c>
      <c r="F64" s="115" t="n">
        <v>36.29</v>
      </c>
      <c r="G64" s="115" t="n">
        <v>30.09</v>
      </c>
      <c r="H64" s="115" t="n">
        <v>0.44</v>
      </c>
      <c r="I64" s="115" t="n">
        <v>2.03</v>
      </c>
      <c r="J64" s="115" t="n">
        <v>0.19</v>
      </c>
      <c r="K64" s="116" t="n">
        <v>36529</v>
      </c>
      <c r="L64" s="132" t="inlineStr">
        <is>
          <t>查看基金</t>
        </is>
      </c>
      <c r="M64" s="99">
        <f>I64/G64</f>
        <v/>
      </c>
    </row>
    <row customHeight="1" ht="17" r="65" s="155">
      <c r="B65" s="115" t="inlineStr">
        <is>
          <t>si801072</t>
        </is>
      </c>
      <c r="C65" s="115" t="inlineStr">
        <is>
          <t>通用机械(申万)</t>
        </is>
      </c>
      <c r="D65" s="115" t="n">
        <v>3921.81</v>
      </c>
      <c r="E65" s="115" t="n">
        <v>0.37</v>
      </c>
      <c r="F65" s="115" t="n">
        <v>36.77</v>
      </c>
      <c r="G65" s="115" t="n">
        <v>39.42</v>
      </c>
      <c r="H65" s="115" t="n">
        <v>0.34</v>
      </c>
      <c r="I65" s="115" t="n">
        <v>2.58</v>
      </c>
      <c r="J65" s="115" t="n">
        <v>0.3</v>
      </c>
      <c r="K65" s="116" t="n">
        <v>36529</v>
      </c>
      <c r="L65" s="132" t="inlineStr">
        <is>
          <t>查看基金</t>
        </is>
      </c>
      <c r="M65" s="99">
        <f>I65/G65</f>
        <v/>
      </c>
    </row>
    <row customHeight="1" ht="17" r="66" s="155">
      <c r="B66" s="115" t="inlineStr">
        <is>
          <t>si801722</t>
        </is>
      </c>
      <c r="C66" s="115" t="inlineStr">
        <is>
          <t>装修装饰Ⅱ(申万)</t>
        </is>
      </c>
      <c r="D66" s="115" t="n">
        <v>7447.38</v>
      </c>
      <c r="E66" s="115" t="n">
        <v>-1</v>
      </c>
      <c r="F66" s="115" t="n">
        <v>25.74</v>
      </c>
      <c r="G66" s="115" t="n">
        <v>20.16</v>
      </c>
      <c r="H66" s="115" t="n">
        <v>0.08</v>
      </c>
      <c r="I66" s="115" t="n">
        <v>1.99</v>
      </c>
      <c r="J66" s="115" t="n">
        <v>0.05</v>
      </c>
      <c r="K66" s="116" t="n">
        <v>39042</v>
      </c>
      <c r="L66" s="132" t="inlineStr">
        <is>
          <t>查看基金</t>
        </is>
      </c>
      <c r="M66" s="99">
        <f>I66/G66</f>
        <v/>
      </c>
    </row>
    <row customHeight="1" ht="17" r="67" s="155">
      <c r="B67" s="115" t="inlineStr">
        <is>
          <t>si801215</t>
        </is>
      </c>
      <c r="C67" s="115" t="inlineStr">
        <is>
          <t>其他休闲服务Ⅱ(申万)</t>
        </is>
      </c>
      <c r="D67" s="115" t="inlineStr">
        <is>
          <t>---</t>
        </is>
      </c>
      <c r="E67" s="115" t="n">
        <v>0</v>
      </c>
      <c r="F67" s="115" t="n">
        <v>0</v>
      </c>
      <c r="G67" s="115" t="n">
        <v>38.27</v>
      </c>
      <c r="H67" s="115" t="n">
        <v>0.35</v>
      </c>
      <c r="I67" s="115" t="n">
        <v>2.32</v>
      </c>
      <c r="J67" s="115" t="n">
        <v>0.37</v>
      </c>
      <c r="K67" s="116" t="n">
        <v>42901</v>
      </c>
      <c r="L67" s="132" t="inlineStr">
        <is>
          <t>查看基金</t>
        </is>
      </c>
      <c r="M67" s="99">
        <f>I67/G67</f>
        <v/>
      </c>
    </row>
    <row customHeight="1" ht="17" r="68" s="155">
      <c r="B68" s="115" t="inlineStr">
        <is>
          <t>si801214</t>
        </is>
      </c>
      <c r="C68" s="115" t="inlineStr">
        <is>
          <t>旅游综合Ⅱ(申万)</t>
        </is>
      </c>
      <c r="D68" s="115" t="n">
        <v>5703.36</v>
      </c>
      <c r="E68" s="115" t="n">
        <v>1.33</v>
      </c>
      <c r="F68" s="115" t="n">
        <v>12.28</v>
      </c>
      <c r="G68" s="115" t="n">
        <v>30.25</v>
      </c>
      <c r="H68" s="115" t="n">
        <v>0.07000000000000001</v>
      </c>
      <c r="I68" s="115" t="n">
        <v>4.09</v>
      </c>
      <c r="J68" s="115" t="n">
        <v>0.55</v>
      </c>
      <c r="K68" s="116" t="n">
        <v>36529</v>
      </c>
      <c r="L68" s="132" t="inlineStr">
        <is>
          <t>查看基金</t>
        </is>
      </c>
      <c r="M68" s="99">
        <f>I68/G68</f>
        <v/>
      </c>
    </row>
    <row customHeight="1" ht="17" r="69" s="155">
      <c r="B69" s="115" t="inlineStr">
        <is>
          <t>si801212</t>
        </is>
      </c>
      <c r="C69" s="115" t="inlineStr">
        <is>
          <t>景点(申万)</t>
        </is>
      </c>
      <c r="D69" s="115" t="n">
        <v>8208.030000000001</v>
      </c>
      <c r="E69" s="115" t="n">
        <v>1.38</v>
      </c>
      <c r="F69" s="115" t="n">
        <v>15.91</v>
      </c>
      <c r="G69" s="115" t="n">
        <v>25.21</v>
      </c>
      <c r="H69" s="115" t="n">
        <v>0.05</v>
      </c>
      <c r="I69" s="115" t="n">
        <v>2.53</v>
      </c>
      <c r="J69" s="115" t="n">
        <v>0.02</v>
      </c>
      <c r="K69" s="116" t="n">
        <v>36529</v>
      </c>
      <c r="L69" s="132" t="inlineStr">
        <is>
          <t>查看基金</t>
        </is>
      </c>
      <c r="M69" s="99">
        <f>I69/G69</f>
        <v/>
      </c>
    </row>
    <row customHeight="1" ht="17" r="70" s="155">
      <c r="B70" s="115" t="inlineStr">
        <is>
          <t>si801213</t>
        </is>
      </c>
      <c r="C70" s="115" t="inlineStr">
        <is>
          <t>酒店Ⅱ(申万)</t>
        </is>
      </c>
      <c r="D70" s="115" t="n">
        <v>3467.43</v>
      </c>
      <c r="E70" s="115" t="n">
        <v>0.33</v>
      </c>
      <c r="F70" s="115" t="n">
        <v>28.53</v>
      </c>
      <c r="G70" s="115" t="n">
        <v>28.25</v>
      </c>
      <c r="H70" s="115" t="n">
        <v>0.06</v>
      </c>
      <c r="I70" s="115" t="n">
        <v>2.19</v>
      </c>
      <c r="J70" s="115" t="n">
        <v>0.14</v>
      </c>
      <c r="K70" s="116" t="n">
        <v>36529</v>
      </c>
      <c r="L70" s="132" t="inlineStr">
        <is>
          <t>查看基金</t>
        </is>
      </c>
      <c r="M70" s="99">
        <f>I70/G70</f>
        <v/>
      </c>
    </row>
    <row customHeight="1" ht="17" r="71" s="155">
      <c r="B71" s="115" t="inlineStr">
        <is>
          <t>si801211</t>
        </is>
      </c>
      <c r="C71" s="115" t="inlineStr">
        <is>
          <t>餐饮Ⅱ(申万)</t>
        </is>
      </c>
      <c r="D71" s="115" t="n">
        <v>994.71</v>
      </c>
      <c r="E71" s="115" t="n">
        <v>3.62</v>
      </c>
      <c r="F71" s="115" t="n">
        <v>24.97</v>
      </c>
      <c r="G71" s="115" t="n">
        <v>82.59</v>
      </c>
      <c r="H71" s="115" t="n">
        <v>0.51</v>
      </c>
      <c r="I71" s="115" t="n">
        <v>4.82</v>
      </c>
      <c r="J71" s="115" t="n">
        <v>0.49</v>
      </c>
      <c r="K71" s="116" t="n">
        <v>36529</v>
      </c>
      <c r="L71" s="132" t="inlineStr">
        <is>
          <t>查看基金</t>
        </is>
      </c>
      <c r="M71" s="99">
        <f>I71/G71</f>
        <v/>
      </c>
    </row>
    <row customHeight="1" ht="17" r="72" s="155">
      <c r="B72" s="115" t="inlineStr">
        <is>
          <t>si801162</t>
        </is>
      </c>
      <c r="C72" s="115" t="inlineStr">
        <is>
          <t>环保工程及服务Ⅱ(申万)</t>
        </is>
      </c>
      <c r="D72" s="115" t="n">
        <v>1523.05</v>
      </c>
      <c r="E72" s="115" t="n">
        <v>1.26</v>
      </c>
      <c r="F72" s="115" t="n">
        <v>23.81</v>
      </c>
      <c r="G72" s="115" t="n">
        <v>21.79</v>
      </c>
      <c r="H72" s="115" t="n">
        <v>0.1</v>
      </c>
      <c r="I72" s="115" t="n">
        <v>1.9</v>
      </c>
      <c r="J72" s="115" t="n">
        <v>0.07000000000000001</v>
      </c>
      <c r="K72" s="116" t="n">
        <v>36529</v>
      </c>
      <c r="L72" s="132" t="inlineStr">
        <is>
          <t>查看基金</t>
        </is>
      </c>
      <c r="M72" s="99">
        <f>I72/G72</f>
        <v/>
      </c>
    </row>
    <row customHeight="1" ht="17" r="73" s="155">
      <c r="B73" s="115" t="inlineStr">
        <is>
          <t>si801164</t>
        </is>
      </c>
      <c r="C73" s="115" t="inlineStr">
        <is>
          <t>水务Ⅱ(申万)</t>
        </is>
      </c>
      <c r="D73" s="115" t="n">
        <v>3176.43</v>
      </c>
      <c r="E73" s="115" t="n">
        <v>0.29</v>
      </c>
      <c r="F73" s="115" t="n">
        <v>21.45</v>
      </c>
      <c r="G73" s="115" t="n">
        <v>22.76</v>
      </c>
      <c r="H73" s="115" t="n">
        <v>0.1</v>
      </c>
      <c r="I73" s="115" t="n">
        <v>1.57</v>
      </c>
      <c r="J73" s="115" t="n">
        <v>0.03</v>
      </c>
      <c r="K73" s="116" t="n">
        <v>36529</v>
      </c>
      <c r="L73" s="132" t="inlineStr">
        <is>
          <t>查看基金</t>
        </is>
      </c>
      <c r="M73" s="99">
        <f>I73/G73</f>
        <v/>
      </c>
    </row>
    <row customHeight="1" ht="17" r="74" s="155">
      <c r="B74" s="115" t="inlineStr">
        <is>
          <t>si801163</t>
        </is>
      </c>
      <c r="C74" s="115" t="inlineStr">
        <is>
          <t>燃气Ⅱ(申万)</t>
        </is>
      </c>
      <c r="D74" s="115" t="n">
        <v>3698.34</v>
      </c>
      <c r="E74" s="115" t="n">
        <v>-1.1</v>
      </c>
      <c r="F74" s="115" t="n">
        <v>26.45</v>
      </c>
      <c r="G74" s="115" t="n">
        <v>33.1</v>
      </c>
      <c r="H74" s="115" t="n">
        <v>0.28</v>
      </c>
      <c r="I74" s="115" t="n">
        <v>2.15</v>
      </c>
      <c r="J74" s="115" t="n">
        <v>0.1</v>
      </c>
      <c r="K74" s="116" t="n">
        <v>36878</v>
      </c>
      <c r="L74" s="132" t="inlineStr">
        <is>
          <t>查看基金</t>
        </is>
      </c>
      <c r="M74" s="99">
        <f>I74/G74</f>
        <v/>
      </c>
    </row>
    <row customHeight="1" ht="17" r="75" s="155">
      <c r="B75" s="115" t="inlineStr">
        <is>
          <t>si801161</t>
        </is>
      </c>
      <c r="C75" s="115" t="inlineStr">
        <is>
          <t>电力(申万)</t>
        </is>
      </c>
      <c r="D75" s="115" t="n">
        <v>2620.68</v>
      </c>
      <c r="E75" s="115" t="n">
        <v>-0.14</v>
      </c>
      <c r="F75" s="115" t="n">
        <v>17</v>
      </c>
      <c r="G75" s="115" t="n">
        <v>23.36</v>
      </c>
      <c r="H75" s="115" t="n">
        <v>0.43</v>
      </c>
      <c r="I75" s="115" t="n">
        <v>1.59</v>
      </c>
      <c r="J75" s="115" t="n">
        <v>0.13</v>
      </c>
      <c r="K75" s="116" t="n">
        <v>36529</v>
      </c>
      <c r="L75" s="132" t="inlineStr">
        <is>
          <t>查看基金</t>
        </is>
      </c>
      <c r="M75" s="99">
        <f>I75/G75</f>
        <v/>
      </c>
    </row>
    <row customHeight="1" ht="17" r="76" s="155">
      <c r="B76" s="115" t="inlineStr">
        <is>
          <t>si801734</t>
        </is>
      </c>
      <c r="C76" s="115" t="inlineStr">
        <is>
          <t>高低压设备(申万)</t>
        </is>
      </c>
      <c r="D76" s="115" t="n">
        <v>5548.79</v>
      </c>
      <c r="E76" s="115" t="n">
        <v>-0.66</v>
      </c>
      <c r="F76" s="115" t="n">
        <v>26.83</v>
      </c>
      <c r="G76" s="115" t="n">
        <v>29.58</v>
      </c>
      <c r="H76" s="115" t="n">
        <v>0.08</v>
      </c>
      <c r="I76" s="115" t="n">
        <v>2.07</v>
      </c>
      <c r="J76" s="115" t="n">
        <v>0.11</v>
      </c>
      <c r="K76" s="116" t="n">
        <v>36529</v>
      </c>
      <c r="L76" s="132" t="inlineStr">
        <is>
          <t>查看基金</t>
        </is>
      </c>
      <c r="M76" s="99">
        <f>I76/G76</f>
        <v/>
      </c>
    </row>
    <row customHeight="1" ht="17" r="77" s="155">
      <c r="B77" s="115" t="inlineStr">
        <is>
          <t>si801733</t>
        </is>
      </c>
      <c r="C77" s="115" t="inlineStr">
        <is>
          <t>电源设备(申万)</t>
        </is>
      </c>
      <c r="D77" s="115" t="n">
        <v>7165.93</v>
      </c>
      <c r="E77" s="115" t="n">
        <v>-0.17</v>
      </c>
      <c r="F77" s="115" t="n">
        <v>38.14</v>
      </c>
      <c r="G77" s="115" t="n">
        <v>34.47</v>
      </c>
      <c r="H77" s="115" t="n">
        <v>0.3</v>
      </c>
      <c r="I77" s="115" t="n">
        <v>2.15</v>
      </c>
      <c r="J77" s="115" t="n">
        <v>0.09</v>
      </c>
      <c r="K77" s="116" t="n">
        <v>36529</v>
      </c>
      <c r="L77" s="132" t="inlineStr">
        <is>
          <t>查看基金</t>
        </is>
      </c>
      <c r="M77" s="99">
        <f>I77/G77</f>
        <v/>
      </c>
    </row>
    <row customHeight="1" ht="17" r="78" s="155">
      <c r="B78" s="115" t="inlineStr">
        <is>
          <t>si801731</t>
        </is>
      </c>
      <c r="C78" s="115" t="inlineStr">
        <is>
          <t>电机Ⅱ(申万)</t>
        </is>
      </c>
      <c r="D78" s="115" t="n">
        <v>5534.56</v>
      </c>
      <c r="E78" s="115" t="n">
        <v>-2.23</v>
      </c>
      <c r="F78" s="115" t="n">
        <v>31.01</v>
      </c>
      <c r="G78" s="115" t="n">
        <v>27.82</v>
      </c>
      <c r="H78" s="115" t="n">
        <v>0.16</v>
      </c>
      <c r="I78" s="115" t="n">
        <v>1.76</v>
      </c>
      <c r="J78" s="115" t="n">
        <v>0.07000000000000001</v>
      </c>
      <c r="K78" s="116" t="n">
        <v>36529</v>
      </c>
      <c r="L78" s="132" t="inlineStr">
        <is>
          <t>查看基金</t>
        </is>
      </c>
      <c r="M78" s="99">
        <f>I78/G78</f>
        <v/>
      </c>
    </row>
    <row customHeight="1" ht="17" r="79" s="155">
      <c r="B79" s="115" t="inlineStr">
        <is>
          <t>si801732</t>
        </is>
      </c>
      <c r="C79" s="115" t="inlineStr">
        <is>
          <t>电气自动化设备(申万)</t>
        </is>
      </c>
      <c r="D79" s="115" t="n">
        <v>4542.3</v>
      </c>
      <c r="E79" s="115" t="n">
        <v>-0.8</v>
      </c>
      <c r="F79" s="115" t="n">
        <v>32.69</v>
      </c>
      <c r="G79" s="115" t="n">
        <v>22.55</v>
      </c>
      <c r="H79" s="115" t="n">
        <v>0.05</v>
      </c>
      <c r="I79" s="115" t="n">
        <v>2.33</v>
      </c>
      <c r="J79" s="115" t="n">
        <v>0.14</v>
      </c>
      <c r="K79" s="116" t="n">
        <v>36529</v>
      </c>
      <c r="L79" s="132" t="inlineStr">
        <is>
          <t>查看基金</t>
        </is>
      </c>
      <c r="M79" s="99">
        <f>I79/G79</f>
        <v/>
      </c>
    </row>
    <row customHeight="1" ht="17" r="80" s="155">
      <c r="B80" s="115" t="inlineStr">
        <is>
          <t>si801231</t>
        </is>
      </c>
      <c r="C80" s="115" t="inlineStr">
        <is>
          <t>综合Ⅱ(申万)</t>
        </is>
      </c>
      <c r="D80" s="115" t="n">
        <v>2304.45</v>
      </c>
      <c r="E80" s="115" t="n">
        <v>0.9399999999999999</v>
      </c>
      <c r="F80" s="115" t="n">
        <v>37.22</v>
      </c>
      <c r="G80" s="115" t="n">
        <v>34.09</v>
      </c>
      <c r="H80" s="115" t="n">
        <v>0.16</v>
      </c>
      <c r="I80" s="115" t="n">
        <v>1.76</v>
      </c>
      <c r="J80" s="115" t="n">
        <v>0.09</v>
      </c>
      <c r="K80" s="116" t="n">
        <v>36529</v>
      </c>
      <c r="L80" s="132" t="inlineStr">
        <is>
          <t>查看基金</t>
        </is>
      </c>
      <c r="M80" s="99">
        <f>I80/G80</f>
        <v/>
      </c>
    </row>
    <row customHeight="1" ht="17" r="81" s="155">
      <c r="B81" s="115" t="inlineStr">
        <is>
          <t>si801037</t>
        </is>
      </c>
      <c r="C81" s="115" t="inlineStr">
        <is>
          <t>橡胶(申万)</t>
        </is>
      </c>
      <c r="D81" s="115" t="n">
        <v>3536.02</v>
      </c>
      <c r="E81" s="115" t="n">
        <v>0.32</v>
      </c>
      <c r="F81" s="115" t="n">
        <v>24.26</v>
      </c>
      <c r="G81" s="115" t="n">
        <v>19.22</v>
      </c>
      <c r="H81" s="115" t="n">
        <v>0.06</v>
      </c>
      <c r="I81" s="115" t="n">
        <v>1.67</v>
      </c>
      <c r="J81" s="115" t="n">
        <v>0.13</v>
      </c>
      <c r="K81" s="116" t="n">
        <v>36529</v>
      </c>
      <c r="L81" s="132" t="inlineStr">
        <is>
          <t>查看基金</t>
        </is>
      </c>
      <c r="M81" s="99">
        <f>I81/G81</f>
        <v/>
      </c>
    </row>
    <row customHeight="1" ht="17" r="82" s="155">
      <c r="B82" s="115" t="inlineStr">
        <is>
          <t>si801036</t>
        </is>
      </c>
      <c r="C82" s="115" t="inlineStr">
        <is>
          <t>塑料Ⅱ(申万)</t>
        </is>
      </c>
      <c r="D82" s="115" t="n">
        <v>3332.31</v>
      </c>
      <c r="E82" s="115" t="n">
        <v>0.78</v>
      </c>
      <c r="F82" s="115" t="n">
        <v>19.25</v>
      </c>
      <c r="G82" s="115" t="n">
        <v>21.54</v>
      </c>
      <c r="H82" s="115" t="n">
        <v>0.13</v>
      </c>
      <c r="I82" s="115" t="n">
        <v>1.97</v>
      </c>
      <c r="J82" s="115" t="n">
        <v>0.17</v>
      </c>
      <c r="K82" s="116" t="n">
        <v>36529</v>
      </c>
      <c r="L82" s="132" t="inlineStr">
        <is>
          <t>查看基金</t>
        </is>
      </c>
      <c r="M82" s="99">
        <f>I82/G82</f>
        <v/>
      </c>
    </row>
    <row customHeight="1" ht="17" r="83" s="155">
      <c r="B83" s="115" t="inlineStr">
        <is>
          <t>si801035</t>
        </is>
      </c>
      <c r="C83" s="115" t="inlineStr">
        <is>
          <t>石油化工(申万)</t>
        </is>
      </c>
      <c r="D83" s="115" t="n">
        <v>2501.29</v>
      </c>
      <c r="E83" s="115" t="n">
        <v>-0.59</v>
      </c>
      <c r="F83" s="115" t="n">
        <v>21.19</v>
      </c>
      <c r="G83" s="115" t="n">
        <v>11.88</v>
      </c>
      <c r="H83" s="115" t="n">
        <v>0.08</v>
      </c>
      <c r="I83" s="115" t="n">
        <v>1.28</v>
      </c>
      <c r="J83" s="115" t="n">
        <v>0.02</v>
      </c>
      <c r="K83" s="116" t="n">
        <v>36529</v>
      </c>
      <c r="L83" s="132" t="inlineStr">
        <is>
          <t>查看基金</t>
        </is>
      </c>
      <c r="M83" s="99">
        <f>I83/G83</f>
        <v/>
      </c>
    </row>
    <row customHeight="1" ht="17" r="84" s="155">
      <c r="B84" s="115" t="inlineStr">
        <is>
          <t>si801034</t>
        </is>
      </c>
      <c r="C84" s="115" t="inlineStr">
        <is>
          <t>化学制品(申万)</t>
        </is>
      </c>
      <c r="D84" s="115" t="n">
        <v>4023.08</v>
      </c>
      <c r="E84" s="115" t="n">
        <v>-0.18</v>
      </c>
      <c r="F84" s="115" t="n">
        <v>28.74</v>
      </c>
      <c r="G84" s="115" t="n">
        <v>17.35</v>
      </c>
      <c r="H84" s="115" t="n">
        <v>0.07000000000000001</v>
      </c>
      <c r="I84" s="115" t="n">
        <v>2.08</v>
      </c>
      <c r="J84" s="115" t="n">
        <v>0.1</v>
      </c>
      <c r="K84" s="116" t="n">
        <v>36529</v>
      </c>
      <c r="L84" s="132" t="inlineStr">
        <is>
          <t>查看基金</t>
        </is>
      </c>
      <c r="M84" s="99">
        <f>I84/G84</f>
        <v/>
      </c>
    </row>
    <row customHeight="1" ht="17" r="85" s="155">
      <c r="B85" s="115" t="inlineStr">
        <is>
          <t>si801033</t>
        </is>
      </c>
      <c r="C85" s="115" t="inlineStr">
        <is>
          <t>化学原料(申万)</t>
        </is>
      </c>
      <c r="D85" s="115" t="n">
        <v>2345.98</v>
      </c>
      <c r="E85" s="115" t="n">
        <v>0.07000000000000001</v>
      </c>
      <c r="F85" s="115" t="n">
        <v>35.01</v>
      </c>
      <c r="G85" s="115" t="n">
        <v>15.04</v>
      </c>
      <c r="H85" s="115" t="n">
        <v>0.04</v>
      </c>
      <c r="I85" s="115" t="n">
        <v>1.69</v>
      </c>
      <c r="J85" s="115" t="n">
        <v>0.19</v>
      </c>
      <c r="K85" s="116" t="n">
        <v>36529</v>
      </c>
      <c r="L85" s="132" t="inlineStr">
        <is>
          <t>查看基金</t>
        </is>
      </c>
      <c r="M85" s="99">
        <f>I85/G85</f>
        <v/>
      </c>
    </row>
    <row customHeight="1" ht="17" r="86" s="155">
      <c r="B86" s="115" t="inlineStr">
        <is>
          <t>si801032</t>
        </is>
      </c>
      <c r="C86" s="115" t="inlineStr">
        <is>
          <t>化学纤维(申万)</t>
        </is>
      </c>
      <c r="D86" s="115" t="n">
        <v>3152.12</v>
      </c>
      <c r="E86" s="115" t="n">
        <v>-0.33</v>
      </c>
      <c r="F86" s="115" t="n">
        <v>30.49</v>
      </c>
      <c r="G86" s="115" t="n">
        <v>20.26</v>
      </c>
      <c r="H86" s="115" t="n">
        <v>0.02</v>
      </c>
      <c r="I86" s="115" t="n">
        <v>2.17</v>
      </c>
      <c r="J86" s="115" t="n">
        <v>0.3</v>
      </c>
      <c r="K86" s="116" t="n">
        <v>36529</v>
      </c>
      <c r="L86" s="132" t="inlineStr">
        <is>
          <t>查看基金</t>
        </is>
      </c>
      <c r="M86" s="99">
        <f>I86/G86</f>
        <v/>
      </c>
    </row>
    <row customHeight="1" ht="17" r="87" s="155">
      <c r="B87" s="115" t="inlineStr">
        <is>
          <t>si801055</t>
        </is>
      </c>
      <c r="C87" s="115" t="inlineStr">
        <is>
          <t>工业金属(申万)</t>
        </is>
      </c>
      <c r="D87" s="115" t="n">
        <v>1238.15</v>
      </c>
      <c r="E87" s="115" t="n">
        <v>0.29</v>
      </c>
      <c r="F87" s="115" t="n">
        <v>29.2</v>
      </c>
      <c r="G87" s="115" t="n">
        <v>32.18</v>
      </c>
      <c r="H87" s="115" t="n">
        <v>0.44</v>
      </c>
      <c r="I87" s="115" t="n">
        <v>1.64</v>
      </c>
      <c r="J87" s="115" t="n">
        <v>0.11</v>
      </c>
      <c r="K87" s="116" t="n">
        <v>36529</v>
      </c>
      <c r="L87" s="132" t="inlineStr">
        <is>
          <t>查看基金</t>
        </is>
      </c>
      <c r="M87" s="99">
        <f>I87/G87</f>
        <v/>
      </c>
    </row>
    <row customHeight="1" ht="17" r="88" s="155">
      <c r="B88" s="115" t="inlineStr">
        <is>
          <t>si801054</t>
        </is>
      </c>
      <c r="C88" s="115" t="inlineStr">
        <is>
          <t>稀有金属(申万)</t>
        </is>
      </c>
      <c r="D88" s="115" t="n">
        <v>8345.08</v>
      </c>
      <c r="E88" s="115" t="n">
        <v>-2.03</v>
      </c>
      <c r="F88" s="115" t="n">
        <v>33.25</v>
      </c>
      <c r="G88" s="115" t="n">
        <v>37.98</v>
      </c>
      <c r="H88" s="115" t="n">
        <v>0.26</v>
      </c>
      <c r="I88" s="115" t="n">
        <v>3.56</v>
      </c>
      <c r="J88" s="115" t="n">
        <v>0.28</v>
      </c>
      <c r="K88" s="116" t="n">
        <v>36529</v>
      </c>
      <c r="L88" s="132" t="inlineStr">
        <is>
          <t>查看基金</t>
        </is>
      </c>
      <c r="M88" s="99">
        <f>I88/G88</f>
        <v/>
      </c>
    </row>
    <row customHeight="1" ht="17" r="89" s="155">
      <c r="B89" s="115" t="inlineStr">
        <is>
          <t>si801053</t>
        </is>
      </c>
      <c r="C89" s="115" t="inlineStr">
        <is>
          <t>黄金Ⅱ(申万)</t>
        </is>
      </c>
      <c r="D89" s="115" t="n">
        <v>5841.62</v>
      </c>
      <c r="E89" s="115" t="n">
        <v>-0.97</v>
      </c>
      <c r="F89" s="115" t="n">
        <v>4.51</v>
      </c>
      <c r="G89" s="115" t="n">
        <v>33.48</v>
      </c>
      <c r="H89" s="115" t="n">
        <v>0.35</v>
      </c>
      <c r="I89" s="115" t="n">
        <v>2.61</v>
      </c>
      <c r="J89" s="115" t="n">
        <v>0.11</v>
      </c>
      <c r="K89" s="116" t="n">
        <v>39265</v>
      </c>
      <c r="L89" s="132" t="inlineStr">
        <is>
          <t>查看基金</t>
        </is>
      </c>
      <c r="M89" s="99">
        <f>I89/G89</f>
        <v/>
      </c>
    </row>
    <row customHeight="1" ht="17" r="90" s="155">
      <c r="B90" s="115" t="inlineStr">
        <is>
          <t>si801051</t>
        </is>
      </c>
      <c r="C90" s="115" t="inlineStr">
        <is>
          <t>金属非金属新材料(申万)</t>
        </is>
      </c>
      <c r="D90" s="115" t="n">
        <v>4317.81</v>
      </c>
      <c r="E90" s="115" t="n">
        <v>-1</v>
      </c>
      <c r="F90" s="115" t="n">
        <v>38.41</v>
      </c>
      <c r="G90" s="115" t="n">
        <v>19.87</v>
      </c>
      <c r="H90" s="115" t="n">
        <v>0.03</v>
      </c>
      <c r="I90" s="115" t="n">
        <v>2.71</v>
      </c>
      <c r="J90" s="115" t="n">
        <v>0.18</v>
      </c>
      <c r="K90" s="116" t="n">
        <v>36529</v>
      </c>
      <c r="L90" s="132" t="inlineStr">
        <is>
          <t>查看基金</t>
        </is>
      </c>
      <c r="M90" s="99">
        <f>I90/G90</f>
        <v/>
      </c>
    </row>
    <row customHeight="1" ht="17" r="91" s="155">
      <c r="B91" s="115" t="inlineStr">
        <is>
          <t>si801021</t>
        </is>
      </c>
      <c r="C91" s="115" t="inlineStr">
        <is>
          <t>煤炭开采Ⅱ(申万)</t>
        </is>
      </c>
      <c r="D91" s="115" t="n">
        <v>2777.63</v>
      </c>
      <c r="E91" s="115" t="n">
        <v>0.11</v>
      </c>
      <c r="F91" s="115" t="n">
        <v>24.13</v>
      </c>
      <c r="G91" s="115" t="n">
        <v>11.68</v>
      </c>
      <c r="H91" s="115" t="n">
        <v>0.11</v>
      </c>
      <c r="I91" s="115" t="n">
        <v>1.25</v>
      </c>
      <c r="J91" s="115" t="n">
        <v>0.07000000000000001</v>
      </c>
      <c r="K91" s="116" t="n">
        <v>36529</v>
      </c>
      <c r="L91" s="132" t="inlineStr">
        <is>
          <t>查看基金</t>
        </is>
      </c>
      <c r="M91" s="99">
        <f>I91/G91</f>
        <v/>
      </c>
    </row>
    <row customHeight="1" ht="17" r="92" s="155">
      <c r="B92" s="115" t="inlineStr">
        <is>
          <t>si801023</t>
        </is>
      </c>
      <c r="C92" s="115" t="inlineStr">
        <is>
          <t>石油开采Ⅱ(申万)</t>
        </is>
      </c>
      <c r="D92" s="115" t="n">
        <v>368.74</v>
      </c>
      <c r="E92" s="115" t="n">
        <v>-0.99</v>
      </c>
      <c r="F92" s="115" t="n">
        <v>16.04</v>
      </c>
      <c r="G92" s="115" t="n">
        <v>28.64</v>
      </c>
      <c r="H92" s="115" t="n">
        <v>0.75</v>
      </c>
      <c r="I92" s="115" t="n">
        <v>1.24</v>
      </c>
      <c r="J92" s="115" t="n">
        <v>0.06</v>
      </c>
      <c r="K92" s="116" t="n">
        <v>36529</v>
      </c>
      <c r="L92" s="132" t="inlineStr">
        <is>
          <t>查看基金</t>
        </is>
      </c>
      <c r="M92" s="99">
        <f>I92/G92</f>
        <v/>
      </c>
    </row>
    <row customHeight="1" ht="17" r="93" s="155">
      <c r="B93" s="115" t="inlineStr">
        <is>
          <t>si801024</t>
        </is>
      </c>
      <c r="C93" s="115" t="inlineStr">
        <is>
          <t>采掘服务Ⅱ(申万)</t>
        </is>
      </c>
      <c r="D93" s="115" t="n">
        <v>4673.27</v>
      </c>
      <c r="E93" s="115" t="n">
        <v>-0.6899999999999999</v>
      </c>
      <c r="F93" s="115" t="n">
        <v>27.29</v>
      </c>
      <c r="G93" s="115" t="n">
        <v>114.95</v>
      </c>
      <c r="H93" s="115" t="n">
        <v>0.98</v>
      </c>
      <c r="I93" s="115" t="n">
        <v>1.54</v>
      </c>
      <c r="J93" s="115" t="n">
        <v>0.03</v>
      </c>
      <c r="K93" s="116" t="n">
        <v>37313</v>
      </c>
      <c r="L93" s="132" t="inlineStr">
        <is>
          <t>查看基金</t>
        </is>
      </c>
      <c r="M93" s="99">
        <f>I93/G93</f>
        <v/>
      </c>
    </row>
    <row customHeight="1" ht="17" r="94" s="155">
      <c r="B94" s="115" t="inlineStr">
        <is>
          <t>si801075</t>
        </is>
      </c>
      <c r="C94" s="115" t="inlineStr">
        <is>
          <t>金属制品Ⅱ(申万)</t>
        </is>
      </c>
      <c r="D94" s="115" t="n">
        <v>3688.85</v>
      </c>
      <c r="E94" s="115" t="n">
        <v>-0.16</v>
      </c>
      <c r="F94" s="115" t="n">
        <v>30.31</v>
      </c>
      <c r="G94" s="115" t="n">
        <v>23.14</v>
      </c>
      <c r="H94" s="115" t="n">
        <v>0.24</v>
      </c>
      <c r="I94" s="115" t="n">
        <v>1.73</v>
      </c>
      <c r="J94" s="115" t="n">
        <v>0.13</v>
      </c>
      <c r="K94" s="116" t="n">
        <v>39624</v>
      </c>
      <c r="L94" s="132" t="inlineStr">
        <is>
          <t>查看基金</t>
        </is>
      </c>
      <c r="M94" s="99">
        <f>I94/G94</f>
        <v/>
      </c>
    </row>
    <row customHeight="1" ht="17" r="95" s="155">
      <c r="B95" s="115" t="inlineStr">
        <is>
          <t>si801041</t>
        </is>
      </c>
      <c r="C95" s="115" t="inlineStr">
        <is>
          <t>钢铁Ⅱ(申万)</t>
        </is>
      </c>
      <c r="D95" s="115" t="n">
        <v>2949.35</v>
      </c>
      <c r="E95" s="115" t="n">
        <v>-0.23</v>
      </c>
      <c r="F95" s="115" t="n">
        <v>25.28</v>
      </c>
      <c r="G95" s="115" t="n">
        <v>7.51</v>
      </c>
      <c r="H95" s="115" t="n">
        <v>0.1</v>
      </c>
      <c r="I95" s="115" t="n">
        <v>1.28</v>
      </c>
      <c r="J95" s="115" t="n">
        <v>0.3</v>
      </c>
      <c r="K95" s="116" t="n">
        <v>36529</v>
      </c>
      <c r="L95" s="132" t="inlineStr">
        <is>
          <t>查看基金</t>
        </is>
      </c>
      <c r="M95" s="99">
        <f>I95/G95</f>
        <v/>
      </c>
    </row>
    <row customHeight="1" ht="17" r="96" s="155">
      <c r="B96" s="115" t="inlineStr">
        <is>
          <t>si801022</t>
        </is>
      </c>
      <c r="C96" s="115" t="inlineStr">
        <is>
          <t>其他采掘Ⅱ(申万)</t>
        </is>
      </c>
      <c r="D96" s="115" t="n">
        <v>881.45</v>
      </c>
      <c r="E96" s="115" t="n">
        <v>0.4</v>
      </c>
      <c r="F96" s="115" t="n">
        <v>29.02</v>
      </c>
      <c r="G96" s="115" t="n">
        <v>22.93</v>
      </c>
      <c r="H96" s="115" t="n">
        <v>0.05</v>
      </c>
      <c r="I96" s="115" t="n">
        <v>2.83</v>
      </c>
      <c r="J96" s="115" t="n">
        <v>0.27</v>
      </c>
      <c r="K96" s="116" t="n">
        <v>36529</v>
      </c>
      <c r="L96" s="132" t="inlineStr">
        <is>
          <t>查看基金</t>
        </is>
      </c>
      <c r="M96" s="99">
        <f>I96/G96</f>
        <v/>
      </c>
    </row>
    <row customHeight="1" ht="17" r="97" s="155">
      <c r="B97" s="115" t="inlineStr">
        <is>
          <t>si801144</t>
        </is>
      </c>
      <c r="C97" s="115" t="inlineStr">
        <is>
          <t>其他轻工制造Ⅱ(申万)</t>
        </is>
      </c>
      <c r="D97" s="115" t="inlineStr">
        <is>
          <t>---</t>
        </is>
      </c>
      <c r="E97" s="115" t="n">
        <v>0</v>
      </c>
      <c r="F97" s="115" t="n">
        <v>0</v>
      </c>
      <c r="G97" s="115" t="n">
        <v>57.79</v>
      </c>
      <c r="H97" s="115" t="n">
        <v>0.42</v>
      </c>
      <c r="I97" s="115" t="n">
        <v>4.27</v>
      </c>
      <c r="J97" s="115" t="n">
        <v>0.48</v>
      </c>
      <c r="K97" s="116" t="n">
        <v>43216</v>
      </c>
      <c r="L97" s="132" t="inlineStr">
        <is>
          <t>查看基金</t>
        </is>
      </c>
      <c r="M97" s="99">
        <f>I97/G97</f>
        <v/>
      </c>
    </row>
    <row customHeight="1" ht="17" r="98" s="155">
      <c r="B98" s="115" t="inlineStr">
        <is>
          <t>si801141</t>
        </is>
      </c>
      <c r="C98" s="115" t="inlineStr">
        <is>
          <t>包装印刷Ⅱ(申万)</t>
        </is>
      </c>
      <c r="D98" s="115" t="n">
        <v>2809.45</v>
      </c>
      <c r="E98" s="115" t="n">
        <v>0.41</v>
      </c>
      <c r="F98" s="115" t="n">
        <v>30.66</v>
      </c>
      <c r="G98" s="115" t="n">
        <v>29.92</v>
      </c>
      <c r="H98" s="115" t="n">
        <v>0.33</v>
      </c>
      <c r="I98" s="115" t="n">
        <v>2.61</v>
      </c>
      <c r="J98" s="115" t="n">
        <v>0.37</v>
      </c>
      <c r="K98" s="116" t="n">
        <v>36529</v>
      </c>
      <c r="L98" s="132" t="inlineStr">
        <is>
          <t>查看基金</t>
        </is>
      </c>
      <c r="M98" s="99">
        <f>I98/G98</f>
        <v/>
      </c>
    </row>
    <row customHeight="1" ht="17" r="99" s="155">
      <c r="B99" s="115" t="inlineStr">
        <is>
          <t>si801142</t>
        </is>
      </c>
      <c r="C99" s="115" t="inlineStr">
        <is>
          <t>家用轻工(申万)</t>
        </is>
      </c>
      <c r="D99" s="115" t="n">
        <v>2159.2</v>
      </c>
      <c r="E99" s="115" t="n">
        <v>-0.4</v>
      </c>
      <c r="F99" s="115" t="n">
        <v>26.07</v>
      </c>
      <c r="G99" s="115" t="n">
        <v>29.41</v>
      </c>
      <c r="H99" s="115" t="n">
        <v>0.11</v>
      </c>
      <c r="I99" s="115" t="n">
        <v>2.12</v>
      </c>
      <c r="J99" s="115" t="n">
        <v>0.14</v>
      </c>
      <c r="K99" s="116" t="n">
        <v>36529</v>
      </c>
      <c r="L99" s="132" t="inlineStr">
        <is>
          <t>查看基金</t>
        </is>
      </c>
      <c r="M99" s="99">
        <f>I99/G99</f>
        <v/>
      </c>
    </row>
    <row customHeight="1" ht="17" r="100" s="155">
      <c r="B100" s="115" t="inlineStr">
        <is>
          <t>si801143</t>
        </is>
      </c>
      <c r="C100" s="115" t="inlineStr">
        <is>
          <t>造纸Ⅱ(申万)</t>
        </is>
      </c>
      <c r="D100" s="115" t="n">
        <v>2220.86</v>
      </c>
      <c r="E100" s="115" t="n">
        <v>0.16</v>
      </c>
      <c r="F100" s="115" t="n">
        <v>24.5</v>
      </c>
      <c r="G100" s="115" t="n">
        <v>10.34</v>
      </c>
      <c r="H100" s="115" t="n">
        <v>0.03</v>
      </c>
      <c r="I100" s="115" t="n">
        <v>1.33</v>
      </c>
      <c r="J100" s="115" t="n">
        <v>0.13</v>
      </c>
      <c r="K100" s="116" t="n">
        <v>36529</v>
      </c>
      <c r="L100" s="132" t="inlineStr">
        <is>
          <t>查看基金</t>
        </is>
      </c>
      <c r="M100" s="99">
        <f>I100/G100</f>
        <v/>
      </c>
    </row>
    <row customHeight="1" ht="17" r="101" s="155">
      <c r="B101" s="115" t="inlineStr">
        <is>
          <t>si801194</t>
        </is>
      </c>
      <c r="C101" s="115" t="inlineStr">
        <is>
          <t>保险Ⅱ(申万)</t>
        </is>
      </c>
      <c r="D101" s="115" t="n">
        <v>1553.77</v>
      </c>
      <c r="E101" s="115" t="n">
        <v>1.17</v>
      </c>
      <c r="F101" s="115" t="n">
        <v>34.35</v>
      </c>
      <c r="G101" s="115" t="n">
        <v>14.02</v>
      </c>
      <c r="H101" s="115" t="n">
        <v>0.34</v>
      </c>
      <c r="I101" s="115" t="n">
        <v>2.4</v>
      </c>
      <c r="J101" s="115" t="n">
        <v>0.48</v>
      </c>
      <c r="K101" s="116" t="n">
        <v>39099</v>
      </c>
      <c r="L101" s="132" t="inlineStr">
        <is>
          <t>查看基金</t>
        </is>
      </c>
      <c r="M101" s="99">
        <f>I101/G101</f>
        <v/>
      </c>
    </row>
    <row customHeight="1" ht="17" r="102" s="155">
      <c r="B102" s="115" t="inlineStr">
        <is>
          <t>si801193</t>
        </is>
      </c>
      <c r="C102" s="115" t="inlineStr">
        <is>
          <t>券商Ⅱ(申万)</t>
        </is>
      </c>
      <c r="D102" s="115" t="n">
        <v>6571.91</v>
      </c>
      <c r="E102" s="115" t="n">
        <v>1.49</v>
      </c>
      <c r="F102" s="115" t="n">
        <v>49.41</v>
      </c>
      <c r="G102" s="115" t="n">
        <v>37.16</v>
      </c>
      <c r="H102" s="115" t="n">
        <v>0.57</v>
      </c>
      <c r="I102" s="115" t="n">
        <v>1.87</v>
      </c>
      <c r="J102" s="115" t="n">
        <v>0.21</v>
      </c>
      <c r="K102" s="116" t="n">
        <v>36529</v>
      </c>
      <c r="L102" s="132" t="inlineStr">
        <is>
          <t>查看基金</t>
        </is>
      </c>
      <c r="M102" s="99">
        <f>I102/G102</f>
        <v/>
      </c>
    </row>
    <row customHeight="1" ht="17" r="103" s="155">
      <c r="B103" s="115" t="inlineStr">
        <is>
          <t>si801192</t>
        </is>
      </c>
      <c r="C103" s="115" t="inlineStr">
        <is>
          <t>银行Ⅱ(申万)</t>
        </is>
      </c>
      <c r="D103" s="115" t="n">
        <v>3656.35</v>
      </c>
      <c r="E103" s="115" t="n">
        <v>0.18</v>
      </c>
      <c r="F103" s="115" t="n">
        <v>17.59</v>
      </c>
      <c r="G103" s="115" t="n">
        <v>7.15</v>
      </c>
      <c r="H103" s="115" t="n">
        <v>0.32</v>
      </c>
      <c r="I103" s="115" t="n">
        <v>0.89</v>
      </c>
      <c r="J103" s="115" t="n">
        <v>0.06</v>
      </c>
      <c r="K103" s="116" t="n">
        <v>36529</v>
      </c>
      <c r="L103" s="132" t="inlineStr">
        <is>
          <t>查看基金</t>
        </is>
      </c>
      <c r="M103" s="99">
        <f>I103/G103</f>
        <v/>
      </c>
    </row>
    <row customHeight="1" ht="17" r="104" s="155">
      <c r="B104" s="115" t="inlineStr">
        <is>
          <t>si801191</t>
        </is>
      </c>
      <c r="C104" s="115" t="inlineStr">
        <is>
          <t>多元金融Ⅱ(申万)</t>
        </is>
      </c>
      <c r="D104" s="115" t="n">
        <v>2093.92</v>
      </c>
      <c r="E104" s="115" t="n">
        <v>2.88</v>
      </c>
      <c r="F104" s="115" t="n">
        <v>44.14</v>
      </c>
      <c r="G104" s="115" t="n">
        <v>25.83</v>
      </c>
      <c r="H104" s="115" t="n">
        <v>0.13</v>
      </c>
      <c r="I104" s="115" t="n">
        <v>2.4</v>
      </c>
      <c r="J104" s="115" t="n">
        <v>0.13</v>
      </c>
      <c r="K104" s="116" t="n">
        <v>36529</v>
      </c>
      <c r="L104" s="132" t="inlineStr">
        <is>
          <t>查看基金</t>
        </is>
      </c>
      <c r="M104" s="99">
        <f>I104/G104</f>
        <v/>
      </c>
    </row>
    <row customHeight="1" ht="17" r="105" s="155">
      <c r="B105" s="115" t="inlineStr">
        <is>
          <t>si801073</t>
        </is>
      </c>
      <c r="C105" s="115" t="inlineStr">
        <is>
          <t>仪器仪表Ⅱ(申万)</t>
        </is>
      </c>
      <c r="D105" s="115" t="n">
        <v>3232.14</v>
      </c>
      <c r="E105" s="115" t="n">
        <v>-0.95</v>
      </c>
      <c r="F105" s="115" t="n">
        <v>38.61</v>
      </c>
      <c r="G105" s="115" t="n">
        <v>40.81</v>
      </c>
      <c r="H105" s="115" t="n">
        <v>0.05</v>
      </c>
      <c r="I105" s="115" t="n">
        <v>3.35</v>
      </c>
      <c r="J105" s="115" t="n">
        <v>0.25</v>
      </c>
      <c r="K105" s="116" t="n">
        <v>36529</v>
      </c>
      <c r="L105" s="132" t="inlineStr">
        <is>
          <t>查看基金</t>
        </is>
      </c>
      <c r="M105" s="99">
        <f>I105/G105</f>
        <v/>
      </c>
    </row>
  </sheetData>
  <autoFilter ref="J1:J105"/>
  <conditionalFormatting sqref="H106:H1048576">
    <cfRule priority="3" type="dataBar">
      <dataBar>
        <cfvo type="min"/>
        <cfvo type="max"/>
        <color rgb="FF638EC6"/>
      </dataBar>
    </cfRule>
  </conditionalFormatting>
  <conditionalFormatting sqref="J106:J1048576">
    <cfRule priority="2" type="dataBar">
      <dataBar>
        <cfvo type="min"/>
        <cfvo type="max"/>
        <color rgb="FF638EC6"/>
      </dataBar>
    </cfRule>
  </conditionalFormatting>
  <conditionalFormatting sqref="M2:M105">
    <cfRule priority="1" type="dataBar">
      <dataBar>
        <cfvo type="min"/>
        <cfvo type="max"/>
        <color rgb="FF638EC6"/>
      </dataBar>
    </cfRule>
  </conditionalFormatting>
  <hyperlinks>
    <hyperlink display="http://discuss.jiucaishuo.com/?/invest/showData/search_gu-si801761" ref="L2" r:id="rId1"/>
    <hyperlink display="http://discuss.jiucaishuo.com/?/invest/showData/search_gu-si801752" ref="L3" r:id="rId2"/>
    <hyperlink display="http://discuss.jiucaishuo.com/?/invest/showData/search_gu-si801751" ref="L4" r:id="rId3"/>
    <hyperlink display="http://discuss.jiucaishuo.com/?/invest/showData/search_gu-si801085" ref="L5" r:id="rId4"/>
    <hyperlink display="http://discuss.jiucaishuo.com/?/invest/showData/search_gu-si801084" ref="L6" r:id="rId5"/>
    <hyperlink display="http://discuss.jiucaishuo.com/?/invest/showData/search_gu-si801083" ref="L7" r:id="rId6"/>
    <hyperlink display="http://discuss.jiucaishuo.com/?/invest/showData/search_gu-si801082" ref="L8" r:id="rId7"/>
    <hyperlink display="http://discuss.jiucaishuo.com/?/invest/showData/search_gu-si801081" ref="L9" r:id="rId8"/>
    <hyperlink display="http://discuss.jiucaishuo.com/?/invest/showData/search_gu-si801222" ref="L10" r:id="rId9"/>
    <hyperlink display="http://discuss.jiucaishuo.com/?/invest/showData/search_gu-si801101" ref="L11" r:id="rId10"/>
    <hyperlink display="http://discuss.jiucaishuo.com/?/invest/showData/search_gu-si801223" ref="L12" r:id="rId11"/>
    <hyperlink display="http://discuss.jiucaishuo.com/?/invest/showData/search_gu-si801102" ref="L13" r:id="rId12"/>
    <hyperlink display="http://discuss.jiucaishuo.com/?/invest/showData/search_gu-si801881" ref="L14" r:id="rId13"/>
    <hyperlink display="http://discuss.jiucaishuo.com/?/invest/showData/search_gu-si801172" ref="L15" r:id="rId14"/>
    <hyperlink display="http://discuss.jiucaishuo.com/?/invest/showData/search_gu-si801174" ref="L16" r:id="rId15"/>
    <hyperlink display="http://discuss.jiucaishuo.com/?/invest/showData/search_gu-si801171" ref="L17" r:id="rId16"/>
    <hyperlink display="http://discuss.jiucaishuo.com/?/invest/showData/search_gu-si801178" ref="L18" r:id="rId17"/>
    <hyperlink display="http://discuss.jiucaishuo.com/?/invest/showData/search_gu-si801173" ref="L19" r:id="rId18"/>
    <hyperlink display="http://discuss.jiucaishuo.com/?/invest/showData/search_gu-si801176" ref="L20" r:id="rId19"/>
    <hyperlink display="http://discuss.jiucaishuo.com/?/invest/showData/search_gu-si801076" ref="L21" r:id="rId20"/>
    <hyperlink display="http://discuss.jiucaishuo.com/?/invest/showData/search_gu-si801177" ref="L22" r:id="rId21"/>
    <hyperlink display="http://discuss.jiucaishuo.com/?/invest/showData/search_gu-si801175" ref="L23" r:id="rId22"/>
    <hyperlink display="http://discuss.jiucaishuo.com/?/invest/showData/search_gu-si801743" ref="L24" r:id="rId23"/>
    <hyperlink display="http://discuss.jiucaishuo.com/?/invest/showData/search_gu-si801742" ref="L25" r:id="rId24"/>
    <hyperlink display="http://discuss.jiucaishuo.com/?/invest/showData/search_gu-si801741" ref="L26" r:id="rId25"/>
    <hyperlink display="http://discuss.jiucaishuo.com/?/invest/showData/search_gu-si801744" ref="L27" r:id="rId26"/>
    <hyperlink display="http://discuss.jiucaishuo.com/?/invest/showData/search_gu-si801155" ref="L28" r:id="rId27"/>
    <hyperlink display="http://discuss.jiucaishuo.com/?/invest/showData/search_gu-si801156" ref="L29" r:id="rId28"/>
    <hyperlink display="http://discuss.jiucaishuo.com/?/invest/showData/search_gu-si801153" ref="L30" r:id="rId29"/>
    <hyperlink display="http://discuss.jiucaishuo.com/?/invest/showData/search_gu-si801154" ref="L31" r:id="rId30"/>
    <hyperlink display="http://discuss.jiucaishuo.com/?/invest/showData/search_gu-si801152" ref="L32" r:id="rId31"/>
    <hyperlink display="http://discuss.jiucaishuo.com/?/invest/showData/search_gu-si801151" ref="L33" r:id="rId32"/>
    <hyperlink display="http://discuss.jiucaishuo.com/?/invest/showData/search_gu-si801182" ref="L34" r:id="rId33"/>
    <hyperlink display="http://discuss.jiucaishuo.com/?/invest/showData/search_gu-si801181" ref="L35" r:id="rId34"/>
    <hyperlink display="http://discuss.jiucaishuo.com/?/invest/showData/search_gu-si801013" ref="L36" r:id="rId35"/>
    <hyperlink display="http://discuss.jiucaishuo.com/?/invest/showData/search_gu-si801012" ref="L37" r:id="rId36"/>
    <hyperlink display="http://discuss.jiucaishuo.com/?/invest/showData/search_gu-si801018" ref="L38" r:id="rId37"/>
    <hyperlink display="http://discuss.jiucaishuo.com/?/invest/showData/search_gu-si801011" ref="L39" r:id="rId38"/>
    <hyperlink display="http://discuss.jiucaishuo.com/?/invest/showData/search_gu-si801015" ref="L40" r:id="rId39"/>
    <hyperlink display="http://discuss.jiucaishuo.com/?/invest/showData/search_gu-si801017" ref="L41" r:id="rId40"/>
    <hyperlink display="http://discuss.jiucaishuo.com/?/invest/showData/search_gu-si801016" ref="L42" r:id="rId41"/>
    <hyperlink display="http://discuss.jiucaishuo.com/?/invest/showData/search_gu-si801014" ref="L43" r:id="rId42"/>
    <hyperlink display="http://discuss.jiucaishuo.com/?/invest/showData/search_gu-si801205" ref="L44" r:id="rId43"/>
    <hyperlink display="http://discuss.jiucaishuo.com/?/invest/showData/search_gu-si801202" ref="L45" r:id="rId44"/>
    <hyperlink display="http://discuss.jiucaishuo.com/?/invest/showData/search_gu-si801112" ref="L46" r:id="rId45"/>
    <hyperlink display="http://discuss.jiucaishuo.com/?/invest/showData/search_gu-si801111" ref="L47" r:id="rId46"/>
    <hyperlink display="http://discuss.jiucaishuo.com/?/invest/showData/search_gu-si801094" ref="L48" r:id="rId47"/>
    <hyperlink display="http://discuss.jiucaishuo.com/?/invest/showData/search_gu-si801093" ref="L49" r:id="rId48"/>
    <hyperlink display="http://discuss.jiucaishuo.com/?/invest/showData/search_gu-si801092" ref="L50" r:id="rId49"/>
    <hyperlink display="http://discuss.jiucaishuo.com/?/invest/showData/search_gu-si801132" ref="L51" r:id="rId50"/>
    <hyperlink display="http://discuss.jiucaishuo.com/?/invest/showData/search_gu-si801131" ref="L52" r:id="rId51"/>
    <hyperlink display="http://discuss.jiucaishuo.com/?/invest/showData/search_gu-si801123" ref="L53" r:id="rId52"/>
    <hyperlink display="http://discuss.jiucaishuo.com/?/invest/showData/search_gu-si801204" ref="L54" r:id="rId53"/>
    <hyperlink display="http://discuss.jiucaishuo.com/?/invest/showData/search_gu-si801203" ref="L55" r:id="rId54"/>
    <hyperlink display="http://discuss.jiucaishuo.com/?/invest/showData/search_gu-si801124" ref="L56" r:id="rId55"/>
    <hyperlink display="http://discuss.jiucaishuo.com/?/invest/showData/search_gu-si801725" ref="L57" r:id="rId56"/>
    <hyperlink display="http://discuss.jiucaishuo.com/?/invest/showData/search_gu-si801724" ref="L58" r:id="rId57"/>
    <hyperlink display="http://discuss.jiucaishuo.com/?/invest/showData/search_gu-si801723" ref="L59" r:id="rId58"/>
    <hyperlink display="http://discuss.jiucaishuo.com/?/invest/showData/search_gu-si801711" ref="L60" r:id="rId59"/>
    <hyperlink display="http://discuss.jiucaishuo.com/?/invest/showData/search_gu-si801712" ref="L61" r:id="rId60"/>
    <hyperlink display="http://discuss.jiucaishuo.com/?/invest/showData/search_gu-si801713" ref="L62" r:id="rId61"/>
    <hyperlink display="http://discuss.jiucaishuo.com/?/invest/showData/search_gu-si801721" ref="L63" r:id="rId62"/>
    <hyperlink display="http://discuss.jiucaishuo.com/?/invest/showData/search_gu-si801074" ref="L64" r:id="rId63"/>
    <hyperlink display="http://discuss.jiucaishuo.com/?/invest/showData/search_gu-si801072" ref="L65" r:id="rId64"/>
    <hyperlink display="http://discuss.jiucaishuo.com/?/invest/showData/search_gu-si801722" ref="L66" r:id="rId65"/>
    <hyperlink display="http://discuss.jiucaishuo.com/?/invest/showData/search_gu-si801215" ref="L67" r:id="rId66"/>
    <hyperlink display="http://discuss.jiucaishuo.com/?/invest/showData/search_gu-si801214" ref="L68" r:id="rId67"/>
    <hyperlink display="http://discuss.jiucaishuo.com/?/invest/showData/search_gu-si801212" ref="L69" r:id="rId68"/>
    <hyperlink display="http://discuss.jiucaishuo.com/?/invest/showData/search_gu-si801213" ref="L70" r:id="rId69"/>
    <hyperlink display="http://discuss.jiucaishuo.com/?/invest/showData/search_gu-si801211" ref="L71" r:id="rId70"/>
    <hyperlink display="http://discuss.jiucaishuo.com/?/invest/showData/search_gu-si801162" ref="L72" r:id="rId71"/>
    <hyperlink display="http://discuss.jiucaishuo.com/?/invest/showData/search_gu-si801164" ref="L73" r:id="rId72"/>
    <hyperlink display="http://discuss.jiucaishuo.com/?/invest/showData/search_gu-si801163" ref="L74" r:id="rId73"/>
    <hyperlink display="http://discuss.jiucaishuo.com/?/invest/showData/search_gu-si801161" ref="L75" r:id="rId74"/>
    <hyperlink display="http://discuss.jiucaishuo.com/?/invest/showData/search_gu-si801734" ref="L76" r:id="rId75"/>
    <hyperlink display="http://discuss.jiucaishuo.com/?/invest/showData/search_gu-si801733" ref="L77" r:id="rId76"/>
    <hyperlink display="http://discuss.jiucaishuo.com/?/invest/showData/search_gu-si801731" ref="L78" r:id="rId77"/>
    <hyperlink display="http://discuss.jiucaishuo.com/?/invest/showData/search_gu-si801732" ref="L79" r:id="rId78"/>
    <hyperlink display="http://discuss.jiucaishuo.com/?/invest/showData/search_gu-si801231" ref="L80" r:id="rId79"/>
    <hyperlink display="http://discuss.jiucaishuo.com/?/invest/showData/search_gu-si801037" ref="L81" r:id="rId80"/>
    <hyperlink display="http://discuss.jiucaishuo.com/?/invest/showData/search_gu-si801036" ref="L82" r:id="rId81"/>
    <hyperlink display="http://discuss.jiucaishuo.com/?/invest/showData/search_gu-si801035" ref="L83" r:id="rId82"/>
    <hyperlink display="http://discuss.jiucaishuo.com/?/invest/showData/search_gu-si801034" ref="L84" r:id="rId83"/>
    <hyperlink display="http://discuss.jiucaishuo.com/?/invest/showData/search_gu-si801033" ref="L85" r:id="rId84"/>
    <hyperlink display="http://discuss.jiucaishuo.com/?/invest/showData/search_gu-si801032" ref="L86" r:id="rId85"/>
    <hyperlink display="http://discuss.jiucaishuo.com/?/invest/showData/search_gu-si801055" ref="L87" r:id="rId86"/>
    <hyperlink display="http://discuss.jiucaishuo.com/?/invest/showData/search_gu-si801054" ref="L88" r:id="rId87"/>
    <hyperlink display="http://discuss.jiucaishuo.com/?/invest/showData/search_gu-si801053" ref="L89" r:id="rId88"/>
    <hyperlink display="http://discuss.jiucaishuo.com/?/invest/showData/search_gu-si801051" ref="L90" r:id="rId89"/>
    <hyperlink display="http://discuss.jiucaishuo.com/?/invest/showData/search_gu-si801021" ref="L91" r:id="rId90"/>
    <hyperlink display="http://discuss.jiucaishuo.com/?/invest/showData/search_gu-si801023" ref="L92" r:id="rId91"/>
    <hyperlink display="http://discuss.jiucaishuo.com/?/invest/showData/search_gu-si801024" ref="L93" r:id="rId92"/>
    <hyperlink display="http://discuss.jiucaishuo.com/?/invest/showData/search_gu-si801075" ref="L94" r:id="rId93"/>
    <hyperlink display="http://discuss.jiucaishuo.com/?/invest/showData/search_gu-si801041" ref="L95" r:id="rId94"/>
    <hyperlink display="http://discuss.jiucaishuo.com/?/invest/showData/search_gu-si801022" ref="L96" r:id="rId95"/>
    <hyperlink display="http://discuss.jiucaishuo.com/?/invest/showData/search_gu-si801144" ref="L97" r:id="rId96"/>
    <hyperlink display="http://discuss.jiucaishuo.com/?/invest/showData/search_gu-si801141" ref="L98" r:id="rId97"/>
    <hyperlink display="http://discuss.jiucaishuo.com/?/invest/showData/search_gu-si801142" ref="L99" r:id="rId98"/>
    <hyperlink display="http://discuss.jiucaishuo.com/?/invest/showData/search_gu-si801143" ref="L100" r:id="rId99"/>
    <hyperlink display="http://discuss.jiucaishuo.com/?/invest/showData/search_gu-si801194" ref="L101" r:id="rId100"/>
    <hyperlink display="http://discuss.jiucaishuo.com/?/invest/showData/search_gu-si801193" ref="L102" r:id="rId101"/>
    <hyperlink display="http://discuss.jiucaishuo.com/?/invest/showData/search_gu-si801192" ref="L103" r:id="rId102"/>
    <hyperlink display="http://discuss.jiucaishuo.com/?/invest/showData/search_gu-si801191" ref="L104" r:id="rId103"/>
    <hyperlink display="http://discuss.jiucaishuo.com/?/invest/showData/search_gu-si801073" ref="L105" r:id="rId104"/>
  </hyperlinks>
  <pageMargins bottom="0.75" footer="0.3" header="0.3" left="0.7" right="0.7" top="0.7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46"/>
  <sheetViews>
    <sheetView workbookViewId="0" zoomScale="115">
      <pane activePane="bottomLeft" state="frozen" topLeftCell="A321" ySplit="1"/>
      <selection activeCell="A342" pane="bottomLeft" sqref="A342"/>
    </sheetView>
  </sheetViews>
  <sheetFormatPr baseColWidth="10" defaultRowHeight="16"/>
  <cols>
    <col customWidth="1" max="2" min="1" style="155" width="22.83203125"/>
    <col customWidth="1" max="3" min="3" style="155" width="16.1640625"/>
    <col customWidth="1" max="4" min="4" style="101" width="10.83203125"/>
    <col bestFit="1" customWidth="1" max="5" min="5" style="155" width="11.6640625"/>
    <col customWidth="1" max="6" min="6" style="155" width="11.6640625"/>
    <col customWidth="1" max="7" min="7" style="155" width="10.83203125"/>
    <col bestFit="1" customWidth="1" max="8" min="8" style="155" width="13.6640625"/>
    <col customWidth="1" max="10" min="10" style="155" width="10.83203125"/>
    <col bestFit="1" customWidth="1" max="11" min="11" style="155" width="13.6640625"/>
  </cols>
  <sheetData>
    <row r="1">
      <c r="B1" t="inlineStr">
        <is>
          <t>earning icrease ytoy</t>
        </is>
      </c>
      <c r="C1" t="inlineStr">
        <is>
          <t>book icrease ytoy</t>
        </is>
      </c>
      <c r="D1" s="101" t="n">
        <v>2014.03</v>
      </c>
      <c r="E1" t="n">
        <v>2019.03</v>
      </c>
      <c r="G1" s="127" t="inlineStr">
        <is>
          <t>close_point</t>
        </is>
      </c>
      <c r="H1" s="127" t="inlineStr">
        <is>
          <t>current</t>
        </is>
      </c>
      <c r="J1" s="127" t="inlineStr">
        <is>
          <t>close_point</t>
        </is>
      </c>
      <c r="K1" s="127" t="inlineStr">
        <is>
          <t>current</t>
        </is>
      </c>
    </row>
    <row r="2">
      <c r="A2" s="78" t="inlineStr">
        <is>
          <t>上证50</t>
        </is>
      </c>
      <c r="B2" s="98">
        <f>(E3/D3)^(1/5)-1</f>
        <v/>
      </c>
      <c r="C2" s="98">
        <f>(E2/D2)^(1/5)-1</f>
        <v/>
      </c>
      <c r="D2" s="101">
        <f>G2/H4</f>
        <v/>
      </c>
      <c r="E2" s="101">
        <f>J2/K4</f>
        <v/>
      </c>
      <c r="F2" s="101" t="n"/>
      <c r="G2" t="n">
        <v>1455</v>
      </c>
      <c r="H2" s="47" t="n">
        <v>7.21</v>
      </c>
      <c r="J2" t="n">
        <v>2828</v>
      </c>
      <c r="K2" s="40" t="n">
        <v>10.13</v>
      </c>
    </row>
    <row r="3">
      <c r="A3" t="inlineStr">
        <is>
          <t>000016</t>
        </is>
      </c>
      <c r="D3" s="101">
        <f>G2/H2</f>
        <v/>
      </c>
      <c r="E3" s="101">
        <f>J2/K2</f>
        <v/>
      </c>
      <c r="F3" s="101" t="n"/>
      <c r="G3" s="128" t="n"/>
      <c r="H3" s="47" t="n"/>
      <c r="J3" s="128" t="n"/>
      <c r="K3" s="41" t="n"/>
    </row>
    <row r="4">
      <c r="A4" t="inlineStr">
        <is>
          <t>2004-01-01T16:00:00.000Z</t>
        </is>
      </c>
      <c r="E4" s="101" t="n"/>
      <c r="F4" s="101" t="n"/>
      <c r="G4" s="128" t="n"/>
      <c r="H4" s="47" t="n">
        <v>1.16</v>
      </c>
      <c r="J4" s="128" t="n"/>
      <c r="K4" s="41" t="n">
        <v>1.28</v>
      </c>
    </row>
    <row r="5">
      <c r="A5" t="n">
        <v>2.49</v>
      </c>
      <c r="E5" s="101" t="n"/>
      <c r="F5" s="101" t="n"/>
      <c r="G5" s="128" t="n"/>
      <c r="H5" s="47" t="n"/>
      <c r="J5" s="128" t="n"/>
      <c r="K5" s="41" t="n"/>
    </row>
    <row r="6">
      <c r="E6" s="101" t="n"/>
      <c r="F6" s="101" t="n"/>
      <c r="H6" s="99">
        <f>H4/H2</f>
        <v/>
      </c>
      <c r="I6" s="99" t="n"/>
      <c r="J6" s="99" t="n"/>
      <c r="K6" s="99">
        <f>K4/K2</f>
        <v/>
      </c>
    </row>
    <row r="7">
      <c r="A7" s="78" t="inlineStr">
        <is>
          <t>沪深300</t>
        </is>
      </c>
      <c r="B7" s="98">
        <f>(E8/D8)^(1/5)-1</f>
        <v/>
      </c>
      <c r="C7" s="98">
        <f>(E7/D7)^(1/5)-1</f>
        <v/>
      </c>
      <c r="D7" s="101">
        <f>G7/H9</f>
        <v/>
      </c>
      <c r="E7" s="101">
        <f>J7/K9</f>
        <v/>
      </c>
      <c r="F7" s="101" t="n"/>
      <c r="G7" t="n">
        <v>2168</v>
      </c>
      <c r="H7" s="47" t="n">
        <v>8.460000000000001</v>
      </c>
      <c r="J7" t="n">
        <v>3816</v>
      </c>
      <c r="K7" s="40" t="n">
        <v>12.58</v>
      </c>
    </row>
    <row r="8">
      <c r="A8" t="inlineStr">
        <is>
          <t>000300</t>
        </is>
      </c>
      <c r="D8" s="101">
        <f>G7/H7</f>
        <v/>
      </c>
      <c r="E8" s="101">
        <f>J7/K7</f>
        <v/>
      </c>
      <c r="F8" s="101" t="n"/>
      <c r="G8" s="128" t="n"/>
      <c r="H8" s="48" t="n"/>
      <c r="J8" s="128" t="n"/>
      <c r="K8" s="41" t="n"/>
    </row>
    <row r="9">
      <c r="A9" t="inlineStr">
        <is>
          <t>2005-04-07T16:00:00.000Z</t>
        </is>
      </c>
      <c r="E9" s="101" t="n"/>
      <c r="F9" s="101" t="n"/>
      <c r="G9" s="128" t="n"/>
      <c r="H9" s="47" t="n">
        <v>1.27</v>
      </c>
      <c r="J9" s="128" t="n"/>
      <c r="K9" s="41" t="n">
        <v>1.55</v>
      </c>
    </row>
    <row r="10">
      <c r="A10" t="n">
        <v>2.66</v>
      </c>
      <c r="E10" s="101" t="n"/>
      <c r="F10" s="101" t="n"/>
      <c r="G10" s="128" t="n"/>
      <c r="H10" s="48" t="n"/>
      <c r="J10" s="128" t="n"/>
      <c r="K10" s="41" t="n"/>
    </row>
    <row r="11">
      <c r="E11" s="101" t="n"/>
      <c r="F11" s="101" t="n"/>
      <c r="H11" s="99">
        <f>H9/H7</f>
        <v/>
      </c>
      <c r="I11" s="99" t="n"/>
      <c r="J11" s="99" t="n"/>
      <c r="K11" s="99">
        <f>K9/K7</f>
        <v/>
      </c>
    </row>
    <row r="12">
      <c r="A12" t="inlineStr">
        <is>
          <t>食品饮料</t>
        </is>
      </c>
      <c r="B12" s="98">
        <f>(E13/D13)^(1/5)-1</f>
        <v/>
      </c>
      <c r="C12" s="98">
        <f>(E12/D12)^(1/5)-1</f>
        <v/>
      </c>
      <c r="D12" s="101">
        <f>G12/H14</f>
        <v/>
      </c>
      <c r="E12" s="101">
        <f>J12/K14</f>
        <v/>
      </c>
      <c r="F12" s="101" t="n"/>
      <c r="G12" t="n">
        <v>6245</v>
      </c>
      <c r="H12" s="49" t="n">
        <v>17.06</v>
      </c>
      <c r="J12" t="n">
        <v>16909</v>
      </c>
      <c r="K12" s="42" t="n">
        <v>31.81</v>
      </c>
    </row>
    <row r="13">
      <c r="A13" t="inlineStr">
        <is>
          <t>000807</t>
        </is>
      </c>
      <c r="D13" s="101">
        <f>G12/H12</f>
        <v/>
      </c>
      <c r="E13" s="101">
        <f>J12/K12</f>
        <v/>
      </c>
      <c r="F13" s="101" t="n"/>
      <c r="H13" s="50" t="n"/>
      <c r="K13" s="86" t="n"/>
    </row>
    <row r="14">
      <c r="A14" t="inlineStr">
        <is>
          <t>2012-02-16T16:00:00.000Z</t>
        </is>
      </c>
      <c r="E14" s="101" t="n"/>
      <c r="F14" s="101" t="n"/>
      <c r="H14" s="51" t="n">
        <v>3.51</v>
      </c>
      <c r="K14" s="42" t="n">
        <v>6.69</v>
      </c>
    </row>
    <row r="15">
      <c r="A15" t="n">
        <v>2.93</v>
      </c>
      <c r="E15" s="101" t="n"/>
      <c r="F15" s="101" t="n"/>
      <c r="H15" s="49" t="n"/>
      <c r="K15" s="86" t="n"/>
    </row>
    <row r="16">
      <c r="E16" s="101" t="n"/>
      <c r="F16" s="101" t="n"/>
      <c r="H16" s="99">
        <f>H14/H12</f>
        <v/>
      </c>
      <c r="I16" s="99" t="n"/>
      <c r="J16" s="99" t="n"/>
      <c r="K16" s="99">
        <f>K14/K12</f>
        <v/>
      </c>
    </row>
    <row r="17">
      <c r="A17" s="80" t="inlineStr">
        <is>
          <t>医药生物</t>
        </is>
      </c>
      <c r="B17" s="98">
        <f>(E18/D18)^(1/4)-1</f>
        <v/>
      </c>
      <c r="C17" s="98">
        <f>(E17/D17)^(1/4)-1</f>
        <v/>
      </c>
      <c r="D17" s="101">
        <f>G17/H19</f>
        <v/>
      </c>
      <c r="E17" s="101">
        <f>J17/K19</f>
        <v/>
      </c>
      <c r="F17" s="101" t="n"/>
      <c r="G17" t="n">
        <v>7158.18</v>
      </c>
      <c r="H17" s="50" t="n">
        <v>35.99416906154764</v>
      </c>
      <c r="J17" t="n">
        <v>8660.469999999999</v>
      </c>
      <c r="K17" s="86" t="n">
        <v>27.0255020604659</v>
      </c>
    </row>
    <row r="18">
      <c r="A18" t="inlineStr">
        <is>
          <t>000808</t>
        </is>
      </c>
      <c r="D18" s="101">
        <f>G17/H17</f>
        <v/>
      </c>
      <c r="E18" s="101">
        <f>J17/K17</f>
        <v/>
      </c>
      <c r="F18" s="101" t="n"/>
      <c r="H18" s="50" t="n">
        <v>41.06949674442767</v>
      </c>
      <c r="K18" s="86" t="n">
        <v>23.40346311226287</v>
      </c>
    </row>
    <row r="19">
      <c r="A19" t="inlineStr">
        <is>
          <t>2012-02-16T16:00:00.000Z</t>
        </is>
      </c>
      <c r="E19" s="101" t="n"/>
      <c r="F19" s="101" t="n"/>
      <c r="H19" s="50" t="n">
        <v>4.475421454517686</v>
      </c>
      <c r="K19" s="86" t="n">
        <v>3.561285856896807</v>
      </c>
    </row>
    <row r="20">
      <c r="A20" t="n">
        <v>3.41</v>
      </c>
      <c r="E20" s="101" t="n"/>
      <c r="F20" s="101" t="n"/>
      <c r="H20" s="50" t="n">
        <v>4.566462846883828</v>
      </c>
      <c r="K20" s="86" t="n">
        <v>2.701233557280279</v>
      </c>
    </row>
    <row r="21">
      <c r="E21" s="101" t="n"/>
      <c r="F21" s="101" t="n"/>
      <c r="H21" s="99">
        <f>H19/H17</f>
        <v/>
      </c>
      <c r="I21" s="99" t="n"/>
      <c r="J21" s="99" t="n"/>
      <c r="K21" s="99">
        <f>K19/K17</f>
        <v/>
      </c>
    </row>
    <row r="22">
      <c r="A22" s="78" t="inlineStr">
        <is>
          <t>中证环保</t>
        </is>
      </c>
      <c r="B22" s="98">
        <f>(E23/D23)^(1/5)-1</f>
        <v/>
      </c>
      <c r="C22" s="98">
        <f>(E22/D22)^(1/5)-1</f>
        <v/>
      </c>
      <c r="D22" s="101">
        <f>G22/H25</f>
        <v/>
      </c>
      <c r="E22" s="101">
        <f>J22/K25</f>
        <v/>
      </c>
      <c r="F22" s="101" t="n"/>
      <c r="G22" t="n">
        <v>1221</v>
      </c>
      <c r="H22" s="48" t="n"/>
      <c r="J22" t="n">
        <v>1417</v>
      </c>
      <c r="K22" s="41" t="n"/>
    </row>
    <row r="23">
      <c r="A23" t="inlineStr">
        <is>
          <t>000827</t>
        </is>
      </c>
      <c r="D23" s="101">
        <f>G22/H23</f>
        <v/>
      </c>
      <c r="E23" s="101">
        <f>J22/K23</f>
        <v/>
      </c>
      <c r="F23" s="101" t="n"/>
      <c r="G23" s="128" t="n"/>
      <c r="H23" s="48" t="n">
        <v>39.06</v>
      </c>
      <c r="J23" s="128" t="n"/>
      <c r="K23" s="41" t="n">
        <v>28.09</v>
      </c>
    </row>
    <row r="24">
      <c r="A24" t="inlineStr">
        <is>
          <t>2012-09-24T16:00:00.000Z</t>
        </is>
      </c>
      <c r="E24" s="101" t="n"/>
      <c r="F24" s="101" t="n"/>
      <c r="G24" s="128" t="n"/>
      <c r="H24" s="52" t="n"/>
      <c r="J24" s="128" t="n"/>
      <c r="K24" s="41" t="n"/>
    </row>
    <row r="25">
      <c r="A25" t="n">
        <v>4.3</v>
      </c>
      <c r="E25" s="101" t="n"/>
      <c r="F25" s="101" t="n"/>
      <c r="G25" s="128" t="n"/>
      <c r="H25" s="52" t="n">
        <v>2.84</v>
      </c>
      <c r="J25" s="128" t="n"/>
      <c r="K25" s="41" t="n">
        <v>2.15</v>
      </c>
    </row>
    <row r="26">
      <c r="E26" s="101" t="n"/>
      <c r="F26" s="101" t="n"/>
      <c r="H26" s="99">
        <f>H25/H23</f>
        <v/>
      </c>
      <c r="I26" s="99" t="n"/>
      <c r="J26" s="99" t="n"/>
      <c r="K26" s="99">
        <f>K25/K23</f>
        <v/>
      </c>
    </row>
    <row r="27">
      <c r="A27" s="81" t="inlineStr">
        <is>
          <t>中证1000</t>
        </is>
      </c>
      <c r="B27" s="98">
        <f>(E28/D28)^(1/4)-1</f>
        <v/>
      </c>
      <c r="C27" s="98">
        <f>(E27/D27)^(1/4)-1</f>
        <v/>
      </c>
      <c r="D27" s="101">
        <f>G27/H29</f>
        <v/>
      </c>
      <c r="E27" s="101">
        <f>J27/K29</f>
        <v/>
      </c>
      <c r="F27" s="101" t="n"/>
      <c r="G27" t="n">
        <v>6240.77</v>
      </c>
      <c r="H27" s="50" t="n">
        <v>64.59067361981795</v>
      </c>
      <c r="J27" t="n">
        <v>4847.04</v>
      </c>
      <c r="K27" s="86" t="n">
        <v>21.97433619813834</v>
      </c>
    </row>
    <row r="28">
      <c r="A28" t="inlineStr">
        <is>
          <t>000852</t>
        </is>
      </c>
      <c r="D28" s="101">
        <f>G27/H27</f>
        <v/>
      </c>
      <c r="E28" s="101">
        <f>J27/K27</f>
        <v/>
      </c>
      <c r="F28" s="101" t="n"/>
      <c r="H28" s="50" t="n">
        <v>65.29711484279308</v>
      </c>
      <c r="K28" s="86" t="n">
        <v>26.02572506011088</v>
      </c>
    </row>
    <row r="29">
      <c r="A29" t="inlineStr">
        <is>
          <t>2014-10-16T16:00:00.000Z</t>
        </is>
      </c>
      <c r="E29" s="101" t="n"/>
      <c r="F29" s="101" t="n"/>
      <c r="H29" s="49" t="n">
        <v>3.897432486065544</v>
      </c>
      <c r="K29" s="86" t="n">
        <v>1.958971305635763</v>
      </c>
    </row>
    <row r="30">
      <c r="A30" t="n">
        <v>5.04</v>
      </c>
      <c r="E30" s="101" t="n"/>
      <c r="F30" s="101" t="n"/>
      <c r="H30" s="49" t="n">
        <v>3.654384336299279</v>
      </c>
      <c r="K30" s="86" t="n">
        <v>1.836747154714023</v>
      </c>
    </row>
    <row r="31">
      <c r="E31" s="101" t="n"/>
      <c r="F31" s="101" t="n"/>
      <c r="H31" s="99">
        <f>H29/H27</f>
        <v/>
      </c>
      <c r="I31" s="99" t="n"/>
      <c r="J31" s="99" t="n"/>
      <c r="K31" s="99">
        <f>K29/K27</f>
        <v/>
      </c>
    </row>
    <row r="32">
      <c r="A32" s="80" t="inlineStr">
        <is>
          <t>中证500</t>
        </is>
      </c>
      <c r="B32" s="98">
        <f>(E33/D33)^(1/6)-1</f>
        <v/>
      </c>
      <c r="C32" s="98">
        <f>(E32/D32)^(1/6)-1</f>
        <v/>
      </c>
      <c r="D32" s="101">
        <f>G32/H34</f>
        <v/>
      </c>
      <c r="E32" s="101">
        <f>J32/K34</f>
        <v/>
      </c>
      <c r="F32" s="101" t="n"/>
      <c r="G32" t="n">
        <v>3005</v>
      </c>
      <c r="H32" s="53" t="n">
        <v>28.36</v>
      </c>
      <c r="J32" t="n">
        <v>4554.67</v>
      </c>
      <c r="K32" s="41" t="n">
        <v>19.53272725377498</v>
      </c>
      <c r="L32" t="n">
        <v>1651</v>
      </c>
      <c r="M32" t="n">
        <v>1875</v>
      </c>
      <c r="N32" t="n">
        <v>2025</v>
      </c>
      <c r="O32" t="n">
        <v>2254</v>
      </c>
      <c r="P32" t="n">
        <v>2543</v>
      </c>
      <c r="Q32" t="n">
        <v>2700</v>
      </c>
    </row>
    <row r="33">
      <c r="A33" t="inlineStr">
        <is>
          <t>000905</t>
        </is>
      </c>
      <c r="D33" s="101">
        <f>G32/H32</f>
        <v/>
      </c>
      <c r="E33" s="101">
        <f>J32/K32</f>
        <v/>
      </c>
      <c r="F33" s="101" t="n"/>
      <c r="G33" s="128" t="n"/>
      <c r="H33" s="48" t="n"/>
      <c r="J33" s="128" t="n"/>
      <c r="K33" s="41" t="n">
        <v>24.89961385263549</v>
      </c>
      <c r="M33">
        <f>M32/L32</f>
        <v/>
      </c>
      <c r="N33">
        <f>N32/M32</f>
        <v/>
      </c>
      <c r="O33">
        <f>O32/N32</f>
        <v/>
      </c>
      <c r="P33">
        <f>P32/O32</f>
        <v/>
      </c>
      <c r="Q33">
        <f>Q32/P32</f>
        <v/>
      </c>
    </row>
    <row r="34">
      <c r="A34" t="inlineStr">
        <is>
          <t>2007-01-14T16:00:00.000Z</t>
        </is>
      </c>
      <c r="E34" s="101" t="n"/>
      <c r="F34" s="101" t="n"/>
      <c r="G34" s="128" t="n"/>
      <c r="H34" s="48" t="n">
        <v>1.98</v>
      </c>
      <c r="J34" s="128" t="n"/>
      <c r="K34" s="41" t="n">
        <v>1.690138011466291</v>
      </c>
    </row>
    <row r="35">
      <c r="A35" t="n">
        <v>4.3</v>
      </c>
      <c r="E35" s="101" t="n"/>
      <c r="F35" s="101" t="n"/>
      <c r="G35" s="128" t="n"/>
      <c r="H35" s="48" t="n"/>
      <c r="J35" s="128" t="n"/>
      <c r="K35" s="41" t="n">
        <v>1.573936253491191</v>
      </c>
    </row>
    <row r="36">
      <c r="E36" s="101" t="n"/>
      <c r="F36" s="101" t="n"/>
      <c r="H36" s="99">
        <f>H34/H32</f>
        <v/>
      </c>
      <c r="I36" s="99" t="n"/>
      <c r="J36" s="99" t="n"/>
      <c r="K36" s="99">
        <f>K34/K32</f>
        <v/>
      </c>
    </row>
    <row r="37">
      <c r="A37" s="80" t="inlineStr">
        <is>
          <t>中证500 SNLV</t>
        </is>
      </c>
      <c r="B37" s="98">
        <f>(E38/D38)^(1/3)-1</f>
        <v/>
      </c>
      <c r="C37" s="98">
        <f>(E37/D37)^(1/3)-1</f>
        <v/>
      </c>
      <c r="D37" s="101">
        <f>G37/H39</f>
        <v/>
      </c>
      <c r="E37" s="101">
        <f>J37/K39</f>
        <v/>
      </c>
      <c r="F37" s="101" t="n"/>
      <c r="G37" t="n">
        <v>12655</v>
      </c>
      <c r="H37" s="53" t="n">
        <v>33.18</v>
      </c>
      <c r="J37" t="n">
        <v>14509</v>
      </c>
      <c r="K37" s="41" t="n">
        <v>24.29</v>
      </c>
    </row>
    <row r="38">
      <c r="D38" s="101">
        <f>G37/H37</f>
        <v/>
      </c>
      <c r="E38" s="101">
        <f>J37/K37</f>
        <v/>
      </c>
      <c r="F38" s="101" t="n"/>
      <c r="G38" s="128" t="n"/>
      <c r="H38" s="48" t="n"/>
      <c r="J38" s="128" t="n"/>
      <c r="K38" s="41" t="n"/>
    </row>
    <row r="39">
      <c r="E39" s="101" t="n"/>
      <c r="F39" s="101" t="n"/>
      <c r="G39" s="128" t="n"/>
      <c r="H39" s="48" t="n">
        <v>2.58</v>
      </c>
      <c r="J39" s="128" t="n"/>
      <c r="K39" s="41" t="n">
        <v>1.690138011466291</v>
      </c>
    </row>
    <row r="40">
      <c r="A40" t="n">
        <v>4.3</v>
      </c>
      <c r="E40" s="101" t="n"/>
      <c r="F40" s="101" t="n"/>
      <c r="G40" s="128" t="n"/>
      <c r="H40" s="48" t="n"/>
      <c r="J40" s="128" t="n"/>
      <c r="K40" s="41" t="n"/>
    </row>
    <row r="41">
      <c r="E41" s="101" t="n"/>
      <c r="F41" s="101" t="n"/>
      <c r="H41" s="99">
        <f>H39/H37</f>
        <v/>
      </c>
      <c r="I41" s="99" t="n"/>
      <c r="J41" s="99" t="n"/>
      <c r="K41" s="99">
        <f>K39/K37</f>
        <v/>
      </c>
    </row>
    <row r="42">
      <c r="A42" s="81" t="inlineStr">
        <is>
          <t>中证红利</t>
        </is>
      </c>
      <c r="B42" s="98">
        <f>(E43/D43)^(1/5)-1</f>
        <v/>
      </c>
      <c r="C42" s="98">
        <f>(E42/D42)^(1/5)-1</f>
        <v/>
      </c>
      <c r="D42" s="101">
        <f>G42/H44</f>
        <v/>
      </c>
      <c r="E42" s="101">
        <f>J42/K44</f>
        <v/>
      </c>
      <c r="F42" s="101" t="n"/>
      <c r="G42" t="n">
        <v>2266</v>
      </c>
      <c r="H42" s="47" t="n">
        <v>6.26</v>
      </c>
      <c r="J42" t="n">
        <v>4608</v>
      </c>
      <c r="K42" s="41" t="n">
        <v>8.369999999999999</v>
      </c>
    </row>
    <row r="43">
      <c r="A43" t="inlineStr">
        <is>
          <t>000922</t>
        </is>
      </c>
      <c r="D43" s="101">
        <f>G42/H42</f>
        <v/>
      </c>
      <c r="E43" s="101">
        <f>J42/K42</f>
        <v/>
      </c>
      <c r="F43" s="101" t="n"/>
      <c r="G43" s="128" t="n"/>
      <c r="H43" s="48" t="n"/>
      <c r="J43" s="128" t="n"/>
      <c r="K43" s="41" t="n"/>
    </row>
    <row r="44">
      <c r="A44" t="inlineStr">
        <is>
          <t>2008-05-25T16:00:00.000Z</t>
        </is>
      </c>
      <c r="E44" s="101" t="n"/>
      <c r="F44" s="101" t="n"/>
      <c r="G44" s="128" t="n"/>
      <c r="H44" s="47" t="n">
        <v>1.04</v>
      </c>
      <c r="J44" s="128" t="n"/>
      <c r="K44" s="41" t="n">
        <v>1.13</v>
      </c>
    </row>
    <row r="45">
      <c r="A45" t="n">
        <v>3</v>
      </c>
      <c r="E45" s="101" t="n"/>
      <c r="F45" s="101" t="n"/>
      <c r="G45" s="128" t="n"/>
      <c r="H45" s="48" t="n"/>
      <c r="J45" s="128" t="n"/>
      <c r="K45" s="41" t="n"/>
    </row>
    <row r="46">
      <c r="E46" s="101" t="n"/>
      <c r="F46" s="101" t="n"/>
      <c r="H46" s="99">
        <f>H44/H42</f>
        <v/>
      </c>
      <c r="I46" s="99" t="n"/>
      <c r="J46" s="99" t="n"/>
      <c r="K46" s="99">
        <f>K44/K42</f>
        <v/>
      </c>
    </row>
    <row r="47">
      <c r="A47" s="78" t="inlineStr">
        <is>
          <t>中证能源</t>
        </is>
      </c>
      <c r="B47" s="98">
        <f>(E48/D48)^(1/4)-1</f>
        <v/>
      </c>
      <c r="C47" s="98">
        <f>(E47/D47)^(1/4)-1</f>
        <v/>
      </c>
      <c r="D47" s="101">
        <f>G47/H49</f>
        <v/>
      </c>
      <c r="E47" s="101">
        <f>J47/K49</f>
        <v/>
      </c>
      <c r="F47" s="101" t="n"/>
      <c r="G47" t="n">
        <v>2013.18</v>
      </c>
      <c r="H47" s="54" t="n">
        <v>11.27196574612312</v>
      </c>
      <c r="J47" t="n">
        <v>1802.2</v>
      </c>
      <c r="K47" s="42" t="n">
        <v>14.14831147601285</v>
      </c>
    </row>
    <row r="48">
      <c r="A48" t="inlineStr">
        <is>
          <t>000928</t>
        </is>
      </c>
      <c r="D48" s="101">
        <f>G47/H47</f>
        <v/>
      </c>
      <c r="E48" s="101">
        <f>J47/K47</f>
        <v/>
      </c>
      <c r="F48" s="101" t="n"/>
      <c r="H48" s="50" t="n">
        <v>31.19222333705009</v>
      </c>
      <c r="K48" s="86" t="n">
        <v>12.64311912842087</v>
      </c>
    </row>
    <row r="49">
      <c r="A49" t="inlineStr">
        <is>
          <t>2009-07-02T16:00:00.000Z</t>
        </is>
      </c>
      <c r="E49" s="101" t="n"/>
      <c r="F49" s="101" t="n"/>
      <c r="H49" s="51" t="n">
        <v>1.194443815759009</v>
      </c>
      <c r="K49" s="86" t="n">
        <v>1.123044522461895</v>
      </c>
    </row>
    <row r="50">
      <c r="A50" t="n">
        <v>2.14</v>
      </c>
      <c r="E50" s="101" t="n"/>
      <c r="F50" s="101" t="n"/>
      <c r="H50" s="51" t="n">
        <v>1.503055866542849</v>
      </c>
      <c r="K50" s="86" t="n">
        <v>1.137437778765692</v>
      </c>
    </row>
    <row r="51">
      <c r="E51" s="101" t="n"/>
      <c r="F51" s="101" t="n"/>
      <c r="H51" s="99">
        <f>H49/H47</f>
        <v/>
      </c>
      <c r="I51" s="99" t="n"/>
      <c r="J51" s="99" t="n"/>
      <c r="K51" s="99">
        <f>K49/K47</f>
        <v/>
      </c>
    </row>
    <row r="52">
      <c r="A52" t="inlineStr">
        <is>
          <t>中证材料</t>
        </is>
      </c>
      <c r="B52" s="98">
        <f>(E53/D53)^(1/4)-1</f>
        <v/>
      </c>
      <c r="C52" s="98">
        <f>(E52/D52)^(1/4)-1</f>
        <v/>
      </c>
      <c r="D52" s="101">
        <f>G52/H54</f>
        <v/>
      </c>
      <c r="E52" s="101">
        <f>J52/K54</f>
        <v/>
      </c>
      <c r="F52" s="101" t="n"/>
      <c r="G52" t="n">
        <v>2188.14</v>
      </c>
      <c r="H52" s="54" t="n">
        <v>27.5008245053208</v>
      </c>
      <c r="J52" t="n">
        <v>2292.67</v>
      </c>
      <c r="K52" s="86" t="n">
        <v>11.52553148362232</v>
      </c>
    </row>
    <row r="53">
      <c r="A53" t="inlineStr">
        <is>
          <t>000929</t>
        </is>
      </c>
      <c r="D53" s="101">
        <f>G52/H52</f>
        <v/>
      </c>
      <c r="E53" s="101">
        <f>J52/K52</f>
        <v/>
      </c>
      <c r="F53" s="101" t="n"/>
      <c r="H53" s="54" t="n">
        <v>33.94236573013974</v>
      </c>
      <c r="K53" s="86" t="n">
        <v>13.70686916803174</v>
      </c>
    </row>
    <row r="54">
      <c r="A54" t="inlineStr">
        <is>
          <t>2009-07-02T16:00:00.000Z</t>
        </is>
      </c>
      <c r="E54" s="101" t="n"/>
      <c r="F54" s="101" t="n"/>
      <c r="H54" s="54" t="n">
        <v>1.881412133481689</v>
      </c>
      <c r="K54" s="86" t="n">
        <v>1.534275260137927</v>
      </c>
    </row>
    <row r="55">
      <c r="A55" t="n">
        <v>2.7</v>
      </c>
      <c r="E55" s="101" t="n"/>
      <c r="F55" s="101" t="n"/>
      <c r="H55" s="49" t="n">
        <v>2.062850739539079</v>
      </c>
      <c r="K55" s="86" t="n">
        <v>1.51525911029444</v>
      </c>
    </row>
    <row r="56">
      <c r="E56" s="101" t="n"/>
      <c r="F56" s="101" t="n"/>
      <c r="H56" s="99">
        <f>H54/H52</f>
        <v/>
      </c>
      <c r="I56" s="99" t="n"/>
      <c r="J56" s="99" t="n"/>
      <c r="K56" s="99">
        <f>K54/K52</f>
        <v/>
      </c>
    </row>
    <row r="57">
      <c r="A57" t="inlineStr">
        <is>
          <t>中证工业</t>
        </is>
      </c>
      <c r="B57" s="98">
        <f>(E58/D58)^(1/4)-1</f>
        <v/>
      </c>
      <c r="C57" s="98">
        <f>(E57/D57)^(1/4)-1</f>
        <v/>
      </c>
      <c r="D57" s="101">
        <f>G57/H59</f>
        <v/>
      </c>
      <c r="E57" s="101">
        <f>J57/K59</f>
        <v/>
      </c>
      <c r="F57" s="101" t="n"/>
      <c r="G57" t="n">
        <v>2680.25</v>
      </c>
      <c r="H57" s="49" t="n">
        <v>19.04429732837018</v>
      </c>
      <c r="J57" t="n">
        <v>2409.38</v>
      </c>
      <c r="K57" s="86" t="n">
        <v>15.59709977823662</v>
      </c>
    </row>
    <row r="58">
      <c r="A58" t="inlineStr">
        <is>
          <t>000930</t>
        </is>
      </c>
      <c r="D58" s="101">
        <f>G57/H57</f>
        <v/>
      </c>
      <c r="E58" s="101">
        <f>J57/K57</f>
        <v/>
      </c>
      <c r="F58" s="101" t="n"/>
      <c r="H58" s="49" t="n">
        <v>27.82422484088906</v>
      </c>
      <c r="K58" s="42" t="n">
        <v>24.61781142722356</v>
      </c>
    </row>
    <row r="59">
      <c r="A59" t="inlineStr">
        <is>
          <t>2009-07-02T16:00:00.000Z</t>
        </is>
      </c>
      <c r="E59" s="101" t="n"/>
      <c r="F59" s="101" t="n"/>
      <c r="H59" s="54" t="n">
        <v>1.830677130665416</v>
      </c>
      <c r="K59" s="86" t="n">
        <v>1.491129908444848</v>
      </c>
    </row>
    <row r="60">
      <c r="A60" t="n">
        <v>3.76</v>
      </c>
      <c r="E60" s="101" t="n"/>
      <c r="F60" s="101" t="n"/>
      <c r="H60" s="49" t="n">
        <v>2.18901009024617</v>
      </c>
      <c r="K60" s="86" t="n">
        <v>1.521939574333069</v>
      </c>
    </row>
    <row r="61">
      <c r="E61" s="101" t="n"/>
      <c r="F61" s="101" t="n"/>
      <c r="H61" s="99">
        <f>H59/H57</f>
        <v/>
      </c>
      <c r="I61" s="99" t="n"/>
      <c r="J61" s="99" t="n"/>
      <c r="K61" s="99">
        <f>K59/K57</f>
        <v/>
      </c>
    </row>
    <row r="62">
      <c r="A62" t="inlineStr">
        <is>
          <t>中证可选</t>
        </is>
      </c>
      <c r="B62" s="98">
        <f>(E63/D63)^(1/4)-1</f>
        <v/>
      </c>
      <c r="C62" s="98">
        <f>(E62/D62)^(1/4)-1</f>
        <v/>
      </c>
      <c r="D62" s="101">
        <f>G62/H64</f>
        <v/>
      </c>
      <c r="E62" s="101">
        <f>J62/K64</f>
        <v/>
      </c>
      <c r="F62" s="101" t="n"/>
      <c r="G62" t="n">
        <v>4050.98</v>
      </c>
      <c r="H62" s="54" t="n">
        <v>17.62953681715415</v>
      </c>
      <c r="J62" t="n">
        <v>4047.4</v>
      </c>
      <c r="K62" s="86" t="n">
        <v>13.99429346922221</v>
      </c>
    </row>
    <row r="63">
      <c r="A63" t="inlineStr">
        <is>
          <t>000931</t>
        </is>
      </c>
      <c r="D63" s="101">
        <f>G62/H62</f>
        <v/>
      </c>
      <c r="E63" s="101">
        <f>J62/K62</f>
        <v/>
      </c>
      <c r="F63" s="101" t="n"/>
      <c r="H63" s="54" t="n">
        <v>23.16394067241703</v>
      </c>
      <c r="K63" s="86" t="n">
        <v>21.04956323360859</v>
      </c>
    </row>
    <row r="64">
      <c r="A64" t="inlineStr">
        <is>
          <t>2009-07-02T16:00:00.000Z</t>
        </is>
      </c>
      <c r="E64" s="101" t="n"/>
      <c r="F64" s="101" t="n"/>
      <c r="H64" s="49" t="n">
        <v>2.463083578039319</v>
      </c>
      <c r="K64" s="86" t="n">
        <v>1.802625405939207</v>
      </c>
    </row>
    <row r="65">
      <c r="A65" t="n">
        <v>3.57</v>
      </c>
      <c r="E65" s="101" t="n"/>
      <c r="F65" s="101" t="n"/>
      <c r="H65" s="49" t="n">
        <v>2.457595860439253</v>
      </c>
      <c r="K65" s="86" t="n">
        <v>1.502902985119902</v>
      </c>
    </row>
    <row r="66">
      <c r="E66" s="101" t="n"/>
      <c r="F66" s="101" t="n"/>
      <c r="H66" s="99">
        <f>H64/H62</f>
        <v/>
      </c>
      <c r="I66" s="99" t="n"/>
      <c r="J66" s="99" t="n"/>
      <c r="K66" s="99">
        <f>K64/K62</f>
        <v/>
      </c>
    </row>
    <row r="67">
      <c r="A67" t="inlineStr">
        <is>
          <t>中证消费</t>
        </is>
      </c>
      <c r="B67" s="98">
        <f>(E68/D68)^(1/4)-1</f>
        <v/>
      </c>
      <c r="C67" s="98">
        <f>(E67/D67)^(1/4)-1</f>
        <v/>
      </c>
      <c r="D67" s="101">
        <f>G67/H69</f>
        <v/>
      </c>
      <c r="E67" s="101">
        <f>J67/K69</f>
        <v/>
      </c>
      <c r="F67" s="101" t="n"/>
      <c r="G67" t="n">
        <v>5774.06</v>
      </c>
      <c r="H67" s="54" t="n">
        <v>20.94772809364498</v>
      </c>
      <c r="J67" t="n">
        <v>9755.51</v>
      </c>
      <c r="K67" s="42" t="n">
        <v>22.49007155028166</v>
      </c>
    </row>
    <row r="68">
      <c r="A68" t="inlineStr">
        <is>
          <t>000932</t>
        </is>
      </c>
      <c r="D68" s="101">
        <f>G67/H67</f>
        <v/>
      </c>
      <c r="E68" s="101">
        <f>J67/K67</f>
        <v/>
      </c>
      <c r="F68" s="101" t="n"/>
      <c r="H68" s="54" t="n">
        <v>32.33217829348837</v>
      </c>
      <c r="K68" s="86" t="n">
        <v>27.44399600934098</v>
      </c>
    </row>
    <row r="69">
      <c r="A69" t="inlineStr">
        <is>
          <t>2009-07-02T16:00:00.000Z</t>
        </is>
      </c>
      <c r="E69" s="101" t="n"/>
      <c r="F69" s="101" t="n"/>
      <c r="H69" s="51" t="n">
        <v>3.058369062283012</v>
      </c>
      <c r="K69" s="42" t="n">
        <v>4.121825861023485</v>
      </c>
    </row>
    <row r="70">
      <c r="A70" t="n">
        <v>2.36</v>
      </c>
      <c r="E70" s="101" t="n"/>
      <c r="F70" s="101" t="n"/>
      <c r="H70" s="54" t="n">
        <v>3.022589856617234</v>
      </c>
      <c r="K70" s="86" t="n">
        <v>2.364065442243822</v>
      </c>
    </row>
    <row r="71">
      <c r="E71" s="101" t="n"/>
      <c r="F71" s="101" t="n"/>
      <c r="H71" s="99">
        <f>H69/H67</f>
        <v/>
      </c>
      <c r="I71" s="99" t="n"/>
      <c r="J71" s="99" t="n"/>
      <c r="K71" s="99">
        <f>K69/K67</f>
        <v/>
      </c>
    </row>
    <row r="72">
      <c r="A72" s="80" t="inlineStr">
        <is>
          <t>中证医药</t>
        </is>
      </c>
      <c r="B72" s="98">
        <f>(E73/D73)^(1/4)-1</f>
        <v/>
      </c>
      <c r="C72" s="98">
        <f>(E72/D72)^(1/4)-1</f>
        <v/>
      </c>
      <c r="D72" s="101">
        <f>G72/H74</f>
        <v/>
      </c>
      <c r="E72" s="101">
        <f>J72/K74</f>
        <v/>
      </c>
      <c r="F72" s="101" t="n"/>
      <c r="G72" t="n">
        <v>7239.72</v>
      </c>
      <c r="H72" s="49" t="n">
        <v>33.78651981673244</v>
      </c>
      <c r="J72" t="n">
        <v>8906.23</v>
      </c>
      <c r="K72" s="86" t="n">
        <v>26.64953033387274</v>
      </c>
    </row>
    <row r="73">
      <c r="A73" t="inlineStr">
        <is>
          <t>000933</t>
        </is>
      </c>
      <c r="D73" s="101">
        <f>G72/H72</f>
        <v/>
      </c>
      <c r="E73" s="101">
        <f>J72/K72</f>
        <v/>
      </c>
      <c r="F73" s="101" t="n"/>
      <c r="H73" s="49" t="n">
        <v>37.02198051237861</v>
      </c>
      <c r="K73" s="86" t="n">
        <v>22.6559271079731</v>
      </c>
    </row>
    <row r="74">
      <c r="A74" t="inlineStr">
        <is>
          <t>2009-07-02T16:00:00.000Z</t>
        </is>
      </c>
      <c r="E74" s="101" t="n"/>
      <c r="F74" s="101" t="n"/>
      <c r="H74" s="54" t="n">
        <v>4.297228464967295</v>
      </c>
      <c r="K74" s="86" t="n">
        <v>3.450984971094533</v>
      </c>
    </row>
    <row r="75">
      <c r="A75" t="n">
        <v>3.34</v>
      </c>
      <c r="E75" s="101" t="n"/>
      <c r="F75" s="101" t="n"/>
      <c r="H75" s="49" t="n">
        <v>3.960256077970875</v>
      </c>
      <c r="K75" s="86" t="n">
        <v>2.46297585794667</v>
      </c>
    </row>
    <row r="76">
      <c r="E76" s="101" t="n"/>
      <c r="F76" s="101" t="n"/>
      <c r="H76" s="99">
        <f>H74/H72</f>
        <v/>
      </c>
      <c r="I76" s="99" t="n"/>
      <c r="J76" s="99" t="n"/>
      <c r="K76" s="99">
        <f>K74/K72</f>
        <v/>
      </c>
    </row>
    <row r="77">
      <c r="A77" s="81" t="inlineStr">
        <is>
          <t>医药100</t>
        </is>
      </c>
      <c r="B77" s="98">
        <f>(E78/D78)^(1/5)-1</f>
        <v/>
      </c>
      <c r="C77" s="98">
        <f>(E77/D77)^(1/5)-1</f>
        <v/>
      </c>
      <c r="D77" s="101">
        <f>G77/H80</f>
        <v/>
      </c>
      <c r="E77" s="101">
        <f>J77/K80</f>
        <v/>
      </c>
      <c r="F77" s="101" t="n"/>
      <c r="G77" t="n">
        <v>9074</v>
      </c>
      <c r="H77" s="48" t="n"/>
      <c r="J77" t="n">
        <v>12776</v>
      </c>
      <c r="K77" s="41" t="n"/>
    </row>
    <row r="78">
      <c r="D78" s="101">
        <f>G77/H78</f>
        <v/>
      </c>
      <c r="E78" s="101">
        <f>J77/K78</f>
        <v/>
      </c>
      <c r="F78" s="101" t="n"/>
      <c r="G78" s="128" t="n"/>
      <c r="H78" s="48" t="n">
        <v>37.14</v>
      </c>
      <c r="J78" s="128" t="n"/>
      <c r="K78" s="41" t="n">
        <v>30.01</v>
      </c>
    </row>
    <row r="79">
      <c r="E79" s="101" t="n"/>
      <c r="F79" s="101" t="n"/>
      <c r="G79" s="128" t="n"/>
      <c r="H79" s="52" t="n"/>
      <c r="J79" s="128" t="n"/>
      <c r="K79" s="41" t="n"/>
    </row>
    <row r="80">
      <c r="E80" s="101" t="n"/>
      <c r="F80" s="101" t="n"/>
      <c r="G80" s="128" t="n"/>
      <c r="H80" s="52" t="n">
        <v>3.98</v>
      </c>
      <c r="J80" s="128" t="n"/>
      <c r="K80" s="41" t="n">
        <v>3.35</v>
      </c>
    </row>
    <row r="81">
      <c r="E81" s="101" t="n"/>
      <c r="F81" s="101" t="n"/>
      <c r="H81" s="99">
        <f>H80/H78</f>
        <v/>
      </c>
      <c r="I81" s="99" t="n"/>
      <c r="J81" s="99" t="n"/>
      <c r="K81" s="99">
        <f>K80/K78</f>
        <v/>
      </c>
    </row>
    <row r="82">
      <c r="A82" t="inlineStr">
        <is>
          <t>中证金融</t>
        </is>
      </c>
      <c r="B82" s="98">
        <f>(E83/D83)^(1/4)-1</f>
        <v/>
      </c>
      <c r="C82" s="98">
        <f>(E82/D82)^(1/4)-1</f>
        <v/>
      </c>
      <c r="D82" s="101">
        <f>G82/H84</f>
        <v/>
      </c>
      <c r="E82" s="101">
        <f>J82/K84</f>
        <v/>
      </c>
      <c r="F82" s="101" t="n"/>
      <c r="G82" t="n">
        <v>3949.23</v>
      </c>
      <c r="H82" s="51" t="n">
        <v>6.331190844442739</v>
      </c>
      <c r="J82" t="n">
        <v>5438.12</v>
      </c>
      <c r="K82" s="42" t="n">
        <v>8.040427335720548</v>
      </c>
    </row>
    <row r="83">
      <c r="A83" t="inlineStr">
        <is>
          <t>000934</t>
        </is>
      </c>
      <c r="D83" s="101">
        <f>G82/H82</f>
        <v/>
      </c>
      <c r="E83" s="101">
        <f>J82/K82</f>
        <v/>
      </c>
      <c r="F83" s="101" t="n"/>
      <c r="H83" s="54" t="n">
        <v>13.65733273434917</v>
      </c>
      <c r="K83" s="42" t="n">
        <v>13.33088740500333</v>
      </c>
    </row>
    <row r="84">
      <c r="A84" t="inlineStr">
        <is>
          <t>2009-07-02T16:00:00.000Z</t>
        </is>
      </c>
      <c r="E84" s="101" t="n"/>
      <c r="F84" s="101" t="n"/>
      <c r="H84" s="51" t="n">
        <v>1.077210550383775</v>
      </c>
      <c r="K84" s="86" t="n">
        <v>1.025482763822983</v>
      </c>
    </row>
    <row r="85">
      <c r="A85" t="n">
        <v>2.72</v>
      </c>
      <c r="E85" s="101" t="n"/>
      <c r="F85" s="101" t="n"/>
      <c r="H85" s="54" t="n">
        <v>1.69504779646479</v>
      </c>
      <c r="K85" s="86" t="n">
        <v>1.166253100727709</v>
      </c>
    </row>
    <row r="86">
      <c r="E86" s="101" t="n"/>
      <c r="F86" s="101" t="n"/>
      <c r="H86" s="99">
        <f>H84/H82</f>
        <v/>
      </c>
      <c r="I86" s="99" t="n"/>
      <c r="J86" s="99" t="n"/>
      <c r="K86" s="99">
        <f>K84/K82</f>
        <v/>
      </c>
    </row>
    <row r="87">
      <c r="A87" t="inlineStr">
        <is>
          <t>中证信息</t>
        </is>
      </c>
      <c r="B87" s="98">
        <f>(E88/D88)^(1/4)-1</f>
        <v/>
      </c>
      <c r="C87" s="98">
        <f>(E87/D87)^(1/4)-1</f>
        <v/>
      </c>
      <c r="D87" s="101">
        <f>G87/H89</f>
        <v/>
      </c>
      <c r="E87" s="101">
        <f>J87/K89</f>
        <v/>
      </c>
      <c r="F87" s="101" t="n"/>
      <c r="G87" t="n">
        <v>3174.29</v>
      </c>
      <c r="H87" s="54" t="n">
        <v>43.54029280211756</v>
      </c>
      <c r="J87" t="n">
        <v>3147.45</v>
      </c>
      <c r="K87" s="86" t="n">
        <v>29.60739865885245</v>
      </c>
    </row>
    <row r="88">
      <c r="A88" t="inlineStr">
        <is>
          <t>000935</t>
        </is>
      </c>
      <c r="D88" s="101">
        <f>G87/H87</f>
        <v/>
      </c>
      <c r="E88" s="101">
        <f>J87/K87</f>
        <v/>
      </c>
      <c r="F88" s="101" t="n"/>
      <c r="H88" s="54" t="n">
        <v>50.5602868622713</v>
      </c>
      <c r="K88" s="42" t="n">
        <v>45.30742440714336</v>
      </c>
    </row>
    <row r="89">
      <c r="A89" t="inlineStr">
        <is>
          <t>2009-07-02T16:00:00.000Z</t>
        </is>
      </c>
      <c r="E89" s="101" t="n"/>
      <c r="F89" s="101" t="n"/>
      <c r="H89" s="54" t="n">
        <v>3.780378187886023</v>
      </c>
      <c r="K89" s="86" t="n">
        <v>3.020291818196877</v>
      </c>
    </row>
    <row r="90">
      <c r="A90" t="n">
        <v>5.21</v>
      </c>
      <c r="E90" s="101" t="n"/>
      <c r="F90" s="101" t="n"/>
      <c r="H90" s="49" t="n">
        <v>4.010266271735381</v>
      </c>
      <c r="K90" s="86" t="n">
        <v>2.304117428755386</v>
      </c>
    </row>
    <row r="91">
      <c r="E91" s="101" t="n"/>
      <c r="F91" s="101" t="n"/>
      <c r="H91" s="99">
        <f>H89/H87</f>
        <v/>
      </c>
      <c r="I91" s="99" t="n"/>
      <c r="J91" s="99" t="n"/>
      <c r="K91" s="99">
        <f>K89/K87</f>
        <v/>
      </c>
    </row>
    <row r="92">
      <c r="A92" t="inlineStr">
        <is>
          <t>中证电信</t>
        </is>
      </c>
      <c r="B92" s="98">
        <f>(E93/D93)^(1/4)-1</f>
        <v/>
      </c>
      <c r="C92" s="98">
        <f>(E92/D92)^(1/4)-1</f>
        <v/>
      </c>
      <c r="D92" s="101">
        <f>G92/H94</f>
        <v/>
      </c>
      <c r="E92" s="101">
        <f>J92/K94</f>
        <v/>
      </c>
      <c r="F92" s="101" t="n"/>
      <c r="G92" t="n">
        <v>3680.71</v>
      </c>
      <c r="H92" s="51" t="n">
        <v>26.43328463338121</v>
      </c>
      <c r="J92" t="n">
        <v>4055.42</v>
      </c>
      <c r="K92" s="43" t="n">
        <v>93.3743096205566</v>
      </c>
    </row>
    <row r="93">
      <c r="A93" t="inlineStr">
        <is>
          <t>000936</t>
        </is>
      </c>
      <c r="D93" s="101">
        <f>G92/H92</f>
        <v/>
      </c>
      <c r="E93" s="101">
        <f>J92/K92</f>
        <v/>
      </c>
      <c r="F93" s="101" t="n"/>
      <c r="H93" s="49" t="n">
        <v>40.91114572105296</v>
      </c>
      <c r="K93" s="42" t="n">
        <v>36.62556725207943</v>
      </c>
    </row>
    <row r="94">
      <c r="A94" t="inlineStr">
        <is>
          <t>2009-07-02T16:00:00.000Z</t>
        </is>
      </c>
      <c r="E94" s="101" t="n"/>
      <c r="F94" s="101" t="n"/>
      <c r="H94" s="54" t="n">
        <v>1.762799399314155</v>
      </c>
      <c r="K94" s="42" t="n">
        <v>1.927611611351148</v>
      </c>
    </row>
    <row r="95">
      <c r="A95" t="n">
        <v>5.13</v>
      </c>
      <c r="E95" s="101" t="n"/>
      <c r="F95" s="101" t="n"/>
      <c r="H95" s="49" t="n">
        <v>2.618656480308818</v>
      </c>
      <c r="K95" s="86" t="n">
        <v>2.141470581362385</v>
      </c>
    </row>
    <row r="96">
      <c r="E96" s="101" t="n"/>
      <c r="F96" s="101" t="n"/>
      <c r="H96" s="99">
        <f>H94/H92</f>
        <v/>
      </c>
      <c r="I96" s="99" t="n"/>
      <c r="J96" s="99" t="n"/>
      <c r="K96" s="99">
        <f>K94/K92</f>
        <v/>
      </c>
    </row>
    <row r="97">
      <c r="A97" t="inlineStr">
        <is>
          <t>中证公用</t>
        </is>
      </c>
      <c r="B97" s="98">
        <f>(E98/D98)^(1/4)-1</f>
        <v/>
      </c>
      <c r="C97" s="98">
        <f>(E97/D97)^(1/4)-1</f>
        <v/>
      </c>
      <c r="D97" s="101">
        <f>G97/H99</f>
        <v/>
      </c>
      <c r="E97" s="101">
        <f>J97/K99</f>
        <v/>
      </c>
      <c r="F97" s="101" t="n"/>
      <c r="G97" t="n">
        <v>1983.49</v>
      </c>
      <c r="H97" s="54" t="n">
        <v>13.15423923919427</v>
      </c>
      <c r="J97" t="n">
        <v>1910.18</v>
      </c>
      <c r="K97" s="42" t="n">
        <v>18.86124124274203</v>
      </c>
    </row>
    <row r="98">
      <c r="A98" t="inlineStr">
        <is>
          <t>000937</t>
        </is>
      </c>
      <c r="D98" s="101">
        <f>G97/H97</f>
        <v/>
      </c>
      <c r="E98" s="101">
        <f>J97/K97</f>
        <v/>
      </c>
      <c r="F98" s="101" t="n"/>
      <c r="H98" s="54" t="n">
        <v>18.71866650287388</v>
      </c>
      <c r="K98" s="42" t="n">
        <v>21.90510267906727</v>
      </c>
    </row>
    <row r="99">
      <c r="A99" t="inlineStr">
        <is>
          <t>2009-07-02T16:00:00.000Z</t>
        </is>
      </c>
      <c r="E99" s="101" t="n"/>
      <c r="F99" s="101" t="n"/>
      <c r="H99" s="54" t="n">
        <v>1.772988191737177</v>
      </c>
      <c r="K99" s="86" t="n">
        <v>1.520662958656429</v>
      </c>
    </row>
    <row r="100">
      <c r="A100" t="n">
        <v>3.37</v>
      </c>
      <c r="E100" s="101" t="n"/>
      <c r="F100" s="101" t="n"/>
      <c r="H100" s="49" t="n">
        <v>2.217872466069996</v>
      </c>
      <c r="K100" s="86" t="n">
        <v>1.383101471692654</v>
      </c>
    </row>
    <row r="101">
      <c r="E101" s="101" t="n"/>
      <c r="F101" s="101" t="n"/>
      <c r="H101" s="99">
        <f>H99/H97</f>
        <v/>
      </c>
      <c r="I101" s="99" t="n"/>
      <c r="J101" s="99" t="n"/>
      <c r="K101" s="99">
        <f>K99/K97</f>
        <v/>
      </c>
    </row>
    <row r="102">
      <c r="A102" s="81" t="inlineStr">
        <is>
          <t>300地产</t>
        </is>
      </c>
      <c r="B102" s="98">
        <f>(E103/D103)^(1/4)-1</f>
        <v/>
      </c>
      <c r="C102" s="98">
        <f>(E102/D102)^(1/4)-1</f>
        <v/>
      </c>
      <c r="D102" s="101">
        <f>G102/H104</f>
        <v/>
      </c>
      <c r="E102" s="101">
        <f>J102/K104</f>
        <v/>
      </c>
      <c r="F102" s="101" t="n"/>
      <c r="G102" t="n">
        <v>4391.37</v>
      </c>
      <c r="H102" s="54" t="n">
        <v>9.627921707640569</v>
      </c>
      <c r="J102" t="n">
        <v>7974.98</v>
      </c>
      <c r="K102" s="86" t="n">
        <v>8.207947200330951</v>
      </c>
    </row>
    <row r="103">
      <c r="A103" t="inlineStr">
        <is>
          <t>000952</t>
        </is>
      </c>
      <c r="D103" s="101">
        <f>G102/H102</f>
        <v/>
      </c>
      <c r="E103" s="101">
        <f>J102/K102</f>
        <v/>
      </c>
      <c r="F103" s="101" t="n"/>
      <c r="H103" s="54" t="n">
        <v>11.51366009565697</v>
      </c>
      <c r="K103" s="86" t="n">
        <v>7.635585409189063</v>
      </c>
    </row>
    <row r="104">
      <c r="A104" t="inlineStr">
        <is>
          <t>2009-10-27T16:00:00.000Z</t>
        </is>
      </c>
      <c r="E104" s="101" t="n"/>
      <c r="F104" s="101" t="n"/>
      <c r="H104" s="54" t="n">
        <v>1.553220014400411</v>
      </c>
      <c r="K104" s="86" t="n">
        <v>1.640557587214317</v>
      </c>
    </row>
    <row r="105">
      <c r="A105" t="n">
        <v>3.11</v>
      </c>
      <c r="E105" s="101" t="n"/>
      <c r="F105" s="101" t="n"/>
      <c r="H105" s="54" t="n">
        <v>1.543505169058499</v>
      </c>
      <c r="K105" s="86" t="n">
        <v>1.340079034207808</v>
      </c>
    </row>
    <row r="106">
      <c r="E106" s="101" t="n"/>
      <c r="F106" s="101" t="n"/>
      <c r="H106" s="99">
        <f>H104/H102</f>
        <v/>
      </c>
      <c r="I106" s="99" t="n"/>
      <c r="J106" s="99" t="n"/>
      <c r="K106" s="99">
        <f>K104/K102</f>
        <v/>
      </c>
    </row>
    <row r="107">
      <c r="A107" s="81" t="inlineStr">
        <is>
          <t>地产等权</t>
        </is>
      </c>
      <c r="B107" s="98">
        <f>(E108/D108)^(1/5)-1</f>
        <v/>
      </c>
      <c r="C107" s="98">
        <f>(E107/D107)^(1/5)-1</f>
        <v/>
      </c>
      <c r="D107" s="101">
        <f>G107/H110</f>
        <v/>
      </c>
      <c r="E107" s="101">
        <f>J107/K110</f>
        <v/>
      </c>
      <c r="F107" s="101" t="n"/>
      <c r="G107" t="n">
        <v>3559</v>
      </c>
      <c r="H107" s="54" t="n"/>
      <c r="J107" t="n">
        <v>8053</v>
      </c>
      <c r="K107" s="86" t="n"/>
    </row>
    <row r="108">
      <c r="A108" t="inlineStr">
        <is>
          <t>000952</t>
        </is>
      </c>
      <c r="D108" s="101">
        <f>G107/H108</f>
        <v/>
      </c>
      <c r="E108" s="101">
        <f>J107/K108</f>
        <v/>
      </c>
      <c r="F108" s="101" t="n"/>
      <c r="H108" s="54" t="n">
        <v>8.9</v>
      </c>
      <c r="K108" s="86" t="n">
        <v>8.859999999999999</v>
      </c>
    </row>
    <row r="109">
      <c r="A109" t="inlineStr">
        <is>
          <t>2009-10-27T16:00:00.000Z</t>
        </is>
      </c>
      <c r="E109" s="101" t="n"/>
      <c r="F109" s="101" t="n"/>
      <c r="H109" s="54" t="n"/>
      <c r="K109" s="86" t="n"/>
    </row>
    <row r="110">
      <c r="A110" t="n">
        <v>3.11</v>
      </c>
      <c r="E110" s="101" t="n"/>
      <c r="F110" s="101" t="n"/>
      <c r="H110" s="54" t="n">
        <v>1.36</v>
      </c>
      <c r="K110" s="86" t="n">
        <v>1.56</v>
      </c>
    </row>
    <row r="111">
      <c r="E111" s="101" t="n"/>
      <c r="F111" s="101" t="n"/>
      <c r="H111" s="99">
        <f>H110/H108</f>
        <v/>
      </c>
      <c r="I111" s="99" t="n"/>
      <c r="J111" s="99" t="n"/>
      <c r="K111" s="99">
        <f>K110/K108</f>
        <v/>
      </c>
    </row>
    <row r="112">
      <c r="A112" t="inlineStr">
        <is>
          <t>全指能源</t>
        </is>
      </c>
      <c r="B112" s="98">
        <f>(E113/D113)^(1/4)-1</f>
        <v/>
      </c>
      <c r="C112" s="98">
        <f>(E112/D112)^(1/4)-1</f>
        <v/>
      </c>
      <c r="D112" s="101">
        <f>G112/H114</f>
        <v/>
      </c>
      <c r="E112" s="101">
        <f>J112/K114</f>
        <v/>
      </c>
      <c r="F112" s="101" t="n"/>
      <c r="G112" t="n">
        <v>1994.59</v>
      </c>
      <c r="H112" s="54" t="n">
        <v>11.57503718600372</v>
      </c>
      <c r="J112" t="n">
        <v>1647.77</v>
      </c>
      <c r="K112" s="42" t="n">
        <v>14.10743097119579</v>
      </c>
    </row>
    <row r="113">
      <c r="A113" t="inlineStr">
        <is>
          <t>000986</t>
        </is>
      </c>
      <c r="D113" s="101">
        <f>G112/H112</f>
        <v/>
      </c>
      <c r="E113" s="101">
        <f>J112/K112</f>
        <v/>
      </c>
      <c r="F113" s="101" t="n"/>
      <c r="H113" s="50" t="n">
        <v>40.34281080898016</v>
      </c>
      <c r="K113" s="43" t="n">
        <v>14.99056459851809</v>
      </c>
    </row>
    <row r="114">
      <c r="A114" t="inlineStr">
        <is>
          <t>2011-08-01T16:00:00.000Z</t>
        </is>
      </c>
      <c r="E114" s="101" t="n"/>
      <c r="F114" s="101" t="n"/>
      <c r="H114" s="51" t="n">
        <v>1.212601849275716</v>
      </c>
      <c r="K114" s="86" t="n">
        <v>1.13002740736341</v>
      </c>
    </row>
    <row r="115">
      <c r="A115" t="n">
        <v>2.16</v>
      </c>
      <c r="E115" s="101" t="n"/>
      <c r="F115" s="101" t="n"/>
      <c r="H115" s="54" t="n">
        <v>1.724801178107518</v>
      </c>
      <c r="K115" s="86" t="n">
        <v>1.20212581782367</v>
      </c>
    </row>
    <row r="116">
      <c r="E116" s="101" t="n"/>
      <c r="F116" s="101" t="n"/>
      <c r="H116" s="99">
        <f>H114/H112</f>
        <v/>
      </c>
      <c r="I116" s="99" t="n"/>
      <c r="J116" s="99" t="n"/>
      <c r="K116" s="99">
        <f>K114/K112</f>
        <v/>
      </c>
    </row>
    <row r="117">
      <c r="A117" t="inlineStr">
        <is>
          <t>全指材料</t>
        </is>
      </c>
      <c r="B117" s="98">
        <f>(E118/D118)^(1/4)-1</f>
        <v/>
      </c>
      <c r="C117" s="98">
        <f>(E117/D117)^(1/4)-1</f>
        <v/>
      </c>
      <c r="D117" s="101">
        <f>G117/H119</f>
        <v/>
      </c>
      <c r="E117" s="101">
        <f>J117/K119</f>
        <v/>
      </c>
      <c r="F117" s="101" t="n"/>
      <c r="G117" t="n">
        <v>2582.42</v>
      </c>
      <c r="H117" s="49" t="n">
        <v>39.89455707158957</v>
      </c>
      <c r="J117" t="n">
        <v>2456.11</v>
      </c>
      <c r="K117" s="86" t="n">
        <v>13.25593728865207</v>
      </c>
    </row>
    <row r="118">
      <c r="A118" t="inlineStr">
        <is>
          <t>000987</t>
        </is>
      </c>
      <c r="D118" s="101">
        <f>G117/H117</f>
        <v/>
      </c>
      <c r="E118" s="101">
        <f>J117/K117</f>
        <v/>
      </c>
      <c r="F118" s="101" t="n"/>
      <c r="H118" s="49" t="n">
        <v>64.32889937853645</v>
      </c>
      <c r="K118" s="86" t="n">
        <v>19.17814520005988</v>
      </c>
    </row>
    <row r="119">
      <c r="A119" t="inlineStr">
        <is>
          <t>2011-08-01T16:00:00.000Z</t>
        </is>
      </c>
      <c r="E119" s="101" t="n"/>
      <c r="F119" s="101" t="n"/>
      <c r="H119" s="49" t="n">
        <v>2.07651715303863</v>
      </c>
      <c r="K119" s="86" t="n">
        <v>1.651505143013493</v>
      </c>
    </row>
    <row r="120">
      <c r="A120" t="n">
        <v>3.13</v>
      </c>
      <c r="E120" s="101" t="n"/>
      <c r="F120" s="101" t="n"/>
      <c r="H120" s="50" t="n">
        <v>2.470299365764745</v>
      </c>
      <c r="K120" s="86" t="n">
        <v>1.777380433108198</v>
      </c>
    </row>
    <row r="121">
      <c r="E121" s="101" t="n"/>
      <c r="F121" s="101" t="n"/>
      <c r="H121" s="99">
        <f>H119/H117</f>
        <v/>
      </c>
      <c r="I121" s="99" t="n"/>
      <c r="J121" s="99" t="n"/>
      <c r="K121" s="99">
        <f>K119/K117</f>
        <v/>
      </c>
    </row>
    <row r="122">
      <c r="A122" t="inlineStr">
        <is>
          <t>全指工业</t>
        </is>
      </c>
      <c r="B122" s="98">
        <f>(E123/D123)^(1/4)-1</f>
        <v/>
      </c>
      <c r="C122" s="98">
        <f>(E122/D122)^(1/4)-1</f>
        <v/>
      </c>
      <c r="D122" s="101">
        <f>G122/H124</f>
        <v/>
      </c>
      <c r="E122" s="101">
        <f>J122/K124</f>
        <v/>
      </c>
      <c r="F122" s="101" t="n"/>
      <c r="G122" t="n">
        <v>3157.8</v>
      </c>
      <c r="H122" s="50" t="n">
        <v>24.26080961056553</v>
      </c>
      <c r="J122" t="n">
        <v>2627.45</v>
      </c>
      <c r="K122" s="86" t="n">
        <v>18.19943748164538</v>
      </c>
    </row>
    <row r="123">
      <c r="A123" t="inlineStr">
        <is>
          <t>000988</t>
        </is>
      </c>
      <c r="D123" s="101">
        <f>G122/H122</f>
        <v/>
      </c>
      <c r="E123" s="101">
        <f>J122/K122</f>
        <v/>
      </c>
      <c r="F123" s="101" t="n"/>
      <c r="H123" s="50" t="n">
        <v>41.99132813585174</v>
      </c>
      <c r="K123" s="42" t="n">
        <v>29.54261029910958</v>
      </c>
    </row>
    <row r="124">
      <c r="A124" t="inlineStr">
        <is>
          <t>2011-08-01T16:00:00.000Z</t>
        </is>
      </c>
      <c r="E124" s="101" t="n"/>
      <c r="F124" s="101" t="n"/>
      <c r="H124" s="50" t="n">
        <v>2.157582425033792</v>
      </c>
      <c r="K124" s="86" t="n">
        <v>1.607964543424338</v>
      </c>
    </row>
    <row r="125">
      <c r="A125" s="101" t="n">
        <v>4.1</v>
      </c>
      <c r="E125" s="101" t="n"/>
      <c r="F125" s="101" t="n"/>
      <c r="H125" s="50" t="n">
        <v>2.779666546375026</v>
      </c>
      <c r="K125" s="86" t="n">
        <v>1.777825290073374</v>
      </c>
    </row>
    <row r="126">
      <c r="E126" s="101" t="n"/>
      <c r="F126" s="101" t="n"/>
      <c r="H126" s="99">
        <f>H124/H122</f>
        <v/>
      </c>
      <c r="I126" s="99" t="n"/>
      <c r="J126" s="99" t="n"/>
      <c r="K126" s="99">
        <f>K124/K122</f>
        <v/>
      </c>
    </row>
    <row r="127">
      <c r="A127" t="inlineStr">
        <is>
          <t>全指可选</t>
        </is>
      </c>
      <c r="B127" s="98">
        <f>(E128/D128)^(1/4)-1</f>
        <v/>
      </c>
      <c r="C127" s="98">
        <f>(E127/D127)^(1/4)-1</f>
        <v/>
      </c>
      <c r="D127" s="101">
        <f>G127/H129</f>
        <v/>
      </c>
      <c r="E127" s="101">
        <f>J127/K129</f>
        <v/>
      </c>
      <c r="F127" s="101" t="n"/>
      <c r="G127" t="n">
        <v>4359.9</v>
      </c>
      <c r="H127" s="52" t="n">
        <v>21.4932800096399</v>
      </c>
      <c r="J127" t="n">
        <v>3944.75</v>
      </c>
      <c r="K127" s="41" t="n">
        <v>16.32359364500859</v>
      </c>
    </row>
    <row r="128">
      <c r="A128" t="inlineStr">
        <is>
          <t>000989</t>
        </is>
      </c>
      <c r="D128" s="101">
        <f>G127/H127</f>
        <v/>
      </c>
      <c r="E128" s="101">
        <f>J127/K127</f>
        <v/>
      </c>
      <c r="F128" s="101" t="n"/>
      <c r="G128" s="128" t="n"/>
      <c r="H128" s="52" t="n">
        <v>32.95067510133239</v>
      </c>
      <c r="J128" s="128" t="n"/>
      <c r="K128" s="41" t="n">
        <v>25.67152417506493</v>
      </c>
    </row>
    <row r="129">
      <c r="A129" t="inlineStr">
        <is>
          <t>2011-08-01T16:00:00.000Z</t>
        </is>
      </c>
      <c r="E129" s="101" t="n"/>
      <c r="F129" s="101" t="n"/>
      <c r="G129" s="128" t="n"/>
      <c r="H129" s="52" t="n">
        <v>2.697184291455644</v>
      </c>
      <c r="J129" s="128" t="n"/>
      <c r="K129" s="41" t="n">
        <v>1.789396858974221</v>
      </c>
    </row>
    <row r="130">
      <c r="A130" t="n">
        <v>3.94</v>
      </c>
      <c r="E130" s="101" t="n"/>
      <c r="F130" s="101" t="n"/>
      <c r="G130" s="128" t="n"/>
      <c r="H130" s="52" t="n">
        <v>2.828551127987768</v>
      </c>
      <c r="J130" s="128" t="n"/>
      <c r="K130" s="41" t="n">
        <v>1.692544416455093</v>
      </c>
    </row>
    <row r="131">
      <c r="E131" s="101" t="n"/>
      <c r="F131" s="101" t="n"/>
      <c r="H131" s="99">
        <f>H129/H127</f>
        <v/>
      </c>
      <c r="I131" s="99" t="n"/>
      <c r="J131" s="99" t="n"/>
      <c r="K131" s="99">
        <f>K129/K127</f>
        <v/>
      </c>
    </row>
    <row r="132">
      <c r="A132" t="inlineStr">
        <is>
          <t>全指消费</t>
        </is>
      </c>
      <c r="B132" s="98">
        <f>(E133/D133)^(1/5)-1</f>
        <v/>
      </c>
      <c r="C132" s="98">
        <f>(E132/D132)^(1/5)-1</f>
        <v/>
      </c>
      <c r="D132" s="101">
        <f>G132/H134</f>
        <v/>
      </c>
      <c r="E132" s="101">
        <f>J132/K134</f>
        <v/>
      </c>
      <c r="F132" s="101" t="n"/>
      <c r="G132" t="n">
        <v>5629</v>
      </c>
      <c r="H132" s="53" t="n">
        <v>22.09</v>
      </c>
      <c r="J132" t="n">
        <v>13359</v>
      </c>
      <c r="K132" s="40" t="n">
        <v>35.03</v>
      </c>
    </row>
    <row r="133">
      <c r="A133" t="inlineStr">
        <is>
          <t>000990</t>
        </is>
      </c>
      <c r="D133" s="101">
        <f>G132/H132</f>
        <v/>
      </c>
      <c r="E133" s="101">
        <f>J132/K132</f>
        <v/>
      </c>
      <c r="F133" s="101" t="n"/>
      <c r="G133" s="128" t="n"/>
      <c r="H133" s="52" t="n"/>
      <c r="J133" s="128" t="n"/>
      <c r="K133" s="41" t="n"/>
    </row>
    <row r="134">
      <c r="A134" t="inlineStr">
        <is>
          <t>2011-08-01T16:00:00.000Z</t>
        </is>
      </c>
      <c r="E134" s="101" t="n"/>
      <c r="F134" s="101" t="n"/>
      <c r="G134" s="128" t="n"/>
      <c r="H134" s="47" t="n">
        <v>3.18</v>
      </c>
      <c r="J134" s="128" t="n"/>
      <c r="K134" s="40" t="n">
        <v>5.37</v>
      </c>
    </row>
    <row r="135">
      <c r="E135" s="101" t="n"/>
      <c r="F135" s="101" t="n"/>
      <c r="G135" s="128" t="n"/>
      <c r="H135" s="53" t="n"/>
      <c r="J135" s="128" t="n"/>
      <c r="K135" s="41" t="n"/>
    </row>
    <row r="136">
      <c r="E136" s="101" t="n"/>
      <c r="F136" s="101" t="n"/>
      <c r="H136" s="99">
        <f>H134/H132</f>
        <v/>
      </c>
      <c r="I136" s="99" t="n"/>
      <c r="J136" s="99" t="n"/>
      <c r="K136" s="99">
        <f>K134/K132</f>
        <v/>
      </c>
    </row>
    <row r="137">
      <c r="A137" s="80" t="inlineStr">
        <is>
          <t>全指医药</t>
        </is>
      </c>
      <c r="B137" s="98">
        <f>(E138/D138)^(1/4)-1</f>
        <v/>
      </c>
      <c r="C137" s="98">
        <f>(E137/D137)^(1/4)-1</f>
        <v/>
      </c>
      <c r="D137" s="101">
        <f>G137/H139</f>
        <v/>
      </c>
      <c r="E137" s="101">
        <f>J137/K139</f>
        <v/>
      </c>
      <c r="F137" s="101" t="n"/>
      <c r="G137" t="n">
        <v>7622.29</v>
      </c>
      <c r="H137" s="52" t="n">
        <v>40.15870755569927</v>
      </c>
      <c r="J137" t="n">
        <v>8518.66</v>
      </c>
      <c r="K137" s="41" t="n">
        <v>27.41490083845133</v>
      </c>
    </row>
    <row r="138">
      <c r="A138" t="inlineStr">
        <is>
          <t>000991</t>
        </is>
      </c>
      <c r="D138" s="101">
        <f>G137/H137</f>
        <v/>
      </c>
      <c r="E138" s="101">
        <f>J137/K137</f>
        <v/>
      </c>
      <c r="F138" s="101" t="n"/>
      <c r="G138" s="128" t="n"/>
      <c r="H138" s="52" t="n">
        <v>49.51526392814201</v>
      </c>
      <c r="J138" s="128" t="n"/>
      <c r="K138" s="41" t="n">
        <v>26.51419561885085</v>
      </c>
    </row>
    <row r="139">
      <c r="A139" t="inlineStr">
        <is>
          <t>2011-08-01T16:00:00.000Z</t>
        </is>
      </c>
      <c r="E139" s="101" t="n"/>
      <c r="F139" s="101" t="n"/>
      <c r="G139" s="128" t="n"/>
      <c r="H139" s="52" t="n">
        <v>4.657981792441837</v>
      </c>
      <c r="J139" s="128" t="n"/>
      <c r="K139" s="41" t="n">
        <v>3.243136253999383</v>
      </c>
    </row>
    <row r="140">
      <c r="A140" t="n">
        <v>3.82</v>
      </c>
      <c r="E140" s="101" t="n"/>
      <c r="F140" s="101" t="n"/>
      <c r="G140" s="128" t="n"/>
      <c r="H140" s="52" t="n">
        <v>4.508192858334279</v>
      </c>
      <c r="J140" s="128" t="n"/>
      <c r="K140" s="41" t="n">
        <v>2.489904122223435</v>
      </c>
    </row>
    <row r="141">
      <c r="E141" s="101" t="n"/>
      <c r="F141" s="101" t="n"/>
      <c r="H141" s="99">
        <f>H139/H137</f>
        <v/>
      </c>
      <c r="I141" s="99" t="n"/>
      <c r="J141" s="99" t="n"/>
      <c r="K141" s="99">
        <f>K139/K137</f>
        <v/>
      </c>
    </row>
    <row r="142">
      <c r="A142" t="inlineStr">
        <is>
          <t>全指金融</t>
        </is>
      </c>
      <c r="B142" s="98">
        <f>(E143/D143)^(1/4)-1</f>
        <v/>
      </c>
      <c r="C142" s="98">
        <f>(E142/D142)^(1/4)-1</f>
        <v/>
      </c>
      <c r="D142" s="101">
        <f>G142/H144</f>
        <v/>
      </c>
      <c r="E142" s="101">
        <f>J142/K144</f>
        <v/>
      </c>
      <c r="F142" s="101" t="n"/>
      <c r="G142" t="n">
        <v>3892.21</v>
      </c>
      <c r="H142" s="48" t="n">
        <v>6.404392525637543</v>
      </c>
      <c r="J142" t="n">
        <v>5209.02</v>
      </c>
      <c r="K142" s="40" t="n">
        <v>8.104124934659991</v>
      </c>
    </row>
    <row r="143">
      <c r="A143" t="inlineStr">
        <is>
          <t>000992</t>
        </is>
      </c>
      <c r="D143" s="101">
        <f>G142/H142</f>
        <v/>
      </c>
      <c r="E143" s="101">
        <f>J142/K142</f>
        <v/>
      </c>
      <c r="F143" s="101" t="n"/>
      <c r="G143" s="128" t="n"/>
      <c r="H143" s="53" t="n">
        <v>14.5359350100386</v>
      </c>
      <c r="J143" s="128" t="n"/>
      <c r="K143" s="41" t="n">
        <v>12.82551987026001</v>
      </c>
    </row>
    <row r="144">
      <c r="A144" t="inlineStr">
        <is>
          <t>2011-08-01T16:00:00.000Z</t>
        </is>
      </c>
      <c r="E144" s="101" t="n"/>
      <c r="F144" s="101" t="n"/>
      <c r="G144" s="128" t="n"/>
      <c r="H144" s="48" t="n">
        <v>1.08590785762942</v>
      </c>
      <c r="J144" s="128" t="n"/>
      <c r="K144" s="41" t="n">
        <v>1.032920774563979</v>
      </c>
    </row>
    <row r="145">
      <c r="A145" t="n">
        <v>2.75</v>
      </c>
      <c r="E145" s="101" t="n"/>
      <c r="F145" s="101" t="n"/>
      <c r="G145" s="128" t="n"/>
      <c r="H145" s="53" t="n">
        <v>1.746833901842161</v>
      </c>
      <c r="J145" s="128" t="n"/>
      <c r="K145" s="41" t="n">
        <v>1.192503162350179</v>
      </c>
    </row>
    <row r="146">
      <c r="E146" s="101" t="n"/>
      <c r="F146" s="101" t="n"/>
      <c r="H146" s="99">
        <f>H144/H142</f>
        <v/>
      </c>
      <c r="I146" s="99" t="n"/>
      <c r="J146" s="99" t="n"/>
      <c r="K146" s="99">
        <f>K144/K142</f>
        <v/>
      </c>
    </row>
    <row r="147">
      <c r="A147" s="80" t="inlineStr">
        <is>
          <t>全指信息</t>
        </is>
      </c>
      <c r="B147" s="98">
        <f>(E148/D148)^(1/5)-1</f>
        <v/>
      </c>
      <c r="C147" s="98">
        <f>(E147/D147)^(1/5)-1</f>
        <v/>
      </c>
      <c r="D147" s="101">
        <f>G147/H149</f>
        <v/>
      </c>
      <c r="E147" s="101">
        <f>J147/K149</f>
        <v/>
      </c>
      <c r="F147" s="101" t="n"/>
      <c r="G147" t="n">
        <v>3819</v>
      </c>
      <c r="H147" s="52" t="n">
        <v>58.58</v>
      </c>
      <c r="J147" t="n">
        <v>5268</v>
      </c>
      <c r="K147" s="41" t="n">
        <v>40.05</v>
      </c>
    </row>
    <row r="148">
      <c r="A148" t="inlineStr">
        <is>
          <t>000993</t>
        </is>
      </c>
      <c r="D148" s="101">
        <f>G147/H147</f>
        <v/>
      </c>
      <c r="E148" s="101">
        <f>J147/K147</f>
        <v/>
      </c>
      <c r="F148" s="101" t="n"/>
      <c r="G148" s="128" t="n"/>
      <c r="H148" s="52" t="n"/>
      <c r="J148" s="128" t="n"/>
      <c r="K148" s="40" t="n"/>
    </row>
    <row r="149">
      <c r="A149" t="inlineStr">
        <is>
          <t>2011-08-01T16:00:00.000Z</t>
        </is>
      </c>
      <c r="E149" s="101" t="n"/>
      <c r="F149" s="101" t="n"/>
      <c r="G149" s="128" t="n"/>
      <c r="H149" s="52" t="n">
        <v>4.59</v>
      </c>
      <c r="J149" s="128" t="n"/>
      <c r="K149" s="41" t="n">
        <v>3.61</v>
      </c>
    </row>
    <row r="150">
      <c r="A150" t="n">
        <v>6.72</v>
      </c>
      <c r="E150" s="101" t="n"/>
      <c r="F150" s="101" t="n"/>
      <c r="G150" s="128" t="n"/>
      <c r="H150" s="52" t="n"/>
      <c r="J150" s="128" t="n"/>
      <c r="K150" s="41" t="n"/>
    </row>
    <row r="151">
      <c r="E151" s="101" t="n"/>
      <c r="F151" s="101" t="n"/>
      <c r="H151" s="99">
        <f>H149/H147</f>
        <v/>
      </c>
      <c r="I151" s="99" t="n"/>
      <c r="J151" s="99" t="n"/>
      <c r="K151" s="99">
        <f>K149/K147</f>
        <v/>
      </c>
    </row>
    <row r="152">
      <c r="A152" t="inlineStr">
        <is>
          <t>全指电信</t>
        </is>
      </c>
      <c r="B152" s="98">
        <f>(E153/D153)^(1/5)-1</f>
        <v/>
      </c>
      <c r="C152" s="98">
        <f>(E152/D152)^(1/5)-1</f>
        <v/>
      </c>
      <c r="D152" s="101">
        <f>G152/H154</f>
        <v/>
      </c>
      <c r="E152" s="101">
        <f>J152/K154</f>
        <v/>
      </c>
      <c r="F152" s="101" t="n"/>
      <c r="G152" t="n">
        <v>4486.87</v>
      </c>
      <c r="H152" s="52" t="n">
        <v>55.54496050473106</v>
      </c>
      <c r="J152" t="n">
        <v>4130.24</v>
      </c>
      <c r="K152" s="41" t="n">
        <v>31.91385473780182</v>
      </c>
    </row>
    <row r="153">
      <c r="A153" t="inlineStr">
        <is>
          <t>000994</t>
        </is>
      </c>
      <c r="D153" s="101">
        <f>G152/H152</f>
        <v/>
      </c>
      <c r="E153" s="101">
        <f>J152/K152</f>
        <v/>
      </c>
      <c r="F153" s="101" t="n"/>
      <c r="G153" s="128" t="n"/>
      <c r="H153" s="52" t="n"/>
      <c r="J153" s="128" t="n"/>
      <c r="K153" s="40" t="n"/>
    </row>
    <row r="154">
      <c r="A154" t="inlineStr">
        <is>
          <t>2011-08-01T16:00:00.000Z</t>
        </is>
      </c>
      <c r="E154" s="101" t="n"/>
      <c r="F154" s="101" t="n"/>
      <c r="G154" s="128" t="n"/>
      <c r="H154" s="52" t="n">
        <v>4.477912209679252</v>
      </c>
      <c r="J154" s="128" t="n"/>
      <c r="K154" s="41" t="n">
        <v>2.799862412429008</v>
      </c>
    </row>
    <row r="155">
      <c r="A155" t="n">
        <v>3.48</v>
      </c>
      <c r="E155" s="101" t="n"/>
      <c r="F155" s="101" t="n"/>
      <c r="G155" s="128" t="n"/>
      <c r="H155" s="52" t="n"/>
      <c r="J155" s="128" t="n"/>
      <c r="K155" s="41" t="n"/>
    </row>
    <row r="156">
      <c r="E156" s="101" t="n"/>
      <c r="F156" s="101" t="n"/>
      <c r="H156" s="99">
        <f>H154/H152</f>
        <v/>
      </c>
      <c r="I156" s="99" t="n"/>
      <c r="J156" s="99" t="n"/>
      <c r="K156" s="99">
        <f>K154/K152</f>
        <v/>
      </c>
    </row>
    <row r="157">
      <c r="A157" t="inlineStr">
        <is>
          <t>全指公用</t>
        </is>
      </c>
      <c r="B157" s="98">
        <f>(E158/D158)^(1/4)-1</f>
        <v/>
      </c>
      <c r="C157" s="98">
        <f>(E157/D157)^(1/4)-1</f>
        <v/>
      </c>
      <c r="D157" s="101">
        <f>G157/H159</f>
        <v/>
      </c>
      <c r="E157" s="101">
        <f>J157/K159</f>
        <v/>
      </c>
      <c r="F157" s="101" t="n"/>
      <c r="G157" t="n">
        <v>2179.656</v>
      </c>
      <c r="H157" s="54" t="n">
        <v>13.53964835347676</v>
      </c>
      <c r="J157" t="n">
        <v>1948.71</v>
      </c>
      <c r="K157" s="44" t="n">
        <v>19.43950642300222</v>
      </c>
    </row>
    <row r="158">
      <c r="A158" t="inlineStr">
        <is>
          <t>000995</t>
        </is>
      </c>
      <c r="D158" s="101">
        <f>G157/H157</f>
        <v/>
      </c>
      <c r="E158" s="101">
        <f>J157/K157</f>
        <v/>
      </c>
      <c r="F158" s="101" t="n"/>
      <c r="H158" s="54" t="n">
        <v>19.58649690223039</v>
      </c>
      <c r="K158" s="44" t="n">
        <v>26.88958729664316</v>
      </c>
    </row>
    <row r="159">
      <c r="A159" t="inlineStr">
        <is>
          <t>2011-08-01T16:00:00.000Z</t>
        </is>
      </c>
      <c r="E159" s="101" t="n"/>
      <c r="F159" s="101" t="n"/>
      <c r="H159" s="50" t="n">
        <v>1.764496908066743</v>
      </c>
      <c r="K159" s="86" t="n">
        <v>1.468478857515896</v>
      </c>
    </row>
    <row r="160">
      <c r="E160" s="101" t="n"/>
      <c r="F160" s="101" t="n"/>
      <c r="H160" s="50" t="n">
        <v>2.039174834043207</v>
      </c>
      <c r="K160" s="86" t="n">
        <v>1.351193669513525</v>
      </c>
    </row>
    <row r="161">
      <c r="E161" s="101" t="n"/>
      <c r="F161" s="101" t="n"/>
      <c r="H161" s="99">
        <f>H159/H157</f>
        <v/>
      </c>
      <c r="I161" s="99" t="n"/>
      <c r="J161" s="99" t="n"/>
      <c r="K161" s="99">
        <f>K159/K157</f>
        <v/>
      </c>
    </row>
    <row r="162">
      <c r="A162" t="inlineStr">
        <is>
          <t>中小板指</t>
        </is>
      </c>
      <c r="B162" s="98">
        <f>(E163/D163)^(1/4)-1</f>
        <v/>
      </c>
      <c r="C162" s="98">
        <f>(E162/D162)^(1/4)-1</f>
        <v/>
      </c>
      <c r="D162" s="101">
        <f>G162/H164</f>
        <v/>
      </c>
      <c r="E162" s="101">
        <f>J162/K164</f>
        <v/>
      </c>
      <c r="F162" s="101" t="n"/>
      <c r="G162" t="n">
        <v>5425.35</v>
      </c>
      <c r="H162" s="49" t="n">
        <v>31.37014498702603</v>
      </c>
      <c r="J162" t="n">
        <v>5224.42</v>
      </c>
      <c r="K162" s="86" t="n">
        <v>20.44318807054792</v>
      </c>
    </row>
    <row r="163">
      <c r="A163" t="inlineStr">
        <is>
          <t>399005</t>
        </is>
      </c>
      <c r="D163" s="101">
        <f>G162/H162</f>
        <v/>
      </c>
      <c r="E163" s="101">
        <f>J162/K162</f>
        <v/>
      </c>
      <c r="F163" s="101" t="n"/>
      <c r="H163" s="49" t="n">
        <v>33.69341675545927</v>
      </c>
      <c r="K163" s="86" t="n">
        <v>20.04164318224774</v>
      </c>
    </row>
    <row r="164">
      <c r="A164" t="inlineStr">
        <is>
          <t>2006-01-23T16:00:00.000Z</t>
        </is>
      </c>
      <c r="E164" s="101" t="n"/>
      <c r="F164" s="101" t="n"/>
      <c r="H164" s="54" t="n">
        <v>3.771996818024981</v>
      </c>
      <c r="K164" s="86" t="n">
        <v>2.850686553062046</v>
      </c>
    </row>
    <row r="165">
      <c r="E165" s="101" t="n"/>
      <c r="F165" s="101" t="n"/>
      <c r="H165" s="54" t="n">
        <v>3.707914976245239</v>
      </c>
      <c r="K165" s="86" t="n">
        <v>2.40861704661123</v>
      </c>
    </row>
    <row r="166">
      <c r="E166" s="101" t="n"/>
      <c r="F166" s="101" t="n"/>
      <c r="H166" s="99">
        <f>H164/H162</f>
        <v/>
      </c>
      <c r="I166" s="99" t="n"/>
      <c r="J166" s="99" t="n"/>
      <c r="K166" s="99">
        <f>K164/K162</f>
        <v/>
      </c>
    </row>
    <row r="167">
      <c r="A167" t="inlineStr">
        <is>
          <t>创业板指</t>
        </is>
      </c>
      <c r="B167" s="98">
        <f>(E168/D168)^(1/4)-1</f>
        <v/>
      </c>
      <c r="C167" s="98">
        <f>(E167/D167)^(1/4)-1</f>
        <v/>
      </c>
      <c r="D167" s="101">
        <f>G167/H169</f>
        <v/>
      </c>
      <c r="E167" s="101">
        <f>J167/K169</f>
        <v/>
      </c>
      <c r="F167" s="101" t="n"/>
      <c r="G167" t="n">
        <v>1504.83</v>
      </c>
      <c r="H167" s="49" t="n">
        <v>58.77627959911593</v>
      </c>
      <c r="J167" t="n">
        <v>1363.03</v>
      </c>
      <c r="K167" s="86" t="n">
        <v>30.3551128551267</v>
      </c>
    </row>
    <row r="168">
      <c r="A168" t="inlineStr">
        <is>
          <t>399006</t>
        </is>
      </c>
      <c r="D168" s="101">
        <f>G167/H167</f>
        <v/>
      </c>
      <c r="E168" s="101">
        <f>J167/K167</f>
        <v/>
      </c>
      <c r="F168" s="101" t="n"/>
      <c r="H168" s="50" t="n">
        <v>61.18817461048594</v>
      </c>
      <c r="K168" s="86" t="n">
        <v>30.76861152804248</v>
      </c>
    </row>
    <row r="169">
      <c r="A169" t="inlineStr">
        <is>
          <t>2010-05-31T16:00:00.000Z</t>
        </is>
      </c>
      <c r="E169" s="101" t="n"/>
      <c r="F169" s="101" t="n"/>
      <c r="H169" s="50" t="n">
        <v>6.056091760093079</v>
      </c>
      <c r="K169" s="86" t="n">
        <v>3.54395671946514</v>
      </c>
    </row>
    <row r="170">
      <c r="A170" t="n">
        <v>6.4</v>
      </c>
      <c r="E170" s="101" t="n"/>
      <c r="F170" s="101" t="n"/>
      <c r="H170" s="50" t="n">
        <v>5.54816549054518</v>
      </c>
      <c r="K170" s="86" t="n">
        <v>2.772773965480881</v>
      </c>
    </row>
    <row r="171">
      <c r="E171" s="101" t="n"/>
      <c r="F171" s="101" t="n"/>
      <c r="H171" s="99">
        <f>H169/H167</f>
        <v/>
      </c>
      <c r="I171" s="99" t="n"/>
      <c r="J171" s="99" t="n"/>
      <c r="K171" s="99">
        <f>K169/K167</f>
        <v/>
      </c>
    </row>
    <row r="172">
      <c r="A172" t="inlineStr">
        <is>
          <t>创业板50</t>
        </is>
      </c>
      <c r="B172" s="98">
        <f>(E173/D173)^(1/4)-1</f>
        <v/>
      </c>
      <c r="C172" s="98">
        <f>(E172/D172)^(1/4)-1</f>
        <v/>
      </c>
      <c r="D172" s="101">
        <f>G172/H174</f>
        <v/>
      </c>
      <c r="E172" s="101">
        <f>J172/K174</f>
        <v/>
      </c>
      <c r="F172" s="101" t="n"/>
      <c r="G172" t="n">
        <v>1431.67</v>
      </c>
      <c r="H172" s="49" t="n">
        <v>54.81659757553848</v>
      </c>
      <c r="J172" t="n">
        <v>1115.68</v>
      </c>
      <c r="K172" s="86" t="n">
        <v>31.57894625491178</v>
      </c>
    </row>
    <row r="173">
      <c r="A173" t="inlineStr">
        <is>
          <t>399673</t>
        </is>
      </c>
      <c r="D173" s="101">
        <f>G172/H172</f>
        <v/>
      </c>
      <c r="E173" s="101">
        <f>J172/K172</f>
        <v/>
      </c>
      <c r="F173" s="101" t="n"/>
      <c r="H173" s="49" t="n">
        <v>57.43829000204756</v>
      </c>
      <c r="K173" s="86" t="n">
        <v>30.39183273099088</v>
      </c>
    </row>
    <row r="174">
      <c r="A174" t="inlineStr">
        <is>
          <t>2014-06-17T16:00:00.000Z</t>
        </is>
      </c>
      <c r="E174" s="101" t="n"/>
      <c r="F174" s="101" t="n"/>
      <c r="H174" s="54" t="n">
        <v>6.206488361892082</v>
      </c>
      <c r="K174" s="86" t="n">
        <v>3.955598314479635</v>
      </c>
    </row>
    <row r="175">
      <c r="E175" s="101" t="n"/>
      <c r="F175" s="101" t="n"/>
      <c r="H175" s="49" t="n">
        <v>5.663598380615757</v>
      </c>
      <c r="K175" s="86" t="n">
        <v>3.06499380687019</v>
      </c>
    </row>
    <row r="176">
      <c r="E176" s="101" t="n"/>
      <c r="F176" s="101" t="n"/>
      <c r="H176" s="99">
        <f>H174/H172</f>
        <v/>
      </c>
      <c r="I176" s="99" t="n"/>
      <c r="J176" s="99" t="n"/>
      <c r="K176" s="99">
        <f>K174/K172</f>
        <v/>
      </c>
    </row>
    <row r="177">
      <c r="A177" t="inlineStr">
        <is>
          <t>养老产业</t>
        </is>
      </c>
      <c r="B177" s="98">
        <f>(E178/D178)^(1/4)-1</f>
        <v/>
      </c>
      <c r="C177" s="98">
        <f>(E177/D177)^(1/4)-1</f>
        <v/>
      </c>
      <c r="D177" s="101">
        <f>G177/H180</f>
        <v/>
      </c>
      <c r="E177" s="101">
        <f>J177/K180</f>
        <v/>
      </c>
      <c r="F177" s="101" t="n"/>
      <c r="G177" t="n">
        <v>6304.615</v>
      </c>
      <c r="H177" s="49" t="n">
        <v>20.88464408788173</v>
      </c>
      <c r="J177" t="n">
        <v>6616.57</v>
      </c>
      <c r="K177" s="41" t="n">
        <v>19.12843755232631</v>
      </c>
    </row>
    <row r="178">
      <c r="A178" t="inlineStr">
        <is>
          <t>399812</t>
        </is>
      </c>
      <c r="D178" s="101">
        <f>G177/H178</f>
        <v/>
      </c>
      <c r="E178" s="101">
        <f>J177/K178</f>
        <v/>
      </c>
      <c r="F178" s="101" t="n"/>
      <c r="H178" s="50" t="n">
        <v>30.1317434289037</v>
      </c>
      <c r="J178" s="128" t="n"/>
      <c r="K178" s="41" t="n">
        <v>21.55037815458045</v>
      </c>
    </row>
    <row r="179">
      <c r="A179" t="inlineStr">
        <is>
          <t>2014-06-05T16:00:00.000Z</t>
        </is>
      </c>
      <c r="E179" s="101" t="n"/>
      <c r="F179" s="101" t="n"/>
      <c r="H179" s="49" t="n">
        <v>2.669096033367515</v>
      </c>
      <c r="J179" s="128" t="n"/>
      <c r="K179" s="41" t="n">
        <v>2.720941752297053</v>
      </c>
    </row>
    <row r="180">
      <c r="E180" s="101" t="n"/>
      <c r="F180" s="101" t="n"/>
      <c r="H180" s="50" t="n">
        <v>3.827906605226607</v>
      </c>
      <c r="J180" s="128" t="n"/>
      <c r="K180" s="41" t="n">
        <v>2.599229898065375</v>
      </c>
    </row>
    <row r="181">
      <c r="E181" s="101" t="n"/>
      <c r="F181" s="101" t="n"/>
      <c r="H181" s="99">
        <f>H180/H178</f>
        <v/>
      </c>
      <c r="I181" s="99" t="n"/>
      <c r="J181" s="99" t="n"/>
      <c r="K181" s="99">
        <f>K180/K178</f>
        <v/>
      </c>
    </row>
    <row r="182">
      <c r="A182" t="inlineStr">
        <is>
          <t>中证200</t>
        </is>
      </c>
      <c r="B182" s="98">
        <f>(E183/D183)^(1/4)-1</f>
        <v/>
      </c>
      <c r="C182" s="98">
        <f>(E182/D182)^(1/4)-1</f>
        <v/>
      </c>
      <c r="D182" s="101">
        <f>G182/H184</f>
        <v/>
      </c>
      <c r="E182" s="101">
        <f>J182/K184</f>
        <v/>
      </c>
      <c r="F182" s="101" t="n"/>
      <c r="G182" t="n">
        <v>3466.14</v>
      </c>
      <c r="H182" s="48" t="n">
        <v>24.76864323581428</v>
      </c>
      <c r="J182" t="n">
        <v>3211.04</v>
      </c>
      <c r="K182" s="86" t="n">
        <v>13.07797109227461</v>
      </c>
    </row>
    <row r="183">
      <c r="A183" t="inlineStr">
        <is>
          <t>399904</t>
        </is>
      </c>
      <c r="D183" s="101">
        <f>G182/H182</f>
        <v/>
      </c>
      <c r="E183" s="101">
        <f>J182/K182</f>
        <v/>
      </c>
      <c r="F183" s="101" t="n"/>
      <c r="G183" s="128" t="n"/>
      <c r="H183" s="53" t="n">
        <v>25.95257420813262</v>
      </c>
      <c r="K183" s="86" t="n">
        <v>17.37013458302984</v>
      </c>
    </row>
    <row r="184">
      <c r="A184" t="inlineStr">
        <is>
          <t>2007-01-14T16:00:00.000Z</t>
        </is>
      </c>
      <c r="E184" s="101" t="n"/>
      <c r="F184" s="101" t="n"/>
      <c r="G184" s="128" t="n"/>
      <c r="H184" s="48" t="n">
        <v>2.296065267089752</v>
      </c>
      <c r="K184" s="86" t="n">
        <v>1.49610047678988</v>
      </c>
    </row>
    <row r="185">
      <c r="A185" t="n">
        <v>3.16</v>
      </c>
      <c r="E185" s="101" t="n"/>
      <c r="F185" s="101" t="n"/>
      <c r="G185" s="128" t="n"/>
      <c r="H185" s="48" t="n">
        <v>2.275798950249097</v>
      </c>
      <c r="K185" s="86" t="n">
        <v>1.681594426137704</v>
      </c>
    </row>
    <row r="186">
      <c r="E186" s="101" t="n"/>
      <c r="F186" s="101" t="n"/>
      <c r="H186" s="99">
        <f>H184/H182</f>
        <v/>
      </c>
      <c r="I186" s="99" t="n"/>
      <c r="J186" s="99" t="n"/>
      <c r="K186" s="99">
        <f>K184/K182</f>
        <v/>
      </c>
    </row>
    <row r="187">
      <c r="A187" t="inlineStr">
        <is>
          <t>创业成长</t>
        </is>
      </c>
      <c r="B187" s="98">
        <f>(E188/D188)^(1/5)-1</f>
        <v/>
      </c>
      <c r="C187" s="98">
        <f>(E187/D187)^(1/5)-1</f>
        <v/>
      </c>
      <c r="D187" s="101">
        <f>G187/H189</f>
        <v/>
      </c>
      <c r="E187" s="101">
        <f>J187/K189</f>
        <v/>
      </c>
      <c r="F187" s="101" t="n"/>
      <c r="G187" t="n">
        <v>999</v>
      </c>
      <c r="H187" s="54" t="n">
        <v>27.69</v>
      </c>
      <c r="J187" s="68" t="n">
        <v>977</v>
      </c>
      <c r="K187" s="86" t="n">
        <v>17.46</v>
      </c>
    </row>
    <row r="188">
      <c r="A188" t="inlineStr">
        <is>
          <t>399958</t>
        </is>
      </c>
      <c r="D188" s="101">
        <f>G187/H187</f>
        <v/>
      </c>
      <c r="E188" s="101">
        <f>J187/K187</f>
        <v/>
      </c>
      <c r="F188" s="101" t="n"/>
      <c r="H188" s="49" t="n"/>
      <c r="K188" s="86" t="n"/>
    </row>
    <row r="189">
      <c r="A189" t="inlineStr">
        <is>
          <t>2010-03-23T16:00:00.000Z</t>
        </is>
      </c>
      <c r="E189" s="101" t="n"/>
      <c r="F189" s="101" t="n"/>
      <c r="H189" s="54" t="n">
        <v>5.53</v>
      </c>
      <c r="K189" s="86" t="n">
        <v>3.74</v>
      </c>
    </row>
    <row r="190">
      <c r="A190" t="n">
        <v>3.4</v>
      </c>
      <c r="E190" s="101" t="n"/>
      <c r="F190" s="101" t="n"/>
      <c r="H190" s="49" t="n"/>
      <c r="K190" s="86" t="n"/>
    </row>
    <row r="191">
      <c r="E191" s="101" t="n"/>
      <c r="F191" s="101" t="n"/>
      <c r="H191" s="99">
        <f>H189/H187</f>
        <v/>
      </c>
      <c r="I191" s="99" t="n"/>
      <c r="J191" s="99" t="n"/>
      <c r="K191" s="99">
        <f>K189/K187</f>
        <v/>
      </c>
    </row>
    <row r="192">
      <c r="A192" t="inlineStr">
        <is>
          <t>中证军工</t>
        </is>
      </c>
      <c r="B192" s="98">
        <f>(E193/D193)^(1/4)-1</f>
        <v/>
      </c>
      <c r="C192" s="98">
        <f>(E192/D192)^(1/4)-1</f>
        <v/>
      </c>
      <c r="D192" s="101">
        <f>G192/H194</f>
        <v/>
      </c>
      <c r="E192" s="101">
        <f>J192/K194</f>
        <v/>
      </c>
      <c r="F192" s="101" t="n"/>
      <c r="G192" t="n">
        <v>8904.389999999999</v>
      </c>
      <c r="H192" s="50" t="n">
        <v>84.03131524874613</v>
      </c>
      <c r="J192" t="n">
        <v>6960.44</v>
      </c>
      <c r="K192" s="41" t="n">
        <v>50.87567899420423</v>
      </c>
    </row>
    <row r="193">
      <c r="A193" t="inlineStr">
        <is>
          <t>399967</t>
        </is>
      </c>
      <c r="D193" s="101">
        <f>G192/H192</f>
        <v/>
      </c>
      <c r="E193" s="101">
        <f>J192/K192</f>
        <v/>
      </c>
      <c r="F193" s="101" t="n"/>
      <c r="H193" s="50" t="n">
        <v>96.58069543188154</v>
      </c>
      <c r="J193" s="128" t="n"/>
      <c r="K193" s="41" t="n">
        <v>51.62794682970977</v>
      </c>
    </row>
    <row r="194">
      <c r="A194" t="inlineStr">
        <is>
          <t>2013-12-25T16:00:00.000Z</t>
        </is>
      </c>
      <c r="E194" s="101" t="n"/>
      <c r="F194" s="101" t="n"/>
      <c r="H194" s="50" t="n">
        <v>3.985928937899434</v>
      </c>
      <c r="J194" s="128" t="n"/>
      <c r="K194" s="41" t="n">
        <v>2.226315971253741</v>
      </c>
    </row>
    <row r="195">
      <c r="A195" t="n">
        <v>6.44</v>
      </c>
      <c r="E195" s="101" t="n"/>
      <c r="F195" s="101" t="n"/>
      <c r="H195" s="50" t="n">
        <v>4.661913416425701</v>
      </c>
      <c r="J195" s="128" t="n"/>
      <c r="K195" s="41" t="n">
        <v>2.501653560147398</v>
      </c>
    </row>
    <row r="196">
      <c r="E196" s="101" t="n"/>
      <c r="F196" s="101" t="n"/>
      <c r="H196" s="99">
        <f>H194/H192</f>
        <v/>
      </c>
      <c r="I196" s="99" t="n"/>
      <c r="J196" s="99" t="n"/>
      <c r="K196" s="99">
        <f>K194/K192</f>
        <v/>
      </c>
    </row>
    <row r="197">
      <c r="A197" t="inlineStr">
        <is>
          <t>移动互联</t>
        </is>
      </c>
      <c r="B197" s="98">
        <f>(E198/D198)^(1/4)-1</f>
        <v/>
      </c>
      <c r="C197" s="98">
        <f>(E197/D197)^(1/4)-1</f>
        <v/>
      </c>
      <c r="D197" s="101">
        <f>G197/H199</f>
        <v/>
      </c>
      <c r="E197" s="101">
        <f>J197/K199</f>
        <v/>
      </c>
      <c r="F197" s="101" t="n"/>
      <c r="G197" t="n">
        <v>1961.123</v>
      </c>
      <c r="H197" s="52" t="n">
        <v>43.64588216343962</v>
      </c>
      <c r="J197" t="n">
        <v>1793.32</v>
      </c>
      <c r="K197" s="86" t="n">
        <v>26.27720590476008</v>
      </c>
    </row>
    <row r="198">
      <c r="A198" t="inlineStr">
        <is>
          <t>399970</t>
        </is>
      </c>
      <c r="D198" s="101">
        <f>G197/H197</f>
        <v/>
      </c>
      <c r="E198" s="101">
        <f>J197/K197</f>
        <v/>
      </c>
      <c r="F198" s="101" t="n"/>
      <c r="G198" s="128" t="n"/>
      <c r="H198" s="53" t="n">
        <v>40.36080966064652</v>
      </c>
      <c r="K198" s="86" t="n">
        <v>25.11921180084659</v>
      </c>
    </row>
    <row r="199">
      <c r="A199" t="inlineStr">
        <is>
          <t>2014-05-04T16:00:00.000Z</t>
        </is>
      </c>
      <c r="E199" s="101" t="n"/>
      <c r="F199" s="101" t="n"/>
      <c r="G199" s="128" t="n"/>
      <c r="H199" s="52" t="n">
        <v>4.211276416436262</v>
      </c>
      <c r="K199" s="86" t="n">
        <v>3.157518268645466</v>
      </c>
    </row>
    <row r="200">
      <c r="E200" s="101" t="n"/>
      <c r="F200" s="101" t="n"/>
      <c r="G200" s="128" t="n"/>
      <c r="H200" s="53" t="n">
        <v>4.108670942812032</v>
      </c>
      <c r="K200" s="86" t="n">
        <v>2.721947418224508</v>
      </c>
    </row>
    <row r="201">
      <c r="E201" s="101" t="n"/>
      <c r="F201" s="101" t="n"/>
      <c r="H201" s="99">
        <f>H199/H197</f>
        <v/>
      </c>
      <c r="I201" s="99" t="n"/>
      <c r="J201" s="99" t="n"/>
      <c r="K201" s="99">
        <f>K199/K197</f>
        <v/>
      </c>
    </row>
    <row r="202">
      <c r="A202" t="inlineStr">
        <is>
          <t>中证传媒</t>
        </is>
      </c>
      <c r="B202" s="98">
        <f>(E203/D203)^(1/4)-1</f>
        <v/>
      </c>
      <c r="C202" s="98">
        <f>(E202/D202)^(1/4)-1</f>
        <v/>
      </c>
      <c r="D202" s="101">
        <f>G202/H204</f>
        <v/>
      </c>
      <c r="E202" s="101">
        <f>J202/K204</f>
        <v/>
      </c>
      <c r="F202" s="101" t="n"/>
      <c r="G202" t="n">
        <v>1819.472</v>
      </c>
      <c r="H202" s="50" t="n">
        <v>49.8560926463604</v>
      </c>
      <c r="J202" t="n">
        <v>1172.97</v>
      </c>
      <c r="K202" s="41" t="n">
        <v>21.24479415607305</v>
      </c>
    </row>
    <row r="203">
      <c r="A203" t="inlineStr">
        <is>
          <t>399971</t>
        </is>
      </c>
      <c r="D203" s="101">
        <f>G202/H202</f>
        <v/>
      </c>
      <c r="E203" s="101">
        <f>J202/K202</f>
        <v/>
      </c>
      <c r="F203" s="101" t="n"/>
      <c r="H203" s="50" t="n">
        <v>53.12908209297258</v>
      </c>
      <c r="J203" s="128" t="n"/>
      <c r="K203" s="41" t="n">
        <v>21.60791193393923</v>
      </c>
    </row>
    <row r="204">
      <c r="A204" t="inlineStr">
        <is>
          <t>2014-04-14T16:00:00.000Z</t>
        </is>
      </c>
      <c r="E204" s="101" t="n"/>
      <c r="F204" s="101" t="n"/>
      <c r="H204" s="49" t="n">
        <v>4.884549226001138</v>
      </c>
      <c r="J204" s="128" t="n"/>
      <c r="K204" s="41" t="n">
        <v>2.543142696589955</v>
      </c>
    </row>
    <row r="205">
      <c r="A205" t="n">
        <v>7.4</v>
      </c>
      <c r="E205" s="101" t="n"/>
      <c r="F205" s="101" t="n"/>
      <c r="H205" s="49" t="n">
        <v>4.684710822842741</v>
      </c>
      <c r="J205" s="128" t="n"/>
      <c r="K205" s="41" t="n">
        <v>1.905539475433469</v>
      </c>
    </row>
    <row r="206">
      <c r="E206" s="101" t="n"/>
      <c r="F206" s="101" t="n"/>
      <c r="H206" s="99">
        <f>H204/H202</f>
        <v/>
      </c>
      <c r="I206" s="99" t="n"/>
      <c r="J206" s="99" t="n"/>
      <c r="K206" s="99">
        <f>K204/K202</f>
        <v/>
      </c>
    </row>
    <row r="207">
      <c r="A207" t="inlineStr">
        <is>
          <t>证券公司</t>
        </is>
      </c>
      <c r="B207" s="98">
        <f>(E208/D208)^(1/4)-1</f>
        <v/>
      </c>
      <c r="C207" s="98">
        <f>(E207/D207)^(1/4)-1</f>
        <v/>
      </c>
      <c r="D207" s="101">
        <f>G207/H209</f>
        <v/>
      </c>
      <c r="E207" s="101">
        <f>J207/K209</f>
        <v/>
      </c>
      <c r="F207" s="101" t="n"/>
      <c r="G207" t="n">
        <v>766.3922</v>
      </c>
      <c r="H207" s="53" t="n">
        <v>29.70737084562034</v>
      </c>
      <c r="J207" t="n">
        <v>606.46</v>
      </c>
      <c r="K207" s="45" t="n">
        <v>25.16327820978718</v>
      </c>
    </row>
    <row r="208">
      <c r="A208" t="inlineStr">
        <is>
          <t>399975</t>
        </is>
      </c>
      <c r="D208" s="101">
        <f>G207/H207</f>
        <v/>
      </c>
      <c r="E208" s="101">
        <f>J207/K207</f>
        <v/>
      </c>
      <c r="F208" s="101" t="n"/>
      <c r="G208" s="128" t="n"/>
      <c r="H208" s="53" t="n">
        <v>35.44520571896737</v>
      </c>
      <c r="J208" s="128" t="n"/>
      <c r="K208" s="46" t="n">
        <v>37.87143158993379</v>
      </c>
    </row>
    <row r="209">
      <c r="A209" t="inlineStr">
        <is>
          <t>2013-07-14T16:00:00.000Z</t>
        </is>
      </c>
      <c r="E209" s="101" t="n"/>
      <c r="F209" s="101" t="n"/>
      <c r="G209" s="128" t="n"/>
      <c r="H209" s="52" t="n">
        <v>2.355383382394999</v>
      </c>
      <c r="J209" s="128" t="n"/>
      <c r="K209" s="41" t="n">
        <v>1.317507783053633</v>
      </c>
    </row>
    <row r="210">
      <c r="A210" t="n">
        <v>4.27</v>
      </c>
      <c r="E210" s="101" t="n"/>
      <c r="F210" s="101" t="n"/>
      <c r="G210" s="128" t="n"/>
      <c r="H210" s="52" t="n">
        <v>2.697040722441897</v>
      </c>
      <c r="J210" s="128" t="n"/>
      <c r="K210" s="41" t="n">
        <v>1.369487494141234</v>
      </c>
    </row>
    <row r="211">
      <c r="E211" s="101" t="n"/>
      <c r="F211" s="101" t="n"/>
      <c r="H211" s="99">
        <f>H209/H207</f>
        <v/>
      </c>
      <c r="I211" s="99" t="n"/>
      <c r="J211" s="99" t="n"/>
      <c r="K211" s="99">
        <f>K209/K207</f>
        <v/>
      </c>
    </row>
    <row r="212">
      <c r="A212" s="80" t="inlineStr">
        <is>
          <t>中证银行</t>
        </is>
      </c>
      <c r="B212" s="98">
        <f>(E213/D213)^(1/5)-1</f>
        <v/>
      </c>
      <c r="C212" s="98">
        <f>(E212/D212)^(1/5)-1</f>
        <v/>
      </c>
      <c r="D212" s="101">
        <f>G212/H214</f>
        <v/>
      </c>
      <c r="E212" s="101">
        <f>J212/K214</f>
        <v/>
      </c>
      <c r="F212" s="101" t="n"/>
      <c r="G212" t="n">
        <v>3449</v>
      </c>
      <c r="H212" s="47" t="n">
        <v>4.66</v>
      </c>
      <c r="J212" t="n">
        <v>6685</v>
      </c>
      <c r="K212" s="40" t="n">
        <v>7.04</v>
      </c>
    </row>
    <row r="213">
      <c r="A213" t="inlineStr">
        <is>
          <t>399986</t>
        </is>
      </c>
      <c r="D213" s="101">
        <f>G212/H212</f>
        <v/>
      </c>
      <c r="E213" s="101">
        <f>J212/K212</f>
        <v/>
      </c>
      <c r="F213" s="101" t="n"/>
      <c r="G213" s="128" t="n"/>
      <c r="H213" s="47" t="n"/>
      <c r="J213" s="128" t="n"/>
      <c r="K213" s="40" t="n"/>
    </row>
    <row r="214">
      <c r="A214" t="inlineStr">
        <is>
          <t>2013-07-14T16:00:00.000Z</t>
        </is>
      </c>
      <c r="E214" s="101" t="n"/>
      <c r="F214" s="101" t="n"/>
      <c r="G214" s="128" t="n"/>
      <c r="H214" s="47" t="n">
        <v>0.86</v>
      </c>
      <c r="J214" s="128" t="n"/>
      <c r="K214" s="41" t="n">
        <v>0.88</v>
      </c>
    </row>
    <row r="215">
      <c r="A215" t="n">
        <v>2.4</v>
      </c>
      <c r="E215" s="101" t="n"/>
      <c r="F215" s="101" t="n"/>
      <c r="G215" s="128" t="n"/>
      <c r="H215" s="47" t="n"/>
      <c r="J215" s="128" t="n"/>
      <c r="K215" s="41" t="n"/>
    </row>
    <row r="216">
      <c r="E216" s="101" t="n"/>
      <c r="F216" s="101" t="n"/>
      <c r="H216" s="99">
        <f>H214/H212</f>
        <v/>
      </c>
      <c r="I216" s="99" t="n"/>
      <c r="J216" s="99" t="n"/>
      <c r="K216" s="99">
        <f>K214/K212</f>
        <v/>
      </c>
    </row>
    <row r="217">
      <c r="A217" t="inlineStr">
        <is>
          <t>中证医疗</t>
        </is>
      </c>
      <c r="B217" s="98" t="n"/>
      <c r="C217" s="98">
        <f>(E217/D217)^(1/5)-1</f>
        <v/>
      </c>
      <c r="D217" s="101">
        <f>G217/H219</f>
        <v/>
      </c>
      <c r="E217" s="101">
        <f>J217/K219</f>
        <v/>
      </c>
      <c r="F217" s="101" t="n"/>
      <c r="G217" t="n">
        <v>11078</v>
      </c>
      <c r="H217" s="48" t="n"/>
      <c r="J217" t="n">
        <v>6790.45</v>
      </c>
      <c r="K217" s="86" t="n">
        <v>38.70137838120868</v>
      </c>
    </row>
    <row r="218">
      <c r="A218" t="inlineStr">
        <is>
          <t>399989</t>
        </is>
      </c>
      <c r="E218" s="101">
        <f>J217/K217</f>
        <v/>
      </c>
      <c r="F218" s="101" t="n"/>
      <c r="G218" s="128" t="n"/>
      <c r="H218" s="48" t="n"/>
      <c r="K218" s="86" t="n">
        <v>35.015789849581</v>
      </c>
    </row>
    <row r="219">
      <c r="A219" t="inlineStr">
        <is>
          <t>2014-10-30T16:00:00.000Z</t>
        </is>
      </c>
      <c r="E219" s="101" t="n"/>
      <c r="F219" s="101" t="n"/>
      <c r="G219" s="128" t="n"/>
      <c r="H219" s="48" t="n">
        <v>9.76</v>
      </c>
      <c r="K219" s="86" t="n">
        <v>4.762621676929901</v>
      </c>
    </row>
    <row r="220">
      <c r="E220" s="101" t="n"/>
      <c r="F220" s="101" t="n"/>
      <c r="G220" s="128" t="n"/>
      <c r="H220" s="53" t="n"/>
      <c r="K220" s="86" t="n">
        <v>3.057924150737545</v>
      </c>
    </row>
    <row r="221">
      <c r="E221" s="101" t="n"/>
      <c r="F221" s="101" t="n"/>
      <c r="H221" s="57" t="n"/>
      <c r="K221" s="57" t="n"/>
    </row>
    <row r="222">
      <c r="A222" t="inlineStr">
        <is>
          <t>中证白酒</t>
        </is>
      </c>
      <c r="B222" s="98">
        <f>(E223/D223)^(1/4)-1</f>
        <v/>
      </c>
      <c r="C222" s="98">
        <f>(E222/D222)^(1/4)-1</f>
        <v/>
      </c>
      <c r="D222" s="101">
        <f>G222/H224</f>
        <v/>
      </c>
      <c r="E222" s="101">
        <f>J222/K224</f>
        <v/>
      </c>
      <c r="F222" s="101" t="n"/>
      <c r="G222" t="n">
        <v>2401</v>
      </c>
      <c r="H222" s="86" t="n">
        <v>17.14</v>
      </c>
      <c r="J222" t="n">
        <v>5984</v>
      </c>
      <c r="K222" s="42" t="n">
        <v>27.89</v>
      </c>
    </row>
    <row r="223">
      <c r="A223" t="inlineStr">
        <is>
          <t>399997</t>
        </is>
      </c>
      <c r="D223" s="101">
        <f>G222/H222</f>
        <v/>
      </c>
      <c r="E223" s="101">
        <f>J222/K222</f>
        <v/>
      </c>
      <c r="F223" s="101" t="n"/>
      <c r="H223" s="86" t="n"/>
      <c r="K223" s="86" t="n"/>
    </row>
    <row r="224">
      <c r="A224" t="inlineStr">
        <is>
          <t>2015-01-20T16:00:00.000Z</t>
        </is>
      </c>
      <c r="E224" s="101" t="n"/>
      <c r="F224" s="101" t="n"/>
      <c r="H224" s="86" t="n">
        <v>3.5</v>
      </c>
      <c r="K224" s="44" t="n">
        <v>6.79</v>
      </c>
    </row>
    <row r="225">
      <c r="E225" s="101" t="n"/>
      <c r="F225" s="101" t="n"/>
      <c r="H225" s="86" t="n"/>
      <c r="K225" s="86" t="n"/>
    </row>
    <row r="226">
      <c r="E226" s="101" t="n"/>
      <c r="F226" s="101" t="n"/>
      <c r="H226" s="99">
        <f>H224/H222</f>
        <v/>
      </c>
      <c r="I226" s="99" t="n"/>
      <c r="J226" s="99" t="n"/>
      <c r="K226" s="99">
        <f>K224/K222</f>
        <v/>
      </c>
    </row>
    <row r="227">
      <c r="A227" t="inlineStr">
        <is>
          <t>中证煤炭</t>
        </is>
      </c>
      <c r="B227" s="98" t="n"/>
      <c r="C227" s="98" t="n"/>
      <c r="E227" s="101">
        <f>J227/K229</f>
        <v/>
      </c>
      <c r="F227" s="101" t="n"/>
      <c r="H227" s="42" t="n"/>
      <c r="J227" t="n">
        <v>1288.56</v>
      </c>
      <c r="K227" s="86" t="n">
        <v>9.204848422995642</v>
      </c>
    </row>
    <row r="228">
      <c r="A228" t="inlineStr">
        <is>
          <t>399998</t>
        </is>
      </c>
      <c r="E228" s="101" t="n"/>
      <c r="F228" s="101" t="n"/>
      <c r="H228" s="86" t="n"/>
      <c r="K228" s="43" t="n">
        <v>11.35413643208571</v>
      </c>
    </row>
    <row r="229">
      <c r="A229" t="inlineStr">
        <is>
          <t>2015-02-12T16:00:00.000Z</t>
        </is>
      </c>
      <c r="E229" s="101" t="n"/>
      <c r="F229" s="101" t="n"/>
      <c r="H229" s="44" t="n"/>
      <c r="K229" s="86" t="n">
        <v>1.111263378125687</v>
      </c>
    </row>
    <row r="230">
      <c r="E230" s="101" t="n"/>
      <c r="F230" s="101" t="n"/>
      <c r="H230" s="86" t="n"/>
      <c r="K230" s="86" t="n">
        <v>1.072882285396312</v>
      </c>
    </row>
    <row r="231">
      <c r="E231" s="101" t="n"/>
      <c r="F231" s="101" t="n"/>
      <c r="H231" s="57" t="n"/>
    </row>
    <row r="232">
      <c r="A232" t="inlineStr">
        <is>
          <t>沪深A股</t>
        </is>
      </c>
      <c r="B232" s="98">
        <f>(E233/D233)^(1/4)-1</f>
        <v/>
      </c>
      <c r="C232" s="98">
        <f>(E232/D232)^(1/4)-1</f>
        <v/>
      </c>
      <c r="D232" s="101">
        <f>G232/H234</f>
        <v/>
      </c>
      <c r="E232" s="101">
        <f>J232/K234</f>
        <v/>
      </c>
      <c r="F232" s="101" t="n"/>
      <c r="G232" t="n">
        <v>3575</v>
      </c>
      <c r="H232" s="42" t="n">
        <v>14</v>
      </c>
      <c r="J232" t="n">
        <v>3712.11</v>
      </c>
      <c r="K232" s="42" t="n">
        <v>14.00313583206505</v>
      </c>
    </row>
    <row r="233">
      <c r="A233" t="inlineStr">
        <is>
          <t>1000002</t>
        </is>
      </c>
      <c r="D233" s="101">
        <f>G232/H232</f>
        <v/>
      </c>
      <c r="E233" s="101">
        <f>J232/K232</f>
        <v/>
      </c>
      <c r="F233" s="101" t="n"/>
      <c r="H233" s="86" t="n"/>
      <c r="K233" s="86" t="n">
        <v>31.80014140556259</v>
      </c>
    </row>
    <row r="234">
      <c r="A234" t="inlineStr">
        <is>
          <t>1993-12-31T16:00:00.000Z</t>
        </is>
      </c>
      <c r="E234" s="101" t="n"/>
      <c r="F234" s="101" t="n"/>
      <c r="H234" s="86" t="n">
        <v>1.76</v>
      </c>
      <c r="K234" s="86" t="n">
        <v>1.511837094094837</v>
      </c>
    </row>
    <row r="235">
      <c r="E235" s="101" t="n"/>
      <c r="F235" s="101" t="n"/>
      <c r="H235" s="86" t="n"/>
      <c r="K235" s="86" t="n">
        <v>1.924461058310335</v>
      </c>
    </row>
    <row r="236">
      <c r="H236" s="99">
        <f>H234/H232</f>
        <v/>
      </c>
      <c r="I236" s="99" t="n"/>
      <c r="J236" s="99" t="n"/>
      <c r="K236" s="99">
        <f>K234/K232</f>
        <v/>
      </c>
    </row>
    <row r="237">
      <c r="A237" t="inlineStr">
        <is>
          <t>CS新能车</t>
        </is>
      </c>
      <c r="B237" s="98">
        <f>(E238/D238)^(1/4)-1</f>
        <v/>
      </c>
      <c r="C237" s="98">
        <f>(E237/D237)^(1/4)-1</f>
        <v/>
      </c>
      <c r="D237" s="101">
        <f>G237/H240</f>
        <v/>
      </c>
      <c r="E237" s="101">
        <f>J237/K240</f>
        <v/>
      </c>
      <c r="G237" t="n">
        <v>2310</v>
      </c>
      <c r="J237" t="n">
        <v>1658</v>
      </c>
    </row>
    <row r="238">
      <c r="A238" t="inlineStr">
        <is>
          <t>399976</t>
        </is>
      </c>
      <c r="D238" s="101">
        <f>G237/H238</f>
        <v/>
      </c>
      <c r="E238" s="101">
        <f>J237/K238</f>
        <v/>
      </c>
      <c r="H238" t="n">
        <v>77.87</v>
      </c>
      <c r="K238" s="86" t="n">
        <v>26.27</v>
      </c>
    </row>
    <row r="239">
      <c r="A239" t="inlineStr">
        <is>
          <t>2014-11-27T16:00:00.000Z</t>
        </is>
      </c>
      <c r="E239" s="101" t="n"/>
      <c r="K239" s="86" t="n"/>
    </row>
    <row r="240">
      <c r="E240" s="101" t="n"/>
      <c r="H240" t="n">
        <v>4.96</v>
      </c>
      <c r="K240" s="86" t="n">
        <v>3.37</v>
      </c>
    </row>
    <row r="241">
      <c r="H241" s="99">
        <f>H240/H238</f>
        <v/>
      </c>
      <c r="I241" s="99" t="n"/>
      <c r="J241" s="99" t="n"/>
      <c r="K241" s="99">
        <f>K240/K238</f>
        <v/>
      </c>
    </row>
    <row customHeight="1" ht="17" r="242" s="155">
      <c r="A242" t="inlineStr">
        <is>
          <t>军工指数</t>
        </is>
      </c>
      <c r="B242" s="98" t="n"/>
      <c r="C242" s="98" t="n"/>
      <c r="E242" s="101" t="n"/>
      <c r="H242" s="99" t="n"/>
    </row>
    <row r="243">
      <c r="A243" t="n">
        <v>399959</v>
      </c>
      <c r="E243" s="101" t="n"/>
      <c r="H243" s="86" t="n"/>
    </row>
    <row customHeight="1" ht="17" r="244" s="155">
      <c r="A244" s="112" t="n">
        <v>40785</v>
      </c>
      <c r="E244" s="101" t="n"/>
      <c r="H244" s="86" t="n"/>
    </row>
    <row r="245">
      <c r="A245" t="n">
        <v>5.74</v>
      </c>
      <c r="E245" s="101" t="n"/>
      <c r="H245" s="86" t="n"/>
    </row>
    <row r="247">
      <c r="A247" s="80" t="inlineStr">
        <is>
          <t>中国互联</t>
        </is>
      </c>
      <c r="B247" s="98">
        <f>(E248/D248)^(1/5)-1</f>
        <v/>
      </c>
      <c r="C247" s="98">
        <f>(E247/D247)^(1/5)-1</f>
        <v/>
      </c>
      <c r="D247" s="101">
        <f>G247/H249</f>
        <v/>
      </c>
      <c r="E247" s="101">
        <f>J247/K249</f>
        <v/>
      </c>
      <c r="G247" t="n">
        <v>4364</v>
      </c>
      <c r="H247" t="n">
        <v>46.36</v>
      </c>
      <c r="J247" t="n">
        <v>5793.55</v>
      </c>
      <c r="K247" t="n">
        <v>34.05</v>
      </c>
    </row>
    <row r="248">
      <c r="D248" s="101">
        <f>G247/H247</f>
        <v/>
      </c>
      <c r="E248" s="101">
        <f>J247/K247</f>
        <v/>
      </c>
    </row>
    <row r="249">
      <c r="E249" s="101" t="n"/>
      <c r="H249" t="n">
        <v>10.01</v>
      </c>
      <c r="K249" t="n">
        <v>5.56</v>
      </c>
    </row>
    <row r="250">
      <c r="E250" s="101" t="n"/>
    </row>
    <row r="251">
      <c r="H251" s="99">
        <f>H249/H247</f>
        <v/>
      </c>
      <c r="I251" s="99" t="n"/>
      <c r="J251" s="99" t="n"/>
      <c r="K251" s="99">
        <f>K249/K247</f>
        <v/>
      </c>
    </row>
    <row r="252">
      <c r="A252" s="80" t="inlineStr">
        <is>
          <t>价值指数</t>
        </is>
      </c>
      <c r="B252" s="98">
        <f>(E253/D253)^(1/5)-1</f>
        <v/>
      </c>
      <c r="C252" s="98">
        <f>(E252/D252)^(1/5)-1</f>
        <v/>
      </c>
      <c r="D252" s="101">
        <f>G252/H254</f>
        <v/>
      </c>
      <c r="E252" s="101">
        <f>J252/K254</f>
        <v/>
      </c>
      <c r="F252" s="101" t="n"/>
      <c r="G252" t="n">
        <v>7928</v>
      </c>
      <c r="H252" s="48" t="n">
        <v>10.15</v>
      </c>
      <c r="J252" t="n">
        <v>14979</v>
      </c>
      <c r="K252" s="61" t="n">
        <v>10.38</v>
      </c>
    </row>
    <row r="253">
      <c r="D253" s="101">
        <f>G252/H252</f>
        <v/>
      </c>
      <c r="E253" s="101">
        <f>J252/K252</f>
        <v/>
      </c>
      <c r="F253" s="101" t="n"/>
      <c r="G253" s="128" t="n"/>
      <c r="H253" s="53" t="n"/>
      <c r="J253" s="128" t="n"/>
      <c r="K253" s="41" t="n"/>
    </row>
    <row r="254">
      <c r="E254" s="101" t="n"/>
      <c r="F254" s="101" t="n"/>
      <c r="G254" s="128" t="n"/>
      <c r="H254" s="48" t="n">
        <v>1.97</v>
      </c>
      <c r="J254" s="128" t="n"/>
      <c r="K254" s="41" t="n">
        <v>2.21</v>
      </c>
    </row>
    <row r="255">
      <c r="E255" s="101" t="n"/>
      <c r="F255" s="101" t="n"/>
      <c r="G255" s="128" t="n"/>
      <c r="H255" s="53" t="n"/>
      <c r="J255" s="128" t="n"/>
      <c r="K255" s="41" t="n"/>
    </row>
    <row r="256">
      <c r="H256" s="99">
        <f>H254/H252</f>
        <v/>
      </c>
      <c r="I256" s="99" t="n"/>
      <c r="J256" s="99" t="n"/>
      <c r="K256" s="99">
        <f>K254/K252</f>
        <v/>
      </c>
    </row>
    <row r="257">
      <c r="A257" s="80" t="inlineStr">
        <is>
          <t>国证医药</t>
        </is>
      </c>
      <c r="B257" s="98">
        <f>(E258/D258)^(1/4)-1</f>
        <v/>
      </c>
      <c r="C257" s="98">
        <f>(E257/D257)^(1/4)-1</f>
        <v/>
      </c>
      <c r="D257" s="101">
        <f>G257/H259</f>
        <v/>
      </c>
      <c r="E257" s="101">
        <f>J257/K259</f>
        <v/>
      </c>
      <c r="F257" s="101" t="n"/>
      <c r="G257" t="n">
        <v>6075</v>
      </c>
      <c r="H257" s="42" t="n">
        <v>33.96</v>
      </c>
      <c r="J257" t="n">
        <v>8810</v>
      </c>
      <c r="K257" s="42" t="n">
        <v>28.51</v>
      </c>
    </row>
    <row r="258">
      <c r="D258" s="101">
        <f>G257/H257</f>
        <v/>
      </c>
      <c r="E258" s="101">
        <f>J257/K257</f>
        <v/>
      </c>
      <c r="F258" s="101" t="n"/>
      <c r="H258" s="86" t="n"/>
      <c r="K258" s="86" t="n"/>
    </row>
    <row r="259">
      <c r="E259" s="101" t="n"/>
      <c r="F259" s="101" t="n"/>
      <c r="H259" s="86" t="n">
        <v>4.58</v>
      </c>
      <c r="K259" s="86" t="n">
        <v>3.94</v>
      </c>
    </row>
    <row r="260">
      <c r="E260" s="101" t="n"/>
      <c r="F260" s="101" t="n"/>
      <c r="H260" s="86" t="n"/>
      <c r="K260" s="86" t="n"/>
    </row>
    <row r="261">
      <c r="H261" s="99">
        <f>H259/H257</f>
        <v/>
      </c>
      <c r="I261" s="99" t="n"/>
      <c r="J261" s="99" t="n"/>
      <c r="K261" s="99">
        <f>K259/K257</f>
        <v/>
      </c>
    </row>
    <row r="262">
      <c r="A262" t="inlineStr">
        <is>
          <t>中证医疗</t>
        </is>
      </c>
      <c r="B262" s="98">
        <f>(E263/D263)^(1/3)-1</f>
        <v/>
      </c>
      <c r="C262" s="98">
        <f>(E262/D262)^(1/3)-1</f>
        <v/>
      </c>
      <c r="D262" s="101">
        <f>G262/H264</f>
        <v/>
      </c>
      <c r="E262" s="101">
        <f>J262/K264</f>
        <v/>
      </c>
      <c r="F262" s="101" t="n"/>
      <c r="G262" t="n">
        <v>8810</v>
      </c>
      <c r="H262" s="42" t="n">
        <v>77</v>
      </c>
      <c r="J262" t="n">
        <v>7839</v>
      </c>
      <c r="K262" s="42" t="n">
        <v>42.59</v>
      </c>
    </row>
    <row r="263">
      <c r="D263" s="101">
        <f>G262/H262</f>
        <v/>
      </c>
      <c r="E263" s="101">
        <f>J262/K262</f>
        <v/>
      </c>
      <c r="F263" s="101" t="n"/>
      <c r="H263" s="86" t="n"/>
      <c r="K263" s="86" t="n"/>
    </row>
    <row r="264">
      <c r="E264" s="101" t="n"/>
      <c r="F264" s="101" t="n"/>
      <c r="H264" s="86" t="n">
        <v>7.36</v>
      </c>
      <c r="K264" s="86" t="n">
        <v>5.52</v>
      </c>
    </row>
    <row r="265">
      <c r="E265" s="101" t="n"/>
      <c r="F265" s="101" t="n"/>
      <c r="H265" s="86" t="n"/>
      <c r="K265" s="86" t="n"/>
    </row>
    <row r="266">
      <c r="H266" s="99">
        <f>H264/H262</f>
        <v/>
      </c>
      <c r="I266" s="99" t="n"/>
      <c r="J266" s="99" t="n"/>
      <c r="K266" s="99">
        <f>K264/K262</f>
        <v/>
      </c>
    </row>
    <row r="267">
      <c r="A267" t="inlineStr">
        <is>
          <t>中证中药</t>
        </is>
      </c>
      <c r="B267" s="98">
        <f>(E268/D268)^(1/3)-1</f>
        <v/>
      </c>
      <c r="C267" s="98">
        <f>(E267/D267)^(1/3)-1</f>
        <v/>
      </c>
      <c r="D267" s="101">
        <f>G267/H269</f>
        <v/>
      </c>
      <c r="E267" s="101">
        <f>J267/K269</f>
        <v/>
      </c>
      <c r="F267" s="101" t="n"/>
      <c r="G267" t="n">
        <v>10516</v>
      </c>
      <c r="H267" s="48" t="n">
        <v>30.32</v>
      </c>
      <c r="J267" t="n">
        <v>9743</v>
      </c>
      <c r="K267" s="86" t="n">
        <v>24.15</v>
      </c>
    </row>
    <row customHeight="1" ht="18" r="268" s="155">
      <c r="A268" s="79" t="inlineStr">
        <is>
          <t>C060203</t>
        </is>
      </c>
      <c r="D268" s="101">
        <f>G267/H267</f>
        <v/>
      </c>
      <c r="E268" s="101">
        <f>J267/K267</f>
        <v/>
      </c>
      <c r="F268" s="101" t="n"/>
      <c r="G268" s="128" t="n"/>
      <c r="H268" s="48" t="n"/>
      <c r="K268" s="86" t="n"/>
    </row>
    <row r="269">
      <c r="E269" s="101" t="n"/>
      <c r="F269" s="101" t="n"/>
      <c r="G269" s="128" t="n"/>
      <c r="H269" s="48" t="n">
        <v>3.83</v>
      </c>
      <c r="K269" s="86" t="n">
        <v>2.89</v>
      </c>
    </row>
    <row r="270">
      <c r="E270" s="101" t="n"/>
      <c r="F270" s="101" t="n"/>
      <c r="G270" s="128" t="n"/>
      <c r="H270" s="53" t="n"/>
      <c r="K270" s="86" t="n"/>
    </row>
    <row customHeight="1" ht="15" r="271" s="155">
      <c r="H271" s="99">
        <f>H269/H267</f>
        <v/>
      </c>
      <c r="I271" s="99" t="n"/>
      <c r="J271" s="99" t="n"/>
      <c r="K271" s="99">
        <f>K269/K267</f>
        <v/>
      </c>
    </row>
    <row r="272">
      <c r="A272" t="inlineStr">
        <is>
          <t>红利指数</t>
        </is>
      </c>
      <c r="B272" s="98">
        <f>(E273/D273)^(1/5)-1</f>
        <v/>
      </c>
      <c r="C272" s="98">
        <f>(E272/D272)^(1/5)-1</f>
        <v/>
      </c>
      <c r="D272" s="101">
        <f>G272/H274</f>
        <v/>
      </c>
      <c r="E272" s="101">
        <f>J272/K274</f>
        <v/>
      </c>
      <c r="G272" t="n">
        <v>1659</v>
      </c>
      <c r="H272" t="n">
        <v>5.99</v>
      </c>
      <c r="J272" t="n">
        <v>3087</v>
      </c>
      <c r="K272" s="82" t="n">
        <v>8.16</v>
      </c>
    </row>
    <row r="273">
      <c r="A273" t="inlineStr">
        <is>
          <t>000015</t>
        </is>
      </c>
      <c r="D273" s="101">
        <f>G272/H272</f>
        <v/>
      </c>
      <c r="E273" s="101">
        <f>J272/K272</f>
        <v/>
      </c>
      <c r="K273" s="82" t="n"/>
    </row>
    <row r="274">
      <c r="A274" t="inlineStr">
        <is>
          <t>2005-01-03T16:00:00.000Z</t>
        </is>
      </c>
      <c r="H274" t="n">
        <v>1.01</v>
      </c>
      <c r="K274" s="83" t="n">
        <v>1.05</v>
      </c>
    </row>
    <row r="275">
      <c r="K275" s="82" t="n"/>
    </row>
    <row r="276">
      <c r="H276" s="99">
        <f>H274/H272</f>
        <v/>
      </c>
      <c r="K276" s="99">
        <f>K274/K272</f>
        <v/>
      </c>
    </row>
    <row r="278">
      <c r="A278" t="inlineStr">
        <is>
          <t>保险主题</t>
        </is>
      </c>
      <c r="B278" s="98">
        <f>(E279/D279)^(1/4)-1</f>
        <v/>
      </c>
      <c r="C278" s="98">
        <f>(E278/D278)^(1/4)-1</f>
        <v/>
      </c>
      <c r="D278" s="101">
        <f>G278/H280</f>
        <v/>
      </c>
      <c r="E278" s="101">
        <f>J278/K280</f>
        <v/>
      </c>
      <c r="G278" t="n">
        <v>2098</v>
      </c>
      <c r="H278" t="n">
        <v>15.54</v>
      </c>
      <c r="J278" t="n">
        <v>2595</v>
      </c>
      <c r="K278" s="84" t="n">
        <v>15.21820137713296</v>
      </c>
    </row>
    <row r="279">
      <c r="A279" t="inlineStr">
        <is>
          <t>399809</t>
        </is>
      </c>
      <c r="D279" s="101">
        <f>G278/H278</f>
        <v/>
      </c>
      <c r="E279" s="101">
        <f>J278/K278</f>
        <v/>
      </c>
      <c r="K279" s="84" t="n"/>
    </row>
    <row r="280">
      <c r="A280" t="inlineStr">
        <is>
          <t>2015-02-13T</t>
        </is>
      </c>
      <c r="H280" t="n">
        <v>2.1</v>
      </c>
      <c r="K280" s="84" t="n">
        <v>1.764231095335311</v>
      </c>
    </row>
    <row r="281">
      <c r="K281" s="85" t="n"/>
    </row>
    <row r="282">
      <c r="H282" s="99">
        <f>H280/H278</f>
        <v/>
      </c>
      <c r="K282" s="99">
        <f>K280/K278</f>
        <v/>
      </c>
    </row>
    <row r="284">
      <c r="A284" t="inlineStr">
        <is>
          <t>500信息</t>
        </is>
      </c>
      <c r="B284" s="98">
        <f>(E285/D285)^(1/3)-1</f>
        <v/>
      </c>
      <c r="C284" s="98">
        <f>(E284/D284)^(1/3)-1</f>
        <v/>
      </c>
      <c r="D284" s="101">
        <f>G284/H286</f>
        <v/>
      </c>
      <c r="E284" s="101">
        <f>J284/K286</f>
        <v/>
      </c>
      <c r="G284" t="n">
        <v>7825</v>
      </c>
      <c r="H284" t="n">
        <v>78.73</v>
      </c>
      <c r="J284" t="n">
        <v>6463</v>
      </c>
      <c r="K284" t="n">
        <v>78.76000000000001</v>
      </c>
    </row>
    <row r="285">
      <c r="D285" s="101">
        <f>G284/H284</f>
        <v/>
      </c>
      <c r="E285" s="101">
        <f>J284/K284</f>
        <v/>
      </c>
    </row>
    <row r="286">
      <c r="H286" t="n">
        <v>4.79</v>
      </c>
      <c r="K286" t="n">
        <v>3.27</v>
      </c>
    </row>
    <row r="288">
      <c r="H288" s="99">
        <f>H286/H284</f>
        <v/>
      </c>
      <c r="K288" s="99">
        <f>K286/K284</f>
        <v/>
      </c>
    </row>
    <row r="290">
      <c r="A290" t="inlineStr">
        <is>
          <t>中证医疗</t>
        </is>
      </c>
      <c r="B290" s="98">
        <f>(E291/D291)^(1/4)-1</f>
        <v/>
      </c>
      <c r="C290" s="98">
        <f>(E290/D290)^(1/4)-1</f>
        <v/>
      </c>
      <c r="D290" s="101">
        <f>G290/H292</f>
        <v/>
      </c>
      <c r="E290" s="101">
        <f>J290/K292</f>
        <v/>
      </c>
      <c r="G290" t="n">
        <v>9982</v>
      </c>
      <c r="H290" t="n">
        <v>82.02</v>
      </c>
      <c r="J290" t="n">
        <v>8396</v>
      </c>
      <c r="K290" t="n">
        <v>47.04</v>
      </c>
    </row>
    <row r="291">
      <c r="D291" s="101">
        <f>G290/H290</f>
        <v/>
      </c>
      <c r="E291" s="101">
        <f>J290/K290</f>
        <v/>
      </c>
    </row>
    <row r="292">
      <c r="H292" t="n">
        <v>9</v>
      </c>
      <c r="K292" t="n">
        <v>6</v>
      </c>
    </row>
    <row r="294">
      <c r="H294" s="99">
        <f>H292/H290</f>
        <v/>
      </c>
      <c r="K294" s="99">
        <f>K292/K290</f>
        <v/>
      </c>
    </row>
    <row r="296">
      <c r="A296" t="inlineStr">
        <is>
          <t>XBI</t>
        </is>
      </c>
      <c r="B296" s="98">
        <f>(E297/D297)^(1/3)-1</f>
        <v/>
      </c>
      <c r="C296" s="98">
        <f>(E296/D296)^(1/3)-1</f>
        <v/>
      </c>
      <c r="D296" s="101">
        <f>G296/H298</f>
        <v/>
      </c>
      <c r="E296" s="101">
        <f>J296/K298</f>
        <v/>
      </c>
      <c r="G296" t="n">
        <v>61</v>
      </c>
      <c r="H296" t="n">
        <v>15.57</v>
      </c>
      <c r="J296" t="n">
        <v>79</v>
      </c>
      <c r="K296" t="n">
        <v>15.02</v>
      </c>
    </row>
    <row r="297">
      <c r="D297" s="101">
        <f>G296/H296</f>
        <v/>
      </c>
      <c r="E297" s="101">
        <f>J296/K296</f>
        <v/>
      </c>
    </row>
    <row r="298">
      <c r="H298" t="n">
        <v>5.58</v>
      </c>
      <c r="K298" t="n">
        <v>4.18</v>
      </c>
    </row>
    <row r="300">
      <c r="H300" s="99">
        <f>H298/H296</f>
        <v/>
      </c>
      <c r="K300" s="99">
        <f>K298/K296</f>
        <v/>
      </c>
    </row>
    <row r="302">
      <c r="A302" t="inlineStr">
        <is>
          <t>基建工程</t>
        </is>
      </c>
      <c r="B302" s="98">
        <f>(E303/D303)^(1/4)-1</f>
        <v/>
      </c>
      <c r="C302" s="98">
        <f>(E302/D302)^(1/4)-1</f>
        <v/>
      </c>
      <c r="D302" s="101">
        <f>G302/H304</f>
        <v/>
      </c>
      <c r="E302" s="101">
        <f>J302/K304</f>
        <v/>
      </c>
      <c r="G302" t="n">
        <v>6906</v>
      </c>
      <c r="H302" t="n">
        <v>19.93</v>
      </c>
      <c r="J302" t="n">
        <v>3537</v>
      </c>
      <c r="K302" t="n">
        <v>7.83</v>
      </c>
    </row>
    <row r="303">
      <c r="D303" s="101">
        <f>G302/H302</f>
        <v/>
      </c>
      <c r="E303" s="101">
        <f>J302/K302</f>
        <v/>
      </c>
    </row>
    <row r="304">
      <c r="H304" t="n">
        <v>2.31</v>
      </c>
      <c r="K304" t="n">
        <v>0.89</v>
      </c>
    </row>
    <row r="306">
      <c r="H306" s="99">
        <f>H304/H302</f>
        <v/>
      </c>
      <c r="K306" s="99">
        <f>K304/K302</f>
        <v/>
      </c>
    </row>
    <row r="310">
      <c r="A310" t="inlineStr">
        <is>
          <t>美的</t>
        </is>
      </c>
      <c r="B310" s="98">
        <f>(E311/D311)^(1/5)-1</f>
        <v/>
      </c>
      <c r="C310" s="98">
        <f>(E310/D310)^(1/5)-1</f>
        <v/>
      </c>
      <c r="D310" s="101">
        <f>G310/H312</f>
        <v/>
      </c>
      <c r="E310" s="101">
        <f>J310/K312</f>
        <v/>
      </c>
      <c r="G310" t="n">
        <v>17.37</v>
      </c>
      <c r="H310" t="n">
        <v>12.05</v>
      </c>
      <c r="J310" t="n">
        <v>57.2</v>
      </c>
      <c r="K310" t="n">
        <v>16.85</v>
      </c>
    </row>
    <row r="311">
      <c r="D311" s="101">
        <f>G310/H310</f>
        <v/>
      </c>
      <c r="E311" s="101">
        <f>J310/K310</f>
        <v/>
      </c>
    </row>
    <row r="312">
      <c r="H312" t="n">
        <v>3.21</v>
      </c>
      <c r="K312" t="n">
        <v>4.05</v>
      </c>
    </row>
    <row r="314">
      <c r="H314" s="99">
        <f>H312/H310</f>
        <v/>
      </c>
      <c r="K314" s="99">
        <f>K312/K310</f>
        <v/>
      </c>
    </row>
    <row r="315">
      <c r="H315" s="99" t="n"/>
      <c r="K315" s="99" t="n"/>
    </row>
    <row r="317">
      <c r="A317" t="inlineStr">
        <is>
          <t>消费红利</t>
        </is>
      </c>
      <c r="B317" s="98">
        <f>(E318/D318)^(1/6)-1</f>
        <v/>
      </c>
      <c r="C317" s="98">
        <f>(E317/D317)^(1/6)-1</f>
        <v/>
      </c>
      <c r="D317" s="101">
        <f>G317/H319</f>
        <v/>
      </c>
      <c r="E317" s="101">
        <f>J317/K319</f>
        <v/>
      </c>
      <c r="G317" t="n">
        <v>9232</v>
      </c>
      <c r="H317" t="n">
        <v>12.45</v>
      </c>
      <c r="J317" t="n">
        <v>31312</v>
      </c>
      <c r="K317" t="n">
        <v>28.47</v>
      </c>
    </row>
    <row r="318">
      <c r="D318" s="101">
        <f>G317/H317</f>
        <v/>
      </c>
      <c r="E318" s="101">
        <f>J317/K317</f>
        <v/>
      </c>
    </row>
    <row r="319">
      <c r="H319" t="n">
        <v>2.57</v>
      </c>
      <c r="K319" t="n">
        <v>7.02</v>
      </c>
    </row>
    <row r="321">
      <c r="H321" s="99">
        <f>H319/H317</f>
        <v/>
      </c>
      <c r="K321" s="99">
        <f>K319/K317</f>
        <v/>
      </c>
    </row>
    <row r="323">
      <c r="A323" t="inlineStr">
        <is>
          <t>信息红利</t>
        </is>
      </c>
      <c r="B323" s="98">
        <f>(E324/D324)^(1/6)-1</f>
        <v/>
      </c>
      <c r="C323" s="98">
        <f>(E323/D323)^(1/6)-1</f>
        <v/>
      </c>
      <c r="D323" s="101">
        <f>G323/H325</f>
        <v/>
      </c>
      <c r="E323" s="101">
        <f>J323/K325</f>
        <v/>
      </c>
      <c r="G323" t="n">
        <v>8430</v>
      </c>
      <c r="H323" t="n">
        <v>35.2</v>
      </c>
      <c r="J323" t="n">
        <v>29421</v>
      </c>
      <c r="K323" t="n">
        <v>35.25</v>
      </c>
    </row>
    <row r="324">
      <c r="D324" s="101">
        <f>G323/H323</f>
        <v/>
      </c>
      <c r="E324" s="101">
        <f>J323/K323</f>
        <v/>
      </c>
    </row>
    <row r="325">
      <c r="H325" t="n">
        <v>3.92</v>
      </c>
      <c r="K325" t="n">
        <v>5.91</v>
      </c>
    </row>
    <row r="327">
      <c r="H327" s="99">
        <f>H325/H323</f>
        <v/>
      </c>
      <c r="K327" s="99">
        <f>K325/K323</f>
        <v/>
      </c>
    </row>
    <row r="330">
      <c r="A330" t="inlineStr">
        <is>
          <t>500质量</t>
        </is>
      </c>
      <c r="B330" s="98">
        <f>(E331/D331)^(1/1)-1</f>
        <v/>
      </c>
      <c r="C330" s="98">
        <f>(E330/D330)^(1/1)-1</f>
        <v/>
      </c>
      <c r="D330" s="101">
        <f>G330/H332</f>
        <v/>
      </c>
      <c r="E330" s="101">
        <f>J330/K332</f>
        <v/>
      </c>
      <c r="G330" t="n">
        <v>12812</v>
      </c>
      <c r="H330" t="n">
        <v>17.84</v>
      </c>
      <c r="J330" t="n">
        <v>15353</v>
      </c>
      <c r="K330" t="n">
        <v>18.53</v>
      </c>
    </row>
    <row r="331">
      <c r="D331" s="101">
        <f>G330/H330</f>
        <v/>
      </c>
      <c r="E331" s="101">
        <f>J330/K330</f>
        <v/>
      </c>
    </row>
    <row r="332">
      <c r="H332" t="n">
        <v>2.4</v>
      </c>
      <c r="K332" t="n">
        <v>2.21</v>
      </c>
    </row>
    <row r="334">
      <c r="H334" s="99">
        <f>H332/H330</f>
        <v/>
      </c>
      <c r="K334" s="99">
        <f>K332/K330</f>
        <v/>
      </c>
    </row>
    <row r="335">
      <c r="H335" s="99" t="n"/>
      <c r="K335" s="99" t="n"/>
    </row>
    <row r="336">
      <c r="A336" t="inlineStr">
        <is>
          <t>cs生物</t>
        </is>
      </c>
      <c r="B336" s="98">
        <f>(E337/D337)^(1/4)-1</f>
        <v/>
      </c>
      <c r="C336" s="98">
        <f>(E336/D336)^(1/4)-1</f>
        <v/>
      </c>
      <c r="D336" s="101">
        <f>G336/H338</f>
        <v/>
      </c>
      <c r="E336" s="101">
        <f>J336/K338</f>
        <v/>
      </c>
      <c r="G336" t="n">
        <v>2461</v>
      </c>
      <c r="H336" t="n">
        <v>61.9</v>
      </c>
      <c r="J336" t="n">
        <v>3603</v>
      </c>
      <c r="K336" t="n">
        <v>68.88</v>
      </c>
    </row>
    <row r="337">
      <c r="D337" s="101">
        <f>G336/H336</f>
        <v/>
      </c>
      <c r="E337" s="101">
        <f>J336/K336</f>
        <v/>
      </c>
    </row>
    <row r="338">
      <c r="H338" t="n">
        <v>7.17</v>
      </c>
      <c r="K338" t="n">
        <v>7.67</v>
      </c>
    </row>
    <row r="340">
      <c r="H340" s="99">
        <f>H338/H336</f>
        <v/>
      </c>
      <c r="K340" s="99">
        <f>K338/K336</f>
        <v/>
      </c>
    </row>
    <row r="341">
      <c r="H341" s="99" t="n"/>
      <c r="K341" s="99" t="n"/>
    </row>
    <row r="342">
      <c r="A342" t="inlineStr">
        <is>
          <t>纳指100</t>
        </is>
      </c>
      <c r="B342" s="98">
        <f>(E343/D343)^(1/8)-1</f>
        <v/>
      </c>
      <c r="C342" s="98">
        <f>(E342/D342)^(1/8)-1</f>
        <v/>
      </c>
      <c r="D342" s="101">
        <f>G342/H344</f>
        <v/>
      </c>
      <c r="E342" s="101">
        <f>J342/K344</f>
        <v/>
      </c>
      <c r="G342" t="n">
        <v>61.52</v>
      </c>
      <c r="H342" t="n">
        <v>17.85</v>
      </c>
      <c r="J342" t="n">
        <v>170.7</v>
      </c>
      <c r="K342" t="n">
        <v>21.26</v>
      </c>
    </row>
    <row r="343">
      <c r="D343" s="101">
        <f>G342/H342</f>
        <v/>
      </c>
      <c r="E343" s="101">
        <f>J342/K342</f>
        <v/>
      </c>
    </row>
    <row r="344">
      <c r="H344" t="n">
        <v>3.87</v>
      </c>
      <c r="K344" t="n">
        <v>5.15</v>
      </c>
    </row>
    <row r="346">
      <c r="H346" s="99">
        <f>H344/H342</f>
        <v/>
      </c>
      <c r="K346" s="99">
        <f>K344/K342</f>
        <v/>
      </c>
    </row>
  </sheetData>
  <conditionalFormatting sqref="B1:B36 B42:B289 B295 B301 B303:B309 B321:B322 B326:B329 B347:B1048576">
    <cfRule dxfId="0" percent="1" priority="38" rank="40" type="top10"/>
  </conditionalFormatting>
  <conditionalFormatting sqref="C1:C36 C42:C289 C295 C301 C303:C309 C321:C322 C326:C329 C347:C1048576">
    <cfRule dxfId="0" percent="1" priority="37" rank="40" type="top10"/>
  </conditionalFormatting>
  <conditionalFormatting sqref="B37:B41">
    <cfRule dxfId="0" percent="1" priority="36" rank="40" type="top10"/>
  </conditionalFormatting>
  <conditionalFormatting sqref="C37:C41">
    <cfRule dxfId="0" percent="1" priority="35" rank="40" type="top10"/>
  </conditionalFormatting>
  <conditionalFormatting sqref="B290:B294">
    <cfRule dxfId="0" percent="1" priority="34" rank="40" type="top10"/>
  </conditionalFormatting>
  <conditionalFormatting sqref="C290:C294">
    <cfRule dxfId="0" percent="1" priority="33" rank="40" type="top10"/>
  </conditionalFormatting>
  <conditionalFormatting sqref="B296:B300">
    <cfRule dxfId="0" percent="1" priority="32" rank="40" type="top10"/>
  </conditionalFormatting>
  <conditionalFormatting sqref="C296:C300">
    <cfRule dxfId="0" percent="1" priority="31" rank="40" type="top10"/>
  </conditionalFormatting>
  <conditionalFormatting sqref="B302:C302">
    <cfRule dxfId="0" percent="1" priority="25" rank="40" type="top10"/>
  </conditionalFormatting>
  <conditionalFormatting sqref="B311:B316">
    <cfRule dxfId="0" percent="1" priority="24" rank="40" type="top10"/>
  </conditionalFormatting>
  <conditionalFormatting sqref="C311:C316">
    <cfRule dxfId="0" percent="1" priority="23" rank="40" type="top10"/>
  </conditionalFormatting>
  <conditionalFormatting sqref="B310:C310">
    <cfRule dxfId="0" percent="1" priority="22" rank="40" type="top10"/>
  </conditionalFormatting>
  <conditionalFormatting sqref="B318:B320">
    <cfRule dxfId="0" percent="1" priority="21" rank="40" type="top10"/>
  </conditionalFormatting>
  <conditionalFormatting sqref="C318:C320">
    <cfRule dxfId="0" percent="1" priority="20" rank="40" type="top10"/>
  </conditionalFormatting>
  <conditionalFormatting sqref="B317:C317">
    <cfRule dxfId="0" percent="1" priority="19" rank="40" type="top10"/>
  </conditionalFormatting>
  <conditionalFormatting sqref="B324:B325">
    <cfRule dxfId="0" percent="1" priority="18" rank="40" type="top10"/>
  </conditionalFormatting>
  <conditionalFormatting sqref="C324:C325">
    <cfRule dxfId="0" percent="1" priority="17" rank="40" type="top10"/>
  </conditionalFormatting>
  <conditionalFormatting sqref="B323:C323">
    <cfRule dxfId="0" percent="1" priority="16" rank="40" type="top10"/>
  </conditionalFormatting>
  <conditionalFormatting sqref="B333:B335">
    <cfRule dxfId="0" percent="1" priority="15" rank="40" type="top10"/>
  </conditionalFormatting>
  <conditionalFormatting sqref="C333:C335">
    <cfRule dxfId="0" percent="1" priority="14" rank="40" type="top10"/>
  </conditionalFormatting>
  <conditionalFormatting sqref="B331:B332">
    <cfRule dxfId="0" percent="1" priority="13" rank="40" type="top10"/>
  </conditionalFormatting>
  <conditionalFormatting sqref="C331:C332">
    <cfRule dxfId="0" percent="1" priority="12" rank="40" type="top10"/>
  </conditionalFormatting>
  <conditionalFormatting sqref="B330:C330">
    <cfRule dxfId="0" percent="1" priority="11" rank="40" type="top10"/>
  </conditionalFormatting>
  <conditionalFormatting sqref="B339:B341">
    <cfRule dxfId="0" percent="1" priority="10" rank="40" type="top10"/>
  </conditionalFormatting>
  <conditionalFormatting sqref="C339:C341">
    <cfRule dxfId="0" percent="1" priority="9" rank="40" type="top10"/>
  </conditionalFormatting>
  <conditionalFormatting sqref="B337:B338">
    <cfRule dxfId="0" percent="1" priority="8" rank="40" type="top10"/>
  </conditionalFormatting>
  <conditionalFormatting sqref="C337:C338">
    <cfRule dxfId="0" percent="1" priority="7" rank="40" type="top10"/>
  </conditionalFormatting>
  <conditionalFormatting sqref="B336:C336">
    <cfRule dxfId="0" percent="1" priority="6" rank="40" type="top10"/>
  </conditionalFormatting>
  <conditionalFormatting sqref="B345:B346">
    <cfRule dxfId="0" percent="1" priority="5" rank="40" type="top10"/>
  </conditionalFormatting>
  <conditionalFormatting sqref="C345:C346">
    <cfRule dxfId="0" percent="1" priority="4" rank="40" type="top10"/>
  </conditionalFormatting>
  <conditionalFormatting sqref="B343:B344">
    <cfRule dxfId="0" percent="1" priority="3" rank="40" type="top10"/>
  </conditionalFormatting>
  <conditionalFormatting sqref="C343:C344">
    <cfRule dxfId="0" percent="1" priority="2" rank="40" type="top10"/>
  </conditionalFormatting>
  <conditionalFormatting sqref="B342:C342">
    <cfRule dxfId="0" percent="1" priority="1" rank="40" type="top10"/>
  </conditionalFormatting>
  <pageMargins bottom="0.75" footer="0.3" header="0.3" left="0.7" right="0.7" top="0.75"/>
</worksheet>
</file>

<file path=xl/worksheets/sheet9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Y358"/>
  <sheetViews>
    <sheetView workbookViewId="0">
      <pane activePane="bottomLeft" state="frozen" topLeftCell="A338" ySplit="1"/>
      <selection activeCell="B354" pane="bottomLeft" sqref="B354"/>
    </sheetView>
  </sheetViews>
  <sheetFormatPr baseColWidth="10" defaultRowHeight="16"/>
  <cols>
    <col customWidth="1" max="2" min="2" style="155" width="23"/>
    <col customWidth="1" max="7" min="7" style="113" width="10.83203125"/>
    <col customWidth="1" max="9" min="9" style="113" width="10.83203125"/>
    <col customWidth="1" max="10" min="10" style="155" width="20.33203125"/>
  </cols>
  <sheetData>
    <row customHeight="1" ht="17" r="1" s="155">
      <c r="A1" s="114" t="inlineStr">
        <is>
          <t>指数代码</t>
        </is>
      </c>
      <c r="B1" s="114" t="inlineStr">
        <is>
          <t>指数名称</t>
        </is>
      </c>
      <c r="C1" s="114" t="inlineStr">
        <is>
          <t>点位</t>
        </is>
      </c>
      <c r="D1" s="114" t="inlineStr">
        <is>
          <t>涨跌幅(%)</t>
        </is>
      </c>
      <c r="E1" s="114" t="inlineStr">
        <is>
          <t>今年收益(%)</t>
        </is>
      </c>
      <c r="F1" s="114" t="inlineStr">
        <is>
          <t>最新PE</t>
        </is>
      </c>
      <c r="G1" s="114" t="inlineStr">
        <is>
          <t>pe分位</t>
        </is>
      </c>
      <c r="H1" s="114" t="inlineStr">
        <is>
          <t>最新PB</t>
        </is>
      </c>
      <c r="I1" s="114" t="inlineStr">
        <is>
          <t>PB分位</t>
        </is>
      </c>
      <c r="J1" s="114" t="inlineStr">
        <is>
          <t>基期</t>
        </is>
      </c>
      <c r="K1" s="114" t="inlineStr">
        <is>
          <t>查看基金</t>
        </is>
      </c>
      <c r="L1" s="109" t="inlineStr">
        <is>
          <t>ROE</t>
        </is>
      </c>
      <c r="M1" s="132" t="n"/>
      <c r="N1" s="132" t="n"/>
      <c r="O1" s="134" t="n"/>
      <c r="P1" s="134" t="n"/>
      <c r="Q1" s="104" t="n"/>
      <c r="R1" s="132" t="n"/>
      <c r="S1" s="105" t="n"/>
      <c r="T1" s="134" t="n"/>
      <c r="U1" s="104" t="n"/>
      <c r="V1" s="104" t="n"/>
      <c r="W1" s="132" t="n"/>
      <c r="X1" s="134" t="n"/>
      <c r="Y1" s="132" t="n"/>
    </row>
    <row customHeight="1" ht="17" r="2" s="155">
      <c r="A2" s="115" t="inlineStr">
        <is>
          <t>si801720</t>
        </is>
      </c>
      <c r="B2" s="115" t="inlineStr">
        <is>
          <t>建筑装饰(申万)</t>
        </is>
      </c>
      <c r="C2" s="115" t="n">
        <v>2002.71</v>
      </c>
      <c r="D2" s="115" t="n">
        <v>-0.53</v>
      </c>
      <c r="E2" s="115" t="n">
        <v>-6.16</v>
      </c>
      <c r="F2" s="115" t="n">
        <v>9.08</v>
      </c>
      <c r="G2" s="115" t="n">
        <v>0</v>
      </c>
      <c r="H2" s="115" t="n">
        <v>0.95</v>
      </c>
      <c r="I2" s="115" t="n">
        <v>0</v>
      </c>
      <c r="J2" s="116" t="n">
        <v>36529</v>
      </c>
      <c r="K2" s="132" t="inlineStr">
        <is>
          <t>查看基金</t>
        </is>
      </c>
      <c r="L2" s="111">
        <f>H2/F2</f>
        <v/>
      </c>
      <c r="M2" s="132" t="n"/>
      <c r="N2" s="132" t="n"/>
      <c r="O2" s="134" t="n"/>
      <c r="P2" s="134" t="n"/>
      <c r="Q2" s="104" t="n"/>
      <c r="R2" s="132" t="n"/>
      <c r="S2" s="105" t="n"/>
      <c r="T2" s="134" t="n"/>
      <c r="U2" s="104" t="n"/>
      <c r="V2" s="104" t="n"/>
      <c r="W2" s="132" t="n"/>
      <c r="X2" s="134" t="n"/>
      <c r="Y2" s="132" t="n"/>
    </row>
    <row customHeight="1" ht="17" r="3" s="155">
      <c r="A3" s="115" t="inlineStr">
        <is>
          <t>si801160</t>
        </is>
      </c>
      <c r="B3" s="115" t="inlineStr">
        <is>
          <t>公用事业(申万)</t>
        </is>
      </c>
      <c r="C3" s="115" t="n">
        <v>1938.92</v>
      </c>
      <c r="D3" s="115" t="n">
        <v>-0.01</v>
      </c>
      <c r="E3" s="115" t="n">
        <v>2.88</v>
      </c>
      <c r="F3" s="115" t="n">
        <v>18.57</v>
      </c>
      <c r="G3" s="115" t="n">
        <v>0.08</v>
      </c>
      <c r="H3" s="115" t="n">
        <v>1.39</v>
      </c>
      <c r="I3" s="115" t="n">
        <v>0</v>
      </c>
      <c r="J3" s="116" t="n">
        <v>36529</v>
      </c>
      <c r="K3" s="132" t="inlineStr">
        <is>
          <t>查看基金</t>
        </is>
      </c>
      <c r="L3" s="111">
        <f>H3/F3</f>
        <v/>
      </c>
      <c r="M3" s="132" t="n"/>
      <c r="N3" s="132" t="n"/>
      <c r="O3" s="134" t="n"/>
      <c r="P3" s="134" t="n"/>
      <c r="Q3" s="104" t="n"/>
      <c r="R3" s="132" t="n"/>
      <c r="S3" s="105" t="n"/>
      <c r="T3" s="134" t="n"/>
      <c r="U3" s="104" t="n"/>
      <c r="V3" s="104" t="n"/>
      <c r="W3" s="132" t="n"/>
      <c r="X3" s="134" t="n"/>
      <c r="Y3" s="132" t="n"/>
    </row>
    <row customHeight="1" ht="17" r="4" s="155">
      <c r="A4" s="115" t="inlineStr">
        <is>
          <t>si801020</t>
        </is>
      </c>
      <c r="B4" s="115" t="inlineStr">
        <is>
          <t>采掘(申万)</t>
        </is>
      </c>
      <c r="C4" s="115" t="n">
        <v>2411.73</v>
      </c>
      <c r="D4" s="115" t="n">
        <v>-1.19</v>
      </c>
      <c r="E4" s="115" t="n">
        <v>4.58</v>
      </c>
      <c r="F4" s="115" t="n">
        <v>12.51</v>
      </c>
      <c r="G4" s="115" t="n">
        <v>0.08</v>
      </c>
      <c r="H4" s="115" t="n">
        <v>1.09</v>
      </c>
      <c r="I4" s="115" t="n">
        <v>0</v>
      </c>
      <c r="J4" s="116" t="n">
        <v>36529</v>
      </c>
      <c r="K4" s="132" t="inlineStr">
        <is>
          <t>查看基金</t>
        </is>
      </c>
      <c r="L4" s="111">
        <f>H4/F4</f>
        <v/>
      </c>
      <c r="M4" s="132" t="n"/>
      <c r="N4" s="132" t="n"/>
      <c r="O4" s="134" t="n"/>
      <c r="P4" s="134" t="n"/>
      <c r="Q4" s="104" t="n"/>
      <c r="R4" s="132" t="n"/>
      <c r="S4" s="105" t="n"/>
      <c r="T4" s="134" t="n"/>
      <c r="U4" s="104" t="n"/>
      <c r="V4" s="104" t="n"/>
      <c r="W4" s="132" t="n"/>
      <c r="X4" s="134" t="n"/>
      <c r="Y4" s="132" t="n"/>
    </row>
    <row customHeight="1" ht="17" r="5" s="155">
      <c r="A5" s="115" t="inlineStr">
        <is>
          <t>si801177</t>
        </is>
      </c>
      <c r="B5" s="115" t="inlineStr">
        <is>
          <t>铁路运输Ⅱ(申万)</t>
        </is>
      </c>
      <c r="C5" s="115" t="n">
        <v>1123.69</v>
      </c>
      <c r="D5" s="115" t="n">
        <v>0.04</v>
      </c>
      <c r="E5" s="115" t="n">
        <v>-5.46</v>
      </c>
      <c r="F5" s="115" t="n">
        <v>9.92</v>
      </c>
      <c r="G5" s="115" t="n">
        <v>0.06</v>
      </c>
      <c r="H5" s="115" t="n">
        <v>1</v>
      </c>
      <c r="I5" s="115" t="n">
        <v>0</v>
      </c>
      <c r="J5" s="116" t="n">
        <v>36529</v>
      </c>
      <c r="K5" s="132" t="inlineStr">
        <is>
          <t>查看基金</t>
        </is>
      </c>
      <c r="L5" s="111">
        <f>H5/F5</f>
        <v/>
      </c>
      <c r="M5" s="132" t="n"/>
      <c r="N5" s="132" t="n"/>
      <c r="O5" s="134" t="n"/>
      <c r="P5" s="134" t="n"/>
      <c r="Q5" s="104" t="n"/>
      <c r="R5" s="132" t="n"/>
      <c r="S5" s="105" t="n"/>
      <c r="T5" s="134" t="n"/>
      <c r="U5" s="104" t="n"/>
      <c r="V5" s="104" t="n"/>
      <c r="W5" s="132" t="n"/>
      <c r="X5" s="134" t="n"/>
      <c r="Y5" s="132" t="n"/>
    </row>
    <row customHeight="1" ht="17" r="6" s="155">
      <c r="A6" s="115" t="inlineStr">
        <is>
          <t>si801203</t>
        </is>
      </c>
      <c r="B6" s="115" t="inlineStr">
        <is>
          <t>一般零售(申万)</t>
        </is>
      </c>
      <c r="C6" s="115" t="n">
        <v>3328.76</v>
      </c>
      <c r="D6" s="115" t="n">
        <v>-0.12</v>
      </c>
      <c r="E6" s="115" t="n">
        <v>-0.1</v>
      </c>
      <c r="F6" s="115" t="n">
        <v>18.39</v>
      </c>
      <c r="G6" s="115" t="n">
        <v>0.12</v>
      </c>
      <c r="H6" s="115" t="n">
        <v>1.34</v>
      </c>
      <c r="I6" s="115" t="n">
        <v>0</v>
      </c>
      <c r="J6" s="116" t="n">
        <v>36529</v>
      </c>
      <c r="K6" s="132" t="inlineStr">
        <is>
          <t>查看基金</t>
        </is>
      </c>
      <c r="L6" s="111">
        <f>H6/F6</f>
        <v/>
      </c>
      <c r="M6" s="132" t="n"/>
      <c r="N6" s="132" t="n"/>
      <c r="O6" s="134" t="n"/>
      <c r="P6" s="134" t="n"/>
      <c r="Q6" s="104" t="n"/>
      <c r="R6" s="132" t="n"/>
      <c r="S6" s="105" t="n"/>
      <c r="T6" s="134" t="n"/>
      <c r="U6" s="104" t="n"/>
      <c r="V6" s="104" t="n"/>
      <c r="W6" s="132" t="n"/>
      <c r="X6" s="134" t="n"/>
      <c r="Y6" s="132" t="n"/>
    </row>
    <row customHeight="1" ht="17" r="7" s="155">
      <c r="A7" s="115" t="inlineStr">
        <is>
          <t>si801725</t>
        </is>
      </c>
      <c r="B7" s="115" t="inlineStr">
        <is>
          <t>园林工程Ⅱ(申万)</t>
        </is>
      </c>
      <c r="C7" s="115" t="n">
        <v>5359.62</v>
      </c>
      <c r="D7" s="115" t="n">
        <v>-0.66</v>
      </c>
      <c r="E7" s="115" t="n">
        <v>-13.69</v>
      </c>
      <c r="F7" s="115" t="n">
        <v>50.96</v>
      </c>
      <c r="G7" s="115" t="n">
        <v>0.59</v>
      </c>
      <c r="H7" s="115" t="n">
        <v>1.22</v>
      </c>
      <c r="I7" s="115" t="n">
        <v>0</v>
      </c>
      <c r="J7" s="116" t="n">
        <v>40147</v>
      </c>
      <c r="K7" s="132" t="inlineStr">
        <is>
          <t>查看基金</t>
        </is>
      </c>
      <c r="L7" s="111">
        <f>H7/F7</f>
        <v/>
      </c>
      <c r="M7" s="132" t="n"/>
      <c r="N7" s="132" t="n"/>
      <c r="O7" s="134" t="n"/>
      <c r="P7" s="134" t="n"/>
      <c r="Q7" s="104" t="n"/>
      <c r="R7" s="132" t="n"/>
      <c r="S7" s="105" t="n"/>
      <c r="T7" s="134" t="n"/>
      <c r="U7" s="104" t="n"/>
      <c r="V7" s="104" t="n"/>
      <c r="W7" s="132" t="n"/>
      <c r="X7" s="134" t="n"/>
      <c r="Y7" s="132" t="n"/>
    </row>
    <row customHeight="1" ht="17" r="8" s="155">
      <c r="A8" s="115" t="inlineStr">
        <is>
          <t>si801164</t>
        </is>
      </c>
      <c r="B8" s="115" t="inlineStr">
        <is>
          <t>水务Ⅱ(申万)</t>
        </is>
      </c>
      <c r="C8" s="115" t="n">
        <v>2660.19</v>
      </c>
      <c r="D8" s="115" t="n">
        <v>-0.85</v>
      </c>
      <c r="E8" s="115" t="n">
        <v>1.71</v>
      </c>
      <c r="F8" s="115" t="n">
        <v>18.54</v>
      </c>
      <c r="G8" s="115" t="n">
        <v>0.01</v>
      </c>
      <c r="H8" s="115" t="n">
        <v>1.22</v>
      </c>
      <c r="I8" s="115" t="n">
        <v>0</v>
      </c>
      <c r="J8" s="116" t="n">
        <v>36529</v>
      </c>
      <c r="K8" s="132" t="inlineStr">
        <is>
          <t>查看基金</t>
        </is>
      </c>
      <c r="L8" s="111">
        <f>H8/F8</f>
        <v/>
      </c>
      <c r="M8" s="132" t="n"/>
      <c r="N8" s="132" t="n"/>
      <c r="O8" s="134" t="n"/>
      <c r="P8" s="134" t="n"/>
      <c r="Q8" s="104" t="n"/>
      <c r="R8" s="132" t="n"/>
      <c r="S8" s="105" t="n"/>
      <c r="T8" s="134" t="n"/>
      <c r="U8" s="104" t="n"/>
      <c r="V8" s="104" t="n"/>
      <c r="W8" s="132" t="n"/>
      <c r="X8" s="134" t="n"/>
      <c r="Y8" s="132" t="n"/>
    </row>
    <row customHeight="1" ht="17" r="9" s="155">
      <c r="A9" s="115" t="inlineStr">
        <is>
          <t>si801163</t>
        </is>
      </c>
      <c r="B9" s="115" t="inlineStr">
        <is>
          <t>燃气Ⅱ(申万)</t>
        </is>
      </c>
      <c r="C9" s="115" t="n">
        <v>2719.04</v>
      </c>
      <c r="D9" s="115" t="n">
        <v>-0.78</v>
      </c>
      <c r="E9" s="115" t="n">
        <v>-7.03</v>
      </c>
      <c r="F9" s="115" t="n">
        <v>31.92</v>
      </c>
      <c r="G9" s="115" t="n">
        <v>0.24</v>
      </c>
      <c r="H9" s="115" t="n">
        <v>1.62</v>
      </c>
      <c r="I9" s="115" t="n">
        <v>0</v>
      </c>
      <c r="J9" s="116" t="n">
        <v>36878</v>
      </c>
      <c r="K9" s="132" t="inlineStr">
        <is>
          <t>查看基金</t>
        </is>
      </c>
      <c r="L9" s="111">
        <f>H9/F9</f>
        <v/>
      </c>
      <c r="M9" s="132" t="n"/>
      <c r="N9" s="132" t="n"/>
      <c r="O9" s="134" t="n"/>
      <c r="P9" s="134" t="n"/>
      <c r="Q9" s="104" t="n"/>
      <c r="R9" s="132" t="n"/>
      <c r="S9" s="105" t="n"/>
      <c r="T9" s="134" t="n"/>
      <c r="U9" s="104" t="n"/>
      <c r="V9" s="104" t="n"/>
      <c r="W9" s="132" t="n"/>
      <c r="X9" s="134" t="n"/>
      <c r="Y9" s="132" t="n"/>
    </row>
    <row customHeight="1" ht="17" r="10" s="155">
      <c r="A10" s="115" t="inlineStr">
        <is>
          <t>si801035</t>
        </is>
      </c>
      <c r="B10" s="115" t="inlineStr">
        <is>
          <t>石油化工(申万)</t>
        </is>
      </c>
      <c r="C10" s="115" t="n">
        <v>1992.36</v>
      </c>
      <c r="D10" s="115" t="n">
        <v>-0.32</v>
      </c>
      <c r="E10" s="115" t="n">
        <v>-3.47</v>
      </c>
      <c r="F10" s="115" t="n">
        <v>14.33</v>
      </c>
      <c r="G10" s="115" t="n">
        <v>0.16</v>
      </c>
      <c r="H10" s="115" t="n">
        <v>1.01</v>
      </c>
      <c r="I10" s="115" t="n">
        <v>0</v>
      </c>
      <c r="J10" s="116" t="n">
        <v>36529</v>
      </c>
      <c r="K10" s="132" t="inlineStr">
        <is>
          <t>查看基金</t>
        </is>
      </c>
      <c r="L10" s="111">
        <f>H10/F10</f>
        <v/>
      </c>
      <c r="M10" s="132" t="n"/>
      <c r="N10" s="132" t="n"/>
      <c r="O10" s="134" t="n"/>
      <c r="P10" s="134" t="n"/>
      <c r="Q10" s="104" t="n"/>
      <c r="R10" s="132" t="n"/>
      <c r="S10" s="105" t="n"/>
      <c r="T10" s="134" t="n"/>
      <c r="U10" s="104" t="n"/>
      <c r="V10" s="104" t="n"/>
      <c r="W10" s="132" t="n"/>
      <c r="X10" s="134" t="n"/>
      <c r="Y10" s="132" t="n"/>
    </row>
    <row customHeight="1" ht="17" r="11" s="155">
      <c r="A11" s="115" t="inlineStr">
        <is>
          <t>si801023</t>
        </is>
      </c>
      <c r="B11" s="115" t="inlineStr">
        <is>
          <t>石油开采Ⅱ(申万)</t>
        </is>
      </c>
      <c r="C11" s="115" t="n">
        <v>273.97</v>
      </c>
      <c r="D11" s="115" t="n">
        <v>-1.47</v>
      </c>
      <c r="E11" s="115" t="n">
        <v>-13.79</v>
      </c>
      <c r="F11" s="115" t="n">
        <v>23.8</v>
      </c>
      <c r="G11" s="115" t="n">
        <v>0.66</v>
      </c>
      <c r="H11" s="115" t="n">
        <v>0.87</v>
      </c>
      <c r="I11" s="115" t="n">
        <v>0</v>
      </c>
      <c r="J11" s="116" t="n">
        <v>36529</v>
      </c>
      <c r="K11" s="132" t="inlineStr">
        <is>
          <t>查看基金</t>
        </is>
      </c>
      <c r="L11" s="111">
        <f>H11/F11</f>
        <v/>
      </c>
      <c r="M11" s="132" t="n"/>
      <c r="N11" s="132" t="n"/>
      <c r="O11" s="134" t="n"/>
      <c r="P11" s="134" t="n"/>
      <c r="Q11" s="104" t="n"/>
      <c r="R11" s="132" t="n"/>
      <c r="S11" s="105" t="n"/>
      <c r="T11" s="134" t="n"/>
      <c r="U11" s="104" t="n"/>
      <c r="V11" s="104" t="n"/>
      <c r="W11" s="132" t="n"/>
      <c r="X11" s="134" t="n"/>
      <c r="Y11" s="132" t="n"/>
    </row>
    <row customHeight="1" ht="17" r="12" s="155">
      <c r="A12" s="115" t="inlineStr">
        <is>
          <t>sh000066</t>
        </is>
      </c>
      <c r="B12" s="115" t="inlineStr">
        <is>
          <t>上证商品</t>
        </is>
      </c>
      <c r="C12" s="115" t="n">
        <v>1510.91</v>
      </c>
      <c r="D12" s="115" t="n">
        <v>-0.39</v>
      </c>
      <c r="E12" s="115" t="n">
        <v>8.84</v>
      </c>
      <c r="F12" s="115" t="n">
        <v>16.21</v>
      </c>
      <c r="G12" s="115" t="n">
        <v>0.49</v>
      </c>
      <c r="H12" s="115" t="n">
        <v>1.07</v>
      </c>
      <c r="I12" s="115" t="n">
        <v>0</v>
      </c>
      <c r="J12" s="116" t="n">
        <v>40298</v>
      </c>
      <c r="K12" s="132" t="inlineStr">
        <is>
          <t>查看基金</t>
        </is>
      </c>
      <c r="L12" s="111">
        <f>H12/F12</f>
        <v/>
      </c>
      <c r="M12" s="132" t="n"/>
      <c r="N12" s="132" t="n"/>
      <c r="O12" s="134" t="n"/>
      <c r="P12" s="134" t="n"/>
      <c r="Q12" s="104" t="n"/>
      <c r="R12" s="132" t="n"/>
      <c r="S12" s="105" t="n"/>
      <c r="T12" s="134" t="n"/>
      <c r="U12" s="104" t="n"/>
      <c r="V12" s="104" t="n"/>
      <c r="W12" s="132" t="n"/>
      <c r="X12" s="134" t="n"/>
      <c r="Y12" s="132" t="n"/>
    </row>
    <row customHeight="1" ht="17" r="13" s="155">
      <c r="A13" s="115" t="inlineStr">
        <is>
          <t>sh000986</t>
        </is>
      </c>
      <c r="B13" s="115" t="inlineStr">
        <is>
          <t>全指能源</t>
        </is>
      </c>
      <c r="C13" s="115" t="n">
        <v>1527.93</v>
      </c>
      <c r="D13" s="115" t="n">
        <v>-0.88</v>
      </c>
      <c r="E13" s="115" t="n">
        <v>4.18</v>
      </c>
      <c r="F13" s="115" t="n">
        <v>14.05</v>
      </c>
      <c r="G13" s="115" t="n">
        <v>0.47</v>
      </c>
      <c r="H13" s="115" t="n">
        <v>0.92</v>
      </c>
      <c r="I13" s="115" t="n">
        <v>0</v>
      </c>
      <c r="J13" s="116" t="n">
        <v>40757</v>
      </c>
      <c r="K13" s="132" t="inlineStr">
        <is>
          <t>查看基金</t>
        </is>
      </c>
      <c r="L13" s="111">
        <f>H13/F13</f>
        <v/>
      </c>
      <c r="M13" s="132" t="n"/>
      <c r="N13" s="132" t="n"/>
      <c r="O13" s="134" t="n"/>
      <c r="P13" s="134" t="n"/>
      <c r="Q13" s="104" t="n"/>
      <c r="R13" s="132" t="n"/>
      <c r="S13" s="105" t="n"/>
      <c r="T13" s="134" t="n"/>
      <c r="U13" s="104" t="n"/>
      <c r="V13" s="104" t="n"/>
      <c r="W13" s="132" t="n"/>
      <c r="X13" s="134" t="n"/>
      <c r="Y13" s="132" t="n"/>
    </row>
    <row customHeight="1" ht="17" r="14" s="155">
      <c r="A14" s="115" t="inlineStr">
        <is>
          <t>sh000944</t>
        </is>
      </c>
      <c r="B14" s="115" t="inlineStr">
        <is>
          <t>内地资源</t>
        </is>
      </c>
      <c r="C14" s="115" t="n">
        <v>2070.56</v>
      </c>
      <c r="D14" s="115" t="n">
        <v>-0.18</v>
      </c>
      <c r="E14" s="115" t="n">
        <v>4.2</v>
      </c>
      <c r="F14" s="115" t="n">
        <v>16.56</v>
      </c>
      <c r="G14" s="115" t="n">
        <v>0.44</v>
      </c>
      <c r="H14" s="115" t="n">
        <v>1.05</v>
      </c>
      <c r="I14" s="115" t="n">
        <v>0</v>
      </c>
      <c r="J14" s="116" t="n">
        <v>40114</v>
      </c>
      <c r="K14" s="132" t="inlineStr">
        <is>
          <t>查看基金</t>
        </is>
      </c>
      <c r="L14" s="111">
        <f>H14/F14</f>
        <v/>
      </c>
      <c r="M14" s="132" t="n"/>
      <c r="N14" s="132" t="n"/>
      <c r="O14" s="134" t="n"/>
      <c r="P14" s="134" t="n"/>
      <c r="Q14" s="104" t="n"/>
      <c r="R14" s="132" t="n"/>
      <c r="S14" s="105" t="n"/>
      <c r="T14" s="134" t="n"/>
      <c r="U14" s="104" t="n"/>
      <c r="V14" s="104" t="n"/>
      <c r="W14" s="132" t="n"/>
      <c r="X14" s="134" t="n"/>
      <c r="Y14" s="132" t="n"/>
    </row>
    <row customHeight="1" ht="17" r="15" s="155">
      <c r="A15" s="115" t="inlineStr">
        <is>
          <t>cicspsadrp</t>
        </is>
      </c>
      <c r="B15" s="115" t="inlineStr">
        <is>
          <t>标普A股红利</t>
        </is>
      </c>
      <c r="C15" s="115" t="n">
        <v>7914.05</v>
      </c>
      <c r="D15" s="115" t="n">
        <v>-0.71</v>
      </c>
      <c r="E15" s="115" t="n">
        <v>7.96</v>
      </c>
      <c r="F15" s="115" t="n">
        <v>7.29</v>
      </c>
      <c r="G15" s="115" t="n">
        <v>0.2</v>
      </c>
      <c r="H15" s="115" t="n">
        <v>0.9</v>
      </c>
      <c r="I15" s="115" t="n">
        <v>0</v>
      </c>
      <c r="J15" s="116" t="n">
        <v>39086</v>
      </c>
      <c r="K15" s="132" t="inlineStr">
        <is>
          <t>查看基金</t>
        </is>
      </c>
      <c r="L15" s="111">
        <f>H15/F15</f>
        <v/>
      </c>
      <c r="M15" s="132" t="n"/>
      <c r="N15" s="132" t="n"/>
      <c r="O15" s="134" t="n"/>
      <c r="P15" s="134" t="n"/>
      <c r="Q15" s="104" t="n"/>
      <c r="R15" s="132" t="n"/>
      <c r="S15" s="105" t="n"/>
      <c r="T15" s="134" t="n"/>
      <c r="U15" s="104" t="n"/>
      <c r="V15" s="104" t="n"/>
      <c r="W15" s="132" t="n"/>
      <c r="X15" s="134" t="n"/>
      <c r="Y15" s="132" t="n"/>
    </row>
    <row customHeight="1" ht="17" r="16" s="155">
      <c r="A16" s="115" t="inlineStr">
        <is>
          <t>sh000068</t>
        </is>
      </c>
      <c r="B16" s="115" t="inlineStr">
        <is>
          <t>上证资源</t>
        </is>
      </c>
      <c r="C16" s="115" t="n">
        <v>1595.7</v>
      </c>
      <c r="D16" s="115" t="n">
        <v>-0.46</v>
      </c>
      <c r="E16" s="115" t="n">
        <v>4.15</v>
      </c>
      <c r="F16" s="115" t="n">
        <v>16.74</v>
      </c>
      <c r="G16" s="115" t="n">
        <v>0.5</v>
      </c>
      <c r="H16" s="115" t="n">
        <v>1.03</v>
      </c>
      <c r="I16" s="115" t="n">
        <v>0</v>
      </c>
      <c r="J16" s="116" t="n">
        <v>40326</v>
      </c>
      <c r="K16" s="132" t="inlineStr">
        <is>
          <t>查看基金</t>
        </is>
      </c>
      <c r="L16" s="111">
        <f>H16/F16</f>
        <v/>
      </c>
      <c r="M16" s="132" t="n"/>
      <c r="N16" s="132" t="n"/>
      <c r="O16" s="134" t="n"/>
      <c r="P16" s="134" t="n"/>
      <c r="Q16" s="104" t="n"/>
      <c r="R16" s="132" t="n"/>
      <c r="S16" s="105" t="n"/>
      <c r="T16" s="134" t="n"/>
      <c r="U16" s="104" t="n"/>
      <c r="V16" s="104" t="n"/>
      <c r="W16" s="132" t="n"/>
      <c r="X16" s="134" t="n"/>
      <c r="Y16" s="132" t="n"/>
    </row>
    <row customHeight="1" ht="17" r="17" s="155">
      <c r="A17" s="115" t="inlineStr">
        <is>
          <t>sh000928</t>
        </is>
      </c>
      <c r="B17" s="115" t="inlineStr">
        <is>
          <t>中证能源</t>
        </is>
      </c>
      <c r="C17" s="115" t="n">
        <v>1706.83</v>
      </c>
      <c r="D17" s="115" t="n">
        <v>-0.44</v>
      </c>
      <c r="E17" s="115" t="n">
        <v>5.87</v>
      </c>
      <c r="F17" s="115" t="n">
        <v>14.06</v>
      </c>
      <c r="G17" s="115" t="n">
        <v>0.39</v>
      </c>
      <c r="H17" s="115" t="n">
        <v>0.92</v>
      </c>
      <c r="I17" s="115" t="n">
        <v>0</v>
      </c>
      <c r="J17" s="116" t="n">
        <v>39997</v>
      </c>
      <c r="K17" s="132" t="inlineStr">
        <is>
          <t>查看基金</t>
        </is>
      </c>
      <c r="L17" s="111">
        <f>H17/F17</f>
        <v/>
      </c>
      <c r="M17" s="132" t="n"/>
      <c r="N17" s="132" t="n"/>
      <c r="O17" s="134" t="n"/>
      <c r="P17" s="134" t="n"/>
      <c r="Q17" s="104" t="n"/>
      <c r="R17" s="132" t="n"/>
      <c r="S17" s="105" t="n"/>
      <c r="T17" s="134" t="n"/>
      <c r="U17" s="104" t="n"/>
      <c r="V17" s="104" t="n"/>
      <c r="W17" s="132" t="n"/>
      <c r="X17" s="134" t="n"/>
      <c r="Y17" s="132" t="n"/>
    </row>
    <row customHeight="1" ht="17" r="18" s="155">
      <c r="A18" s="115" t="inlineStr">
        <is>
          <t>si801180</t>
        </is>
      </c>
      <c r="B18" s="115" t="inlineStr">
        <is>
          <t>房地产(申万)</t>
        </is>
      </c>
      <c r="C18" s="115" t="n">
        <v>3946.7</v>
      </c>
      <c r="D18" s="115" t="n">
        <v>-0.52</v>
      </c>
      <c r="E18" s="115" t="n">
        <v>12.87</v>
      </c>
      <c r="F18" s="115" t="n">
        <v>9.08</v>
      </c>
      <c r="G18" s="115" t="n">
        <v>0.01</v>
      </c>
      <c r="H18" s="115" t="n">
        <v>1.28</v>
      </c>
      <c r="I18" s="115" t="n">
        <v>0.01</v>
      </c>
      <c r="J18" s="116" t="n">
        <v>36529</v>
      </c>
      <c r="K18" s="132" t="inlineStr">
        <is>
          <t>查看基金</t>
        </is>
      </c>
      <c r="L18" s="111">
        <f>H18/F18</f>
        <v/>
      </c>
      <c r="M18" s="132" t="n"/>
      <c r="N18" s="132" t="n"/>
      <c r="O18" s="134" t="n"/>
      <c r="P18" s="134" t="n"/>
      <c r="Q18" s="104" t="n"/>
      <c r="R18" s="132" t="n"/>
      <c r="S18" s="105" t="n"/>
      <c r="T18" s="134" t="n"/>
      <c r="U18" s="104" t="n"/>
      <c r="V18" s="104" t="n"/>
      <c r="W18" s="132" t="n"/>
      <c r="X18" s="134" t="n"/>
      <c r="Y18" s="132" t="n"/>
    </row>
    <row customHeight="1" ht="17" r="19" s="155">
      <c r="A19" s="115" t="inlineStr">
        <is>
          <t>si801200</t>
        </is>
      </c>
      <c r="B19" s="115" t="inlineStr">
        <is>
          <t>商业贸易(申万)</t>
        </is>
      </c>
      <c r="C19" s="115" t="n">
        <v>3101.44</v>
      </c>
      <c r="D19" s="115" t="n">
        <v>-0.32</v>
      </c>
      <c r="E19" s="115" t="n">
        <v>4.12</v>
      </c>
      <c r="F19" s="115" t="n">
        <v>14.15</v>
      </c>
      <c r="G19" s="115" t="n">
        <v>0</v>
      </c>
      <c r="H19" s="115" t="n">
        <v>1.37</v>
      </c>
      <c r="I19" s="115" t="n">
        <v>0.01</v>
      </c>
      <c r="J19" s="116" t="n">
        <v>36529</v>
      </c>
      <c r="K19" s="132" t="inlineStr">
        <is>
          <t>查看基金</t>
        </is>
      </c>
      <c r="L19" s="111">
        <f>H19/F19</f>
        <v/>
      </c>
      <c r="M19" s="132" t="n"/>
      <c r="N19" s="132" t="n"/>
      <c r="O19" s="134" t="n"/>
      <c r="P19" s="134" t="n"/>
      <c r="Q19" s="104" t="n"/>
      <c r="R19" s="132" t="n"/>
      <c r="S19" s="105" t="n"/>
      <c r="T19" s="134" t="n"/>
      <c r="U19" s="104" t="n"/>
      <c r="V19" s="104" t="n"/>
      <c r="W19" s="132" t="n"/>
      <c r="X19" s="134" t="n"/>
      <c r="Y19" s="132" t="n"/>
    </row>
    <row customHeight="1" ht="17" r="20" s="155">
      <c r="A20" s="115" t="inlineStr">
        <is>
          <t>si801780</t>
        </is>
      </c>
      <c r="B20" s="115" t="inlineStr">
        <is>
          <t>银行(申万)</t>
        </is>
      </c>
      <c r="C20" s="115" t="n">
        <v>3707.07</v>
      </c>
      <c r="D20" s="115" t="n">
        <v>-0.63</v>
      </c>
      <c r="E20" s="115" t="n">
        <v>19.27</v>
      </c>
      <c r="F20" s="115" t="n">
        <v>6.76</v>
      </c>
      <c r="G20" s="115" t="n">
        <v>0.24</v>
      </c>
      <c r="H20" s="115" t="n">
        <v>0.78</v>
      </c>
      <c r="I20" s="115" t="n">
        <v>0.01</v>
      </c>
      <c r="J20" s="116" t="n">
        <v>36529</v>
      </c>
      <c r="K20" s="132" t="inlineStr">
        <is>
          <t>查看基金</t>
        </is>
      </c>
      <c r="L20" s="111">
        <f>H20/F20</f>
        <v/>
      </c>
      <c r="M20" s="132" t="n"/>
      <c r="N20" s="132" t="n"/>
      <c r="O20" s="134" t="n"/>
      <c r="P20" s="134" t="n"/>
      <c r="Q20" s="104" t="n"/>
      <c r="R20" s="132" t="n"/>
      <c r="S20" s="105" t="n"/>
      <c r="T20" s="134" t="n"/>
      <c r="U20" s="104" t="n"/>
      <c r="V20" s="104" t="n"/>
      <c r="W20" s="132" t="n"/>
      <c r="X20" s="134" t="n"/>
      <c r="Y20" s="132" t="n"/>
    </row>
    <row customHeight="1" ht="17" r="21" s="155">
      <c r="A21" s="115" t="inlineStr">
        <is>
          <t>si801172</t>
        </is>
      </c>
      <c r="B21" s="115" t="inlineStr">
        <is>
          <t>公交Ⅱ(申万)</t>
        </is>
      </c>
      <c r="C21" s="115" t="n">
        <v>2267.45</v>
      </c>
      <c r="D21" s="115" t="n">
        <v>-0.1</v>
      </c>
      <c r="E21" s="115" t="n">
        <v>4.18</v>
      </c>
      <c r="F21" s="115" t="n">
        <v>15.86</v>
      </c>
      <c r="G21" s="115" t="n">
        <v>0.02</v>
      </c>
      <c r="H21" s="115" t="n">
        <v>1.2</v>
      </c>
      <c r="I21" s="115" t="n">
        <v>0.01</v>
      </c>
      <c r="J21" s="116" t="n">
        <v>36529</v>
      </c>
      <c r="K21" s="132" t="inlineStr">
        <is>
          <t>查看基金</t>
        </is>
      </c>
      <c r="L21" s="111">
        <f>H21/F21</f>
        <v/>
      </c>
      <c r="M21" s="132" t="n"/>
      <c r="N21" s="132" t="n"/>
      <c r="O21" s="134" t="n"/>
      <c r="P21" s="134" t="n"/>
      <c r="Q21" s="104" t="n"/>
      <c r="R21" s="132" t="n"/>
      <c r="S21" s="105" t="n"/>
      <c r="T21" s="134" t="n"/>
      <c r="U21" s="104" t="n"/>
      <c r="V21" s="104" t="n"/>
      <c r="W21" s="132" t="n"/>
      <c r="X21" s="134" t="n"/>
      <c r="Y21" s="132" t="n"/>
    </row>
    <row customHeight="1" ht="17" r="22" s="155">
      <c r="A22" s="115" t="inlineStr">
        <is>
          <t>si801171</t>
        </is>
      </c>
      <c r="B22" s="115" t="inlineStr">
        <is>
          <t>港口Ⅱ(申万)</t>
        </is>
      </c>
      <c r="C22" s="115" t="n">
        <v>3742.93</v>
      </c>
      <c r="D22" s="115" t="n">
        <v>0.02</v>
      </c>
      <c r="E22" s="115" t="n">
        <v>6.29</v>
      </c>
      <c r="F22" s="115" t="n">
        <v>14.66</v>
      </c>
      <c r="G22" s="115" t="n">
        <v>0.04</v>
      </c>
      <c r="H22" s="115" t="n">
        <v>1.17</v>
      </c>
      <c r="I22" s="115" t="n">
        <v>0.01</v>
      </c>
      <c r="J22" s="116" t="n">
        <v>36529</v>
      </c>
      <c r="K22" s="132" t="inlineStr">
        <is>
          <t>查看基金</t>
        </is>
      </c>
      <c r="L22" s="111">
        <f>H22/F22</f>
        <v/>
      </c>
      <c r="M22" s="132" t="n"/>
      <c r="N22" s="132" t="n"/>
      <c r="O22" s="134" t="n"/>
      <c r="P22" s="134" t="n"/>
      <c r="Q22" s="104" t="n"/>
      <c r="R22" s="132" t="n"/>
      <c r="S22" s="105" t="n"/>
      <c r="T22" s="134" t="n"/>
      <c r="U22" s="104" t="n"/>
      <c r="V22" s="104" t="n"/>
      <c r="W22" s="132" t="n"/>
      <c r="X22" s="134" t="n"/>
      <c r="Y22" s="132" t="n"/>
    </row>
    <row customHeight="1" ht="17" r="23" s="155">
      <c r="A23" s="115" t="inlineStr">
        <is>
          <t>si801076</t>
        </is>
      </c>
      <c r="B23" s="115" t="inlineStr">
        <is>
          <t>运输设备Ⅱ(申万)</t>
        </is>
      </c>
      <c r="C23" s="115" t="n">
        <v>6895.97</v>
      </c>
      <c r="D23" s="115" t="n">
        <v>-0.03</v>
      </c>
      <c r="E23" s="115" t="n">
        <v>-15.92</v>
      </c>
      <c r="F23" s="115" t="n">
        <v>18.83</v>
      </c>
      <c r="G23" s="115" t="n">
        <v>0.13</v>
      </c>
      <c r="H23" s="115" t="n">
        <v>1.51</v>
      </c>
      <c r="I23" s="115" t="n">
        <v>0.01</v>
      </c>
      <c r="J23" s="116" t="n">
        <v>36529</v>
      </c>
      <c r="K23" s="132" t="inlineStr">
        <is>
          <t>查看基金</t>
        </is>
      </c>
      <c r="L23" s="111">
        <f>H23/F23</f>
        <v/>
      </c>
      <c r="M23" s="132" t="n"/>
      <c r="N23" s="132" t="n"/>
      <c r="O23" s="134" t="n"/>
      <c r="P23" s="134" t="n"/>
      <c r="Q23" s="104" t="n"/>
      <c r="R23" s="132" t="n"/>
      <c r="S23" s="105" t="n"/>
      <c r="T23" s="134" t="n"/>
      <c r="U23" s="104" t="n"/>
      <c r="V23" s="104" t="n"/>
      <c r="W23" s="132" t="n"/>
      <c r="X23" s="134" t="n"/>
      <c r="Y23" s="132" t="n"/>
    </row>
    <row customHeight="1" ht="17" r="24" s="155">
      <c r="A24" s="115" t="inlineStr">
        <is>
          <t>si801154</t>
        </is>
      </c>
      <c r="B24" s="115" t="inlineStr">
        <is>
          <t>医药商业Ⅱ(申万)</t>
        </is>
      </c>
      <c r="C24" s="115" t="n">
        <v>6215.21</v>
      </c>
      <c r="D24" s="115" t="n">
        <v>-0.21</v>
      </c>
      <c r="E24" s="115" t="n">
        <v>13.62</v>
      </c>
      <c r="F24" s="115" t="n">
        <v>14.7</v>
      </c>
      <c r="G24" s="115" t="n">
        <v>0.01</v>
      </c>
      <c r="H24" s="115" t="n">
        <v>1.39</v>
      </c>
      <c r="I24" s="115" t="n">
        <v>0.01</v>
      </c>
      <c r="J24" s="116" t="n">
        <v>36529</v>
      </c>
      <c r="K24" s="132" t="inlineStr">
        <is>
          <t>查看基金</t>
        </is>
      </c>
      <c r="L24" s="111">
        <f>H24/F24</f>
        <v/>
      </c>
      <c r="M24" s="132" t="n"/>
      <c r="N24" s="132" t="n"/>
      <c r="O24" s="134" t="n"/>
      <c r="P24" s="134" t="n"/>
      <c r="Q24" s="104" t="n"/>
      <c r="R24" s="132" t="n"/>
      <c r="S24" s="105" t="n"/>
      <c r="T24" s="134" t="n"/>
      <c r="U24" s="104" t="n"/>
      <c r="V24" s="104" t="n"/>
      <c r="W24" s="132" t="n"/>
      <c r="X24" s="134" t="n"/>
      <c r="Y24" s="132" t="n"/>
    </row>
    <row customHeight="1" ht="17" r="25" s="155">
      <c r="A25" s="115" t="inlineStr">
        <is>
          <t>si801181</t>
        </is>
      </c>
      <c r="B25" s="115" t="inlineStr">
        <is>
          <t>房地产开发Ⅱ(申万)</t>
        </is>
      </c>
      <c r="C25" s="115" t="n">
        <v>4595.89</v>
      </c>
      <c r="D25" s="115" t="n">
        <v>-0.48</v>
      </c>
      <c r="E25" s="115" t="n">
        <v>13.23</v>
      </c>
      <c r="F25" s="115" t="n">
        <v>8.779999999999999</v>
      </c>
      <c r="G25" s="115" t="n">
        <v>0.01</v>
      </c>
      <c r="H25" s="115" t="n">
        <v>1.26</v>
      </c>
      <c r="I25" s="115" t="n">
        <v>0.01</v>
      </c>
      <c r="J25" s="116" t="n">
        <v>36529</v>
      </c>
      <c r="K25" s="132" t="inlineStr">
        <is>
          <t>查看基金</t>
        </is>
      </c>
      <c r="L25" s="111">
        <f>H25/F25</f>
        <v/>
      </c>
      <c r="M25" s="132" t="n"/>
      <c r="N25" s="132" t="n"/>
      <c r="O25" s="134" t="n"/>
      <c r="P25" s="134" t="n"/>
      <c r="Q25" s="104" t="n"/>
      <c r="R25" s="132" t="n"/>
      <c r="S25" s="105" t="n"/>
      <c r="T25" s="134" t="n"/>
      <c r="U25" s="104" t="n"/>
      <c r="V25" s="104" t="n"/>
      <c r="W25" s="132" t="n"/>
      <c r="X25" s="134" t="n"/>
      <c r="Y25" s="132" t="n"/>
    </row>
    <row customHeight="1" ht="17" r="26" s="155">
      <c r="A26" s="115" t="inlineStr">
        <is>
          <t>si801092</t>
        </is>
      </c>
      <c r="B26" s="115" t="inlineStr">
        <is>
          <t>汽车服务Ⅱ(申万)</t>
        </is>
      </c>
      <c r="C26" s="115" t="n">
        <v>795.88</v>
      </c>
      <c r="D26" s="115" t="n">
        <v>0.04</v>
      </c>
      <c r="E26" s="115" t="n">
        <v>0.97</v>
      </c>
      <c r="F26" s="115" t="n">
        <v>18</v>
      </c>
      <c r="G26" s="115" t="n">
        <v>0.05</v>
      </c>
      <c r="H26" s="115" t="n">
        <v>1.19</v>
      </c>
      <c r="I26" s="115" t="n">
        <v>0.01</v>
      </c>
      <c r="J26" s="116" t="n">
        <v>36529</v>
      </c>
      <c r="K26" s="132" t="inlineStr">
        <is>
          <t>查看基金</t>
        </is>
      </c>
      <c r="L26" s="111">
        <f>H26/F26</f>
        <v/>
      </c>
      <c r="M26" s="132" t="n"/>
      <c r="N26" s="132" t="n"/>
      <c r="O26" s="134" t="n"/>
      <c r="P26" s="134" t="n"/>
      <c r="Q26" s="104" t="n"/>
      <c r="R26" s="132" t="n"/>
      <c r="S26" s="105" t="n"/>
      <c r="T26" s="134" t="n"/>
      <c r="U26" s="104" t="n"/>
      <c r="V26" s="104" t="n"/>
      <c r="W26" s="132" t="n"/>
      <c r="X26" s="134" t="n"/>
      <c r="Y26" s="132" t="n"/>
    </row>
    <row customHeight="1" ht="17" r="27" s="155">
      <c r="A27" s="115" t="inlineStr">
        <is>
          <t>si801724</t>
        </is>
      </c>
      <c r="B27" s="115" t="inlineStr">
        <is>
          <t>专业工程(申万)</t>
        </is>
      </c>
      <c r="C27" s="115" t="n">
        <v>1372.3</v>
      </c>
      <c r="D27" s="115" t="n">
        <v>-0.77</v>
      </c>
      <c r="E27" s="115" t="n">
        <v>-1.82</v>
      </c>
      <c r="F27" s="115" t="n">
        <v>11.02</v>
      </c>
      <c r="G27" s="115" t="n">
        <v>0.01</v>
      </c>
      <c r="H27" s="115" t="n">
        <v>0.99</v>
      </c>
      <c r="I27" s="115" t="n">
        <v>0.01</v>
      </c>
      <c r="J27" s="116" t="n">
        <v>40826</v>
      </c>
      <c r="K27" s="132" t="inlineStr">
        <is>
          <t>查看基金</t>
        </is>
      </c>
      <c r="L27" s="111">
        <f>H27/F27</f>
        <v/>
      </c>
      <c r="M27" s="132" t="n"/>
      <c r="N27" s="132" t="n"/>
      <c r="O27" s="134" t="n"/>
      <c r="P27" s="134" t="n"/>
      <c r="Q27" s="104" t="n"/>
      <c r="R27" s="132" t="n"/>
      <c r="S27" s="105" t="n"/>
      <c r="T27" s="134" t="n"/>
      <c r="U27" s="104" t="n"/>
      <c r="V27" s="104" t="n"/>
      <c r="W27" s="132" t="n"/>
      <c r="X27" s="134" t="n"/>
      <c r="Y27" s="132" t="n"/>
    </row>
    <row customHeight="1" ht="17" r="28" s="155">
      <c r="A28" s="115" t="inlineStr">
        <is>
          <t>si801723</t>
        </is>
      </c>
      <c r="B28" s="115" t="inlineStr">
        <is>
          <t>基础建设(申万)</t>
        </is>
      </c>
      <c r="C28" s="115" t="n">
        <v>2128.9</v>
      </c>
      <c r="D28" s="115" t="n">
        <v>-0.7</v>
      </c>
      <c r="E28" s="115" t="n">
        <v>-9.380000000000001</v>
      </c>
      <c r="F28" s="115" t="n">
        <v>7.88</v>
      </c>
      <c r="G28" s="115" t="n">
        <v>0.01</v>
      </c>
      <c r="H28" s="115" t="n">
        <v>0.79</v>
      </c>
      <c r="I28" s="115" t="n">
        <v>0.01</v>
      </c>
      <c r="J28" s="116" t="n">
        <v>40826</v>
      </c>
      <c r="K28" s="132" t="inlineStr">
        <is>
          <t>查看基金</t>
        </is>
      </c>
      <c r="L28" s="111">
        <f>H28/F28</f>
        <v/>
      </c>
      <c r="M28" s="132" t="n"/>
      <c r="N28" s="132" t="n"/>
      <c r="O28" s="134" t="n"/>
      <c r="P28" s="134" t="n"/>
      <c r="Q28" s="104" t="n"/>
      <c r="R28" s="132" t="n"/>
      <c r="S28" s="105" t="n"/>
      <c r="T28" s="134" t="n"/>
      <c r="U28" s="104" t="n"/>
      <c r="V28" s="104" t="n"/>
      <c r="W28" s="132" t="n"/>
      <c r="X28" s="134" t="n"/>
      <c r="Y28" s="132" t="n"/>
    </row>
    <row customHeight="1" ht="17" r="29" s="155">
      <c r="A29" s="115" t="inlineStr">
        <is>
          <t>si801722</t>
        </is>
      </c>
      <c r="B29" s="115" t="inlineStr">
        <is>
          <t>装修装饰Ⅱ(申万)</t>
        </is>
      </c>
      <c r="C29" s="115" t="n">
        <v>5981.37</v>
      </c>
      <c r="D29" s="115" t="n">
        <v>0.07000000000000001</v>
      </c>
      <c r="E29" s="115" t="n">
        <v>0.99</v>
      </c>
      <c r="F29" s="115" t="n">
        <v>19.38</v>
      </c>
      <c r="G29" s="115" t="n">
        <v>0.09</v>
      </c>
      <c r="H29" s="115" t="n">
        <v>1.56</v>
      </c>
      <c r="I29" s="115" t="n">
        <v>0.01</v>
      </c>
      <c r="J29" s="116" t="n">
        <v>39042</v>
      </c>
      <c r="K29" s="132" t="inlineStr">
        <is>
          <t>查看基金</t>
        </is>
      </c>
      <c r="L29" s="111">
        <f>H29/F29</f>
        <v/>
      </c>
      <c r="M29" s="132" t="n"/>
      <c r="N29" s="132" t="n"/>
      <c r="O29" s="134" t="n"/>
      <c r="P29" s="134" t="n"/>
      <c r="Q29" s="104" t="n"/>
      <c r="R29" s="132" t="n"/>
      <c r="S29" s="105" t="n"/>
      <c r="T29" s="134" t="n"/>
      <c r="U29" s="104" t="n"/>
      <c r="V29" s="104" t="n"/>
      <c r="W29" s="132" t="n"/>
      <c r="X29" s="134" t="n"/>
      <c r="Y29" s="132" t="n"/>
    </row>
    <row customHeight="1" ht="17" r="30" s="155">
      <c r="A30" s="115" t="inlineStr">
        <is>
          <t>si801162</t>
        </is>
      </c>
      <c r="B30" s="115" t="inlineStr">
        <is>
          <t>环保工程及服务Ⅱ(申万)</t>
        </is>
      </c>
      <c r="C30" s="115" t="n">
        <v>1126.27</v>
      </c>
      <c r="D30" s="115" t="n">
        <v>-0.28</v>
      </c>
      <c r="E30" s="115" t="n">
        <v>-8.449999999999999</v>
      </c>
      <c r="F30" s="115" t="n">
        <v>24.86</v>
      </c>
      <c r="G30" s="115" t="n">
        <v>0.16</v>
      </c>
      <c r="H30" s="115" t="n">
        <v>1.55</v>
      </c>
      <c r="I30" s="115" t="n">
        <v>0.01</v>
      </c>
      <c r="J30" s="116" t="n">
        <v>36529</v>
      </c>
      <c r="K30" s="132" t="inlineStr">
        <is>
          <t>查看基金</t>
        </is>
      </c>
      <c r="L30" s="111">
        <f>H30/F30</f>
        <v/>
      </c>
      <c r="M30" s="132" t="n"/>
      <c r="N30" s="132" t="n"/>
      <c r="O30" s="134" t="n"/>
      <c r="P30" s="134" t="n"/>
      <c r="Q30" s="104" t="n"/>
      <c r="R30" s="132" t="n"/>
      <c r="S30" s="105" t="n"/>
      <c r="T30" s="134" t="n"/>
      <c r="U30" s="104" t="n"/>
      <c r="V30" s="104" t="n"/>
      <c r="W30" s="132" t="n"/>
      <c r="X30" s="134" t="n"/>
      <c r="Y30" s="132" t="n"/>
    </row>
    <row customHeight="1" ht="17" r="31" s="155">
      <c r="A31" s="115" t="inlineStr">
        <is>
          <t>sz399806</t>
        </is>
      </c>
      <c r="B31" s="115" t="inlineStr">
        <is>
          <t>环境治理</t>
        </is>
      </c>
      <c r="C31" s="115" t="n">
        <v>1369.54</v>
      </c>
      <c r="D31" s="115" t="n">
        <v>-0.4</v>
      </c>
      <c r="E31" s="115" t="n">
        <v>-0.26</v>
      </c>
      <c r="F31" s="115" t="n">
        <v>28.01</v>
      </c>
      <c r="G31" s="115" t="n">
        <v>0.14</v>
      </c>
      <c r="H31" s="115" t="n">
        <v>1.61</v>
      </c>
      <c r="I31" s="115" t="n">
        <v>0.01</v>
      </c>
      <c r="J31" s="116" t="n">
        <v>41841</v>
      </c>
      <c r="K31" s="132" t="inlineStr">
        <is>
          <t>查看基金</t>
        </is>
      </c>
      <c r="L31" s="111">
        <f>H31/F31</f>
        <v/>
      </c>
      <c r="M31" s="132" t="n"/>
      <c r="N31" s="132" t="n"/>
      <c r="O31" s="134" t="n"/>
      <c r="P31" s="134" t="n"/>
      <c r="Q31" s="104" t="n"/>
      <c r="R31" s="132" t="n"/>
      <c r="S31" s="105" t="n"/>
      <c r="T31" s="134" t="n"/>
      <c r="U31" s="104" t="n"/>
      <c r="V31" s="104" t="n"/>
      <c r="W31" s="132" t="n"/>
      <c r="X31" s="134" t="n"/>
      <c r="Y31" s="132" t="n"/>
    </row>
    <row customHeight="1" ht="17" r="32" s="155">
      <c r="A32" s="115" t="inlineStr">
        <is>
          <t>si801055</t>
        </is>
      </c>
      <c r="B32" s="115" t="inlineStr">
        <is>
          <t>工业金属(申万)</t>
        </is>
      </c>
      <c r="C32" s="115" t="n">
        <v>1012.42</v>
      </c>
      <c r="D32" s="115" t="n">
        <v>-1.24</v>
      </c>
      <c r="E32" s="115" t="n">
        <v>5.64</v>
      </c>
      <c r="F32" s="115" t="n">
        <v>27.37</v>
      </c>
      <c r="G32" s="115" t="n">
        <v>0.28</v>
      </c>
      <c r="H32" s="115" t="n">
        <v>1.29</v>
      </c>
      <c r="I32" s="115" t="n">
        <v>0.01</v>
      </c>
      <c r="J32" s="116" t="n">
        <v>36529</v>
      </c>
      <c r="K32" s="132" t="inlineStr">
        <is>
          <t>查看基金</t>
        </is>
      </c>
      <c r="L32" s="111">
        <f>H32/F32</f>
        <v/>
      </c>
      <c r="M32" s="132" t="n"/>
      <c r="N32" s="132" t="n"/>
      <c r="O32" s="134" t="n"/>
      <c r="P32" s="134" t="n"/>
      <c r="Q32" s="104" t="n"/>
      <c r="R32" s="132" t="n"/>
      <c r="S32" s="105" t="n"/>
      <c r="T32" s="134" t="n"/>
      <c r="U32" s="104" t="n"/>
      <c r="V32" s="104" t="n"/>
      <c r="W32" s="132" t="n"/>
      <c r="X32" s="134" t="n"/>
      <c r="Y32" s="132" t="n"/>
    </row>
    <row customHeight="1" ht="17" r="33" s="155">
      <c r="A33" s="115" t="inlineStr">
        <is>
          <t>si801021</t>
        </is>
      </c>
      <c r="B33" s="115" t="inlineStr">
        <is>
          <t>煤炭开采Ⅱ(申万)</t>
        </is>
      </c>
      <c r="C33" s="115" t="n">
        <v>2368.6</v>
      </c>
      <c r="D33" s="115" t="n">
        <v>-1.5</v>
      </c>
      <c r="E33" s="115" t="n">
        <v>5.85</v>
      </c>
      <c r="F33" s="115" t="n">
        <v>9.66</v>
      </c>
      <c r="G33" s="115" t="n">
        <v>0.04</v>
      </c>
      <c r="H33" s="115" t="n">
        <v>1.01</v>
      </c>
      <c r="I33" s="115" t="n">
        <v>0.01</v>
      </c>
      <c r="J33" s="116" t="n">
        <v>36529</v>
      </c>
      <c r="K33" s="132" t="inlineStr">
        <is>
          <t>查看基金</t>
        </is>
      </c>
      <c r="L33" s="111">
        <f>H33/F33</f>
        <v/>
      </c>
      <c r="M33" s="132" t="n"/>
      <c r="N33" s="132" t="n"/>
      <c r="O33" s="134" t="n"/>
      <c r="P33" s="134" t="n"/>
      <c r="Q33" s="104" t="n"/>
      <c r="R33" s="132" t="n"/>
      <c r="S33" s="105" t="n"/>
      <c r="T33" s="134" t="n"/>
      <c r="U33" s="104" t="n"/>
      <c r="V33" s="104" t="n"/>
      <c r="W33" s="132" t="n"/>
      <c r="X33" s="134" t="n"/>
      <c r="Y33" s="132" t="n"/>
    </row>
    <row customHeight="1" ht="17" r="34" s="155">
      <c r="A34" s="115" t="inlineStr">
        <is>
          <t>sh000979</t>
        </is>
      </c>
      <c r="B34" s="115" t="inlineStr">
        <is>
          <t>大宗商品</t>
        </is>
      </c>
      <c r="C34" s="115" t="n">
        <v>3155.52</v>
      </c>
      <c r="D34" s="115" t="n">
        <v>-0.7</v>
      </c>
      <c r="E34" s="115" t="n">
        <v>3.16</v>
      </c>
      <c r="F34" s="115" t="n">
        <v>14.02</v>
      </c>
      <c r="G34" s="115" t="n">
        <v>0.28</v>
      </c>
      <c r="H34" s="115" t="n">
        <v>1.22</v>
      </c>
      <c r="I34" s="115" t="n">
        <v>0.01</v>
      </c>
      <c r="J34" s="116" t="n">
        <v>40777</v>
      </c>
      <c r="K34" s="132" t="inlineStr">
        <is>
          <t>查看基金</t>
        </is>
      </c>
      <c r="L34" s="111">
        <f>H34/F34</f>
        <v/>
      </c>
      <c r="M34" s="132" t="n"/>
      <c r="N34" s="132" t="n"/>
      <c r="O34" s="134" t="n"/>
      <c r="P34" s="134" t="n"/>
      <c r="Q34" s="104" t="n"/>
      <c r="R34" s="132" t="n"/>
      <c r="S34" s="105" t="n"/>
      <c r="T34" s="134" t="n"/>
      <c r="U34" s="104" t="n"/>
      <c r="V34" s="104" t="n"/>
      <c r="W34" s="132" t="n"/>
      <c r="X34" s="134" t="n"/>
      <c r="Y34" s="132" t="n"/>
    </row>
    <row customHeight="1" ht="17" r="35" s="155">
      <c r="A35" s="115" t="inlineStr">
        <is>
          <t>si801192</t>
        </is>
      </c>
      <c r="B35" s="115" t="inlineStr">
        <is>
          <t>银行Ⅱ(申万)</t>
        </is>
      </c>
      <c r="C35" s="115" t="n">
        <v>3708.66</v>
      </c>
      <c r="D35" s="115" t="n">
        <v>-0.63</v>
      </c>
      <c r="E35" s="115" t="n">
        <v>19.27</v>
      </c>
      <c r="F35" s="115" t="n">
        <v>6.76</v>
      </c>
      <c r="G35" s="115" t="n">
        <v>0.25</v>
      </c>
      <c r="H35" s="115" t="n">
        <v>0.78</v>
      </c>
      <c r="I35" s="115" t="n">
        <v>0.01</v>
      </c>
      <c r="J35" s="116" t="n">
        <v>36529</v>
      </c>
      <c r="K35" s="132" t="inlineStr">
        <is>
          <t>查看基金</t>
        </is>
      </c>
      <c r="L35" s="111">
        <f>H35/F35</f>
        <v/>
      </c>
      <c r="M35" s="132" t="n"/>
      <c r="N35" s="132" t="n"/>
      <c r="O35" s="134" t="n"/>
      <c r="P35" s="134" t="n"/>
      <c r="Q35" s="104" t="n"/>
      <c r="R35" s="132" t="n"/>
      <c r="S35" s="105" t="n"/>
      <c r="T35" s="134" t="n"/>
      <c r="U35" s="104" t="n"/>
      <c r="V35" s="104" t="n"/>
      <c r="W35" s="132" t="n"/>
      <c r="X35" s="134" t="n"/>
      <c r="Y35" s="132" t="n"/>
    </row>
    <row customHeight="1" ht="17" r="36" s="155">
      <c r="A36" s="115" t="inlineStr">
        <is>
          <t>si801191</t>
        </is>
      </c>
      <c r="B36" s="115" t="inlineStr">
        <is>
          <t>多元金融Ⅱ(申万)</t>
        </is>
      </c>
      <c r="C36" s="115" t="n">
        <v>1489.62</v>
      </c>
      <c r="D36" s="115" t="n">
        <v>0.03</v>
      </c>
      <c r="E36" s="115" t="n">
        <v>2.54</v>
      </c>
      <c r="F36" s="115" t="n">
        <v>20.73</v>
      </c>
      <c r="G36" s="115" t="n">
        <v>0.08</v>
      </c>
      <c r="H36" s="115" t="n">
        <v>1.56</v>
      </c>
      <c r="I36" s="115" t="n">
        <v>0.01</v>
      </c>
      <c r="J36" s="116" t="n">
        <v>36529</v>
      </c>
      <c r="K36" s="132" t="inlineStr">
        <is>
          <t>查看基金</t>
        </is>
      </c>
      <c r="L36" s="111">
        <f>H36/F36</f>
        <v/>
      </c>
      <c r="M36" s="132" t="n"/>
      <c r="N36" s="132" t="n"/>
      <c r="O36" s="134" t="n"/>
      <c r="P36" s="134" t="n"/>
      <c r="Q36" s="104" t="n"/>
      <c r="R36" s="132" t="n"/>
      <c r="S36" s="105" t="n"/>
      <c r="T36" s="134" t="n"/>
      <c r="U36" s="104" t="n"/>
      <c r="V36" s="104" t="n"/>
      <c r="W36" s="132" t="n"/>
      <c r="X36" s="134" t="n"/>
      <c r="Y36" s="132" t="n"/>
    </row>
    <row customHeight="1" ht="17" r="37" s="155">
      <c r="A37" s="115" t="inlineStr">
        <is>
          <t>sz399998</t>
        </is>
      </c>
      <c r="B37" s="115" t="inlineStr">
        <is>
          <t>中证煤炭</t>
        </is>
      </c>
      <c r="C37" s="115" t="n">
        <v>1230.12</v>
      </c>
      <c r="D37" s="115" t="n">
        <v>-1.71</v>
      </c>
      <c r="E37" s="115" t="n">
        <v>6.87</v>
      </c>
      <c r="F37" s="115" t="n">
        <v>8.44</v>
      </c>
      <c r="G37" s="115" t="n">
        <v>0.01</v>
      </c>
      <c r="H37" s="115" t="n">
        <v>0.98</v>
      </c>
      <c r="I37" s="115" t="n">
        <v>0.01</v>
      </c>
      <c r="J37" s="116" t="n">
        <v>42048</v>
      </c>
      <c r="K37" s="132" t="inlineStr">
        <is>
          <t>查看基金</t>
        </is>
      </c>
      <c r="L37" s="111">
        <f>H37/F37</f>
        <v/>
      </c>
      <c r="M37" s="132" t="n"/>
      <c r="N37" s="132" t="n"/>
      <c r="O37" s="134" t="n"/>
      <c r="P37" s="134" t="n"/>
      <c r="Q37" s="104" t="n"/>
      <c r="R37" s="132" t="n"/>
      <c r="S37" s="105" t="n"/>
      <c r="T37" s="134" t="n"/>
      <c r="U37" s="104" t="n"/>
      <c r="V37" s="104" t="n"/>
      <c r="W37" s="132" t="n"/>
      <c r="X37" s="134" t="n"/>
      <c r="Y37" s="132" t="n"/>
    </row>
    <row customHeight="1" ht="17" r="38" s="155">
      <c r="A38" s="115" t="inlineStr">
        <is>
          <t>sz399990</t>
        </is>
      </c>
      <c r="B38" s="115" t="inlineStr">
        <is>
          <t>煤炭等权</t>
        </is>
      </c>
      <c r="C38" s="115" t="n">
        <v>1606.44</v>
      </c>
      <c r="D38" s="115" t="n">
        <v>-2.21</v>
      </c>
      <c r="E38" s="115" t="n">
        <v>7.56</v>
      </c>
      <c r="F38" s="115" t="n">
        <v>8.44</v>
      </c>
      <c r="G38" s="115" t="n">
        <v>0.01</v>
      </c>
      <c r="H38" s="115" t="n">
        <v>0.98</v>
      </c>
      <c r="I38" s="115" t="n">
        <v>0.01</v>
      </c>
      <c r="J38" s="116" t="n">
        <v>42025</v>
      </c>
      <c r="K38" s="132" t="inlineStr">
        <is>
          <t>查看基金</t>
        </is>
      </c>
      <c r="L38" s="111">
        <f>H38/F38</f>
        <v/>
      </c>
      <c r="M38" s="132" t="n"/>
      <c r="N38" s="132" t="n"/>
      <c r="O38" s="134" t="n"/>
      <c r="P38" s="134" t="n"/>
      <c r="Q38" s="104" t="n"/>
      <c r="R38" s="132" t="n"/>
      <c r="S38" s="105" t="n"/>
      <c r="T38" s="134" t="n"/>
      <c r="U38" s="104" t="n"/>
      <c r="V38" s="104" t="n"/>
      <c r="W38" s="132" t="n"/>
      <c r="X38" s="134" t="n"/>
      <c r="Y38" s="132" t="n"/>
    </row>
    <row customHeight="1" ht="17" r="39" s="155">
      <c r="A39" s="115" t="inlineStr">
        <is>
          <t>sh950090</t>
        </is>
      </c>
      <c r="B39" s="115" t="inlineStr">
        <is>
          <t>50AH优选</t>
        </is>
      </c>
      <c r="C39" s="115" t="inlineStr">
        <is>
          <t>---</t>
        </is>
      </c>
      <c r="D39" s="115" t="n">
        <v>0</v>
      </c>
      <c r="E39" s="115" t="n">
        <v>0</v>
      </c>
      <c r="F39" s="115" t="n">
        <v>8.67</v>
      </c>
      <c r="G39" s="115" t="n">
        <v>0.07000000000000001</v>
      </c>
      <c r="H39" s="115" t="n">
        <v>0.99</v>
      </c>
      <c r="I39" s="115" t="n">
        <v>0.01</v>
      </c>
      <c r="J39" s="116" t="n">
        <v>42348</v>
      </c>
      <c r="K39" s="132" t="inlineStr">
        <is>
          <t>查看基金</t>
        </is>
      </c>
      <c r="L39" s="111">
        <f>H39/F39</f>
        <v/>
      </c>
      <c r="M39" s="132" t="n"/>
      <c r="N39" s="132" t="n"/>
      <c r="O39" s="134" t="n"/>
      <c r="P39" s="134" t="n"/>
      <c r="Q39" s="104" t="n"/>
      <c r="R39" s="132" t="n"/>
      <c r="S39" s="105" t="n"/>
      <c r="T39" s="134" t="n"/>
      <c r="U39" s="104" t="n"/>
      <c r="V39" s="104" t="n"/>
      <c r="W39" s="132" t="n"/>
      <c r="X39" s="134" t="n"/>
      <c r="Y39" s="132" t="n"/>
    </row>
    <row customHeight="1" ht="17" r="40" s="155">
      <c r="A40" s="115" t="inlineStr">
        <is>
          <t>sh000805</t>
        </is>
      </c>
      <c r="B40" s="115" t="inlineStr">
        <is>
          <t>A股资源</t>
        </is>
      </c>
      <c r="C40" s="115" t="n">
        <v>3437.61</v>
      </c>
      <c r="D40" s="115" t="n">
        <v>-0.45</v>
      </c>
      <c r="E40" s="115" t="n">
        <v>13.7</v>
      </c>
      <c r="F40" s="115" t="n">
        <v>16.81</v>
      </c>
      <c r="G40" s="115" t="n">
        <v>0.49</v>
      </c>
      <c r="H40" s="115" t="n">
        <v>1.07</v>
      </c>
      <c r="I40" s="115" t="n">
        <v>0.01</v>
      </c>
      <c r="J40" s="116" t="n">
        <v>40914</v>
      </c>
      <c r="K40" s="132" t="inlineStr">
        <is>
          <t>查看基金</t>
        </is>
      </c>
      <c r="L40" s="111">
        <f>H40/F40</f>
        <v/>
      </c>
      <c r="M40" s="132" t="n"/>
      <c r="N40" s="132" t="n"/>
      <c r="O40" s="134" t="n"/>
      <c r="P40" s="134" t="n"/>
      <c r="Q40" s="104" t="n"/>
      <c r="R40" s="132" t="n"/>
      <c r="S40" s="105" t="n"/>
      <c r="T40" s="134" t="n"/>
      <c r="U40" s="104" t="n"/>
      <c r="V40" s="104" t="n"/>
      <c r="W40" s="132" t="n"/>
      <c r="X40" s="134" t="n"/>
      <c r="Y40" s="132" t="n"/>
    </row>
    <row customHeight="1" ht="17" r="41" s="155">
      <c r="A41" s="115" t="inlineStr">
        <is>
          <t>sh000042</t>
        </is>
      </c>
      <c r="B41" s="115" t="inlineStr">
        <is>
          <t>上证央企</t>
        </is>
      </c>
      <c r="C41" s="115" t="n">
        <v>1490.17</v>
      </c>
      <c r="D41" s="115" t="n">
        <v>-0.21</v>
      </c>
      <c r="E41" s="115" t="n">
        <v>9.369999999999999</v>
      </c>
      <c r="F41" s="115" t="n">
        <v>8.83</v>
      </c>
      <c r="G41" s="115" t="n">
        <v>0.24</v>
      </c>
      <c r="H41" s="115" t="n">
        <v>0.99</v>
      </c>
      <c r="I41" s="115" t="n">
        <v>0.01</v>
      </c>
      <c r="J41" s="116" t="n">
        <v>39902</v>
      </c>
      <c r="K41" s="132" t="inlineStr">
        <is>
          <t>查看基金</t>
        </is>
      </c>
      <c r="L41" s="111">
        <f>H41/F41</f>
        <v/>
      </c>
      <c r="M41" s="132" t="n"/>
      <c r="N41" s="132" t="n"/>
      <c r="O41" s="134" t="n"/>
      <c r="P41" s="134" t="n"/>
      <c r="Q41" s="104" t="n"/>
      <c r="R41" s="132" t="n"/>
      <c r="S41" s="105" t="n"/>
      <c r="T41" s="134" t="n"/>
      <c r="U41" s="104" t="n"/>
      <c r="V41" s="104" t="n"/>
      <c r="W41" s="132" t="n"/>
      <c r="X41" s="134" t="n"/>
      <c r="Y41" s="132" t="n"/>
    </row>
    <row customHeight="1" ht="17" r="42" s="155">
      <c r="A42" s="115" t="inlineStr">
        <is>
          <t>sh000015</t>
        </is>
      </c>
      <c r="B42" s="115" t="inlineStr">
        <is>
          <t>红利指数</t>
        </is>
      </c>
      <c r="C42" s="115" t="n">
        <v>2632.37</v>
      </c>
      <c r="D42" s="115" t="n">
        <v>-0.25</v>
      </c>
      <c r="E42" s="115" t="n">
        <v>5.88</v>
      </c>
      <c r="F42" s="115" t="n">
        <v>7.41</v>
      </c>
      <c r="G42" s="115" t="n">
        <v>0.14</v>
      </c>
      <c r="H42" s="115" t="n">
        <v>0.92</v>
      </c>
      <c r="I42" s="115" t="n">
        <v>0.01</v>
      </c>
      <c r="J42" s="116" t="n">
        <v>38356</v>
      </c>
      <c r="K42" s="132" t="inlineStr">
        <is>
          <t>查看基金</t>
        </is>
      </c>
      <c r="L42" s="111">
        <f>H42/F42</f>
        <v/>
      </c>
      <c r="M42" s="132" t="n"/>
      <c r="N42" s="132" t="n"/>
      <c r="O42" s="134" t="n"/>
      <c r="P42" s="134" t="n"/>
      <c r="Q42" s="104" t="n"/>
      <c r="R42" s="132" t="n"/>
      <c r="S42" s="105" t="n"/>
      <c r="T42" s="134" t="n"/>
      <c r="U42" s="104" t="n"/>
      <c r="V42" s="104" t="n"/>
      <c r="W42" s="132" t="n"/>
      <c r="X42" s="134" t="n"/>
      <c r="Y42" s="132" t="n"/>
    </row>
    <row customHeight="1" ht="17" r="43" s="155">
      <c r="A43" s="115" t="inlineStr">
        <is>
          <t>csih30263</t>
        </is>
      </c>
      <c r="B43" s="115" t="inlineStr">
        <is>
          <t>中证腾安</t>
        </is>
      </c>
      <c r="C43" s="115" t="n">
        <v>1950.15</v>
      </c>
      <c r="D43" s="115" t="n">
        <v>-0.22</v>
      </c>
      <c r="E43" s="115" t="n">
        <v>13.62</v>
      </c>
      <c r="F43" s="115" t="n">
        <v>7.66</v>
      </c>
      <c r="G43" s="115" t="n">
        <v>0.01</v>
      </c>
      <c r="H43" s="115" t="n">
        <v>1</v>
      </c>
      <c r="I43" s="115" t="n">
        <v>0.01</v>
      </c>
      <c r="J43" s="116" t="n">
        <v>41596</v>
      </c>
      <c r="K43" s="132" t="inlineStr">
        <is>
          <t>查看基金</t>
        </is>
      </c>
      <c r="L43" s="111">
        <f>H43/F43</f>
        <v/>
      </c>
      <c r="M43" s="134" t="n"/>
      <c r="N43" s="132" t="n"/>
      <c r="O43" s="134" t="n"/>
      <c r="P43" s="134" t="n"/>
      <c r="Q43" s="104" t="n"/>
      <c r="R43" s="132" t="n"/>
      <c r="S43" s="105" t="n"/>
      <c r="T43" s="134" t="n"/>
      <c r="U43" s="104" t="n"/>
      <c r="V43" s="104" t="n"/>
      <c r="W43" s="132" t="n"/>
      <c r="X43" s="134" t="n"/>
      <c r="Y43" s="132" t="n"/>
    </row>
    <row customHeight="1" ht="17" r="44" s="155">
      <c r="A44" s="115" t="inlineStr">
        <is>
          <t>sh000919</t>
        </is>
      </c>
      <c r="B44" s="115" t="inlineStr">
        <is>
          <t>300价值</t>
        </is>
      </c>
      <c r="C44" s="115" t="n">
        <v>4331.73</v>
      </c>
      <c r="D44" s="115" t="n">
        <v>1.28</v>
      </c>
      <c r="E44" s="115" t="n">
        <v>1.26</v>
      </c>
      <c r="F44" s="115" t="n">
        <v>7.7</v>
      </c>
      <c r="G44" s="115" t="n">
        <v>0.14</v>
      </c>
      <c r="H44" s="115" t="n">
        <v>0.98</v>
      </c>
      <c r="I44" s="115" t="n">
        <v>0.01</v>
      </c>
      <c r="J44" s="116" t="n">
        <v>39468</v>
      </c>
      <c r="K44" s="132" t="inlineStr">
        <is>
          <t>查看基金</t>
        </is>
      </c>
      <c r="L44" s="111">
        <f>H44/F44</f>
        <v/>
      </c>
      <c r="M44" s="134" t="n"/>
      <c r="N44" s="132" t="n"/>
      <c r="O44" s="134" t="n"/>
      <c r="P44" s="134" t="n"/>
      <c r="Q44" s="104" t="n"/>
      <c r="R44" s="132" t="n"/>
      <c r="S44" s="105" t="n"/>
      <c r="T44" s="134" t="n"/>
      <c r="U44" s="104" t="n"/>
      <c r="V44" s="104" t="n"/>
      <c r="W44" s="132" t="n"/>
      <c r="X44" s="134" t="n"/>
      <c r="Y44" s="132" t="n"/>
    </row>
    <row customHeight="1" ht="17" r="45" s="155">
      <c r="A45" s="115" t="inlineStr">
        <is>
          <t>sh000961</t>
        </is>
      </c>
      <c r="B45" s="115" t="inlineStr">
        <is>
          <t>中证上游</t>
        </is>
      </c>
      <c r="C45" s="115" t="n">
        <v>1980.54</v>
      </c>
      <c r="D45" s="115" t="n">
        <v>-0.14</v>
      </c>
      <c r="E45" s="115" t="n">
        <v>2.33</v>
      </c>
      <c r="F45" s="115" t="n">
        <v>14.3</v>
      </c>
      <c r="G45" s="115" t="n">
        <v>0.34</v>
      </c>
      <c r="H45" s="115" t="n">
        <v>1.16</v>
      </c>
      <c r="I45" s="115" t="n">
        <v>0.01</v>
      </c>
      <c r="J45" s="116" t="n">
        <v>40284</v>
      </c>
      <c r="K45" s="132" t="inlineStr">
        <is>
          <t>查看基金</t>
        </is>
      </c>
      <c r="L45" s="111">
        <f>H45/F45</f>
        <v/>
      </c>
      <c r="M45" s="134" t="n"/>
      <c r="N45" s="132" t="n"/>
      <c r="O45" s="134" t="n"/>
      <c r="P45" s="134" t="n"/>
      <c r="Q45" s="104" t="n"/>
      <c r="R45" s="132" t="n"/>
      <c r="S45" s="105" t="n"/>
      <c r="T45" s="134" t="n"/>
      <c r="U45" s="104" t="n"/>
      <c r="V45" s="104" t="n"/>
      <c r="W45" s="132" t="n"/>
      <c r="X45" s="134" t="n"/>
      <c r="Y45" s="132" t="n"/>
    </row>
    <row customHeight="1" ht="17" r="46" s="155">
      <c r="A46" s="115" t="inlineStr">
        <is>
          <t>sh000964</t>
        </is>
      </c>
      <c r="B46" s="115" t="inlineStr">
        <is>
          <t>中证新兴</t>
        </is>
      </c>
      <c r="C46" s="115" t="n">
        <v>6042.28</v>
      </c>
      <c r="D46" s="115" t="n">
        <v>0.39</v>
      </c>
      <c r="E46" s="115" t="n">
        <v>1.65</v>
      </c>
      <c r="F46" s="115" t="n">
        <v>17</v>
      </c>
      <c r="G46" s="115" t="n">
        <v>0.01</v>
      </c>
      <c r="H46" s="115" t="n">
        <v>2.05</v>
      </c>
      <c r="I46" s="115" t="n">
        <v>0.01</v>
      </c>
      <c r="J46" s="116" t="n">
        <v>40298</v>
      </c>
      <c r="K46" s="132" t="inlineStr">
        <is>
          <t>查看基金</t>
        </is>
      </c>
      <c r="L46" s="111">
        <f>H46/F46</f>
        <v/>
      </c>
      <c r="M46" s="134" t="n"/>
      <c r="N46" s="132" t="n"/>
      <c r="O46" s="134" t="n"/>
      <c r="P46" s="134" t="n"/>
      <c r="Q46" s="104" t="n"/>
      <c r="R46" s="132" t="n"/>
      <c r="S46" s="105" t="n"/>
      <c r="T46" s="134" t="n"/>
      <c r="U46" s="104" t="n"/>
      <c r="V46" s="104" t="n"/>
      <c r="W46" s="132" t="n"/>
      <c r="X46" s="134" t="n"/>
      <c r="Y46" s="132" t="n"/>
    </row>
    <row customHeight="1" ht="17" r="47" s="155">
      <c r="A47" s="115" t="inlineStr">
        <is>
          <t>csi930620</t>
        </is>
      </c>
      <c r="B47" s="115" t="inlineStr">
        <is>
          <t>CSSW丝路</t>
        </is>
      </c>
      <c r="C47" s="115" t="n">
        <v>1591.18</v>
      </c>
      <c r="D47" s="115" t="n">
        <v>-0.38</v>
      </c>
      <c r="E47" s="115" t="n">
        <v>10.52</v>
      </c>
      <c r="F47" s="115" t="n">
        <v>12.74</v>
      </c>
      <c r="G47" s="115" t="n">
        <v>0.04</v>
      </c>
      <c r="H47" s="115" t="n">
        <v>1.11</v>
      </c>
      <c r="I47" s="115" t="n">
        <v>0.01</v>
      </c>
      <c r="J47" s="116" t="n">
        <v>42117</v>
      </c>
      <c r="K47" s="132" t="inlineStr">
        <is>
          <t>查看基金</t>
        </is>
      </c>
      <c r="L47" s="111">
        <f>H47/F47</f>
        <v/>
      </c>
      <c r="M47" s="134" t="n"/>
      <c r="N47" s="132" t="n"/>
      <c r="O47" s="134" t="n"/>
      <c r="P47" s="134" t="n"/>
      <c r="Q47" s="104" t="n"/>
      <c r="R47" s="132" t="n"/>
      <c r="S47" s="105" t="n"/>
      <c r="T47" s="134" t="n"/>
      <c r="U47" s="104" t="n"/>
      <c r="V47" s="104" t="n"/>
      <c r="W47" s="132" t="n"/>
      <c r="X47" s="134" t="n"/>
      <c r="Y47" s="132" t="n"/>
    </row>
    <row customHeight="1" ht="17" r="48" s="155">
      <c r="A48" s="115" t="inlineStr">
        <is>
          <t>sz399991</t>
        </is>
      </c>
      <c r="B48" s="115" t="inlineStr">
        <is>
          <t>一带一路</t>
        </is>
      </c>
      <c r="C48" s="115" t="n">
        <v>1439.32</v>
      </c>
      <c r="D48" s="115" t="n">
        <v>-0.28</v>
      </c>
      <c r="E48" s="115" t="n">
        <v>11.7</v>
      </c>
      <c r="F48" s="115" t="n">
        <v>13.87</v>
      </c>
      <c r="G48" s="115" t="n">
        <v>0.05</v>
      </c>
      <c r="H48" s="115" t="n">
        <v>1.14</v>
      </c>
      <c r="I48" s="115" t="n">
        <v>0.01</v>
      </c>
      <c r="J48" s="116" t="n">
        <v>42051</v>
      </c>
      <c r="K48" s="132" t="inlineStr">
        <is>
          <t>查看基金</t>
        </is>
      </c>
      <c r="L48" s="111">
        <f>H48/F48</f>
        <v/>
      </c>
      <c r="M48" s="134" t="n"/>
      <c r="N48" s="132" t="n"/>
      <c r="O48" s="134" t="n"/>
      <c r="P48" s="134" t="n"/>
      <c r="Q48" s="104" t="n"/>
      <c r="R48" s="132" t="n"/>
      <c r="S48" s="105" t="n"/>
      <c r="T48" s="134" t="n"/>
      <c r="U48" s="104" t="n"/>
      <c r="V48" s="104" t="n"/>
      <c r="W48" s="132" t="n"/>
      <c r="X48" s="134" t="n"/>
      <c r="Y48" s="132" t="n"/>
    </row>
    <row customHeight="1" ht="17" r="49" s="155">
      <c r="A49" s="115" t="inlineStr">
        <is>
          <t>csi931008</t>
        </is>
      </c>
      <c r="B49" s="115" t="inlineStr">
        <is>
          <t>中证全指汽车指数</t>
        </is>
      </c>
      <c r="C49" s="115" t="n">
        <v>4681.38</v>
      </c>
      <c r="D49" s="115" t="n">
        <v>0.5600000000000001</v>
      </c>
      <c r="E49" s="115" t="n">
        <v>3.61</v>
      </c>
      <c r="F49" s="115" t="n">
        <v>24.58</v>
      </c>
      <c r="G49" s="115" t="n">
        <v>1</v>
      </c>
      <c r="H49" s="115" t="n">
        <v>1.34</v>
      </c>
      <c r="I49" s="115" t="n">
        <v>0.01</v>
      </c>
      <c r="J49" s="116" t="n">
        <v>41470</v>
      </c>
      <c r="K49" s="132" t="inlineStr">
        <is>
          <t>查看基金</t>
        </is>
      </c>
      <c r="L49" s="111">
        <f>H49/F49</f>
        <v/>
      </c>
      <c r="M49" s="134" t="n"/>
      <c r="N49" s="132" t="n"/>
      <c r="O49" s="134" t="n"/>
      <c r="P49" s="134" t="n"/>
      <c r="Q49" s="104" t="n"/>
      <c r="R49" s="132" t="n"/>
      <c r="S49" s="105" t="n"/>
      <c r="T49" s="134" t="n"/>
      <c r="U49" s="104" t="n"/>
      <c r="V49" s="104" t="n"/>
      <c r="W49" s="132" t="n"/>
      <c r="X49" s="134" t="n"/>
      <c r="Y49" s="132" t="n"/>
    </row>
    <row customHeight="1" ht="17" r="50" s="155">
      <c r="A50" s="115" t="inlineStr">
        <is>
          <t>sz399986</t>
        </is>
      </c>
      <c r="B50" s="115" t="inlineStr">
        <is>
          <t>中证银行</t>
        </is>
      </c>
      <c r="C50" s="115" t="n">
        <v>6624.7</v>
      </c>
      <c r="D50" s="115" t="n">
        <v>-0.61</v>
      </c>
      <c r="E50" s="115" t="n">
        <v>19.06</v>
      </c>
      <c r="F50" s="115" t="n">
        <v>6.59</v>
      </c>
      <c r="G50" s="115" t="n">
        <v>0.62</v>
      </c>
      <c r="H50" s="115" t="n">
        <v>0.82</v>
      </c>
      <c r="I50" s="115" t="n">
        <v>0.01</v>
      </c>
      <c r="J50" s="116" t="n">
        <v>41470</v>
      </c>
      <c r="K50" s="132" t="inlineStr">
        <is>
          <t>查看基金</t>
        </is>
      </c>
      <c r="L50" s="111">
        <f>H50/F50</f>
        <v/>
      </c>
      <c r="M50" s="134" t="n"/>
      <c r="N50" s="132" t="n"/>
      <c r="O50" s="134" t="n"/>
      <c r="P50" s="134" t="n"/>
      <c r="Q50" s="104" t="n"/>
      <c r="R50" s="132" t="n"/>
      <c r="S50" s="105" t="n"/>
      <c r="T50" s="134" t="n"/>
      <c r="U50" s="104" t="n"/>
      <c r="V50" s="104" t="n"/>
      <c r="W50" s="132" t="n"/>
      <c r="X50" s="134" t="n"/>
      <c r="Y50" s="132" t="n"/>
    </row>
    <row customHeight="1" ht="17" r="51" s="155">
      <c r="A51" s="115" t="inlineStr">
        <is>
          <t>sh000940</t>
        </is>
      </c>
      <c r="B51" s="115" t="inlineStr">
        <is>
          <t>财富大盘</t>
        </is>
      </c>
      <c r="C51" s="115" t="n">
        <v>4134.38</v>
      </c>
      <c r="D51" s="115" t="n">
        <v>-0.83</v>
      </c>
      <c r="E51" s="115" t="n">
        <v>0.01</v>
      </c>
      <c r="F51" s="115" t="n">
        <v>9.470000000000001</v>
      </c>
      <c r="G51" s="115" t="n">
        <v>0.18</v>
      </c>
      <c r="H51" s="115" t="n">
        <v>1.17</v>
      </c>
      <c r="I51" s="115" t="n">
        <v>0.02</v>
      </c>
      <c r="J51" s="116" t="n">
        <v>40081</v>
      </c>
      <c r="K51" s="132" t="inlineStr">
        <is>
          <t>查看基金</t>
        </is>
      </c>
      <c r="L51" s="111">
        <f>H51/F51</f>
        <v/>
      </c>
      <c r="M51" s="134" t="n"/>
      <c r="N51" s="132" t="n"/>
      <c r="O51" s="134" t="n"/>
      <c r="P51" s="134" t="n"/>
      <c r="Q51" s="104" t="n"/>
      <c r="R51" s="132" t="n"/>
      <c r="S51" s="105" t="n"/>
      <c r="T51" s="134" t="n"/>
      <c r="U51" s="104" t="n"/>
      <c r="V51" s="104" t="n"/>
      <c r="W51" s="132" t="n"/>
      <c r="X51" s="134" t="n"/>
      <c r="Y51" s="132" t="n"/>
    </row>
    <row customHeight="1" ht="17" r="52" s="155">
      <c r="A52" s="115" t="inlineStr">
        <is>
          <t>si801761</t>
        </is>
      </c>
      <c r="B52" s="115" t="inlineStr">
        <is>
          <t>文化传媒(申万)</t>
        </is>
      </c>
      <c r="C52" s="115" t="n">
        <v>1856.45</v>
      </c>
      <c r="D52" s="115" t="n">
        <v>-0.44</v>
      </c>
      <c r="E52" s="115" t="n">
        <v>5.92</v>
      </c>
      <c r="F52" s="115" t="n">
        <v>32.61</v>
      </c>
      <c r="G52" s="115" t="n">
        <v>0.17</v>
      </c>
      <c r="H52" s="115" t="n">
        <v>1.5</v>
      </c>
      <c r="I52" s="115" t="n">
        <v>0.02</v>
      </c>
      <c r="J52" s="116" t="n">
        <v>36529</v>
      </c>
      <c r="K52" s="132" t="inlineStr">
        <is>
          <t>查看基金</t>
        </is>
      </c>
      <c r="L52" s="111">
        <f>H52/F52</f>
        <v/>
      </c>
      <c r="M52" s="134" t="n"/>
      <c r="N52" s="132" t="n"/>
      <c r="O52" s="134" t="n"/>
      <c r="P52" s="134" t="n"/>
      <c r="Q52" s="104" t="n"/>
      <c r="R52" s="132" t="n"/>
      <c r="S52" s="105" t="n"/>
      <c r="T52" s="134" t="n"/>
      <c r="U52" s="104" t="n"/>
      <c r="V52" s="104" t="n"/>
      <c r="W52" s="132" t="n"/>
      <c r="X52" s="134" t="n"/>
      <c r="Y52" s="132" t="n"/>
    </row>
    <row customHeight="1" ht="17" r="53" s="155">
      <c r="A53" s="115" t="inlineStr">
        <is>
          <t>si801205</t>
        </is>
      </c>
      <c r="B53" s="115" t="inlineStr">
        <is>
          <t>商业物业经营(申万)</t>
        </is>
      </c>
      <c r="C53" s="115" t="n">
        <v>710.4299999999999</v>
      </c>
      <c r="D53" s="115" t="n">
        <v>-0.44</v>
      </c>
      <c r="E53" s="115" t="n">
        <v>4.63</v>
      </c>
      <c r="F53" s="115" t="n">
        <v>21.67</v>
      </c>
      <c r="G53" s="115" t="n">
        <v>0.16</v>
      </c>
      <c r="H53" s="115" t="n">
        <v>1.32</v>
      </c>
      <c r="I53" s="115" t="n">
        <v>0.02</v>
      </c>
      <c r="J53" s="116" t="n">
        <v>39265</v>
      </c>
      <c r="K53" s="132" t="inlineStr">
        <is>
          <t>查看基金</t>
        </is>
      </c>
      <c r="L53" s="111">
        <f>H53/F53</f>
        <v/>
      </c>
      <c r="M53" s="134" t="n"/>
      <c r="N53" s="132" t="n"/>
      <c r="O53" s="134" t="n"/>
      <c r="P53" s="134" t="n"/>
      <c r="Q53" s="104" t="n"/>
      <c r="R53" s="132" t="n"/>
      <c r="S53" s="105" t="n"/>
      <c r="T53" s="134" t="n"/>
      <c r="U53" s="104" t="n"/>
      <c r="V53" s="104" t="n"/>
      <c r="W53" s="132" t="n"/>
      <c r="X53" s="134" t="n"/>
      <c r="Y53" s="132" t="n"/>
    </row>
    <row customHeight="1" ht="17" r="54" s="155">
      <c r="A54" s="115" t="inlineStr">
        <is>
          <t>sz399995</t>
        </is>
      </c>
      <c r="B54" s="115" t="inlineStr">
        <is>
          <t>基建工程</t>
        </is>
      </c>
      <c r="C54" s="115" t="n">
        <v>3658.71</v>
      </c>
      <c r="D54" s="115" t="n">
        <v>-0.52</v>
      </c>
      <c r="E54" s="115" t="n">
        <v>-7.72</v>
      </c>
      <c r="F54" s="115" t="n">
        <v>8.140000000000001</v>
      </c>
      <c r="G54" s="115" t="n">
        <v>0.01</v>
      </c>
      <c r="H54" s="115" t="n">
        <v>0.93</v>
      </c>
      <c r="I54" s="115" t="n">
        <v>0.02</v>
      </c>
      <c r="J54" s="116" t="n">
        <v>42075</v>
      </c>
      <c r="K54" s="132" t="inlineStr">
        <is>
          <t>查看基金</t>
        </is>
      </c>
      <c r="L54" s="111">
        <f>H54/F54</f>
        <v/>
      </c>
      <c r="M54" s="134" t="n"/>
      <c r="N54" s="132" t="n"/>
      <c r="O54" s="134" t="n"/>
      <c r="P54" s="134" t="n"/>
      <c r="Q54" s="104" t="n"/>
      <c r="R54" s="132" t="n"/>
      <c r="S54" s="105" t="n"/>
      <c r="T54" s="134" t="n"/>
      <c r="U54" s="104" t="n"/>
      <c r="V54" s="104" t="n"/>
      <c r="W54" s="132" t="n"/>
      <c r="X54" s="134" t="n"/>
      <c r="Y54" s="132" t="n"/>
    </row>
    <row customHeight="1" ht="17" r="55" s="155">
      <c r="A55" s="115" t="inlineStr">
        <is>
          <t>si801161</t>
        </is>
      </c>
      <c r="B55" s="115" t="inlineStr">
        <is>
          <t>电力(申万)</t>
        </is>
      </c>
      <c r="C55" s="115" t="n">
        <v>2418.63</v>
      </c>
      <c r="D55" s="115" t="n">
        <v>0.24</v>
      </c>
      <c r="E55" s="115" t="n">
        <v>7.98</v>
      </c>
      <c r="F55" s="115" t="n">
        <v>16.9</v>
      </c>
      <c r="G55" s="115" t="n">
        <v>0.12</v>
      </c>
      <c r="H55" s="115" t="n">
        <v>1.36</v>
      </c>
      <c r="I55" s="115" t="n">
        <v>0.02</v>
      </c>
      <c r="J55" s="116" t="n">
        <v>36529</v>
      </c>
      <c r="K55" s="132" t="inlineStr">
        <is>
          <t>查看基金</t>
        </is>
      </c>
      <c r="L55" s="111">
        <f>H55/F55</f>
        <v/>
      </c>
      <c r="M55" s="134" t="n"/>
      <c r="N55" s="132" t="n"/>
      <c r="O55" s="134" t="n"/>
      <c r="P55" s="134" t="n"/>
      <c r="Q55" s="104" t="n"/>
      <c r="R55" s="132" t="n"/>
      <c r="S55" s="105" t="n"/>
      <c r="T55" s="134" t="n"/>
      <c r="U55" s="104" t="n"/>
      <c r="V55" s="104" t="n"/>
      <c r="W55" s="132" t="n"/>
      <c r="X55" s="134" t="n"/>
      <c r="Y55" s="132" t="n"/>
    </row>
    <row customHeight="1" ht="17" r="56" s="155">
      <c r="A56" s="115" t="inlineStr">
        <is>
          <t>si801734</t>
        </is>
      </c>
      <c r="B56" s="115" t="inlineStr">
        <is>
          <t>高低压设备(申万)</t>
        </is>
      </c>
      <c r="C56" s="115" t="n">
        <v>4415.89</v>
      </c>
      <c r="D56" s="115" t="n">
        <v>0.26</v>
      </c>
      <c r="E56" s="115" t="n">
        <v>0.93</v>
      </c>
      <c r="F56" s="115" t="n">
        <v>25.59</v>
      </c>
      <c r="G56" s="115" t="n">
        <v>0.04</v>
      </c>
      <c r="H56" s="115" t="n">
        <v>1.61</v>
      </c>
      <c r="I56" s="115" t="n">
        <v>0.02</v>
      </c>
      <c r="J56" s="116" t="n">
        <v>36529</v>
      </c>
      <c r="K56" s="132" t="inlineStr">
        <is>
          <t>查看基金</t>
        </is>
      </c>
      <c r="L56" s="111">
        <f>H56/F56</f>
        <v/>
      </c>
      <c r="M56" s="134" t="n"/>
      <c r="N56" s="132" t="n"/>
      <c r="O56" s="134" t="n"/>
      <c r="P56" s="134" t="n"/>
      <c r="Q56" s="104" t="n"/>
      <c r="R56" s="132" t="n"/>
      <c r="S56" s="105" t="n"/>
      <c r="T56" s="134" t="n"/>
      <c r="U56" s="104" t="n"/>
      <c r="V56" s="104" t="n"/>
      <c r="W56" s="132" t="n"/>
      <c r="X56" s="134" t="n"/>
      <c r="Y56" s="132" t="n"/>
    </row>
    <row customHeight="1" ht="17" r="57" s="155">
      <c r="A57" s="115" t="inlineStr">
        <is>
          <t>si801075</t>
        </is>
      </c>
      <c r="B57" s="115" t="inlineStr">
        <is>
          <t>金属制品Ⅱ(申万)</t>
        </is>
      </c>
      <c r="C57" s="115" t="n">
        <v>2909.16</v>
      </c>
      <c r="D57" s="115" t="n">
        <v>-0.6</v>
      </c>
      <c r="E57" s="115" t="n">
        <v>2.77</v>
      </c>
      <c r="F57" s="115" t="n">
        <v>35.68</v>
      </c>
      <c r="G57" s="115" t="n">
        <v>0.61</v>
      </c>
      <c r="H57" s="115" t="n">
        <v>1.23</v>
      </c>
      <c r="I57" s="115" t="n">
        <v>0.02</v>
      </c>
      <c r="J57" s="116" t="n">
        <v>39624</v>
      </c>
      <c r="K57" s="132" t="inlineStr">
        <is>
          <t>查看基金</t>
        </is>
      </c>
      <c r="L57" s="111">
        <f>H57/F57</f>
        <v/>
      </c>
      <c r="M57" s="134" t="n"/>
      <c r="N57" s="132" t="n"/>
      <c r="O57" s="134" t="n"/>
      <c r="P57" s="134" t="n"/>
      <c r="Q57" s="104" t="n"/>
      <c r="R57" s="132" t="n"/>
      <c r="S57" s="105" t="n"/>
      <c r="T57" s="134" t="n"/>
      <c r="U57" s="104" t="n"/>
      <c r="V57" s="104" t="n"/>
      <c r="W57" s="132" t="n"/>
      <c r="X57" s="134" t="n"/>
      <c r="Y57" s="132" t="n"/>
    </row>
    <row customHeight="1" ht="17" r="58" s="155">
      <c r="A58" s="115" t="inlineStr">
        <is>
          <t>sz399992</t>
        </is>
      </c>
      <c r="B58" s="115" t="inlineStr">
        <is>
          <t>CSWD并购</t>
        </is>
      </c>
      <c r="C58" s="115" t="n">
        <v>1390.04</v>
      </c>
      <c r="D58" s="115" t="n">
        <v>-0.08</v>
      </c>
      <c r="E58" s="115" t="n">
        <v>20.13</v>
      </c>
      <c r="F58" s="115" t="n">
        <v>15.6</v>
      </c>
      <c r="G58" s="115" t="n">
        <v>0.23</v>
      </c>
      <c r="H58" s="115" t="n">
        <v>1.59</v>
      </c>
      <c r="I58" s="115" t="n">
        <v>0.02</v>
      </c>
      <c r="J58" s="116" t="n">
        <v>42132</v>
      </c>
      <c r="K58" s="132" t="inlineStr">
        <is>
          <t>查看基金</t>
        </is>
      </c>
      <c r="L58" s="111">
        <f>H58/F58</f>
        <v/>
      </c>
      <c r="M58" s="134" t="n"/>
      <c r="N58" s="132" t="n"/>
      <c r="O58" s="134" t="n"/>
      <c r="P58" s="134" t="n"/>
      <c r="Q58" s="104" t="n"/>
      <c r="R58" s="132" t="n"/>
      <c r="S58" s="105" t="n"/>
      <c r="T58" s="134" t="n"/>
      <c r="U58" s="104" t="n"/>
      <c r="V58" s="104" t="n"/>
      <c r="W58" s="132" t="n"/>
      <c r="X58" s="134" t="n"/>
      <c r="Y58" s="132" t="n"/>
    </row>
    <row customHeight="1" ht="17" r="59" s="155">
      <c r="A59" s="115" t="inlineStr">
        <is>
          <t>sh000806</t>
        </is>
      </c>
      <c r="B59" s="115" t="inlineStr">
        <is>
          <t>消费服务</t>
        </is>
      </c>
      <c r="C59" s="115" t="n">
        <v>6098.52</v>
      </c>
      <c r="D59" s="115" t="n">
        <v>-0.32</v>
      </c>
      <c r="E59" s="115" t="n">
        <v>0.19</v>
      </c>
      <c r="F59" s="115" t="n">
        <v>9.140000000000001</v>
      </c>
      <c r="G59" s="115" t="n">
        <v>0.41</v>
      </c>
      <c r="H59" s="115" t="n">
        <v>1.21</v>
      </c>
      <c r="I59" s="115" t="n">
        <v>0.03</v>
      </c>
      <c r="J59" s="116" t="n">
        <v>40949</v>
      </c>
      <c r="K59" s="132" t="inlineStr">
        <is>
          <t>查看基金</t>
        </is>
      </c>
      <c r="L59" s="111">
        <f>H59/F59</f>
        <v/>
      </c>
      <c r="M59" s="134" t="n"/>
      <c r="N59" s="132" t="n"/>
      <c r="O59" s="134" t="n"/>
      <c r="P59" s="134" t="n"/>
      <c r="Q59" s="104" t="n"/>
      <c r="R59" s="132" t="n"/>
      <c r="S59" s="105" t="n"/>
      <c r="T59" s="134" t="n"/>
      <c r="U59" s="104" t="n"/>
      <c r="V59" s="104" t="n"/>
      <c r="W59" s="132" t="n"/>
      <c r="X59" s="134" t="n"/>
      <c r="Y59" s="132" t="n"/>
    </row>
    <row customHeight="1" ht="17" r="60" s="155">
      <c r="A60" s="115" t="inlineStr">
        <is>
          <t>si801094</t>
        </is>
      </c>
      <c r="B60" s="115" t="inlineStr">
        <is>
          <t>汽车整车(申万)</t>
        </is>
      </c>
      <c r="C60" s="115" t="n">
        <v>4245.5</v>
      </c>
      <c r="D60" s="115" t="n">
        <v>0.87</v>
      </c>
      <c r="E60" s="115" t="n">
        <v>0.43</v>
      </c>
      <c r="F60" s="115" t="n">
        <v>19</v>
      </c>
      <c r="G60" s="115" t="n">
        <v>0.6</v>
      </c>
      <c r="H60" s="115" t="n">
        <v>1.29</v>
      </c>
      <c r="I60" s="115" t="n">
        <v>0.03</v>
      </c>
      <c r="J60" s="116" t="n">
        <v>36529</v>
      </c>
      <c r="K60" s="132" t="inlineStr">
        <is>
          <t>查看基金</t>
        </is>
      </c>
      <c r="L60" s="111">
        <f>H60/F60</f>
        <v/>
      </c>
      <c r="M60" s="134" t="n"/>
      <c r="N60" s="132" t="n"/>
      <c r="O60" s="134" t="n"/>
      <c r="P60" s="134" t="n"/>
      <c r="Q60" s="104" t="n"/>
      <c r="R60" s="132" t="n"/>
      <c r="S60" s="105" t="n"/>
      <c r="T60" s="134" t="n"/>
      <c r="U60" s="104" t="n"/>
      <c r="V60" s="104" t="n"/>
      <c r="W60" s="132" t="n"/>
      <c r="X60" s="134" t="n"/>
      <c r="Y60" s="132" t="n"/>
    </row>
    <row customHeight="1" ht="17" r="61" s="155">
      <c r="A61" s="115" t="inlineStr">
        <is>
          <t>sh000032</t>
        </is>
      </c>
      <c r="B61" s="115" t="inlineStr">
        <is>
          <t>上证能源</t>
        </is>
      </c>
      <c r="C61" s="115" t="n">
        <v>1320.55</v>
      </c>
      <c r="D61" s="115" t="n">
        <v>-1.09</v>
      </c>
      <c r="E61" s="115" t="n">
        <v>7.74</v>
      </c>
      <c r="F61" s="115" t="n">
        <v>13.97</v>
      </c>
      <c r="G61" s="115" t="n">
        <v>0.3</v>
      </c>
      <c r="H61" s="115" t="n">
        <v>0.9</v>
      </c>
      <c r="I61" s="115" t="n">
        <v>0.03</v>
      </c>
      <c r="J61" s="116" t="n">
        <v>43179</v>
      </c>
      <c r="K61" s="132" t="inlineStr">
        <is>
          <t>查看基金</t>
        </is>
      </c>
      <c r="L61" s="111">
        <f>H61/F61</f>
        <v/>
      </c>
      <c r="M61" s="134" t="n"/>
      <c r="N61" s="132" t="n"/>
      <c r="O61" s="134" t="n"/>
      <c r="P61" s="134" t="n"/>
      <c r="Q61" s="104" t="n"/>
      <c r="R61" s="132" t="n"/>
      <c r="S61" s="105" t="n"/>
      <c r="T61" s="134" t="n"/>
      <c r="U61" s="104" t="n"/>
      <c r="V61" s="104" t="n"/>
      <c r="W61" s="132" t="n"/>
      <c r="X61" s="134" t="n"/>
      <c r="Y61" s="132" t="n"/>
    </row>
    <row customHeight="1" ht="17" r="62" s="155">
      <c r="A62" s="115" t="inlineStr">
        <is>
          <t>sz399416</t>
        </is>
      </c>
      <c r="B62" s="115" t="inlineStr">
        <is>
          <t>I300</t>
        </is>
      </c>
      <c r="C62" s="115" t="n">
        <v>3485.98</v>
      </c>
      <c r="D62" s="115" t="n">
        <v>0.31</v>
      </c>
      <c r="E62" s="115" t="n">
        <v>24.32</v>
      </c>
      <c r="F62" s="115" t="n">
        <v>8.449999999999999</v>
      </c>
      <c r="G62" s="115" t="n">
        <v>0.29</v>
      </c>
      <c r="H62" s="115" t="n">
        <v>1.08</v>
      </c>
      <c r="I62" s="115" t="n">
        <v>0.03</v>
      </c>
      <c r="J62" s="116" t="n">
        <v>43692</v>
      </c>
      <c r="K62" s="132" t="inlineStr">
        <is>
          <t>查看基金</t>
        </is>
      </c>
      <c r="L62" s="111">
        <f>H62/F62</f>
        <v/>
      </c>
      <c r="M62" s="134" t="n"/>
      <c r="N62" s="132" t="n"/>
      <c r="O62" s="134" t="n"/>
      <c r="P62" s="134" t="n"/>
      <c r="Q62" s="104" t="n"/>
      <c r="R62" s="132" t="n"/>
      <c r="S62" s="105" t="n"/>
      <c r="T62" s="134" t="n"/>
      <c r="U62" s="104" t="n"/>
      <c r="V62" s="104" t="n"/>
      <c r="W62" s="132" t="n"/>
      <c r="X62" s="134" t="n"/>
      <c r="Y62" s="132" t="n"/>
    </row>
    <row customHeight="1" ht="17" r="63" s="155">
      <c r="A63" s="115" t="inlineStr">
        <is>
          <t>sh000029</t>
        </is>
      </c>
      <c r="B63" s="115" t="inlineStr">
        <is>
          <t>180价值</t>
        </is>
      </c>
      <c r="C63" s="115" t="n">
        <v>4020.56</v>
      </c>
      <c r="D63" s="115" t="n">
        <v>-0.31</v>
      </c>
      <c r="E63" s="115" t="n">
        <v>15.07</v>
      </c>
      <c r="F63" s="115" t="n">
        <v>7.52</v>
      </c>
      <c r="G63" s="115" t="n">
        <v>0.18</v>
      </c>
      <c r="H63" s="115" t="n">
        <v>0.98</v>
      </c>
      <c r="I63" s="115" t="n">
        <v>0.03</v>
      </c>
      <c r="J63" s="116" t="n">
        <v>39822</v>
      </c>
      <c r="K63" s="132" t="inlineStr">
        <is>
          <t>查看基金</t>
        </is>
      </c>
      <c r="L63" s="111">
        <f>H63/F63</f>
        <v/>
      </c>
      <c r="M63" s="134" t="n"/>
      <c r="N63" s="132" t="n"/>
      <c r="O63" s="134" t="n"/>
      <c r="P63" s="134" t="n"/>
      <c r="Q63" s="104" t="n"/>
      <c r="R63" s="132" t="n"/>
      <c r="S63" s="105" t="n"/>
      <c r="T63" s="134" t="n"/>
      <c r="U63" s="104" t="n"/>
      <c r="V63" s="104" t="n"/>
      <c r="W63" s="132" t="n"/>
      <c r="X63" s="134" t="n"/>
      <c r="Y63" s="132" t="n"/>
    </row>
    <row customHeight="1" ht="17" r="64" s="155">
      <c r="A64" s="115" t="inlineStr">
        <is>
          <t>sh000021</t>
        </is>
      </c>
      <c r="B64" s="115" t="inlineStr">
        <is>
          <t>180治理</t>
        </is>
      </c>
      <c r="C64" s="115" t="n">
        <v>946.47</v>
      </c>
      <c r="D64" s="115" t="n">
        <v>-0.14</v>
      </c>
      <c r="E64" s="115" t="n">
        <v>16.99</v>
      </c>
      <c r="F64" s="115" t="n">
        <v>9.369999999999999</v>
      </c>
      <c r="G64" s="115" t="n">
        <v>0.28</v>
      </c>
      <c r="H64" s="115" t="n">
        <v>1.1</v>
      </c>
      <c r="I64" s="115" t="n">
        <v>0.03</v>
      </c>
      <c r="J64" s="116" t="n">
        <v>39701</v>
      </c>
      <c r="K64" s="132" t="inlineStr">
        <is>
          <t>查看基金</t>
        </is>
      </c>
      <c r="L64" s="111">
        <f>H64/F64</f>
        <v/>
      </c>
      <c r="M64" s="134" t="n"/>
      <c r="N64" s="132" t="n"/>
      <c r="O64" s="134" t="n"/>
      <c r="P64" s="134" t="n"/>
      <c r="Q64" s="104" t="n"/>
      <c r="R64" s="132" t="n"/>
      <c r="S64" s="105" t="n"/>
      <c r="T64" s="134" t="n"/>
      <c r="U64" s="104" t="n"/>
      <c r="V64" s="104" t="n"/>
      <c r="W64" s="132" t="n"/>
      <c r="X64" s="134" t="n"/>
      <c r="Y64" s="132" t="n"/>
    </row>
    <row customHeight="1" ht="17" r="65" s="155">
      <c r="A65" s="115" t="inlineStr">
        <is>
          <t>sh000905</t>
        </is>
      </c>
      <c r="B65" s="115" t="inlineStr">
        <is>
          <t>中证500</t>
        </is>
      </c>
      <c r="C65" s="115" t="n">
        <v>4882.16</v>
      </c>
      <c r="D65" s="115" t="n">
        <v>-0.39</v>
      </c>
      <c r="E65" s="115" t="n">
        <v>17.13</v>
      </c>
      <c r="F65" s="115" t="n">
        <v>25.51</v>
      </c>
      <c r="G65" s="115" t="n">
        <v>0.14</v>
      </c>
      <c r="H65" s="115" t="n">
        <v>1.76</v>
      </c>
      <c r="I65" s="115" t="n">
        <v>0.04</v>
      </c>
      <c r="J65" s="116" t="n">
        <v>39097</v>
      </c>
      <c r="K65" s="132" t="inlineStr">
        <is>
          <t>查看基金</t>
        </is>
      </c>
      <c r="L65" s="111">
        <f>H65/F65</f>
        <v/>
      </c>
      <c r="M65" s="134" t="n"/>
      <c r="N65" s="132" t="n"/>
      <c r="O65" s="134" t="n"/>
      <c r="P65" s="134" t="n"/>
      <c r="Q65" s="104" t="n"/>
      <c r="R65" s="132" t="n"/>
      <c r="S65" s="105" t="n"/>
      <c r="T65" s="134" t="n"/>
      <c r="U65" s="104" t="n"/>
      <c r="V65" s="104" t="n"/>
      <c r="W65" s="132" t="n"/>
      <c r="X65" s="134" t="n"/>
      <c r="Y65" s="132" t="n"/>
    </row>
    <row customHeight="1" ht="17" r="66" s="155">
      <c r="A66" s="115" t="inlineStr">
        <is>
          <t>si801760</t>
        </is>
      </c>
      <c r="B66" s="115" t="inlineStr">
        <is>
          <t>传媒(申万)</t>
        </is>
      </c>
      <c r="C66" s="115" t="n">
        <v>615.8200000000001</v>
      </c>
      <c r="D66" s="115" t="n">
        <v>0.07000000000000001</v>
      </c>
      <c r="E66" s="115" t="n">
        <v>9.74</v>
      </c>
      <c r="F66" s="115" t="n">
        <v>37.57</v>
      </c>
      <c r="G66" s="115" t="n">
        <v>0.19</v>
      </c>
      <c r="H66" s="115" t="n">
        <v>2.17</v>
      </c>
      <c r="I66" s="115" t="n">
        <v>0.04</v>
      </c>
      <c r="J66" s="116" t="n">
        <v>36529</v>
      </c>
      <c r="K66" s="132" t="inlineStr">
        <is>
          <t>查看基金</t>
        </is>
      </c>
      <c r="L66" s="111">
        <f>H66/F66</f>
        <v/>
      </c>
      <c r="M66" s="134" t="n"/>
      <c r="N66" s="132" t="n"/>
      <c r="O66" s="134" t="n"/>
      <c r="P66" s="134" t="n"/>
      <c r="Q66" s="104" t="n"/>
      <c r="R66" s="132" t="n"/>
      <c r="S66" s="105" t="n"/>
      <c r="T66" s="134" t="n"/>
      <c r="U66" s="104" t="n"/>
      <c r="V66" s="104" t="n"/>
      <c r="W66" s="132" t="n"/>
      <c r="X66" s="134" t="n"/>
      <c r="Y66" s="132" t="n"/>
    </row>
    <row customHeight="1" ht="17" r="67" s="155">
      <c r="A67" s="115" t="inlineStr">
        <is>
          <t>si801178</t>
        </is>
      </c>
      <c r="B67" s="115" t="inlineStr">
        <is>
          <t>物流Ⅱ(申万)</t>
        </is>
      </c>
      <c r="C67" s="115" t="n">
        <v>4592.34</v>
      </c>
      <c r="D67" s="115" t="n">
        <v>0.34</v>
      </c>
      <c r="E67" s="115" t="n">
        <v>6.03</v>
      </c>
      <c r="F67" s="115" t="n">
        <v>15.52</v>
      </c>
      <c r="G67" s="115" t="n">
        <v>0.09</v>
      </c>
      <c r="H67" s="115" t="n">
        <v>1.67</v>
      </c>
      <c r="I67" s="115" t="n">
        <v>0.04</v>
      </c>
      <c r="J67" s="116" t="n">
        <v>36529</v>
      </c>
      <c r="K67" s="132" t="inlineStr">
        <is>
          <t>查看基金</t>
        </is>
      </c>
      <c r="L67" s="111">
        <f>H67/F67</f>
        <v/>
      </c>
      <c r="M67" s="134" t="n"/>
      <c r="N67" s="132" t="n"/>
      <c r="O67" s="134" t="n"/>
      <c r="P67" s="134" t="n"/>
      <c r="Q67" s="104" t="n"/>
      <c r="R67" s="132" t="n"/>
      <c r="S67" s="105" t="n"/>
      <c r="T67" s="134" t="n"/>
      <c r="U67" s="104" t="n"/>
      <c r="V67" s="104" t="n"/>
      <c r="W67" s="132" t="n"/>
      <c r="X67" s="134" t="n"/>
      <c r="Y67" s="132" t="n"/>
    </row>
    <row customHeight="1" ht="17" r="68" s="155">
      <c r="A68" s="115" t="inlineStr">
        <is>
          <t>sz399807</t>
        </is>
      </c>
      <c r="B68" s="115" t="inlineStr">
        <is>
          <t>高铁产业</t>
        </is>
      </c>
      <c r="C68" s="115" t="n">
        <v>1349.44</v>
      </c>
      <c r="D68" s="115" t="n">
        <v>-0.54</v>
      </c>
      <c r="E68" s="115" t="n">
        <v>-6.05</v>
      </c>
      <c r="F68" s="115" t="n">
        <v>11.72</v>
      </c>
      <c r="G68" s="115" t="n">
        <v>0.01</v>
      </c>
      <c r="H68" s="115" t="n">
        <v>1.11</v>
      </c>
      <c r="I68" s="115" t="n">
        <v>0.04</v>
      </c>
      <c r="J68" s="116" t="n">
        <v>42024</v>
      </c>
      <c r="K68" s="132" t="inlineStr">
        <is>
          <t>查看基金</t>
        </is>
      </c>
      <c r="L68" s="111">
        <f>H68/F68</f>
        <v/>
      </c>
      <c r="M68" s="134" t="n"/>
      <c r="N68" s="132" t="n"/>
      <c r="O68" s="134" t="n"/>
      <c r="P68" s="134" t="n"/>
      <c r="Q68" s="104" t="n"/>
      <c r="R68" s="132" t="n"/>
      <c r="S68" s="105" t="n"/>
      <c r="T68" s="134" t="n"/>
      <c r="U68" s="104" t="n"/>
      <c r="V68" s="104" t="n"/>
      <c r="W68" s="132" t="n"/>
      <c r="X68" s="134" t="n"/>
      <c r="Y68" s="132" t="n"/>
    </row>
    <row customHeight="1" ht="17" r="69" s="155">
      <c r="A69" s="115" t="inlineStr">
        <is>
          <t>si801712</t>
        </is>
      </c>
      <c r="B69" s="115" t="inlineStr">
        <is>
          <t>玻璃制造Ⅱ(申万)</t>
        </is>
      </c>
      <c r="C69" s="115" t="n">
        <v>4309.47</v>
      </c>
      <c r="D69" s="115" t="n">
        <v>-0.63</v>
      </c>
      <c r="E69" s="115" t="n">
        <v>21.17</v>
      </c>
      <c r="F69" s="115" t="n">
        <v>22.23</v>
      </c>
      <c r="G69" s="115" t="n">
        <v>0.18</v>
      </c>
      <c r="H69" s="115" t="n">
        <v>1.54</v>
      </c>
      <c r="I69" s="115" t="n">
        <v>0.04</v>
      </c>
      <c r="J69" s="116" t="n">
        <v>36529</v>
      </c>
      <c r="K69" s="132" t="inlineStr">
        <is>
          <t>查看基金</t>
        </is>
      </c>
      <c r="L69" s="111">
        <f>H69/F69</f>
        <v/>
      </c>
      <c r="M69" s="134" t="n"/>
      <c r="N69" s="132" t="n"/>
      <c r="O69" s="134" t="n"/>
      <c r="P69" s="134" t="n"/>
      <c r="Q69" s="104" t="n"/>
      <c r="R69" s="132" t="n"/>
      <c r="S69" s="105" t="n"/>
      <c r="T69" s="134" t="n"/>
      <c r="U69" s="104" t="n"/>
      <c r="V69" s="104" t="n"/>
      <c r="W69" s="132" t="n"/>
      <c r="X69" s="134" t="n"/>
      <c r="Y69" s="132" t="n"/>
    </row>
    <row customHeight="1" ht="17" r="70" s="155">
      <c r="A70" s="115" t="inlineStr">
        <is>
          <t>si801022</t>
        </is>
      </c>
      <c r="B70" s="115" t="inlineStr">
        <is>
          <t>其他采掘Ⅱ(申万)</t>
        </is>
      </c>
      <c r="C70" s="115" t="n">
        <v>715.42</v>
      </c>
      <c r="D70" s="115" t="n">
        <v>-0.24</v>
      </c>
      <c r="E70" s="115" t="n">
        <v>4.72</v>
      </c>
      <c r="F70" s="115" t="n">
        <v>15.7</v>
      </c>
      <c r="G70" s="115" t="n">
        <v>0.05</v>
      </c>
      <c r="H70" s="115" t="n">
        <v>1.78</v>
      </c>
      <c r="I70" s="115" t="n">
        <v>0.04</v>
      </c>
      <c r="J70" s="116" t="n">
        <v>36529</v>
      </c>
      <c r="K70" s="132" t="inlineStr">
        <is>
          <t>查看基金</t>
        </is>
      </c>
      <c r="L70" s="111">
        <f>H70/F70</f>
        <v/>
      </c>
      <c r="M70" s="134" t="n"/>
      <c r="N70" s="132" t="n"/>
      <c r="O70" s="134" t="n"/>
      <c r="P70" s="134" t="n"/>
      <c r="Q70" s="104" t="n"/>
      <c r="R70" s="132" t="n"/>
      <c r="S70" s="105" t="n"/>
      <c r="T70" s="134" t="n"/>
      <c r="U70" s="104" t="n"/>
      <c r="V70" s="104" t="n"/>
      <c r="W70" s="132" t="n"/>
      <c r="X70" s="134" t="n"/>
      <c r="Y70" s="132" t="n"/>
    </row>
    <row customHeight="1" ht="17" r="71" s="155">
      <c r="A71" s="115" t="inlineStr">
        <is>
          <t>si801193</t>
        </is>
      </c>
      <c r="B71" s="115" t="inlineStr">
        <is>
          <t>券商Ⅱ(申万)</t>
        </is>
      </c>
      <c r="C71" s="115" t="n">
        <v>5529.7</v>
      </c>
      <c r="D71" s="115" t="n">
        <v>-0.09</v>
      </c>
      <c r="E71" s="115" t="n">
        <v>25.71</v>
      </c>
      <c r="F71" s="115" t="n">
        <v>24.43</v>
      </c>
      <c r="G71" s="115" t="n">
        <v>0.33</v>
      </c>
      <c r="H71" s="115" t="n">
        <v>1.42</v>
      </c>
      <c r="I71" s="115" t="n">
        <v>0.04</v>
      </c>
      <c r="J71" s="116" t="n">
        <v>36529</v>
      </c>
      <c r="K71" s="132" t="inlineStr">
        <is>
          <t>查看基金</t>
        </is>
      </c>
      <c r="L71" s="111">
        <f>H71/F71</f>
        <v/>
      </c>
      <c r="M71" s="134" t="n"/>
      <c r="N71" s="132" t="n"/>
      <c r="O71" s="134" t="n"/>
      <c r="P71" s="134" t="n"/>
      <c r="Q71" s="104" t="n"/>
      <c r="R71" s="132" t="n"/>
      <c r="S71" s="105" t="n"/>
      <c r="T71" s="134" t="n"/>
      <c r="U71" s="104" t="n"/>
      <c r="V71" s="104" t="n"/>
      <c r="W71" s="132" t="n"/>
      <c r="X71" s="134" t="n"/>
      <c r="Y71" s="132" t="n"/>
    </row>
    <row customHeight="1" ht="17" r="72" s="155">
      <c r="A72" s="115" t="inlineStr">
        <is>
          <t>hihsml25</t>
        </is>
      </c>
      <c r="B72" s="115" t="inlineStr">
        <is>
          <t>恒生中国(香港上市)25</t>
        </is>
      </c>
      <c r="C72" s="115" t="n">
        <v>9319.790000000001</v>
      </c>
      <c r="D72" s="115" t="n">
        <v>-0.04</v>
      </c>
      <c r="E72" s="115" t="n">
        <v>4.8</v>
      </c>
      <c r="F72" s="115" t="n">
        <v>8.52</v>
      </c>
      <c r="G72" s="115" t="n">
        <v>0.24</v>
      </c>
      <c r="H72" s="115" t="n">
        <v>0.97</v>
      </c>
      <c r="I72" s="115" t="n">
        <v>0.04</v>
      </c>
      <c r="J72" s="116" t="n">
        <v>38971</v>
      </c>
      <c r="K72" s="132" t="inlineStr">
        <is>
          <t>查看基金</t>
        </is>
      </c>
      <c r="L72" s="111">
        <f>H72/F72</f>
        <v/>
      </c>
      <c r="M72" s="134" t="n"/>
      <c r="N72" s="132" t="n"/>
      <c r="O72" s="134" t="n"/>
      <c r="P72" s="134" t="n"/>
      <c r="Q72" s="104" t="n"/>
      <c r="R72" s="132" t="n"/>
      <c r="S72" s="105" t="n"/>
      <c r="T72" s="134" t="n"/>
      <c r="U72" s="104" t="n"/>
      <c r="V72" s="104" t="n"/>
      <c r="W72" s="132" t="n"/>
      <c r="X72" s="134" t="n"/>
      <c r="Y72" s="132" t="n"/>
    </row>
    <row customHeight="1" ht="17" r="73" s="155">
      <c r="A73" s="115" t="inlineStr">
        <is>
          <t>sh000854</t>
        </is>
      </c>
      <c r="B73" s="115" t="inlineStr">
        <is>
          <t>中证500原料</t>
        </is>
      </c>
      <c r="C73" s="115" t="n">
        <v>3465.42</v>
      </c>
      <c r="D73" s="115" t="n">
        <v>-1.85</v>
      </c>
      <c r="E73" s="115" t="n">
        <v>6.15</v>
      </c>
      <c r="F73" s="115" t="n">
        <v>15.13</v>
      </c>
      <c r="G73" s="115" t="n">
        <v>0.23</v>
      </c>
      <c r="H73" s="115" t="n">
        <v>1.4</v>
      </c>
      <c r="I73" s="115" t="n">
        <v>0.04</v>
      </c>
      <c r="J73" s="116" t="n">
        <v>41584</v>
      </c>
      <c r="K73" s="132" t="inlineStr">
        <is>
          <t>查看基金</t>
        </is>
      </c>
      <c r="L73" s="111">
        <f>H73/F73</f>
        <v/>
      </c>
      <c r="M73" s="134" t="n"/>
      <c r="N73" s="132" t="n"/>
      <c r="O73" s="134" t="n"/>
      <c r="P73" s="134" t="n"/>
      <c r="Q73" s="104" t="n"/>
      <c r="R73" s="132" t="n"/>
      <c r="S73" s="105" t="n"/>
      <c r="T73" s="134" t="n"/>
      <c r="U73" s="104" t="n"/>
      <c r="V73" s="104" t="n"/>
      <c r="W73" s="132" t="n"/>
      <c r="X73" s="134" t="n"/>
      <c r="Y73" s="132" t="n"/>
    </row>
    <row customHeight="1" ht="17" r="74" s="155">
      <c r="A74" s="115" t="inlineStr">
        <is>
          <t>sh000001</t>
        </is>
      </c>
      <c r="B74" s="115" t="inlineStr">
        <is>
          <t>上证指数</t>
        </is>
      </c>
      <c r="C74" s="115" t="n">
        <v>2907.06</v>
      </c>
      <c r="D74" s="115" t="n">
        <v>0.03</v>
      </c>
      <c r="E74" s="115" t="n">
        <v>16.57</v>
      </c>
      <c r="F74" s="115" t="n">
        <v>12.66</v>
      </c>
      <c r="G74" s="115" t="n">
        <v>0.19</v>
      </c>
      <c r="H74" s="115" t="n">
        <v>1.35</v>
      </c>
      <c r="I74" s="115" t="n">
        <v>0.05</v>
      </c>
      <c r="J74" s="116" t="n">
        <v>36529</v>
      </c>
      <c r="K74" s="132" t="inlineStr">
        <is>
          <t>查看基金</t>
        </is>
      </c>
      <c r="L74" s="111">
        <f>H74/F74</f>
        <v/>
      </c>
      <c r="M74" s="134" t="n"/>
      <c r="N74" s="132" t="n"/>
      <c r="O74" s="134" t="n"/>
      <c r="P74" s="134" t="n"/>
      <c r="Q74" s="104" t="n"/>
      <c r="R74" s="132" t="n"/>
      <c r="S74" s="105" t="n"/>
      <c r="T74" s="134" t="n"/>
      <c r="U74" s="104" t="n"/>
      <c r="V74" s="104" t="n"/>
      <c r="W74" s="132" t="n"/>
      <c r="X74" s="134" t="n"/>
      <c r="Y74" s="132" t="n"/>
    </row>
    <row customHeight="1" ht="17" r="75" s="155">
      <c r="A75" s="115" t="inlineStr">
        <is>
          <t>hihsi</t>
        </is>
      </c>
      <c r="B75" s="115" t="inlineStr">
        <is>
          <t>恒生指数</t>
        </is>
      </c>
      <c r="C75" s="115" t="n">
        <v>26913.92</v>
      </c>
      <c r="D75" s="115" t="n">
        <v>-0.29</v>
      </c>
      <c r="E75" s="115" t="n">
        <v>4.13</v>
      </c>
      <c r="F75" s="115" t="n">
        <v>9.68</v>
      </c>
      <c r="G75" s="115" t="n">
        <v>0.25</v>
      </c>
      <c r="H75" s="115" t="n">
        <v>1.03</v>
      </c>
      <c r="I75" s="115" t="n">
        <v>0.05</v>
      </c>
      <c r="J75" s="116" t="n">
        <v>37438</v>
      </c>
      <c r="K75" s="132" t="inlineStr">
        <is>
          <t>查看基金</t>
        </is>
      </c>
      <c r="L75" s="111">
        <f>H75/F75</f>
        <v/>
      </c>
      <c r="M75" s="134" t="n"/>
      <c r="N75" s="132" t="n"/>
      <c r="O75" s="134" t="n"/>
      <c r="P75" s="134" t="n"/>
      <c r="Q75" s="104" t="n"/>
      <c r="R75" s="132" t="n"/>
      <c r="S75" s="105" t="n"/>
      <c r="T75" s="134" t="n"/>
      <c r="U75" s="104" t="n"/>
      <c r="V75" s="104" t="n"/>
      <c r="W75" s="132" t="n"/>
      <c r="X75" s="134" t="n"/>
      <c r="Y75" s="132" t="n"/>
    </row>
    <row customHeight="1" ht="17" r="76" s="155">
      <c r="A76" s="115" t="inlineStr">
        <is>
          <t>sh000984</t>
        </is>
      </c>
      <c r="B76" s="115" t="inlineStr">
        <is>
          <t>300等权</t>
        </is>
      </c>
      <c r="C76" s="115" t="n">
        <v>3786.41</v>
      </c>
      <c r="D76" s="115" t="n">
        <v>0.6</v>
      </c>
      <c r="E76" s="115" t="n">
        <v>23.04</v>
      </c>
      <c r="F76" s="115" t="n">
        <v>11.82</v>
      </c>
      <c r="G76" s="115" t="n">
        <v>0.11</v>
      </c>
      <c r="H76" s="115" t="n">
        <v>1.42</v>
      </c>
      <c r="I76" s="115" t="n">
        <v>0.05</v>
      </c>
      <c r="J76" s="116" t="n">
        <v>43682</v>
      </c>
      <c r="K76" s="132" t="inlineStr">
        <is>
          <t>查看基金</t>
        </is>
      </c>
      <c r="L76" s="111">
        <f>H76/F76</f>
        <v/>
      </c>
      <c r="M76" s="134" t="n"/>
      <c r="N76" s="132" t="n"/>
      <c r="O76" s="134" t="n"/>
      <c r="P76" s="134" t="n"/>
      <c r="Q76" s="104" t="n"/>
      <c r="R76" s="132" t="n"/>
      <c r="S76" s="105" t="n"/>
      <c r="T76" s="134" t="n"/>
      <c r="U76" s="104" t="n"/>
      <c r="V76" s="104" t="n"/>
      <c r="W76" s="132" t="n"/>
      <c r="X76" s="134" t="n"/>
      <c r="Y76" s="132" t="n"/>
    </row>
    <row customHeight="1" ht="17" r="77" s="155">
      <c r="A77" s="115" t="inlineStr">
        <is>
          <t>si801030</t>
        </is>
      </c>
      <c r="B77" s="115" t="inlineStr">
        <is>
          <t>化工(申万)</t>
        </is>
      </c>
      <c r="C77" s="115" t="n">
        <v>2467.49</v>
      </c>
      <c r="D77" s="115" t="n">
        <v>-0.08</v>
      </c>
      <c r="E77" s="115" t="n">
        <v>13.38</v>
      </c>
      <c r="F77" s="115" t="n">
        <v>19.54</v>
      </c>
      <c r="G77" s="115" t="n">
        <v>0.15</v>
      </c>
      <c r="H77" s="115" t="n">
        <v>1.72</v>
      </c>
      <c r="I77" s="115" t="n">
        <v>0.05</v>
      </c>
      <c r="J77" s="116" t="n">
        <v>36529</v>
      </c>
      <c r="K77" s="132" t="inlineStr">
        <is>
          <t>查看基金</t>
        </is>
      </c>
      <c r="L77" s="111">
        <f>H77/F77</f>
        <v/>
      </c>
      <c r="M77" s="134" t="n"/>
      <c r="N77" s="132" t="n"/>
      <c r="O77" s="134" t="n"/>
      <c r="P77" s="134" t="n"/>
      <c r="Q77" s="104" t="n"/>
      <c r="R77" s="132" t="n"/>
      <c r="S77" s="105" t="n"/>
      <c r="T77" s="134" t="n"/>
      <c r="U77" s="104" t="n"/>
      <c r="V77" s="104" t="n"/>
      <c r="W77" s="132" t="n"/>
      <c r="X77" s="134" t="n"/>
      <c r="Y77" s="132" t="n"/>
    </row>
    <row customHeight="1" ht="17" r="78" s="155">
      <c r="A78" s="115" t="inlineStr">
        <is>
          <t>sz399802</t>
        </is>
      </c>
      <c r="B78" s="115" t="inlineStr">
        <is>
          <t>500深市</t>
        </is>
      </c>
      <c r="C78" s="115" t="n">
        <v>4390.17</v>
      </c>
      <c r="D78" s="115" t="n">
        <v>-0.3</v>
      </c>
      <c r="E78" s="115" t="n">
        <v>16.89</v>
      </c>
      <c r="F78" s="115" t="n">
        <v>31.09</v>
      </c>
      <c r="G78" s="115" t="n">
        <v>0.38</v>
      </c>
      <c r="H78" s="115" t="n">
        <v>1.86</v>
      </c>
      <c r="I78" s="115" t="n">
        <v>0.05</v>
      </c>
      <c r="J78" s="116" t="n">
        <v>41157</v>
      </c>
      <c r="K78" s="132" t="inlineStr">
        <is>
          <t>查看基金</t>
        </is>
      </c>
      <c r="L78" s="111">
        <f>H78/F78</f>
        <v/>
      </c>
      <c r="M78" s="134" t="n"/>
      <c r="N78" s="132" t="n"/>
      <c r="O78" s="134" t="n"/>
      <c r="P78" s="134" t="n"/>
      <c r="Q78" s="104" t="n"/>
      <c r="R78" s="132" t="n"/>
      <c r="S78" s="105" t="n"/>
      <c r="T78" s="134" t="n"/>
      <c r="U78" s="104" t="n"/>
      <c r="V78" s="104" t="n"/>
      <c r="W78" s="132" t="n"/>
      <c r="X78" s="134" t="n"/>
      <c r="Y78" s="132" t="n"/>
    </row>
    <row customHeight="1" ht="17" r="79" s="155">
      <c r="A79" s="115" t="inlineStr">
        <is>
          <t>sh000982</t>
        </is>
      </c>
      <c r="B79" s="115" t="inlineStr">
        <is>
          <t>500等权</t>
        </is>
      </c>
      <c r="C79" s="115" t="n">
        <v>5765.92</v>
      </c>
      <c r="D79" s="115" t="n">
        <v>-0.41</v>
      </c>
      <c r="E79" s="115" t="n">
        <v>15.47</v>
      </c>
      <c r="F79" s="115" t="n">
        <v>25.51</v>
      </c>
      <c r="G79" s="115" t="n">
        <v>0.15</v>
      </c>
      <c r="H79" s="115" t="n">
        <v>1.76</v>
      </c>
      <c r="I79" s="115" t="n">
        <v>0.05</v>
      </c>
      <c r="J79" s="116" t="n">
        <v>40707</v>
      </c>
      <c r="K79" s="132" t="inlineStr">
        <is>
          <t>查看基金</t>
        </is>
      </c>
      <c r="L79" s="111">
        <f>H79/F79</f>
        <v/>
      </c>
      <c r="M79" s="134" t="n"/>
      <c r="N79" s="132" t="n"/>
      <c r="O79" s="134" t="n"/>
      <c r="P79" s="134" t="n"/>
      <c r="Q79" s="104" t="n"/>
      <c r="R79" s="132" t="n"/>
      <c r="S79" s="105" t="n"/>
      <c r="T79" s="134" t="n"/>
      <c r="U79" s="104" t="n"/>
      <c r="V79" s="104" t="n"/>
      <c r="W79" s="132" t="n"/>
      <c r="X79" s="134" t="n"/>
      <c r="Y79" s="132" t="n"/>
    </row>
    <row customHeight="1" ht="17" r="80" s="155">
      <c r="A80" s="115" t="inlineStr">
        <is>
          <t>si801175</t>
        </is>
      </c>
      <c r="B80" s="115" t="inlineStr">
        <is>
          <t>高速公路Ⅱ(申万)</t>
        </is>
      </c>
      <c r="C80" s="115" t="n">
        <v>1856.87</v>
      </c>
      <c r="D80" s="115" t="n">
        <v>-0.15</v>
      </c>
      <c r="E80" s="115" t="n">
        <v>6.17</v>
      </c>
      <c r="F80" s="115" t="n">
        <v>9.19</v>
      </c>
      <c r="G80" s="115" t="n">
        <v>0.01</v>
      </c>
      <c r="H80" s="115" t="n">
        <v>0.97</v>
      </c>
      <c r="I80" s="115" t="n">
        <v>0.05</v>
      </c>
      <c r="J80" s="116" t="n">
        <v>36529</v>
      </c>
      <c r="K80" s="132" t="inlineStr">
        <is>
          <t>查看基金</t>
        </is>
      </c>
      <c r="L80" s="111">
        <f>H80/F80</f>
        <v/>
      </c>
      <c r="M80" s="134" t="n"/>
      <c r="N80" s="132" t="n"/>
      <c r="O80" s="134" t="n"/>
      <c r="P80" s="134" t="n"/>
      <c r="Q80" s="104" t="n"/>
      <c r="R80" s="132" t="n"/>
      <c r="S80" s="105" t="n"/>
      <c r="T80" s="134" t="n"/>
      <c r="U80" s="104" t="n"/>
      <c r="V80" s="104" t="n"/>
      <c r="W80" s="132" t="n"/>
      <c r="X80" s="134" t="n"/>
      <c r="Y80" s="132" t="n"/>
    </row>
    <row customHeight="1" ht="17" r="81" s="155">
      <c r="A81" s="115" t="inlineStr">
        <is>
          <t>si801015</t>
        </is>
      </c>
      <c r="B81" s="115" t="inlineStr">
        <is>
          <t>渔业(申万)</t>
        </is>
      </c>
      <c r="C81" s="115" t="n">
        <v>778.91</v>
      </c>
      <c r="D81" s="115" t="n">
        <v>-0.18</v>
      </c>
      <c r="E81" s="115" t="n">
        <v>-13.26</v>
      </c>
      <c r="F81" s="115" t="n">
        <v>110.3</v>
      </c>
      <c r="G81" s="115" t="n">
        <v>0.89</v>
      </c>
      <c r="H81" s="115" t="n">
        <v>1.41</v>
      </c>
      <c r="I81" s="115" t="n">
        <v>0.05</v>
      </c>
      <c r="J81" s="116" t="n">
        <v>36529</v>
      </c>
      <c r="K81" s="132" t="inlineStr">
        <is>
          <t>查看基金</t>
        </is>
      </c>
      <c r="L81" s="111">
        <f>H81/F81</f>
        <v/>
      </c>
      <c r="M81" s="134" t="n"/>
      <c r="N81" s="132" t="n"/>
      <c r="O81" s="134" t="n"/>
      <c r="P81" s="134" t="n"/>
      <c r="Q81" s="104" t="n"/>
      <c r="R81" s="132" t="n"/>
      <c r="S81" s="105" t="n"/>
      <c r="T81" s="134" t="n"/>
      <c r="U81" s="104" t="n"/>
      <c r="V81" s="104" t="n"/>
      <c r="W81" s="132" t="n"/>
      <c r="X81" s="134" t="n"/>
      <c r="Y81" s="132" t="n"/>
    </row>
    <row customHeight="1" ht="17" r="82" s="155">
      <c r="A82" s="115" t="inlineStr">
        <is>
          <t>sz399440</t>
        </is>
      </c>
      <c r="B82" s="115" t="inlineStr">
        <is>
          <t>国证钢铁</t>
        </is>
      </c>
      <c r="C82" s="115" t="n">
        <v>1139.33</v>
      </c>
      <c r="D82" s="115" t="n">
        <v>-2.5</v>
      </c>
      <c r="E82" s="115" t="n">
        <v>-5.91</v>
      </c>
      <c r="F82" s="115" t="n">
        <v>10.37</v>
      </c>
      <c r="G82" s="115" t="n">
        <v>0.44</v>
      </c>
      <c r="H82" s="115" t="n">
        <v>0.93</v>
      </c>
      <c r="I82" s="115" t="n">
        <v>0.05</v>
      </c>
      <c r="J82" s="116" t="n">
        <v>42003</v>
      </c>
      <c r="K82" s="132" t="inlineStr">
        <is>
          <t>查看基金</t>
        </is>
      </c>
      <c r="L82" s="111">
        <f>H82/F82</f>
        <v/>
      </c>
      <c r="M82" s="134" t="n"/>
      <c r="N82" s="132" t="n"/>
      <c r="O82" s="134" t="n"/>
      <c r="P82" s="134" t="n"/>
      <c r="Q82" s="104" t="n"/>
      <c r="R82" s="132" t="n"/>
      <c r="S82" s="105" t="n"/>
      <c r="T82" s="134" t="n"/>
      <c r="U82" s="104" t="n"/>
      <c r="V82" s="104" t="n"/>
      <c r="W82" s="132" t="n"/>
      <c r="X82" s="134" t="n"/>
      <c r="Y82" s="132" t="n"/>
    </row>
    <row customHeight="1" ht="17" r="83" s="155">
      <c r="A83" s="115" t="inlineStr">
        <is>
          <t>csi000922</t>
        </is>
      </c>
      <c r="B83" s="115" t="inlineStr">
        <is>
          <t>中证红利</t>
        </is>
      </c>
      <c r="C83" s="115" t="n">
        <v>4226.17</v>
      </c>
      <c r="D83" s="115" t="n">
        <v>-0.21</v>
      </c>
      <c r="E83" s="115" t="n">
        <v>10.15</v>
      </c>
      <c r="F83" s="115" t="n">
        <v>7.86</v>
      </c>
      <c r="G83" s="115" t="n">
        <v>0.35</v>
      </c>
      <c r="H83" s="115" t="n">
        <v>1</v>
      </c>
      <c r="I83" s="115" t="n">
        <v>0.05</v>
      </c>
      <c r="J83" s="116" t="n">
        <v>43577</v>
      </c>
      <c r="K83" s="132" t="inlineStr">
        <is>
          <t>查看基金</t>
        </is>
      </c>
      <c r="L83" s="111">
        <f>H83/F83</f>
        <v/>
      </c>
      <c r="M83" s="134" t="n"/>
      <c r="N83" s="132" t="n"/>
      <c r="O83" s="134" t="n"/>
      <c r="P83" s="134" t="n"/>
      <c r="Q83" s="104" t="n"/>
      <c r="R83" s="132" t="n"/>
      <c r="S83" s="105" t="n"/>
      <c r="T83" s="134" t="n"/>
      <c r="U83" s="104" t="n"/>
      <c r="V83" s="104" t="n"/>
      <c r="W83" s="132" t="n"/>
      <c r="X83" s="134" t="n"/>
      <c r="Y83" s="132" t="n"/>
    </row>
    <row customHeight="1" ht="17" r="84" s="155">
      <c r="A84" s="115" t="inlineStr">
        <is>
          <t>sz399429</t>
        </is>
      </c>
      <c r="B84" s="115" t="inlineStr">
        <is>
          <t>新丝路</t>
        </is>
      </c>
      <c r="C84" s="115" t="n">
        <v>1052.65</v>
      </c>
      <c r="D84" s="115" t="n">
        <v>-0.06</v>
      </c>
      <c r="E84" s="115" t="n">
        <v>12.13</v>
      </c>
      <c r="F84" s="115" t="n">
        <v>22.43</v>
      </c>
      <c r="G84" s="115" t="n">
        <v>0.21</v>
      </c>
      <c r="H84" s="115" t="n">
        <v>1.5</v>
      </c>
      <c r="I84" s="115" t="n">
        <v>0.05</v>
      </c>
      <c r="J84" s="116" t="n">
        <v>42012</v>
      </c>
      <c r="K84" s="132" t="inlineStr">
        <is>
          <t>查看基金</t>
        </is>
      </c>
      <c r="L84" s="111">
        <f>H84/F84</f>
        <v/>
      </c>
      <c r="M84" s="134" t="n"/>
      <c r="N84" s="132" t="n"/>
      <c r="O84" s="134" t="n"/>
      <c r="P84" s="134" t="n"/>
      <c r="Q84" s="104" t="n"/>
      <c r="R84" s="132" t="n"/>
      <c r="S84" s="105" t="n"/>
      <c r="T84" s="134" t="n"/>
      <c r="U84" s="104" t="n"/>
      <c r="V84" s="104" t="n"/>
      <c r="W84" s="132" t="n"/>
      <c r="X84" s="134" t="n"/>
      <c r="Y84" s="132" t="n"/>
    </row>
    <row customHeight="1" ht="17" r="85" s="155">
      <c r="A85" s="115" t="inlineStr">
        <is>
          <t>sh000904</t>
        </is>
      </c>
      <c r="B85" s="115" t="inlineStr">
        <is>
          <t>中证200</t>
        </is>
      </c>
      <c r="C85" s="115" t="n">
        <v>3807.81</v>
      </c>
      <c r="D85" s="115" t="n">
        <v>0.91</v>
      </c>
      <c r="E85" s="115" t="n">
        <v>27.89</v>
      </c>
      <c r="F85" s="115" t="n">
        <v>15.55</v>
      </c>
      <c r="G85" s="115" t="n">
        <v>0.09</v>
      </c>
      <c r="H85" s="115" t="n">
        <v>1.69</v>
      </c>
      <c r="I85" s="115" t="n">
        <v>0.06</v>
      </c>
      <c r="J85" s="116" t="n">
        <v>39097</v>
      </c>
      <c r="K85" s="132" t="inlineStr">
        <is>
          <t>查看基金</t>
        </is>
      </c>
      <c r="L85" s="111">
        <f>H85/F85</f>
        <v/>
      </c>
      <c r="M85" s="134" t="n"/>
      <c r="N85" s="132" t="n"/>
      <c r="O85" s="134" t="n"/>
      <c r="P85" s="134" t="n"/>
      <c r="Q85" s="104" t="n"/>
      <c r="R85" s="132" t="n"/>
      <c r="S85" s="105" t="n"/>
      <c r="T85" s="134" t="n"/>
      <c r="U85" s="104" t="n"/>
      <c r="V85" s="104" t="n"/>
      <c r="W85" s="132" t="n"/>
      <c r="X85" s="134" t="n"/>
      <c r="Y85" s="132" t="n"/>
    </row>
    <row customHeight="1" ht="17" r="86" s="155">
      <c r="A86" s="115" t="inlineStr">
        <is>
          <t>si801730</t>
        </is>
      </c>
      <c r="B86" s="115" t="inlineStr">
        <is>
          <t>电气设备(申万)</t>
        </is>
      </c>
      <c r="C86" s="115" t="n">
        <v>4037.7</v>
      </c>
      <c r="D86" s="115" t="n">
        <v>0.76</v>
      </c>
      <c r="E86" s="115" t="n">
        <v>15.33</v>
      </c>
      <c r="F86" s="115" t="n">
        <v>29.95</v>
      </c>
      <c r="G86" s="115" t="n">
        <v>0.16</v>
      </c>
      <c r="H86" s="115" t="n">
        <v>2.03</v>
      </c>
      <c r="I86" s="115" t="n">
        <v>0.06</v>
      </c>
      <c r="J86" s="116" t="n">
        <v>36529</v>
      </c>
      <c r="K86" s="132" t="inlineStr">
        <is>
          <t>查看基金</t>
        </is>
      </c>
      <c r="L86" s="111">
        <f>H86/F86</f>
        <v/>
      </c>
      <c r="M86" s="134" t="n"/>
      <c r="N86" s="132" t="n"/>
      <c r="O86" s="134" t="n"/>
      <c r="P86" s="134" t="n"/>
      <c r="Q86" s="104" t="n"/>
      <c r="R86" s="132" t="n"/>
      <c r="S86" s="105" t="n"/>
      <c r="T86" s="134" t="n"/>
      <c r="U86" s="104" t="n"/>
      <c r="V86" s="104" t="n"/>
      <c r="W86" s="132" t="n"/>
      <c r="X86" s="134" t="n"/>
      <c r="Y86" s="132" t="n"/>
    </row>
    <row customHeight="1" ht="17" r="87" s="155">
      <c r="A87" s="115" t="inlineStr">
        <is>
          <t>si801741</t>
        </is>
      </c>
      <c r="B87" s="115" t="inlineStr">
        <is>
          <t>航天装备Ⅱ(申万)</t>
        </is>
      </c>
      <c r="C87" s="115" t="n">
        <v>7081.94</v>
      </c>
      <c r="D87" s="115" t="n">
        <v>-0.47</v>
      </c>
      <c r="E87" s="115" t="n">
        <v>16.31</v>
      </c>
      <c r="F87" s="115" t="n">
        <v>60.58</v>
      </c>
      <c r="G87" s="115" t="n">
        <v>0.37</v>
      </c>
      <c r="H87" s="115" t="n">
        <v>2.59</v>
      </c>
      <c r="I87" s="115" t="n">
        <v>0.06</v>
      </c>
      <c r="J87" s="116" t="n">
        <v>39265</v>
      </c>
      <c r="K87" s="132" t="inlineStr">
        <is>
          <t>查看基金</t>
        </is>
      </c>
      <c r="L87" s="111">
        <f>H87/F87</f>
        <v/>
      </c>
      <c r="M87" s="134" t="n"/>
      <c r="N87" s="132" t="n"/>
      <c r="O87" s="134" t="n"/>
      <c r="P87" s="134" t="n"/>
      <c r="Q87" s="104" t="n"/>
      <c r="R87" s="132" t="n"/>
      <c r="S87" s="105" t="n"/>
      <c r="T87" s="134" t="n"/>
      <c r="U87" s="104" t="n"/>
      <c r="V87" s="104" t="n"/>
      <c r="W87" s="132" t="n"/>
      <c r="X87" s="134" t="n"/>
      <c r="Y87" s="132" t="n"/>
    </row>
    <row customHeight="1" ht="17" r="88" s="155">
      <c r="A88" s="115" t="inlineStr">
        <is>
          <t>sh000989</t>
        </is>
      </c>
      <c r="B88" s="115" t="inlineStr">
        <is>
          <t>全指可选</t>
        </is>
      </c>
      <c r="C88" s="115" t="n">
        <v>4231.14</v>
      </c>
      <c r="D88" s="115" t="n">
        <v>0.35</v>
      </c>
      <c r="E88" s="115" t="n">
        <v>14.65</v>
      </c>
      <c r="F88" s="115" t="n">
        <v>26.48</v>
      </c>
      <c r="G88" s="115" t="n">
        <v>0.76</v>
      </c>
      <c r="H88" s="115" t="n">
        <v>1.9</v>
      </c>
      <c r="I88" s="115" t="n">
        <v>0.06</v>
      </c>
      <c r="J88" s="116" t="n">
        <v>40757</v>
      </c>
      <c r="K88" s="132" t="inlineStr">
        <is>
          <t>查看基金</t>
        </is>
      </c>
      <c r="L88" s="111">
        <f>H88/F88</f>
        <v/>
      </c>
      <c r="M88" s="134" t="n"/>
      <c r="N88" s="132" t="n"/>
      <c r="O88" s="134" t="n"/>
      <c r="P88" s="134" t="n"/>
      <c r="Q88" s="104" t="n"/>
      <c r="R88" s="132" t="n"/>
      <c r="S88" s="105" t="n"/>
      <c r="T88" s="134" t="n"/>
      <c r="U88" s="104" t="n"/>
      <c r="V88" s="104" t="n"/>
      <c r="W88" s="132" t="n"/>
      <c r="X88" s="134" t="n"/>
      <c r="Y88" s="132" t="n"/>
    </row>
    <row customHeight="1" ht="17" r="89" s="155">
      <c r="A89" s="115" t="inlineStr">
        <is>
          <t>csih30165</t>
        </is>
      </c>
      <c r="B89" s="115" t="inlineStr">
        <is>
          <t>中证全指房地产</t>
        </is>
      </c>
      <c r="C89" s="115" t="n">
        <v>5416.21</v>
      </c>
      <c r="D89" s="115" t="n">
        <v>-0.47</v>
      </c>
      <c r="E89" s="115" t="n">
        <v>12.28</v>
      </c>
      <c r="F89" s="115" t="n">
        <v>8.880000000000001</v>
      </c>
      <c r="G89" s="115" t="n">
        <v>0.05</v>
      </c>
      <c r="H89" s="115" t="n">
        <v>1.36</v>
      </c>
      <c r="I89" s="115" t="n">
        <v>0.06</v>
      </c>
      <c r="J89" s="116" t="n">
        <v>41470</v>
      </c>
      <c r="K89" s="132" t="inlineStr">
        <is>
          <t>查看基金</t>
        </is>
      </c>
      <c r="L89" s="111">
        <f>H89/F89</f>
        <v/>
      </c>
      <c r="M89" s="134" t="n"/>
      <c r="N89" s="132" t="n"/>
      <c r="O89" s="134" t="n"/>
      <c r="P89" s="134" t="n"/>
      <c r="Q89" s="104" t="n"/>
      <c r="R89" s="132" t="n"/>
      <c r="S89" s="105" t="n"/>
      <c r="T89" s="134" t="n"/>
      <c r="U89" s="104" t="n"/>
      <c r="V89" s="104" t="n"/>
      <c r="W89" s="132" t="n"/>
      <c r="X89" s="134" t="n"/>
      <c r="Y89" s="132" t="n"/>
    </row>
    <row customHeight="1" ht="17" r="90" s="155">
      <c r="A90" s="115" t="inlineStr">
        <is>
          <t>si801131</t>
        </is>
      </c>
      <c r="B90" s="115" t="inlineStr">
        <is>
          <t>纺织制造(申万)</t>
        </is>
      </c>
      <c r="C90" s="115" t="n">
        <v>1947.95</v>
      </c>
      <c r="D90" s="115" t="n">
        <v>0.63</v>
      </c>
      <c r="E90" s="115" t="n">
        <v>1.94</v>
      </c>
      <c r="F90" s="115" t="n">
        <v>18.92</v>
      </c>
      <c r="G90" s="115" t="n">
        <v>0.05</v>
      </c>
      <c r="H90" s="115" t="n">
        <v>1.42</v>
      </c>
      <c r="I90" s="115" t="n">
        <v>0.06</v>
      </c>
      <c r="J90" s="116" t="n">
        <v>36529</v>
      </c>
      <c r="K90" s="132" t="inlineStr">
        <is>
          <t>查看基金</t>
        </is>
      </c>
      <c r="L90" s="111">
        <f>H90/F90</f>
        <v/>
      </c>
      <c r="M90" s="134" t="n"/>
      <c r="N90" s="132" t="n"/>
      <c r="O90" s="134" t="n"/>
      <c r="P90" s="134" t="n"/>
      <c r="Q90" s="104" t="n"/>
      <c r="R90" s="132" t="n"/>
      <c r="S90" s="105" t="n"/>
      <c r="T90" s="134" t="n"/>
      <c r="U90" s="104" t="n"/>
      <c r="V90" s="104" t="n"/>
      <c r="W90" s="132" t="n"/>
      <c r="X90" s="134" t="n"/>
      <c r="Y90" s="132" t="n"/>
    </row>
    <row customHeight="1" ht="17" r="91" s="155">
      <c r="A91" s="115" t="inlineStr">
        <is>
          <t>si801731</t>
        </is>
      </c>
      <c r="B91" s="115" t="inlineStr">
        <is>
          <t>电机Ⅱ(申万)</t>
        </is>
      </c>
      <c r="C91" s="115" t="n">
        <v>4250.11</v>
      </c>
      <c r="D91" s="115" t="n">
        <v>-0.53</v>
      </c>
      <c r="E91" s="115" t="n">
        <v>0.6</v>
      </c>
      <c r="F91" s="115" t="n">
        <v>29.19</v>
      </c>
      <c r="G91" s="115" t="n">
        <v>0.18</v>
      </c>
      <c r="H91" s="115" t="n">
        <v>1.67</v>
      </c>
      <c r="I91" s="115" t="n">
        <v>0.06</v>
      </c>
      <c r="J91" s="116" t="n">
        <v>36529</v>
      </c>
      <c r="K91" s="132" t="inlineStr">
        <is>
          <t>查看基金</t>
        </is>
      </c>
      <c r="L91" s="111">
        <f>H91/F91</f>
        <v/>
      </c>
      <c r="M91" s="134" t="n"/>
      <c r="N91" s="132" t="n"/>
      <c r="O91" s="134" t="n"/>
      <c r="P91" s="134" t="n"/>
      <c r="Q91" s="104" t="n"/>
      <c r="R91" s="132" t="n"/>
      <c r="S91" s="105" t="n"/>
      <c r="T91" s="134" t="n"/>
      <c r="U91" s="104" t="n"/>
      <c r="V91" s="104" t="n"/>
      <c r="W91" s="132" t="n"/>
      <c r="X91" s="134" t="n"/>
      <c r="Y91" s="132" t="n"/>
    </row>
    <row customHeight="1" ht="17" r="92" s="155">
      <c r="A92" s="115" t="inlineStr">
        <is>
          <t>si801024</t>
        </is>
      </c>
      <c r="B92" s="115" t="inlineStr">
        <is>
          <t>采掘服务Ⅱ(申万)</t>
        </is>
      </c>
      <c r="C92" s="115" t="n">
        <v>4242.8</v>
      </c>
      <c r="D92" s="115" t="n">
        <v>-0.32</v>
      </c>
      <c r="E92" s="115" t="n">
        <v>15.56</v>
      </c>
      <c r="F92" s="115" t="n">
        <v>51.52</v>
      </c>
      <c r="G92" s="115" t="n">
        <v>0.84</v>
      </c>
      <c r="H92" s="115" t="n">
        <v>1.57</v>
      </c>
      <c r="I92" s="115" t="n">
        <v>0.06</v>
      </c>
      <c r="J92" s="116" t="n">
        <v>37313</v>
      </c>
      <c r="K92" s="132" t="inlineStr">
        <is>
          <t>查看基金</t>
        </is>
      </c>
      <c r="L92" s="111">
        <f>H92/F92</f>
        <v/>
      </c>
      <c r="M92" s="134" t="n"/>
      <c r="N92" s="132" t="n"/>
      <c r="O92" s="134" t="n"/>
      <c r="P92" s="134" t="n"/>
      <c r="Q92" s="104" t="n"/>
      <c r="R92" s="132" t="n"/>
      <c r="S92" s="105" t="n"/>
      <c r="T92" s="134" t="n"/>
      <c r="U92" s="104" t="n"/>
      <c r="V92" s="104" t="n"/>
      <c r="W92" s="132" t="n"/>
      <c r="X92" s="134" t="n"/>
      <c r="Y92" s="132" t="n"/>
    </row>
    <row customHeight="1" ht="17" r="93" s="155">
      <c r="A93" s="115" t="inlineStr">
        <is>
          <t>csi950096</t>
        </is>
      </c>
      <c r="B93" s="115" t="inlineStr">
        <is>
          <t>上海国企</t>
        </is>
      </c>
      <c r="C93" s="115" t="n">
        <v>1504.95</v>
      </c>
      <c r="D93" s="115" t="n">
        <v>0.14</v>
      </c>
      <c r="E93" s="115" t="n">
        <v>15.13</v>
      </c>
      <c r="F93" s="115" t="n">
        <v>11.28</v>
      </c>
      <c r="G93" s="115" t="n">
        <v>0.12</v>
      </c>
      <c r="H93" s="115" t="n">
        <v>1.27</v>
      </c>
      <c r="I93" s="115" t="n">
        <v>0.06</v>
      </c>
      <c r="J93" s="116" t="n">
        <v>42501</v>
      </c>
      <c r="K93" s="132" t="inlineStr">
        <is>
          <t>查看基金</t>
        </is>
      </c>
      <c r="L93" s="111">
        <f>H93/F93</f>
        <v/>
      </c>
      <c r="M93" s="134" t="n"/>
      <c r="N93" s="132" t="n"/>
      <c r="O93" s="134" t="n"/>
      <c r="P93" s="134" t="n"/>
      <c r="Q93" s="104" t="n"/>
      <c r="R93" s="132" t="n"/>
      <c r="S93" s="105" t="n"/>
      <c r="T93" s="134" t="n"/>
      <c r="U93" s="104" t="n"/>
      <c r="V93" s="104" t="n"/>
      <c r="W93" s="132" t="n"/>
      <c r="X93" s="134" t="n"/>
      <c r="Y93" s="132" t="n"/>
    </row>
    <row customHeight="1" ht="17" r="94" s="155">
      <c r="A94" s="115" t="inlineStr">
        <is>
          <t>sh000067</t>
        </is>
      </c>
      <c r="B94" s="115" t="inlineStr">
        <is>
          <t>上证新兴</t>
        </is>
      </c>
      <c r="C94" s="115" t="n">
        <v>6681.88</v>
      </c>
      <c r="D94" s="115" t="n">
        <v>1.01</v>
      </c>
      <c r="E94" s="115" t="n">
        <v>20.76</v>
      </c>
      <c r="F94" s="115" t="n">
        <v>18.76</v>
      </c>
      <c r="G94" s="115" t="n">
        <v>0.31</v>
      </c>
      <c r="H94" s="115" t="n">
        <v>1.92</v>
      </c>
      <c r="I94" s="115" t="n">
        <v>0.06</v>
      </c>
      <c r="J94" s="116" t="n">
        <v>40298</v>
      </c>
      <c r="K94" s="132" t="inlineStr">
        <is>
          <t>查看基金</t>
        </is>
      </c>
      <c r="L94" s="111">
        <f>H94/F94</f>
        <v/>
      </c>
      <c r="M94" s="134" t="n"/>
      <c r="N94" s="132" t="n"/>
      <c r="O94" s="134" t="n"/>
      <c r="P94" s="134" t="n"/>
      <c r="Q94" s="104" t="n"/>
      <c r="R94" s="132" t="n"/>
      <c r="S94" s="105" t="n"/>
      <c r="T94" s="134" t="n"/>
      <c r="U94" s="104" t="n"/>
      <c r="V94" s="104" t="n"/>
      <c r="W94" s="132" t="n"/>
      <c r="X94" s="134" t="n"/>
      <c r="Y94" s="132" t="n"/>
    </row>
    <row customHeight="1" ht="17" r="95" s="155">
      <c r="A95" s="115" t="inlineStr">
        <is>
          <t>sh000901</t>
        </is>
      </c>
      <c r="B95" s="115" t="inlineStr">
        <is>
          <t>小康指数</t>
        </is>
      </c>
      <c r="C95" s="115" t="n">
        <v>4901.83</v>
      </c>
      <c r="D95" s="115" t="n">
        <v>-0.06</v>
      </c>
      <c r="E95" s="115" t="n">
        <v>10.21</v>
      </c>
      <c r="F95" s="115" t="n">
        <v>10.93</v>
      </c>
      <c r="G95" s="115" t="n">
        <v>0.17</v>
      </c>
      <c r="H95" s="115" t="n">
        <v>1.28</v>
      </c>
      <c r="I95" s="115" t="n">
        <v>0.06</v>
      </c>
      <c r="J95" s="116" t="n">
        <v>38716</v>
      </c>
      <c r="K95" s="132" t="inlineStr">
        <is>
          <t>查看基金</t>
        </is>
      </c>
      <c r="L95" s="111">
        <f>H95/F95</f>
        <v/>
      </c>
      <c r="M95" s="134" t="n"/>
      <c r="N95" s="132" t="n"/>
      <c r="O95" s="134" t="n"/>
      <c r="P95" s="134" t="n"/>
      <c r="Q95" s="104" t="n"/>
      <c r="R95" s="132" t="n"/>
      <c r="S95" s="105" t="n"/>
      <c r="T95" s="134" t="n"/>
      <c r="U95" s="104" t="n"/>
      <c r="V95" s="104" t="n"/>
      <c r="W95" s="132" t="n"/>
      <c r="X95" s="134" t="n"/>
      <c r="Y95" s="132" t="n"/>
    </row>
    <row customHeight="1" ht="17" r="96" s="155">
      <c r="A96" s="115" t="inlineStr">
        <is>
          <t>sh000063</t>
        </is>
      </c>
      <c r="B96" s="115" t="inlineStr">
        <is>
          <t>上证周期</t>
        </is>
      </c>
      <c r="C96" s="115" t="n">
        <v>3331.58</v>
      </c>
      <c r="D96" s="115" t="n">
        <v>-0.3</v>
      </c>
      <c r="E96" s="115" t="n">
        <v>23.52</v>
      </c>
      <c r="F96" s="115" t="n">
        <v>8.58</v>
      </c>
      <c r="G96" s="115" t="n">
        <v>0.3</v>
      </c>
      <c r="H96" s="115" t="n">
        <v>1.04</v>
      </c>
      <c r="I96" s="115" t="n">
        <v>0.06</v>
      </c>
      <c r="J96" s="116" t="n">
        <v>40212</v>
      </c>
      <c r="K96" s="132" t="inlineStr">
        <is>
          <t>查看基金</t>
        </is>
      </c>
      <c r="L96" s="111">
        <f>H96/F96</f>
        <v/>
      </c>
      <c r="M96" s="134" t="n"/>
      <c r="N96" s="132" t="n"/>
      <c r="O96" s="134" t="n"/>
      <c r="P96" s="134" t="n"/>
      <c r="Q96" s="104" t="n"/>
      <c r="R96" s="132" t="n"/>
      <c r="S96" s="105" t="n"/>
      <c r="T96" s="134" t="n"/>
      <c r="U96" s="104" t="n"/>
      <c r="V96" s="104" t="n"/>
      <c r="W96" s="132" t="n"/>
      <c r="X96" s="134" t="n"/>
      <c r="Y96" s="132" t="n"/>
    </row>
    <row customHeight="1" ht="17" r="97" s="155">
      <c r="A97" s="115" t="inlineStr">
        <is>
          <t>wi881001</t>
        </is>
      </c>
      <c r="B97" s="115" t="inlineStr">
        <is>
          <t>万得全A</t>
        </is>
      </c>
      <c r="C97" s="115" t="n">
        <v>3858.07</v>
      </c>
      <c r="D97" s="115" t="n">
        <v>-1.38</v>
      </c>
      <c r="E97" s="115" t="n">
        <v>18.9</v>
      </c>
      <c r="F97" s="115" t="n">
        <v>16.63</v>
      </c>
      <c r="G97" s="115" t="n">
        <v>0.23</v>
      </c>
      <c r="H97" s="115" t="n">
        <v>1.61</v>
      </c>
      <c r="I97" s="115" t="n">
        <v>0.06</v>
      </c>
      <c r="J97" s="116" t="n">
        <v>36529</v>
      </c>
      <c r="K97" s="132" t="inlineStr">
        <is>
          <t>查看基金</t>
        </is>
      </c>
      <c r="L97" s="111">
        <f>H97/F97</f>
        <v/>
      </c>
      <c r="M97" s="134" t="n"/>
      <c r="N97" s="132" t="n"/>
      <c r="O97" s="134" t="n"/>
      <c r="P97" s="134" t="n"/>
      <c r="Q97" s="104" t="n"/>
      <c r="R97" s="132" t="n"/>
      <c r="S97" s="105" t="n"/>
      <c r="T97" s="134" t="n"/>
      <c r="U97" s="104" t="n"/>
      <c r="V97" s="104" t="n"/>
      <c r="W97" s="132" t="n"/>
      <c r="X97" s="134" t="n"/>
      <c r="Y97" s="132" t="n"/>
    </row>
    <row customHeight="1" ht="17" r="98" s="155">
      <c r="A98" s="115" t="inlineStr">
        <is>
          <t>csi930875</t>
        </is>
      </c>
      <c r="B98" s="115" t="inlineStr">
        <is>
          <t>空天一体</t>
        </is>
      </c>
      <c r="C98" s="115" t="n">
        <v>1411.59</v>
      </c>
      <c r="D98" s="115" t="n">
        <v>0.34</v>
      </c>
      <c r="E98" s="115" t="n">
        <v>15.92</v>
      </c>
      <c r="F98" s="115" t="n">
        <v>43.58</v>
      </c>
      <c r="G98" s="115" t="n">
        <v>0.04</v>
      </c>
      <c r="H98" s="115" t="n">
        <v>2.86</v>
      </c>
      <c r="I98" s="115" t="n">
        <v>0.06</v>
      </c>
      <c r="J98" s="116" t="n">
        <v>42599</v>
      </c>
      <c r="K98" s="132" t="inlineStr">
        <is>
          <t>查看基金</t>
        </is>
      </c>
      <c r="L98" s="111">
        <f>H98/F98</f>
        <v/>
      </c>
      <c r="M98" s="134" t="n"/>
      <c r="N98" s="132" t="n"/>
      <c r="O98" s="134" t="n"/>
      <c r="P98" s="134" t="n"/>
      <c r="Q98" s="104" t="n"/>
      <c r="R98" s="132" t="n"/>
      <c r="S98" s="105" t="n"/>
      <c r="T98" s="134" t="n"/>
      <c r="U98" s="104" t="n"/>
      <c r="V98" s="104" t="n"/>
      <c r="W98" s="132" t="n"/>
      <c r="X98" s="134" t="n"/>
      <c r="Y98" s="132" t="n"/>
    </row>
    <row customHeight="1" ht="17" r="99" s="155">
      <c r="A99" s="115" t="inlineStr">
        <is>
          <t>sh000016</t>
        </is>
      </c>
      <c r="B99" s="115" t="inlineStr">
        <is>
          <t>上证50</t>
        </is>
      </c>
      <c r="C99" s="115" t="n">
        <v>2946.57</v>
      </c>
      <c r="D99" s="115" t="n">
        <v>-0.16</v>
      </c>
      <c r="E99" s="115" t="n">
        <v>28.5</v>
      </c>
      <c r="F99" s="115" t="n">
        <v>9.5</v>
      </c>
      <c r="G99" s="115" t="n">
        <v>0.2</v>
      </c>
      <c r="H99" s="115" t="n">
        <v>1.16</v>
      </c>
      <c r="I99" s="115" t="n">
        <v>0.07000000000000001</v>
      </c>
      <c r="J99" s="116" t="n">
        <v>37988</v>
      </c>
      <c r="K99" s="132" t="inlineStr">
        <is>
          <t>查看基金</t>
        </is>
      </c>
      <c r="L99" s="111">
        <f>H99/F99</f>
        <v/>
      </c>
      <c r="M99" s="134" t="n"/>
      <c r="N99" s="132" t="n"/>
      <c r="O99" s="134" t="n"/>
      <c r="P99" s="134" t="n"/>
      <c r="Q99" s="104" t="n"/>
      <c r="R99" s="132" t="n"/>
      <c r="S99" s="105" t="n"/>
      <c r="T99" s="134" t="n"/>
      <c r="U99" s="104" t="n"/>
      <c r="V99" s="104" t="n"/>
      <c r="W99" s="132" t="n"/>
      <c r="X99" s="134" t="n"/>
      <c r="Y99" s="132" t="n"/>
    </row>
    <row customHeight="1" ht="17" r="100" s="155">
      <c r="A100" s="115" t="inlineStr">
        <is>
          <t>si801050</t>
        </is>
      </c>
      <c r="B100" s="115" t="inlineStr">
        <is>
          <t>有色金属(申万)</t>
        </is>
      </c>
      <c r="C100" s="115" t="n">
        <v>2662.4</v>
      </c>
      <c r="D100" s="115" t="n">
        <v>-0.11</v>
      </c>
      <c r="E100" s="115" t="n">
        <v>8.91</v>
      </c>
      <c r="F100" s="115" t="n">
        <v>33.98</v>
      </c>
      <c r="G100" s="115" t="n">
        <v>0.31</v>
      </c>
      <c r="H100" s="115" t="n">
        <v>1.89</v>
      </c>
      <c r="I100" s="115" t="n">
        <v>0.07000000000000001</v>
      </c>
      <c r="J100" s="116" t="n">
        <v>36529</v>
      </c>
      <c r="K100" s="132" t="inlineStr">
        <is>
          <t>查看基金</t>
        </is>
      </c>
      <c r="L100" s="111">
        <f>H100/F100</f>
        <v/>
      </c>
      <c r="M100" s="134" t="n"/>
      <c r="N100" s="132" t="n"/>
      <c r="O100" s="134" t="n"/>
      <c r="P100" s="134" t="n"/>
      <c r="Q100" s="104" t="n"/>
      <c r="R100" s="132" t="n"/>
      <c r="S100" s="105" t="n"/>
      <c r="T100" s="134" t="n"/>
      <c r="U100" s="104" t="n"/>
      <c r="V100" s="104" t="n"/>
      <c r="W100" s="132" t="n"/>
      <c r="X100" s="134" t="n"/>
      <c r="Y100" s="132" t="n"/>
    </row>
    <row customHeight="1" ht="17" r="101" s="155">
      <c r="A101" s="115" t="inlineStr">
        <is>
          <t>si801040</t>
        </is>
      </c>
      <c r="B101" s="115" t="inlineStr">
        <is>
          <t>钢铁(申万)</t>
        </is>
      </c>
      <c r="C101" s="115" t="n">
        <v>2058.59</v>
      </c>
      <c r="D101" s="115" t="n">
        <v>-2.82</v>
      </c>
      <c r="E101" s="115" t="n">
        <v>-5.5</v>
      </c>
      <c r="F101" s="115" t="n">
        <v>9.390000000000001</v>
      </c>
      <c r="G101" s="115" t="n">
        <v>0.19</v>
      </c>
      <c r="H101" s="115" t="n">
        <v>0.89</v>
      </c>
      <c r="I101" s="115" t="n">
        <v>0.07000000000000001</v>
      </c>
      <c r="J101" s="116" t="n">
        <v>36529</v>
      </c>
      <c r="K101" s="132" t="inlineStr">
        <is>
          <t>查看基金</t>
        </is>
      </c>
      <c r="L101" s="111">
        <f>H101/F101</f>
        <v/>
      </c>
      <c r="M101" s="134" t="n"/>
      <c r="N101" s="132" t="n"/>
      <c r="O101" s="134" t="n"/>
      <c r="P101" s="134" t="n"/>
      <c r="Q101" s="104" t="n"/>
      <c r="R101" s="132" t="n"/>
      <c r="S101" s="105" t="n"/>
      <c r="T101" s="134" t="n"/>
      <c r="U101" s="104" t="n"/>
      <c r="V101" s="104" t="n"/>
      <c r="W101" s="132" t="n"/>
      <c r="X101" s="134" t="n"/>
      <c r="Y101" s="132" t="n"/>
    </row>
    <row customHeight="1" ht="17" r="102" s="155">
      <c r="A102" s="115" t="inlineStr">
        <is>
          <t>sz399101</t>
        </is>
      </c>
      <c r="B102" s="115" t="inlineStr">
        <is>
          <t>中小板综</t>
        </is>
      </c>
      <c r="C102" s="115" t="n">
        <v>8964.540000000001</v>
      </c>
      <c r="D102" s="115" t="n">
        <v>0.22</v>
      </c>
      <c r="E102" s="115" t="n">
        <v>22.2</v>
      </c>
      <c r="F102" s="115" t="n">
        <v>40.29</v>
      </c>
      <c r="G102" s="115" t="n">
        <v>0.48</v>
      </c>
      <c r="H102" s="115" t="n">
        <v>2.5</v>
      </c>
      <c r="I102" s="115" t="n">
        <v>0.07000000000000001</v>
      </c>
      <c r="J102" s="116" t="n">
        <v>38687</v>
      </c>
      <c r="K102" s="132" t="inlineStr">
        <is>
          <t>查看基金</t>
        </is>
      </c>
      <c r="L102" s="111">
        <f>H102/F102</f>
        <v/>
      </c>
      <c r="M102" s="134" t="n"/>
      <c r="N102" s="132" t="n"/>
      <c r="O102" s="134" t="n"/>
      <c r="P102" s="134" t="n"/>
      <c r="Q102" s="104" t="n"/>
      <c r="R102" s="132" t="n"/>
      <c r="S102" s="105" t="n"/>
      <c r="T102" s="134" t="n"/>
      <c r="U102" s="104" t="n"/>
      <c r="V102" s="104" t="n"/>
      <c r="W102" s="132" t="n"/>
      <c r="X102" s="134" t="n"/>
      <c r="Y102" s="132" t="n"/>
    </row>
    <row customHeight="1" ht="17" r="103" s="155">
      <c r="A103" s="115" t="inlineStr">
        <is>
          <t>sz399008</t>
        </is>
      </c>
      <c r="B103" s="115" t="inlineStr">
        <is>
          <t>中小300</t>
        </is>
      </c>
      <c r="C103" s="115" t="n">
        <v>1172.19</v>
      </c>
      <c r="D103" s="115" t="n">
        <v>0.39</v>
      </c>
      <c r="E103" s="115" t="n">
        <v>26.27</v>
      </c>
      <c r="F103" s="115" t="n">
        <v>27.78</v>
      </c>
      <c r="G103" s="115" t="n">
        <v>0.15</v>
      </c>
      <c r="H103" s="115" t="n">
        <v>2.8</v>
      </c>
      <c r="I103" s="115" t="n">
        <v>0.07000000000000001</v>
      </c>
      <c r="J103" s="116" t="n">
        <v>40259</v>
      </c>
      <c r="K103" s="132" t="inlineStr">
        <is>
          <t>查看基金</t>
        </is>
      </c>
      <c r="L103" s="111">
        <f>H103/F103</f>
        <v/>
      </c>
      <c r="M103" s="134" t="n"/>
      <c r="N103" s="132" t="n"/>
      <c r="O103" s="134" t="n"/>
      <c r="P103" s="134" t="n"/>
      <c r="Q103" s="104" t="n"/>
      <c r="R103" s="132" t="n"/>
      <c r="S103" s="105" t="n"/>
      <c r="T103" s="134" t="n"/>
      <c r="U103" s="104" t="n"/>
      <c r="V103" s="104" t="n"/>
      <c r="W103" s="132" t="n"/>
      <c r="X103" s="134" t="n"/>
      <c r="Y103" s="132" t="n"/>
    </row>
    <row customHeight="1" ht="17" r="104" s="155">
      <c r="A104" s="115" t="inlineStr">
        <is>
          <t>sh000802</t>
        </is>
      </c>
      <c r="B104" s="115" t="inlineStr">
        <is>
          <t>500沪市</t>
        </is>
      </c>
      <c r="C104" s="115" t="n">
        <v>5134.43</v>
      </c>
      <c r="D104" s="115" t="n">
        <v>-0.5</v>
      </c>
      <c r="E104" s="115" t="n">
        <v>17.41</v>
      </c>
      <c r="F104" s="115" t="n">
        <v>21.79</v>
      </c>
      <c r="G104" s="115" t="n">
        <v>0.17</v>
      </c>
      <c r="H104" s="115" t="n">
        <v>1.68</v>
      </c>
      <c r="I104" s="115" t="n">
        <v>0.07000000000000001</v>
      </c>
      <c r="J104" s="116" t="n">
        <v>40855</v>
      </c>
      <c r="K104" s="132" t="inlineStr">
        <is>
          <t>查看基金</t>
        </is>
      </c>
      <c r="L104" s="111">
        <f>H104/F104</f>
        <v/>
      </c>
      <c r="M104" s="134" t="n"/>
      <c r="N104" s="132" t="n"/>
      <c r="O104" s="134" t="n"/>
      <c r="P104" s="134" t="n"/>
      <c r="Q104" s="104" t="n"/>
      <c r="R104" s="132" t="n"/>
      <c r="S104" s="105" t="n"/>
      <c r="T104" s="134" t="n"/>
      <c r="U104" s="104" t="n"/>
      <c r="V104" s="104" t="n"/>
      <c r="W104" s="132" t="n"/>
      <c r="X104" s="134" t="n"/>
      <c r="Y104" s="132" t="n"/>
    </row>
    <row customHeight="1" ht="17" r="105" s="155">
      <c r="A105" s="115" t="inlineStr">
        <is>
          <t>sz399965</t>
        </is>
      </c>
      <c r="B105" s="115" t="inlineStr">
        <is>
          <t>800地产</t>
        </is>
      </c>
      <c r="C105" s="115" t="n">
        <v>6351.28</v>
      </c>
      <c r="D105" s="115" t="n">
        <v>-0.41</v>
      </c>
      <c r="E105" s="115" t="n">
        <v>15.6</v>
      </c>
      <c r="F105" s="115" t="n">
        <v>7.96</v>
      </c>
      <c r="G105" s="115" t="n">
        <v>0.03</v>
      </c>
      <c r="H105" s="115" t="n">
        <v>1.41</v>
      </c>
      <c r="I105" s="115" t="n">
        <v>0.07000000000000001</v>
      </c>
      <c r="J105" s="116" t="n">
        <v>41264</v>
      </c>
      <c r="K105" s="132" t="inlineStr">
        <is>
          <t>查看基金</t>
        </is>
      </c>
      <c r="L105" s="111">
        <f>H105/F105</f>
        <v/>
      </c>
      <c r="M105" s="134" t="n"/>
      <c r="N105" s="132" t="n"/>
      <c r="O105" s="134" t="n"/>
      <c r="P105" s="134" t="n"/>
      <c r="Q105" s="104" t="n"/>
      <c r="R105" s="132" t="n"/>
      <c r="S105" s="105" t="n"/>
      <c r="T105" s="134" t="n"/>
      <c r="U105" s="104" t="n"/>
      <c r="V105" s="104" t="n"/>
      <c r="W105" s="132" t="n"/>
      <c r="X105" s="134" t="n"/>
      <c r="Y105" s="132" t="n"/>
    </row>
    <row customHeight="1" ht="17" r="106" s="155">
      <c r="A106" s="115" t="inlineStr">
        <is>
          <t>sz399393</t>
        </is>
      </c>
      <c r="B106" s="115" t="inlineStr">
        <is>
          <t>国证地产</t>
        </is>
      </c>
      <c r="C106" s="115" t="n">
        <v>5932.45</v>
      </c>
      <c r="D106" s="115" t="n">
        <v>-0.59</v>
      </c>
      <c r="E106" s="115" t="n">
        <v>13.29</v>
      </c>
      <c r="F106" s="115" t="n">
        <v>8.529999999999999</v>
      </c>
      <c r="G106" s="115" t="n">
        <v>0.05</v>
      </c>
      <c r="H106" s="115" t="n">
        <v>1.42</v>
      </c>
      <c r="I106" s="115" t="n">
        <v>0.07000000000000001</v>
      </c>
      <c r="J106" s="116" t="n">
        <v>41141</v>
      </c>
      <c r="K106" s="132" t="inlineStr">
        <is>
          <t>查看基金</t>
        </is>
      </c>
      <c r="L106" s="111">
        <f>H106/F106</f>
        <v/>
      </c>
      <c r="M106" s="134" t="n"/>
      <c r="N106" s="132" t="n"/>
      <c r="O106" s="134" t="n"/>
      <c r="P106" s="134" t="n"/>
      <c r="Q106" s="104" t="n"/>
      <c r="R106" s="132" t="n"/>
      <c r="S106" s="105" t="n"/>
      <c r="T106" s="134" t="n"/>
      <c r="U106" s="104" t="n"/>
      <c r="V106" s="104" t="n"/>
      <c r="W106" s="132" t="n"/>
      <c r="X106" s="134" t="n"/>
      <c r="Y106" s="132" t="n"/>
    </row>
    <row customHeight="1" ht="17" r="107" s="155">
      <c r="A107" s="115" t="inlineStr">
        <is>
          <t>si801034</t>
        </is>
      </c>
      <c r="B107" s="115" t="inlineStr">
        <is>
          <t>化学制品(申万)</t>
        </is>
      </c>
      <c r="C107" s="115" t="n">
        <v>3665.68</v>
      </c>
      <c r="D107" s="115" t="n">
        <v>-0.29</v>
      </c>
      <c r="E107" s="115" t="n">
        <v>17.3</v>
      </c>
      <c r="F107" s="115" t="n">
        <v>19.67</v>
      </c>
      <c r="G107" s="115" t="n">
        <v>0.13</v>
      </c>
      <c r="H107" s="115" t="n">
        <v>1.98</v>
      </c>
      <c r="I107" s="115" t="n">
        <v>0.07000000000000001</v>
      </c>
      <c r="J107" s="116" t="n">
        <v>36529</v>
      </c>
      <c r="K107" s="132" t="inlineStr">
        <is>
          <t>查看基金</t>
        </is>
      </c>
      <c r="L107" s="111">
        <f>H107/F107</f>
        <v/>
      </c>
      <c r="M107" s="134" t="n"/>
      <c r="N107" s="132" t="n"/>
      <c r="O107" s="134" t="n"/>
      <c r="P107" s="134" t="n"/>
      <c r="Q107" s="104" t="n"/>
      <c r="R107" s="132" t="n"/>
      <c r="S107" s="105" t="n"/>
      <c r="T107" s="134" t="n"/>
      <c r="U107" s="104" t="n"/>
      <c r="V107" s="104" t="n"/>
      <c r="W107" s="132" t="n"/>
      <c r="X107" s="134" t="n"/>
      <c r="Y107" s="132" t="n"/>
    </row>
    <row customHeight="1" ht="17" r="108" s="155">
      <c r="A108" s="115" t="inlineStr">
        <is>
          <t>si801033</t>
        </is>
      </c>
      <c r="B108" s="115" t="inlineStr">
        <is>
          <t>化学原料(申万)</t>
        </is>
      </c>
      <c r="C108" s="115" t="n">
        <v>1876.26</v>
      </c>
      <c r="D108" s="115" t="n">
        <v>-0.4</v>
      </c>
      <c r="E108" s="115" t="n">
        <v>7.98</v>
      </c>
      <c r="F108" s="115" t="n">
        <v>18.62</v>
      </c>
      <c r="G108" s="115" t="n">
        <v>0.13</v>
      </c>
      <c r="H108" s="115" t="n">
        <v>1.4</v>
      </c>
      <c r="I108" s="115" t="n">
        <v>0.07000000000000001</v>
      </c>
      <c r="J108" s="116" t="n">
        <v>36529</v>
      </c>
      <c r="K108" s="132" t="inlineStr">
        <is>
          <t>查看基金</t>
        </is>
      </c>
      <c r="L108" s="111">
        <f>H108/F108</f>
        <v/>
      </c>
      <c r="M108" s="134" t="n"/>
      <c r="N108" s="132" t="n"/>
      <c r="O108" s="134" t="n"/>
      <c r="P108" s="134" t="n"/>
      <c r="Q108" s="104" t="n"/>
      <c r="R108" s="132" t="n"/>
      <c r="S108" s="105" t="n"/>
      <c r="T108" s="134" t="n"/>
      <c r="U108" s="104" t="n"/>
      <c r="V108" s="104" t="n"/>
      <c r="W108" s="132" t="n"/>
      <c r="X108" s="134" t="n"/>
      <c r="Y108" s="132" t="n"/>
    </row>
    <row customHeight="1" ht="17" r="109" s="155">
      <c r="A109" s="115" t="inlineStr">
        <is>
          <t>si801051</t>
        </is>
      </c>
      <c r="B109" s="115" t="inlineStr">
        <is>
          <t>金属非金属新材料(申万)</t>
        </is>
      </c>
      <c r="C109" s="115" t="n">
        <v>3506.77</v>
      </c>
      <c r="D109" s="115" t="n">
        <v>-0.55</v>
      </c>
      <c r="E109" s="115" t="n">
        <v>12.41</v>
      </c>
      <c r="F109" s="115" t="n">
        <v>23.48</v>
      </c>
      <c r="G109" s="115" t="n">
        <v>0.06</v>
      </c>
      <c r="H109" s="115" t="n">
        <v>2.13</v>
      </c>
      <c r="I109" s="115" t="n">
        <v>0.07000000000000001</v>
      </c>
      <c r="J109" s="116" t="n">
        <v>36529</v>
      </c>
      <c r="K109" s="132" t="inlineStr">
        <is>
          <t>查看基金</t>
        </is>
      </c>
      <c r="L109" s="111">
        <f>H109/F109</f>
        <v/>
      </c>
      <c r="M109" s="134" t="n"/>
      <c r="N109" s="132" t="n"/>
      <c r="O109" s="134" t="n"/>
      <c r="P109" s="134" t="n"/>
      <c r="Q109" s="104" t="n"/>
      <c r="R109" s="132" t="n"/>
      <c r="S109" s="105" t="n"/>
      <c r="T109" s="134" t="n"/>
      <c r="U109" s="104" t="n"/>
      <c r="V109" s="104" t="n"/>
      <c r="W109" s="132" t="n"/>
      <c r="X109" s="134" t="n"/>
      <c r="Y109" s="132" t="n"/>
    </row>
    <row customHeight="1" ht="17" r="110" s="155">
      <c r="A110" s="115" t="inlineStr">
        <is>
          <t>si801041</t>
        </is>
      </c>
      <c r="B110" s="115" t="inlineStr">
        <is>
          <t>钢铁Ⅱ(申万)</t>
        </is>
      </c>
      <c r="C110" s="115" t="n">
        <v>2224.84</v>
      </c>
      <c r="D110" s="115" t="n">
        <v>-2.82</v>
      </c>
      <c r="E110" s="115" t="n">
        <v>-5.49</v>
      </c>
      <c r="F110" s="115" t="n">
        <v>9.390000000000001</v>
      </c>
      <c r="G110" s="115" t="n">
        <v>0.2</v>
      </c>
      <c r="H110" s="115" t="n">
        <v>0.89</v>
      </c>
      <c r="I110" s="115" t="n">
        <v>0.07000000000000001</v>
      </c>
      <c r="J110" s="116" t="n">
        <v>36529</v>
      </c>
      <c r="K110" s="132" t="inlineStr">
        <is>
          <t>查看基金</t>
        </is>
      </c>
      <c r="L110" s="111">
        <f>H110/F110</f>
        <v/>
      </c>
      <c r="M110" s="134" t="n"/>
      <c r="N110" s="132" t="n"/>
      <c r="O110" s="134" t="n"/>
      <c r="P110" s="134" t="n"/>
      <c r="Q110" s="104" t="n"/>
      <c r="R110" s="132" t="n"/>
      <c r="S110" s="105" t="n"/>
      <c r="T110" s="134" t="n"/>
      <c r="U110" s="104" t="n"/>
      <c r="V110" s="104" t="n"/>
      <c r="W110" s="132" t="n"/>
      <c r="X110" s="134" t="n"/>
      <c r="Y110" s="132" t="n"/>
    </row>
    <row customHeight="1" ht="17" r="111" s="155">
      <c r="A111" s="115" t="inlineStr">
        <is>
          <t>si801142</t>
        </is>
      </c>
      <c r="B111" s="115" t="inlineStr">
        <is>
          <t>家用轻工(申万)</t>
        </is>
      </c>
      <c r="C111" s="115" t="n">
        <v>1912.28</v>
      </c>
      <c r="D111" s="115" t="n">
        <v>0.67</v>
      </c>
      <c r="E111" s="115" t="n">
        <v>11.65</v>
      </c>
      <c r="F111" s="115" t="n">
        <v>25.48</v>
      </c>
      <c r="G111" s="115" t="n">
        <v>0.05</v>
      </c>
      <c r="H111" s="115" t="n">
        <v>1.86</v>
      </c>
      <c r="I111" s="115" t="n">
        <v>0.07000000000000001</v>
      </c>
      <c r="J111" s="116" t="n">
        <v>36529</v>
      </c>
      <c r="K111" s="132" t="inlineStr">
        <is>
          <t>查看基金</t>
        </is>
      </c>
      <c r="L111" s="111">
        <f>H111/F111</f>
        <v/>
      </c>
      <c r="M111" s="134" t="n"/>
      <c r="N111" s="132" t="n"/>
      <c r="O111" s="134" t="n"/>
      <c r="P111" s="134" t="n"/>
      <c r="Q111" s="104" t="n"/>
      <c r="R111" s="132" t="n"/>
      <c r="S111" s="105" t="n"/>
      <c r="T111" s="134" t="n"/>
      <c r="U111" s="104" t="n"/>
      <c r="V111" s="104" t="n"/>
      <c r="W111" s="132" t="n"/>
      <c r="X111" s="134" t="n"/>
      <c r="Y111" s="132" t="n"/>
    </row>
    <row customHeight="1" ht="17" r="112" s="155">
      <c r="A112" s="115" t="inlineStr">
        <is>
          <t>sh000819</t>
        </is>
      </c>
      <c r="B112" s="115" t="inlineStr">
        <is>
          <t>有色金属</t>
        </is>
      </c>
      <c r="C112" s="115" t="n">
        <v>3294.52</v>
      </c>
      <c r="D112" s="115" t="n">
        <v>0.02</v>
      </c>
      <c r="E112" s="115" t="n">
        <v>6.56</v>
      </c>
      <c r="F112" s="115" t="n">
        <v>45.21</v>
      </c>
      <c r="G112" s="115" t="n">
        <v>0.36</v>
      </c>
      <c r="H112" s="115" t="n">
        <v>2</v>
      </c>
      <c r="I112" s="115" t="n">
        <v>0.07000000000000001</v>
      </c>
      <c r="J112" s="116" t="n">
        <v>41038</v>
      </c>
      <c r="K112" s="132" t="inlineStr">
        <is>
          <t>查看基金</t>
        </is>
      </c>
      <c r="L112" s="111">
        <f>H112/F112</f>
        <v/>
      </c>
      <c r="M112" s="134" t="n"/>
      <c r="N112" s="132" t="n"/>
      <c r="O112" s="134" t="n"/>
      <c r="P112" s="134" t="n"/>
      <c r="Q112" s="104" t="n"/>
      <c r="R112" s="132" t="n"/>
      <c r="S112" s="105" t="n"/>
      <c r="T112" s="134" t="n"/>
      <c r="U112" s="104" t="n"/>
      <c r="V112" s="104" t="n"/>
      <c r="W112" s="132" t="n"/>
      <c r="X112" s="134" t="n"/>
      <c r="Y112" s="132" t="n"/>
    </row>
    <row customHeight="1" ht="17" r="113" s="155">
      <c r="A113" s="115" t="inlineStr">
        <is>
          <t>csi930782</t>
        </is>
      </c>
      <c r="B113" s="115" t="inlineStr">
        <is>
          <t>500SNLV</t>
        </is>
      </c>
      <c r="C113" s="115" t="n">
        <v>11777.94</v>
      </c>
      <c r="D113" s="115" t="n">
        <v>-0.78</v>
      </c>
      <c r="E113" s="115" t="n">
        <v>14.61</v>
      </c>
      <c r="F113" s="115" t="n">
        <v>18.33</v>
      </c>
      <c r="G113" s="115" t="n">
        <v>0.12</v>
      </c>
      <c r="H113" s="115" t="n">
        <v>1.39</v>
      </c>
      <c r="I113" s="115" t="n">
        <v>0.07000000000000001</v>
      </c>
      <c r="J113" s="116" t="n">
        <v>42404</v>
      </c>
      <c r="K113" s="132" t="inlineStr">
        <is>
          <t>查看基金</t>
        </is>
      </c>
      <c r="L113" s="111">
        <f>H113/F113</f>
        <v/>
      </c>
      <c r="M113" s="134" t="n"/>
      <c r="N113" s="132" t="n"/>
      <c r="O113" s="134" t="n"/>
      <c r="P113" s="134" t="n"/>
      <c r="Q113" s="104" t="n"/>
      <c r="R113" s="132" t="n"/>
      <c r="S113" s="105" t="n"/>
      <c r="T113" s="134" t="n"/>
      <c r="U113" s="104" t="n"/>
      <c r="V113" s="104" t="n"/>
      <c r="W113" s="132" t="n"/>
      <c r="X113" s="134" t="n"/>
      <c r="Y113" s="132" t="n"/>
    </row>
    <row customHeight="1" ht="17" r="114" s="155">
      <c r="A114" s="115" t="inlineStr">
        <is>
          <t>sh000056</t>
        </is>
      </c>
      <c r="B114" s="115" t="inlineStr">
        <is>
          <t>上证国企</t>
        </is>
      </c>
      <c r="C114" s="115" t="n">
        <v>1041.93</v>
      </c>
      <c r="D114" s="115" t="n">
        <v>-0.07000000000000001</v>
      </c>
      <c r="E114" s="115" t="n">
        <v>19.77</v>
      </c>
      <c r="F114" s="115" t="n">
        <v>9.630000000000001</v>
      </c>
      <c r="G114" s="115" t="n">
        <v>0.35</v>
      </c>
      <c r="H114" s="115" t="n">
        <v>1.11</v>
      </c>
      <c r="I114" s="115" t="n">
        <v>0.07000000000000001</v>
      </c>
      <c r="J114" s="116" t="n">
        <v>40182</v>
      </c>
      <c r="K114" s="132" t="inlineStr">
        <is>
          <t>查看基金</t>
        </is>
      </c>
      <c r="L114" s="111">
        <f>H114/F114</f>
        <v/>
      </c>
      <c r="M114" s="134" t="n"/>
      <c r="N114" s="132" t="n"/>
      <c r="O114" s="134" t="n"/>
      <c r="P114" s="134" t="n"/>
      <c r="Q114" s="104" t="n"/>
      <c r="R114" s="132" t="n"/>
      <c r="S114" s="105" t="n"/>
      <c r="T114" s="134" t="n"/>
      <c r="U114" s="104" t="n"/>
      <c r="V114" s="104" t="n"/>
      <c r="W114" s="132" t="n"/>
      <c r="X114" s="134" t="n"/>
      <c r="Y114" s="132" t="n"/>
    </row>
    <row customHeight="1" ht="17" r="115" s="155">
      <c r="A115" s="115" t="inlineStr">
        <is>
          <t>sh000966</t>
        </is>
      </c>
      <c r="B115" s="115" t="inlineStr">
        <is>
          <t>基本400</t>
        </is>
      </c>
      <c r="C115" s="115" t="n">
        <v>5570.49</v>
      </c>
      <c r="D115" s="115" t="n">
        <v>-0.34</v>
      </c>
      <c r="E115" s="115" t="n">
        <v>15.25</v>
      </c>
      <c r="F115" s="115" t="n">
        <v>22.44</v>
      </c>
      <c r="G115" s="115" t="n">
        <v>0.15</v>
      </c>
      <c r="H115" s="115" t="n">
        <v>1.93</v>
      </c>
      <c r="I115" s="115" t="n">
        <v>0.07000000000000001</v>
      </c>
      <c r="J115" s="116" t="n">
        <v>40331</v>
      </c>
      <c r="K115" s="132" t="inlineStr">
        <is>
          <t>查看基金</t>
        </is>
      </c>
      <c r="L115" s="111">
        <f>H115/F115</f>
        <v/>
      </c>
      <c r="M115" s="134" t="n"/>
      <c r="N115" s="132" t="n"/>
      <c r="O115" s="134" t="n"/>
      <c r="P115" s="134" t="n"/>
      <c r="Q115" s="104" t="n"/>
      <c r="R115" s="132" t="n"/>
      <c r="S115" s="105" t="n"/>
      <c r="T115" s="134" t="n"/>
      <c r="U115" s="104" t="n"/>
      <c r="V115" s="104" t="n"/>
      <c r="W115" s="132" t="n"/>
      <c r="X115" s="134" t="n"/>
      <c r="Y115" s="132" t="n"/>
    </row>
    <row customHeight="1" ht="17" r="116" s="155">
      <c r="A116" s="115" t="inlineStr">
        <is>
          <t>sh000925</t>
        </is>
      </c>
      <c r="B116" s="115" t="inlineStr">
        <is>
          <t>基本面50</t>
        </is>
      </c>
      <c r="C116" s="115" t="n">
        <v>3944.67</v>
      </c>
      <c r="D116" s="115" t="n">
        <v>1.28</v>
      </c>
      <c r="E116" s="115" t="n">
        <v>1.07</v>
      </c>
      <c r="F116" s="115" t="n">
        <v>8.25</v>
      </c>
      <c r="G116" s="115" t="n">
        <v>0.21</v>
      </c>
      <c r="H116" s="115" t="n">
        <v>1.05</v>
      </c>
      <c r="I116" s="115" t="n">
        <v>0.07000000000000001</v>
      </c>
      <c r="J116" s="116" t="n">
        <v>39870</v>
      </c>
      <c r="K116" s="132" t="inlineStr">
        <is>
          <t>查看基金</t>
        </is>
      </c>
      <c r="L116" s="111">
        <f>H116/F116</f>
        <v/>
      </c>
      <c r="M116" s="134" t="n"/>
      <c r="N116" s="132" t="n"/>
      <c r="O116" s="134" t="n"/>
      <c r="P116" s="134" t="n"/>
      <c r="Q116" s="104" t="n"/>
      <c r="R116" s="132" t="n"/>
      <c r="S116" s="105" t="n"/>
      <c r="T116" s="134" t="n"/>
      <c r="U116" s="104" t="n"/>
      <c r="V116" s="104" t="n"/>
      <c r="W116" s="132" t="n"/>
      <c r="X116" s="134" t="n"/>
      <c r="Y116" s="132" t="n"/>
    </row>
    <row customHeight="1" ht="17" r="117" s="155">
      <c r="A117" s="115" t="inlineStr">
        <is>
          <t>csi000985</t>
        </is>
      </c>
      <c r="B117" s="115" t="inlineStr">
        <is>
          <t>中证全指</t>
        </is>
      </c>
      <c r="C117" s="115" t="n">
        <v>4077.24</v>
      </c>
      <c r="D117" s="115" t="n">
        <v>-1.41</v>
      </c>
      <c r="E117" s="115" t="n">
        <v>18.79</v>
      </c>
      <c r="F117" s="115" t="n">
        <v>15.65</v>
      </c>
      <c r="G117" s="115" t="n">
        <v>0.29</v>
      </c>
      <c r="H117" s="115" t="n">
        <v>1.58</v>
      </c>
      <c r="I117" s="115" t="n">
        <v>0.07000000000000001</v>
      </c>
      <c r="J117" s="116" t="n">
        <v>38356</v>
      </c>
      <c r="K117" s="132" t="inlineStr">
        <is>
          <t>查看基金</t>
        </is>
      </c>
      <c r="L117" s="111">
        <f>H117/F117</f>
        <v/>
      </c>
      <c r="M117" s="134" t="n"/>
      <c r="N117" s="132" t="n"/>
      <c r="O117" s="134" t="n"/>
      <c r="P117" s="134" t="n"/>
      <c r="Q117" s="104" t="n"/>
      <c r="R117" s="132" t="n"/>
      <c r="S117" s="105" t="n"/>
      <c r="T117" s="134" t="n"/>
      <c r="U117" s="104" t="n"/>
      <c r="V117" s="104" t="n"/>
      <c r="W117" s="132" t="n"/>
      <c r="X117" s="134" t="n"/>
      <c r="Y117" s="132" t="n"/>
    </row>
    <row customHeight="1" ht="17" r="118" s="155">
      <c r="A118" s="115" t="inlineStr">
        <is>
          <t>hihshkmi</t>
        </is>
      </c>
      <c r="B118" s="115" t="inlineStr">
        <is>
          <t>恒生中型股</t>
        </is>
      </c>
      <c r="C118" s="115" t="n">
        <v>4459.07</v>
      </c>
      <c r="D118" s="115" t="n">
        <v>0.01</v>
      </c>
      <c r="E118" s="115" t="n">
        <v>7.33</v>
      </c>
      <c r="F118" s="115" t="n">
        <v>9.57</v>
      </c>
      <c r="G118" s="115" t="n">
        <v>0.18</v>
      </c>
      <c r="H118" s="115" t="n">
        <v>0.95</v>
      </c>
      <c r="I118" s="115" t="n">
        <v>0.07000000000000001</v>
      </c>
      <c r="J118" s="116" t="n">
        <v>38971</v>
      </c>
      <c r="K118" s="132" t="inlineStr">
        <is>
          <t>查看基金</t>
        </is>
      </c>
      <c r="L118" s="111">
        <f>H118/F118</f>
        <v/>
      </c>
      <c r="M118" s="134" t="n"/>
      <c r="N118" s="132" t="n"/>
      <c r="O118" s="134" t="n"/>
      <c r="P118" s="134" t="n"/>
      <c r="Q118" s="104" t="n"/>
      <c r="R118" s="132" t="n"/>
      <c r="S118" s="105" t="n"/>
      <c r="T118" s="134" t="n"/>
      <c r="U118" s="104" t="n"/>
      <c r="V118" s="104" t="n"/>
      <c r="W118" s="132" t="n"/>
      <c r="X118" s="134" t="n"/>
      <c r="Y118" s="132" t="n"/>
    </row>
    <row customHeight="1" ht="17" r="119" s="155">
      <c r="A119" s="115" t="inlineStr">
        <is>
          <t>sz399624</t>
        </is>
      </c>
      <c r="B119" s="115" t="inlineStr">
        <is>
          <t>中创400</t>
        </is>
      </c>
      <c r="C119" s="115" t="n">
        <v>1571.93</v>
      </c>
      <c r="D119" s="115" t="n">
        <v>0.29</v>
      </c>
      <c r="E119" s="115" t="n">
        <v>20.84</v>
      </c>
      <c r="F119" s="115" t="n">
        <v>42.14</v>
      </c>
      <c r="G119" s="115" t="n">
        <v>0.43</v>
      </c>
      <c r="H119" s="115" t="n">
        <v>2.52</v>
      </c>
      <c r="I119" s="115" t="n">
        <v>0.08</v>
      </c>
      <c r="J119" s="116" t="n">
        <v>40770</v>
      </c>
      <c r="K119" s="132" t="inlineStr">
        <is>
          <t>查看基金</t>
        </is>
      </c>
      <c r="L119" s="111">
        <f>H119/F119</f>
        <v/>
      </c>
      <c r="M119" s="134" t="n"/>
      <c r="N119" s="132" t="n"/>
      <c r="O119" s="134" t="n"/>
      <c r="P119" s="134" t="n"/>
      <c r="Q119" s="104" t="n"/>
      <c r="R119" s="132" t="n"/>
      <c r="S119" s="105" t="n"/>
      <c r="T119" s="134" t="n"/>
      <c r="U119" s="104" t="n"/>
      <c r="V119" s="104" t="n"/>
      <c r="W119" s="132" t="n"/>
      <c r="X119" s="134" t="n"/>
      <c r="Y119" s="132" t="n"/>
    </row>
    <row customHeight="1" ht="17" r="120" s="155">
      <c r="A120" s="115" t="inlineStr">
        <is>
          <t>si801880</t>
        </is>
      </c>
      <c r="B120" s="115" t="inlineStr">
        <is>
          <t>汽车(申万)</t>
        </is>
      </c>
      <c r="C120" s="115" t="n">
        <v>3637.34</v>
      </c>
      <c r="D120" s="115" t="n">
        <v>0.19</v>
      </c>
      <c r="E120" s="115" t="n">
        <v>6.51</v>
      </c>
      <c r="F120" s="115" t="n">
        <v>18.07</v>
      </c>
      <c r="G120" s="115" t="n">
        <v>0.41</v>
      </c>
      <c r="H120" s="115" t="n">
        <v>1.48</v>
      </c>
      <c r="I120" s="115" t="n">
        <v>0.08</v>
      </c>
      <c r="J120" s="116" t="n">
        <v>36529</v>
      </c>
      <c r="K120" s="132" t="inlineStr">
        <is>
          <t>查看基金</t>
        </is>
      </c>
      <c r="L120" s="111">
        <f>H120/F120</f>
        <v/>
      </c>
      <c r="M120" s="134" t="n"/>
      <c r="N120" s="132" t="n"/>
      <c r="O120" s="134" t="n"/>
      <c r="P120" s="134" t="n"/>
      <c r="Q120" s="104" t="n"/>
      <c r="R120" s="132" t="n"/>
      <c r="S120" s="105" t="n"/>
      <c r="T120" s="134" t="n"/>
      <c r="U120" s="104" t="n"/>
      <c r="V120" s="104" t="n"/>
      <c r="W120" s="132" t="n"/>
      <c r="X120" s="134" t="n"/>
      <c r="Y120" s="132" t="n"/>
    </row>
    <row customHeight="1" ht="17" r="121" s="155">
      <c r="A121" s="115" t="inlineStr">
        <is>
          <t>si801130</t>
        </is>
      </c>
      <c r="B121" s="115" t="inlineStr">
        <is>
          <t>纺织服装(申万)</t>
        </is>
      </c>
      <c r="C121" s="115" t="n">
        <v>1775.36</v>
      </c>
      <c r="D121" s="115" t="n">
        <v>-0.01</v>
      </c>
      <c r="E121" s="115" t="n">
        <v>-0.95</v>
      </c>
      <c r="F121" s="115" t="n">
        <v>22.83</v>
      </c>
      <c r="G121" s="115" t="n">
        <v>0.19</v>
      </c>
      <c r="H121" s="115" t="n">
        <v>1.64</v>
      </c>
      <c r="I121" s="115" t="n">
        <v>0.08</v>
      </c>
      <c r="J121" s="116" t="n">
        <v>36529</v>
      </c>
      <c r="K121" s="132" t="inlineStr">
        <is>
          <t>查看基金</t>
        </is>
      </c>
      <c r="L121" s="111">
        <f>H121/F121</f>
        <v/>
      </c>
      <c r="M121" s="134" t="n"/>
      <c r="N121" s="132" t="n"/>
      <c r="O121" s="134" t="n"/>
      <c r="P121" s="134" t="n"/>
      <c r="Q121" s="104" t="n"/>
      <c r="R121" s="132" t="n"/>
      <c r="S121" s="105" t="n"/>
      <c r="T121" s="134" t="n"/>
      <c r="U121" s="104" t="n"/>
      <c r="V121" s="104" t="n"/>
      <c r="W121" s="132" t="n"/>
      <c r="X121" s="134" t="n"/>
      <c r="Y121" s="132" t="n"/>
    </row>
    <row customHeight="1" ht="17" r="122" s="155">
      <c r="A122" s="115" t="inlineStr">
        <is>
          <t>si801890</t>
        </is>
      </c>
      <c r="B122" s="115" t="inlineStr">
        <is>
          <t>机械设备(申万)</t>
        </is>
      </c>
      <c r="C122" s="115" t="n">
        <v>1084.25</v>
      </c>
      <c r="D122" s="115" t="n">
        <v>-0.05</v>
      </c>
      <c r="E122" s="115" t="n">
        <v>14.58</v>
      </c>
      <c r="F122" s="115" t="n">
        <v>24.31</v>
      </c>
      <c r="G122" s="115" t="n">
        <v>0.27</v>
      </c>
      <c r="H122" s="115" t="n">
        <v>1.9</v>
      </c>
      <c r="I122" s="115" t="n">
        <v>0.08</v>
      </c>
      <c r="J122" s="116" t="n">
        <v>36529</v>
      </c>
      <c r="K122" s="132" t="inlineStr">
        <is>
          <t>查看基金</t>
        </is>
      </c>
      <c r="L122" s="111">
        <f>H122/F122</f>
        <v/>
      </c>
      <c r="M122" s="134" t="n"/>
      <c r="N122" s="132" t="n"/>
      <c r="O122" s="134" t="n"/>
      <c r="P122" s="134" t="n"/>
      <c r="Q122" s="104" t="n"/>
      <c r="R122" s="132" t="n"/>
      <c r="S122" s="105" t="n"/>
      <c r="T122" s="134" t="n"/>
      <c r="U122" s="104" t="n"/>
      <c r="V122" s="104" t="n"/>
      <c r="W122" s="132" t="n"/>
      <c r="X122" s="134" t="n"/>
      <c r="Y122" s="132" t="n"/>
    </row>
    <row customHeight="1" ht="17" r="123" s="155">
      <c r="A123" s="115" t="inlineStr">
        <is>
          <t>si801790</t>
        </is>
      </c>
      <c r="B123" s="115" t="inlineStr">
        <is>
          <t>非银金融(申万)</t>
        </is>
      </c>
      <c r="C123" s="115" t="n">
        <v>1970.9</v>
      </c>
      <c r="D123" s="115" t="n">
        <v>-0.1</v>
      </c>
      <c r="E123" s="115" t="n">
        <v>33.97</v>
      </c>
      <c r="F123" s="115" t="n">
        <v>14.6</v>
      </c>
      <c r="G123" s="115" t="n">
        <v>0.06</v>
      </c>
      <c r="H123" s="115" t="n">
        <v>1.76</v>
      </c>
      <c r="I123" s="115" t="n">
        <v>0.08</v>
      </c>
      <c r="J123" s="116" t="n">
        <v>36529</v>
      </c>
      <c r="K123" s="132" t="inlineStr">
        <is>
          <t>查看基金</t>
        </is>
      </c>
      <c r="L123" s="111">
        <f>H123/F123</f>
        <v/>
      </c>
      <c r="M123" s="134" t="n"/>
      <c r="N123" s="132" t="n"/>
      <c r="O123" s="134" t="n"/>
      <c r="P123" s="134" t="n"/>
      <c r="Q123" s="104" t="n"/>
      <c r="R123" s="132" t="n"/>
      <c r="S123" s="105" t="n"/>
      <c r="T123" s="134" t="n"/>
      <c r="U123" s="104" t="n"/>
      <c r="V123" s="104" t="n"/>
      <c r="W123" s="132" t="n"/>
      <c r="X123" s="134" t="n"/>
      <c r="Y123" s="132" t="n"/>
    </row>
    <row customHeight="1" ht="17" r="124" s="155">
      <c r="A124" s="115" t="inlineStr">
        <is>
          <t>si801752</t>
        </is>
      </c>
      <c r="B124" s="115" t="inlineStr">
        <is>
          <t>互联网传媒(申万)</t>
        </is>
      </c>
      <c r="C124" s="115" t="n">
        <v>886.37</v>
      </c>
      <c r="D124" s="115" t="n">
        <v>-0.47</v>
      </c>
      <c r="E124" s="115" t="n">
        <v>14.03</v>
      </c>
      <c r="F124" s="115" t="n">
        <v>39.71</v>
      </c>
      <c r="G124" s="115" t="n">
        <v>0.09</v>
      </c>
      <c r="H124" s="115" t="n">
        <v>3.02</v>
      </c>
      <c r="I124" s="115" t="n">
        <v>0.08</v>
      </c>
      <c r="J124" s="116" t="n">
        <v>36529</v>
      </c>
      <c r="K124" s="132" t="inlineStr">
        <is>
          <t>查看基金</t>
        </is>
      </c>
      <c r="L124" s="111">
        <f>H124/F124</f>
        <v/>
      </c>
      <c r="M124" s="134" t="n"/>
      <c r="N124" s="132" t="n"/>
      <c r="O124" s="134" t="n"/>
      <c r="P124" s="134" t="n"/>
      <c r="Q124" s="104" t="n"/>
      <c r="R124" s="132" t="n"/>
      <c r="S124" s="105" t="n"/>
      <c r="T124" s="134" t="n"/>
      <c r="U124" s="104" t="n"/>
      <c r="V124" s="104" t="n"/>
      <c r="W124" s="132" t="n"/>
      <c r="X124" s="134" t="n"/>
      <c r="Y124" s="132" t="n"/>
    </row>
    <row customHeight="1" ht="17" r="125" s="155">
      <c r="A125" s="115" t="inlineStr">
        <is>
          <t>si801751</t>
        </is>
      </c>
      <c r="B125" s="115" t="inlineStr">
        <is>
          <t>营销传播(申万)</t>
        </is>
      </c>
      <c r="C125" s="115" t="n">
        <v>2586.59</v>
      </c>
      <c r="D125" s="115" t="n">
        <v>-0.57</v>
      </c>
      <c r="E125" s="115" t="n">
        <v>3.33</v>
      </c>
      <c r="F125" s="115" t="n">
        <v>43.41</v>
      </c>
      <c r="G125" s="115" t="n">
        <v>0.52</v>
      </c>
      <c r="H125" s="115" t="n">
        <v>2.42</v>
      </c>
      <c r="I125" s="115" t="n">
        <v>0.08</v>
      </c>
      <c r="J125" s="116" t="n">
        <v>40826</v>
      </c>
      <c r="K125" s="132" t="inlineStr">
        <is>
          <t>查看基金</t>
        </is>
      </c>
      <c r="L125" s="111">
        <f>H125/F125</f>
        <v/>
      </c>
      <c r="M125" s="134" t="n"/>
      <c r="N125" s="132" t="n"/>
      <c r="O125" s="134" t="n"/>
      <c r="P125" s="134" t="n"/>
      <c r="Q125" s="104" t="n"/>
      <c r="R125" s="132" t="n"/>
      <c r="S125" s="105" t="n"/>
      <c r="T125" s="134" t="n"/>
      <c r="U125" s="104" t="n"/>
      <c r="V125" s="104" t="n"/>
      <c r="W125" s="132" t="n"/>
      <c r="X125" s="134" t="n"/>
      <c r="Y125" s="132" t="n"/>
    </row>
    <row customHeight="1" ht="17" r="126" s="155">
      <c r="A126" s="115" t="inlineStr">
        <is>
          <t>sh000852</t>
        </is>
      </c>
      <c r="B126" s="115" t="inlineStr">
        <is>
          <t>中证1000</t>
        </is>
      </c>
      <c r="C126" s="115" t="n">
        <v>5147.73</v>
      </c>
      <c r="D126" s="115" t="n">
        <v>-0.07000000000000001</v>
      </c>
      <c r="E126" s="115" t="n">
        <v>16.2</v>
      </c>
      <c r="F126" s="115" t="n">
        <v>39.16</v>
      </c>
      <c r="G126" s="115" t="n">
        <v>0.3</v>
      </c>
      <c r="H126" s="115" t="n">
        <v>2.06</v>
      </c>
      <c r="I126" s="115" t="n">
        <v>0.08</v>
      </c>
      <c r="J126" s="116" t="n">
        <v>41929</v>
      </c>
      <c r="K126" s="132" t="inlineStr">
        <is>
          <t>查看基金</t>
        </is>
      </c>
      <c r="L126" s="111">
        <f>H126/F126</f>
        <v/>
      </c>
      <c r="M126" s="134" t="n"/>
      <c r="N126" s="132" t="n"/>
      <c r="O126" s="134" t="n"/>
      <c r="P126" s="134" t="n"/>
      <c r="Q126" s="104" t="n"/>
      <c r="R126" s="132" t="n"/>
      <c r="S126" s="105" t="n"/>
      <c r="T126" s="134" t="n"/>
      <c r="U126" s="104" t="n"/>
      <c r="V126" s="104" t="n"/>
      <c r="W126" s="132" t="n"/>
      <c r="X126" s="134" t="n"/>
      <c r="Y126" s="132" t="n"/>
    </row>
    <row customHeight="1" ht="17" r="127" s="155">
      <c r="A127" s="115" t="inlineStr">
        <is>
          <t>si801155</t>
        </is>
      </c>
      <c r="B127" s="115" t="inlineStr">
        <is>
          <t>中药Ⅱ(申万)</t>
        </is>
      </c>
      <c r="C127" s="115" t="n">
        <v>5443.02</v>
      </c>
      <c r="D127" s="115" t="n">
        <v>0.63</v>
      </c>
      <c r="E127" s="115" t="n">
        <v>0.48</v>
      </c>
      <c r="F127" s="115" t="n">
        <v>24.71</v>
      </c>
      <c r="G127" s="115" t="n">
        <v>0.1</v>
      </c>
      <c r="H127" s="115" t="n">
        <v>2.22</v>
      </c>
      <c r="I127" s="115" t="n">
        <v>0.08</v>
      </c>
      <c r="J127" s="116" t="n">
        <v>36529</v>
      </c>
      <c r="K127" s="132" t="inlineStr">
        <is>
          <t>查看基金</t>
        </is>
      </c>
      <c r="L127" s="111">
        <f>H127/F127</f>
        <v/>
      </c>
      <c r="M127" s="134" t="n"/>
      <c r="N127" s="132" t="n"/>
      <c r="O127" s="134" t="n"/>
      <c r="P127" s="134" t="n"/>
      <c r="Q127" s="104" t="n"/>
      <c r="R127" s="132" t="n"/>
      <c r="S127" s="105" t="n"/>
      <c r="T127" s="134" t="n"/>
      <c r="U127" s="104" t="n"/>
      <c r="V127" s="104" t="n"/>
      <c r="W127" s="132" t="n"/>
      <c r="X127" s="134" t="n"/>
      <c r="Y127" s="132" t="n"/>
    </row>
    <row customHeight="1" ht="17" r="128" s="155">
      <c r="A128" s="115" t="inlineStr">
        <is>
          <t>si801213</t>
        </is>
      </c>
      <c r="B128" s="115" t="inlineStr">
        <is>
          <t>酒店Ⅱ(申万)</t>
        </is>
      </c>
      <c r="C128" s="115" t="n">
        <v>2855.08</v>
      </c>
      <c r="D128" s="115" t="n">
        <v>-0.95</v>
      </c>
      <c r="E128" s="115" t="n">
        <v>5.83</v>
      </c>
      <c r="F128" s="115" t="n">
        <v>24.76</v>
      </c>
      <c r="G128" s="115" t="n">
        <v>0.05</v>
      </c>
      <c r="H128" s="115" t="n">
        <v>1.89</v>
      </c>
      <c r="I128" s="115" t="n">
        <v>0.08</v>
      </c>
      <c r="J128" s="116" t="n">
        <v>36529</v>
      </c>
      <c r="K128" s="132" t="inlineStr">
        <is>
          <t>查看基金</t>
        </is>
      </c>
      <c r="L128" s="111">
        <f>H128/F128</f>
        <v/>
      </c>
      <c r="M128" s="134" t="n"/>
      <c r="N128" s="132" t="n"/>
      <c r="O128" s="134" t="n"/>
      <c r="P128" s="134" t="n"/>
      <c r="Q128" s="104" t="n"/>
      <c r="R128" s="132" t="n"/>
      <c r="S128" s="105" t="n"/>
      <c r="T128" s="134" t="n"/>
      <c r="U128" s="104" t="n"/>
      <c r="V128" s="104" t="n"/>
      <c r="W128" s="132" t="n"/>
      <c r="X128" s="134" t="n"/>
      <c r="Y128" s="132" t="n"/>
    </row>
    <row customHeight="1" ht="17" r="129" s="155">
      <c r="A129" s="115" t="inlineStr">
        <is>
          <t>sz399412</t>
        </is>
      </c>
      <c r="B129" s="115" t="inlineStr">
        <is>
          <t>国证新能</t>
        </is>
      </c>
      <c r="C129" s="115" t="n">
        <v>1584.66</v>
      </c>
      <c r="D129" s="115" t="n">
        <v>0.9399999999999999</v>
      </c>
      <c r="E129" s="115" t="n">
        <v>10.71</v>
      </c>
      <c r="F129" s="115" t="n">
        <v>23.29</v>
      </c>
      <c r="G129" s="115" t="n">
        <v>0.49</v>
      </c>
      <c r="H129" s="115" t="n">
        <v>1.84</v>
      </c>
      <c r="I129" s="115" t="n">
        <v>0.08</v>
      </c>
      <c r="J129" s="116" t="n">
        <v>41775</v>
      </c>
      <c r="K129" s="132" t="inlineStr">
        <is>
          <t>查看基金</t>
        </is>
      </c>
      <c r="L129" s="111">
        <f>H129/F129</f>
        <v/>
      </c>
      <c r="M129" s="134" t="n"/>
      <c r="N129" s="132" t="n"/>
      <c r="O129" s="134" t="n"/>
      <c r="P129" s="134" t="n"/>
      <c r="Q129" s="104" t="n"/>
      <c r="R129" s="132" t="n"/>
      <c r="S129" s="105" t="n"/>
      <c r="T129" s="134" t="n"/>
      <c r="U129" s="104" t="n"/>
      <c r="V129" s="104" t="n"/>
      <c r="W129" s="132" t="n"/>
      <c r="X129" s="134" t="n"/>
      <c r="Y129" s="132" t="n"/>
    </row>
    <row customHeight="1" ht="17" r="130" s="155">
      <c r="A130" s="115" t="inlineStr">
        <is>
          <t>si801143</t>
        </is>
      </c>
      <c r="B130" s="115" t="inlineStr">
        <is>
          <t>造纸Ⅱ(申万)</t>
        </is>
      </c>
      <c r="C130" s="115" t="n">
        <v>2052.12</v>
      </c>
      <c r="D130" s="115" t="n">
        <v>-1.76</v>
      </c>
      <c r="E130" s="115" t="n">
        <v>15.04</v>
      </c>
      <c r="F130" s="115" t="n">
        <v>16.84</v>
      </c>
      <c r="G130" s="115" t="n">
        <v>0.15</v>
      </c>
      <c r="H130" s="115" t="n">
        <v>1.2</v>
      </c>
      <c r="I130" s="115" t="n">
        <v>0.08</v>
      </c>
      <c r="J130" s="116" t="n">
        <v>36529</v>
      </c>
      <c r="K130" s="132" t="inlineStr">
        <is>
          <t>查看基金</t>
        </is>
      </c>
      <c r="L130" s="111">
        <f>H130/F130</f>
        <v/>
      </c>
      <c r="M130" s="134" t="n"/>
      <c r="N130" s="132" t="n"/>
      <c r="O130" s="134" t="n"/>
      <c r="P130" s="134" t="n"/>
      <c r="Q130" s="104" t="n"/>
      <c r="R130" s="132" t="n"/>
      <c r="S130" s="105" t="n"/>
      <c r="T130" s="134" t="n"/>
      <c r="U130" s="104" t="n"/>
      <c r="V130" s="104" t="n"/>
      <c r="W130" s="132" t="n"/>
      <c r="X130" s="134" t="n"/>
      <c r="Y130" s="132" t="n"/>
    </row>
    <row customHeight="1" ht="17" r="131" s="155">
      <c r="A131" s="115" t="inlineStr">
        <is>
          <t>sz399005</t>
        </is>
      </c>
      <c r="B131" s="115" t="inlineStr">
        <is>
          <t>中小板指</t>
        </is>
      </c>
      <c r="C131" s="115" t="n">
        <v>6154.78</v>
      </c>
      <c r="D131" s="115" t="n">
        <v>0.61</v>
      </c>
      <c r="E131" s="115" t="n">
        <v>30.87</v>
      </c>
      <c r="F131" s="115" t="n">
        <v>24.94</v>
      </c>
      <c r="G131" s="115" t="n">
        <v>0.15</v>
      </c>
      <c r="H131" s="115" t="n">
        <v>3.22</v>
      </c>
      <c r="I131" s="115" t="n">
        <v>0.09</v>
      </c>
      <c r="J131" s="116" t="n">
        <v>39078</v>
      </c>
      <c r="K131" s="132" t="inlineStr">
        <is>
          <t>查看基金</t>
        </is>
      </c>
      <c r="L131" s="111">
        <f>H131/F131</f>
        <v/>
      </c>
      <c r="M131" s="134" t="n"/>
      <c r="N131" s="132" t="n"/>
      <c r="O131" s="134" t="n"/>
      <c r="P131" s="134" t="n"/>
      <c r="Q131" s="104" t="n"/>
      <c r="R131" s="132" t="n"/>
      <c r="S131" s="105" t="n"/>
      <c r="T131" s="134" t="n"/>
      <c r="U131" s="104" t="n"/>
      <c r="V131" s="104" t="n"/>
      <c r="W131" s="132" t="n"/>
      <c r="X131" s="134" t="n"/>
      <c r="Y131" s="132" t="n"/>
    </row>
    <row customHeight="1" ht="17" r="132" s="155">
      <c r="A132" s="115" t="inlineStr">
        <is>
          <t>si801230</t>
        </is>
      </c>
      <c r="B132" s="115" t="inlineStr">
        <is>
          <t>综合(申万)</t>
        </is>
      </c>
      <c r="C132" s="115" t="n">
        <v>1941.67</v>
      </c>
      <c r="D132" s="115" t="n">
        <v>-0.6</v>
      </c>
      <c r="E132" s="115" t="n">
        <v>15.48</v>
      </c>
      <c r="F132" s="115" t="n">
        <v>29.76</v>
      </c>
      <c r="G132" s="115" t="n">
        <v>0.12</v>
      </c>
      <c r="H132" s="115" t="n">
        <v>1.65</v>
      </c>
      <c r="I132" s="115" t="n">
        <v>0.09</v>
      </c>
      <c r="J132" s="116" t="n">
        <v>36529</v>
      </c>
      <c r="K132" s="132" t="inlineStr">
        <is>
          <t>查看基金</t>
        </is>
      </c>
      <c r="L132" s="111">
        <f>H132/F132</f>
        <v/>
      </c>
      <c r="M132" s="134" t="n"/>
      <c r="N132" s="132" t="n"/>
      <c r="O132" s="134" t="n"/>
      <c r="P132" s="134" t="n"/>
      <c r="Q132" s="104" t="n"/>
      <c r="R132" s="132" t="n"/>
      <c r="S132" s="105" t="n"/>
      <c r="T132" s="134" t="n"/>
      <c r="U132" s="104" t="n"/>
      <c r="V132" s="104" t="n"/>
      <c r="W132" s="132" t="n"/>
      <c r="X132" s="134" t="n"/>
      <c r="Y132" s="132" t="n"/>
    </row>
    <row customHeight="1" ht="17" r="133" s="155">
      <c r="A133" s="115" t="inlineStr">
        <is>
          <t>sh000010</t>
        </is>
      </c>
      <c r="B133" s="115" t="inlineStr">
        <is>
          <t>上证180</t>
        </is>
      </c>
      <c r="C133" s="115" t="n">
        <v>8485.870000000001</v>
      </c>
      <c r="D133" s="115" t="n">
        <v>0.07000000000000001</v>
      </c>
      <c r="E133" s="115" t="n">
        <v>24.63</v>
      </c>
      <c r="F133" s="115" t="n">
        <v>10.41</v>
      </c>
      <c r="G133" s="115" t="n">
        <v>0.22</v>
      </c>
      <c r="H133" s="115" t="n">
        <v>1.25</v>
      </c>
      <c r="I133" s="115" t="n">
        <v>0.09</v>
      </c>
      <c r="J133" s="116" t="n">
        <v>37438</v>
      </c>
      <c r="K133" s="132" t="inlineStr">
        <is>
          <t>查看基金</t>
        </is>
      </c>
      <c r="L133" s="111">
        <f>H133/F133</f>
        <v/>
      </c>
      <c r="M133" s="134" t="n"/>
      <c r="N133" s="132" t="n"/>
      <c r="O133" s="134" t="n"/>
      <c r="P133" s="134" t="n"/>
      <c r="Q133" s="104" t="n"/>
      <c r="R133" s="132" t="n"/>
      <c r="S133" s="105" t="n"/>
      <c r="T133" s="134" t="n"/>
      <c r="U133" s="104" t="n"/>
      <c r="V133" s="104" t="n"/>
      <c r="W133" s="132" t="n"/>
      <c r="X133" s="134" t="n"/>
      <c r="Y133" s="132" t="n"/>
    </row>
    <row customHeight="1" ht="17" r="134" s="155">
      <c r="A134" s="115" t="inlineStr">
        <is>
          <t>sz399634</t>
        </is>
      </c>
      <c r="B134" s="115" t="inlineStr">
        <is>
          <t>中小板EW</t>
        </is>
      </c>
      <c r="C134" s="115" t="n">
        <v>3166.58</v>
      </c>
      <c r="D134" s="115" t="n">
        <v>0.4</v>
      </c>
      <c r="E134" s="115" t="n">
        <v>26.97</v>
      </c>
      <c r="F134" s="115" t="n">
        <v>24.94</v>
      </c>
      <c r="G134" s="115" t="n">
        <v>0.15</v>
      </c>
      <c r="H134" s="115" t="n">
        <v>3.22</v>
      </c>
      <c r="I134" s="115" t="n">
        <v>0.09</v>
      </c>
      <c r="J134" s="116" t="n">
        <v>39080</v>
      </c>
      <c r="K134" s="132" t="inlineStr">
        <is>
          <t>查看基金</t>
        </is>
      </c>
      <c r="L134" s="111">
        <f>H134/F134</f>
        <v/>
      </c>
      <c r="M134" s="134" t="n"/>
      <c r="N134" s="132" t="n"/>
      <c r="O134" s="134" t="n"/>
      <c r="P134" s="134" t="n"/>
      <c r="Q134" s="104" t="n"/>
      <c r="R134" s="132" t="n"/>
      <c r="S134" s="105" t="n"/>
      <c r="T134" s="134" t="n"/>
      <c r="U134" s="104" t="n"/>
      <c r="V134" s="104" t="n"/>
      <c r="W134" s="132" t="n"/>
      <c r="X134" s="134" t="n"/>
      <c r="Y134" s="132" t="n"/>
    </row>
    <row customHeight="1" ht="17" r="135" s="155">
      <c r="A135" s="115" t="inlineStr">
        <is>
          <t>si801173</t>
        </is>
      </c>
      <c r="B135" s="115" t="inlineStr">
        <is>
          <t>航空运输Ⅱ(申万)</t>
        </is>
      </c>
      <c r="C135" s="115" t="n">
        <v>2114.2</v>
      </c>
      <c r="D135" s="115" t="n">
        <v>-0.13</v>
      </c>
      <c r="E135" s="115" t="n">
        <v>7.25</v>
      </c>
      <c r="F135" s="115" t="n">
        <v>29.69</v>
      </c>
      <c r="G135" s="115" t="n">
        <v>0.57</v>
      </c>
      <c r="H135" s="115" t="n">
        <v>1.08</v>
      </c>
      <c r="I135" s="115" t="n">
        <v>0.09</v>
      </c>
      <c r="J135" s="116" t="n">
        <v>36529</v>
      </c>
      <c r="K135" s="132" t="inlineStr">
        <is>
          <t>查看基金</t>
        </is>
      </c>
      <c r="L135" s="111">
        <f>H135/F135</f>
        <v/>
      </c>
      <c r="M135" s="134" t="n"/>
      <c r="N135" s="132" t="n"/>
      <c r="O135" s="134" t="n"/>
      <c r="P135" s="134" t="n"/>
      <c r="Q135" s="104" t="n"/>
      <c r="R135" s="132" t="n"/>
      <c r="S135" s="105" t="n"/>
      <c r="T135" s="134" t="n"/>
      <c r="U135" s="104" t="n"/>
      <c r="V135" s="104" t="n"/>
      <c r="W135" s="132" t="n"/>
      <c r="X135" s="134" t="n"/>
      <c r="Y135" s="132" t="n"/>
    </row>
    <row customHeight="1" ht="17" r="136" s="155">
      <c r="A136" s="115" t="inlineStr">
        <is>
          <t>si801093</t>
        </is>
      </c>
      <c r="B136" s="115" t="inlineStr">
        <is>
          <t>汽车零部件Ⅱ(申万)</t>
        </is>
      </c>
      <c r="C136" s="115" t="n">
        <v>4170.94</v>
      </c>
      <c r="D136" s="115" t="n">
        <v>-0.19</v>
      </c>
      <c r="E136" s="115" t="n">
        <v>10.75</v>
      </c>
      <c r="F136" s="115" t="n">
        <v>17.21</v>
      </c>
      <c r="G136" s="115" t="n">
        <v>0.2</v>
      </c>
      <c r="H136" s="115" t="n">
        <v>1.66</v>
      </c>
      <c r="I136" s="115" t="n">
        <v>0.09</v>
      </c>
      <c r="J136" s="116" t="n">
        <v>36529</v>
      </c>
      <c r="K136" s="132" t="inlineStr">
        <is>
          <t>查看基金</t>
        </is>
      </c>
      <c r="L136" s="111">
        <f>H136/F136</f>
        <v/>
      </c>
      <c r="M136" s="134" t="n"/>
      <c r="N136" s="132" t="n"/>
      <c r="O136" s="134" t="n"/>
      <c r="P136" s="134" t="n"/>
      <c r="Q136" s="104" t="n"/>
      <c r="R136" s="132" t="n"/>
      <c r="S136" s="105" t="n"/>
      <c r="T136" s="134" t="n"/>
      <c r="U136" s="104" t="n"/>
      <c r="V136" s="104" t="n"/>
      <c r="W136" s="132" t="n"/>
      <c r="X136" s="134" t="n"/>
      <c r="Y136" s="132" t="n"/>
    </row>
    <row customHeight="1" ht="17" r="137" s="155">
      <c r="A137" s="115" t="inlineStr">
        <is>
          <t>sh000934</t>
        </is>
      </c>
      <c r="B137" s="115" t="inlineStr">
        <is>
          <t>中证金融</t>
        </is>
      </c>
      <c r="C137" s="115" t="n">
        <v>6213.86</v>
      </c>
      <c r="D137" s="115" t="n">
        <v>-0.34</v>
      </c>
      <c r="E137" s="115" t="n">
        <v>25.01</v>
      </c>
      <c r="F137" s="115" t="n">
        <v>8.24</v>
      </c>
      <c r="G137" s="115" t="n">
        <v>0.37</v>
      </c>
      <c r="H137" s="115" t="n">
        <v>1.05</v>
      </c>
      <c r="I137" s="115" t="n">
        <v>0.09</v>
      </c>
      <c r="J137" s="116" t="n">
        <v>39997</v>
      </c>
      <c r="K137" s="132" t="inlineStr">
        <is>
          <t>查看基金</t>
        </is>
      </c>
      <c r="L137" s="111">
        <f>H137/F137</f>
        <v/>
      </c>
      <c r="M137" s="134" t="n"/>
      <c r="N137" s="132" t="n"/>
      <c r="O137" s="134" t="n"/>
      <c r="P137" s="134" t="n"/>
      <c r="Q137" s="104" t="n"/>
      <c r="R137" s="132" t="n"/>
      <c r="S137" s="105" t="n"/>
      <c r="T137" s="134" t="n"/>
      <c r="U137" s="104" t="n"/>
      <c r="V137" s="104" t="n"/>
      <c r="W137" s="132" t="n"/>
      <c r="X137" s="134" t="n"/>
      <c r="Y137" s="132" t="n"/>
    </row>
    <row customHeight="1" ht="17" r="138" s="155">
      <c r="A138" s="115" t="inlineStr">
        <is>
          <t>sh000038</t>
        </is>
      </c>
      <c r="B138" s="115" t="inlineStr">
        <is>
          <t>上证金融</t>
        </is>
      </c>
      <c r="C138" s="115" t="n">
        <v>5392.65</v>
      </c>
      <c r="D138" s="115" t="n">
        <v>-0.36</v>
      </c>
      <c r="E138" s="115" t="n">
        <v>23.77</v>
      </c>
      <c r="F138" s="115" t="n">
        <v>7.65</v>
      </c>
      <c r="G138" s="115" t="n">
        <v>0.34</v>
      </c>
      <c r="H138" s="115" t="n">
        <v>1</v>
      </c>
      <c r="I138" s="115" t="n">
        <v>0.09</v>
      </c>
      <c r="J138" s="116" t="n">
        <v>39822</v>
      </c>
      <c r="K138" s="132" t="inlineStr">
        <is>
          <t>查看基金</t>
        </is>
      </c>
      <c r="L138" s="111">
        <f>H138/F138</f>
        <v/>
      </c>
      <c r="M138" s="134" t="n"/>
      <c r="N138" s="132" t="n"/>
      <c r="O138" s="134" t="n"/>
      <c r="P138" s="134" t="n"/>
      <c r="Q138" s="104" t="n"/>
      <c r="R138" s="132" t="n"/>
      <c r="S138" s="105" t="n"/>
      <c r="T138" s="134" t="n"/>
      <c r="U138" s="104" t="n"/>
      <c r="V138" s="104" t="n"/>
      <c r="W138" s="132" t="n"/>
      <c r="X138" s="134" t="n"/>
      <c r="Y138" s="132" t="n"/>
    </row>
    <row customHeight="1" ht="17" r="139" s="155">
      <c r="A139" s="115" t="inlineStr">
        <is>
          <t>sh000018</t>
        </is>
      </c>
      <c r="B139" s="115" t="inlineStr">
        <is>
          <t>180金融</t>
        </is>
      </c>
      <c r="C139" s="115" t="n">
        <v>5436.96</v>
      </c>
      <c r="D139" s="115" t="n">
        <v>-0.29</v>
      </c>
      <c r="E139" s="115" t="n">
        <v>23.6</v>
      </c>
      <c r="F139" s="115" t="n">
        <v>7.94</v>
      </c>
      <c r="G139" s="115" t="n">
        <v>0.42</v>
      </c>
      <c r="H139" s="115" t="n">
        <v>1.01</v>
      </c>
      <c r="I139" s="115" t="n">
        <v>0.09</v>
      </c>
      <c r="J139" s="116" t="n">
        <v>39426</v>
      </c>
      <c r="K139" s="132" t="inlineStr">
        <is>
          <t>查看基金</t>
        </is>
      </c>
      <c r="L139" s="111">
        <f>H139/F139</f>
        <v/>
      </c>
      <c r="M139" s="134" t="n"/>
      <c r="N139" s="132" t="n"/>
      <c r="O139" s="134" t="n"/>
      <c r="P139" s="134" t="n"/>
      <c r="Q139" s="104" t="n"/>
      <c r="R139" s="132" t="n"/>
      <c r="S139" s="105" t="n"/>
      <c r="T139" s="134" t="n"/>
      <c r="U139" s="104" t="n"/>
      <c r="V139" s="104" t="n"/>
      <c r="W139" s="132" t="n"/>
      <c r="X139" s="134" t="n"/>
      <c r="Y139" s="132" t="n"/>
    </row>
    <row customHeight="1" ht="17" r="140" s="155">
      <c r="A140" s="115" t="inlineStr">
        <is>
          <t>sz399967</t>
        </is>
      </c>
      <c r="B140" s="115" t="inlineStr">
        <is>
          <t>中证军工</t>
        </is>
      </c>
      <c r="C140" s="115" t="n">
        <v>7420.02</v>
      </c>
      <c r="D140" s="115" t="n">
        <v>0.38</v>
      </c>
      <c r="E140" s="115" t="n">
        <v>16.63</v>
      </c>
      <c r="F140" s="115" t="n">
        <v>60.58</v>
      </c>
      <c r="G140" s="115" t="n">
        <v>0.19</v>
      </c>
      <c r="H140" s="115" t="n">
        <v>2.35</v>
      </c>
      <c r="I140" s="115" t="n">
        <v>0.09</v>
      </c>
      <c r="J140" s="116" t="n">
        <v>41634</v>
      </c>
      <c r="K140" s="132" t="inlineStr">
        <is>
          <t>查看基金</t>
        </is>
      </c>
      <c r="L140" s="111">
        <f>H140/F140</f>
        <v/>
      </c>
      <c r="M140" s="134" t="n"/>
      <c r="N140" s="132" t="n"/>
      <c r="O140" s="134" t="n"/>
      <c r="P140" s="134" t="n"/>
      <c r="Q140" s="104" t="n"/>
      <c r="R140" s="132" t="n"/>
      <c r="S140" s="105" t="n"/>
      <c r="T140" s="134" t="n"/>
      <c r="U140" s="104" t="n"/>
      <c r="V140" s="104" t="n"/>
      <c r="W140" s="132" t="n"/>
      <c r="X140" s="134" t="n"/>
      <c r="Y140" s="132" t="n"/>
    </row>
    <row customHeight="1" ht="17" r="141" s="155">
      <c r="A141" s="115" t="inlineStr">
        <is>
          <t>si801231</t>
        </is>
      </c>
      <c r="B141" s="115" t="inlineStr">
        <is>
          <t>综合Ⅱ(申万)</t>
        </is>
      </c>
      <c r="C141" s="115" t="n">
        <v>1939.65</v>
      </c>
      <c r="D141" s="115" t="n">
        <v>-0.6</v>
      </c>
      <c r="E141" s="115" t="n">
        <v>15.49</v>
      </c>
      <c r="F141" s="115" t="n">
        <v>29.76</v>
      </c>
      <c r="G141" s="115" t="n">
        <v>0.12</v>
      </c>
      <c r="H141" s="115" t="n">
        <v>1.65</v>
      </c>
      <c r="I141" s="115" t="n">
        <v>0.09</v>
      </c>
      <c r="J141" s="116" t="n">
        <v>36529</v>
      </c>
      <c r="K141" s="132" t="inlineStr">
        <is>
          <t>查看基金</t>
        </is>
      </c>
      <c r="L141" s="111">
        <f>H141/F141</f>
        <v/>
      </c>
      <c r="M141" s="134" t="n"/>
      <c r="N141" s="132" t="n"/>
      <c r="O141" s="134" t="n"/>
      <c r="P141" s="134" t="n"/>
      <c r="Q141" s="104" t="n"/>
      <c r="R141" s="132" t="n"/>
      <c r="S141" s="105" t="n"/>
      <c r="T141" s="134" t="n"/>
      <c r="U141" s="104" t="n"/>
      <c r="V141" s="104" t="n"/>
      <c r="W141" s="132" t="n"/>
      <c r="X141" s="134" t="n"/>
      <c r="Y141" s="132" t="n"/>
    </row>
    <row customHeight="1" ht="17" r="142" s="155">
      <c r="A142" s="115" t="inlineStr">
        <is>
          <t>sh000987</t>
        </is>
      </c>
      <c r="B142" s="115" t="inlineStr">
        <is>
          <t>全指材料</t>
        </is>
      </c>
      <c r="C142" s="115" t="n">
        <v>2500</v>
      </c>
      <c r="D142" s="115" t="n">
        <v>-0.64</v>
      </c>
      <c r="E142" s="115" t="n">
        <v>11.5</v>
      </c>
      <c r="F142" s="115" t="n">
        <v>18.34</v>
      </c>
      <c r="G142" s="115" t="n">
        <v>0.17</v>
      </c>
      <c r="H142" s="115" t="n">
        <v>1.65</v>
      </c>
      <c r="I142" s="115" t="n">
        <v>0.09</v>
      </c>
      <c r="J142" s="116" t="n">
        <v>40757</v>
      </c>
      <c r="K142" s="132" t="inlineStr">
        <is>
          <t>查看基金</t>
        </is>
      </c>
      <c r="L142" s="111">
        <f>H142/F142</f>
        <v/>
      </c>
      <c r="M142" s="134" t="n"/>
      <c r="N142" s="132" t="n"/>
      <c r="O142" s="134" t="n"/>
      <c r="P142" s="134" t="n"/>
      <c r="Q142" s="104" t="n"/>
      <c r="R142" s="132" t="n"/>
      <c r="S142" s="105" t="n"/>
      <c r="T142" s="134" t="n"/>
      <c r="U142" s="104" t="n"/>
      <c r="V142" s="104" t="n"/>
      <c r="W142" s="132" t="n"/>
      <c r="X142" s="134" t="n"/>
      <c r="Y142" s="132" t="n"/>
    </row>
    <row customHeight="1" ht="17" r="143" s="155">
      <c r="A143" s="115" t="inlineStr">
        <is>
          <t>sh000846</t>
        </is>
      </c>
      <c r="B143" s="115" t="inlineStr">
        <is>
          <t>ESG 100</t>
        </is>
      </c>
      <c r="C143" s="115" t="n">
        <v>965.3200000000001</v>
      </c>
      <c r="D143" s="115" t="n">
        <v>-0.8</v>
      </c>
      <c r="E143" s="115" t="n">
        <v>-0.02</v>
      </c>
      <c r="F143" s="115" t="n">
        <v>8.210000000000001</v>
      </c>
      <c r="G143" s="115" t="n">
        <v>0.3</v>
      </c>
      <c r="H143" s="115" t="n">
        <v>1.08</v>
      </c>
      <c r="I143" s="115" t="n">
        <v>0.09</v>
      </c>
      <c r="J143" s="116" t="n">
        <v>41198</v>
      </c>
      <c r="K143" s="132" t="inlineStr">
        <is>
          <t>查看基金</t>
        </is>
      </c>
      <c r="L143" s="111">
        <f>H143/F143</f>
        <v/>
      </c>
      <c r="M143" s="134" t="n"/>
      <c r="N143" s="132" t="n"/>
      <c r="O143" s="134" t="n"/>
      <c r="P143" s="134" t="n"/>
      <c r="Q143" s="104" t="n"/>
      <c r="R143" s="132" t="n"/>
      <c r="S143" s="105" t="n"/>
      <c r="T143" s="134" t="n"/>
      <c r="U143" s="104" t="n"/>
      <c r="V143" s="104" t="n"/>
      <c r="W143" s="132" t="n"/>
      <c r="X143" s="134" t="n"/>
      <c r="Y143" s="132" t="n"/>
    </row>
    <row customHeight="1" ht="17" r="144" s="155">
      <c r="A144" s="115" t="inlineStr">
        <is>
          <t>hihshksi</t>
        </is>
      </c>
      <c r="B144" s="115" t="inlineStr">
        <is>
          <t>恒生小型股</t>
        </is>
      </c>
      <c r="C144" s="115" t="n">
        <v>1835.16</v>
      </c>
      <c r="D144" s="115" t="n">
        <v>0.36</v>
      </c>
      <c r="E144" s="115" t="n">
        <v>-2.41</v>
      </c>
      <c r="F144" s="115" t="n">
        <v>10.77</v>
      </c>
      <c r="G144" s="115" t="n">
        <v>0.21</v>
      </c>
      <c r="H144" s="115" t="n">
        <v>0.88</v>
      </c>
      <c r="I144" s="115" t="n">
        <v>0.09</v>
      </c>
      <c r="J144" s="116" t="n">
        <v>38971</v>
      </c>
      <c r="K144" s="132" t="inlineStr">
        <is>
          <t>查看基金</t>
        </is>
      </c>
      <c r="L144" s="111">
        <f>H144/F144</f>
        <v/>
      </c>
      <c r="M144" s="134" t="n"/>
      <c r="N144" s="132" t="n"/>
      <c r="O144" s="134" t="n"/>
      <c r="P144" s="134" t="n"/>
      <c r="Q144" s="104" t="n"/>
      <c r="R144" s="132" t="n"/>
      <c r="S144" s="105" t="n"/>
      <c r="T144" s="134" t="n"/>
      <c r="U144" s="104" t="n"/>
      <c r="V144" s="104" t="n"/>
      <c r="W144" s="132" t="n"/>
      <c r="X144" s="134" t="n"/>
      <c r="Y144" s="132" t="n"/>
    </row>
    <row customHeight="1" ht="17" r="145" s="155">
      <c r="A145" s="115" t="inlineStr">
        <is>
          <t>si801202</t>
        </is>
      </c>
      <c r="B145" s="115" t="inlineStr">
        <is>
          <t>贸易Ⅱ(申万)</t>
        </is>
      </c>
      <c r="C145" s="115" t="n">
        <v>3632.56</v>
      </c>
      <c r="D145" s="115" t="n">
        <v>-0.51</v>
      </c>
      <c r="E145" s="115" t="n">
        <v>10.65</v>
      </c>
      <c r="F145" s="115" t="n">
        <v>14.88</v>
      </c>
      <c r="G145" s="115" t="n">
        <v>0.15</v>
      </c>
      <c r="H145" s="115" t="n">
        <v>1.52</v>
      </c>
      <c r="I145" s="115" t="n">
        <v>0.1</v>
      </c>
      <c r="J145" s="116" t="n">
        <v>36529</v>
      </c>
      <c r="K145" s="132" t="inlineStr">
        <is>
          <t>查看基金</t>
        </is>
      </c>
      <c r="L145" s="111">
        <f>H145/F145</f>
        <v/>
      </c>
      <c r="M145" s="134" t="n"/>
      <c r="N145" s="132" t="n"/>
      <c r="O145" s="134" t="n"/>
      <c r="P145" s="134" t="n"/>
      <c r="Q145" s="104" t="n"/>
      <c r="R145" s="132" t="n"/>
      <c r="S145" s="107" t="n"/>
      <c r="T145" s="108" t="n"/>
      <c r="U145" s="106" t="n"/>
      <c r="V145" s="106" t="n"/>
      <c r="W145" s="132" t="n"/>
      <c r="X145" s="134" t="n"/>
      <c r="Y145" s="132" t="n"/>
    </row>
    <row customHeight="1" ht="17" r="146" s="155">
      <c r="A146" s="115" t="inlineStr">
        <is>
          <t>sh000914</t>
        </is>
      </c>
      <c r="B146" s="115" t="inlineStr">
        <is>
          <t>300金融</t>
        </is>
      </c>
      <c r="C146" s="115" t="n">
        <v>6526.84</v>
      </c>
      <c r="D146" s="115" t="n">
        <v>-0.27</v>
      </c>
      <c r="E146" s="115" t="n">
        <v>26.21</v>
      </c>
      <c r="F146" s="115" t="n">
        <v>8.109999999999999</v>
      </c>
      <c r="G146" s="115" t="n">
        <v>0.33</v>
      </c>
      <c r="H146" s="115" t="n">
        <v>1.05</v>
      </c>
      <c r="I146" s="115" t="n">
        <v>0.1</v>
      </c>
      <c r="J146" s="116" t="n">
        <v>39265</v>
      </c>
      <c r="K146" s="132" t="inlineStr">
        <is>
          <t>查看基金</t>
        </is>
      </c>
      <c r="L146" s="111">
        <f>H146/F146</f>
        <v/>
      </c>
      <c r="M146" s="134" t="n"/>
      <c r="N146" s="132" t="n"/>
      <c r="O146" s="134" t="n"/>
      <c r="P146" s="134" t="n"/>
      <c r="Q146" s="104" t="n"/>
      <c r="R146" s="132" t="n"/>
      <c r="S146" s="105" t="n"/>
      <c r="T146" s="134" t="n"/>
      <c r="U146" s="104" t="n"/>
      <c r="V146" s="104" t="n"/>
      <c r="W146" s="132" t="n"/>
      <c r="X146" s="134" t="n"/>
      <c r="Y146" s="132" t="n"/>
    </row>
    <row customHeight="1" ht="17" r="147" s="155">
      <c r="A147" s="115" t="inlineStr">
        <is>
          <t>si801072</t>
        </is>
      </c>
      <c r="B147" s="115" t="inlineStr">
        <is>
          <t>通用机械(申万)</t>
        </is>
      </c>
      <c r="C147" s="115" t="n">
        <v>3128.96</v>
      </c>
      <c r="D147" s="115" t="n">
        <v>-0.35</v>
      </c>
      <c r="E147" s="115" t="n">
        <v>9.119999999999999</v>
      </c>
      <c r="F147" s="115" t="n">
        <v>38.92</v>
      </c>
      <c r="G147" s="115" t="n">
        <v>0.33</v>
      </c>
      <c r="H147" s="115" t="n">
        <v>2.01</v>
      </c>
      <c r="I147" s="115" t="n">
        <v>0.1</v>
      </c>
      <c r="J147" s="116" t="n">
        <v>36529</v>
      </c>
      <c r="K147" s="132" t="inlineStr">
        <is>
          <t>查看基金</t>
        </is>
      </c>
      <c r="L147" s="111">
        <f>H147/F147</f>
        <v/>
      </c>
      <c r="M147" s="134" t="n"/>
      <c r="N147" s="132" t="n"/>
      <c r="O147" s="134" t="n"/>
      <c r="P147" s="134" t="n"/>
      <c r="Q147" s="104" t="n"/>
      <c r="R147" s="132" t="n"/>
      <c r="S147" s="107" t="n"/>
      <c r="T147" s="108" t="n"/>
      <c r="U147" s="106" t="n"/>
      <c r="V147" s="106" t="n"/>
      <c r="W147" s="132" t="n"/>
      <c r="X147" s="134" t="n"/>
      <c r="Y147" s="132" t="n"/>
    </row>
    <row customHeight="1" ht="17" r="148" s="155">
      <c r="A148" s="115" t="inlineStr">
        <is>
          <t>sh000963</t>
        </is>
      </c>
      <c r="B148" s="115" t="inlineStr">
        <is>
          <t>中证下游</t>
        </is>
      </c>
      <c r="C148" s="115" t="n">
        <v>4417.07</v>
      </c>
      <c r="D148" s="115" t="n">
        <v>0.29</v>
      </c>
      <c r="E148" s="115" t="n">
        <v>1.17</v>
      </c>
      <c r="F148" s="115" t="n">
        <v>18.33</v>
      </c>
      <c r="G148" s="115" t="n">
        <v>0.17</v>
      </c>
      <c r="H148" s="115" t="n">
        <v>2.44</v>
      </c>
      <c r="I148" s="115" t="n">
        <v>0.1</v>
      </c>
      <c r="J148" s="116" t="n">
        <v>40284</v>
      </c>
      <c r="K148" s="132" t="inlineStr">
        <is>
          <t>查看基金</t>
        </is>
      </c>
      <c r="L148" s="111">
        <f>H148/F148</f>
        <v/>
      </c>
      <c r="M148" s="134" t="n"/>
      <c r="N148" s="132" t="n"/>
      <c r="O148" s="134" t="n"/>
      <c r="P148" s="134" t="n"/>
      <c r="Q148" s="104" t="n"/>
      <c r="R148" s="132" t="n"/>
      <c r="S148" s="105" t="n"/>
      <c r="T148" s="134" t="n"/>
      <c r="U148" s="104" t="n"/>
      <c r="V148" s="104" t="n"/>
      <c r="W148" s="132" t="n"/>
      <c r="X148" s="134" t="n"/>
      <c r="Y148" s="132" t="n"/>
    </row>
    <row customHeight="1" ht="17" r="149" s="155">
      <c r="A149" s="115" t="inlineStr">
        <is>
          <t>csi930641</t>
        </is>
      </c>
      <c r="B149" s="115" t="inlineStr">
        <is>
          <t>中证中药</t>
        </is>
      </c>
      <c r="C149" s="115" t="n">
        <v>7863.73</v>
      </c>
      <c r="D149" s="115" t="n">
        <v>0.46</v>
      </c>
      <c r="E149" s="115" t="n">
        <v>-0.63</v>
      </c>
      <c r="F149" s="115" t="n">
        <v>24.02</v>
      </c>
      <c r="G149" s="115" t="n">
        <v>0.19</v>
      </c>
      <c r="H149" s="115" t="n">
        <v>2.4</v>
      </c>
      <c r="I149" s="115" t="n">
        <v>0.1</v>
      </c>
      <c r="J149" s="116" t="n">
        <v>42143</v>
      </c>
      <c r="K149" s="132" t="inlineStr">
        <is>
          <t>查看基金</t>
        </is>
      </c>
      <c r="L149" s="111">
        <f>H149/F149</f>
        <v/>
      </c>
      <c r="M149" s="134" t="n"/>
      <c r="N149" s="132" t="n"/>
      <c r="O149" s="134" t="n"/>
      <c r="P149" s="134" t="n"/>
      <c r="Q149" s="104" t="n"/>
      <c r="R149" s="132" t="n"/>
      <c r="S149" s="105" t="n"/>
      <c r="T149" s="134" t="n"/>
      <c r="U149" s="104" t="n"/>
      <c r="V149" s="104" t="n"/>
      <c r="W149" s="132" t="n"/>
      <c r="X149" s="134" t="n"/>
      <c r="Y149" s="132" t="n"/>
    </row>
    <row customHeight="1" ht="17" r="150" s="155">
      <c r="A150" s="115" t="inlineStr">
        <is>
          <t>si801170</t>
        </is>
      </c>
      <c r="B150" s="115" t="inlineStr">
        <is>
          <t>交通运输(申万)</t>
        </is>
      </c>
      <c r="C150" s="115" t="n">
        <v>2270.12</v>
      </c>
      <c r="D150" s="115" t="n">
        <v>0.19</v>
      </c>
      <c r="E150" s="115" t="n">
        <v>11.8</v>
      </c>
      <c r="F150" s="115" t="n">
        <v>16.64</v>
      </c>
      <c r="G150" s="115" t="n">
        <v>0.21</v>
      </c>
      <c r="H150" s="115" t="n">
        <v>1.38</v>
      </c>
      <c r="I150" s="115" t="n">
        <v>0.11</v>
      </c>
      <c r="J150" s="116" t="n">
        <v>36529</v>
      </c>
      <c r="K150" s="132" t="inlineStr">
        <is>
          <t>查看基金</t>
        </is>
      </c>
      <c r="L150" s="111">
        <f>H150/F150</f>
        <v/>
      </c>
      <c r="M150" s="134" t="n"/>
      <c r="N150" s="132" t="n"/>
      <c r="O150" s="134" t="n"/>
      <c r="P150" s="134" t="n"/>
      <c r="Q150" s="104" t="n"/>
      <c r="R150" s="132" t="n"/>
      <c r="S150" s="105" t="n"/>
      <c r="T150" s="134" t="n"/>
      <c r="U150" s="104" t="n"/>
      <c r="V150" s="104" t="n"/>
      <c r="W150" s="132" t="n"/>
      <c r="X150" s="134" t="n"/>
      <c r="Y150" s="132" t="n"/>
    </row>
    <row customHeight="1" ht="17" r="151" s="155">
      <c r="A151" s="115" t="inlineStr">
        <is>
          <t>sh000906</t>
        </is>
      </c>
      <c r="B151" s="115" t="inlineStr">
        <is>
          <t>中证800</t>
        </is>
      </c>
      <c r="C151" s="115" t="n">
        <v>4041.21</v>
      </c>
      <c r="D151" s="115" t="n">
        <v>0.18</v>
      </c>
      <c r="E151" s="115" t="n">
        <v>26.29</v>
      </c>
      <c r="F151" s="115" t="n">
        <v>13.05</v>
      </c>
      <c r="G151" s="115" t="n">
        <v>0.31</v>
      </c>
      <c r="H151" s="115" t="n">
        <v>1.47</v>
      </c>
      <c r="I151" s="115" t="n">
        <v>0.11</v>
      </c>
      <c r="J151" s="116" t="n">
        <v>39097</v>
      </c>
      <c r="K151" s="132" t="inlineStr">
        <is>
          <t>查看基金</t>
        </is>
      </c>
      <c r="L151" s="111">
        <f>H151/F151</f>
        <v/>
      </c>
      <c r="M151" s="134" t="n"/>
      <c r="N151" s="132" t="n"/>
      <c r="O151" s="134" t="n"/>
      <c r="P151" s="134" t="n"/>
      <c r="Q151" s="104" t="n"/>
      <c r="R151" s="132" t="n"/>
      <c r="S151" s="105" t="n"/>
      <c r="T151" s="134" t="n"/>
      <c r="U151" s="104" t="n"/>
      <c r="V151" s="104" t="n"/>
      <c r="W151" s="132" t="n"/>
      <c r="X151" s="134" t="n"/>
      <c r="Y151" s="132" t="n"/>
    </row>
    <row customHeight="1" ht="17" r="152" s="155">
      <c r="A152" s="115" t="inlineStr">
        <is>
          <t>si801710</t>
        </is>
      </c>
      <c r="B152" s="115" t="inlineStr">
        <is>
          <t>建筑材料(申万)</t>
        </is>
      </c>
      <c r="C152" s="115" t="n">
        <v>5615.53</v>
      </c>
      <c r="D152" s="115" t="n">
        <v>-1.17</v>
      </c>
      <c r="E152" s="115" t="n">
        <v>34.22</v>
      </c>
      <c r="F152" s="115" t="n">
        <v>11.58</v>
      </c>
      <c r="G152" s="115" t="n">
        <v>0.03</v>
      </c>
      <c r="H152" s="115" t="n">
        <v>1.71</v>
      </c>
      <c r="I152" s="115" t="n">
        <v>0.11</v>
      </c>
      <c r="J152" s="116" t="n">
        <v>36529</v>
      </c>
      <c r="K152" s="132" t="inlineStr">
        <is>
          <t>查看基金</t>
        </is>
      </c>
      <c r="L152" s="111">
        <f>H152/F152</f>
        <v/>
      </c>
      <c r="M152" s="134" t="n"/>
      <c r="N152" s="132" t="n"/>
      <c r="O152" s="134" t="n"/>
      <c r="P152" s="134" t="n"/>
      <c r="Q152" s="104" t="n"/>
      <c r="R152" s="132" t="n"/>
      <c r="S152" s="105" t="n"/>
      <c r="T152" s="134" t="n"/>
      <c r="U152" s="104" t="n"/>
      <c r="V152" s="104" t="n"/>
      <c r="W152" s="132" t="n"/>
      <c r="X152" s="134" t="n"/>
      <c r="Y152" s="132" t="n"/>
    </row>
    <row customHeight="1" ht="17" r="153" s="155">
      <c r="A153" s="115" t="inlineStr">
        <is>
          <t>sh000842</t>
        </is>
      </c>
      <c r="B153" s="115" t="inlineStr">
        <is>
          <t>800等权</t>
        </is>
      </c>
      <c r="C153" s="115" t="n">
        <v>4928</v>
      </c>
      <c r="D153" s="115" t="n">
        <v>-0.02</v>
      </c>
      <c r="E153" s="115" t="n">
        <v>18.29</v>
      </c>
      <c r="F153" s="115" t="n">
        <v>13.05</v>
      </c>
      <c r="G153" s="115" t="n">
        <v>0.31</v>
      </c>
      <c r="H153" s="115" t="n">
        <v>1.47</v>
      </c>
      <c r="I153" s="115" t="n">
        <v>0.11</v>
      </c>
      <c r="J153" s="116" t="n">
        <v>39097</v>
      </c>
      <c r="K153" s="132" t="inlineStr">
        <is>
          <t>查看基金</t>
        </is>
      </c>
      <c r="L153" s="111">
        <f>H153/F153</f>
        <v/>
      </c>
      <c r="M153" s="134" t="n"/>
      <c r="N153" s="132" t="n"/>
      <c r="O153" s="134" t="n"/>
      <c r="P153" s="134" t="n"/>
      <c r="Q153" s="104" t="n"/>
      <c r="R153" s="132" t="n"/>
      <c r="S153" s="105" t="n"/>
      <c r="T153" s="134" t="n"/>
      <c r="U153" s="104" t="n"/>
      <c r="V153" s="104" t="n"/>
      <c r="W153" s="132" t="n"/>
      <c r="X153" s="134" t="n"/>
      <c r="Y153" s="132" t="n"/>
    </row>
    <row customHeight="1" ht="17" r="154" s="155">
      <c r="A154" s="115" t="inlineStr">
        <is>
          <t>sh000992</t>
        </is>
      </c>
      <c r="B154" s="115" t="inlineStr">
        <is>
          <t>全指金融</t>
        </is>
      </c>
      <c r="C154" s="115" t="n">
        <v>5850.82</v>
      </c>
      <c r="D154" s="115" t="n">
        <v>-0.38</v>
      </c>
      <c r="E154" s="115" t="n">
        <v>22.68</v>
      </c>
      <c r="F154" s="115" t="n">
        <v>8.34</v>
      </c>
      <c r="G154" s="115" t="n">
        <v>0.48</v>
      </c>
      <c r="H154" s="115" t="n">
        <v>1.06</v>
      </c>
      <c r="I154" s="115" t="n">
        <v>0.11</v>
      </c>
      <c r="J154" s="116" t="n">
        <v>40757</v>
      </c>
      <c r="K154" s="132" t="inlineStr">
        <is>
          <t>查看基金</t>
        </is>
      </c>
      <c r="L154" s="111">
        <f>H154/F154</f>
        <v/>
      </c>
      <c r="M154" s="134" t="n"/>
      <c r="N154" s="132" t="n"/>
      <c r="O154" s="134" t="n"/>
      <c r="P154" s="134" t="n"/>
      <c r="Q154" s="104" t="n"/>
      <c r="R154" s="132" t="n"/>
      <c r="S154" s="107" t="n"/>
      <c r="T154" s="108" t="n"/>
      <c r="U154" s="106" t="n"/>
      <c r="V154" s="106" t="n"/>
      <c r="W154" s="132" t="n"/>
      <c r="X154" s="134" t="n"/>
      <c r="Y154" s="132" t="n"/>
    </row>
    <row customHeight="1" ht="17" r="155" s="155">
      <c r="A155" s="115" t="inlineStr">
        <is>
          <t>si801733</t>
        </is>
      </c>
      <c r="B155" s="115" t="inlineStr">
        <is>
          <t>电源设备(申万)</t>
        </is>
      </c>
      <c r="C155" s="115" t="n">
        <v>6440.7</v>
      </c>
      <c r="D155" s="115" t="n">
        <v>1.35</v>
      </c>
      <c r="E155" s="115" t="n">
        <v>24.16</v>
      </c>
      <c r="F155" s="115" t="n">
        <v>31.02</v>
      </c>
      <c r="G155" s="115" t="n">
        <v>0.26</v>
      </c>
      <c r="H155" s="115" t="n">
        <v>2.19</v>
      </c>
      <c r="I155" s="115" t="n">
        <v>0.11</v>
      </c>
      <c r="J155" s="116" t="n">
        <v>36529</v>
      </c>
      <c r="K155" s="132" t="inlineStr">
        <is>
          <t>查看基金</t>
        </is>
      </c>
      <c r="L155" s="111">
        <f>H155/F155</f>
        <v/>
      </c>
      <c r="M155" s="134" t="n"/>
      <c r="N155" s="132" t="n"/>
      <c r="O155" s="134" t="n"/>
      <c r="P155" s="134" t="n"/>
      <c r="Q155" s="104" t="n"/>
      <c r="R155" s="132" t="n"/>
      <c r="S155" s="105" t="n"/>
      <c r="T155" s="134" t="n"/>
      <c r="U155" s="104" t="n"/>
      <c r="V155" s="104" t="n"/>
      <c r="W155" s="132" t="n"/>
      <c r="X155" s="134" t="n"/>
      <c r="Y155" s="132" t="n"/>
    </row>
    <row customHeight="1" ht="17" r="156" s="155">
      <c r="A156" s="115" t="inlineStr">
        <is>
          <t>sh000977</t>
        </is>
      </c>
      <c r="B156" s="115" t="inlineStr">
        <is>
          <t>内地低碳</t>
        </is>
      </c>
      <c r="C156" s="115" t="n">
        <v>970.42</v>
      </c>
      <c r="D156" s="115" t="n">
        <v>0.83</v>
      </c>
      <c r="E156" s="115" t="n">
        <v>1.99</v>
      </c>
      <c r="F156" s="115" t="n">
        <v>18.47</v>
      </c>
      <c r="G156" s="115" t="n">
        <v>0.01</v>
      </c>
      <c r="H156" s="115" t="n">
        <v>2.12</v>
      </c>
      <c r="I156" s="115" t="n">
        <v>0.11</v>
      </c>
      <c r="J156" s="116" t="n">
        <v>40564</v>
      </c>
      <c r="K156" s="132" t="inlineStr">
        <is>
          <t>查看基金</t>
        </is>
      </c>
      <c r="L156" s="111">
        <f>H156/F156</f>
        <v/>
      </c>
      <c r="M156" s="134" t="n"/>
      <c r="N156" s="132" t="n"/>
      <c r="O156" s="134" t="n"/>
      <c r="P156" s="134" t="n"/>
      <c r="Q156" s="104" t="n"/>
      <c r="R156" s="132" t="n"/>
      <c r="S156" s="105" t="n"/>
      <c r="T156" s="134" t="n"/>
      <c r="U156" s="104" t="n"/>
      <c r="V156" s="104" t="n"/>
      <c r="W156" s="132" t="n"/>
      <c r="X156" s="134" t="n"/>
      <c r="Y156" s="132" t="n"/>
    </row>
    <row customHeight="1" ht="17" r="157" s="155">
      <c r="A157" s="115" t="inlineStr">
        <is>
          <t>si801036</t>
        </is>
      </c>
      <c r="B157" s="115" t="inlineStr">
        <is>
          <t>塑料Ⅱ(申万)</t>
        </is>
      </c>
      <c r="C157" s="115" t="n">
        <v>2738.72</v>
      </c>
      <c r="D157" s="115" t="n">
        <v>0.36</v>
      </c>
      <c r="E157" s="115" t="n">
        <v>-1.99</v>
      </c>
      <c r="F157" s="115" t="n">
        <v>38.59</v>
      </c>
      <c r="G157" s="115" t="n">
        <v>0.46</v>
      </c>
      <c r="H157" s="115" t="n">
        <v>1.66</v>
      </c>
      <c r="I157" s="115" t="n">
        <v>0.11</v>
      </c>
      <c r="J157" s="116" t="n">
        <v>36529</v>
      </c>
      <c r="K157" s="132" t="inlineStr">
        <is>
          <t>查看基金</t>
        </is>
      </c>
      <c r="L157" s="111">
        <f>H157/F157</f>
        <v/>
      </c>
      <c r="M157" s="134" t="n"/>
      <c r="N157" s="132" t="n"/>
      <c r="O157" s="134" t="n"/>
      <c r="P157" s="134" t="n"/>
      <c r="Q157" s="104" t="n"/>
      <c r="R157" s="132" t="n"/>
      <c r="S157" s="107" t="n"/>
      <c r="T157" s="108" t="n"/>
      <c r="U157" s="106" t="n"/>
      <c r="V157" s="106" t="n"/>
      <c r="W157" s="132" t="n"/>
      <c r="X157" s="134" t="n"/>
      <c r="Y157" s="132" t="n"/>
    </row>
    <row customHeight="1" ht="17" r="158" s="155">
      <c r="A158" s="115" t="inlineStr">
        <is>
          <t>sh000823</t>
        </is>
      </c>
      <c r="B158" s="115" t="inlineStr">
        <is>
          <t>800有色</t>
        </is>
      </c>
      <c r="C158" s="115" t="n">
        <v>3371.21</v>
      </c>
      <c r="D158" s="115" t="n">
        <v>0.05</v>
      </c>
      <c r="E158" s="115" t="n">
        <v>8.42</v>
      </c>
      <c r="F158" s="115" t="n">
        <v>41.5</v>
      </c>
      <c r="G158" s="115" t="n">
        <v>0.29</v>
      </c>
      <c r="H158" s="115" t="n">
        <v>1.94</v>
      </c>
      <c r="I158" s="115" t="n">
        <v>0.11</v>
      </c>
      <c r="J158" s="116" t="n">
        <v>41264</v>
      </c>
      <c r="K158" s="132" t="inlineStr">
        <is>
          <t>查看基金</t>
        </is>
      </c>
      <c r="L158" s="111">
        <f>H158/F158</f>
        <v/>
      </c>
      <c r="M158" s="134" t="n"/>
      <c r="N158" s="132" t="n"/>
      <c r="O158" s="134" t="n"/>
      <c r="P158" s="134" t="n"/>
      <c r="Q158" s="104" t="n"/>
      <c r="R158" s="132" t="n"/>
      <c r="S158" s="105" t="n"/>
      <c r="T158" s="134" t="n"/>
      <c r="U158" s="104" t="n"/>
      <c r="V158" s="104" t="n"/>
      <c r="W158" s="132" t="n"/>
      <c r="X158" s="134" t="n"/>
      <c r="Y158" s="132" t="n"/>
    </row>
    <row customHeight="1" ht="17" r="159" s="155">
      <c r="A159" s="115" t="inlineStr">
        <is>
          <t>sz399415</t>
        </is>
      </c>
      <c r="B159" s="115" t="inlineStr">
        <is>
          <t>I100</t>
        </is>
      </c>
      <c r="C159" s="115" t="n">
        <v>4719.75</v>
      </c>
      <c r="D159" s="115" t="n">
        <v>0.09</v>
      </c>
      <c r="E159" s="115" t="n">
        <v>12.23</v>
      </c>
      <c r="F159" s="115" t="n">
        <v>9.17</v>
      </c>
      <c r="G159" s="115" t="n">
        <v>0.26</v>
      </c>
      <c r="H159" s="115" t="n">
        <v>1.17</v>
      </c>
      <c r="I159" s="115" t="n">
        <v>0.11</v>
      </c>
      <c r="J159" s="116" t="n">
        <v>41894</v>
      </c>
      <c r="K159" s="132" t="inlineStr">
        <is>
          <t>查看基金</t>
        </is>
      </c>
      <c r="L159" s="111">
        <f>H159/F159</f>
        <v/>
      </c>
      <c r="M159" s="134" t="n"/>
      <c r="N159" s="132" t="n"/>
      <c r="O159" s="134" t="n"/>
      <c r="P159" s="134" t="n"/>
      <c r="Q159" s="104" t="n"/>
      <c r="R159" s="132" t="n"/>
      <c r="S159" s="105" t="n"/>
      <c r="T159" s="134" t="n"/>
      <c r="U159" s="104" t="n"/>
      <c r="V159" s="104" t="n"/>
      <c r="W159" s="132" t="n"/>
      <c r="X159" s="134" t="n"/>
      <c r="Y159" s="132" t="n"/>
    </row>
    <row customHeight="1" ht="17" r="160" s="155">
      <c r="A160" s="115" t="inlineStr">
        <is>
          <t>sz399971</t>
        </is>
      </c>
      <c r="B160" s="115" t="inlineStr">
        <is>
          <t>中证传媒</t>
        </is>
      </c>
      <c r="C160" s="115" t="n">
        <v>1243.57</v>
      </c>
      <c r="D160" s="115" t="n">
        <v>0.04</v>
      </c>
      <c r="E160" s="115" t="n">
        <v>14.24</v>
      </c>
      <c r="F160" s="115" t="n">
        <v>36.15</v>
      </c>
      <c r="G160" s="115" t="n">
        <v>0.38</v>
      </c>
      <c r="H160" s="115" t="n">
        <v>2.62</v>
      </c>
      <c r="I160" s="115" t="n">
        <v>0.11</v>
      </c>
      <c r="J160" s="116" t="n">
        <v>41744</v>
      </c>
      <c r="K160" s="132" t="inlineStr">
        <is>
          <t>查看基金</t>
        </is>
      </c>
      <c r="L160" s="111">
        <f>H160/F160</f>
        <v/>
      </c>
      <c r="M160" s="134" t="n"/>
      <c r="N160" s="132" t="n"/>
      <c r="O160" s="134" t="n"/>
      <c r="P160" s="134" t="n"/>
      <c r="Q160" s="104" t="n"/>
      <c r="R160" s="132" t="n"/>
      <c r="S160" s="105" t="n"/>
      <c r="T160" s="134" t="n"/>
      <c r="U160" s="104" t="n"/>
      <c r="V160" s="104" t="n"/>
      <c r="W160" s="132" t="n"/>
      <c r="X160" s="134" t="n"/>
      <c r="Y160" s="132" t="n"/>
    </row>
    <row customHeight="1" ht="17" r="161" s="155">
      <c r="A161" s="115" t="inlineStr">
        <is>
          <t>csi930793</t>
        </is>
      </c>
      <c r="B161" s="115" t="inlineStr">
        <is>
          <t>HK银行(CNY)</t>
        </is>
      </c>
      <c r="C161" s="115" t="n">
        <v>3526.92</v>
      </c>
      <c r="D161" s="115" t="n">
        <v>0.96</v>
      </c>
      <c r="E161" s="115" t="n">
        <v>1.25</v>
      </c>
      <c r="F161" s="115" t="n">
        <v>6.17</v>
      </c>
      <c r="G161" s="115" t="n">
        <v>0.19</v>
      </c>
      <c r="H161" s="115" t="n">
        <v>0.66</v>
      </c>
      <c r="I161" s="115" t="n">
        <v>0.11</v>
      </c>
      <c r="J161" s="116" t="n">
        <v>43262</v>
      </c>
      <c r="K161" s="132" t="inlineStr">
        <is>
          <t>查看基金</t>
        </is>
      </c>
      <c r="L161" s="111">
        <f>H161/F161</f>
        <v/>
      </c>
      <c r="M161" s="134" t="n"/>
      <c r="N161" s="132" t="n"/>
      <c r="O161" s="134" t="n"/>
      <c r="P161" s="134" t="n"/>
      <c r="Q161" s="104" t="n"/>
      <c r="R161" s="132" t="n"/>
      <c r="S161" s="105" t="n"/>
      <c r="T161" s="134" t="n"/>
      <c r="U161" s="104" t="n"/>
      <c r="V161" s="104" t="n"/>
      <c r="W161" s="132" t="n"/>
      <c r="X161" s="134" t="n"/>
      <c r="Y161" s="132" t="n"/>
    </row>
    <row customHeight="1" ht="17" r="162" s="155">
      <c r="A162" s="115" t="inlineStr">
        <is>
          <t>si801140</t>
        </is>
      </c>
      <c r="B162" s="115" t="inlineStr">
        <is>
          <t>轻工制造(申万)</t>
        </is>
      </c>
      <c r="C162" s="115" t="n">
        <v>2102.09</v>
      </c>
      <c r="D162" s="115" t="n">
        <v>-0.12</v>
      </c>
      <c r="E162" s="115" t="n">
        <v>11.38</v>
      </c>
      <c r="F162" s="115" t="n">
        <v>22.35</v>
      </c>
      <c r="G162" s="115" t="n">
        <v>0.16</v>
      </c>
      <c r="H162" s="115" t="n">
        <v>1.63</v>
      </c>
      <c r="I162" s="115" t="n">
        <v>0.12</v>
      </c>
      <c r="J162" s="116" t="n">
        <v>36529</v>
      </c>
      <c r="K162" s="132" t="inlineStr">
        <is>
          <t>查看基金</t>
        </is>
      </c>
      <c r="L162" s="111">
        <f>H162/F162</f>
        <v/>
      </c>
      <c r="M162" s="134" t="n"/>
      <c r="N162" s="132" t="n"/>
      <c r="O162" s="134" t="n"/>
      <c r="P162" s="134" t="n"/>
      <c r="Q162" s="104" t="n"/>
      <c r="R162" s="132" t="n"/>
      <c r="S162" s="105" t="n"/>
      <c r="T162" s="134" t="n"/>
      <c r="U162" s="104" t="n"/>
      <c r="V162" s="104" t="n"/>
      <c r="W162" s="132" t="n"/>
      <c r="X162" s="134" t="n"/>
      <c r="Y162" s="132" t="n"/>
    </row>
    <row customHeight="1" ht="17" r="163" s="155">
      <c r="A163" s="115" t="inlineStr">
        <is>
          <t>sh000050</t>
        </is>
      </c>
      <c r="B163" s="115" t="inlineStr">
        <is>
          <t>50等权</t>
        </is>
      </c>
      <c r="C163" s="115" t="n">
        <v>2303.57</v>
      </c>
      <c r="D163" s="115" t="n">
        <v>-0.05</v>
      </c>
      <c r="E163" s="115" t="n">
        <v>18.01</v>
      </c>
      <c r="F163" s="115" t="n">
        <v>9.5</v>
      </c>
      <c r="G163" s="115" t="n">
        <v>0.36</v>
      </c>
      <c r="H163" s="115" t="n">
        <v>1.16</v>
      </c>
      <c r="I163" s="115" t="n">
        <v>0.12</v>
      </c>
      <c r="J163" s="116" t="n">
        <v>40547</v>
      </c>
      <c r="K163" s="132" t="inlineStr">
        <is>
          <t>查看基金</t>
        </is>
      </c>
      <c r="L163" s="111">
        <f>H163/F163</f>
        <v/>
      </c>
      <c r="M163" s="134" t="n"/>
      <c r="N163" s="132" t="n"/>
      <c r="O163" s="134" t="n"/>
      <c r="P163" s="134" t="n"/>
      <c r="Q163" s="104" t="n"/>
      <c r="R163" s="132" t="n"/>
      <c r="S163" s="105" t="n"/>
      <c r="T163" s="134" t="n"/>
      <c r="U163" s="104" t="n"/>
      <c r="V163" s="104" t="n"/>
      <c r="W163" s="132" t="n"/>
      <c r="X163" s="134" t="n"/>
      <c r="Y163" s="132" t="n"/>
    </row>
    <row customHeight="1" ht="17" r="164" s="155">
      <c r="A164" s="115" t="inlineStr">
        <is>
          <t>si801132</t>
        </is>
      </c>
      <c r="B164" s="115" t="inlineStr">
        <is>
          <t>服装家纺(申万)</t>
        </is>
      </c>
      <c r="C164" s="115" t="n">
        <v>1678.11</v>
      </c>
      <c r="D164" s="115" t="n">
        <v>-0.34</v>
      </c>
      <c r="E164" s="115" t="n">
        <v>-2.66</v>
      </c>
      <c r="F164" s="115" t="n">
        <v>26.04</v>
      </c>
      <c r="G164" s="115" t="n">
        <v>0.39</v>
      </c>
      <c r="H164" s="115" t="n">
        <v>1.8</v>
      </c>
      <c r="I164" s="115" t="n">
        <v>0.12</v>
      </c>
      <c r="J164" s="116" t="n">
        <v>36529</v>
      </c>
      <c r="K164" s="132" t="inlineStr">
        <is>
          <t>查看基金</t>
        </is>
      </c>
      <c r="L164" s="111">
        <f>H164/F164</f>
        <v/>
      </c>
    </row>
    <row customHeight="1" ht="17" r="165" s="155">
      <c r="A165" s="115" t="inlineStr">
        <is>
          <t>csih30531</t>
        </is>
      </c>
      <c r="B165" s="115" t="inlineStr">
        <is>
          <t>精工制造</t>
        </is>
      </c>
      <c r="C165" s="115" t="n">
        <v>2422.09</v>
      </c>
      <c r="D165" s="115" t="n">
        <v>0.22</v>
      </c>
      <c r="E165" s="115" t="n">
        <v>13.33</v>
      </c>
      <c r="F165" s="115" t="n">
        <v>17.08</v>
      </c>
      <c r="G165" s="115" t="n">
        <v>0.14</v>
      </c>
      <c r="H165" s="115" t="n">
        <v>1.67</v>
      </c>
      <c r="I165" s="115" t="n">
        <v>0.12</v>
      </c>
      <c r="J165" s="116" t="n">
        <v>41991</v>
      </c>
      <c r="K165" s="132" t="inlineStr">
        <is>
          <t>查看基金</t>
        </is>
      </c>
      <c r="L165" s="111">
        <f>H165/F165</f>
        <v/>
      </c>
    </row>
    <row customHeight="1" ht="17" r="166" s="155">
      <c r="A166" s="115" t="inlineStr">
        <is>
          <t>sz399368</t>
        </is>
      </c>
      <c r="B166" s="115" t="inlineStr">
        <is>
          <t>国证军工</t>
        </is>
      </c>
      <c r="C166" s="115" t="n">
        <v>5394.59</v>
      </c>
      <c r="D166" s="115" t="n">
        <v>0.5600000000000001</v>
      </c>
      <c r="E166" s="115" t="n">
        <v>19.05</v>
      </c>
      <c r="F166" s="115" t="n">
        <v>59.25</v>
      </c>
      <c r="G166" s="115" t="n">
        <v>0.44</v>
      </c>
      <c r="H166" s="115" t="n">
        <v>2.36</v>
      </c>
      <c r="I166" s="115" t="n">
        <v>0.12</v>
      </c>
      <c r="J166" s="116" t="n">
        <v>40121</v>
      </c>
      <c r="K166" s="132" t="inlineStr">
        <is>
          <t>查看基金</t>
        </is>
      </c>
      <c r="L166" s="111">
        <f>H166/F166</f>
        <v/>
      </c>
    </row>
    <row customHeight="1" ht="17" r="167" s="155">
      <c r="A167" s="115" t="inlineStr">
        <is>
          <t>si801744</t>
        </is>
      </c>
      <c r="B167" s="115" t="inlineStr">
        <is>
          <t>船舶制造Ⅱ(申万)</t>
        </is>
      </c>
      <c r="C167" s="115" t="n">
        <v>2364.87</v>
      </c>
      <c r="D167" s="115" t="n">
        <v>1.56</v>
      </c>
      <c r="E167" s="115" t="n">
        <v>36.6</v>
      </c>
      <c r="F167" s="115" t="n">
        <v>107.86</v>
      </c>
      <c r="G167" s="115" t="n">
        <v>0.71</v>
      </c>
      <c r="H167" s="115" t="n">
        <v>1.66</v>
      </c>
      <c r="I167" s="115" t="n">
        <v>0.13</v>
      </c>
      <c r="J167" s="116" t="n">
        <v>39265</v>
      </c>
      <c r="K167" s="132" t="inlineStr">
        <is>
          <t>查看基金</t>
        </is>
      </c>
      <c r="L167" s="111">
        <f>H167/F167</f>
        <v/>
      </c>
    </row>
    <row customHeight="1" ht="17" r="168" s="155">
      <c r="A168" s="115" t="inlineStr">
        <is>
          <t>si801212</t>
        </is>
      </c>
      <c r="B168" s="115" t="inlineStr">
        <is>
          <t>景点(申万)</t>
        </is>
      </c>
      <c r="C168" s="115" t="n">
        <v>8855.530000000001</v>
      </c>
      <c r="D168" s="115" t="n">
        <v>2.55</v>
      </c>
      <c r="E168" s="115" t="n">
        <v>25.05</v>
      </c>
      <c r="F168" s="115" t="n">
        <v>29.71</v>
      </c>
      <c r="G168" s="115" t="n">
        <v>0.19</v>
      </c>
      <c r="H168" s="115" t="n">
        <v>2.96</v>
      </c>
      <c r="I168" s="115" t="n">
        <v>0.13</v>
      </c>
      <c r="J168" s="116" t="n">
        <v>36529</v>
      </c>
      <c r="K168" s="132" t="inlineStr">
        <is>
          <t>查看基金</t>
        </is>
      </c>
      <c r="L168" s="111">
        <f>H168/F168</f>
        <v/>
      </c>
    </row>
    <row customHeight="1" ht="17" r="169" s="155">
      <c r="A169" s="115" t="inlineStr">
        <is>
          <t>sh000827</t>
        </is>
      </c>
      <c r="B169" s="115" t="inlineStr">
        <is>
          <t>中证环保</t>
        </is>
      </c>
      <c r="C169" s="115" t="n">
        <v>1162.17</v>
      </c>
      <c r="D169" s="115" t="n">
        <v>0.64</v>
      </c>
      <c r="E169" s="115" t="n">
        <v>9.52</v>
      </c>
      <c r="F169" s="115" t="n">
        <v>22.62</v>
      </c>
      <c r="G169" s="115" t="n">
        <v>0.15</v>
      </c>
      <c r="H169" s="115" t="n">
        <v>2.13</v>
      </c>
      <c r="I169" s="115" t="n">
        <v>0.13</v>
      </c>
      <c r="J169" s="116" t="n">
        <v>41177</v>
      </c>
      <c r="K169" s="132" t="inlineStr">
        <is>
          <t>查看基金</t>
        </is>
      </c>
      <c r="L169" s="111">
        <f>H169/F169</f>
        <v/>
      </c>
    </row>
    <row customHeight="1" ht="17" r="170" s="155">
      <c r="A170" s="115" t="inlineStr">
        <is>
          <t>sz399417</t>
        </is>
      </c>
      <c r="B170" s="115" t="inlineStr">
        <is>
          <t>新能源车</t>
        </is>
      </c>
      <c r="C170" s="115" t="n">
        <v>1658.02</v>
      </c>
      <c r="D170" s="115" t="n">
        <v>2.08</v>
      </c>
      <c r="E170" s="115" t="n">
        <v>11.3</v>
      </c>
      <c r="F170" s="115" t="n">
        <v>28.65</v>
      </c>
      <c r="G170" s="115" t="n">
        <v>0.46</v>
      </c>
      <c r="H170" s="115" t="n">
        <v>1.95</v>
      </c>
      <c r="I170" s="115" t="n">
        <v>0.13</v>
      </c>
      <c r="J170" s="116" t="n">
        <v>41906</v>
      </c>
      <c r="K170" s="132" t="inlineStr">
        <is>
          <t>查看基金</t>
        </is>
      </c>
      <c r="L170" s="111">
        <f>H170/F170</f>
        <v/>
      </c>
    </row>
    <row customHeight="1" ht="17" r="171" s="155">
      <c r="A171" s="115" t="inlineStr">
        <is>
          <t>sh000841</t>
        </is>
      </c>
      <c r="B171" s="115" t="inlineStr">
        <is>
          <t>800医药</t>
        </is>
      </c>
      <c r="C171" s="115" t="n">
        <v>9808.049999999999</v>
      </c>
      <c r="D171" s="115" t="n">
        <v>0.64</v>
      </c>
      <c r="E171" s="115" t="n">
        <v>28.29</v>
      </c>
      <c r="F171" s="115" t="n">
        <v>33.31</v>
      </c>
      <c r="G171" s="115" t="n">
        <v>0.55</v>
      </c>
      <c r="H171" s="115" t="n">
        <v>3.53</v>
      </c>
      <c r="I171" s="115" t="n">
        <v>0.13</v>
      </c>
      <c r="J171" s="116" t="n">
        <v>41264</v>
      </c>
      <c r="K171" s="132" t="inlineStr">
        <is>
          <t>查看基金</t>
        </is>
      </c>
      <c r="L171" s="111">
        <f>H171/F171</f>
        <v/>
      </c>
    </row>
    <row customHeight="1" ht="17" r="172" s="155">
      <c r="A172" s="115" t="inlineStr">
        <is>
          <t>si801037</t>
        </is>
      </c>
      <c r="B172" s="115" t="inlineStr">
        <is>
          <t>橡胶(申万)</t>
        </is>
      </c>
      <c r="C172" s="115" t="n">
        <v>3496.02</v>
      </c>
      <c r="D172" s="115" t="n">
        <v>0.52</v>
      </c>
      <c r="E172" s="115" t="n">
        <v>22.85</v>
      </c>
      <c r="F172" s="115" t="n">
        <v>19.29</v>
      </c>
      <c r="G172" s="115" t="n">
        <v>0.07000000000000001</v>
      </c>
      <c r="H172" s="115" t="n">
        <v>1.68</v>
      </c>
      <c r="I172" s="115" t="n">
        <v>0.14</v>
      </c>
      <c r="J172" s="116" t="n">
        <v>36529</v>
      </c>
      <c r="K172" s="132" t="inlineStr">
        <is>
          <t>查看基金</t>
        </is>
      </c>
      <c r="L172" s="111">
        <f>H172/F172</f>
        <v/>
      </c>
    </row>
    <row customHeight="1" ht="17" r="173" s="155">
      <c r="A173" s="115" t="inlineStr">
        <is>
          <t>sz399808</t>
        </is>
      </c>
      <c r="B173" s="115" t="inlineStr">
        <is>
          <t>中证新能</t>
        </is>
      </c>
      <c r="C173" s="115" t="n">
        <v>1373.74</v>
      </c>
      <c r="D173" s="115" t="n">
        <v>1.01</v>
      </c>
      <c r="E173" s="115" t="n">
        <v>13.61</v>
      </c>
      <c r="F173" s="115" t="n">
        <v>30.68</v>
      </c>
      <c r="G173" s="115" t="n">
        <v>0.25</v>
      </c>
      <c r="H173" s="115" t="n">
        <v>2.15</v>
      </c>
      <c r="I173" s="115" t="n">
        <v>0.14</v>
      </c>
      <c r="J173" s="116" t="n">
        <v>42045</v>
      </c>
      <c r="K173" s="132" t="inlineStr">
        <is>
          <t>查看基金</t>
        </is>
      </c>
      <c r="L173" s="111">
        <f>H173/F173</f>
        <v/>
      </c>
    </row>
    <row customHeight="1" ht="17" r="174" s="155">
      <c r="A174" s="115" t="inlineStr">
        <is>
          <t>si801054</t>
        </is>
      </c>
      <c r="B174" s="115" t="inlineStr">
        <is>
          <t>稀有金属(申万)</t>
        </is>
      </c>
      <c r="C174" s="115" t="n">
        <v>6780.16</v>
      </c>
      <c r="D174" s="115" t="n">
        <v>0.7</v>
      </c>
      <c r="E174" s="115" t="n">
        <v>8.26</v>
      </c>
      <c r="F174" s="115" t="n">
        <v>63.35</v>
      </c>
      <c r="G174" s="115" t="n">
        <v>0.68</v>
      </c>
      <c r="H174" s="115" t="n">
        <v>2.74</v>
      </c>
      <c r="I174" s="115" t="n">
        <v>0.14</v>
      </c>
      <c r="J174" s="116" t="n">
        <v>36529</v>
      </c>
      <c r="K174" s="132" t="inlineStr">
        <is>
          <t>查看基金</t>
        </is>
      </c>
      <c r="L174" s="111">
        <f>H174/F174</f>
        <v/>
      </c>
    </row>
    <row customHeight="1" ht="17" r="175" s="155">
      <c r="A175" s="115" t="inlineStr">
        <is>
          <t>si801053</t>
        </is>
      </c>
      <c r="B175" s="115" t="inlineStr">
        <is>
          <t>黄金Ⅱ(申万)</t>
        </is>
      </c>
      <c r="C175" s="115" t="n">
        <v>6328.08</v>
      </c>
      <c r="D175" s="115" t="n">
        <v>0.86</v>
      </c>
      <c r="E175" s="115" t="n">
        <v>13.22</v>
      </c>
      <c r="F175" s="115" t="n">
        <v>42.75</v>
      </c>
      <c r="G175" s="115" t="n">
        <v>0.51</v>
      </c>
      <c r="H175" s="115" t="n">
        <v>2.6</v>
      </c>
      <c r="I175" s="115" t="n">
        <v>0.14</v>
      </c>
      <c r="J175" s="116" t="n">
        <v>39265</v>
      </c>
      <c r="K175" s="132" t="inlineStr">
        <is>
          <t>查看基金</t>
        </is>
      </c>
      <c r="L175" s="111">
        <f>H175/F175</f>
        <v/>
      </c>
    </row>
    <row customHeight="1" ht="17" r="176" s="155">
      <c r="A176" s="115" t="inlineStr">
        <is>
          <t>sz399395</t>
        </is>
      </c>
      <c r="B176" s="115" t="inlineStr">
        <is>
          <t>国证有色</t>
        </is>
      </c>
      <c r="C176" s="115" t="n">
        <v>3212.68</v>
      </c>
      <c r="D176" s="115" t="n">
        <v>0.13</v>
      </c>
      <c r="E176" s="115" t="n">
        <v>9.5</v>
      </c>
      <c r="F176" s="115" t="n">
        <v>42.07</v>
      </c>
      <c r="G176" s="115" t="n">
        <v>0.23</v>
      </c>
      <c r="H176" s="115" t="n">
        <v>1.98</v>
      </c>
      <c r="I176" s="115" t="n">
        <v>0.14</v>
      </c>
      <c r="J176" s="116" t="n">
        <v>41211</v>
      </c>
      <c r="K176" s="132" t="inlineStr">
        <is>
          <t>查看基金</t>
        </is>
      </c>
      <c r="L176" s="111">
        <f>H176/F176</f>
        <v/>
      </c>
    </row>
    <row customHeight="1" ht="17" r="177" s="155">
      <c r="A177" s="115" t="inlineStr">
        <is>
          <t>csih30372</t>
        </is>
      </c>
      <c r="B177" s="115" t="inlineStr">
        <is>
          <t>中证安全</t>
        </is>
      </c>
      <c r="C177" s="115" t="n">
        <v>2152.22</v>
      </c>
      <c r="D177" s="115" t="n">
        <v>0.24</v>
      </c>
      <c r="E177" s="115" t="n">
        <v>18.2</v>
      </c>
      <c r="F177" s="115" t="n">
        <v>38.78</v>
      </c>
      <c r="G177" s="115" t="n">
        <v>0.33</v>
      </c>
      <c r="H177" s="115" t="n">
        <v>3.4</v>
      </c>
      <c r="I177" s="115" t="n">
        <v>0.14</v>
      </c>
      <c r="J177" s="116" t="n">
        <v>41841</v>
      </c>
      <c r="K177" s="132" t="inlineStr">
        <is>
          <t>查看基金</t>
        </is>
      </c>
      <c r="L177" s="111">
        <f>H177/F177</f>
        <v/>
      </c>
    </row>
    <row customHeight="1" ht="17" r="178" s="155">
      <c r="A178" s="115" t="inlineStr">
        <is>
          <t>sh000300</t>
        </is>
      </c>
      <c r="B178" s="115" t="inlineStr">
        <is>
          <t>沪深300</t>
        </is>
      </c>
      <c r="C178" s="115" t="n">
        <v>3891.65</v>
      </c>
      <c r="D178" s="115" t="n">
        <v>0.35</v>
      </c>
      <c r="E178" s="115" t="n">
        <v>29.26</v>
      </c>
      <c r="F178" s="115" t="n">
        <v>11.82</v>
      </c>
      <c r="G178" s="115" t="n">
        <v>0.29</v>
      </c>
      <c r="H178" s="115" t="n">
        <v>1.42</v>
      </c>
      <c r="I178" s="115" t="n">
        <v>0.15</v>
      </c>
      <c r="J178" s="116" t="n">
        <v>38450</v>
      </c>
      <c r="K178" s="132" t="inlineStr">
        <is>
          <t>查看基金</t>
        </is>
      </c>
      <c r="L178" s="111">
        <f>H178/F178</f>
        <v/>
      </c>
    </row>
    <row customHeight="1" ht="17" r="179" s="155">
      <c r="A179" s="115" t="inlineStr">
        <is>
          <t>sh000958</t>
        </is>
      </c>
      <c r="B179" s="115" t="inlineStr">
        <is>
          <t>创业成长</t>
        </is>
      </c>
      <c r="C179" s="115" t="n">
        <v>975.99</v>
      </c>
      <c r="D179" s="115" t="n">
        <v>0.77</v>
      </c>
      <c r="E179" s="115" t="n">
        <v>24.37</v>
      </c>
      <c r="F179" s="115" t="n">
        <v>24.47</v>
      </c>
      <c r="G179" s="115" t="n">
        <v>0.23</v>
      </c>
      <c r="H179" s="115" t="n">
        <v>4.09</v>
      </c>
      <c r="I179" s="115" t="n">
        <v>0.15</v>
      </c>
      <c r="J179" s="116" t="n">
        <v>40261</v>
      </c>
      <c r="K179" s="132" t="inlineStr">
        <is>
          <t>查看基金</t>
        </is>
      </c>
      <c r="L179" s="111">
        <f>H179/F179</f>
        <v/>
      </c>
    </row>
    <row customHeight="1" ht="17" r="180" s="155">
      <c r="A180" s="115" t="inlineStr">
        <is>
          <t>si801016</t>
        </is>
      </c>
      <c r="B180" s="115" t="inlineStr">
        <is>
          <t>种植业(申万)</t>
        </is>
      </c>
      <c r="C180" s="115" t="n">
        <v>1988.81</v>
      </c>
      <c r="D180" s="115" t="n">
        <v>-0.57</v>
      </c>
      <c r="E180" s="115" t="n">
        <v>5.24</v>
      </c>
      <c r="F180" s="115" t="n">
        <v>44.56</v>
      </c>
      <c r="G180" s="115" t="n">
        <v>0.26</v>
      </c>
      <c r="H180" s="115" t="n">
        <v>2.13</v>
      </c>
      <c r="I180" s="115" t="n">
        <v>0.15</v>
      </c>
      <c r="J180" s="116" t="n">
        <v>36529</v>
      </c>
      <c r="K180" s="132" t="inlineStr">
        <is>
          <t>查看基金</t>
        </is>
      </c>
      <c r="L180" s="111">
        <f>H180/F180</f>
        <v/>
      </c>
    </row>
    <row customHeight="1" ht="17" r="181" s="155">
      <c r="A181" s="115" t="inlineStr">
        <is>
          <t>si801073</t>
        </is>
      </c>
      <c r="B181" s="115" t="inlineStr">
        <is>
          <t>仪器仪表Ⅱ(申万)</t>
        </is>
      </c>
      <c r="C181" s="115" t="n">
        <v>2851.73</v>
      </c>
      <c r="D181" s="115" t="n">
        <v>0.23</v>
      </c>
      <c r="E181" s="115" t="n">
        <v>22.3</v>
      </c>
      <c r="F181" s="115" t="n">
        <v>37.25</v>
      </c>
      <c r="G181" s="115" t="n">
        <v>0.04</v>
      </c>
      <c r="H181" s="115" t="n">
        <v>3.02</v>
      </c>
      <c r="I181" s="115" t="n">
        <v>0.15</v>
      </c>
      <c r="J181" s="116" t="n">
        <v>36529</v>
      </c>
      <c r="K181" s="132" t="inlineStr">
        <is>
          <t>查看基金</t>
        </is>
      </c>
      <c r="L181" s="111">
        <f>H181/F181</f>
        <v/>
      </c>
    </row>
    <row customHeight="1" ht="17" r="182" s="155">
      <c r="A182" s="115" t="inlineStr">
        <is>
          <t>sz399973</t>
        </is>
      </c>
      <c r="B182" s="115" t="inlineStr">
        <is>
          <t>中证国防</t>
        </is>
      </c>
      <c r="C182" s="115" t="n">
        <v>1093.92</v>
      </c>
      <c r="D182" s="115" t="n">
        <v>0.35</v>
      </c>
      <c r="E182" s="115" t="n">
        <v>17.14</v>
      </c>
      <c r="F182" s="115" t="n">
        <v>40.07</v>
      </c>
      <c r="G182" s="115" t="n">
        <v>0.01</v>
      </c>
      <c r="H182" s="115" t="n">
        <v>2.85</v>
      </c>
      <c r="I182" s="115" t="n">
        <v>0.15</v>
      </c>
      <c r="J182" s="116" t="n">
        <v>41744</v>
      </c>
      <c r="K182" s="132" t="inlineStr">
        <is>
          <t>查看基金</t>
        </is>
      </c>
      <c r="L182" s="111">
        <f>H182/F182</f>
        <v/>
      </c>
    </row>
    <row customHeight="1" ht="17" r="183" s="155">
      <c r="A183" s="115" t="inlineStr">
        <is>
          <t>sz399975</t>
        </is>
      </c>
      <c r="B183" s="115" t="inlineStr">
        <is>
          <t>证券公司</t>
        </is>
      </c>
      <c r="C183" s="115" t="n">
        <v>683.3</v>
      </c>
      <c r="D183" s="115" t="n">
        <v>0.06</v>
      </c>
      <c r="E183" s="115" t="n">
        <v>25.3</v>
      </c>
      <c r="F183" s="115" t="n">
        <v>24.93</v>
      </c>
      <c r="G183" s="115" t="n">
        <v>0.5</v>
      </c>
      <c r="H183" s="115" t="n">
        <v>1.53</v>
      </c>
      <c r="I183" s="115" t="n">
        <v>0.15</v>
      </c>
      <c r="J183" s="116" t="n">
        <v>41470</v>
      </c>
      <c r="K183" s="132" t="inlineStr">
        <is>
          <t>查看基金</t>
        </is>
      </c>
      <c r="L183" s="111">
        <f>H183/F183</f>
        <v/>
      </c>
    </row>
    <row customHeight="1" ht="17" r="184" s="155">
      <c r="A184" s="115" t="inlineStr">
        <is>
          <t>si801084</t>
        </is>
      </c>
      <c r="B184" s="115" t="inlineStr">
        <is>
          <t>光学光电子(申万)</t>
        </is>
      </c>
      <c r="C184" s="115" t="n">
        <v>1389.77</v>
      </c>
      <c r="D184" s="115" t="n">
        <v>1.55</v>
      </c>
      <c r="E184" s="115" t="n">
        <v>29.44</v>
      </c>
      <c r="F184" s="115" t="n">
        <v>32.91</v>
      </c>
      <c r="G184" s="115" t="n">
        <v>0.23</v>
      </c>
      <c r="H184" s="115" t="n">
        <v>1.8</v>
      </c>
      <c r="I184" s="115" t="n">
        <v>0.16</v>
      </c>
      <c r="J184" s="116" t="n">
        <v>36529</v>
      </c>
      <c r="K184" s="132" t="inlineStr">
        <is>
          <t>查看基金</t>
        </is>
      </c>
      <c r="L184" s="111">
        <f>H184/F184</f>
        <v/>
      </c>
    </row>
    <row customHeight="1" ht="17" r="185" s="155">
      <c r="A185" s="115" t="inlineStr">
        <is>
          <t>si801082</t>
        </is>
      </c>
      <c r="B185" s="115" t="inlineStr">
        <is>
          <t>其他电子Ⅱ(申万)</t>
        </is>
      </c>
      <c r="C185" s="115" t="n">
        <v>4696.2</v>
      </c>
      <c r="D185" s="115" t="n">
        <v>1.88</v>
      </c>
      <c r="E185" s="115" t="n">
        <v>35.55</v>
      </c>
      <c r="F185" s="115" t="n">
        <v>37.8</v>
      </c>
      <c r="G185" s="115" t="n">
        <v>0.32</v>
      </c>
      <c r="H185" s="115" t="n">
        <v>2.97</v>
      </c>
      <c r="I185" s="115" t="n">
        <v>0.16</v>
      </c>
      <c r="J185" s="116" t="n">
        <v>36529</v>
      </c>
      <c r="K185" s="132" t="inlineStr">
        <is>
          <t>查看基金</t>
        </is>
      </c>
      <c r="L185" s="111">
        <f>H185/F185</f>
        <v/>
      </c>
    </row>
    <row customHeight="1" ht="17" r="186" s="155">
      <c r="A186" s="115" t="inlineStr">
        <is>
          <t>sz399805</t>
        </is>
      </c>
      <c r="B186" s="115" t="inlineStr">
        <is>
          <t>互联金融</t>
        </is>
      </c>
      <c r="C186" s="115" t="n">
        <v>2583.17</v>
      </c>
      <c r="D186" s="115" t="n">
        <v>-0.35</v>
      </c>
      <c r="E186" s="115" t="n">
        <v>26.59</v>
      </c>
      <c r="F186" s="115" t="n">
        <v>11.05</v>
      </c>
      <c r="G186" s="115" t="n">
        <v>0.04</v>
      </c>
      <c r="H186" s="115" t="n">
        <v>1.61</v>
      </c>
      <c r="I186" s="115" t="n">
        <v>0.16</v>
      </c>
      <c r="J186" s="116" t="n">
        <v>42045</v>
      </c>
      <c r="K186" s="132" t="inlineStr">
        <is>
          <t>查看基金</t>
        </is>
      </c>
      <c r="L186" s="111">
        <f>H186/F186</f>
        <v/>
      </c>
    </row>
    <row customHeight="1" ht="17" r="187" s="155">
      <c r="A187" s="115" t="inlineStr">
        <is>
          <t>si801012</t>
        </is>
      </c>
      <c r="B187" s="115" t="inlineStr">
        <is>
          <t>农产品加工(申万)</t>
        </is>
      </c>
      <c r="C187" s="115" t="n">
        <v>1772.48</v>
      </c>
      <c r="D187" s="115" t="n">
        <v>-0.76</v>
      </c>
      <c r="E187" s="115" t="n">
        <v>7.01</v>
      </c>
      <c r="F187" s="115" t="n">
        <v>27.41</v>
      </c>
      <c r="G187" s="115" t="n">
        <v>0.08</v>
      </c>
      <c r="H187" s="115" t="n">
        <v>2.1</v>
      </c>
      <c r="I187" s="115" t="n">
        <v>0.16</v>
      </c>
      <c r="J187" s="116" t="n">
        <v>36529</v>
      </c>
      <c r="K187" s="132" t="inlineStr">
        <is>
          <t>查看基金</t>
        </is>
      </c>
      <c r="L187" s="111">
        <f>H187/F187</f>
        <v/>
      </c>
    </row>
    <row customHeight="1" ht="17" r="188" s="155">
      <c r="A188" s="115" t="inlineStr">
        <is>
          <t>si801074</t>
        </is>
      </c>
      <c r="B188" s="115" t="inlineStr">
        <is>
          <t>专用设备(申万)</t>
        </is>
      </c>
      <c r="C188" s="115" t="n">
        <v>5349.04</v>
      </c>
      <c r="D188" s="115" t="n">
        <v>0.08</v>
      </c>
      <c r="E188" s="115" t="n">
        <v>25.54</v>
      </c>
      <c r="F188" s="115" t="n">
        <v>20.98</v>
      </c>
      <c r="G188" s="115" t="n">
        <v>0.21</v>
      </c>
      <c r="H188" s="115" t="n">
        <v>1.93</v>
      </c>
      <c r="I188" s="115" t="n">
        <v>0.16</v>
      </c>
      <c r="J188" s="116" t="n">
        <v>36529</v>
      </c>
      <c r="K188" s="132" t="inlineStr">
        <is>
          <t>查看基金</t>
        </is>
      </c>
      <c r="L188" s="111">
        <f>H188/F188</f>
        <v/>
      </c>
    </row>
    <row customHeight="1" ht="17" r="189" s="155">
      <c r="A189" s="115" t="inlineStr">
        <is>
          <t>sz399959</t>
        </is>
      </c>
      <c r="B189" s="115" t="inlineStr">
        <is>
          <t>军工指数</t>
        </is>
      </c>
      <c r="C189" s="115" t="n">
        <v>1017.75</v>
      </c>
      <c r="D189" s="115" t="n">
        <v>0.28</v>
      </c>
      <c r="E189" s="115" t="n">
        <v>22.4</v>
      </c>
      <c r="F189" s="115" t="n">
        <v>63.96</v>
      </c>
      <c r="G189" s="115" t="n">
        <v>0.39</v>
      </c>
      <c r="H189" s="115" t="n">
        <v>2.43</v>
      </c>
      <c r="I189" s="115" t="n">
        <v>0.16</v>
      </c>
      <c r="J189" s="116" t="n">
        <v>40785</v>
      </c>
      <c r="K189" s="132" t="inlineStr">
        <is>
          <t>查看基金</t>
        </is>
      </c>
      <c r="L189" s="111">
        <f>H189/F189</f>
        <v/>
      </c>
    </row>
    <row customHeight="1" ht="17" r="190" s="155">
      <c r="A190" s="115" t="inlineStr">
        <is>
          <t>si801732</t>
        </is>
      </c>
      <c r="B190" s="115" t="inlineStr">
        <is>
          <t>电气自动化设备(申万)</t>
        </is>
      </c>
      <c r="C190" s="115" t="n">
        <v>4105.08</v>
      </c>
      <c r="D190" s="115" t="n">
        <v>0.07000000000000001</v>
      </c>
      <c r="E190" s="115" t="n">
        <v>19.92</v>
      </c>
      <c r="F190" s="115" t="n">
        <v>33.44</v>
      </c>
      <c r="G190" s="115" t="n">
        <v>0.39</v>
      </c>
      <c r="H190" s="115" t="n">
        <v>2.35</v>
      </c>
      <c r="I190" s="115" t="n">
        <v>0.16</v>
      </c>
      <c r="J190" s="116" t="n">
        <v>36529</v>
      </c>
      <c r="K190" s="132" t="inlineStr">
        <is>
          <t>查看基金</t>
        </is>
      </c>
      <c r="L190" s="111">
        <f>H190/F190</f>
        <v/>
      </c>
    </row>
    <row customHeight="1" ht="17" r="191" s="155">
      <c r="A191" s="115" t="inlineStr">
        <is>
          <t>si801141</t>
        </is>
      </c>
      <c r="B191" s="115" t="inlineStr">
        <is>
          <t>包装印刷Ⅱ(申万)</t>
        </is>
      </c>
      <c r="C191" s="115" t="n">
        <v>2314.33</v>
      </c>
      <c r="D191" s="115" t="n">
        <v>-2.01</v>
      </c>
      <c r="E191" s="115" t="n">
        <v>7.63</v>
      </c>
      <c r="F191" s="115" t="n">
        <v>25.78</v>
      </c>
      <c r="G191" s="115" t="n">
        <v>0.17</v>
      </c>
      <c r="H191" s="115" t="n">
        <v>1.96</v>
      </c>
      <c r="I191" s="115" t="n">
        <v>0.16</v>
      </c>
      <c r="J191" s="116" t="n">
        <v>36529</v>
      </c>
      <c r="K191" s="132" t="inlineStr">
        <is>
          <t>查看基金</t>
        </is>
      </c>
      <c r="L191" s="111">
        <f>H191/F191</f>
        <v/>
      </c>
    </row>
    <row customHeight="1" ht="17" r="192" s="155">
      <c r="A192" s="115" t="inlineStr">
        <is>
          <t>csi930720</t>
        </is>
      </c>
      <c r="B192" s="115" t="inlineStr">
        <is>
          <t>CS互医疗</t>
        </is>
      </c>
      <c r="C192" s="115" t="n">
        <v>3013.6</v>
      </c>
      <c r="D192" s="115" t="n">
        <v>-0.21</v>
      </c>
      <c r="E192" s="115" t="n">
        <v>35.87</v>
      </c>
      <c r="F192" s="115" t="n">
        <v>12.81</v>
      </c>
      <c r="G192" s="115" t="n">
        <v>0.01</v>
      </c>
      <c r="H192" s="115" t="n">
        <v>2.84</v>
      </c>
      <c r="I192" s="115" t="n">
        <v>0.16</v>
      </c>
      <c r="J192" s="116" t="n">
        <v>42221</v>
      </c>
      <c r="K192" s="132" t="inlineStr">
        <is>
          <t>查看基金</t>
        </is>
      </c>
      <c r="L192" s="111">
        <f>H192/F192</f>
        <v/>
      </c>
    </row>
    <row customHeight="1" ht="17" r="193" s="155">
      <c r="A193" s="115" t="inlineStr">
        <is>
          <t>hihscei</t>
        </is>
      </c>
      <c r="B193" s="115" t="inlineStr">
        <is>
          <t>恒生国企指数</t>
        </is>
      </c>
      <c r="C193" s="115" t="n">
        <v>10617.37</v>
      </c>
      <c r="D193" s="115" t="n">
        <v>-0.11</v>
      </c>
      <c r="E193" s="115" t="n">
        <v>4.87</v>
      </c>
      <c r="F193" s="115" t="n">
        <v>8.44</v>
      </c>
      <c r="G193" s="115" t="n">
        <v>0.29</v>
      </c>
      <c r="H193" s="115" t="n">
        <v>0.97</v>
      </c>
      <c r="I193" s="115" t="n">
        <v>0.17</v>
      </c>
      <c r="J193" s="116" t="n">
        <v>37438</v>
      </c>
      <c r="K193" s="132" t="inlineStr">
        <is>
          <t>查看基金</t>
        </is>
      </c>
      <c r="L193" s="111">
        <f>H193/F193</f>
        <v/>
      </c>
    </row>
    <row customHeight="1" ht="17" r="194" s="155">
      <c r="A194" s="115" t="inlineStr">
        <is>
          <t>si801740</t>
        </is>
      </c>
      <c r="B194" s="115" t="inlineStr">
        <is>
          <t>国防军工(申万)</t>
        </is>
      </c>
      <c r="C194" s="115" t="n">
        <v>1068.72</v>
      </c>
      <c r="D194" s="115" t="n">
        <v>0.49</v>
      </c>
      <c r="E194" s="115" t="n">
        <v>20.67</v>
      </c>
      <c r="F194" s="115" t="n">
        <v>54.57</v>
      </c>
      <c r="G194" s="115" t="n">
        <v>0.34</v>
      </c>
      <c r="H194" s="115" t="n">
        <v>2.27</v>
      </c>
      <c r="I194" s="115" t="n">
        <v>0.17</v>
      </c>
      <c r="J194" s="116" t="n">
        <v>36529</v>
      </c>
      <c r="K194" s="132" t="inlineStr">
        <is>
          <t>查看基金</t>
        </is>
      </c>
      <c r="L194" s="111">
        <f>H194/F194</f>
        <v/>
      </c>
    </row>
    <row customHeight="1" ht="17" r="195" s="155">
      <c r="A195" s="115" t="inlineStr">
        <is>
          <t>si801711</t>
        </is>
      </c>
      <c r="B195" s="115" t="inlineStr">
        <is>
          <t>水泥制造Ⅱ(申万)</t>
        </is>
      </c>
      <c r="C195" s="115" t="n">
        <v>7449.79</v>
      </c>
      <c r="D195" s="115" t="n">
        <v>-1.88</v>
      </c>
      <c r="E195" s="115" t="n">
        <v>41.42</v>
      </c>
      <c r="F195" s="115" t="n">
        <v>8.380000000000001</v>
      </c>
      <c r="G195" s="115" t="n">
        <v>0.03</v>
      </c>
      <c r="H195" s="115" t="n">
        <v>1.47</v>
      </c>
      <c r="I195" s="115" t="n">
        <v>0.17</v>
      </c>
      <c r="J195" s="116" t="n">
        <v>36529</v>
      </c>
      <c r="K195" s="132" t="inlineStr">
        <is>
          <t>查看基金</t>
        </is>
      </c>
      <c r="L195" s="111">
        <f>H195/F195</f>
        <v/>
      </c>
    </row>
    <row customHeight="1" ht="17" r="196" s="155">
      <c r="A196" s="115" t="inlineStr">
        <is>
          <t>sz399983</t>
        </is>
      </c>
      <c r="B196" s="115" t="inlineStr">
        <is>
          <t>地产等权</t>
        </is>
      </c>
      <c r="C196" s="115" t="n">
        <v>7117.61</v>
      </c>
      <c r="D196" s="115" t="n">
        <v>-0.19</v>
      </c>
      <c r="E196" s="115" t="n">
        <v>22.59</v>
      </c>
      <c r="F196" s="115" t="n">
        <v>7.63</v>
      </c>
      <c r="G196" s="115" t="n">
        <v>0.05</v>
      </c>
      <c r="H196" s="115" t="n">
        <v>1.56</v>
      </c>
      <c r="I196" s="115" t="n">
        <v>0.17</v>
      </c>
      <c r="J196" s="116" t="n">
        <v>40114</v>
      </c>
      <c r="K196" s="132" t="inlineStr">
        <is>
          <t>查看基金</t>
        </is>
      </c>
      <c r="L196" s="111">
        <f>H196/F196</f>
        <v/>
      </c>
    </row>
    <row customHeight="1" ht="17" r="197" s="155">
      <c r="A197" s="115" t="inlineStr">
        <is>
          <t>sh000051</t>
        </is>
      </c>
      <c r="B197" s="115" t="inlineStr">
        <is>
          <t>180等权</t>
        </is>
      </c>
      <c r="C197" s="115" t="n">
        <v>7809.71</v>
      </c>
      <c r="D197" s="115" t="n">
        <v>0.3</v>
      </c>
      <c r="E197" s="115" t="n">
        <v>16.86</v>
      </c>
      <c r="F197" s="115" t="n">
        <v>10.41</v>
      </c>
      <c r="G197" s="115" t="n">
        <v>0.46</v>
      </c>
      <c r="H197" s="115" t="n">
        <v>1.25</v>
      </c>
      <c r="I197" s="115" t="n">
        <v>0.18</v>
      </c>
      <c r="J197" s="116" t="n">
        <v>40687</v>
      </c>
      <c r="K197" s="132" t="inlineStr">
        <is>
          <t>查看基金</t>
        </is>
      </c>
      <c r="L197" s="111">
        <f>H197/F197</f>
        <v/>
      </c>
    </row>
    <row customHeight="1" ht="17" r="198" s="155">
      <c r="A198" s="115" t="inlineStr">
        <is>
          <t>si801742</t>
        </is>
      </c>
      <c r="B198" s="115" t="inlineStr">
        <is>
          <t>航空装备Ⅱ(申万)</t>
        </is>
      </c>
      <c r="C198" s="115" t="n">
        <v>5533.84</v>
      </c>
      <c r="D198" s="115" t="n">
        <v>0.76</v>
      </c>
      <c r="E198" s="115" t="n">
        <v>13.71</v>
      </c>
      <c r="F198" s="115" t="n">
        <v>44.12</v>
      </c>
      <c r="G198" s="115" t="n">
        <v>0.05</v>
      </c>
      <c r="H198" s="115" t="n">
        <v>2.51</v>
      </c>
      <c r="I198" s="115" t="n">
        <v>0.18</v>
      </c>
      <c r="J198" s="116" t="n">
        <v>36529</v>
      </c>
      <c r="K198" s="132" t="inlineStr">
        <is>
          <t>查看基金</t>
        </is>
      </c>
      <c r="L198" s="111">
        <f>H198/F198</f>
        <v/>
      </c>
    </row>
    <row customHeight="1" ht="17" r="199" s="155">
      <c r="A199" s="115" t="inlineStr">
        <is>
          <t>si801112</t>
        </is>
      </c>
      <c r="B199" s="115" t="inlineStr">
        <is>
          <t>视听器材(申万)</t>
        </is>
      </c>
      <c r="C199" s="115" t="n">
        <v>967.41</v>
      </c>
      <c r="D199" s="115" t="n">
        <v>0.8</v>
      </c>
      <c r="E199" s="115" t="n">
        <v>18.24</v>
      </c>
      <c r="F199" s="115" t="n">
        <v>38.4</v>
      </c>
      <c r="G199" s="115" t="n">
        <v>0.5</v>
      </c>
      <c r="H199" s="115" t="n">
        <v>1.28</v>
      </c>
      <c r="I199" s="115" t="n">
        <v>0.18</v>
      </c>
      <c r="J199" s="116" t="n">
        <v>36529</v>
      </c>
      <c r="K199" s="132" t="inlineStr">
        <is>
          <t>查看基金</t>
        </is>
      </c>
      <c r="L199" s="111">
        <f>H199/F199</f>
        <v/>
      </c>
    </row>
    <row customHeight="1" ht="17" r="200" s="155">
      <c r="A200" s="115" t="inlineStr">
        <is>
          <t>sh000933</t>
        </is>
      </c>
      <c r="B200" s="115" t="inlineStr">
        <is>
          <t>中证医药</t>
        </is>
      </c>
      <c r="C200" s="115" t="n">
        <v>9988.66</v>
      </c>
      <c r="D200" s="115" t="n">
        <v>0.59</v>
      </c>
      <c r="E200" s="115" t="n">
        <v>29.77</v>
      </c>
      <c r="F200" s="115" t="n">
        <v>35.29</v>
      </c>
      <c r="G200" s="115" t="n">
        <v>0.73</v>
      </c>
      <c r="H200" s="115" t="n">
        <v>3.81</v>
      </c>
      <c r="I200" s="115" t="n">
        <v>0.18</v>
      </c>
      <c r="J200" s="116" t="n">
        <v>39997</v>
      </c>
      <c r="K200" s="132" t="inlineStr">
        <is>
          <t>查看基金</t>
        </is>
      </c>
      <c r="L200" s="111">
        <f>H200/F200</f>
        <v/>
      </c>
    </row>
    <row customHeight="1" ht="17" r="201" s="155">
      <c r="A201" s="115" t="inlineStr">
        <is>
          <t>sh000903</t>
        </is>
      </c>
      <c r="B201" s="115" t="inlineStr">
        <is>
          <t>中证100</t>
        </is>
      </c>
      <c r="C201" s="115" t="n">
        <v>4138.13</v>
      </c>
      <c r="D201" s="115" t="n">
        <v>0.1</v>
      </c>
      <c r="E201" s="115" t="n">
        <v>29.89</v>
      </c>
      <c r="F201" s="115" t="n">
        <v>10.8</v>
      </c>
      <c r="G201" s="115" t="n">
        <v>0.34</v>
      </c>
      <c r="H201" s="115" t="n">
        <v>1.34</v>
      </c>
      <c r="I201" s="115" t="n">
        <v>0.19</v>
      </c>
      <c r="J201" s="116" t="n">
        <v>38721</v>
      </c>
      <c r="K201" s="132" t="inlineStr">
        <is>
          <t>查看基金</t>
        </is>
      </c>
      <c r="L201" s="111">
        <f>H201/F201</f>
        <v/>
      </c>
    </row>
    <row customHeight="1" ht="17" r="202" s="155">
      <c r="A202" s="115" t="inlineStr">
        <is>
          <t>gidjsoep</t>
        </is>
      </c>
      <c r="B202" s="115" t="inlineStr">
        <is>
          <t>道琼斯美国石油开发与生产</t>
        </is>
      </c>
      <c r="C202" s="115" t="n">
        <v>6656.32</v>
      </c>
      <c r="D202" s="115" t="n">
        <v>0.73</v>
      </c>
      <c r="E202" s="115" t="n">
        <v>0.72</v>
      </c>
      <c r="F202" s="115" t="n">
        <v>16.67</v>
      </c>
      <c r="G202" s="115" t="n">
        <v>0.95</v>
      </c>
      <c r="H202" s="115" t="n">
        <v>1.32</v>
      </c>
      <c r="I202" s="115" t="n">
        <v>0.19</v>
      </c>
      <c r="J202" s="116" t="n">
        <v>43483</v>
      </c>
      <c r="K202" s="132" t="inlineStr">
        <is>
          <t>查看基金</t>
        </is>
      </c>
      <c r="L202" s="111">
        <f>H202/F202</f>
        <v/>
      </c>
    </row>
    <row customHeight="1" ht="17" r="203" s="155">
      <c r="A203" s="115" t="inlineStr">
        <is>
          <t>si801182</t>
        </is>
      </c>
      <c r="B203" s="115" t="inlineStr">
        <is>
          <t>园区开发Ⅱ(申万)</t>
        </is>
      </c>
      <c r="C203" s="115" t="n">
        <v>2278.55</v>
      </c>
      <c r="D203" s="115" t="n">
        <v>-1.19</v>
      </c>
      <c r="E203" s="115" t="n">
        <v>7.88</v>
      </c>
      <c r="F203" s="115" t="n">
        <v>19.18</v>
      </c>
      <c r="G203" s="115" t="n">
        <v>0.02</v>
      </c>
      <c r="H203" s="115" t="n">
        <v>1.86</v>
      </c>
      <c r="I203" s="115" t="n">
        <v>0.19</v>
      </c>
      <c r="J203" s="116" t="n">
        <v>36529</v>
      </c>
      <c r="K203" s="132" t="inlineStr">
        <is>
          <t>查看基金</t>
        </is>
      </c>
      <c r="L203" s="111">
        <f>H203/F203</f>
        <v/>
      </c>
    </row>
    <row customHeight="1" ht="17" r="204" s="155">
      <c r="A204" s="115" t="inlineStr">
        <is>
          <t>sh000974</t>
        </is>
      </c>
      <c r="B204" s="115" t="inlineStr">
        <is>
          <t>800金融</t>
        </is>
      </c>
      <c r="C204" s="115" t="n">
        <v>6390.59</v>
      </c>
      <c r="D204" s="115" t="n">
        <v>-0.34</v>
      </c>
      <c r="E204" s="115" t="n">
        <v>25.4</v>
      </c>
      <c r="F204" s="115" t="n">
        <v>8.27</v>
      </c>
      <c r="G204" s="115" t="n">
        <v>0.59</v>
      </c>
      <c r="H204" s="115" t="n">
        <v>1.03</v>
      </c>
      <c r="I204" s="115" t="n">
        <v>0.19</v>
      </c>
      <c r="J204" s="116" t="n">
        <v>41403</v>
      </c>
      <c r="K204" s="132" t="inlineStr">
        <is>
          <t>查看基金</t>
        </is>
      </c>
      <c r="L204" s="111">
        <f>H204/F204</f>
        <v/>
      </c>
    </row>
    <row customHeight="1" ht="17" r="205" s="155">
      <c r="A205" s="115" t="inlineStr">
        <is>
          <t>csi930648</t>
        </is>
      </c>
      <c r="B205" s="115" t="inlineStr">
        <is>
          <t>CS智消费</t>
        </is>
      </c>
      <c r="C205" s="115" t="n">
        <v>2389.01</v>
      </c>
      <c r="D205" s="115" t="n">
        <v>-0.92</v>
      </c>
      <c r="E205" s="115" t="n">
        <v>34.64</v>
      </c>
      <c r="F205" s="115" t="n">
        <v>22.92</v>
      </c>
      <c r="G205" s="115" t="n">
        <v>0.43</v>
      </c>
      <c r="H205" s="115" t="n">
        <v>2.82</v>
      </c>
      <c r="I205" s="115" t="n">
        <v>0.19</v>
      </c>
      <c r="J205" s="116" t="n">
        <v>42160</v>
      </c>
      <c r="K205" s="132" t="inlineStr">
        <is>
          <t>查看基金</t>
        </is>
      </c>
      <c r="L205" s="111">
        <f>H205/F205</f>
        <v/>
      </c>
    </row>
    <row customHeight="1" ht="17" r="206" s="155">
      <c r="A206" s="115" t="inlineStr">
        <is>
          <t>csi930659</t>
        </is>
      </c>
      <c r="B206" s="115" t="inlineStr">
        <is>
          <t>CS能源互</t>
        </is>
      </c>
      <c r="C206" s="115" t="n">
        <v>1399.34</v>
      </c>
      <c r="D206" s="115" t="n">
        <v>0.59</v>
      </c>
      <c r="E206" s="115" t="n">
        <v>22.8</v>
      </c>
      <c r="F206" s="115" t="n">
        <v>30.87</v>
      </c>
      <c r="G206" s="115" t="n">
        <v>0.34</v>
      </c>
      <c r="H206" s="115" t="n">
        <v>2.24</v>
      </c>
      <c r="I206" s="115" t="n">
        <v>0.19</v>
      </c>
      <c r="J206" s="116" t="n">
        <v>42166</v>
      </c>
      <c r="K206" s="132" t="inlineStr">
        <is>
          <t>查看基金</t>
        </is>
      </c>
      <c r="L206" s="111">
        <f>H206/F206</f>
        <v/>
      </c>
    </row>
    <row customHeight="1" ht="17" r="207" s="155">
      <c r="A207" s="115" t="inlineStr">
        <is>
          <t>sz399422</t>
        </is>
      </c>
      <c r="B207" s="115" t="inlineStr">
        <is>
          <t>中关村A</t>
        </is>
      </c>
      <c r="C207" s="115" t="n">
        <v>2553.79</v>
      </c>
      <c r="D207" s="115" t="n">
        <v>0.23</v>
      </c>
      <c r="E207" s="115" t="n">
        <v>21.39</v>
      </c>
      <c r="F207" s="115" t="n">
        <v>28.31</v>
      </c>
      <c r="G207" s="115" t="n">
        <v>0.26</v>
      </c>
      <c r="H207" s="115" t="n">
        <v>1.9</v>
      </c>
      <c r="I207" s="115" t="n">
        <v>0.19</v>
      </c>
      <c r="J207" s="116" t="n">
        <v>42725</v>
      </c>
      <c r="K207" s="132" t="inlineStr">
        <is>
          <t>查看基金</t>
        </is>
      </c>
      <c r="L207" s="111">
        <f>H207/F207</f>
        <v/>
      </c>
    </row>
    <row customHeight="1" ht="17" r="208" s="155">
      <c r="A208" s="115" t="inlineStr">
        <is>
          <t>sh000048</t>
        </is>
      </c>
      <c r="B208" s="115" t="inlineStr">
        <is>
          <t>责任指数</t>
        </is>
      </c>
      <c r="C208" s="115" t="n">
        <v>1449.89</v>
      </c>
      <c r="D208" s="115" t="n">
        <v>-0.36</v>
      </c>
      <c r="E208" s="115" t="n">
        <v>21.57</v>
      </c>
      <c r="F208" s="115" t="n">
        <v>9.859999999999999</v>
      </c>
      <c r="G208" s="115" t="n">
        <v>0.2</v>
      </c>
      <c r="H208" s="115" t="n">
        <v>1.33</v>
      </c>
      <c r="I208" s="115" t="n">
        <v>0.19</v>
      </c>
      <c r="J208" s="116" t="n">
        <v>40030</v>
      </c>
      <c r="K208" s="132" t="inlineStr">
        <is>
          <t>查看基金</t>
        </is>
      </c>
      <c r="L208" s="111">
        <f>H208/F208</f>
        <v/>
      </c>
    </row>
    <row customHeight="1" ht="17" r="209" s="155">
      <c r="A209" s="115" t="inlineStr">
        <is>
          <t>sz399996</t>
        </is>
      </c>
      <c r="B209" s="115" t="inlineStr">
        <is>
          <t>智能家居</t>
        </is>
      </c>
      <c r="C209" s="115" t="n">
        <v>2476.96</v>
      </c>
      <c r="D209" s="115" t="n">
        <v>0.6</v>
      </c>
      <c r="E209" s="115" t="n">
        <v>38.41</v>
      </c>
      <c r="F209" s="115" t="n">
        <v>25.64</v>
      </c>
      <c r="G209" s="115" t="n">
        <v>0.16</v>
      </c>
      <c r="H209" s="115" t="n">
        <v>3.19</v>
      </c>
      <c r="I209" s="115" t="n">
        <v>0.19</v>
      </c>
      <c r="J209" s="116" t="n">
        <v>41899</v>
      </c>
      <c r="K209" s="132" t="inlineStr">
        <is>
          <t>查看基金</t>
        </is>
      </c>
      <c r="L209" s="111">
        <f>H209/F209</f>
        <v/>
      </c>
    </row>
    <row customHeight="1" ht="17" r="210" s="155">
      <c r="A210" s="115" t="inlineStr">
        <is>
          <t>sz399810</t>
        </is>
      </c>
      <c r="B210" s="115" t="inlineStr">
        <is>
          <t>CSSW传媒</t>
        </is>
      </c>
      <c r="C210" s="115" t="n">
        <v>2637.06</v>
      </c>
      <c r="D210" s="115" t="n">
        <v>-2.01</v>
      </c>
      <c r="E210" s="115" t="n">
        <v>15.55</v>
      </c>
      <c r="F210" s="115" t="n">
        <v>39.62</v>
      </c>
      <c r="G210" s="115" t="n">
        <v>0.52</v>
      </c>
      <c r="H210" s="115" t="n">
        <v>2.07</v>
      </c>
      <c r="I210" s="115" t="n">
        <v>0.19</v>
      </c>
      <c r="J210" s="116" t="n">
        <v>42219</v>
      </c>
      <c r="K210" s="132" t="inlineStr">
        <is>
          <t>查看基金</t>
        </is>
      </c>
      <c r="L210" s="111">
        <f>H210/F210</f>
        <v/>
      </c>
    </row>
    <row customHeight="1" ht="17" r="211" s="155">
      <c r="A211" s="115" t="inlineStr">
        <is>
          <t>csi930790</t>
        </is>
      </c>
      <c r="B211" s="115" t="inlineStr">
        <is>
          <t>CS娱乐TI</t>
        </is>
      </c>
      <c r="C211" s="115" t="n">
        <v>1229.06</v>
      </c>
      <c r="D211" s="115" t="n">
        <v>0.5</v>
      </c>
      <c r="E211" s="115" t="n">
        <v>8.74</v>
      </c>
      <c r="F211" s="115" t="n">
        <v>76.05</v>
      </c>
      <c r="G211" s="115" t="n">
        <v>0.95</v>
      </c>
      <c r="H211" s="115" t="n">
        <v>2.05</v>
      </c>
      <c r="I211" s="115" t="n">
        <v>0.19</v>
      </c>
      <c r="J211" s="116" t="n">
        <v>42451</v>
      </c>
      <c r="K211" s="132" t="inlineStr">
        <is>
          <t>查看基金</t>
        </is>
      </c>
      <c r="L211" s="111">
        <f>H211/F211</f>
        <v/>
      </c>
    </row>
    <row customHeight="1" ht="17" r="212" s="155">
      <c r="A212" s="115" t="inlineStr">
        <is>
          <t>csi930654</t>
        </is>
      </c>
      <c r="B212" s="115" t="inlineStr">
        <is>
          <t>CS休闲娱</t>
        </is>
      </c>
      <c r="C212" s="115" t="n">
        <v>3278.77</v>
      </c>
      <c r="D212" s="115" t="n">
        <v>-2.02</v>
      </c>
      <c r="E212" s="115" t="n">
        <v>2.22</v>
      </c>
      <c r="F212" s="115" t="n">
        <v>848.26</v>
      </c>
      <c r="G212" s="115" t="n">
        <v>0.9399999999999999</v>
      </c>
      <c r="H212" s="115" t="n">
        <v>2.42</v>
      </c>
      <c r="I212" s="115" t="n">
        <v>0.2</v>
      </c>
      <c r="J212" s="116" t="n">
        <v>42160</v>
      </c>
      <c r="K212" s="132" t="inlineStr">
        <is>
          <t>查看基金</t>
        </is>
      </c>
      <c r="L212" s="111">
        <f>H212/F212</f>
        <v/>
      </c>
    </row>
    <row customHeight="1" ht="17" r="213" s="155">
      <c r="A213" s="115" t="inlineStr">
        <is>
          <t>sh000033</t>
        </is>
      </c>
      <c r="B213" s="115" t="inlineStr">
        <is>
          <t>上证材料</t>
        </is>
      </c>
      <c r="C213" s="115" t="n">
        <v>1816.22</v>
      </c>
      <c r="D213" s="115" t="n">
        <v>-1.45</v>
      </c>
      <c r="E213" s="115" t="n">
        <v>14.07</v>
      </c>
      <c r="F213" s="115" t="n">
        <v>14.22</v>
      </c>
      <c r="G213" s="115" t="n">
        <v>0.74</v>
      </c>
      <c r="H213" s="115" t="n">
        <v>1.58</v>
      </c>
      <c r="I213" s="115" t="n">
        <v>0.2</v>
      </c>
      <c r="J213" s="116" t="n">
        <v>43179</v>
      </c>
      <c r="K213" s="132" t="inlineStr">
        <is>
          <t>查看基金</t>
        </is>
      </c>
      <c r="L213" s="111">
        <f>H213/F213</f>
        <v/>
      </c>
    </row>
    <row customHeight="1" ht="17" r="214" s="155">
      <c r="A214" s="115" t="inlineStr">
        <is>
          <t>si801176</t>
        </is>
      </c>
      <c r="B214" s="115" t="inlineStr">
        <is>
          <t>航运Ⅱ(申万)</t>
        </is>
      </c>
      <c r="C214" s="115" t="n">
        <v>1371.97</v>
      </c>
      <c r="D214" s="115" t="n">
        <v>-0.35</v>
      </c>
      <c r="E214" s="115" t="n">
        <v>26.93</v>
      </c>
      <c r="F214" s="115" t="n">
        <v>27.83</v>
      </c>
      <c r="G214" s="115" t="n">
        <v>0.26</v>
      </c>
      <c r="H214" s="115" t="n">
        <v>1.56</v>
      </c>
      <c r="I214" s="115" t="n">
        <v>0.21</v>
      </c>
      <c r="J214" s="116" t="n">
        <v>36529</v>
      </c>
      <c r="K214" s="132" t="inlineStr">
        <is>
          <t>查看基金</t>
        </is>
      </c>
      <c r="L214" s="111">
        <f>H214/F214</f>
        <v/>
      </c>
    </row>
    <row customHeight="1" ht="17" r="215" s="155">
      <c r="A215" s="115" t="inlineStr">
        <is>
          <t>si801721</t>
        </is>
      </c>
      <c r="B215" s="115" t="inlineStr">
        <is>
          <t>房屋建设Ⅱ(申万)</t>
        </is>
      </c>
      <c r="C215" s="115" t="n">
        <v>3336.77</v>
      </c>
      <c r="D215" s="115" t="n">
        <v>-0.32</v>
      </c>
      <c r="E215" s="115" t="n">
        <v>-2.37</v>
      </c>
      <c r="F215" s="115" t="n">
        <v>6.71</v>
      </c>
      <c r="G215" s="115" t="n">
        <v>0.19</v>
      </c>
      <c r="H215" s="115" t="n">
        <v>1.03</v>
      </c>
      <c r="I215" s="115" t="n">
        <v>0.21</v>
      </c>
      <c r="J215" s="116" t="n">
        <v>40826</v>
      </c>
      <c r="K215" s="132" t="inlineStr">
        <is>
          <t>查看基金</t>
        </is>
      </c>
      <c r="L215" s="111">
        <f>H215/F215</f>
        <v/>
      </c>
    </row>
    <row customHeight="1" ht="17" r="216" s="155">
      <c r="A216" s="115" t="inlineStr">
        <is>
          <t>csi930713</t>
        </is>
      </c>
      <c r="B216" s="115" t="inlineStr">
        <is>
          <t>CS人工智</t>
        </is>
      </c>
      <c r="C216" s="115" t="n">
        <v>2694.92</v>
      </c>
      <c r="D216" s="115" t="n">
        <v>0.35</v>
      </c>
      <c r="E216" s="115" t="n">
        <v>42.04</v>
      </c>
      <c r="F216" s="115" t="n">
        <v>45.29</v>
      </c>
      <c r="G216" s="115" t="n">
        <v>0.26</v>
      </c>
      <c r="H216" s="115" t="n">
        <v>3.97</v>
      </c>
      <c r="I216" s="115" t="n">
        <v>0.21</v>
      </c>
      <c r="J216" s="116" t="n">
        <v>42216</v>
      </c>
      <c r="K216" s="132" t="inlineStr">
        <is>
          <t>查看基金</t>
        </is>
      </c>
      <c r="L216" s="111">
        <f>H216/F216</f>
        <v/>
      </c>
    </row>
    <row customHeight="1" ht="17" r="217" s="155">
      <c r="A217" s="115" t="inlineStr">
        <is>
          <t>sz399313</t>
        </is>
      </c>
      <c r="B217" s="115" t="inlineStr">
        <is>
          <t>巨潮100</t>
        </is>
      </c>
      <c r="C217" s="115" t="n">
        <v>4690.66</v>
      </c>
      <c r="D217" s="115" t="n">
        <v>0.19</v>
      </c>
      <c r="E217" s="115" t="n">
        <v>32.46</v>
      </c>
      <c r="F217" s="115" t="n">
        <v>10.65</v>
      </c>
      <c r="G217" s="115" t="n">
        <v>0.34</v>
      </c>
      <c r="H217" s="115" t="n">
        <v>1.34</v>
      </c>
      <c r="I217" s="115" t="n">
        <v>0.22</v>
      </c>
      <c r="J217" s="116" t="n">
        <v>38356</v>
      </c>
      <c r="K217" s="132" t="inlineStr">
        <is>
          <t>查看基金</t>
        </is>
      </c>
      <c r="L217" s="111">
        <f>H217/F217</f>
        <v/>
      </c>
    </row>
    <row customHeight="1" ht="17" r="218" s="155">
      <c r="A218" s="115" t="inlineStr">
        <is>
          <t>sh000009</t>
        </is>
      </c>
      <c r="B218" s="115" t="inlineStr">
        <is>
          <t>上证380</t>
        </is>
      </c>
      <c r="C218" s="115" t="n">
        <v>4523.5</v>
      </c>
      <c r="D218" s="115" t="n">
        <v>-0.22</v>
      </c>
      <c r="E218" s="115" t="n">
        <v>17.25</v>
      </c>
      <c r="F218" s="115" t="n">
        <v>17.93</v>
      </c>
      <c r="G218" s="115" t="n">
        <v>0.09</v>
      </c>
      <c r="H218" s="115" t="n">
        <v>1.85</v>
      </c>
      <c r="I218" s="115" t="n">
        <v>0.22</v>
      </c>
      <c r="J218" s="116" t="n">
        <v>40511</v>
      </c>
      <c r="K218" s="132" t="inlineStr">
        <is>
          <t>查看基金</t>
        </is>
      </c>
      <c r="L218" s="111">
        <f>H218/F218</f>
        <v/>
      </c>
    </row>
    <row customHeight="1" ht="17" r="219" s="155">
      <c r="A219" s="115" t="inlineStr">
        <is>
          <t>si801211</t>
        </is>
      </c>
      <c r="B219" s="115" t="inlineStr">
        <is>
          <t>餐饮Ⅱ(申万)</t>
        </is>
      </c>
      <c r="C219" s="115" t="n">
        <v>682.34</v>
      </c>
      <c r="D219" s="115" t="n">
        <v>-0.78</v>
      </c>
      <c r="E219" s="115" t="n">
        <v>-14.27</v>
      </c>
      <c r="F219" s="115" t="n">
        <v>900.58</v>
      </c>
      <c r="G219" s="115" t="n">
        <v>1</v>
      </c>
      <c r="H219" s="115" t="n">
        <v>3.53</v>
      </c>
      <c r="I219" s="115" t="n">
        <v>0.22</v>
      </c>
      <c r="J219" s="116" t="n">
        <v>36529</v>
      </c>
      <c r="K219" s="132" t="inlineStr">
        <is>
          <t>查看基金</t>
        </is>
      </c>
      <c r="L219" s="111">
        <f>H219/F219</f>
        <v/>
      </c>
    </row>
    <row customHeight="1" ht="17" r="220" s="155">
      <c r="A220" s="115" t="inlineStr">
        <is>
          <t>sh000991</t>
        </is>
      </c>
      <c r="B220" s="115" t="inlineStr">
        <is>
          <t>全指医药</t>
        </is>
      </c>
      <c r="C220" s="115" t="n">
        <v>9855.35</v>
      </c>
      <c r="D220" s="115" t="n">
        <v>0.5600000000000001</v>
      </c>
      <c r="E220" s="115" t="n">
        <v>32.61</v>
      </c>
      <c r="F220" s="115" t="n">
        <v>37.5</v>
      </c>
      <c r="G220" s="115" t="n">
        <v>0.5600000000000001</v>
      </c>
      <c r="H220" s="115" t="n">
        <v>3.77</v>
      </c>
      <c r="I220" s="115" t="n">
        <v>0.22</v>
      </c>
      <c r="J220" s="116" t="n">
        <v>40757</v>
      </c>
      <c r="K220" s="132" t="inlineStr">
        <is>
          <t>查看基金</t>
        </is>
      </c>
      <c r="L220" s="111">
        <f>H220/F220</f>
        <v/>
      </c>
    </row>
    <row customHeight="1" ht="17" r="221" s="155">
      <c r="A221" s="115" t="inlineStr">
        <is>
          <t>csi930734</t>
        </is>
      </c>
      <c r="B221" s="115" t="inlineStr">
        <is>
          <t>360互联+</t>
        </is>
      </c>
      <c r="C221" s="115" t="n">
        <v>6988.21</v>
      </c>
      <c r="D221" s="115" t="n">
        <v>-0.28</v>
      </c>
      <c r="E221" s="115" t="n">
        <v>28.65</v>
      </c>
      <c r="F221" s="115" t="n">
        <v>13.53</v>
      </c>
      <c r="G221" s="115" t="n">
        <v>0</v>
      </c>
      <c r="H221" s="115" t="n">
        <v>2.41</v>
      </c>
      <c r="I221" s="115" t="n">
        <v>0.23</v>
      </c>
      <c r="J221" s="116" t="n">
        <v>42226</v>
      </c>
      <c r="K221" s="132" t="inlineStr">
        <is>
          <t>查看基金</t>
        </is>
      </c>
      <c r="L221" s="111">
        <f>H221/F221</f>
        <v/>
      </c>
    </row>
    <row customHeight="1" ht="17" r="222" s="155">
      <c r="A222" s="115" t="inlineStr">
        <is>
          <t>csi930599</t>
        </is>
      </c>
      <c r="B222" s="115" t="inlineStr">
        <is>
          <t>中证高装</t>
        </is>
      </c>
      <c r="C222" s="115" t="n">
        <v>4227.89</v>
      </c>
      <c r="D222" s="115" t="n">
        <v>-1.96</v>
      </c>
      <c r="E222" s="115" t="n">
        <v>2.48</v>
      </c>
      <c r="F222" s="115" t="n">
        <v>31.75</v>
      </c>
      <c r="G222" s="115" t="n">
        <v>0.23</v>
      </c>
      <c r="H222" s="115" t="n">
        <v>2.55</v>
      </c>
      <c r="I222" s="115" t="n">
        <v>0.23</v>
      </c>
      <c r="J222" s="116" t="n">
        <v>42065</v>
      </c>
      <c r="K222" s="132" t="inlineStr">
        <is>
          <t>查看基金</t>
        </is>
      </c>
      <c r="L222" s="111">
        <f>H222/F222</f>
        <v/>
      </c>
    </row>
    <row customHeight="1" ht="17" r="223" s="155">
      <c r="A223" s="115" t="inlineStr">
        <is>
          <t>sz399974</t>
        </is>
      </c>
      <c r="B223" s="115" t="inlineStr">
        <is>
          <t>国企改革</t>
        </is>
      </c>
      <c r="C223" s="115" t="n">
        <v>1479.5</v>
      </c>
      <c r="D223" s="115" t="n">
        <v>0.22</v>
      </c>
      <c r="E223" s="115" t="n">
        <v>23.94</v>
      </c>
      <c r="F223" s="115" t="n">
        <v>10.23</v>
      </c>
      <c r="G223" s="115" t="n">
        <v>0.19</v>
      </c>
      <c r="H223" s="115" t="n">
        <v>1.32</v>
      </c>
      <c r="I223" s="115" t="n">
        <v>0.23</v>
      </c>
      <c r="J223" s="116" t="n">
        <v>41858</v>
      </c>
      <c r="K223" s="132" t="inlineStr">
        <is>
          <t>查看基金</t>
        </is>
      </c>
      <c r="L223" s="111">
        <f>H223/F223</f>
        <v/>
      </c>
    </row>
    <row customHeight="1" ht="17" r="224" s="155">
      <c r="A224" s="115" t="inlineStr">
        <is>
          <t>sz399707</t>
        </is>
      </c>
      <c r="B224" s="115" t="inlineStr">
        <is>
          <t>CSSW证券</t>
        </is>
      </c>
      <c r="C224" s="115" t="n">
        <v>5612.63</v>
      </c>
      <c r="D224" s="115" t="n">
        <v>0.13</v>
      </c>
      <c r="E224" s="115" t="n">
        <v>25.93</v>
      </c>
      <c r="F224" s="115" t="n">
        <v>25.13</v>
      </c>
      <c r="G224" s="115" t="n">
        <v>0.71</v>
      </c>
      <c r="H224" s="115" t="n">
        <v>1.56</v>
      </c>
      <c r="I224" s="115" t="n">
        <v>0.23</v>
      </c>
      <c r="J224" s="116" t="n">
        <v>42110</v>
      </c>
      <c r="K224" s="132" t="inlineStr">
        <is>
          <t>查看基金</t>
        </is>
      </c>
      <c r="L224" s="111">
        <f>H224/F224</f>
        <v/>
      </c>
    </row>
    <row customHeight="1" ht="17" r="225" s="155">
      <c r="A225" s="115" t="inlineStr">
        <is>
          <t>si801150</t>
        </is>
      </c>
      <c r="B225" s="115" t="inlineStr">
        <is>
          <t>医药生物(申万)</t>
        </is>
      </c>
      <c r="C225" s="115" t="n">
        <v>7859.91</v>
      </c>
      <c r="D225" s="115" t="n">
        <v>0.5600000000000001</v>
      </c>
      <c r="E225" s="115" t="n">
        <v>34.57</v>
      </c>
      <c r="F225" s="115" t="n">
        <v>35.67</v>
      </c>
      <c r="G225" s="115" t="n">
        <v>0.32</v>
      </c>
      <c r="H225" s="115" t="n">
        <v>3.38</v>
      </c>
      <c r="I225" s="115" t="n">
        <v>0.25</v>
      </c>
      <c r="J225" s="116" t="n">
        <v>36529</v>
      </c>
      <c r="K225" s="132" t="inlineStr">
        <is>
          <t>查看基金</t>
        </is>
      </c>
      <c r="L225" s="111">
        <f>H225/F225</f>
        <v/>
      </c>
    </row>
    <row customHeight="1" ht="17" r="226" s="155">
      <c r="A226" s="115" t="inlineStr">
        <is>
          <t>si801102</t>
        </is>
      </c>
      <c r="B226" s="115" t="inlineStr">
        <is>
          <t>通信设备(申万)</t>
        </is>
      </c>
      <c r="C226" s="115" t="n">
        <v>2018.62</v>
      </c>
      <c r="D226" s="115" t="n">
        <v>0.11</v>
      </c>
      <c r="E226" s="115" t="n">
        <v>10.23</v>
      </c>
      <c r="F226" s="115" t="n">
        <v>34.28</v>
      </c>
      <c r="G226" s="115" t="n">
        <v>0.27</v>
      </c>
      <c r="H226" s="115" t="n">
        <v>2.76</v>
      </c>
      <c r="I226" s="115" t="n">
        <v>0.25</v>
      </c>
      <c r="J226" s="116" t="n">
        <v>36529</v>
      </c>
      <c r="K226" s="132" t="inlineStr">
        <is>
          <t>查看基金</t>
        </is>
      </c>
      <c r="L226" s="111">
        <f>H226/F226</f>
        <v/>
      </c>
    </row>
    <row customHeight="1" ht="17" r="227" s="155">
      <c r="A227" s="115" t="inlineStr">
        <is>
          <t>si801011</t>
        </is>
      </c>
      <c r="B227" s="115" t="inlineStr">
        <is>
          <t>林业Ⅱ(申万)</t>
        </is>
      </c>
      <c r="C227" s="115" t="n">
        <v>1150.27</v>
      </c>
      <c r="D227" s="115" t="n">
        <v>-0.6</v>
      </c>
      <c r="E227" s="115" t="n">
        <v>-0.19</v>
      </c>
      <c r="F227" s="115" t="n">
        <v>316.79</v>
      </c>
      <c r="G227" s="115" t="n">
        <v>0.89</v>
      </c>
      <c r="H227" s="115" t="n">
        <v>2.39</v>
      </c>
      <c r="I227" s="115" t="n">
        <v>0.25</v>
      </c>
      <c r="J227" s="116" t="n">
        <v>36529</v>
      </c>
      <c r="K227" s="132" t="inlineStr">
        <is>
          <t>查看基金</t>
        </is>
      </c>
      <c r="L227" s="111">
        <f>H227/F227</f>
        <v/>
      </c>
    </row>
    <row customHeight="1" ht="17" r="228" s="155">
      <c r="A228" s="115" t="inlineStr">
        <is>
          <t>sh000816</t>
        </is>
      </c>
      <c r="B228" s="115" t="inlineStr">
        <is>
          <t>细分地产</t>
        </is>
      </c>
      <c r="C228" s="115" t="n">
        <v>5070.83</v>
      </c>
      <c r="D228" s="115" t="n">
        <v>-0.51</v>
      </c>
      <c r="E228" s="115" t="n">
        <v>0.07000000000000001</v>
      </c>
      <c r="F228" s="115" t="n">
        <v>8.01</v>
      </c>
      <c r="G228" s="115" t="n">
        <v>0.1</v>
      </c>
      <c r="H228" s="115" t="n">
        <v>1.4</v>
      </c>
      <c r="I228" s="115" t="n">
        <v>0.25</v>
      </c>
      <c r="J228" s="116" t="n">
        <v>43179</v>
      </c>
      <c r="K228" s="132" t="inlineStr">
        <is>
          <t>查看基金</t>
        </is>
      </c>
      <c r="L228" s="111">
        <f>H228/F228</f>
        <v/>
      </c>
    </row>
    <row customHeight="1" ht="17" r="229" s="155">
      <c r="A229" s="115" t="inlineStr">
        <is>
          <t>csih30171</t>
        </is>
      </c>
      <c r="B229" s="115" t="inlineStr">
        <is>
          <t>中证全指运输指数</t>
        </is>
      </c>
      <c r="C229" s="115" t="n">
        <v>1537.74</v>
      </c>
      <c r="D229" s="115" t="n">
        <v>-2.09</v>
      </c>
      <c r="E229" s="115" t="n">
        <v>1.25</v>
      </c>
      <c r="F229" s="115" t="n">
        <v>16.94</v>
      </c>
      <c r="G229" s="115" t="n">
        <v>0.25</v>
      </c>
      <c r="H229" s="115" t="n">
        <v>1.51</v>
      </c>
      <c r="I229" s="115" t="n">
        <v>0.25</v>
      </c>
      <c r="J229" s="116" t="n">
        <v>41470</v>
      </c>
      <c r="K229" s="132" t="inlineStr">
        <is>
          <t>查看基金</t>
        </is>
      </c>
      <c r="L229" s="111">
        <f>H229/F229</f>
        <v/>
      </c>
    </row>
    <row customHeight="1" ht="17" r="230" s="155">
      <c r="A230" s="115" t="inlineStr">
        <is>
          <t>csih30588</t>
        </is>
      </c>
      <c r="B230" s="115" t="inlineStr">
        <is>
          <t>中证证保</t>
        </is>
      </c>
      <c r="C230" s="115" t="n">
        <v>947.53</v>
      </c>
      <c r="D230" s="115" t="n">
        <v>-0.01</v>
      </c>
      <c r="E230" s="115" t="n">
        <v>28.99</v>
      </c>
      <c r="F230" s="115" t="n">
        <v>15.5</v>
      </c>
      <c r="G230" s="115" t="n">
        <v>0.23</v>
      </c>
      <c r="H230" s="115" t="n">
        <v>1.88</v>
      </c>
      <c r="I230" s="115" t="n">
        <v>0.25</v>
      </c>
      <c r="J230" s="116" t="n">
        <v>42037</v>
      </c>
      <c r="K230" s="132" t="inlineStr">
        <is>
          <t>查看基金</t>
        </is>
      </c>
      <c r="L230" s="111">
        <f>H230/F230</f>
        <v/>
      </c>
    </row>
    <row customHeight="1" ht="17" r="231" s="155">
      <c r="A231" s="115" t="inlineStr">
        <is>
          <t>hihsmsi</t>
        </is>
      </c>
      <c r="B231" s="115" t="inlineStr">
        <is>
          <t>恒生中小型股</t>
        </is>
      </c>
      <c r="C231" s="115" t="n">
        <v>2817.25</v>
      </c>
      <c r="D231" s="115" t="n">
        <v>0.07000000000000001</v>
      </c>
      <c r="E231" s="115" t="n">
        <v>5.3</v>
      </c>
      <c r="F231" s="115" t="n">
        <v>9.800000000000001</v>
      </c>
      <c r="G231" s="115" t="n">
        <v>0.26</v>
      </c>
      <c r="H231" s="115" t="n">
        <v>0.93</v>
      </c>
      <c r="I231" s="115" t="n">
        <v>0.25</v>
      </c>
      <c r="J231" s="116" t="n">
        <v>43495</v>
      </c>
      <c r="K231" s="132" t="inlineStr">
        <is>
          <t>查看基金</t>
        </is>
      </c>
      <c r="L231" s="111">
        <f>H231/F231</f>
        <v/>
      </c>
    </row>
    <row customHeight="1" ht="17" r="232" s="155">
      <c r="A232" s="115" t="inlineStr">
        <is>
          <t>si801013</t>
        </is>
      </c>
      <c r="B232" s="115" t="inlineStr">
        <is>
          <t>农业综合Ⅱ(申万)</t>
        </is>
      </c>
      <c r="C232" s="115" t="n">
        <v>1835.18</v>
      </c>
      <c r="D232" s="115" t="n">
        <v>-0.39</v>
      </c>
      <c r="E232" s="115" t="n">
        <v>23.13</v>
      </c>
      <c r="F232" s="115" t="n">
        <v>32.13</v>
      </c>
      <c r="G232" s="115" t="n">
        <v>0.12</v>
      </c>
      <c r="H232" s="115" t="n">
        <v>2.81</v>
      </c>
      <c r="I232" s="115" t="n">
        <v>0.26</v>
      </c>
      <c r="J232" s="116" t="n">
        <v>36529</v>
      </c>
      <c r="K232" s="132" t="inlineStr">
        <is>
          <t>查看基金</t>
        </is>
      </c>
      <c r="L232" s="111">
        <f>H232/F232</f>
        <v/>
      </c>
    </row>
    <row customHeight="1" ht="17" r="233" s="155">
      <c r="A233" s="115" t="inlineStr">
        <is>
          <t>si801032</t>
        </is>
      </c>
      <c r="B233" s="115" t="inlineStr">
        <is>
          <t>化学纤维(申万)</t>
        </is>
      </c>
      <c r="C233" s="115" t="n">
        <v>2994.31</v>
      </c>
      <c r="D233" s="115" t="n">
        <v>1.09</v>
      </c>
      <c r="E233" s="115" t="n">
        <v>23.96</v>
      </c>
      <c r="F233" s="115" t="n">
        <v>20.55</v>
      </c>
      <c r="G233" s="115" t="n">
        <v>0.03</v>
      </c>
      <c r="H233" s="115" t="n">
        <v>2.08</v>
      </c>
      <c r="I233" s="115" t="n">
        <v>0.26</v>
      </c>
      <c r="J233" s="116" t="n">
        <v>36529</v>
      </c>
      <c r="K233" s="132" t="inlineStr">
        <is>
          <t>查看基金</t>
        </is>
      </c>
      <c r="L233" s="111">
        <f>H233/F233</f>
        <v/>
      </c>
    </row>
    <row customHeight="1" ht="17" r="234" s="155">
      <c r="A234" s="115" t="inlineStr">
        <is>
          <t>sh000043</t>
        </is>
      </c>
      <c r="B234" s="115" t="inlineStr">
        <is>
          <t>超大盘</t>
        </is>
      </c>
      <c r="C234" s="115" t="n">
        <v>2417.87</v>
      </c>
      <c r="D234" s="115" t="n">
        <v>-0.01</v>
      </c>
      <c r="E234" s="115" t="n">
        <v>20.24</v>
      </c>
      <c r="F234" s="115" t="n">
        <v>10.82</v>
      </c>
      <c r="G234" s="115" t="n">
        <v>0.37</v>
      </c>
      <c r="H234" s="115" t="n">
        <v>1.35</v>
      </c>
      <c r="I234" s="115" t="n">
        <v>0.27</v>
      </c>
      <c r="J234" s="116" t="n">
        <v>39926</v>
      </c>
      <c r="K234" s="132" t="inlineStr">
        <is>
          <t>查看基金</t>
        </is>
      </c>
      <c r="L234" s="111">
        <f>H234/F234</f>
        <v/>
      </c>
    </row>
    <row customHeight="1" ht="17" r="235" s="155">
      <c r="A235" s="115" t="inlineStr">
        <is>
          <t>sh000046</t>
        </is>
      </c>
      <c r="B235" s="115" t="inlineStr">
        <is>
          <t>上证中小</t>
        </is>
      </c>
      <c r="C235" s="115" t="n">
        <v>3477.64</v>
      </c>
      <c r="D235" s="115" t="n">
        <v>0.18</v>
      </c>
      <c r="E235" s="115" t="n">
        <v>16.38</v>
      </c>
      <c r="F235" s="115" t="n">
        <v>17.34</v>
      </c>
      <c r="G235" s="115" t="n">
        <v>0.42</v>
      </c>
      <c r="H235" s="115" t="n">
        <v>1.61</v>
      </c>
      <c r="I235" s="115" t="n">
        <v>0.27</v>
      </c>
      <c r="J235" s="116" t="n">
        <v>39997</v>
      </c>
      <c r="K235" s="132" t="inlineStr">
        <is>
          <t>查看基金</t>
        </is>
      </c>
      <c r="L235" s="111">
        <f>H235/F235</f>
        <v/>
      </c>
    </row>
    <row customHeight="1" ht="17" r="236" s="155">
      <c r="A236" s="115" t="inlineStr">
        <is>
          <t>si801204</t>
        </is>
      </c>
      <c r="B236" s="115" t="inlineStr">
        <is>
          <t>专业零售(申万)</t>
        </is>
      </c>
      <c r="C236" s="115" t="inlineStr">
        <is>
          <t>---</t>
        </is>
      </c>
      <c r="D236" s="115" t="inlineStr">
        <is>
          <t>---</t>
        </is>
      </c>
      <c r="E236" s="115" t="inlineStr">
        <is>
          <t>---</t>
        </is>
      </c>
      <c r="F236" s="115" t="n">
        <v>50.65</v>
      </c>
      <c r="G236" s="115" t="n">
        <v>0.76</v>
      </c>
      <c r="H236" s="115" t="n">
        <v>2.13</v>
      </c>
      <c r="I236" s="115" t="n">
        <v>0.27</v>
      </c>
      <c r="J236" s="116" t="n">
        <v>36529</v>
      </c>
      <c r="K236" s="132" t="inlineStr">
        <is>
          <t>查看基金</t>
        </is>
      </c>
      <c r="L236" s="111">
        <f>H236/F236</f>
        <v/>
      </c>
    </row>
    <row customHeight="1" ht="17" r="237" s="155">
      <c r="A237" s="115" t="inlineStr">
        <is>
          <t>si801713</t>
        </is>
      </c>
      <c r="B237" s="115" t="inlineStr">
        <is>
          <t>其他建材Ⅱ(申万)</t>
        </is>
      </c>
      <c r="C237" s="115" t="n">
        <v>4965.83</v>
      </c>
      <c r="D237" s="115" t="n">
        <v>-0.08</v>
      </c>
      <c r="E237" s="115" t="n">
        <v>27.25</v>
      </c>
      <c r="F237" s="115" t="n">
        <v>25.99</v>
      </c>
      <c r="G237" s="115" t="n">
        <v>0.18</v>
      </c>
      <c r="H237" s="115" t="n">
        <v>2.44</v>
      </c>
      <c r="I237" s="115" t="n">
        <v>0.27</v>
      </c>
      <c r="J237" s="116" t="n">
        <v>36529</v>
      </c>
      <c r="K237" s="132" t="inlineStr">
        <is>
          <t>查看基金</t>
        </is>
      </c>
      <c r="L237" s="111">
        <f>H237/F237</f>
        <v/>
      </c>
    </row>
    <row customHeight="1" ht="17" r="238" s="155">
      <c r="A238" s="115" t="inlineStr">
        <is>
          <t>sh000969</t>
        </is>
      </c>
      <c r="B238" s="115" t="inlineStr">
        <is>
          <t>300非周</t>
        </is>
      </c>
      <c r="C238" s="115" t="n">
        <v>3353.59</v>
      </c>
      <c r="D238" s="115" t="n">
        <v>0.48</v>
      </c>
      <c r="E238" s="115" t="n">
        <v>1.65</v>
      </c>
      <c r="F238" s="115" t="n">
        <v>16.63</v>
      </c>
      <c r="G238" s="115" t="n">
        <v>0.17</v>
      </c>
      <c r="H238" s="115" t="n">
        <v>2.22</v>
      </c>
      <c r="I238" s="115" t="n">
        <v>0.27</v>
      </c>
      <c r="J238" s="116" t="n">
        <v>40326</v>
      </c>
      <c r="K238" s="132" t="inlineStr">
        <is>
          <t>查看基金</t>
        </is>
      </c>
      <c r="L238" s="111">
        <f>H238/F238</f>
        <v/>
      </c>
    </row>
    <row customHeight="1" ht="17" r="239" s="155">
      <c r="A239" s="115" t="inlineStr">
        <is>
          <t>si801223</t>
        </is>
      </c>
      <c r="B239" s="115" t="inlineStr">
        <is>
          <t>通信运营Ⅱ(申万)</t>
        </is>
      </c>
      <c r="C239" s="115" t="n">
        <v>2448.82</v>
      </c>
      <c r="D239" s="115" t="n">
        <v>0.89</v>
      </c>
      <c r="E239" s="115" t="n">
        <v>14.33</v>
      </c>
      <c r="F239" s="115" t="n">
        <v>38.71</v>
      </c>
      <c r="G239" s="115" t="n">
        <v>0.5</v>
      </c>
      <c r="H239" s="115" t="n">
        <v>1.39</v>
      </c>
      <c r="I239" s="115" t="n">
        <v>0.28</v>
      </c>
      <c r="J239" s="116" t="n">
        <v>36529</v>
      </c>
      <c r="K239" s="132" t="inlineStr">
        <is>
          <t>查看基金</t>
        </is>
      </c>
      <c r="L239" s="111">
        <f>H239/F239</f>
        <v/>
      </c>
    </row>
    <row customHeight="1" ht="17" r="240" s="155">
      <c r="A240" s="115" t="inlineStr">
        <is>
          <t>csih30318</t>
        </is>
      </c>
      <c r="B240" s="115" t="inlineStr">
        <is>
          <t>TMT150</t>
        </is>
      </c>
      <c r="C240" s="115" t="n">
        <v>1682.73</v>
      </c>
      <c r="D240" s="115" t="n">
        <v>0.95</v>
      </c>
      <c r="E240" s="115" t="n">
        <v>37.93</v>
      </c>
      <c r="F240" s="115" t="n">
        <v>34.73</v>
      </c>
      <c r="G240" s="115" t="n">
        <v>0.17</v>
      </c>
      <c r="H240" s="115" t="n">
        <v>3.17</v>
      </c>
      <c r="I240" s="115" t="n">
        <v>0.28</v>
      </c>
      <c r="J240" s="116" t="n">
        <v>41744</v>
      </c>
      <c r="K240" s="132" t="inlineStr">
        <is>
          <t>查看基金</t>
        </is>
      </c>
      <c r="L240" s="111">
        <f>H240/F240</f>
        <v/>
      </c>
    </row>
    <row customHeight="1" ht="17" r="241" s="155">
      <c r="A241" s="115" t="inlineStr">
        <is>
          <t>si801743</t>
        </is>
      </c>
      <c r="B241" s="115" t="inlineStr">
        <is>
          <t>地面兵装Ⅱ(申万)</t>
        </is>
      </c>
      <c r="C241" s="115" t="n">
        <v>11521.39</v>
      </c>
      <c r="D241" s="115" t="n">
        <v>-0.6</v>
      </c>
      <c r="E241" s="115" t="n">
        <v>19.27</v>
      </c>
      <c r="F241" s="115" t="n">
        <v>45.63</v>
      </c>
      <c r="G241" s="115" t="n">
        <v>0.03</v>
      </c>
      <c r="H241" s="115" t="n">
        <v>2.62</v>
      </c>
      <c r="I241" s="115" t="n">
        <v>0.28</v>
      </c>
      <c r="J241" s="116" t="n">
        <v>36529</v>
      </c>
      <c r="K241" s="132" t="inlineStr">
        <is>
          <t>查看基金</t>
        </is>
      </c>
      <c r="L241" s="111">
        <f>H241/F241</f>
        <v/>
      </c>
    </row>
    <row customHeight="1" ht="17" r="242" s="155">
      <c r="A242" s="115" t="inlineStr">
        <is>
          <t>csi930820</t>
        </is>
      </c>
      <c r="B242" s="115" t="inlineStr">
        <is>
          <t>CS高端制</t>
        </is>
      </c>
      <c r="C242" s="115" t="n">
        <v>5034.7</v>
      </c>
      <c r="D242" s="115" t="n">
        <v>0.72</v>
      </c>
      <c r="E242" s="115" t="n">
        <v>30.3</v>
      </c>
      <c r="F242" s="115" t="n">
        <v>36.85</v>
      </c>
      <c r="G242" s="115" t="n">
        <v>0.5600000000000001</v>
      </c>
      <c r="H242" s="115" t="n">
        <v>2.71</v>
      </c>
      <c r="I242" s="115" t="n">
        <v>0.29</v>
      </c>
      <c r="J242" s="116" t="n">
        <v>42501</v>
      </c>
      <c r="K242" s="132" t="inlineStr">
        <is>
          <t>查看基金</t>
        </is>
      </c>
      <c r="L242" s="111">
        <f>H242/F242</f>
        <v/>
      </c>
    </row>
    <row customHeight="1" ht="17" r="243" s="155">
      <c r="A243" s="115" t="inlineStr">
        <is>
          <t>sh000971</t>
        </is>
      </c>
      <c r="B243" s="115" t="inlineStr">
        <is>
          <t>等权90</t>
        </is>
      </c>
      <c r="C243" s="115" t="n">
        <v>2731.94</v>
      </c>
      <c r="D243" s="115" t="n">
        <v>0.34</v>
      </c>
      <c r="E243" s="115" t="n">
        <v>26.24</v>
      </c>
      <c r="F243" s="115" t="n">
        <v>10.58</v>
      </c>
      <c r="G243" s="115" t="n">
        <v>0.46</v>
      </c>
      <c r="H243" s="115" t="n">
        <v>1.33</v>
      </c>
      <c r="I243" s="115" t="n">
        <v>0.29</v>
      </c>
      <c r="J243" s="116" t="n">
        <v>40514</v>
      </c>
      <c r="K243" s="132" t="inlineStr">
        <is>
          <t>查看基金</t>
        </is>
      </c>
      <c r="L243" s="111">
        <f>H243/F243</f>
        <v/>
      </c>
    </row>
    <row customHeight="1" ht="17" r="244" s="155">
      <c r="A244" s="115" t="inlineStr">
        <is>
          <t>sz399637</t>
        </is>
      </c>
      <c r="B244" s="115" t="inlineStr">
        <is>
          <t>深证地产</t>
        </is>
      </c>
      <c r="C244" s="115" t="n">
        <v>4541.4</v>
      </c>
      <c r="D244" s="115" t="n">
        <v>-1.99</v>
      </c>
      <c r="E244" s="115" t="n">
        <v>12.43</v>
      </c>
      <c r="F244" s="115" t="n">
        <v>9.16</v>
      </c>
      <c r="G244" s="115" t="n">
        <v>0.31</v>
      </c>
      <c r="H244" s="115" t="n">
        <v>1.54</v>
      </c>
      <c r="I244" s="115" t="n">
        <v>0.29</v>
      </c>
      <c r="J244" s="116" t="n">
        <v>43179</v>
      </c>
      <c r="K244" s="132" t="inlineStr">
        <is>
          <t>查看基金</t>
        </is>
      </c>
      <c r="L244" s="111">
        <f>H244/F244</f>
        <v/>
      </c>
    </row>
    <row customHeight="1" ht="17" r="245" s="155">
      <c r="A245" s="115" t="inlineStr">
        <is>
          <t>csi930777</t>
        </is>
      </c>
      <c r="B245" s="115" t="inlineStr">
        <is>
          <t>CS定增</t>
        </is>
      </c>
      <c r="C245" s="115" t="n">
        <v>1612.18</v>
      </c>
      <c r="D245" s="115" t="n">
        <v>0.39</v>
      </c>
      <c r="E245" s="115" t="n">
        <v>16.77</v>
      </c>
      <c r="F245" s="115" t="n">
        <v>24.26</v>
      </c>
      <c r="G245" s="115" t="n">
        <v>0.25</v>
      </c>
      <c r="H245" s="115" t="n">
        <v>2.3</v>
      </c>
      <c r="I245" s="115" t="n">
        <v>0.29</v>
      </c>
      <c r="J245" s="116" t="n">
        <v>42383</v>
      </c>
      <c r="K245" s="132" t="inlineStr">
        <is>
          <t>查看基金</t>
        </is>
      </c>
      <c r="L245" s="111">
        <f>H245/F245</f>
        <v/>
      </c>
    </row>
    <row customHeight="1" ht="17" r="246" s="155">
      <c r="A246" s="115" t="inlineStr">
        <is>
          <t>csih20839</t>
        </is>
      </c>
      <c r="B246" s="115" t="inlineStr">
        <is>
          <t>HK高股息(全)HKD</t>
        </is>
      </c>
      <c r="C246" s="115" t="n">
        <v>3499.68</v>
      </c>
      <c r="D246" s="115" t="n">
        <v>1.07</v>
      </c>
      <c r="E246" s="115" t="n">
        <v>12.96</v>
      </c>
      <c r="F246" s="115" t="n">
        <v>9.32</v>
      </c>
      <c r="G246" s="115" t="n">
        <v>0.54</v>
      </c>
      <c r="H246" s="115" t="n">
        <v>1.02</v>
      </c>
      <c r="I246" s="115" t="n">
        <v>0.29</v>
      </c>
      <c r="J246" s="116" t="n">
        <v>43214</v>
      </c>
      <c r="K246" s="132" t="inlineStr">
        <is>
          <t>查看基金</t>
        </is>
      </c>
      <c r="L246" s="111">
        <f>H246/F246</f>
        <v/>
      </c>
    </row>
    <row customHeight="1" ht="17" r="247" s="155">
      <c r="A247" s="115" t="inlineStr">
        <is>
          <t>sz399612</t>
        </is>
      </c>
      <c r="B247" s="115" t="inlineStr">
        <is>
          <t>中创100</t>
        </is>
      </c>
      <c r="C247" s="115" t="n">
        <v>1736.8</v>
      </c>
      <c r="D247" s="115" t="n">
        <v>0.84</v>
      </c>
      <c r="E247" s="115" t="n">
        <v>35.73</v>
      </c>
      <c r="F247" s="115" t="n">
        <v>28.33</v>
      </c>
      <c r="G247" s="115" t="n">
        <v>0.3</v>
      </c>
      <c r="H247" s="115" t="n">
        <v>3.82</v>
      </c>
      <c r="I247" s="115" t="n">
        <v>0.3</v>
      </c>
      <c r="J247" s="116" t="n">
        <v>40602</v>
      </c>
      <c r="K247" s="132" t="inlineStr">
        <is>
          <t>查看基金</t>
        </is>
      </c>
      <c r="L247" s="111">
        <f>H247/F247</f>
        <v/>
      </c>
    </row>
    <row customHeight="1" ht="17" r="248" s="155">
      <c r="A248" s="115" t="inlineStr">
        <is>
          <t>si801210</t>
        </is>
      </c>
      <c r="B248" s="115" t="inlineStr">
        <is>
          <t>休闲服务(申万)</t>
        </is>
      </c>
      <c r="C248" s="115" t="n">
        <v>5744.56</v>
      </c>
      <c r="D248" s="115" t="n">
        <v>1.31</v>
      </c>
      <c r="E248" s="115" t="n">
        <v>19.07</v>
      </c>
      <c r="F248" s="115" t="n">
        <v>31.99</v>
      </c>
      <c r="G248" s="115" t="n">
        <v>0.13</v>
      </c>
      <c r="H248" s="115" t="n">
        <v>3.44</v>
      </c>
      <c r="I248" s="115" t="n">
        <v>0.3</v>
      </c>
      <c r="J248" s="116" t="n">
        <v>36529</v>
      </c>
      <c r="K248" s="132" t="inlineStr">
        <is>
          <t>查看基金</t>
        </is>
      </c>
      <c r="L248" s="111">
        <f>H248/F248</f>
        <v/>
      </c>
    </row>
    <row customHeight="1" ht="17" r="249" s="155">
      <c r="A249" s="115" t="inlineStr">
        <is>
          <t>si801101</t>
        </is>
      </c>
      <c r="B249" s="115" t="inlineStr">
        <is>
          <t>计算机设备Ⅱ(申万)</t>
        </is>
      </c>
      <c r="C249" s="115" t="n">
        <v>2860.7</v>
      </c>
      <c r="D249" s="115" t="n">
        <v>-0.21</v>
      </c>
      <c r="E249" s="115" t="n">
        <v>32.35</v>
      </c>
      <c r="F249" s="115" t="n">
        <v>51.58</v>
      </c>
      <c r="G249" s="115" t="n">
        <v>0.5</v>
      </c>
      <c r="H249" s="115" t="n">
        <v>3.01</v>
      </c>
      <c r="I249" s="115" t="n">
        <v>0.3</v>
      </c>
      <c r="J249" s="116" t="n">
        <v>36529</v>
      </c>
      <c r="K249" s="132" t="inlineStr">
        <is>
          <t>查看基金</t>
        </is>
      </c>
      <c r="L249" s="111">
        <f>H249/F249</f>
        <v/>
      </c>
    </row>
    <row customHeight="1" ht="17" r="250" s="155">
      <c r="A250" s="115" t="inlineStr">
        <is>
          <t>csi930836</t>
        </is>
      </c>
      <c r="B250" s="115" t="inlineStr">
        <is>
          <t>沪港深高股息(CNY)</t>
        </is>
      </c>
      <c r="C250" s="115" t="n">
        <v>4378.8</v>
      </c>
      <c r="D250" s="115" t="n">
        <v>0.49</v>
      </c>
      <c r="E250" s="115" t="n">
        <v>15.5</v>
      </c>
      <c r="F250" s="115" t="n">
        <v>12.9</v>
      </c>
      <c r="G250" s="115" t="n">
        <v>0.51</v>
      </c>
      <c r="H250" s="115" t="n">
        <v>1.68</v>
      </c>
      <c r="I250" s="115" t="n">
        <v>0.3</v>
      </c>
      <c r="J250" s="116" t="n">
        <v>43157</v>
      </c>
      <c r="K250" s="132" t="inlineStr">
        <is>
          <t>查看基金</t>
        </is>
      </c>
      <c r="L250" s="111">
        <f>H250/F250</f>
        <v/>
      </c>
    </row>
    <row customHeight="1" ht="17" r="251" s="155">
      <c r="A251" s="115" t="inlineStr">
        <is>
          <t>csi930791</t>
        </is>
      </c>
      <c r="B251" s="115" t="inlineStr">
        <is>
          <t>CS医药TI</t>
        </is>
      </c>
      <c r="C251" s="115" t="n">
        <v>10475.08</v>
      </c>
      <c r="D251" s="115" t="n">
        <v>0.59</v>
      </c>
      <c r="E251" s="115" t="n">
        <v>33.49</v>
      </c>
      <c r="F251" s="115" t="n">
        <v>37.4</v>
      </c>
      <c r="G251" s="115" t="n">
        <v>0.57</v>
      </c>
      <c r="H251" s="115" t="n">
        <v>3.89</v>
      </c>
      <c r="I251" s="115" t="n">
        <v>0.3</v>
      </c>
      <c r="J251" s="116" t="n">
        <v>42451</v>
      </c>
      <c r="K251" s="132" t="inlineStr">
        <is>
          <t>查看基金</t>
        </is>
      </c>
      <c r="L251" s="111">
        <f>H251/F251</f>
        <v/>
      </c>
    </row>
    <row customHeight="1" ht="17" r="252" s="155">
      <c r="A252" s="115" t="inlineStr">
        <is>
          <t>sz399001</t>
        </is>
      </c>
      <c r="B252" s="115" t="inlineStr">
        <is>
          <t>深证成指</t>
        </is>
      </c>
      <c r="C252" s="115" t="n">
        <v>9677.23</v>
      </c>
      <c r="D252" s="115" t="n">
        <v>0.53</v>
      </c>
      <c r="E252" s="115" t="n">
        <v>33.67</v>
      </c>
      <c r="F252" s="115" t="n">
        <v>23.43</v>
      </c>
      <c r="G252" s="115" t="n">
        <v>0.51</v>
      </c>
      <c r="H252" s="115" t="n">
        <v>2.47</v>
      </c>
      <c r="I252" s="115" t="n">
        <v>0.31</v>
      </c>
      <c r="J252" s="116" t="n">
        <v>36529</v>
      </c>
      <c r="K252" s="132" t="inlineStr">
        <is>
          <t>查看基金</t>
        </is>
      </c>
      <c r="L252" s="111">
        <f>H252/F252</f>
        <v/>
      </c>
    </row>
    <row customHeight="1" ht="17" r="253" s="155">
      <c r="A253" s="115" t="inlineStr">
        <is>
          <t>sz399102</t>
        </is>
      </c>
      <c r="B253" s="115" t="inlineStr">
        <is>
          <t>创业板综</t>
        </is>
      </c>
      <c r="C253" s="115" t="n">
        <v>1775.59</v>
      </c>
      <c r="D253" s="115" t="n">
        <v>-0.27</v>
      </c>
      <c r="E253" s="115" t="n">
        <v>17.05</v>
      </c>
      <c r="F253" s="115" t="n">
        <v>112.87</v>
      </c>
      <c r="G253" s="115" t="n">
        <v>0.9</v>
      </c>
      <c r="H253" s="115" t="n">
        <v>3.59</v>
      </c>
      <c r="I253" s="115" t="n">
        <v>0.31</v>
      </c>
      <c r="J253" s="116" t="n">
        <v>40410</v>
      </c>
      <c r="K253" s="132" t="inlineStr">
        <is>
          <t>查看基金</t>
        </is>
      </c>
      <c r="L253" s="111">
        <f>H253/F253</f>
        <v/>
      </c>
    </row>
    <row customHeight="1" ht="17" r="254" s="155">
      <c r="A254" s="115" t="inlineStr">
        <is>
          <t>si801144</t>
        </is>
      </c>
      <c r="B254" s="115" t="inlineStr">
        <is>
          <t>其他轻工制造Ⅱ(申万)</t>
        </is>
      </c>
      <c r="C254" s="115" t="inlineStr">
        <is>
          <t>---</t>
        </is>
      </c>
      <c r="D254" s="115" t="n">
        <v>0</v>
      </c>
      <c r="E254" s="115" t="n">
        <v>0</v>
      </c>
      <c r="F254" s="115" t="n">
        <v>59.66</v>
      </c>
      <c r="G254" s="115" t="n">
        <v>0.63</v>
      </c>
      <c r="H254" s="115" t="n">
        <v>3.42</v>
      </c>
      <c r="I254" s="115" t="n">
        <v>0.32</v>
      </c>
      <c r="J254" s="116" t="n">
        <v>43216</v>
      </c>
      <c r="K254" s="132" t="inlineStr">
        <is>
          <t>查看基金</t>
        </is>
      </c>
      <c r="L254" s="111">
        <f>H254/F254</f>
        <v/>
      </c>
    </row>
    <row customHeight="1" ht="17" r="255" s="155">
      <c r="A255" s="115" t="inlineStr">
        <is>
          <t>sz399348</t>
        </is>
      </c>
      <c r="B255" s="115" t="inlineStr">
        <is>
          <t>深证价值</t>
        </is>
      </c>
      <c r="C255" s="115" t="n">
        <v>6148.9</v>
      </c>
      <c r="D255" s="115" t="n">
        <v>0.42</v>
      </c>
      <c r="E255" s="115" t="n">
        <v>40.97</v>
      </c>
      <c r="F255" s="115" t="n">
        <v>13.94</v>
      </c>
      <c r="G255" s="115" t="n">
        <v>0.31</v>
      </c>
      <c r="H255" s="115" t="n">
        <v>1.79</v>
      </c>
      <c r="I255" s="115" t="n">
        <v>0.32</v>
      </c>
      <c r="J255" s="116" t="n">
        <v>40121</v>
      </c>
      <c r="K255" s="132" t="inlineStr">
        <is>
          <t>查看基金</t>
        </is>
      </c>
      <c r="L255" s="111">
        <f>H255/F255</f>
        <v/>
      </c>
    </row>
    <row customHeight="1" ht="17" r="256" s="155">
      <c r="A256" s="115" t="inlineStr">
        <is>
          <t>si801750</t>
        </is>
      </c>
      <c r="B256" s="115" t="inlineStr">
        <is>
          <t>计算机(申万)</t>
        </is>
      </c>
      <c r="C256" s="115" t="n">
        <v>4343.78</v>
      </c>
      <c r="D256" s="115" t="n">
        <v>0.12</v>
      </c>
      <c r="E256" s="115" t="n">
        <v>37.66</v>
      </c>
      <c r="F256" s="115" t="n">
        <v>54.11</v>
      </c>
      <c r="G256" s="115" t="n">
        <v>0.65</v>
      </c>
      <c r="H256" s="115" t="n">
        <v>3.58</v>
      </c>
      <c r="I256" s="115" t="n">
        <v>0.33</v>
      </c>
      <c r="J256" s="116" t="n">
        <v>36529</v>
      </c>
      <c r="K256" s="132" t="inlineStr">
        <is>
          <t>查看基金</t>
        </is>
      </c>
      <c r="L256" s="111">
        <f>H256/F256</f>
        <v/>
      </c>
    </row>
    <row customHeight="1" ht="17" r="257" s="155">
      <c r="A257" s="115" t="inlineStr">
        <is>
          <t>sz399007</t>
        </is>
      </c>
      <c r="B257" s="115" t="inlineStr">
        <is>
          <t>深证300</t>
        </is>
      </c>
      <c r="C257" s="115" t="n">
        <v>4163.67</v>
      </c>
      <c r="D257" s="115" t="n">
        <v>0.65</v>
      </c>
      <c r="E257" s="115" t="n">
        <v>37.09</v>
      </c>
      <c r="F257" s="115" t="n">
        <v>21.86</v>
      </c>
      <c r="G257" s="115" t="n">
        <v>0.33</v>
      </c>
      <c r="H257" s="115" t="n">
        <v>2.56</v>
      </c>
      <c r="I257" s="115" t="n">
        <v>0.33</v>
      </c>
      <c r="J257" s="116" t="n">
        <v>40121</v>
      </c>
      <c r="K257" s="132" t="inlineStr">
        <is>
          <t>查看基金</t>
        </is>
      </c>
      <c r="L257" s="111">
        <f>H257/F257</f>
        <v/>
      </c>
    </row>
    <row customHeight="1" ht="17" r="258" s="155">
      <c r="A258" s="115" t="inlineStr">
        <is>
          <t>csi930652</t>
        </is>
      </c>
      <c r="B258" s="115" t="inlineStr">
        <is>
          <t>CS电子</t>
        </is>
      </c>
      <c r="C258" s="115" t="n">
        <v>5465.73</v>
      </c>
      <c r="D258" s="115" t="n">
        <v>1.51</v>
      </c>
      <c r="E258" s="115" t="n">
        <v>49.31</v>
      </c>
      <c r="F258" s="115" t="n">
        <v>48.32</v>
      </c>
      <c r="G258" s="115" t="n">
        <v>0.77</v>
      </c>
      <c r="H258" s="115" t="n">
        <v>3.36</v>
      </c>
      <c r="I258" s="115" t="n">
        <v>0.33</v>
      </c>
      <c r="J258" s="116" t="n">
        <v>42160</v>
      </c>
      <c r="K258" s="132" t="inlineStr">
        <is>
          <t>查看基金</t>
        </is>
      </c>
      <c r="L258" s="111">
        <f>H258/F258</f>
        <v/>
      </c>
    </row>
    <row customHeight="1" ht="17" r="259" s="155">
      <c r="A259" s="115" t="inlineStr">
        <is>
          <t>si801151</t>
        </is>
      </c>
      <c r="B259" s="115" t="inlineStr">
        <is>
          <t>化学制药(申万)</t>
        </is>
      </c>
      <c r="C259" s="115" t="n">
        <v>9755.059999999999</v>
      </c>
      <c r="D259" s="115" t="n">
        <v>0.54</v>
      </c>
      <c r="E259" s="115" t="n">
        <v>48.42</v>
      </c>
      <c r="F259" s="115" t="n">
        <v>36.95</v>
      </c>
      <c r="G259" s="115" t="n">
        <v>0.46</v>
      </c>
      <c r="H259" s="115" t="n">
        <v>3.34</v>
      </c>
      <c r="I259" s="115" t="n">
        <v>0.33</v>
      </c>
      <c r="J259" s="116" t="n">
        <v>36529</v>
      </c>
      <c r="K259" s="132" t="inlineStr">
        <is>
          <t>查看基金</t>
        </is>
      </c>
      <c r="L259" s="111">
        <f>H259/F259</f>
        <v/>
      </c>
    </row>
    <row customHeight="1" ht="17" r="260" s="155">
      <c r="A260" s="115" t="inlineStr">
        <is>
          <t>sz399966</t>
        </is>
      </c>
      <c r="B260" s="115" t="inlineStr">
        <is>
          <t>800非银</t>
        </is>
      </c>
      <c r="C260" s="115" t="n">
        <v>5776.94</v>
      </c>
      <c r="D260" s="115" t="n">
        <v>0.03</v>
      </c>
      <c r="E260" s="115" t="n">
        <v>28.02</v>
      </c>
      <c r="F260" s="115" t="n">
        <v>15.38</v>
      </c>
      <c r="G260" s="115" t="n">
        <v>0.15</v>
      </c>
      <c r="H260" s="115" t="n">
        <v>1.86</v>
      </c>
      <c r="I260" s="115" t="n">
        <v>0.33</v>
      </c>
      <c r="J260" s="116" t="n">
        <v>41264</v>
      </c>
      <c r="K260" s="132" t="inlineStr">
        <is>
          <t>查看基金</t>
        </is>
      </c>
      <c r="L260" s="111">
        <f>H260/F260</f>
        <v/>
      </c>
    </row>
    <row customHeight="1" ht="17" r="261" s="155">
      <c r="A261" s="115" t="inlineStr">
        <is>
          <t>sh000814</t>
        </is>
      </c>
      <c r="B261" s="115" t="inlineStr">
        <is>
          <t>细分医药</t>
        </is>
      </c>
      <c r="C261" s="115" t="n">
        <v>9841.950000000001</v>
      </c>
      <c r="D261" s="115" t="n">
        <v>0.93</v>
      </c>
      <c r="E261" s="115" t="n">
        <v>31.12</v>
      </c>
      <c r="F261" s="115" t="n">
        <v>32.92</v>
      </c>
      <c r="G261" s="115" t="n">
        <v>0.46</v>
      </c>
      <c r="H261" s="115" t="n">
        <v>4.18</v>
      </c>
      <c r="I261" s="115" t="n">
        <v>0.33</v>
      </c>
      <c r="J261" s="116" t="n">
        <v>41010</v>
      </c>
      <c r="K261" s="132" t="inlineStr">
        <is>
          <t>查看基金</t>
        </is>
      </c>
      <c r="L261" s="111">
        <f>H261/F261</f>
        <v/>
      </c>
    </row>
    <row customHeight="1" ht="17" r="262" s="155">
      <c r="A262" s="115" t="inlineStr">
        <is>
          <t>sh000044</t>
        </is>
      </c>
      <c r="B262" s="115" t="inlineStr">
        <is>
          <t>上证中盘</t>
        </is>
      </c>
      <c r="C262" s="115" t="n">
        <v>3229.52</v>
      </c>
      <c r="D262" s="115" t="n">
        <v>0.54</v>
      </c>
      <c r="E262" s="115" t="n">
        <v>17.46</v>
      </c>
      <c r="F262" s="115" t="n">
        <v>14.45</v>
      </c>
      <c r="G262" s="115" t="n">
        <v>0.53</v>
      </c>
      <c r="H262" s="115" t="n">
        <v>1.58</v>
      </c>
      <c r="I262" s="115" t="n">
        <v>0.34</v>
      </c>
      <c r="J262" s="116" t="n">
        <v>39997</v>
      </c>
      <c r="K262" s="132" t="inlineStr">
        <is>
          <t>查看基金</t>
        </is>
      </c>
      <c r="L262" s="111">
        <f>H262/F262</f>
        <v/>
      </c>
    </row>
    <row customHeight="1" ht="17" r="263" s="155">
      <c r="A263" s="115" t="inlineStr">
        <is>
          <t>sh000993</t>
        </is>
      </c>
      <c r="B263" s="115" t="inlineStr">
        <is>
          <t>全指信息</t>
        </is>
      </c>
      <c r="C263" s="115" t="n">
        <v>5299.59</v>
      </c>
      <c r="D263" s="115" t="n">
        <v>0.72</v>
      </c>
      <c r="E263" s="115" t="n">
        <v>41.53</v>
      </c>
      <c r="F263" s="115" t="n">
        <v>73.93000000000001</v>
      </c>
      <c r="G263" s="115" t="n">
        <v>0.88</v>
      </c>
      <c r="H263" s="115" t="n">
        <v>3.62</v>
      </c>
      <c r="I263" s="115" t="n">
        <v>0.34</v>
      </c>
      <c r="J263" s="116" t="n">
        <v>40757</v>
      </c>
      <c r="K263" s="132" t="inlineStr">
        <is>
          <t>查看基金</t>
        </is>
      </c>
      <c r="L263" s="111">
        <f>H263/F263</f>
        <v/>
      </c>
    </row>
    <row customHeight="1" ht="17" r="264" s="155">
      <c r="A264" s="115" t="inlineStr">
        <is>
          <t>sz399809</t>
        </is>
      </c>
      <c r="B264" s="115" t="inlineStr">
        <is>
          <t>保险主题</t>
        </is>
      </c>
      <c r="C264" s="115" t="n">
        <v>2322.87</v>
      </c>
      <c r="D264" s="115" t="n">
        <v>-0.22</v>
      </c>
      <c r="E264" s="115" t="n">
        <v>28.47</v>
      </c>
      <c r="F264" s="115" t="n">
        <v>12.49</v>
      </c>
      <c r="G264" s="115" t="n">
        <v>0.37</v>
      </c>
      <c r="H264" s="115" t="n">
        <v>1.4</v>
      </c>
      <c r="I264" s="115" t="n">
        <v>0.34</v>
      </c>
      <c r="J264" s="116" t="n">
        <v>42048</v>
      </c>
      <c r="K264" s="132" t="inlineStr">
        <is>
          <t>查看基金</t>
        </is>
      </c>
      <c r="L264" s="111">
        <f>H264/F264</f>
        <v/>
      </c>
    </row>
    <row customHeight="1" ht="17" r="265" s="155">
      <c r="A265" s="115" t="inlineStr">
        <is>
          <t>csih30124</t>
        </is>
      </c>
      <c r="B265" s="115" t="inlineStr">
        <is>
          <t>安中动态</t>
        </is>
      </c>
      <c r="C265" s="115" t="n">
        <v>1083.45</v>
      </c>
      <c r="D265" s="115" t="n">
        <v>0.48</v>
      </c>
      <c r="E265" s="115" t="n">
        <v>26.82</v>
      </c>
      <c r="F265" s="115" t="n">
        <v>11.82</v>
      </c>
      <c r="G265" s="115" t="n">
        <v>0.39</v>
      </c>
      <c r="H265" s="115" t="n">
        <v>1.42</v>
      </c>
      <c r="I265" s="115" t="n">
        <v>0.34</v>
      </c>
      <c r="J265" s="116" t="n">
        <v>41456</v>
      </c>
      <c r="K265" s="132" t="inlineStr">
        <is>
          <t>查看基金</t>
        </is>
      </c>
      <c r="L265" s="111">
        <f>H265/F265</f>
        <v/>
      </c>
    </row>
    <row customHeight="1" ht="17" r="266" s="155">
      <c r="A266" s="115" t="inlineStr">
        <is>
          <t>csi930697</t>
        </is>
      </c>
      <c r="B266" s="115" t="inlineStr">
        <is>
          <t>家用电器</t>
        </is>
      </c>
      <c r="C266" s="115" t="n">
        <v>8969.92</v>
      </c>
      <c r="D266" s="115" t="n">
        <v>-0.31</v>
      </c>
      <c r="E266" s="115" t="n">
        <v>30.21</v>
      </c>
      <c r="F266" s="115" t="n">
        <v>17.01</v>
      </c>
      <c r="G266" s="115" t="n">
        <v>0.33</v>
      </c>
      <c r="H266" s="115" t="n">
        <v>3.33</v>
      </c>
      <c r="I266" s="115" t="n">
        <v>0.34</v>
      </c>
      <c r="J266" s="116" t="n">
        <v>42192</v>
      </c>
      <c r="K266" s="132" t="inlineStr">
        <is>
          <t>查看基金</t>
        </is>
      </c>
      <c r="L266" s="111">
        <f>H266/F266</f>
        <v/>
      </c>
    </row>
    <row customHeight="1" ht="17" r="267" s="155">
      <c r="A267" s="115" t="inlineStr">
        <is>
          <t>si801080</t>
        </is>
      </c>
      <c r="B267" s="115" t="inlineStr">
        <is>
          <t>电子(申万)</t>
        </is>
      </c>
      <c r="C267" s="115" t="n">
        <v>3072.61</v>
      </c>
      <c r="D267" s="115" t="n">
        <v>1.41</v>
      </c>
      <c r="E267" s="115" t="n">
        <v>53.43</v>
      </c>
      <c r="F267" s="115" t="n">
        <v>37.89</v>
      </c>
      <c r="G267" s="115" t="n">
        <v>0.27</v>
      </c>
      <c r="H267" s="115" t="n">
        <v>3.05</v>
      </c>
      <c r="I267" s="115" t="n">
        <v>0.35</v>
      </c>
      <c r="J267" s="116" t="n">
        <v>36529</v>
      </c>
      <c r="K267" s="132" t="inlineStr">
        <is>
          <t>查看基金</t>
        </is>
      </c>
      <c r="L267" s="111">
        <f>H267/F267</f>
        <v/>
      </c>
    </row>
    <row customHeight="1" ht="17" r="268" s="155">
      <c r="A268" s="115" t="inlineStr">
        <is>
          <t>si801222</t>
        </is>
      </c>
      <c r="B268" s="115" t="inlineStr">
        <is>
          <t>计算机应用(申万)</t>
        </is>
      </c>
      <c r="C268" s="115" t="n">
        <v>4598.55</v>
      </c>
      <c r="D268" s="115" t="n">
        <v>0.2</v>
      </c>
      <c r="E268" s="115" t="n">
        <v>39.28</v>
      </c>
      <c r="F268" s="115" t="n">
        <v>54.7</v>
      </c>
      <c r="G268" s="115" t="n">
        <v>0.58</v>
      </c>
      <c r="H268" s="115" t="n">
        <v>3.74</v>
      </c>
      <c r="I268" s="115" t="n">
        <v>0.35</v>
      </c>
      <c r="J268" s="116" t="n">
        <v>36529</v>
      </c>
      <c r="K268" s="132" t="inlineStr">
        <is>
          <t>查看基金</t>
        </is>
      </c>
      <c r="L268" s="111">
        <f>H268/F268</f>
        <v/>
      </c>
    </row>
    <row customHeight="1" ht="17" r="269" s="155">
      <c r="A269" s="115" t="inlineStr">
        <is>
          <t>si801152</t>
        </is>
      </c>
      <c r="B269" s="115" t="inlineStr">
        <is>
          <t>生物制品Ⅱ(申万)</t>
        </is>
      </c>
      <c r="C269" s="115" t="n">
        <v>8649.4</v>
      </c>
      <c r="D269" s="115" t="n">
        <v>0.93</v>
      </c>
      <c r="E269" s="115" t="n">
        <v>39.78</v>
      </c>
      <c r="F269" s="115" t="n">
        <v>42.21</v>
      </c>
      <c r="G269" s="115" t="n">
        <v>0.3</v>
      </c>
      <c r="H269" s="115" t="n">
        <v>4.42</v>
      </c>
      <c r="I269" s="115" t="n">
        <v>0.35</v>
      </c>
      <c r="J269" s="116" t="n">
        <v>36529</v>
      </c>
      <c r="K269" s="132" t="inlineStr">
        <is>
          <t>查看基金</t>
        </is>
      </c>
      <c r="L269" s="111">
        <f>H269/F269</f>
        <v/>
      </c>
    </row>
    <row customHeight="1" ht="17" r="270" s="155">
      <c r="A270" s="115" t="inlineStr">
        <is>
          <t>csih30035</t>
        </is>
      </c>
      <c r="B270" s="115" t="inlineStr">
        <is>
          <t>300非银</t>
        </is>
      </c>
      <c r="C270" s="115" t="n">
        <v>10346.79</v>
      </c>
      <c r="D270" s="115" t="n">
        <v>0.07000000000000001</v>
      </c>
      <c r="E270" s="115" t="n">
        <v>35.81</v>
      </c>
      <c r="F270" s="115" t="n">
        <v>14.99</v>
      </c>
      <c r="G270" s="115" t="n">
        <v>0.14</v>
      </c>
      <c r="H270" s="115" t="n">
        <v>1.88</v>
      </c>
      <c r="I270" s="115" t="n">
        <v>0.36</v>
      </c>
      <c r="J270" s="116" t="n">
        <v>41264</v>
      </c>
      <c r="K270" s="132" t="inlineStr">
        <is>
          <t>查看基金</t>
        </is>
      </c>
      <c r="L270" s="111">
        <f>H270/F270</f>
        <v/>
      </c>
    </row>
    <row customHeight="1" ht="17" r="271" s="155">
      <c r="A271" s="115" t="inlineStr">
        <is>
          <t>sz399703</t>
        </is>
      </c>
      <c r="B271" s="115" t="inlineStr">
        <is>
          <t>深证F200</t>
        </is>
      </c>
      <c r="C271" s="115" t="n">
        <v>6541.15</v>
      </c>
      <c r="D271" s="115" t="n">
        <v>0.17</v>
      </c>
      <c r="E271" s="115" t="n">
        <v>33.41</v>
      </c>
      <c r="F271" s="115" t="n">
        <v>18.35</v>
      </c>
      <c r="G271" s="115" t="n">
        <v>0.26</v>
      </c>
      <c r="H271" s="115" t="n">
        <v>2.22</v>
      </c>
      <c r="I271" s="115" t="n">
        <v>0.38</v>
      </c>
      <c r="J271" s="116" t="n">
        <v>40308</v>
      </c>
      <c r="K271" s="132" t="inlineStr">
        <is>
          <t>查看基金</t>
        </is>
      </c>
      <c r="L271" s="111">
        <f>H271/F271</f>
        <v/>
      </c>
    </row>
    <row customHeight="1" ht="17" r="272" s="155">
      <c r="A272" s="115" t="inlineStr">
        <is>
          <t>sh000065</t>
        </is>
      </c>
      <c r="B272" s="115" t="inlineStr">
        <is>
          <t>上证龙头</t>
        </is>
      </c>
      <c r="C272" s="115" t="n">
        <v>3054.44</v>
      </c>
      <c r="D272" s="115" t="n">
        <v>0.5</v>
      </c>
      <c r="E272" s="115" t="n">
        <v>19.29</v>
      </c>
      <c r="F272" s="115" t="n">
        <v>11.55</v>
      </c>
      <c r="G272" s="115" t="n">
        <v>0.52</v>
      </c>
      <c r="H272" s="115" t="n">
        <v>1.42</v>
      </c>
      <c r="I272" s="115" t="n">
        <v>0.39</v>
      </c>
      <c r="J272" s="116" t="n">
        <v>40218</v>
      </c>
      <c r="K272" s="132" t="inlineStr">
        <is>
          <t>查看基金</t>
        </is>
      </c>
      <c r="L272" s="111">
        <f>H272/F272</f>
        <v/>
      </c>
    </row>
    <row customHeight="1" ht="17" r="273" s="155">
      <c r="A273" s="115" t="inlineStr">
        <is>
          <t>si801085</t>
        </is>
      </c>
      <c r="B273" s="115" t="inlineStr">
        <is>
          <t>电子制造Ⅱ(申万)</t>
        </is>
      </c>
      <c r="C273" s="115" t="n">
        <v>5017.39</v>
      </c>
      <c r="D273" s="115" t="n">
        <v>1.47</v>
      </c>
      <c r="E273" s="115" t="n">
        <v>75.42</v>
      </c>
      <c r="F273" s="115" t="n">
        <v>35.73</v>
      </c>
      <c r="G273" s="115" t="n">
        <v>0.2</v>
      </c>
      <c r="H273" s="115" t="n">
        <v>4.88</v>
      </c>
      <c r="I273" s="115" t="n">
        <v>0.39</v>
      </c>
      <c r="J273" s="116" t="n">
        <v>36529</v>
      </c>
      <c r="K273" s="132" t="inlineStr">
        <is>
          <t>查看基金</t>
        </is>
      </c>
      <c r="L273" s="111">
        <f>H273/F273</f>
        <v/>
      </c>
    </row>
    <row customHeight="1" ht="17" r="274" s="155">
      <c r="A274" s="115" t="inlineStr">
        <is>
          <t>sz399994</t>
        </is>
      </c>
      <c r="B274" s="115" t="inlineStr">
        <is>
          <t>信息安全</t>
        </is>
      </c>
      <c r="C274" s="115" t="n">
        <v>1593.25</v>
      </c>
      <c r="D274" s="115" t="n">
        <v>0.23</v>
      </c>
      <c r="E274" s="115" t="n">
        <v>38.14</v>
      </c>
      <c r="F274" s="115" t="n">
        <v>65.05</v>
      </c>
      <c r="G274" s="115" t="n">
        <v>0.46</v>
      </c>
      <c r="H274" s="115" t="n">
        <v>3.91</v>
      </c>
      <c r="I274" s="115" t="n">
        <v>0.39</v>
      </c>
      <c r="J274" s="116" t="n">
        <v>42075</v>
      </c>
      <c r="K274" s="132" t="inlineStr">
        <is>
          <t>查看基金</t>
        </is>
      </c>
      <c r="L274" s="111">
        <f>H274/F274</f>
        <v/>
      </c>
    </row>
    <row customHeight="1" ht="17" r="275" s="155">
      <c r="A275" s="115" t="inlineStr">
        <is>
          <t>si801215</t>
        </is>
      </c>
      <c r="B275" s="115" t="inlineStr">
        <is>
          <t>其他休闲服务Ⅱ(申万)</t>
        </is>
      </c>
      <c r="C275" s="115" t="inlineStr">
        <is>
          <t>---</t>
        </is>
      </c>
      <c r="D275" s="115" t="n">
        <v>0</v>
      </c>
      <c r="E275" s="115" t="n">
        <v>0</v>
      </c>
      <c r="F275" s="115" t="n">
        <v>34.71</v>
      </c>
      <c r="G275" s="115" t="n">
        <v>0.31</v>
      </c>
      <c r="H275" s="115" t="n">
        <v>3.88</v>
      </c>
      <c r="I275" s="115" t="n">
        <v>0.39</v>
      </c>
      <c r="J275" s="116" t="n">
        <v>42901</v>
      </c>
      <c r="K275" s="132" t="inlineStr">
        <is>
          <t>查看基金</t>
        </is>
      </c>
      <c r="L275" s="111">
        <f>H275/F275</f>
        <v/>
      </c>
    </row>
    <row customHeight="1" ht="17" r="276" s="155">
      <c r="A276" s="115" t="inlineStr">
        <is>
          <t>sh000037</t>
        </is>
      </c>
      <c r="B276" s="115" t="inlineStr">
        <is>
          <t>上证医药</t>
        </is>
      </c>
      <c r="C276" s="115" t="n">
        <v>6418.79</v>
      </c>
      <c r="D276" s="115" t="n">
        <v>0.53</v>
      </c>
      <c r="E276" s="115" t="n">
        <v>23.96</v>
      </c>
      <c r="F276" s="115" t="n">
        <v>35.2</v>
      </c>
      <c r="G276" s="115" t="n">
        <v>0.77</v>
      </c>
      <c r="H276" s="115" t="n">
        <v>3.99</v>
      </c>
      <c r="I276" s="115" t="n">
        <v>0.4</v>
      </c>
      <c r="J276" s="116" t="n">
        <v>39822</v>
      </c>
      <c r="K276" s="132" t="inlineStr">
        <is>
          <t>查看基金</t>
        </is>
      </c>
      <c r="L276" s="111">
        <f>H276/F276</f>
        <v/>
      </c>
    </row>
    <row customHeight="1" ht="17" r="277" s="155">
      <c r="A277" s="115" t="inlineStr">
        <is>
          <t>sh000998</t>
        </is>
      </c>
      <c r="B277" s="115" t="inlineStr">
        <is>
          <t>中证TMT</t>
        </is>
      </c>
      <c r="C277" s="115" t="n">
        <v>1841.67</v>
      </c>
      <c r="D277" s="115" t="n">
        <v>0.87</v>
      </c>
      <c r="E277" s="115" t="n">
        <v>41.28</v>
      </c>
      <c r="F277" s="115" t="n">
        <v>32.91</v>
      </c>
      <c r="G277" s="115" t="n">
        <v>0.13</v>
      </c>
      <c r="H277" s="115" t="n">
        <v>3.18</v>
      </c>
      <c r="I277" s="115" t="n">
        <v>0.41</v>
      </c>
      <c r="J277" s="116" t="n">
        <v>40855</v>
      </c>
      <c r="K277" s="132" t="inlineStr">
        <is>
          <t>查看基金</t>
        </is>
      </c>
      <c r="L277" s="111">
        <f>H277/F277</f>
        <v/>
      </c>
    </row>
    <row customHeight="1" ht="17" r="278" s="155">
      <c r="A278" s="115" t="inlineStr">
        <is>
          <t>csi930651</t>
        </is>
      </c>
      <c r="B278" s="115" t="inlineStr">
        <is>
          <t>CS计算机</t>
        </is>
      </c>
      <c r="C278" s="115" t="n">
        <v>7232.45</v>
      </c>
      <c r="D278" s="115" t="n">
        <v>0.33</v>
      </c>
      <c r="E278" s="115" t="n">
        <v>40.32</v>
      </c>
      <c r="F278" s="115" t="n">
        <v>62.3</v>
      </c>
      <c r="G278" s="115" t="n">
        <v>0.55</v>
      </c>
      <c r="H278" s="115" t="n">
        <v>4.18</v>
      </c>
      <c r="I278" s="115" t="n">
        <v>0.41</v>
      </c>
      <c r="J278" s="116" t="n">
        <v>42160</v>
      </c>
      <c r="K278" s="132" t="inlineStr">
        <is>
          <t>查看基金</t>
        </is>
      </c>
      <c r="L278" s="111">
        <f>H278/F278</f>
        <v/>
      </c>
    </row>
    <row customHeight="1" ht="17" r="279" s="155">
      <c r="A279" s="115" t="inlineStr">
        <is>
          <t>si801770</t>
        </is>
      </c>
      <c r="B279" s="115" t="inlineStr">
        <is>
          <t>通信(申万)</t>
        </is>
      </c>
      <c r="C279" s="115" t="n">
        <v>2127</v>
      </c>
      <c r="D279" s="115" t="n">
        <v>0.2</v>
      </c>
      <c r="E279" s="115" t="n">
        <v>10.67</v>
      </c>
      <c r="F279" s="115" t="n">
        <v>34.77</v>
      </c>
      <c r="G279" s="115" t="n">
        <v>0.3</v>
      </c>
      <c r="H279" s="115" t="n">
        <v>2.46</v>
      </c>
      <c r="I279" s="115" t="n">
        <v>0.42</v>
      </c>
      <c r="J279" s="116" t="n">
        <v>36529</v>
      </c>
      <c r="K279" s="132" t="inlineStr">
        <is>
          <t>查看基金</t>
        </is>
      </c>
      <c r="L279" s="111">
        <f>H279/F279</f>
        <v/>
      </c>
    </row>
    <row customHeight="1" ht="17" r="280" s="155">
      <c r="A280" s="115" t="inlineStr">
        <is>
          <t>sh000952</t>
        </is>
      </c>
      <c r="B280" s="115" t="inlineStr">
        <is>
          <t>300地产</t>
        </is>
      </c>
      <c r="C280" s="115" t="n">
        <v>7692.24</v>
      </c>
      <c r="D280" s="115" t="n">
        <v>2.17</v>
      </c>
      <c r="E280" s="115" t="n">
        <v>2.47</v>
      </c>
      <c r="F280" s="115" t="n">
        <v>7.59</v>
      </c>
      <c r="G280" s="115" t="n">
        <v>0.16</v>
      </c>
      <c r="H280" s="115" t="n">
        <v>1.52</v>
      </c>
      <c r="I280" s="115" t="n">
        <v>0.42</v>
      </c>
      <c r="J280" s="116" t="n">
        <v>43179</v>
      </c>
      <c r="K280" s="132" t="inlineStr">
        <is>
          <t>查看基金</t>
        </is>
      </c>
      <c r="L280" s="111">
        <f>H280/F280</f>
        <v/>
      </c>
    </row>
    <row customHeight="1" ht="17" r="281" s="155">
      <c r="A281" s="115" t="inlineStr">
        <is>
          <t>si801194</t>
        </is>
      </c>
      <c r="B281" s="115" t="inlineStr">
        <is>
          <t>保险Ⅱ(申万)</t>
        </is>
      </c>
      <c r="C281" s="115" t="n">
        <v>1695.6</v>
      </c>
      <c r="D281" s="115" t="n">
        <v>-0.13</v>
      </c>
      <c r="E281" s="115" t="n">
        <v>46.61</v>
      </c>
      <c r="F281" s="115" t="n">
        <v>10.41</v>
      </c>
      <c r="G281" s="115" t="n">
        <v>0</v>
      </c>
      <c r="H281" s="115" t="n">
        <v>2.31</v>
      </c>
      <c r="I281" s="115" t="n">
        <v>0.42</v>
      </c>
      <c r="J281" s="116" t="n">
        <v>39099</v>
      </c>
      <c r="K281" s="132" t="inlineStr">
        <is>
          <t>查看基金</t>
        </is>
      </c>
      <c r="L281" s="111">
        <f>H281/F281</f>
        <v/>
      </c>
    </row>
    <row customHeight="1" ht="17" r="282" s="155">
      <c r="A282" s="115" t="inlineStr">
        <is>
          <t>gigdaxi</t>
        </is>
      </c>
      <c r="B282" s="115" t="inlineStr">
        <is>
          <t>德国DAX</t>
        </is>
      </c>
      <c r="C282" s="115" t="n">
        <v>13220.81</v>
      </c>
      <c r="D282" s="115" t="n">
        <v>-0.19</v>
      </c>
      <c r="E282" s="115" t="n">
        <v>25.21</v>
      </c>
      <c r="F282" s="115" t="n">
        <v>24.53</v>
      </c>
      <c r="G282" s="115" t="n">
        <v>1</v>
      </c>
      <c r="H282" s="115" t="n">
        <v>1.65</v>
      </c>
      <c r="I282" s="115" t="n">
        <v>0.42</v>
      </c>
      <c r="J282" s="116" t="n">
        <v>42258</v>
      </c>
      <c r="K282" s="132" t="inlineStr">
        <is>
          <t>查看基金</t>
        </is>
      </c>
      <c r="L282" s="111">
        <f>H282/F282</f>
        <v/>
      </c>
    </row>
    <row customHeight="1" ht="17" r="283" s="155">
      <c r="A283" s="115" t="inlineStr">
        <is>
          <t>sz399337</t>
        </is>
      </c>
      <c r="B283" s="115" t="inlineStr">
        <is>
          <t>深证民营</t>
        </is>
      </c>
      <c r="C283" s="115" t="n">
        <v>4073.76</v>
      </c>
      <c r="D283" s="115" t="n">
        <v>1.02</v>
      </c>
      <c r="E283" s="115" t="n">
        <v>38.77</v>
      </c>
      <c r="F283" s="115" t="n">
        <v>27.01</v>
      </c>
      <c r="G283" s="115" t="n">
        <v>0.25</v>
      </c>
      <c r="H283" s="115" t="n">
        <v>3.85</v>
      </c>
      <c r="I283" s="115" t="n">
        <v>0.43</v>
      </c>
      <c r="J283" s="116" t="n">
        <v>40028</v>
      </c>
      <c r="K283" s="132" t="inlineStr">
        <is>
          <t>查看基金</t>
        </is>
      </c>
      <c r="L283" s="111">
        <f>H283/F283</f>
        <v/>
      </c>
    </row>
    <row customHeight="1" ht="17" r="284" s="155">
      <c r="A284" s="115" t="inlineStr">
        <is>
          <t>sz399702</t>
        </is>
      </c>
      <c r="B284" s="115" t="inlineStr">
        <is>
          <t>深证F120</t>
        </is>
      </c>
      <c r="C284" s="115" t="n">
        <v>6934.34</v>
      </c>
      <c r="D284" s="115" t="n">
        <v>0.26</v>
      </c>
      <c r="E284" s="115" t="n">
        <v>36.14</v>
      </c>
      <c r="F284" s="115" t="n">
        <v>17.25</v>
      </c>
      <c r="G284" s="115" t="n">
        <v>0.28</v>
      </c>
      <c r="H284" s="115" t="n">
        <v>2.18</v>
      </c>
      <c r="I284" s="115" t="n">
        <v>0.44</v>
      </c>
      <c r="J284" s="116" t="n">
        <v>40308</v>
      </c>
      <c r="K284" s="132" t="inlineStr">
        <is>
          <t>查看基金</t>
        </is>
      </c>
      <c r="L284" s="111">
        <f>H284/F284</f>
        <v/>
      </c>
    </row>
    <row customHeight="1" ht="17" r="285" s="155">
      <c r="A285" s="115" t="inlineStr">
        <is>
          <t>si801018</t>
        </is>
      </c>
      <c r="B285" s="115" t="inlineStr">
        <is>
          <t>动物保健Ⅱ(申万)</t>
        </is>
      </c>
      <c r="C285" s="115" t="n">
        <v>5976.92</v>
      </c>
      <c r="D285" s="115" t="n">
        <v>-0.58</v>
      </c>
      <c r="E285" s="115" t="n">
        <v>23.54</v>
      </c>
      <c r="F285" s="115" t="n">
        <v>45.75</v>
      </c>
      <c r="G285" s="115" t="n">
        <v>0.73</v>
      </c>
      <c r="H285" s="115" t="n">
        <v>3.51</v>
      </c>
      <c r="I285" s="115" t="n">
        <v>0.44</v>
      </c>
      <c r="J285" s="116" t="n">
        <v>36529</v>
      </c>
      <c r="K285" s="132" t="inlineStr">
        <is>
          <t>查看基金</t>
        </is>
      </c>
      <c r="L285" s="111">
        <f>H285/F285</f>
        <v/>
      </c>
    </row>
    <row customHeight="1" ht="17" r="286" s="155">
      <c r="A286" s="115" t="inlineStr">
        <is>
          <t>sh000935</t>
        </is>
      </c>
      <c r="B286" s="115" t="inlineStr">
        <is>
          <t>中证信息</t>
        </is>
      </c>
      <c r="C286" s="115" t="n">
        <v>4228.28</v>
      </c>
      <c r="D286" s="115" t="n">
        <v>1.28</v>
      </c>
      <c r="E286" s="115" t="n">
        <v>48.59</v>
      </c>
      <c r="F286" s="115" t="n">
        <v>53.02</v>
      </c>
      <c r="G286" s="115" t="n">
        <v>0.68</v>
      </c>
      <c r="H286" s="115" t="n">
        <v>3.92</v>
      </c>
      <c r="I286" s="115" t="n">
        <v>0.45</v>
      </c>
      <c r="J286" s="116" t="n">
        <v>39997</v>
      </c>
      <c r="K286" s="132" t="inlineStr">
        <is>
          <t>查看基金</t>
        </is>
      </c>
      <c r="L286" s="111">
        <f>H286/F286</f>
        <v/>
      </c>
    </row>
    <row customHeight="1" ht="17" r="287" s="155">
      <c r="A287" s="115" t="inlineStr">
        <is>
          <t>csi931009</t>
        </is>
      </c>
      <c r="B287" s="115" t="inlineStr">
        <is>
          <t>中证全指建筑材料</t>
        </is>
      </c>
      <c r="C287" s="115" t="n">
        <v>7506.07</v>
      </c>
      <c r="D287" s="115" t="n">
        <v>-1.23</v>
      </c>
      <c r="E287" s="115" t="n">
        <v>34.56</v>
      </c>
      <c r="F287" s="115" t="n">
        <v>9.800000000000001</v>
      </c>
      <c r="G287" s="115" t="n">
        <v>0.13</v>
      </c>
      <c r="H287" s="115" t="n">
        <v>1.75</v>
      </c>
      <c r="I287" s="115" t="n">
        <v>0.45</v>
      </c>
      <c r="J287" s="116" t="n">
        <v>41470</v>
      </c>
      <c r="K287" s="132" t="inlineStr">
        <is>
          <t>查看基金</t>
        </is>
      </c>
      <c r="L287" s="111">
        <f>H287/F287</f>
        <v/>
      </c>
    </row>
    <row customHeight="1" ht="17" r="288" s="155">
      <c r="A288" s="115" t="inlineStr">
        <is>
          <t>csih11136</t>
        </is>
      </c>
      <c r="B288" s="115" t="inlineStr">
        <is>
          <t>中国互联网</t>
        </is>
      </c>
      <c r="C288" s="115" t="n">
        <v>5875.85</v>
      </c>
      <c r="D288" s="115" t="n">
        <v>2.3</v>
      </c>
      <c r="E288" s="115" t="n">
        <v>23.56</v>
      </c>
      <c r="F288" s="115" t="n">
        <v>34.49</v>
      </c>
      <c r="G288" s="115" t="n">
        <v>0.3</v>
      </c>
      <c r="H288" s="115" t="n">
        <v>4.89</v>
      </c>
      <c r="I288" s="115" t="n">
        <v>0.46</v>
      </c>
      <c r="J288" s="116" t="n">
        <v>42982</v>
      </c>
      <c r="K288" s="132" t="inlineStr">
        <is>
          <t>查看基金</t>
        </is>
      </c>
      <c r="L288" s="111">
        <f>H288/F288</f>
        <v/>
      </c>
    </row>
    <row customHeight="1" ht="17" r="289" s="155">
      <c r="A289" s="115" t="inlineStr">
        <is>
          <t>sz399673</t>
        </is>
      </c>
      <c r="B289" s="115" t="n"/>
      <c r="C289" s="115" t="n">
        <v>1383.68</v>
      </c>
      <c r="D289" s="115" t="n">
        <v>1.15</v>
      </c>
      <c r="E289" s="115" t="n">
        <v>38.14</v>
      </c>
      <c r="F289" s="115" t="n">
        <v>57.77</v>
      </c>
      <c r="G289" s="115" t="n">
        <v>0.71</v>
      </c>
      <c r="H289" s="115" t="n">
        <v>5.17</v>
      </c>
      <c r="I289" s="115" t="n">
        <v>0.47</v>
      </c>
      <c r="J289" s="116" t="n">
        <v>41808</v>
      </c>
      <c r="K289" s="132" t="inlineStr">
        <is>
          <t>查看基金</t>
        </is>
      </c>
      <c r="L289" s="111">
        <f>H289/F289</f>
        <v/>
      </c>
    </row>
    <row customHeight="1" ht="17" r="290" s="155">
      <c r="A290" s="115" t="inlineStr">
        <is>
          <t>sz399804</t>
        </is>
      </c>
      <c r="B290" s="115" t="inlineStr">
        <is>
          <t>中证体育</t>
        </is>
      </c>
      <c r="C290" s="115" t="n">
        <v>1625.44</v>
      </c>
      <c r="D290" s="115" t="n">
        <v>0.55</v>
      </c>
      <c r="E290" s="115" t="n">
        <v>40.06</v>
      </c>
      <c r="F290" s="115" t="n">
        <v>26.27</v>
      </c>
      <c r="G290" s="115" t="n">
        <v>0.22</v>
      </c>
      <c r="H290" s="115" t="n">
        <v>3.77</v>
      </c>
      <c r="I290" s="115" t="n">
        <v>0.47</v>
      </c>
      <c r="J290" s="116" t="n">
        <v>42044</v>
      </c>
      <c r="K290" s="132" t="inlineStr">
        <is>
          <t>查看基金</t>
        </is>
      </c>
      <c r="L290" s="111">
        <f>H290/F290</f>
        <v/>
      </c>
    </row>
    <row customHeight="1" ht="17" r="291" s="155">
      <c r="A291" s="115" t="inlineStr">
        <is>
          <t>si801881</t>
        </is>
      </c>
      <c r="B291" s="115" t="inlineStr">
        <is>
          <t>其他交运设备Ⅱ(申万)</t>
        </is>
      </c>
      <c r="C291" s="115" t="n">
        <v>1185.37</v>
      </c>
      <c r="D291" s="115" t="n">
        <v>0.06</v>
      </c>
      <c r="E291" s="115" t="n">
        <v>15.93</v>
      </c>
      <c r="F291" s="115" t="n">
        <v>44.67</v>
      </c>
      <c r="G291" s="115" t="n">
        <v>0.35</v>
      </c>
      <c r="H291" s="115" t="n">
        <v>3.49</v>
      </c>
      <c r="I291" s="115" t="n">
        <v>0.48</v>
      </c>
      <c r="J291" s="116" t="n">
        <v>36529</v>
      </c>
      <c r="K291" s="132" t="inlineStr">
        <is>
          <t>查看基金</t>
        </is>
      </c>
      <c r="L291" s="111">
        <f>H291/F291</f>
        <v/>
      </c>
    </row>
    <row customHeight="1" ht="17" r="292" s="155">
      <c r="A292" s="115" t="inlineStr">
        <is>
          <t>sz399006</t>
        </is>
      </c>
      <c r="B292" s="115" t="inlineStr">
        <is>
          <t>创业板指</t>
        </is>
      </c>
      <c r="C292" s="115" t="n">
        <v>1679.08</v>
      </c>
      <c r="D292" s="115" t="n">
        <v>1.04</v>
      </c>
      <c r="E292" s="115" t="n">
        <v>34.27</v>
      </c>
      <c r="F292" s="115" t="n">
        <v>51.26</v>
      </c>
      <c r="G292" s="115" t="n">
        <v>0.53</v>
      </c>
      <c r="H292" s="115" t="n">
        <v>4.67</v>
      </c>
      <c r="I292" s="115" t="n">
        <v>0.49</v>
      </c>
      <c r="J292" s="116" t="n">
        <v>40330</v>
      </c>
      <c r="K292" s="132" t="inlineStr">
        <is>
          <t>查看基金</t>
        </is>
      </c>
      <c r="L292" s="111">
        <f>H292/F292</f>
        <v/>
      </c>
    </row>
    <row customHeight="1" ht="17" r="293" s="155">
      <c r="A293" s="115" t="inlineStr">
        <is>
          <t>sz399812</t>
        </is>
      </c>
      <c r="B293" s="115" t="inlineStr">
        <is>
          <t>养老产业</t>
        </is>
      </c>
      <c r="C293" s="115" t="n">
        <v>7169.92</v>
      </c>
      <c r="D293" s="115" t="n">
        <v>0.67</v>
      </c>
      <c r="E293" s="115" t="n">
        <v>17.13</v>
      </c>
      <c r="F293" s="115" t="n">
        <v>18.16</v>
      </c>
      <c r="G293" s="115" t="n">
        <v>0.02</v>
      </c>
      <c r="H293" s="115" t="n">
        <v>3.01</v>
      </c>
      <c r="I293" s="115" t="n">
        <v>0.49</v>
      </c>
      <c r="J293" s="116" t="n">
        <v>41796</v>
      </c>
      <c r="K293" s="132" t="inlineStr">
        <is>
          <t>查看基金</t>
        </is>
      </c>
      <c r="L293" s="111">
        <f>H293/F293</f>
        <v/>
      </c>
    </row>
    <row customHeight="1" ht="17" r="294" s="155">
      <c r="A294" s="115" t="inlineStr">
        <is>
          <t>si801081</t>
        </is>
      </c>
      <c r="B294" s="115" t="inlineStr">
        <is>
          <t>半导体(申万)</t>
        </is>
      </c>
      <c r="C294" s="115" t="n">
        <v>2509.37</v>
      </c>
      <c r="D294" s="115" t="n">
        <v>1.56</v>
      </c>
      <c r="E294" s="115" t="n">
        <v>84.13</v>
      </c>
      <c r="F294" s="115" t="n">
        <v>92.08</v>
      </c>
      <c r="G294" s="115" t="n">
        <v>0.71</v>
      </c>
      <c r="H294" s="115" t="n">
        <v>3.82</v>
      </c>
      <c r="I294" s="115" t="n">
        <v>0.5</v>
      </c>
      <c r="J294" s="116" t="n">
        <v>36529</v>
      </c>
      <c r="K294" s="132" t="inlineStr">
        <is>
          <t>查看基金</t>
        </is>
      </c>
      <c r="L294" s="111">
        <f>H294/F294</f>
        <v/>
      </c>
    </row>
    <row customHeight="1" ht="17" r="295" s="155">
      <c r="A295" s="115" t="inlineStr">
        <is>
          <t>sz399610</t>
        </is>
      </c>
      <c r="B295" s="115" t="inlineStr">
        <is>
          <t>TMT50</t>
        </is>
      </c>
      <c r="C295" s="115" t="n">
        <v>4968.49</v>
      </c>
      <c r="D295" s="115" t="n">
        <v>1.23</v>
      </c>
      <c r="E295" s="115" t="n">
        <v>48.53</v>
      </c>
      <c r="F295" s="115" t="n">
        <v>37.78</v>
      </c>
      <c r="G295" s="115" t="n">
        <v>0.57</v>
      </c>
      <c r="H295" s="115" t="n">
        <v>3.91</v>
      </c>
      <c r="I295" s="115" t="n">
        <v>0.5</v>
      </c>
      <c r="J295" s="116" t="n">
        <v>40490</v>
      </c>
      <c r="K295" s="132" t="inlineStr">
        <is>
          <t>查看基金</t>
        </is>
      </c>
      <c r="L295" s="111">
        <f>H295/F295</f>
        <v/>
      </c>
    </row>
    <row customHeight="1" ht="17" r="296" s="155">
      <c r="A296" s="115" t="inlineStr">
        <is>
          <t>si801010</t>
        </is>
      </c>
      <c r="B296" s="115" t="inlineStr">
        <is>
          <t>农林牧渔(申万)</t>
        </is>
      </c>
      <c r="C296" s="115" t="n">
        <v>3295.91</v>
      </c>
      <c r="D296" s="115" t="n">
        <v>0.85</v>
      </c>
      <c r="E296" s="115" t="n">
        <v>44.91</v>
      </c>
      <c r="F296" s="115" t="n">
        <v>31.84</v>
      </c>
      <c r="G296" s="115" t="n">
        <v>0.2</v>
      </c>
      <c r="H296" s="115" t="n">
        <v>3.53</v>
      </c>
      <c r="I296" s="115" t="n">
        <v>0.51</v>
      </c>
      <c r="J296" s="116" t="n">
        <v>36529</v>
      </c>
      <c r="K296" s="132" t="inlineStr">
        <is>
          <t>查看基金</t>
        </is>
      </c>
      <c r="L296" s="111">
        <f>H296/F296</f>
        <v/>
      </c>
    </row>
    <row customHeight="1" ht="17" r="297" s="155">
      <c r="A297" s="115" t="inlineStr">
        <is>
          <t>sz399441</t>
        </is>
      </c>
      <c r="B297" s="115" t="inlineStr">
        <is>
          <t>生物医药</t>
        </is>
      </c>
      <c r="C297" s="115" t="n">
        <v>3077.54</v>
      </c>
      <c r="D297" s="115" t="n">
        <v>0.89</v>
      </c>
      <c r="E297" s="115" t="n">
        <v>50.76</v>
      </c>
      <c r="F297" s="115" t="n">
        <v>50.28</v>
      </c>
      <c r="G297" s="115" t="n">
        <v>0.24</v>
      </c>
      <c r="H297" s="115" t="n">
        <v>6.95</v>
      </c>
      <c r="I297" s="115" t="n">
        <v>0.51</v>
      </c>
      <c r="J297" s="116" t="n">
        <v>42024</v>
      </c>
      <c r="K297" s="132" t="inlineStr">
        <is>
          <t>查看基金</t>
        </is>
      </c>
      <c r="L297" s="111">
        <f>H297/F297</f>
        <v/>
      </c>
    </row>
    <row customHeight="1" ht="17" r="298" s="155">
      <c r="A298" s="115" t="inlineStr">
        <is>
          <t>csi930729</t>
        </is>
      </c>
      <c r="B298" s="115" t="inlineStr">
        <is>
          <t>银智100</t>
        </is>
      </c>
      <c r="C298" s="115" t="n">
        <v>5705.49</v>
      </c>
      <c r="D298" s="115" t="n">
        <v>0.57</v>
      </c>
      <c r="E298" s="115" t="n">
        <v>29.58</v>
      </c>
      <c r="F298" s="115" t="n">
        <v>15.26</v>
      </c>
      <c r="G298" s="115" t="n">
        <v>0.4</v>
      </c>
      <c r="H298" s="115" t="n">
        <v>2.03</v>
      </c>
      <c r="I298" s="115" t="n">
        <v>0.52</v>
      </c>
      <c r="J298" s="116" t="n">
        <v>42240</v>
      </c>
      <c r="K298" s="132" t="inlineStr">
        <is>
          <t>查看基金</t>
        </is>
      </c>
      <c r="L298" s="111">
        <f>H298/F298</f>
        <v/>
      </c>
    </row>
    <row customHeight="1" ht="17" r="299" s="155">
      <c r="A299" s="115" t="inlineStr">
        <is>
          <t>sz399813</t>
        </is>
      </c>
      <c r="B299" s="115" t="inlineStr">
        <is>
          <t>中证国安</t>
        </is>
      </c>
      <c r="C299" s="115" t="n">
        <v>4553.04</v>
      </c>
      <c r="D299" s="115" t="n">
        <v>0.34</v>
      </c>
      <c r="E299" s="115" t="n">
        <v>26.2</v>
      </c>
      <c r="F299" s="115" t="n">
        <v>63.52</v>
      </c>
      <c r="G299" s="115" t="n">
        <v>0.38</v>
      </c>
      <c r="H299" s="115" t="n">
        <v>3.19</v>
      </c>
      <c r="I299" s="115" t="n">
        <v>0.52</v>
      </c>
      <c r="J299" s="116" t="n">
        <v>43179</v>
      </c>
      <c r="K299" s="132" t="inlineStr">
        <is>
          <t>查看基金</t>
        </is>
      </c>
      <c r="L299" s="111">
        <f>H299/F299</f>
        <v/>
      </c>
    </row>
    <row customHeight="1" ht="17" r="300" s="155">
      <c r="A300" s="115" t="inlineStr">
        <is>
          <t>si801156</t>
        </is>
      </c>
      <c r="B300" s="115" t="inlineStr">
        <is>
          <t>医疗服务Ⅱ(申万)</t>
        </is>
      </c>
      <c r="C300" s="115" t="n">
        <v>6698.78</v>
      </c>
      <c r="D300" s="115" t="n">
        <v>1.18</v>
      </c>
      <c r="E300" s="115" t="n">
        <v>64.5</v>
      </c>
      <c r="F300" s="115" t="n">
        <v>97.16</v>
      </c>
      <c r="G300" s="115" t="n">
        <v>0.65</v>
      </c>
      <c r="H300" s="115" t="n">
        <v>7.38</v>
      </c>
      <c r="I300" s="115" t="n">
        <v>0.54</v>
      </c>
      <c r="J300" s="116" t="n">
        <v>39265</v>
      </c>
      <c r="K300" s="132" t="inlineStr">
        <is>
          <t>查看基金</t>
        </is>
      </c>
      <c r="L300" s="111">
        <f>H300/F300</f>
        <v/>
      </c>
    </row>
    <row customHeight="1" ht="17" r="301" s="155">
      <c r="A301" s="115" t="inlineStr">
        <is>
          <t>sz399326</t>
        </is>
      </c>
      <c r="B301" s="115" t="inlineStr">
        <is>
          <t>成长40</t>
        </is>
      </c>
      <c r="C301" s="115" t="n">
        <v>4443.46</v>
      </c>
      <c r="D301" s="115" t="n">
        <v>1.35</v>
      </c>
      <c r="E301" s="115" t="n">
        <v>45.77</v>
      </c>
      <c r="F301" s="115" t="n">
        <v>29.41</v>
      </c>
      <c r="G301" s="115" t="n">
        <v>0.77</v>
      </c>
      <c r="H301" s="115" t="n">
        <v>4.13</v>
      </c>
      <c r="I301" s="115" t="n">
        <v>0.54</v>
      </c>
      <c r="J301" s="116" t="n">
        <v>37621</v>
      </c>
      <c r="K301" s="132" t="inlineStr">
        <is>
          <t>查看基金</t>
        </is>
      </c>
      <c r="L301" s="111">
        <f>H301/F301</f>
        <v/>
      </c>
    </row>
    <row customHeight="1" ht="17" r="302" s="155">
      <c r="A302" s="115" t="inlineStr">
        <is>
          <t>sz399701</t>
        </is>
      </c>
      <c r="B302" s="115" t="inlineStr">
        <is>
          <t>深证F60</t>
        </is>
      </c>
      <c r="C302" s="115" t="n">
        <v>7800.86</v>
      </c>
      <c r="D302" s="115" t="n">
        <v>0.3</v>
      </c>
      <c r="E302" s="115" t="n">
        <v>40.46</v>
      </c>
      <c r="F302" s="115" t="n">
        <v>15.93</v>
      </c>
      <c r="G302" s="115" t="n">
        <v>0.28</v>
      </c>
      <c r="H302" s="115" t="n">
        <v>2.18</v>
      </c>
      <c r="I302" s="115" t="n">
        <v>0.55</v>
      </c>
      <c r="J302" s="116" t="n">
        <v>40308</v>
      </c>
      <c r="K302" s="132" t="inlineStr">
        <is>
          <t>查看基金</t>
        </is>
      </c>
      <c r="L302" s="111">
        <f>H302/F302</f>
        <v/>
      </c>
    </row>
    <row customHeight="1" ht="17" r="303" s="155">
      <c r="A303" s="115" t="inlineStr">
        <is>
          <t>sz399811</t>
        </is>
      </c>
      <c r="B303" s="115" t="inlineStr">
        <is>
          <t>CSSW电子</t>
        </is>
      </c>
      <c r="C303" s="115" t="n">
        <v>2708.34</v>
      </c>
      <c r="D303" s="115" t="n">
        <v>1.76</v>
      </c>
      <c r="E303" s="115" t="n">
        <v>55.31</v>
      </c>
      <c r="F303" s="115" t="n">
        <v>39.84</v>
      </c>
      <c r="G303" s="115" t="n">
        <v>0.39</v>
      </c>
      <c r="H303" s="115" t="n">
        <v>3.68</v>
      </c>
      <c r="I303" s="115" t="n">
        <v>0.55</v>
      </c>
      <c r="J303" s="116" t="n">
        <v>42219</v>
      </c>
      <c r="K303" s="132" t="inlineStr">
        <is>
          <t>查看基金</t>
        </is>
      </c>
      <c r="L303" s="111">
        <f>H303/F303</f>
        <v/>
      </c>
    </row>
    <row customHeight="1" ht="17" r="304" s="155">
      <c r="A304" s="115" t="inlineStr">
        <is>
          <t>sz399976</t>
        </is>
      </c>
      <c r="B304" s="115" t="inlineStr">
        <is>
          <t>CS新能车</t>
        </is>
      </c>
      <c r="C304" s="115" t="n">
        <v>1706.44</v>
      </c>
      <c r="D304" s="115" t="n">
        <v>2.49</v>
      </c>
      <c r="E304" s="115" t="n">
        <v>22.59</v>
      </c>
      <c r="F304" s="115" t="n">
        <v>38.56</v>
      </c>
      <c r="G304" s="115" t="n">
        <v>0.46</v>
      </c>
      <c r="H304" s="115" t="n">
        <v>3.76</v>
      </c>
      <c r="I304" s="115" t="n">
        <v>0.5600000000000001</v>
      </c>
      <c r="J304" s="116" t="n">
        <v>41971</v>
      </c>
      <c r="K304" s="132" t="inlineStr">
        <is>
          <t>查看基金</t>
        </is>
      </c>
      <c r="L304" s="111">
        <f>H304/F304</f>
        <v/>
      </c>
    </row>
    <row customHeight="1" ht="17" r="305" s="155">
      <c r="A305" s="115" t="inlineStr">
        <is>
          <t>sz399550</t>
        </is>
      </c>
      <c r="B305" s="115" t="inlineStr">
        <is>
          <t>央视50</t>
        </is>
      </c>
      <c r="C305" s="115" t="n">
        <v>7063.87</v>
      </c>
      <c r="D305" s="115" t="n">
        <v>0.27</v>
      </c>
      <c r="E305" s="115" t="n">
        <v>32.61</v>
      </c>
      <c r="F305" s="115" t="n">
        <v>9.57</v>
      </c>
      <c r="G305" s="115" t="n">
        <v>0.76</v>
      </c>
      <c r="H305" s="115" t="n">
        <v>1.4</v>
      </c>
      <c r="I305" s="115" t="n">
        <v>0.57</v>
      </c>
      <c r="J305" s="116" t="n">
        <v>41066</v>
      </c>
      <c r="K305" s="132" t="inlineStr">
        <is>
          <t>查看基金</t>
        </is>
      </c>
      <c r="L305" s="111">
        <f>H305/F305</f>
        <v/>
      </c>
    </row>
    <row customHeight="1" ht="17" r="306" s="155">
      <c r="A306" s="115" t="inlineStr">
        <is>
          <t>sz399989</t>
        </is>
      </c>
      <c r="B306" s="115" t="inlineStr">
        <is>
          <t>中证医疗</t>
        </is>
      </c>
      <c r="C306" s="115" t="n">
        <v>9253.1</v>
      </c>
      <c r="D306" s="115" t="n">
        <v>0.32</v>
      </c>
      <c r="E306" s="115" t="n">
        <v>51.09</v>
      </c>
      <c r="F306" s="115" t="n">
        <v>50.04</v>
      </c>
      <c r="G306" s="115" t="n">
        <v>0.22</v>
      </c>
      <c r="H306" s="115" t="n">
        <v>6.28</v>
      </c>
      <c r="I306" s="115" t="n">
        <v>0.57</v>
      </c>
      <c r="J306" s="116" t="n">
        <v>41943</v>
      </c>
      <c r="K306" s="132" t="inlineStr">
        <is>
          <t>查看基金</t>
        </is>
      </c>
      <c r="L306" s="111">
        <f>H306/F306</f>
        <v/>
      </c>
    </row>
    <row customHeight="1" ht="17" r="307" s="155">
      <c r="A307" s="115" t="inlineStr">
        <is>
          <t>si801111</t>
        </is>
      </c>
      <c r="B307" s="115" t="inlineStr">
        <is>
          <t>白色家电(申万)</t>
        </is>
      </c>
      <c r="C307" s="115" t="n">
        <v>15945.39</v>
      </c>
      <c r="D307" s="115" t="n">
        <v>0.31</v>
      </c>
      <c r="E307" s="115" t="n">
        <v>47.04</v>
      </c>
      <c r="F307" s="115" t="n">
        <v>15.33</v>
      </c>
      <c r="G307" s="115" t="n">
        <v>0.3</v>
      </c>
      <c r="H307" s="115" t="n">
        <v>3.4</v>
      </c>
      <c r="I307" s="115" t="n">
        <v>0.58</v>
      </c>
      <c r="J307" s="116" t="n">
        <v>36529</v>
      </c>
      <c r="K307" s="132" t="inlineStr">
        <is>
          <t>查看基金</t>
        </is>
      </c>
      <c r="L307" s="111">
        <f>H307/F307</f>
        <v/>
      </c>
    </row>
    <row customHeight="1" ht="17" r="308" s="155">
      <c r="A308" s="115" t="inlineStr">
        <is>
          <t>si801214</t>
        </is>
      </c>
      <c r="B308" s="115" t="inlineStr">
        <is>
          <t>旅游综合Ⅱ(申万)</t>
        </is>
      </c>
      <c r="C308" s="115" t="n">
        <v>6279.64</v>
      </c>
      <c r="D308" s="115" t="n">
        <v>1.43</v>
      </c>
      <c r="E308" s="115" t="n">
        <v>23.62</v>
      </c>
      <c r="F308" s="115" t="n">
        <v>32.99</v>
      </c>
      <c r="G308" s="115" t="n">
        <v>0.12</v>
      </c>
      <c r="H308" s="115" t="n">
        <v>4.3</v>
      </c>
      <c r="I308" s="115" t="n">
        <v>0.58</v>
      </c>
      <c r="J308" s="116" t="n">
        <v>36529</v>
      </c>
      <c r="K308" s="132" t="inlineStr">
        <is>
          <t>查看基金</t>
        </is>
      </c>
      <c r="L308" s="111">
        <f>H308/F308</f>
        <v/>
      </c>
    </row>
    <row customHeight="1" ht="17" r="309" s="155">
      <c r="A309" s="115" t="inlineStr">
        <is>
          <t>sh000913</t>
        </is>
      </c>
      <c r="B309" s="115" t="inlineStr">
        <is>
          <t>300医药</t>
        </is>
      </c>
      <c r="C309" s="115" t="n">
        <v>11008.46</v>
      </c>
      <c r="D309" s="115" t="n">
        <v>1.06</v>
      </c>
      <c r="E309" s="115" t="n">
        <v>39.68</v>
      </c>
      <c r="F309" s="115" t="n">
        <v>36.01</v>
      </c>
      <c r="G309" s="115" t="n">
        <v>0.83</v>
      </c>
      <c r="H309" s="115" t="n">
        <v>4.8</v>
      </c>
      <c r="I309" s="115" t="n">
        <v>0.58</v>
      </c>
      <c r="J309" s="116" t="n">
        <v>39265</v>
      </c>
      <c r="K309" s="132" t="inlineStr">
        <is>
          <t>查看基金</t>
        </is>
      </c>
      <c r="L309" s="111">
        <f>H309/F309</f>
        <v/>
      </c>
    </row>
    <row customHeight="1" ht="17" r="310" s="155">
      <c r="A310" s="115" t="inlineStr">
        <is>
          <t>sh000064</t>
        </is>
      </c>
      <c r="B310" s="115" t="inlineStr">
        <is>
          <t>非周期</t>
        </is>
      </c>
      <c r="C310" s="115" t="n">
        <v>2915.98</v>
      </c>
      <c r="D310" s="115" t="n">
        <v>0.57</v>
      </c>
      <c r="E310" s="115" t="n">
        <v>27.84</v>
      </c>
      <c r="F310" s="115" t="n">
        <v>18.84</v>
      </c>
      <c r="G310" s="115" t="n">
        <v>0.5</v>
      </c>
      <c r="H310" s="115" t="n">
        <v>2.35</v>
      </c>
      <c r="I310" s="115" t="n">
        <v>0.58</v>
      </c>
      <c r="J310" s="116" t="n">
        <v>40212</v>
      </c>
      <c r="K310" s="132" t="inlineStr">
        <is>
          <t>查看基金</t>
        </is>
      </c>
      <c r="L310" s="111">
        <f>H310/F310</f>
        <v/>
      </c>
    </row>
    <row customHeight="1" ht="17" r="311" s="155">
      <c r="A311" s="115" t="inlineStr">
        <is>
          <t>csi930723</t>
        </is>
      </c>
      <c r="B311" s="115" t="inlineStr">
        <is>
          <t>沪港深F100</t>
        </is>
      </c>
      <c r="C311" s="115" t="n">
        <v>4128.03</v>
      </c>
      <c r="D311" s="115" t="n">
        <v>-0.26</v>
      </c>
      <c r="E311" s="115" t="n">
        <v>5.85</v>
      </c>
      <c r="F311" s="115" t="n">
        <v>12.9</v>
      </c>
      <c r="G311" s="115" t="n">
        <v>0.6899999999999999</v>
      </c>
      <c r="H311" s="115" t="n">
        <v>1.48</v>
      </c>
      <c r="I311" s="115" t="n">
        <v>0.59</v>
      </c>
      <c r="J311" s="116" t="n">
        <v>42221</v>
      </c>
      <c r="K311" s="132" t="inlineStr">
        <is>
          <t>查看基金</t>
        </is>
      </c>
      <c r="L311" s="111">
        <f>H311/F311</f>
        <v/>
      </c>
    </row>
    <row customHeight="1" ht="17" r="312" s="155">
      <c r="A312" s="115" t="inlineStr">
        <is>
          <t>sz399993</t>
        </is>
      </c>
      <c r="B312" s="115" t="inlineStr">
        <is>
          <t>CSWD生科</t>
        </is>
      </c>
      <c r="C312" s="115" t="n">
        <v>2990.96</v>
      </c>
      <c r="D312" s="115" t="n">
        <v>1.12</v>
      </c>
      <c r="E312" s="115" t="n">
        <v>53.57</v>
      </c>
      <c r="F312" s="115" t="n">
        <v>50.69</v>
      </c>
      <c r="G312" s="115" t="n">
        <v>0.16</v>
      </c>
      <c r="H312" s="115" t="n">
        <v>7.09</v>
      </c>
      <c r="I312" s="115" t="n">
        <v>0.6</v>
      </c>
      <c r="J312" s="116" t="n">
        <v>42132</v>
      </c>
      <c r="K312" s="132" t="inlineStr">
        <is>
          <t>查看基金</t>
        </is>
      </c>
      <c r="L312" s="111">
        <f>H312/F312</f>
        <v/>
      </c>
    </row>
    <row customHeight="1" ht="17" r="313" s="155">
      <c r="A313" s="115" t="inlineStr">
        <is>
          <t>sz399330</t>
        </is>
      </c>
      <c r="B313" s="115" t="inlineStr">
        <is>
          <t>深证100</t>
        </is>
      </c>
      <c r="C313" s="115" t="n">
        <v>4377.26</v>
      </c>
      <c r="D313" s="115" t="n">
        <v>0.97</v>
      </c>
      <c r="E313" s="115" t="n">
        <v>45.82</v>
      </c>
      <c r="F313" s="115" t="n">
        <v>21.44</v>
      </c>
      <c r="G313" s="115" t="n">
        <v>0.51</v>
      </c>
      <c r="H313" s="115" t="n">
        <v>2.89</v>
      </c>
      <c r="I313" s="115" t="n">
        <v>0.61</v>
      </c>
      <c r="J313" s="116" t="n">
        <v>37623</v>
      </c>
      <c r="K313" s="132" t="inlineStr">
        <is>
          <t>查看基金</t>
        </is>
      </c>
      <c r="L313" s="111">
        <f>H313/F313</f>
        <v/>
      </c>
    </row>
    <row customHeight="1" ht="17" r="314" s="155">
      <c r="A314" s="115" t="inlineStr">
        <is>
          <t>sz399004</t>
        </is>
      </c>
      <c r="B314" s="115" t="inlineStr">
        <is>
          <t>深证100R</t>
        </is>
      </c>
      <c r="C314" s="115" t="n">
        <v>5617.75</v>
      </c>
      <c r="D314" s="115" t="n">
        <v>0.97</v>
      </c>
      <c r="E314" s="115" t="n">
        <v>48.34</v>
      </c>
      <c r="F314" s="115" t="n">
        <v>21.44</v>
      </c>
      <c r="G314" s="115" t="n">
        <v>0.51</v>
      </c>
      <c r="H314" s="115" t="n">
        <v>2.89</v>
      </c>
      <c r="I314" s="115" t="n">
        <v>0.61</v>
      </c>
      <c r="J314" s="116" t="n">
        <v>37623</v>
      </c>
      <c r="K314" s="132" t="inlineStr">
        <is>
          <t>查看基金</t>
        </is>
      </c>
      <c r="L314" s="111">
        <f>H314/F314</f>
        <v/>
      </c>
    </row>
    <row customHeight="1" ht="17" r="315" s="155">
      <c r="A315" s="115" t="inlineStr">
        <is>
          <t>si801014</t>
        </is>
      </c>
      <c r="B315" s="115" t="inlineStr">
        <is>
          <t>饲料Ⅱ(申万)</t>
        </is>
      </c>
      <c r="C315" s="115" t="n">
        <v>5578.15</v>
      </c>
      <c r="D315" s="115" t="n">
        <v>0.97</v>
      </c>
      <c r="E315" s="115" t="n">
        <v>88.66</v>
      </c>
      <c r="F315" s="115" t="n">
        <v>40.2</v>
      </c>
      <c r="G315" s="115" t="n">
        <v>0.46</v>
      </c>
      <c r="H315" s="115" t="n">
        <v>3.74</v>
      </c>
      <c r="I315" s="115" t="n">
        <v>0.61</v>
      </c>
      <c r="J315" s="116" t="n">
        <v>36529</v>
      </c>
      <c r="K315" s="132" t="inlineStr">
        <is>
          <t>查看基金</t>
        </is>
      </c>
      <c r="L315" s="111">
        <f>H315/F315</f>
        <v/>
      </c>
    </row>
    <row customHeight="1" ht="17" r="316" s="155">
      <c r="A316" s="115" t="inlineStr">
        <is>
          <t>si801124</t>
        </is>
      </c>
      <c r="B316" s="115" t="inlineStr">
        <is>
          <t>食品加工(申万)</t>
        </is>
      </c>
      <c r="C316" s="115" t="n">
        <v>15410.6</v>
      </c>
      <c r="D316" s="115" t="n">
        <v>0.72</v>
      </c>
      <c r="E316" s="115" t="n">
        <v>33.39</v>
      </c>
      <c r="F316" s="115" t="n">
        <v>28.66</v>
      </c>
      <c r="G316" s="115" t="n">
        <v>0.22</v>
      </c>
      <c r="H316" s="115" t="n">
        <v>4.77</v>
      </c>
      <c r="I316" s="115" t="n">
        <v>0.61</v>
      </c>
      <c r="J316" s="116" t="n">
        <v>36529</v>
      </c>
      <c r="K316" s="132" t="inlineStr">
        <is>
          <t>查看基金</t>
        </is>
      </c>
      <c r="L316" s="111">
        <f>H316/F316</f>
        <v/>
      </c>
    </row>
    <row customHeight="1" ht="17" r="317" s="155">
      <c r="A317" s="115" t="inlineStr">
        <is>
          <t>sz399324</t>
        </is>
      </c>
      <c r="B317" s="115" t="inlineStr">
        <is>
          <t>深证红利</t>
        </is>
      </c>
      <c r="C317" s="115" t="n">
        <v>9620.76</v>
      </c>
      <c r="D317" s="115" t="n">
        <v>0.51</v>
      </c>
      <c r="E317" s="115" t="n">
        <v>48.56</v>
      </c>
      <c r="F317" s="115" t="n">
        <v>15.87</v>
      </c>
      <c r="G317" s="115" t="n">
        <v>0.47</v>
      </c>
      <c r="H317" s="115" t="n">
        <v>2.37</v>
      </c>
      <c r="I317" s="115" t="n">
        <v>0.61</v>
      </c>
      <c r="J317" s="116" t="n">
        <v>37621</v>
      </c>
      <c r="K317" s="132" t="inlineStr">
        <is>
          <t>查看基金</t>
        </is>
      </c>
      <c r="L317" s="111">
        <f>H317/F317</f>
        <v/>
      </c>
    </row>
    <row customHeight="1" ht="17" r="318" s="155">
      <c r="A318" s="115" t="inlineStr">
        <is>
          <t>si801110</t>
        </is>
      </c>
      <c r="B318" s="115" t="inlineStr">
        <is>
          <t>家用电器(申万)</t>
        </is>
      </c>
      <c r="C318" s="115" t="n">
        <v>7192</v>
      </c>
      <c r="D318" s="115" t="n">
        <v>0.34</v>
      </c>
      <c r="E318" s="115" t="n">
        <v>45.13</v>
      </c>
      <c r="F318" s="115" t="n">
        <v>15.83</v>
      </c>
      <c r="G318" s="115" t="n">
        <v>0.25</v>
      </c>
      <c r="H318" s="115" t="n">
        <v>3.13</v>
      </c>
      <c r="I318" s="115" t="n">
        <v>0.62</v>
      </c>
      <c r="J318" s="116" t="n">
        <v>36529</v>
      </c>
      <c r="K318" s="132" t="inlineStr">
        <is>
          <t>查看基金</t>
        </is>
      </c>
      <c r="L318" s="111">
        <f>H318/F318</f>
        <v/>
      </c>
    </row>
    <row customHeight="1" ht="17" r="319" s="155">
      <c r="A319" s="115" t="inlineStr">
        <is>
          <t>si801083</t>
        </is>
      </c>
      <c r="B319" s="115" t="inlineStr">
        <is>
          <t>元件Ⅱ(申万)</t>
        </is>
      </c>
      <c r="C319" s="115" t="n">
        <v>4050.75</v>
      </c>
      <c r="D319" s="115" t="n">
        <v>0.55</v>
      </c>
      <c r="E319" s="115" t="n">
        <v>44.44</v>
      </c>
      <c r="F319" s="115" t="n">
        <v>35.63</v>
      </c>
      <c r="G319" s="115" t="n">
        <v>0.26</v>
      </c>
      <c r="H319" s="115" t="n">
        <v>3.68</v>
      </c>
      <c r="I319" s="115" t="n">
        <v>0.63</v>
      </c>
      <c r="J319" s="116" t="n">
        <v>36529</v>
      </c>
      <c r="K319" s="132" t="inlineStr">
        <is>
          <t>查看基金</t>
        </is>
      </c>
      <c r="L319" s="111">
        <f>H319/F319</f>
        <v/>
      </c>
    </row>
    <row customHeight="1" ht="17" r="320" s="155">
      <c r="A320" s="115" t="inlineStr">
        <is>
          <t>csih30344</t>
        </is>
      </c>
      <c r="B320" s="115" t="inlineStr">
        <is>
          <t>健康产业</t>
        </is>
      </c>
      <c r="C320" s="115" t="n">
        <v>1516.34</v>
      </c>
      <c r="D320" s="115" t="n">
        <v>0.72</v>
      </c>
      <c r="E320" s="115" t="n">
        <v>15.81</v>
      </c>
      <c r="F320" s="115" t="n">
        <v>34.07</v>
      </c>
      <c r="G320" s="115" t="n">
        <v>0.68</v>
      </c>
      <c r="H320" s="115" t="n">
        <v>4.29</v>
      </c>
      <c r="I320" s="115" t="n">
        <v>0.64</v>
      </c>
      <c r="J320" s="116" t="n">
        <v>41796</v>
      </c>
      <c r="K320" s="132" t="inlineStr">
        <is>
          <t>查看基金</t>
        </is>
      </c>
      <c r="L320" s="111">
        <f>H320/F320</f>
        <v/>
      </c>
    </row>
    <row customHeight="1" ht="17" r="321" s="155">
      <c r="A321" s="115" t="inlineStr">
        <is>
          <t>sz399394</t>
        </is>
      </c>
      <c r="B321" s="115" t="inlineStr">
        <is>
          <t>国证医药</t>
        </is>
      </c>
      <c r="C321" s="115" t="n">
        <v>10498.59</v>
      </c>
      <c r="D321" s="115" t="n">
        <v>0.79</v>
      </c>
      <c r="E321" s="115" t="n">
        <v>41.71</v>
      </c>
      <c r="F321" s="115" t="n">
        <v>36.78</v>
      </c>
      <c r="G321" s="115" t="n">
        <v>0.65</v>
      </c>
      <c r="H321" s="115" t="n">
        <v>4.73</v>
      </c>
      <c r="I321" s="115" t="n">
        <v>0.67</v>
      </c>
      <c r="J321" s="116" t="n">
        <v>41211</v>
      </c>
      <c r="K321" s="132" t="inlineStr">
        <is>
          <t>查看基金</t>
        </is>
      </c>
      <c r="L321" s="111">
        <f>H321/F321</f>
        <v/>
      </c>
    </row>
    <row customHeight="1" ht="17" r="322" s="155">
      <c r="A322" s="115" t="inlineStr">
        <is>
          <t>sh000808</t>
        </is>
      </c>
      <c r="B322" s="115" t="inlineStr">
        <is>
          <t>医药生物</t>
        </is>
      </c>
      <c r="C322" s="115" t="n">
        <v>10142.41</v>
      </c>
      <c r="D322" s="115" t="n">
        <v>0.68</v>
      </c>
      <c r="E322" s="115" t="n">
        <v>35.39</v>
      </c>
      <c r="F322" s="115" t="n">
        <v>37.66</v>
      </c>
      <c r="G322" s="115" t="n">
        <v>0.82</v>
      </c>
      <c r="H322" s="115" t="n">
        <v>4.45</v>
      </c>
      <c r="I322" s="115" t="n">
        <v>0.68</v>
      </c>
      <c r="J322" s="116" t="n">
        <v>40956</v>
      </c>
      <c r="K322" s="132" t="inlineStr">
        <is>
          <t>查看基金</t>
        </is>
      </c>
      <c r="L322" s="111">
        <f>H322/F322</f>
        <v/>
      </c>
    </row>
    <row customHeight="1" ht="17" r="323" s="155">
      <c r="A323" s="115" t="inlineStr">
        <is>
          <t>csi930629</t>
        </is>
      </c>
      <c r="B323" s="115" t="inlineStr">
        <is>
          <t>CSSW健康</t>
        </is>
      </c>
      <c r="C323" s="115" t="n">
        <v>6562.35</v>
      </c>
      <c r="D323" s="115" t="n">
        <v>0.67</v>
      </c>
      <c r="E323" s="115" t="n">
        <v>25.37</v>
      </c>
      <c r="F323" s="115" t="n">
        <v>41.61</v>
      </c>
      <c r="G323" s="115" t="n">
        <v>0.6899999999999999</v>
      </c>
      <c r="H323" s="115" t="n">
        <v>5.07</v>
      </c>
      <c r="I323" s="115" t="n">
        <v>0.7</v>
      </c>
      <c r="J323" s="116" t="n">
        <v>42132</v>
      </c>
      <c r="K323" s="132" t="inlineStr">
        <is>
          <t>查看基金</t>
        </is>
      </c>
      <c r="L323" s="111">
        <f>H323/F323</f>
        <v/>
      </c>
    </row>
    <row customHeight="1" ht="17" r="324" s="155">
      <c r="A324" s="115" t="inlineStr">
        <is>
          <t>csih30535</t>
        </is>
      </c>
      <c r="B324" s="115" t="inlineStr">
        <is>
          <t>互联网</t>
        </is>
      </c>
      <c r="C324" s="115" t="n">
        <v>2688.72</v>
      </c>
      <c r="D324" s="115" t="n">
        <v>0.61</v>
      </c>
      <c r="E324" s="115" t="n">
        <v>33.8</v>
      </c>
      <c r="F324" s="115" t="n">
        <v>20.95</v>
      </c>
      <c r="G324" s="115" t="n">
        <v>0.43</v>
      </c>
      <c r="H324" s="115" t="n">
        <v>2.87</v>
      </c>
      <c r="I324" s="115" t="n">
        <v>0.71</v>
      </c>
      <c r="J324" s="116" t="n">
        <v>42016</v>
      </c>
      <c r="K324" s="132" t="inlineStr">
        <is>
          <t>查看基金</t>
        </is>
      </c>
      <c r="L324" s="111">
        <f>H324/F324</f>
        <v/>
      </c>
    </row>
    <row customHeight="1" ht="17" r="325" s="155">
      <c r="A325" s="115" t="inlineStr">
        <is>
          <t>sh000049</t>
        </is>
      </c>
      <c r="B325" s="115" t="inlineStr">
        <is>
          <t>上证民企</t>
        </is>
      </c>
      <c r="C325" s="115" t="n">
        <v>1752.84</v>
      </c>
      <c r="D325" s="115" t="n">
        <v>0.75</v>
      </c>
      <c r="E325" s="115" t="n">
        <v>36.93</v>
      </c>
      <c r="F325" s="115" t="n">
        <v>22.18</v>
      </c>
      <c r="G325" s="115" t="n">
        <v>0.82</v>
      </c>
      <c r="H325" s="115" t="n">
        <v>3.15</v>
      </c>
      <c r="I325" s="115" t="n">
        <v>0.73</v>
      </c>
      <c r="J325" s="116" t="n">
        <v>40050</v>
      </c>
      <c r="K325" s="132" t="inlineStr">
        <is>
          <t>查看基金</t>
        </is>
      </c>
      <c r="L325" s="111">
        <f>H325/F325</f>
        <v/>
      </c>
    </row>
    <row customHeight="1" ht="17" r="326" s="155">
      <c r="A326" s="115" t="inlineStr">
        <is>
          <t>si801153</t>
        </is>
      </c>
      <c r="B326" s="115" t="inlineStr">
        <is>
          <t>医疗器械Ⅱ(申万)</t>
        </is>
      </c>
      <c r="C326" s="115" t="n">
        <v>5824.52</v>
      </c>
      <c r="D326" s="115" t="n">
        <v>-0.15</v>
      </c>
      <c r="E326" s="115" t="n">
        <v>42.95</v>
      </c>
      <c r="F326" s="115" t="n">
        <v>44.76</v>
      </c>
      <c r="G326" s="115" t="n">
        <v>0.35</v>
      </c>
      <c r="H326" s="115" t="n">
        <v>5.23</v>
      </c>
      <c r="I326" s="115" t="n">
        <v>0.74</v>
      </c>
      <c r="J326" s="116" t="n">
        <v>36529</v>
      </c>
      <c r="K326" s="132" t="inlineStr">
        <is>
          <t>查看基金</t>
        </is>
      </c>
      <c r="L326" s="111">
        <f>H326/F326</f>
        <v/>
      </c>
    </row>
    <row customHeight="1" ht="17" r="327" s="155">
      <c r="A327" s="115" t="inlineStr">
        <is>
          <t>sz399814</t>
        </is>
      </c>
      <c r="B327" s="115" t="inlineStr">
        <is>
          <t>大农业</t>
        </is>
      </c>
      <c r="C327" s="115" t="n">
        <v>1210.27</v>
      </c>
      <c r="D327" s="115" t="n">
        <v>0.54</v>
      </c>
      <c r="E327" s="115" t="n">
        <v>35.49</v>
      </c>
      <c r="F327" s="115" t="n">
        <v>30.68</v>
      </c>
      <c r="G327" s="115" t="n">
        <v>0.29</v>
      </c>
      <c r="H327" s="115" t="n">
        <v>3.8</v>
      </c>
      <c r="I327" s="115" t="n">
        <v>0.74</v>
      </c>
      <c r="J327" s="116" t="n">
        <v>41842</v>
      </c>
      <c r="K327" s="132" t="inlineStr">
        <is>
          <t>查看基金</t>
        </is>
      </c>
      <c r="L327" s="111">
        <f>H327/F327</f>
        <v/>
      </c>
    </row>
    <row customHeight="1" ht="17" r="328" s="155">
      <c r="A328" s="115" t="inlineStr">
        <is>
          <t>sh000069</t>
        </is>
      </c>
      <c r="B328" s="115" t="inlineStr">
        <is>
          <t>消费80</t>
        </is>
      </c>
      <c r="C328" s="115" t="n">
        <v>4871.52</v>
      </c>
      <c r="D328" s="115" t="n">
        <v>0.59</v>
      </c>
      <c r="E328" s="115" t="n">
        <v>33.27</v>
      </c>
      <c r="F328" s="115" t="n">
        <v>25.05</v>
      </c>
      <c r="G328" s="115" t="n">
        <v>0.84</v>
      </c>
      <c r="H328" s="115" t="n">
        <v>3.6</v>
      </c>
      <c r="I328" s="115" t="n">
        <v>0.77</v>
      </c>
      <c r="J328" s="116" t="n">
        <v>40326</v>
      </c>
      <c r="K328" s="132" t="inlineStr">
        <is>
          <t>查看基金</t>
        </is>
      </c>
      <c r="L328" s="111">
        <f>H328/F328</f>
        <v/>
      </c>
    </row>
    <row customHeight="1" ht="17" r="329" s="155">
      <c r="A329" s="115" t="inlineStr">
        <is>
          <t>sh000028</t>
        </is>
      </c>
      <c r="B329" s="115" t="inlineStr">
        <is>
          <t>180成长</t>
        </is>
      </c>
      <c r="C329" s="115" t="n">
        <v>3740.39</v>
      </c>
      <c r="D329" s="115" t="n">
        <v>0.06</v>
      </c>
      <c r="E329" s="115" t="n">
        <v>40.62</v>
      </c>
      <c r="F329" s="115" t="n">
        <v>13.21</v>
      </c>
      <c r="G329" s="115" t="n">
        <v>0.73</v>
      </c>
      <c r="H329" s="115" t="n">
        <v>2.36</v>
      </c>
      <c r="I329" s="115" t="n">
        <v>0.77</v>
      </c>
      <c r="J329" s="116" t="n">
        <v>39822</v>
      </c>
      <c r="K329" s="132" t="inlineStr">
        <is>
          <t>查看基金</t>
        </is>
      </c>
      <c r="L329" s="111">
        <f>H329/F329</f>
        <v/>
      </c>
    </row>
    <row customHeight="1" ht="17" r="330" s="155">
      <c r="A330" s="115" t="inlineStr">
        <is>
          <t>csi930743</t>
        </is>
      </c>
      <c r="B330" s="115" t="inlineStr">
        <is>
          <t>中证生科</t>
        </is>
      </c>
      <c r="C330" s="115" t="n">
        <v>3675.74</v>
      </c>
      <c r="D330" s="115" t="n">
        <v>0.91</v>
      </c>
      <c r="E330" s="115" t="n">
        <v>52.17</v>
      </c>
      <c r="F330" s="115" t="n">
        <v>51.45</v>
      </c>
      <c r="G330" s="115" t="n">
        <v>0.42</v>
      </c>
      <c r="H330" s="115" t="n">
        <v>7.3</v>
      </c>
      <c r="I330" s="115" t="n">
        <v>0.78</v>
      </c>
      <c r="J330" s="116" t="n">
        <v>42242</v>
      </c>
      <c r="K330" s="132" t="inlineStr">
        <is>
          <t>查看基金</t>
        </is>
      </c>
      <c r="L330" s="111">
        <f>H330/F330</f>
        <v/>
      </c>
    </row>
    <row customHeight="1" ht="17" r="331" s="155">
      <c r="A331" s="115" t="inlineStr">
        <is>
          <t>si801120</t>
        </is>
      </c>
      <c r="B331" s="115" t="inlineStr">
        <is>
          <t>食品饮料(申万)</t>
        </is>
      </c>
      <c r="C331" s="115" t="n">
        <v>15340.67</v>
      </c>
      <c r="D331" s="115" t="n">
        <v>0.72</v>
      </c>
      <c r="E331" s="115" t="n">
        <v>70.48</v>
      </c>
      <c r="F331" s="115" t="n">
        <v>32.06</v>
      </c>
      <c r="G331" s="115" t="n">
        <v>0.46</v>
      </c>
      <c r="H331" s="115" t="n">
        <v>6.53</v>
      </c>
      <c r="I331" s="115" t="n">
        <v>0.8</v>
      </c>
      <c r="J331" s="116" t="n">
        <v>36529</v>
      </c>
      <c r="K331" s="132" t="inlineStr">
        <is>
          <t>查看基金</t>
        </is>
      </c>
      <c r="L331" s="111">
        <f>H331/F331</f>
        <v/>
      </c>
    </row>
    <row customHeight="1" ht="17" r="332" s="155">
      <c r="A332" s="115" t="inlineStr">
        <is>
          <t>sz399632</t>
        </is>
      </c>
      <c r="B332" s="115" t="inlineStr">
        <is>
          <t>深100EW</t>
        </is>
      </c>
      <c r="C332" s="115" t="n">
        <v>4206.72</v>
      </c>
      <c r="D332" s="115" t="n">
        <v>1.03</v>
      </c>
      <c r="E332" s="115" t="n">
        <v>40.18</v>
      </c>
      <c r="F332" s="115" t="n">
        <v>21.44</v>
      </c>
      <c r="G332" s="115" t="n">
        <v>0.67</v>
      </c>
      <c r="H332" s="115" t="n">
        <v>2.89</v>
      </c>
      <c r="I332" s="115" t="n">
        <v>0.8</v>
      </c>
      <c r="J332" s="116" t="n">
        <v>43179</v>
      </c>
      <c r="K332" s="132" t="inlineStr">
        <is>
          <t>查看基金</t>
        </is>
      </c>
      <c r="L332" s="111">
        <f>H332/F332</f>
        <v/>
      </c>
    </row>
    <row customHeight="1" ht="17" r="333" s="155">
      <c r="A333" s="115" t="inlineStr">
        <is>
          <t>sz399970</t>
        </is>
      </c>
      <c r="B333" s="115" t="inlineStr">
        <is>
          <t>移动互联</t>
        </is>
      </c>
      <c r="C333" s="115" t="n">
        <v>2411.87</v>
      </c>
      <c r="D333" s="115" t="n">
        <v>1.04</v>
      </c>
      <c r="E333" s="115" t="n">
        <v>44.89</v>
      </c>
      <c r="F333" s="115" t="n">
        <v>39.89</v>
      </c>
      <c r="G333" s="115" t="n">
        <v>0.44</v>
      </c>
      <c r="H333" s="115" t="n">
        <v>5.47</v>
      </c>
      <c r="I333" s="115" t="n">
        <v>0.8</v>
      </c>
      <c r="J333" s="116" t="n">
        <v>41764</v>
      </c>
      <c r="K333" s="132" t="inlineStr">
        <is>
          <t>查看基金</t>
        </is>
      </c>
      <c r="L333" s="111">
        <f>H333/F333</f>
        <v/>
      </c>
    </row>
    <row customHeight="1" ht="17" r="334" s="155">
      <c r="A334" s="115" t="inlineStr">
        <is>
          <t>csi000978</t>
        </is>
      </c>
      <c r="B334" s="115" t="inlineStr">
        <is>
          <t>医药100</t>
        </is>
      </c>
      <c r="C334" s="115" t="n">
        <v>9785.6</v>
      </c>
      <c r="D334" s="115" t="n">
        <v>-0.24</v>
      </c>
      <c r="E334" s="115" t="n">
        <v>-2.76</v>
      </c>
      <c r="F334" s="115" t="n">
        <v>37.7</v>
      </c>
      <c r="G334" s="115" t="n">
        <v>0.73</v>
      </c>
      <c r="H334" s="115" t="n">
        <v>4.41</v>
      </c>
      <c r="I334" s="115" t="n">
        <v>0.8100000000000001</v>
      </c>
      <c r="J334" s="116" t="n">
        <v>43572</v>
      </c>
      <c r="K334" s="132" t="inlineStr">
        <is>
          <t>查看基金</t>
        </is>
      </c>
      <c r="L334" s="111">
        <f>H334/F334</f>
        <v/>
      </c>
    </row>
    <row customHeight="1" ht="17" r="335" s="155">
      <c r="A335" s="115" t="inlineStr">
        <is>
          <t>spisphcmshp</t>
        </is>
      </c>
      <c r="B335" s="115" t="inlineStr">
        <is>
          <t>标普香港上市中国中小盘精选指数</t>
        </is>
      </c>
      <c r="C335" s="115" t="n">
        <v>3116.64</v>
      </c>
      <c r="D335" s="115" t="n">
        <v>-0.04</v>
      </c>
      <c r="E335" s="115" t="n">
        <v>19.31</v>
      </c>
      <c r="F335" s="115" t="n">
        <v>12.38</v>
      </c>
      <c r="G335" s="115" t="n">
        <v>0.86</v>
      </c>
      <c r="H335" s="115" t="n">
        <v>1.35</v>
      </c>
      <c r="I335" s="115" t="n">
        <v>0.82</v>
      </c>
      <c r="J335" s="116" t="n">
        <v>43678</v>
      </c>
      <c r="K335" s="132" t="inlineStr">
        <is>
          <t>查看基金</t>
        </is>
      </c>
      <c r="L335" s="111">
        <f>H335/F335</f>
        <v/>
      </c>
    </row>
    <row customHeight="1" ht="17" r="336" s="155">
      <c r="A336" s="115" t="inlineStr">
        <is>
          <t>sh000918</t>
        </is>
      </c>
      <c r="B336" s="115" t="inlineStr">
        <is>
          <t>300成长</t>
        </is>
      </c>
      <c r="C336" s="115" t="n">
        <v>4865.5</v>
      </c>
      <c r="D336" s="115" t="n">
        <v>0.52</v>
      </c>
      <c r="E336" s="115" t="n">
        <v>47.61</v>
      </c>
      <c r="F336" s="115" t="n">
        <v>16.97</v>
      </c>
      <c r="G336" s="115" t="n">
        <v>0.79</v>
      </c>
      <c r="H336" s="115" t="n">
        <v>3.27</v>
      </c>
      <c r="I336" s="115" t="n">
        <v>0.83</v>
      </c>
      <c r="J336" s="116" t="n">
        <v>39468</v>
      </c>
      <c r="K336" s="132" t="inlineStr">
        <is>
          <t>查看基金</t>
        </is>
      </c>
      <c r="L336" s="111">
        <f>H336/F336</f>
        <v/>
      </c>
    </row>
    <row customHeight="1" ht="17" r="337" s="155">
      <c r="A337" s="115" t="inlineStr">
        <is>
          <t>si801174</t>
        </is>
      </c>
      <c r="B337" s="115" t="inlineStr">
        <is>
          <t>机场Ⅱ(申万)</t>
        </is>
      </c>
      <c r="C337" s="115" t="n">
        <v>8465.309999999999</v>
      </c>
      <c r="D337" s="115" t="n">
        <v>1.1</v>
      </c>
      <c r="E337" s="115" t="n">
        <v>47.67</v>
      </c>
      <c r="F337" s="115" t="n">
        <v>30.15</v>
      </c>
      <c r="G337" s="115" t="n">
        <v>0.82</v>
      </c>
      <c r="H337" s="115" t="n">
        <v>3.35</v>
      </c>
      <c r="I337" s="115" t="n">
        <v>0.83</v>
      </c>
      <c r="J337" s="116" t="n">
        <v>36529</v>
      </c>
      <c r="K337" s="132" t="inlineStr">
        <is>
          <t>查看基金</t>
        </is>
      </c>
      <c r="L337" s="111">
        <f>H337/F337</f>
        <v/>
      </c>
    </row>
    <row customHeight="1" ht="17" r="338" s="155">
      <c r="A338" s="115" t="inlineStr">
        <is>
          <t>si801123</t>
        </is>
      </c>
      <c r="B338" s="115" t="inlineStr">
        <is>
          <t>饮料制造(申万)</t>
        </is>
      </c>
      <c r="C338" s="115" t="n">
        <v>20456.12</v>
      </c>
      <c r="D338" s="115" t="n">
        <v>0.73</v>
      </c>
      <c r="E338" s="115" t="n">
        <v>91.26000000000001</v>
      </c>
      <c r="F338" s="115" t="n">
        <v>33.23</v>
      </c>
      <c r="G338" s="115" t="n">
        <v>0.48</v>
      </c>
      <c r="H338" s="115" t="n">
        <v>7.33</v>
      </c>
      <c r="I338" s="115" t="n">
        <v>0.83</v>
      </c>
      <c r="J338" s="116" t="n">
        <v>36529</v>
      </c>
      <c r="K338" s="132" t="inlineStr">
        <is>
          <t>查看基金</t>
        </is>
      </c>
      <c r="L338" s="111">
        <f>H338/F338</f>
        <v/>
      </c>
    </row>
    <row customHeight="1" ht="17" r="339" s="155">
      <c r="A339" s="115" t="inlineStr">
        <is>
          <t>sh000828</t>
        </is>
      </c>
      <c r="B339" s="115" t="inlineStr">
        <is>
          <t>300高贝</t>
        </is>
      </c>
      <c r="C339" s="115" t="n">
        <v>2605.89</v>
      </c>
      <c r="D339" s="115" t="n">
        <v>0.6</v>
      </c>
      <c r="E339" s="115" t="n">
        <v>36.6</v>
      </c>
      <c r="F339" s="115" t="n">
        <v>15.13</v>
      </c>
      <c r="G339" s="115" t="n">
        <v>0.39</v>
      </c>
      <c r="H339" s="115" t="n">
        <v>2.28</v>
      </c>
      <c r="I339" s="115" t="n">
        <v>0.86</v>
      </c>
      <c r="J339" s="116" t="n">
        <v>41127</v>
      </c>
      <c r="K339" s="132" t="inlineStr">
        <is>
          <t>查看基金</t>
        </is>
      </c>
      <c r="L339" s="111">
        <f>H339/F339</f>
        <v/>
      </c>
    </row>
    <row customHeight="1" ht="17" r="340" s="155">
      <c r="A340" s="115" t="inlineStr">
        <is>
          <t>sz399803</t>
        </is>
      </c>
      <c r="B340" s="115" t="inlineStr">
        <is>
          <t>工业4.0</t>
        </is>
      </c>
      <c r="C340" s="115" t="n">
        <v>2476.61</v>
      </c>
      <c r="D340" s="115" t="n">
        <v>1.4</v>
      </c>
      <c r="E340" s="115" t="n">
        <v>54.57</v>
      </c>
      <c r="F340" s="115" t="n">
        <v>31.59</v>
      </c>
      <c r="G340" s="115" t="n">
        <v>0.15</v>
      </c>
      <c r="H340" s="115" t="n">
        <v>5.54</v>
      </c>
      <c r="I340" s="115" t="n">
        <v>0.86</v>
      </c>
      <c r="J340" s="116" t="n">
        <v>42073</v>
      </c>
      <c r="K340" s="132" t="inlineStr">
        <is>
          <t>查看基金</t>
        </is>
      </c>
      <c r="L340" s="111">
        <f>H340/F340</f>
        <v/>
      </c>
    </row>
    <row customHeight="1" ht="17" r="341" s="155">
      <c r="A341" s="115" t="inlineStr">
        <is>
          <t>si801017</t>
        </is>
      </c>
      <c r="B341" s="115" t="inlineStr">
        <is>
          <t>畜禽养殖Ⅱ(申万)</t>
        </is>
      </c>
      <c r="C341" s="115" t="n">
        <v>4575.27</v>
      </c>
      <c r="D341" s="115" t="n">
        <v>1.73</v>
      </c>
      <c r="E341" s="115" t="n">
        <v>59.93</v>
      </c>
      <c r="F341" s="115" t="n">
        <v>26.4</v>
      </c>
      <c r="G341" s="115" t="n">
        <v>0.13</v>
      </c>
      <c r="H341" s="115" t="n">
        <v>5.25</v>
      </c>
      <c r="I341" s="115" t="n">
        <v>0.87</v>
      </c>
      <c r="J341" s="116" t="n">
        <v>36529</v>
      </c>
      <c r="K341" s="132" t="inlineStr">
        <is>
          <t>查看基金</t>
        </is>
      </c>
      <c r="L341" s="111">
        <f>H341/F341</f>
        <v/>
      </c>
    </row>
    <row customHeight="1" ht="17" r="342" s="155">
      <c r="A342" s="115" t="inlineStr">
        <is>
          <t>csi930721</t>
        </is>
      </c>
      <c r="B342" s="115" t="inlineStr">
        <is>
          <t>CS智汽车</t>
        </is>
      </c>
      <c r="C342" s="115" t="n">
        <v>3603.96</v>
      </c>
      <c r="D342" s="115" t="n">
        <v>0.59</v>
      </c>
      <c r="E342" s="115" t="n">
        <v>61.93</v>
      </c>
      <c r="F342" s="115" t="n">
        <v>38.74</v>
      </c>
      <c r="G342" s="115" t="n">
        <v>0.59</v>
      </c>
      <c r="H342" s="115" t="n">
        <v>4.97</v>
      </c>
      <c r="I342" s="115" t="n">
        <v>0.89</v>
      </c>
      <c r="J342" s="116" t="n">
        <v>42221</v>
      </c>
      <c r="K342" s="132" t="inlineStr">
        <is>
          <t>查看基金</t>
        </is>
      </c>
      <c r="L342" s="111">
        <f>H342/F342</f>
        <v/>
      </c>
    </row>
    <row customHeight="1" ht="17" r="343" s="155">
      <c r="A343" s="115" t="inlineStr">
        <is>
          <t>sh000932</t>
        </is>
      </c>
      <c r="B343" s="115" t="inlineStr">
        <is>
          <t>中证消费</t>
        </is>
      </c>
      <c r="C343" s="115" t="n">
        <v>16030.46</v>
      </c>
      <c r="D343" s="115" t="n">
        <v>0.9399999999999999</v>
      </c>
      <c r="E343" s="115" t="n">
        <v>63.77</v>
      </c>
      <c r="F343" s="115" t="n">
        <v>32.41</v>
      </c>
      <c r="G343" s="115" t="n">
        <v>0.67</v>
      </c>
      <c r="H343" s="115" t="n">
        <v>6.61</v>
      </c>
      <c r="I343" s="115" t="n">
        <v>0.9</v>
      </c>
      <c r="J343" s="116" t="n">
        <v>39997</v>
      </c>
      <c r="K343" s="132" t="inlineStr">
        <is>
          <t>查看基金</t>
        </is>
      </c>
      <c r="L343" s="111">
        <f>H343/F343</f>
        <v/>
      </c>
    </row>
    <row customHeight="1" ht="17" r="344" s="155">
      <c r="A344" s="115" t="inlineStr">
        <is>
          <t>csi930719</t>
        </is>
      </c>
      <c r="B344" s="115" t="inlineStr">
        <is>
          <t>CS精准医</t>
        </is>
      </c>
      <c r="C344" s="115" t="n">
        <v>3134.57</v>
      </c>
      <c r="D344" s="115" t="n">
        <v>1.35</v>
      </c>
      <c r="E344" s="115" t="n">
        <v>59.72</v>
      </c>
      <c r="F344" s="115" t="n">
        <v>56.15</v>
      </c>
      <c r="G344" s="115" t="n">
        <v>0.72</v>
      </c>
      <c r="H344" s="115" t="n">
        <v>8.49</v>
      </c>
      <c r="I344" s="115" t="n">
        <v>0.91</v>
      </c>
      <c r="J344" s="116" t="n">
        <v>42221</v>
      </c>
      <c r="K344" s="132" t="inlineStr">
        <is>
          <t>查看基金</t>
        </is>
      </c>
      <c r="L344" s="111">
        <f>H344/F344</f>
        <v/>
      </c>
    </row>
    <row customHeight="1" ht="17" r="345" s="155">
      <c r="A345" s="115" t="inlineStr">
        <is>
          <t>sh000990</t>
        </is>
      </c>
      <c r="B345" s="115" t="inlineStr">
        <is>
          <t>全指消费</t>
        </is>
      </c>
      <c r="C345" s="115" t="n">
        <v>13949.49</v>
      </c>
      <c r="D345" s="115" t="n">
        <v>0.87</v>
      </c>
      <c r="E345" s="115" t="n">
        <v>57.49</v>
      </c>
      <c r="F345" s="115" t="n">
        <v>31.9</v>
      </c>
      <c r="G345" s="115" t="n">
        <v>0.68</v>
      </c>
      <c r="H345" s="115" t="n">
        <v>5.53</v>
      </c>
      <c r="I345" s="115" t="n">
        <v>0.93</v>
      </c>
      <c r="J345" s="116" t="n">
        <v>40757</v>
      </c>
      <c r="K345" s="132" t="inlineStr">
        <is>
          <t>查看基金</t>
        </is>
      </c>
      <c r="L345" s="111">
        <f>H345/F345</f>
        <v/>
      </c>
    </row>
    <row customHeight="1" ht="17" r="346" s="155">
      <c r="A346" s="115" t="inlineStr">
        <is>
          <t>sz399997</t>
        </is>
      </c>
      <c r="B346" s="115" t="inlineStr">
        <is>
          <t>中证白酒</t>
        </is>
      </c>
      <c r="C346" s="115" t="n">
        <v>8184.31</v>
      </c>
      <c r="D346" s="115" t="n">
        <v>1.03</v>
      </c>
      <c r="E346" s="115" t="n">
        <v>86.91</v>
      </c>
      <c r="F346" s="115" t="n">
        <v>32.09</v>
      </c>
      <c r="G346" s="115" t="n">
        <v>0.85</v>
      </c>
      <c r="H346" s="115" t="n">
        <v>8.42</v>
      </c>
      <c r="I346" s="115" t="n">
        <v>0.93</v>
      </c>
      <c r="J346" s="116" t="n">
        <v>42025</v>
      </c>
      <c r="K346" s="132" t="inlineStr">
        <is>
          <t>查看基金</t>
        </is>
      </c>
      <c r="L346" s="111">
        <f>H346/F346</f>
        <v/>
      </c>
    </row>
    <row customHeight="1" ht="17" r="347" s="155">
      <c r="A347" s="115" t="inlineStr">
        <is>
          <t>giixic</t>
        </is>
      </c>
      <c r="B347" s="115" t="inlineStr">
        <is>
          <t>纳斯达克指数</t>
        </is>
      </c>
      <c r="C347" s="115" t="n">
        <v>8632.49</v>
      </c>
      <c r="D347" s="115" t="n">
        <v>1.32</v>
      </c>
      <c r="E347" s="115" t="n">
        <v>30.1</v>
      </c>
      <c r="F347" s="115" t="n">
        <v>31.82</v>
      </c>
      <c r="G347" s="115" t="n">
        <v>0.47</v>
      </c>
      <c r="H347" s="115" t="n">
        <v>4.64</v>
      </c>
      <c r="I347" s="115" t="n">
        <v>0.93</v>
      </c>
      <c r="J347" s="116" t="n">
        <v>42258</v>
      </c>
      <c r="K347" s="132" t="inlineStr">
        <is>
          <t>查看基金</t>
        </is>
      </c>
      <c r="L347" s="111">
        <f>H347/F347</f>
        <v/>
      </c>
    </row>
    <row customHeight="1" ht="17" r="348" s="155">
      <c r="A348" s="115" t="inlineStr">
        <is>
          <t>csi930653</t>
        </is>
      </c>
      <c r="B348" s="115" t="inlineStr">
        <is>
          <t>CS食品饮</t>
        </is>
      </c>
      <c r="C348" s="115" t="n">
        <v>14938.52</v>
      </c>
      <c r="D348" s="115" t="n">
        <v>0.87</v>
      </c>
      <c r="E348" s="115" t="n">
        <v>56.73</v>
      </c>
      <c r="F348" s="115" t="n">
        <v>32.16</v>
      </c>
      <c r="G348" s="115" t="n">
        <v>0.68</v>
      </c>
      <c r="H348" s="115" t="n">
        <v>6.75</v>
      </c>
      <c r="I348" s="115" t="n">
        <v>0.9399999999999999</v>
      </c>
      <c r="J348" s="116" t="n">
        <v>42160</v>
      </c>
      <c r="K348" s="132" t="inlineStr">
        <is>
          <t>查看基金</t>
        </is>
      </c>
      <c r="L348" s="111">
        <f>H348/F348</f>
        <v/>
      </c>
    </row>
    <row customHeight="1" ht="17" r="349" s="155">
      <c r="A349" s="115" t="inlineStr">
        <is>
          <t>sz399987</t>
        </is>
      </c>
      <c r="B349" s="115" t="inlineStr">
        <is>
          <t>中证酒</t>
        </is>
      </c>
      <c r="C349" s="115" t="n">
        <v>4561.63</v>
      </c>
      <c r="D349" s="115" t="n">
        <v>0.9</v>
      </c>
      <c r="E349" s="115" t="n">
        <v>77.56999999999999</v>
      </c>
      <c r="F349" s="115" t="n">
        <v>32.31</v>
      </c>
      <c r="G349" s="115" t="n">
        <v>0.8100000000000001</v>
      </c>
      <c r="H349" s="115" t="n">
        <v>7.48</v>
      </c>
      <c r="I349" s="115" t="n">
        <v>0.9399999999999999</v>
      </c>
      <c r="J349" s="116" t="n">
        <v>41983</v>
      </c>
      <c r="K349" s="132" t="inlineStr">
        <is>
          <t>查看基金</t>
        </is>
      </c>
      <c r="L349" s="111">
        <f>H349/F349</f>
        <v/>
      </c>
    </row>
    <row customHeight="1" ht="17" r="350" s="155">
      <c r="A350" s="115" t="inlineStr">
        <is>
          <t>csih30021</t>
        </is>
      </c>
      <c r="B350" s="115" t="inlineStr">
        <is>
          <t>中证800食品</t>
        </is>
      </c>
      <c r="C350" s="115" t="n">
        <v>16144.4</v>
      </c>
      <c r="D350" s="115" t="n">
        <v>0.99</v>
      </c>
      <c r="E350" s="115" t="n">
        <v>67.36</v>
      </c>
      <c r="F350" s="115" t="n">
        <v>32.2</v>
      </c>
      <c r="G350" s="115" t="n">
        <v>0.87</v>
      </c>
      <c r="H350" s="115" t="n">
        <v>6.96</v>
      </c>
      <c r="I350" s="115" t="n">
        <v>0.96</v>
      </c>
      <c r="J350" s="116" t="n">
        <v>41264</v>
      </c>
      <c r="K350" s="132" t="inlineStr">
        <is>
          <t>查看基金</t>
        </is>
      </c>
      <c r="L350" s="111">
        <f>H350/F350</f>
        <v/>
      </c>
    </row>
    <row customHeight="1" ht="17" r="351" s="155">
      <c r="A351" s="115" t="inlineStr">
        <is>
          <t>sz399396</t>
        </is>
      </c>
      <c r="B351" s="115" t="inlineStr">
        <is>
          <t>国证食品</t>
        </is>
      </c>
      <c r="C351" s="115" t="n">
        <v>18009.27</v>
      </c>
      <c r="D351" s="115" t="n">
        <v>0.87</v>
      </c>
      <c r="E351" s="115" t="n">
        <v>65.40000000000001</v>
      </c>
      <c r="F351" s="115" t="n">
        <v>31.55</v>
      </c>
      <c r="G351" s="115" t="n">
        <v>0.86</v>
      </c>
      <c r="H351" s="115" t="n">
        <v>7.21</v>
      </c>
      <c r="I351" s="115" t="n">
        <v>0.96</v>
      </c>
      <c r="J351" s="116" t="n">
        <v>41211</v>
      </c>
      <c r="K351" s="132" t="inlineStr">
        <is>
          <t>查看基金</t>
        </is>
      </c>
      <c r="L351" s="111">
        <f>H351/F351</f>
        <v/>
      </c>
    </row>
    <row customHeight="1" ht="17" r="352" s="155">
      <c r="A352" s="115" t="inlineStr">
        <is>
          <t>spisp500</t>
        </is>
      </c>
      <c r="B352" s="115" t="inlineStr">
        <is>
          <t>S&amp;P 500</t>
        </is>
      </c>
      <c r="C352" s="115" t="n">
        <v>2690.73</v>
      </c>
      <c r="D352" s="115" t="n">
        <v>-1.66</v>
      </c>
      <c r="E352" s="115" t="n">
        <v>0.64</v>
      </c>
      <c r="F352" s="115" t="n">
        <v>23.25</v>
      </c>
      <c r="G352" s="115" t="n">
        <v>0.97</v>
      </c>
      <c r="H352" s="115" t="n">
        <v>3.42</v>
      </c>
      <c r="I352" s="115" t="n">
        <v>0.96</v>
      </c>
      <c r="J352" s="116" t="n">
        <v>43682</v>
      </c>
      <c r="K352" s="132" t="inlineStr">
        <is>
          <t>查看基金</t>
        </is>
      </c>
      <c r="L352" s="111">
        <f>H352/F352</f>
        <v/>
      </c>
    </row>
    <row customHeight="1" ht="17" r="353" s="155">
      <c r="A353" s="115" t="inlineStr">
        <is>
          <t>spispxewtr</t>
        </is>
      </c>
      <c r="B353" s="115" t="inlineStr">
        <is>
          <t>标普500等权重指数</t>
        </is>
      </c>
      <c r="C353" s="115" t="n">
        <v>8179.02</v>
      </c>
      <c r="D353" s="115" t="n">
        <v>0.35</v>
      </c>
      <c r="E353" s="115" t="n">
        <v>24.56</v>
      </c>
      <c r="F353" s="115" t="n">
        <v>23.25</v>
      </c>
      <c r="G353" s="115" t="n">
        <v>0.97</v>
      </c>
      <c r="H353" s="115" t="n">
        <v>3.42</v>
      </c>
      <c r="I353" s="115" t="n">
        <v>0.96</v>
      </c>
      <c r="J353" s="116" t="n">
        <v>43682</v>
      </c>
      <c r="K353" s="132" t="inlineStr">
        <is>
          <t>查看基金</t>
        </is>
      </c>
      <c r="L353" s="111">
        <f>H353/F353</f>
        <v/>
      </c>
    </row>
    <row customHeight="1" ht="17" r="354" s="155">
      <c r="A354" s="115" t="inlineStr">
        <is>
          <t>gispx</t>
        </is>
      </c>
      <c r="B354" s="115" t="inlineStr">
        <is>
          <t>标普500</t>
        </is>
      </c>
      <c r="C354" s="115" t="n">
        <v>3133.64</v>
      </c>
      <c r="D354" s="115" t="n">
        <v>0.75</v>
      </c>
      <c r="E354" s="115" t="n">
        <v>25</v>
      </c>
      <c r="F354" s="115" t="n">
        <v>23.25</v>
      </c>
      <c r="G354" s="115" t="n">
        <v>0.79</v>
      </c>
      <c r="H354" s="115" t="n">
        <v>3.42</v>
      </c>
      <c r="I354" s="115" t="n">
        <v>0.98</v>
      </c>
      <c r="J354" s="116" t="n">
        <v>40634</v>
      </c>
      <c r="K354" s="132" t="inlineStr">
        <is>
          <t>查看基金</t>
        </is>
      </c>
      <c r="L354" s="111">
        <f>H354/F354</f>
        <v/>
      </c>
    </row>
    <row customHeight="1" ht="17" r="355" s="155">
      <c r="A355" s="115" t="inlineStr">
        <is>
          <t>csi133333</t>
        </is>
      </c>
      <c r="B355" s="115" t="inlineStr">
        <is>
          <t>MSCI中国A股指数</t>
        </is>
      </c>
      <c r="C355" s="115" t="n">
        <v>3176.09</v>
      </c>
      <c r="D355" s="115" t="n">
        <v>0.2</v>
      </c>
      <c r="E355" s="115" t="n">
        <v>29.09</v>
      </c>
      <c r="F355" s="115" t="n">
        <v>27.94</v>
      </c>
      <c r="G355" s="115" t="n">
        <v>0.98</v>
      </c>
      <c r="H355" s="115" t="n">
        <v>2.56</v>
      </c>
      <c r="I355" s="115" t="n">
        <v>0.98</v>
      </c>
      <c r="J355" s="116" t="n">
        <v>43476</v>
      </c>
      <c r="K355" s="132" t="inlineStr">
        <is>
          <t>查看基金</t>
        </is>
      </c>
      <c r="L355" s="111">
        <f>H355/F355</f>
        <v/>
      </c>
    </row>
    <row customHeight="1" ht="17" r="356" s="155">
      <c r="A356" s="115" t="inlineStr">
        <is>
          <t>sh000036</t>
        </is>
      </c>
      <c r="B356" s="115" t="inlineStr">
        <is>
          <t>上证消费</t>
        </is>
      </c>
      <c r="C356" s="115" t="n">
        <v>10848.97</v>
      </c>
      <c r="D356" s="115" t="n">
        <v>0.49</v>
      </c>
      <c r="E356" s="115" t="n">
        <v>47.62</v>
      </c>
      <c r="F356" s="115" t="n">
        <v>33.97</v>
      </c>
      <c r="G356" s="115" t="n">
        <v>0.6899999999999999</v>
      </c>
      <c r="H356" s="115" t="n">
        <v>7.29</v>
      </c>
      <c r="I356" s="115" t="n">
        <v>0.98</v>
      </c>
      <c r="J356" s="116" t="n">
        <v>39822</v>
      </c>
      <c r="K356" s="132" t="inlineStr">
        <is>
          <t>查看基金</t>
        </is>
      </c>
      <c r="L356" s="111">
        <f>H356/F356</f>
        <v/>
      </c>
    </row>
    <row customHeight="1" ht="17" r="357" s="155">
      <c r="A357" s="115" t="inlineStr">
        <is>
          <t>gidji</t>
        </is>
      </c>
      <c r="B357" s="115" t="inlineStr">
        <is>
          <t>道琼斯工业指数</t>
        </is>
      </c>
      <c r="C357" s="115" t="n">
        <v>25967.33</v>
      </c>
      <c r="D357" s="115" t="n">
        <v>0.01</v>
      </c>
      <c r="E357" s="115" t="n">
        <v>11.32</v>
      </c>
      <c r="F357" s="115" t="n">
        <v>21.17</v>
      </c>
      <c r="G357" s="115" t="n">
        <v>0.86</v>
      </c>
      <c r="H357" s="115" t="n">
        <v>4.72</v>
      </c>
      <c r="I357" s="115" t="n">
        <v>0.99</v>
      </c>
      <c r="J357" s="116" t="n">
        <v>40634</v>
      </c>
      <c r="K357" s="132" t="inlineStr">
        <is>
          <t>查看基金</t>
        </is>
      </c>
      <c r="L357" s="111">
        <f>H357/F357</f>
        <v/>
      </c>
    </row>
    <row customHeight="1" ht="17" r="358" s="155">
      <c r="A358" s="115" t="inlineStr">
        <is>
          <t>gindx</t>
        </is>
      </c>
      <c r="B358" s="115" t="inlineStr">
        <is>
          <t>纳斯达克100</t>
        </is>
      </c>
      <c r="C358" s="115" t="n">
        <v>8371.93</v>
      </c>
      <c r="D358" s="115" t="n">
        <v>1.21</v>
      </c>
      <c r="E358" s="115" t="n">
        <v>32.26</v>
      </c>
      <c r="F358" s="115" t="n">
        <v>27.77</v>
      </c>
      <c r="G358" s="115" t="n">
        <v>0.86</v>
      </c>
      <c r="H358" s="115" t="n">
        <v>6.2</v>
      </c>
      <c r="I358" s="115" t="n">
        <v>1</v>
      </c>
      <c r="J358" s="116" t="n">
        <v>40634</v>
      </c>
      <c r="K358" s="132" t="inlineStr">
        <is>
          <t>查看基金</t>
        </is>
      </c>
      <c r="L358" s="111">
        <f>H358/F358</f>
        <v/>
      </c>
    </row>
  </sheetData>
  <autoFilter ref="A1:L358">
    <sortState ref="A2:L358">
      <sortCondition ref="I1:I358"/>
    </sortState>
  </autoFilter>
  <conditionalFormatting sqref="G359:G1048576">
    <cfRule priority="5" type="colorScale">
      <colorScale>
        <cfvo type="min"/>
        <cfvo type="percentile" val="50"/>
        <cfvo type="max"/>
        <color rgb="FF63BE7B"/>
        <color rgb="FFFFEB84"/>
        <color rgb="FFF8696B"/>
      </colorScale>
    </cfRule>
    <cfRule priority="8" type="colorScale">
      <colorScale>
        <cfvo type="min"/>
        <cfvo type="percentile" val="50"/>
        <cfvo type="max"/>
        <color rgb="FF63BE7B"/>
        <color rgb="FFFFEB84"/>
        <color rgb="FFF8696B"/>
      </colorScale>
    </cfRule>
    <cfRule priority="13" type="colorScale">
      <colorScale>
        <cfvo type="min"/>
        <cfvo type="percentile" val="50"/>
        <cfvo type="max"/>
        <color rgb="FF63BE7B"/>
        <color rgb="FFFFEB84"/>
        <color rgb="FFF8696B"/>
      </colorScale>
    </cfRule>
    <cfRule priority="16" type="colorScale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59:I1048576">
    <cfRule priority="6" type="colorScale">
      <colorScale>
        <cfvo type="min"/>
        <cfvo type="percentile" val="50"/>
        <cfvo type="max"/>
        <color rgb="FF63BE7B"/>
        <color rgb="FFFFEB84"/>
        <color rgb="FFF8696B"/>
      </colorScale>
    </cfRule>
    <cfRule priority="7" type="colorScale">
      <colorScale>
        <cfvo type="min"/>
        <cfvo type="percentile" val="50"/>
        <cfvo type="max"/>
        <color rgb="FF63BE7B"/>
        <color rgb="FFFFEB84"/>
        <color rgb="FFF8696B"/>
      </colorScale>
    </cfRule>
    <cfRule priority="12" type="colorScale">
      <colorScale>
        <cfvo type="min"/>
        <cfvo type="percentile" val="50"/>
        <cfvo type="max"/>
        <color rgb="FF63BE7B"/>
        <color rgb="FFFFEB84"/>
        <color rgb="FFF8696B"/>
      </colorScale>
    </cfRule>
    <cfRule priority="15" type="colorScale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59:E1048576">
    <cfRule priority="4" type="colorScale">
      <colorScale>
        <cfvo type="min"/>
        <cfvo type="percentile" val="50"/>
        <cfvo type="max"/>
        <color rgb="FF63BE7B"/>
        <color rgb="FFFFEB84"/>
        <color rgb="FFF8696B"/>
      </colorScale>
    </cfRule>
    <cfRule priority="9" type="colorScale">
      <colorScale>
        <cfvo type="min"/>
        <cfvo type="percentile" val="50"/>
        <cfvo type="max"/>
        <color rgb="FF63BE7B"/>
        <color rgb="FFFFEB84"/>
        <color rgb="FFF8696B"/>
      </colorScale>
    </cfRule>
    <cfRule priority="11" type="colorScale">
      <colorScale>
        <cfvo type="min"/>
        <cfvo type="percentile" val="50"/>
        <cfvo type="max"/>
        <color rgb="FF63BE7B"/>
        <color rgb="FFFFEB84"/>
        <color rgb="FFF8696B"/>
      </colorScale>
    </cfRule>
    <cfRule priority="14" type="colorScale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L1048576">
    <cfRule priority="10" type="colorScale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:E1048576">
    <cfRule priority="3" type="colorScale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G1048576">
    <cfRule priority="2" type="colorScale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I1048576">
    <cfRule priority="1" type="colorScale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display="http://discuss.jiucaishuo.com/?/invest/showData/search_gu-si801720" ref="K2" r:id="rId1"/>
    <hyperlink display="http://discuss.jiucaishuo.com/?/invest/showData/search_gu-si801160" ref="K3" r:id="rId2"/>
    <hyperlink display="http://discuss.jiucaishuo.com/?/invest/showData/search_gu-si801020" ref="K4" r:id="rId3"/>
    <hyperlink display="http://discuss.jiucaishuo.com/?/invest/showData/search_gu-si801177" ref="K5" r:id="rId4"/>
    <hyperlink display="http://discuss.jiucaishuo.com/?/invest/showData/search_gu-si801203" ref="K6" r:id="rId5"/>
    <hyperlink display="http://discuss.jiucaishuo.com/?/invest/showData/search_gu-si801725" ref="K7" r:id="rId6"/>
    <hyperlink display="http://discuss.jiucaishuo.com/?/invest/showData/search_gu-si801164" ref="K8" r:id="rId7"/>
    <hyperlink display="http://discuss.jiucaishuo.com/?/invest/showData/search_gu-si801163" ref="K9" r:id="rId8"/>
    <hyperlink display="http://discuss.jiucaishuo.com/?/invest/showData/search_gu-si801035" ref="K10" r:id="rId9"/>
    <hyperlink display="http://discuss.jiucaishuo.com/?/invest/showData/search_gu-si801023" ref="K11" r:id="rId10"/>
    <hyperlink display="http://discuss.jiucaishuo.com/?/invest/showData/search_gu-sh000066" ref="K12" r:id="rId11"/>
    <hyperlink display="http://discuss.jiucaishuo.com/?/invest/showData/search_gu-sh000986" ref="K13" r:id="rId12"/>
    <hyperlink display="http://discuss.jiucaishuo.com/?/invest/showData/search_gu-sh000944" ref="K14" r:id="rId13"/>
    <hyperlink display="http://discuss.jiucaishuo.com/?/invest/showData/search_gu-cicspsadrp" ref="K15" r:id="rId14"/>
    <hyperlink display="http://discuss.jiucaishuo.com/?/invest/showData/search_gu-sh000068" ref="K16" r:id="rId15"/>
    <hyperlink display="http://discuss.jiucaishuo.com/?/invest/showData/search_gu-sh000928" ref="K17" r:id="rId16"/>
    <hyperlink display="http://discuss.jiucaishuo.com/?/invest/showData/search_gu-si801180" ref="K18" r:id="rId17"/>
    <hyperlink display="http://discuss.jiucaishuo.com/?/invest/showData/search_gu-si801200" ref="K19" r:id="rId18"/>
    <hyperlink display="http://discuss.jiucaishuo.com/?/invest/showData/search_gu-si801780" ref="K20" r:id="rId19"/>
    <hyperlink display="http://discuss.jiucaishuo.com/?/invest/showData/search_gu-si801172" ref="K21" r:id="rId20"/>
    <hyperlink display="http://discuss.jiucaishuo.com/?/invest/showData/search_gu-si801171" ref="K22" r:id="rId21"/>
    <hyperlink display="http://discuss.jiucaishuo.com/?/invest/showData/search_gu-si801076" ref="K23" r:id="rId22"/>
    <hyperlink display="http://discuss.jiucaishuo.com/?/invest/showData/search_gu-si801154" ref="K24" r:id="rId23"/>
    <hyperlink display="http://discuss.jiucaishuo.com/?/invest/showData/search_gu-si801181" ref="K25" r:id="rId24"/>
    <hyperlink display="http://discuss.jiucaishuo.com/?/invest/showData/search_gu-si801092" ref="K26" r:id="rId25"/>
    <hyperlink display="http://discuss.jiucaishuo.com/?/invest/showData/search_gu-si801724" ref="K27" r:id="rId26"/>
    <hyperlink display="http://discuss.jiucaishuo.com/?/invest/showData/search_gu-si801723" ref="K28" r:id="rId27"/>
    <hyperlink display="http://discuss.jiucaishuo.com/?/invest/showData/search_gu-si801722" ref="K29" r:id="rId28"/>
    <hyperlink display="http://discuss.jiucaishuo.com/?/invest/showData/search_gu-si801162" ref="K30" r:id="rId29"/>
    <hyperlink display="http://discuss.jiucaishuo.com/?/invest/showData/search_gu-sz399806" ref="K31" r:id="rId30"/>
    <hyperlink display="http://discuss.jiucaishuo.com/?/invest/showData/search_gu-si801055" ref="K32" r:id="rId31"/>
    <hyperlink display="http://discuss.jiucaishuo.com/?/invest/showData/search_gu-si801021" ref="K33" r:id="rId32"/>
    <hyperlink display="http://discuss.jiucaishuo.com/?/invest/showData/search_gu-sh000979" ref="K34" r:id="rId33"/>
    <hyperlink display="http://discuss.jiucaishuo.com/?/invest/showData/search_gu-si801192" ref="K35" r:id="rId34"/>
    <hyperlink display="http://discuss.jiucaishuo.com/?/invest/showData/search_gu-si801191" ref="K36" r:id="rId35"/>
    <hyperlink display="http://discuss.jiucaishuo.com/?/invest/showData/search_gu-sz399998" ref="K37" r:id="rId36"/>
    <hyperlink display="http://discuss.jiucaishuo.com/?/invest/showData/search_gu-sz399990" ref="K38" r:id="rId37"/>
    <hyperlink display="http://discuss.jiucaishuo.com/?/invest/showData/search_gu-sh950090" ref="K39" r:id="rId38"/>
    <hyperlink display="http://discuss.jiucaishuo.com/?/invest/showData/search_gu-sh000805" ref="K40" r:id="rId39"/>
    <hyperlink display="http://discuss.jiucaishuo.com/?/invest/showData/search_gu-sh000042" ref="K41" r:id="rId40"/>
    <hyperlink display="http://discuss.jiucaishuo.com/?/invest/showData/search_gu-sh000015" ref="K42" r:id="rId41"/>
    <hyperlink display="http://discuss.jiucaishuo.com/?/invest/showData/search_gu-csih30263" ref="K43" r:id="rId42"/>
    <hyperlink display="http://discuss.jiucaishuo.com/?/invest/showData/search_gu-sh000919" ref="K44" r:id="rId43"/>
    <hyperlink display="http://discuss.jiucaishuo.com/?/invest/showData/search_gu-sh000961" ref="K45" r:id="rId44"/>
    <hyperlink display="http://discuss.jiucaishuo.com/?/invest/showData/search_gu-sh000964" ref="K46" r:id="rId45"/>
    <hyperlink display="http://discuss.jiucaishuo.com/?/invest/showData/search_gu-csi930620" ref="K47" r:id="rId46"/>
    <hyperlink display="http://discuss.jiucaishuo.com/?/invest/showData/search_gu-sz399991" ref="K48" r:id="rId47"/>
    <hyperlink display="http://discuss.jiucaishuo.com/?/invest/showData/search_gu-csi931008" ref="K49" r:id="rId48"/>
    <hyperlink display="http://discuss.jiucaishuo.com/?/invest/showData/search_gu-sz399986" ref="K50" r:id="rId49"/>
    <hyperlink display="http://discuss.jiucaishuo.com/?/invest/showData/search_gu-sh000940" ref="K51" r:id="rId50"/>
    <hyperlink display="http://discuss.jiucaishuo.com/?/invest/showData/search_gu-si801761" ref="K52" r:id="rId51"/>
    <hyperlink display="http://discuss.jiucaishuo.com/?/invest/showData/search_gu-si801205" ref="K53" r:id="rId52"/>
    <hyperlink display="http://discuss.jiucaishuo.com/?/invest/showData/search_gu-sz399995" ref="K54" r:id="rId53"/>
    <hyperlink display="http://discuss.jiucaishuo.com/?/invest/showData/search_gu-si801161" ref="K55" r:id="rId54"/>
    <hyperlink display="http://discuss.jiucaishuo.com/?/invest/showData/search_gu-si801734" ref="K56" r:id="rId55"/>
    <hyperlink display="http://discuss.jiucaishuo.com/?/invest/showData/search_gu-si801075" ref="K57" r:id="rId56"/>
    <hyperlink display="http://discuss.jiucaishuo.com/?/invest/showData/search_gu-sz399992" ref="K58" r:id="rId57"/>
    <hyperlink display="http://discuss.jiucaishuo.com/?/invest/showData/search_gu-sh000806" ref="K59" r:id="rId58"/>
    <hyperlink display="http://discuss.jiucaishuo.com/?/invest/showData/search_gu-si801094" ref="K60" r:id="rId59"/>
    <hyperlink display="http://discuss.jiucaishuo.com/?/invest/showData/search_gu-sh000032" ref="K61" r:id="rId60"/>
    <hyperlink display="http://discuss.jiucaishuo.com/?/invest/showData/search_gu-sz399416" ref="K62" r:id="rId61"/>
    <hyperlink display="http://discuss.jiucaishuo.com/?/invest/showData/search_gu-sh000029" ref="K63" r:id="rId62"/>
    <hyperlink display="http://discuss.jiucaishuo.com/?/invest/showData/search_gu-sh000021" ref="K64" r:id="rId63"/>
    <hyperlink display="http://discuss.jiucaishuo.com/?/invest/showData/search_gu-sh000905" ref="K65" r:id="rId64"/>
    <hyperlink display="http://discuss.jiucaishuo.com/?/invest/showData/search_gu-si801760" ref="K66" r:id="rId65"/>
    <hyperlink display="http://discuss.jiucaishuo.com/?/invest/showData/search_gu-si801178" ref="K67" r:id="rId66"/>
    <hyperlink display="http://discuss.jiucaishuo.com/?/invest/showData/search_gu-sz399807" ref="K68" r:id="rId67"/>
    <hyperlink display="http://discuss.jiucaishuo.com/?/invest/showData/search_gu-si801712" ref="K69" r:id="rId68"/>
    <hyperlink display="http://discuss.jiucaishuo.com/?/invest/showData/search_gu-si801022" ref="K70" r:id="rId69"/>
    <hyperlink display="http://discuss.jiucaishuo.com/?/invest/showData/search_gu-si801193" ref="K71" r:id="rId70"/>
    <hyperlink display="http://discuss.jiucaishuo.com/?/invest/showData/search_gu-hihsml25" ref="K72" r:id="rId71"/>
    <hyperlink display="http://discuss.jiucaishuo.com/?/invest/showData/search_gu-sh000854" ref="K73" r:id="rId72"/>
    <hyperlink display="http://discuss.jiucaishuo.com/?/invest/showData/search_gu-sh000001" ref="K74" r:id="rId73"/>
    <hyperlink display="http://discuss.jiucaishuo.com/?/invest/showData/search_gu-hihsi" ref="K75" r:id="rId74"/>
    <hyperlink display="http://discuss.jiucaishuo.com/?/invest/showData/search_gu-sh000984" ref="K76" r:id="rId75"/>
    <hyperlink display="http://discuss.jiucaishuo.com/?/invest/showData/search_gu-si801030" ref="K77" r:id="rId76"/>
    <hyperlink display="http://discuss.jiucaishuo.com/?/invest/showData/search_gu-sz399802" ref="K78" r:id="rId77"/>
    <hyperlink display="http://discuss.jiucaishuo.com/?/invest/showData/search_gu-sh000982" ref="K79" r:id="rId78"/>
    <hyperlink display="http://discuss.jiucaishuo.com/?/invest/showData/search_gu-si801175" ref="K80" r:id="rId79"/>
    <hyperlink display="http://discuss.jiucaishuo.com/?/invest/showData/search_gu-si801015" ref="K81" r:id="rId80"/>
    <hyperlink display="http://discuss.jiucaishuo.com/?/invest/showData/search_gu-sz399440" ref="K82" r:id="rId81"/>
    <hyperlink display="http://discuss.jiucaishuo.com/?/invest/showData/search_gu-csi000922" ref="K83" r:id="rId82"/>
    <hyperlink display="http://discuss.jiucaishuo.com/?/invest/showData/search_gu-sz399429" ref="K84" r:id="rId83"/>
    <hyperlink display="http://discuss.jiucaishuo.com/?/invest/showData/search_gu-sh000904" ref="K85" r:id="rId84"/>
    <hyperlink display="http://discuss.jiucaishuo.com/?/invest/showData/search_gu-si801730" ref="K86" r:id="rId85"/>
    <hyperlink display="http://discuss.jiucaishuo.com/?/invest/showData/search_gu-si801741" ref="K87" r:id="rId86"/>
    <hyperlink display="http://discuss.jiucaishuo.com/?/invest/showData/search_gu-sh000989" ref="K88" r:id="rId87"/>
    <hyperlink display="http://discuss.jiucaishuo.com/?/invest/showData/search_gu-csih30165" ref="K89" r:id="rId88"/>
    <hyperlink display="http://discuss.jiucaishuo.com/?/invest/showData/search_gu-si801131" ref="K90" r:id="rId89"/>
    <hyperlink display="http://discuss.jiucaishuo.com/?/invest/showData/search_gu-si801731" ref="K91" r:id="rId90"/>
    <hyperlink display="http://discuss.jiucaishuo.com/?/invest/showData/search_gu-si801024" ref="K92" r:id="rId91"/>
    <hyperlink display="http://discuss.jiucaishuo.com/?/invest/showData/search_gu-csi950096" ref="K93" r:id="rId92"/>
    <hyperlink display="http://discuss.jiucaishuo.com/?/invest/showData/search_gu-sh000067" ref="K94" r:id="rId93"/>
    <hyperlink display="http://discuss.jiucaishuo.com/?/invest/showData/search_gu-sh000901" ref="K95" r:id="rId94"/>
    <hyperlink display="http://discuss.jiucaishuo.com/?/invest/showData/search_gu-sh000063" ref="K96" r:id="rId95"/>
    <hyperlink display="http://discuss.jiucaishuo.com/?/invest/showData/search_gu-wi881001" ref="K97" r:id="rId96"/>
    <hyperlink display="http://discuss.jiucaishuo.com/?/invest/showData/search_gu-csi930875" ref="K98" r:id="rId97"/>
    <hyperlink display="http://discuss.jiucaishuo.com/?/invest/showData/search_gu-sh000016" ref="K99" r:id="rId98"/>
    <hyperlink display="http://discuss.jiucaishuo.com/?/invest/showData/search_gu-si801050" ref="K100" r:id="rId99"/>
    <hyperlink display="http://discuss.jiucaishuo.com/?/invest/showData/search_gu-si801040" ref="K101" r:id="rId100"/>
    <hyperlink display="http://discuss.jiucaishuo.com/?/invest/showData/search_gu-sz399101" ref="K102" r:id="rId101"/>
    <hyperlink display="http://discuss.jiucaishuo.com/?/invest/showData/search_gu-sz399008" ref="K103" r:id="rId102"/>
    <hyperlink display="http://discuss.jiucaishuo.com/?/invest/showData/search_gu-sh000802" ref="K104" r:id="rId103"/>
    <hyperlink display="http://discuss.jiucaishuo.com/?/invest/showData/search_gu-sz399965" ref="K105" r:id="rId104"/>
    <hyperlink display="http://discuss.jiucaishuo.com/?/invest/showData/search_gu-sz399393" ref="K106" r:id="rId105"/>
    <hyperlink display="http://discuss.jiucaishuo.com/?/invest/showData/search_gu-si801034" ref="K107" r:id="rId106"/>
    <hyperlink display="http://discuss.jiucaishuo.com/?/invest/showData/search_gu-si801033" ref="K108" r:id="rId107"/>
    <hyperlink display="http://discuss.jiucaishuo.com/?/invest/showData/search_gu-si801051" ref="K109" r:id="rId108"/>
    <hyperlink display="http://discuss.jiucaishuo.com/?/invest/showData/search_gu-si801041" ref="K110" r:id="rId109"/>
    <hyperlink display="http://discuss.jiucaishuo.com/?/invest/showData/search_gu-si801142" ref="K111" r:id="rId110"/>
    <hyperlink display="http://discuss.jiucaishuo.com/?/invest/showData/search_gu-sh000819" ref="K112" r:id="rId111"/>
    <hyperlink display="http://discuss.jiucaishuo.com/?/invest/showData/search_gu-csi930782" ref="K113" r:id="rId112"/>
    <hyperlink display="http://discuss.jiucaishuo.com/?/invest/showData/search_gu-sh000056" ref="K114" r:id="rId113"/>
    <hyperlink display="http://discuss.jiucaishuo.com/?/invest/showData/search_gu-sh000966" ref="K115" r:id="rId114"/>
    <hyperlink display="http://discuss.jiucaishuo.com/?/invest/showData/search_gu-sh000925" ref="K116" r:id="rId115"/>
    <hyperlink display="http://discuss.jiucaishuo.com/?/invest/showData/search_gu-csi000985" ref="K117" r:id="rId116"/>
    <hyperlink display="http://discuss.jiucaishuo.com/?/invest/showData/search_gu-hihshkmi" ref="K118" r:id="rId117"/>
    <hyperlink display="http://discuss.jiucaishuo.com/?/invest/showData/search_gu-sz399624" ref="K119" r:id="rId118"/>
    <hyperlink display="http://discuss.jiucaishuo.com/?/invest/showData/search_gu-si801880" ref="K120" r:id="rId119"/>
    <hyperlink display="http://discuss.jiucaishuo.com/?/invest/showData/search_gu-si801130" ref="K121" r:id="rId120"/>
    <hyperlink display="http://discuss.jiucaishuo.com/?/invest/showData/search_gu-si801890" ref="K122" r:id="rId121"/>
    <hyperlink display="http://discuss.jiucaishuo.com/?/invest/showData/search_gu-si801790" ref="K123" r:id="rId122"/>
    <hyperlink display="http://discuss.jiucaishuo.com/?/invest/showData/search_gu-si801752" ref="K124" r:id="rId123"/>
    <hyperlink display="http://discuss.jiucaishuo.com/?/invest/showData/search_gu-si801751" ref="K125" r:id="rId124"/>
    <hyperlink display="http://discuss.jiucaishuo.com/?/invest/showData/search_gu-sh000852" ref="K126" r:id="rId125"/>
    <hyperlink display="http://discuss.jiucaishuo.com/?/invest/showData/search_gu-si801155" ref="K127" r:id="rId126"/>
    <hyperlink display="http://discuss.jiucaishuo.com/?/invest/showData/search_gu-si801213" ref="K128" r:id="rId127"/>
    <hyperlink display="http://discuss.jiucaishuo.com/?/invest/showData/search_gu-sz399412" ref="K129" r:id="rId128"/>
    <hyperlink display="http://discuss.jiucaishuo.com/?/invest/showData/search_gu-si801143" ref="K130" r:id="rId129"/>
    <hyperlink display="http://discuss.jiucaishuo.com/?/invest/showData/search_gu-sz399005" ref="K131" r:id="rId130"/>
    <hyperlink display="http://discuss.jiucaishuo.com/?/invest/showData/search_gu-si801230" ref="K132" r:id="rId131"/>
    <hyperlink display="http://discuss.jiucaishuo.com/?/invest/showData/search_gu-sh000010" ref="K133" r:id="rId132"/>
    <hyperlink display="http://discuss.jiucaishuo.com/?/invest/showData/search_gu-sz399634" ref="K134" r:id="rId133"/>
    <hyperlink display="http://discuss.jiucaishuo.com/?/invest/showData/search_gu-si801173" ref="K135" r:id="rId134"/>
    <hyperlink display="http://discuss.jiucaishuo.com/?/invest/showData/search_gu-si801093" ref="K136" r:id="rId135"/>
    <hyperlink display="http://discuss.jiucaishuo.com/?/invest/showData/search_gu-sh000934" ref="K137" r:id="rId136"/>
    <hyperlink display="http://discuss.jiucaishuo.com/?/invest/showData/search_gu-sh000038" ref="K138" r:id="rId137"/>
    <hyperlink display="http://discuss.jiucaishuo.com/?/invest/showData/search_gu-sh000018" ref="K139" r:id="rId138"/>
    <hyperlink display="http://discuss.jiucaishuo.com/?/invest/showData/search_gu-sz399967" ref="K140" r:id="rId139"/>
    <hyperlink display="http://discuss.jiucaishuo.com/?/invest/showData/search_gu-si801231" ref="K141" r:id="rId140"/>
    <hyperlink display="http://discuss.jiucaishuo.com/?/invest/showData/search_gu-sh000987" ref="K142" r:id="rId141"/>
    <hyperlink display="http://discuss.jiucaishuo.com/?/invest/showData/search_gu-sh000846" ref="K143" r:id="rId142"/>
    <hyperlink display="http://discuss.jiucaishuo.com/?/invest/showData/search_gu-hihshksi" ref="K144" r:id="rId143"/>
    <hyperlink display="http://discuss.jiucaishuo.com/?/invest/showData/search_gu-si801202" ref="K145" r:id="rId144"/>
    <hyperlink display="http://discuss.jiucaishuo.com/?/invest/showData/search_gu-sh000914" ref="K146" r:id="rId145"/>
    <hyperlink display="http://discuss.jiucaishuo.com/?/invest/showData/search_gu-si801072" ref="K147" r:id="rId146"/>
    <hyperlink display="http://discuss.jiucaishuo.com/?/invest/showData/search_gu-sh000963" ref="K148" r:id="rId147"/>
    <hyperlink display="http://discuss.jiucaishuo.com/?/invest/showData/search_gu-csi930641" ref="K149" r:id="rId148"/>
    <hyperlink display="http://discuss.jiucaishuo.com/?/invest/showData/search_gu-si801170" ref="K150" r:id="rId149"/>
    <hyperlink display="http://discuss.jiucaishuo.com/?/invest/showData/search_gu-sh000906" ref="K151" r:id="rId150"/>
    <hyperlink display="http://discuss.jiucaishuo.com/?/invest/showData/search_gu-si801710" ref="K152" r:id="rId151"/>
    <hyperlink display="http://discuss.jiucaishuo.com/?/invest/showData/search_gu-sh000842" ref="K153" r:id="rId152"/>
    <hyperlink display="http://discuss.jiucaishuo.com/?/invest/showData/search_gu-sh000992" ref="K154" r:id="rId153"/>
    <hyperlink display="http://discuss.jiucaishuo.com/?/invest/showData/search_gu-si801733" ref="K155" r:id="rId154"/>
    <hyperlink display="http://discuss.jiucaishuo.com/?/invest/showData/search_gu-sh000977" ref="K156" r:id="rId155"/>
    <hyperlink display="http://discuss.jiucaishuo.com/?/invest/showData/search_gu-si801036" ref="K157" r:id="rId156"/>
    <hyperlink display="http://discuss.jiucaishuo.com/?/invest/showData/search_gu-sh000823" ref="K158" r:id="rId157"/>
    <hyperlink display="http://discuss.jiucaishuo.com/?/invest/showData/search_gu-sz399415" ref="K159" r:id="rId158"/>
    <hyperlink display="http://discuss.jiucaishuo.com/?/invest/showData/search_gu-sz399971" ref="K160" r:id="rId159"/>
    <hyperlink display="http://discuss.jiucaishuo.com/?/invest/showData/search_gu-csi930793" ref="K161" r:id="rId160"/>
    <hyperlink display="http://discuss.jiucaishuo.com/?/invest/showData/search_gu-si801140" ref="K162" r:id="rId161"/>
    <hyperlink display="http://discuss.jiucaishuo.com/?/invest/showData/search_gu-sh000050" ref="K163" r:id="rId162"/>
    <hyperlink display="http://discuss.jiucaishuo.com/?/invest/showData/search_gu-si801132" ref="K164" r:id="rId163"/>
    <hyperlink display="http://discuss.jiucaishuo.com/?/invest/showData/search_gu-csih30531" ref="K165" r:id="rId164"/>
    <hyperlink display="http://discuss.jiucaishuo.com/?/invest/showData/search_gu-sz399368" ref="K166" r:id="rId165"/>
    <hyperlink display="http://discuss.jiucaishuo.com/?/invest/showData/search_gu-si801744" ref="K167" r:id="rId166"/>
    <hyperlink display="http://discuss.jiucaishuo.com/?/invest/showData/search_gu-si801212" ref="K168" r:id="rId167"/>
    <hyperlink display="http://discuss.jiucaishuo.com/?/invest/showData/search_gu-sh000827" ref="K169" r:id="rId168"/>
    <hyperlink display="http://discuss.jiucaishuo.com/?/invest/showData/search_gu-sz399417" ref="K170" r:id="rId169"/>
    <hyperlink display="http://discuss.jiucaishuo.com/?/invest/showData/search_gu-sh000841" ref="K171" r:id="rId170"/>
    <hyperlink display="http://discuss.jiucaishuo.com/?/invest/showData/search_gu-si801037" ref="K172" r:id="rId171"/>
    <hyperlink display="http://discuss.jiucaishuo.com/?/invest/showData/search_gu-sz399808" ref="K173" r:id="rId172"/>
    <hyperlink display="http://discuss.jiucaishuo.com/?/invest/showData/search_gu-si801054" ref="K174" r:id="rId173"/>
    <hyperlink display="http://discuss.jiucaishuo.com/?/invest/showData/search_gu-si801053" ref="K175" r:id="rId174"/>
    <hyperlink display="http://discuss.jiucaishuo.com/?/invest/showData/search_gu-sz399395" ref="K176" r:id="rId175"/>
    <hyperlink display="http://discuss.jiucaishuo.com/?/invest/showData/search_gu-csih30372" ref="K177" r:id="rId176"/>
    <hyperlink display="http://discuss.jiucaishuo.com/?/invest/showData/search_gu-sh000300" ref="K178" r:id="rId177"/>
    <hyperlink display="http://discuss.jiucaishuo.com/?/invest/showData/search_gu-sh000958" ref="K179" r:id="rId178"/>
    <hyperlink display="http://discuss.jiucaishuo.com/?/invest/showData/search_gu-si801016" ref="K180" r:id="rId179"/>
    <hyperlink display="http://discuss.jiucaishuo.com/?/invest/showData/search_gu-si801073" ref="K181" r:id="rId180"/>
    <hyperlink display="http://discuss.jiucaishuo.com/?/invest/showData/search_gu-sz399973" ref="K182" r:id="rId181"/>
    <hyperlink display="http://discuss.jiucaishuo.com/?/invest/showData/search_gu-sz399975" ref="K183" r:id="rId182"/>
    <hyperlink display="http://discuss.jiucaishuo.com/?/invest/showData/search_gu-si801084" ref="K184" r:id="rId183"/>
    <hyperlink display="http://discuss.jiucaishuo.com/?/invest/showData/search_gu-si801082" ref="K185" r:id="rId184"/>
    <hyperlink display="http://discuss.jiucaishuo.com/?/invest/showData/search_gu-sz399805" ref="K186" r:id="rId185"/>
    <hyperlink display="http://discuss.jiucaishuo.com/?/invest/showData/search_gu-si801012" ref="K187" r:id="rId186"/>
    <hyperlink display="http://discuss.jiucaishuo.com/?/invest/showData/search_gu-si801074" ref="K188" r:id="rId187"/>
    <hyperlink display="http://discuss.jiucaishuo.com/?/invest/showData/search_gu-sz399959" ref="K189" r:id="rId188"/>
    <hyperlink display="http://discuss.jiucaishuo.com/?/invest/showData/search_gu-si801732" ref="K190" r:id="rId189"/>
    <hyperlink display="http://discuss.jiucaishuo.com/?/invest/showData/search_gu-si801141" ref="K191" r:id="rId190"/>
    <hyperlink display="http://discuss.jiucaishuo.com/?/invest/showData/search_gu-csi930720" ref="K192" r:id="rId191"/>
    <hyperlink display="http://discuss.jiucaishuo.com/?/invest/showData/search_gu-hihscei" ref="K193" r:id="rId192"/>
    <hyperlink display="http://discuss.jiucaishuo.com/?/invest/showData/search_gu-si801740" ref="K194" r:id="rId193"/>
    <hyperlink display="http://discuss.jiucaishuo.com/?/invest/showData/search_gu-si801711" ref="K195" r:id="rId194"/>
    <hyperlink display="http://discuss.jiucaishuo.com/?/invest/showData/search_gu-sz399983" ref="K196" r:id="rId195"/>
    <hyperlink display="http://discuss.jiucaishuo.com/?/invest/showData/search_gu-sh000051" ref="K197" r:id="rId196"/>
    <hyperlink display="http://discuss.jiucaishuo.com/?/invest/showData/search_gu-si801742" ref="K198" r:id="rId197"/>
    <hyperlink display="http://discuss.jiucaishuo.com/?/invest/showData/search_gu-si801112" ref="K199" r:id="rId198"/>
    <hyperlink display="http://discuss.jiucaishuo.com/?/invest/showData/search_gu-sh000933" ref="K200" r:id="rId199"/>
    <hyperlink display="http://discuss.jiucaishuo.com/?/invest/showData/search_gu-sh000903" ref="K201" r:id="rId200"/>
    <hyperlink display="http://discuss.jiucaishuo.com/?/invest/showData/search_gu-gidjsoep" ref="K202" r:id="rId201"/>
    <hyperlink display="http://discuss.jiucaishuo.com/?/invest/showData/search_gu-si801182" ref="K203" r:id="rId202"/>
    <hyperlink display="http://discuss.jiucaishuo.com/?/invest/showData/search_gu-sh000974" ref="K204" r:id="rId203"/>
    <hyperlink display="http://discuss.jiucaishuo.com/?/invest/showData/search_gu-csi930648" ref="K205" r:id="rId204"/>
    <hyperlink display="http://discuss.jiucaishuo.com/?/invest/showData/search_gu-csi930659" ref="K206" r:id="rId205"/>
    <hyperlink display="http://discuss.jiucaishuo.com/?/invest/showData/search_gu-sz399422" ref="K207" r:id="rId206"/>
    <hyperlink display="http://discuss.jiucaishuo.com/?/invest/showData/search_gu-sh000048" ref="K208" r:id="rId207"/>
    <hyperlink display="http://discuss.jiucaishuo.com/?/invest/showData/search_gu-sz399996" ref="K209" r:id="rId208"/>
    <hyperlink display="http://discuss.jiucaishuo.com/?/invest/showData/search_gu-sz399810" ref="K210" r:id="rId209"/>
    <hyperlink display="http://discuss.jiucaishuo.com/?/invest/showData/search_gu-csi930790" ref="K211" r:id="rId210"/>
    <hyperlink display="http://discuss.jiucaishuo.com/?/invest/showData/search_gu-csi930654" ref="K212" r:id="rId211"/>
    <hyperlink display="http://discuss.jiucaishuo.com/?/invest/showData/search_gu-sh000033" ref="K213" r:id="rId212"/>
    <hyperlink display="http://discuss.jiucaishuo.com/?/invest/showData/search_gu-si801176" ref="K214" r:id="rId213"/>
    <hyperlink display="http://discuss.jiucaishuo.com/?/invest/showData/search_gu-si801721" ref="K215" r:id="rId214"/>
    <hyperlink display="http://discuss.jiucaishuo.com/?/invest/showData/search_gu-csi930713" ref="K216" r:id="rId215"/>
    <hyperlink display="http://discuss.jiucaishuo.com/?/invest/showData/search_gu-sz399313" ref="K217" r:id="rId216"/>
    <hyperlink display="http://discuss.jiucaishuo.com/?/invest/showData/search_gu-sh000009" ref="K218" r:id="rId217"/>
    <hyperlink display="http://discuss.jiucaishuo.com/?/invest/showData/search_gu-si801211" ref="K219" r:id="rId218"/>
    <hyperlink display="http://discuss.jiucaishuo.com/?/invest/showData/search_gu-sh000991" ref="K220" r:id="rId219"/>
    <hyperlink display="http://discuss.jiucaishuo.com/?/invest/showData/search_gu-csi930734" ref="K221" r:id="rId220"/>
    <hyperlink display="http://discuss.jiucaishuo.com/?/invest/showData/search_gu-csi930599" ref="K222" r:id="rId221"/>
    <hyperlink display="http://discuss.jiucaishuo.com/?/invest/showData/search_gu-sz399974" ref="K223" r:id="rId222"/>
    <hyperlink display="http://discuss.jiucaishuo.com/?/invest/showData/search_gu-sz399707" ref="K224" r:id="rId223"/>
    <hyperlink display="http://discuss.jiucaishuo.com/?/invest/showData/search_gu-si801150" ref="K225" r:id="rId224"/>
    <hyperlink display="http://discuss.jiucaishuo.com/?/invest/showData/search_gu-si801102" ref="K226" r:id="rId225"/>
    <hyperlink display="http://discuss.jiucaishuo.com/?/invest/showData/search_gu-si801011" ref="K227" r:id="rId226"/>
    <hyperlink display="http://discuss.jiucaishuo.com/?/invest/showData/search_gu-sh000816" ref="K228" r:id="rId227"/>
    <hyperlink display="http://discuss.jiucaishuo.com/?/invest/showData/search_gu-csih30171" ref="K229" r:id="rId228"/>
    <hyperlink display="http://discuss.jiucaishuo.com/?/invest/showData/search_gu-csih30588" ref="K230" r:id="rId229"/>
    <hyperlink display="http://discuss.jiucaishuo.com/?/invest/showData/search_gu-hihsmsi" ref="K231" r:id="rId230"/>
    <hyperlink display="http://discuss.jiucaishuo.com/?/invest/showData/search_gu-si801013" ref="K232" r:id="rId231"/>
    <hyperlink display="http://discuss.jiucaishuo.com/?/invest/showData/search_gu-si801032" ref="K233" r:id="rId232"/>
    <hyperlink display="http://discuss.jiucaishuo.com/?/invest/showData/search_gu-sh000043" ref="K234" r:id="rId233"/>
    <hyperlink display="http://discuss.jiucaishuo.com/?/invest/showData/search_gu-sh000046" ref="K235" r:id="rId234"/>
    <hyperlink display="http://discuss.jiucaishuo.com/?/invest/showData/search_gu-si801204" ref="K236" r:id="rId235"/>
    <hyperlink display="http://discuss.jiucaishuo.com/?/invest/showData/search_gu-si801713" ref="K237" r:id="rId236"/>
    <hyperlink display="http://discuss.jiucaishuo.com/?/invest/showData/search_gu-sh000969" ref="K238" r:id="rId237"/>
    <hyperlink display="http://discuss.jiucaishuo.com/?/invest/showData/search_gu-si801223" ref="K239" r:id="rId238"/>
    <hyperlink display="http://discuss.jiucaishuo.com/?/invest/showData/search_gu-csih30318" ref="K240" r:id="rId239"/>
    <hyperlink display="http://discuss.jiucaishuo.com/?/invest/showData/search_gu-si801743" ref="K241" r:id="rId240"/>
    <hyperlink display="http://discuss.jiucaishuo.com/?/invest/showData/search_gu-csi930820" ref="K242" r:id="rId241"/>
    <hyperlink display="http://discuss.jiucaishuo.com/?/invest/showData/search_gu-sh000971" ref="K243" r:id="rId242"/>
    <hyperlink display="http://discuss.jiucaishuo.com/?/invest/showData/search_gu-sz399637" ref="K244" r:id="rId243"/>
    <hyperlink display="http://discuss.jiucaishuo.com/?/invest/showData/search_gu-csi930777" ref="K245" r:id="rId244"/>
    <hyperlink display="http://discuss.jiucaishuo.com/?/invest/showData/search_gu-csih20839" ref="K246" r:id="rId245"/>
    <hyperlink display="http://discuss.jiucaishuo.com/?/invest/showData/search_gu-sz399612" ref="K247" r:id="rId246"/>
    <hyperlink display="http://discuss.jiucaishuo.com/?/invest/showData/search_gu-si801210" ref="K248" r:id="rId247"/>
    <hyperlink display="http://discuss.jiucaishuo.com/?/invest/showData/search_gu-si801101" ref="K249" r:id="rId248"/>
    <hyperlink display="http://discuss.jiucaishuo.com/?/invest/showData/search_gu-csi930836" ref="K250" r:id="rId249"/>
    <hyperlink display="http://discuss.jiucaishuo.com/?/invest/showData/search_gu-csi930791" ref="K251" r:id="rId250"/>
    <hyperlink display="http://discuss.jiucaishuo.com/?/invest/showData/search_gu-sz399001" ref="K252" r:id="rId251"/>
    <hyperlink display="http://discuss.jiucaishuo.com/?/invest/showData/search_gu-sz399102" ref="K253" r:id="rId252"/>
    <hyperlink display="http://discuss.jiucaishuo.com/?/invest/showData/search_gu-si801144" ref="K254" r:id="rId253"/>
    <hyperlink display="http://discuss.jiucaishuo.com/?/invest/showData/search_gu-sz399348" ref="K255" r:id="rId254"/>
    <hyperlink display="http://discuss.jiucaishuo.com/?/invest/showData/search_gu-si801750" ref="K256" r:id="rId255"/>
    <hyperlink display="http://discuss.jiucaishuo.com/?/invest/showData/search_gu-sz399007" ref="K257" r:id="rId256"/>
    <hyperlink display="http://discuss.jiucaishuo.com/?/invest/showData/search_gu-csi930652" ref="K258" r:id="rId257"/>
    <hyperlink display="http://discuss.jiucaishuo.com/?/invest/showData/search_gu-si801151" ref="K259" r:id="rId258"/>
    <hyperlink display="http://discuss.jiucaishuo.com/?/invest/showData/search_gu-sz399966" ref="K260" r:id="rId259"/>
    <hyperlink display="http://discuss.jiucaishuo.com/?/invest/showData/search_gu-sh000814" ref="K261" r:id="rId260"/>
    <hyperlink display="http://discuss.jiucaishuo.com/?/invest/showData/search_gu-sh000044" ref="K262" r:id="rId261"/>
    <hyperlink display="http://discuss.jiucaishuo.com/?/invest/showData/search_gu-sh000993" ref="K263" r:id="rId262"/>
    <hyperlink display="http://discuss.jiucaishuo.com/?/invest/showData/search_gu-sz399809" ref="K264" r:id="rId263"/>
    <hyperlink display="http://discuss.jiucaishuo.com/?/invest/showData/search_gu-csih30124" ref="K265" r:id="rId264"/>
    <hyperlink display="http://discuss.jiucaishuo.com/?/invest/showData/search_gu-csi930697" ref="K266" r:id="rId265"/>
    <hyperlink display="http://discuss.jiucaishuo.com/?/invest/showData/search_gu-si801080" ref="K267" r:id="rId266"/>
    <hyperlink display="http://discuss.jiucaishuo.com/?/invest/showData/search_gu-si801222" ref="K268" r:id="rId267"/>
    <hyperlink display="http://discuss.jiucaishuo.com/?/invest/showData/search_gu-si801152" ref="K269" r:id="rId268"/>
    <hyperlink display="http://discuss.jiucaishuo.com/?/invest/showData/search_gu-csih30035" ref="K270" r:id="rId269"/>
    <hyperlink display="http://discuss.jiucaishuo.com/?/invest/showData/search_gu-sz399703" ref="K271" r:id="rId270"/>
    <hyperlink display="http://discuss.jiucaishuo.com/?/invest/showData/search_gu-sh000065" ref="K272" r:id="rId271"/>
    <hyperlink display="http://discuss.jiucaishuo.com/?/invest/showData/search_gu-si801085" ref="K273" r:id="rId272"/>
    <hyperlink display="http://discuss.jiucaishuo.com/?/invest/showData/search_gu-sz399994" ref="K274" r:id="rId273"/>
    <hyperlink display="http://discuss.jiucaishuo.com/?/invest/showData/search_gu-si801215" ref="K275" r:id="rId274"/>
    <hyperlink display="http://discuss.jiucaishuo.com/?/invest/showData/search_gu-sh000037" ref="K276" r:id="rId275"/>
    <hyperlink display="http://discuss.jiucaishuo.com/?/invest/showData/search_gu-sh000998" ref="K277" r:id="rId276"/>
    <hyperlink display="http://discuss.jiucaishuo.com/?/invest/showData/search_gu-csi930651" ref="K278" r:id="rId277"/>
    <hyperlink display="http://discuss.jiucaishuo.com/?/invest/showData/search_gu-si801770" ref="K279" r:id="rId278"/>
    <hyperlink display="http://discuss.jiucaishuo.com/?/invest/showData/search_gu-sh000952" ref="K280" r:id="rId279"/>
    <hyperlink display="http://discuss.jiucaishuo.com/?/invest/showData/search_gu-si801194" ref="K281" r:id="rId280"/>
    <hyperlink display="http://discuss.jiucaishuo.com/?/invest/showData/search_gu-gigdaxi" ref="K282" r:id="rId281"/>
    <hyperlink display="http://discuss.jiucaishuo.com/?/invest/showData/search_gu-sz399337" ref="K283" r:id="rId282"/>
    <hyperlink display="http://discuss.jiucaishuo.com/?/invest/showData/search_gu-sz399702" ref="K284" r:id="rId283"/>
    <hyperlink display="http://discuss.jiucaishuo.com/?/invest/showData/search_gu-si801018" ref="K285" r:id="rId284"/>
    <hyperlink display="http://discuss.jiucaishuo.com/?/invest/showData/search_gu-sh000935" ref="K286" r:id="rId285"/>
    <hyperlink display="http://discuss.jiucaishuo.com/?/invest/showData/search_gu-csi931009" ref="K287" r:id="rId286"/>
    <hyperlink display="http://discuss.jiucaishuo.com/?/invest/showData/search_gu-csih11136" ref="K288" r:id="rId287"/>
    <hyperlink display="http://discuss.jiucaishuo.com/?/invest/showData/search_gu-sz399673" ref="K289" r:id="rId288"/>
    <hyperlink display="http://discuss.jiucaishuo.com/?/invest/showData/search_gu-sz399804" ref="K290" r:id="rId289"/>
    <hyperlink display="http://discuss.jiucaishuo.com/?/invest/showData/search_gu-si801881" ref="K291" r:id="rId290"/>
    <hyperlink display="http://discuss.jiucaishuo.com/?/invest/showData/search_gu-sz399006" ref="K292" r:id="rId291"/>
    <hyperlink display="http://discuss.jiucaishuo.com/?/invest/showData/search_gu-sz399812" ref="K293" r:id="rId292"/>
    <hyperlink display="http://discuss.jiucaishuo.com/?/invest/showData/search_gu-si801081" ref="K294" r:id="rId293"/>
    <hyperlink display="http://discuss.jiucaishuo.com/?/invest/showData/search_gu-sz399610" ref="K295" r:id="rId294"/>
    <hyperlink display="http://discuss.jiucaishuo.com/?/invest/showData/search_gu-si801010" ref="K296" r:id="rId295"/>
    <hyperlink display="http://discuss.jiucaishuo.com/?/invest/showData/search_gu-sz399441" ref="K297" r:id="rId296"/>
    <hyperlink display="http://discuss.jiucaishuo.com/?/invest/showData/search_gu-csi930729" ref="K298" r:id="rId297"/>
    <hyperlink display="http://discuss.jiucaishuo.com/?/invest/showData/search_gu-sz399813" ref="K299" r:id="rId298"/>
    <hyperlink display="http://discuss.jiucaishuo.com/?/invest/showData/search_gu-si801156" ref="K300" r:id="rId299"/>
    <hyperlink display="http://discuss.jiucaishuo.com/?/invest/showData/search_gu-sz399326" ref="K301" r:id="rId300"/>
    <hyperlink display="http://discuss.jiucaishuo.com/?/invest/showData/search_gu-sz399701" ref="K302" r:id="rId301"/>
    <hyperlink display="http://discuss.jiucaishuo.com/?/invest/showData/search_gu-sz399811" ref="K303" r:id="rId302"/>
    <hyperlink display="http://discuss.jiucaishuo.com/?/invest/showData/search_gu-sz399976" ref="K304" r:id="rId303"/>
    <hyperlink display="http://discuss.jiucaishuo.com/?/invest/showData/search_gu-sz399550" ref="K305" r:id="rId304"/>
    <hyperlink display="http://discuss.jiucaishuo.com/?/invest/showData/search_gu-sz399989" ref="K306" r:id="rId305"/>
    <hyperlink display="http://discuss.jiucaishuo.com/?/invest/showData/search_gu-si801111" ref="K307" r:id="rId306"/>
    <hyperlink display="http://discuss.jiucaishuo.com/?/invest/showData/search_gu-si801214" ref="K308" r:id="rId307"/>
    <hyperlink display="http://discuss.jiucaishuo.com/?/invest/showData/search_gu-sh000913" ref="K309" r:id="rId308"/>
    <hyperlink display="http://discuss.jiucaishuo.com/?/invest/showData/search_gu-sh000064" ref="K310" r:id="rId309"/>
    <hyperlink display="http://discuss.jiucaishuo.com/?/invest/showData/search_gu-csi930723" ref="K311" r:id="rId310"/>
    <hyperlink display="http://discuss.jiucaishuo.com/?/invest/showData/search_gu-sz399993" ref="K312" r:id="rId311"/>
    <hyperlink display="http://discuss.jiucaishuo.com/?/invest/showData/search_gu-sz399330" ref="K313" r:id="rId312"/>
    <hyperlink display="http://discuss.jiucaishuo.com/?/invest/showData/search_gu-sz399004" ref="K314" r:id="rId313"/>
    <hyperlink display="http://discuss.jiucaishuo.com/?/invest/showData/search_gu-si801014" ref="K315" r:id="rId314"/>
    <hyperlink display="http://discuss.jiucaishuo.com/?/invest/showData/search_gu-si801124" ref="K316" r:id="rId315"/>
    <hyperlink display="http://discuss.jiucaishuo.com/?/invest/showData/search_gu-sz399324" ref="K317" r:id="rId316"/>
    <hyperlink display="http://discuss.jiucaishuo.com/?/invest/showData/search_gu-si801110" ref="K318" r:id="rId317"/>
    <hyperlink display="http://discuss.jiucaishuo.com/?/invest/showData/search_gu-si801083" ref="K319" r:id="rId318"/>
    <hyperlink display="http://discuss.jiucaishuo.com/?/invest/showData/search_gu-csih30344" ref="K320" r:id="rId319"/>
    <hyperlink display="http://discuss.jiucaishuo.com/?/invest/showData/search_gu-sz399394" ref="K321" r:id="rId320"/>
    <hyperlink display="http://discuss.jiucaishuo.com/?/invest/showData/search_gu-sh000808" ref="K322" r:id="rId321"/>
    <hyperlink display="http://discuss.jiucaishuo.com/?/invest/showData/search_gu-csi930629" ref="K323" r:id="rId322"/>
    <hyperlink display="http://discuss.jiucaishuo.com/?/invest/showData/search_gu-csih30535" ref="K324" r:id="rId323"/>
    <hyperlink display="http://discuss.jiucaishuo.com/?/invest/showData/search_gu-sh000049" ref="K325" r:id="rId324"/>
    <hyperlink display="http://discuss.jiucaishuo.com/?/invest/showData/search_gu-si801153" ref="K326" r:id="rId325"/>
    <hyperlink display="http://discuss.jiucaishuo.com/?/invest/showData/search_gu-sz399814" ref="K327" r:id="rId326"/>
    <hyperlink display="http://discuss.jiucaishuo.com/?/invest/showData/search_gu-sh000069" ref="K328" r:id="rId327"/>
    <hyperlink display="http://discuss.jiucaishuo.com/?/invest/showData/search_gu-sh000028" ref="K329" r:id="rId328"/>
    <hyperlink display="http://discuss.jiucaishuo.com/?/invest/showData/search_gu-csi930743" ref="K330" r:id="rId329"/>
    <hyperlink display="http://discuss.jiucaishuo.com/?/invest/showData/search_gu-si801120" ref="K331" r:id="rId330"/>
    <hyperlink display="http://discuss.jiucaishuo.com/?/invest/showData/search_gu-sz399632" ref="K332" r:id="rId331"/>
    <hyperlink display="http://discuss.jiucaishuo.com/?/invest/showData/search_gu-sz399970" ref="K333" r:id="rId332"/>
    <hyperlink display="http://discuss.jiucaishuo.com/?/invest/showData/search_gu-csi000978" ref="K334" r:id="rId333"/>
    <hyperlink display="http://discuss.jiucaishuo.com/?/invest/showData/search_gu-spisphcmshp" ref="K335" r:id="rId334"/>
    <hyperlink display="http://discuss.jiucaishuo.com/?/invest/showData/search_gu-sh000918" ref="K336" r:id="rId335"/>
    <hyperlink display="http://discuss.jiucaishuo.com/?/invest/showData/search_gu-si801174" ref="K337" r:id="rId336"/>
    <hyperlink display="http://discuss.jiucaishuo.com/?/invest/showData/search_gu-si801123" ref="K338" r:id="rId337"/>
    <hyperlink display="http://discuss.jiucaishuo.com/?/invest/showData/search_gu-sh000828" ref="K339" r:id="rId338"/>
    <hyperlink display="http://discuss.jiucaishuo.com/?/invest/showData/search_gu-sz399803" ref="K340" r:id="rId339"/>
    <hyperlink display="http://discuss.jiucaishuo.com/?/invest/showData/search_gu-si801017" ref="K341" r:id="rId340"/>
    <hyperlink display="http://discuss.jiucaishuo.com/?/invest/showData/search_gu-csi930721" ref="K342" r:id="rId341"/>
    <hyperlink display="http://discuss.jiucaishuo.com/?/invest/showData/search_gu-sh000932" ref="K343" r:id="rId342"/>
    <hyperlink display="http://discuss.jiucaishuo.com/?/invest/showData/search_gu-csi930719" ref="K344" r:id="rId343"/>
    <hyperlink display="http://discuss.jiucaishuo.com/?/invest/showData/search_gu-sh000990" ref="K345" r:id="rId344"/>
    <hyperlink display="http://discuss.jiucaishuo.com/?/invest/showData/search_gu-sz399997" ref="K346" r:id="rId345"/>
    <hyperlink display="http://discuss.jiucaishuo.com/?/invest/showData/search_gu-giixic" ref="K347" r:id="rId346"/>
    <hyperlink display="http://discuss.jiucaishuo.com/?/invest/showData/search_gu-csi930653" ref="K348" r:id="rId347"/>
    <hyperlink display="http://discuss.jiucaishuo.com/?/invest/showData/search_gu-sz399987" ref="K349" r:id="rId348"/>
    <hyperlink display="http://discuss.jiucaishuo.com/?/invest/showData/search_gu-csih30021" ref="K350" r:id="rId349"/>
    <hyperlink display="http://discuss.jiucaishuo.com/?/invest/showData/search_gu-sz399396" ref="K351" r:id="rId350"/>
    <hyperlink display="http://discuss.jiucaishuo.com/?/invest/showData/search_gu-spisp500" ref="K352" r:id="rId351"/>
    <hyperlink display="http://discuss.jiucaishuo.com/?/invest/showData/search_gu-spispxewtr" ref="K353" r:id="rId352"/>
    <hyperlink display="http://discuss.jiucaishuo.com/?/invest/showData/search_gu-gispx" ref="K354" r:id="rId353"/>
    <hyperlink display="http://discuss.jiucaishuo.com/?/invest/showData/search_gu-csi133333" ref="K355" r:id="rId354"/>
    <hyperlink display="http://discuss.jiucaishuo.com/?/invest/showData/search_gu-sh000036" ref="K356" r:id="rId355"/>
    <hyperlink display="http://discuss.jiucaishuo.com/?/invest/showData/search_gu-gidji" ref="K357" r:id="rId356"/>
    <hyperlink display="http://discuss.jiucaishuo.com/?/invest/showData/search_gu-gindx" ref="K358" r:id="rId357"/>
  </hyperlinks>
  <pageMargins bottom="0.75" footer="0.3" header="0.3" left="0.7" right="0.7" top="0.75"/>
</worksheet>
</file>

<file path=xl/worksheets/sheet10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U1137"/>
  <sheetViews>
    <sheetView topLeftCell="E1" workbookViewId="0" zoomScale="92">
      <selection activeCell="AG18" sqref="AG18"/>
    </sheetView>
  </sheetViews>
  <sheetFormatPr baseColWidth="10" defaultRowHeight="16"/>
  <cols>
    <col customWidth="1" max="1" min="1" style="155" width="12.6640625"/>
    <col customWidth="1" max="19" min="19" style="155" width="14.33203125"/>
    <col customWidth="1" max="20" min="20" style="155" width="16.5"/>
    <col customWidth="1" max="32" min="32" style="112" width="10.83203125"/>
  </cols>
  <sheetData>
    <row r="1">
      <c r="A1" s="154" t="inlineStr">
        <is>
          <t>日期</t>
        </is>
      </c>
      <c r="B1" s="154" t="inlineStr">
        <is>
          <t>指数</t>
        </is>
      </c>
      <c r="C1" s="154" t="inlineStr">
        <is>
          <t>涨跌</t>
        </is>
      </c>
      <c r="D1" s="154" t="inlineStr">
        <is>
          <t>涨幅</t>
        </is>
      </c>
      <c r="E1" s="154" t="inlineStr">
        <is>
          <t>平均价格</t>
        </is>
      </c>
      <c r="F1" s="154" t="inlineStr">
        <is>
          <t>中位数价格</t>
        </is>
      </c>
      <c r="H1" s="154" t="inlineStr">
        <is>
          <t>平均</t>
        </is>
      </c>
      <c r="I1" s="154" t="inlineStr">
        <is>
          <t>平均</t>
        </is>
      </c>
      <c r="J1" s="154" t="inlineStr">
        <is>
          <t>平均</t>
        </is>
      </c>
      <c r="K1" s="154" t="inlineStr">
        <is>
          <t>成交额</t>
        </is>
      </c>
      <c r="L1" s="154" t="inlineStr">
        <is>
          <t>剩余规模</t>
        </is>
      </c>
      <c r="M1" s="154" t="inlineStr">
        <is>
          <t>换手率</t>
        </is>
      </c>
      <c r="N1" s="154" t="inlineStr">
        <is>
          <t>数量</t>
        </is>
      </c>
      <c r="O1" s="154" t="inlineStr">
        <is>
          <t>&lt;90</t>
        </is>
      </c>
      <c r="P1" s="154" t="inlineStr">
        <is>
          <t>90-100</t>
        </is>
      </c>
      <c r="Q1" s="154" t="inlineStr">
        <is>
          <t>100-110</t>
        </is>
      </c>
      <c r="R1" s="154" t="inlineStr">
        <is>
          <t>110-120</t>
        </is>
      </c>
      <c r="S1" s="154" t="inlineStr">
        <is>
          <t>120-130</t>
        </is>
      </c>
      <c r="T1" s="154" t="inlineStr">
        <is>
          <t>≥130</t>
        </is>
      </c>
    </row>
    <row r="2">
      <c r="E2" s="154" t="inlineStr">
        <is>
          <t>(元)</t>
        </is>
      </c>
      <c r="F2" s="154" t="inlineStr">
        <is>
          <t>(元)</t>
        </is>
      </c>
      <c r="H2" s="154" t="inlineStr">
        <is>
          <t>双低</t>
        </is>
      </c>
      <c r="I2" s="154" t="inlineStr">
        <is>
          <t>溢价率</t>
        </is>
      </c>
      <c r="J2" s="154" t="inlineStr">
        <is>
          <t>收益率</t>
        </is>
      </c>
      <c r="K2" s="154" t="inlineStr">
        <is>
          <t>(亿元)</t>
        </is>
      </c>
      <c r="L2" s="154" t="inlineStr">
        <is>
          <t>(亿元)</t>
        </is>
      </c>
      <c r="M2" s="154" t="n"/>
      <c r="N2" s="154" t="n"/>
      <c r="O2" s="154" t="n"/>
      <c r="P2" s="154" t="n"/>
      <c r="Q2" s="154" t="n"/>
      <c r="R2" s="154" t="n"/>
      <c r="S2" s="154" t="n"/>
      <c r="T2" s="154" t="n"/>
      <c r="U2" t="inlineStr">
        <is>
          <t>中位+溢价</t>
        </is>
      </c>
    </row>
    <row customHeight="1" ht="17" r="3" s="155">
      <c r="A3" s="105" t="n">
        <v>43098</v>
      </c>
      <c r="B3" s="134" t="n">
        <v>1000</v>
      </c>
      <c r="C3" s="134" t="n">
        <v>0</v>
      </c>
      <c r="D3" s="104" t="n">
        <v>0</v>
      </c>
      <c r="E3" s="134" t="n">
        <v>103.956</v>
      </c>
      <c r="F3" s="134" t="n">
        <v>104.111</v>
      </c>
      <c r="G3" s="134" t="n">
        <v>89.77</v>
      </c>
      <c r="H3" s="134" t="n">
        <v>126.75</v>
      </c>
      <c r="I3" s="104" t="n">
        <v>0.2279</v>
      </c>
      <c r="J3" s="104" t="n">
        <v>0.1168</v>
      </c>
      <c r="K3" s="104" t="n">
        <v>0.0148</v>
      </c>
      <c r="L3" s="134" t="n">
        <v>10.58</v>
      </c>
      <c r="M3" s="134" t="n">
        <v>853.79</v>
      </c>
      <c r="N3" s="104" t="n">
        <v>0.0124</v>
      </c>
      <c r="O3" s="134" t="n">
        <v>36</v>
      </c>
      <c r="P3" s="134" t="n">
        <v>0</v>
      </c>
      <c r="Q3" s="134" t="inlineStr">
        <is>
          <t>17 0.41%</t>
        </is>
      </c>
      <c r="R3" s="134" t="inlineStr">
        <is>
          <t>10 0.46%</t>
        </is>
      </c>
      <c r="S3" s="134" t="inlineStr">
        <is>
          <t>8 0.75%</t>
        </is>
      </c>
      <c r="T3" s="134" t="inlineStr">
        <is>
          <t>1 0.07%</t>
        </is>
      </c>
      <c r="U3" s="134" t="n">
        <v>0</v>
      </c>
    </row>
    <row customHeight="1" ht="17" r="4" s="155">
      <c r="A4" s="105" t="n">
        <v>43102</v>
      </c>
      <c r="B4" s="134" t="n">
        <v>1008.831</v>
      </c>
      <c r="C4" s="152" t="n">
        <v>8.831</v>
      </c>
      <c r="D4" s="153" t="n">
        <v>0.008800000000000001</v>
      </c>
      <c r="E4" s="134" t="n">
        <v>104.907</v>
      </c>
      <c r="F4" s="134" t="n">
        <v>104.8</v>
      </c>
      <c r="G4" s="134" t="n">
        <v>90.72</v>
      </c>
      <c r="H4" s="134" t="n">
        <v>126.96</v>
      </c>
      <c r="I4" s="104" t="n">
        <v>0.2205</v>
      </c>
      <c r="J4" s="104" t="n">
        <v>0.1131</v>
      </c>
      <c r="K4" s="104" t="n">
        <v>0.0131</v>
      </c>
      <c r="L4" s="134" t="n">
        <v>13.94</v>
      </c>
      <c r="M4" s="134" t="n">
        <v>690.6</v>
      </c>
      <c r="N4" s="104" t="n">
        <v>0.0202</v>
      </c>
      <c r="O4" s="134" t="n">
        <v>36</v>
      </c>
      <c r="P4" s="134" t="n">
        <v>0</v>
      </c>
      <c r="Q4" s="134" t="inlineStr">
        <is>
          <t>14 0.54%</t>
        </is>
      </c>
      <c r="R4" s="134" t="inlineStr">
        <is>
          <t>11 0.79%</t>
        </is>
      </c>
      <c r="S4" s="134" t="inlineStr">
        <is>
          <t>10 1.25%</t>
        </is>
      </c>
      <c r="T4" s="134" t="inlineStr">
        <is>
          <t>1 4.05%</t>
        </is>
      </c>
      <c r="U4" s="134" t="n">
        <v>0</v>
      </c>
    </row>
    <row customHeight="1" ht="17" r="5" s="155">
      <c r="A5" s="105" t="n">
        <v>43103</v>
      </c>
      <c r="B5" s="134" t="n">
        <v>1018.808</v>
      </c>
      <c r="C5" s="152" t="n">
        <v>9.977</v>
      </c>
      <c r="D5" s="153" t="n">
        <v>0.009900000000000001</v>
      </c>
      <c r="E5" s="134" t="n">
        <v>105.903</v>
      </c>
      <c r="F5" s="134" t="n">
        <v>105.21</v>
      </c>
      <c r="G5" s="134" t="n">
        <v>94.95</v>
      </c>
      <c r="H5" s="134" t="n">
        <v>127.43</v>
      </c>
      <c r="I5" s="104" t="n">
        <v>0.2152</v>
      </c>
      <c r="J5" s="104" t="n">
        <v>0.1132</v>
      </c>
      <c r="K5" s="104" t="n">
        <v>0.0112</v>
      </c>
      <c r="L5" s="134" t="n">
        <v>15.96</v>
      </c>
      <c r="M5" s="134" t="n">
        <v>691.25</v>
      </c>
      <c r="N5" s="104" t="n">
        <v>0.0231</v>
      </c>
      <c r="O5" s="134" t="n">
        <v>37</v>
      </c>
      <c r="P5" s="134" t="n">
        <v>0</v>
      </c>
      <c r="Q5" s="134" t="inlineStr">
        <is>
          <t>12 0.50%</t>
        </is>
      </c>
      <c r="R5" s="134" t="inlineStr">
        <is>
          <t>13 0.69%</t>
        </is>
      </c>
      <c r="S5" s="134" t="inlineStr">
        <is>
          <t>6 1.36%</t>
        </is>
      </c>
      <c r="T5" s="134" t="inlineStr">
        <is>
          <t>6 2.10%</t>
        </is>
      </c>
      <c r="U5" s="134" t="n">
        <v>0</v>
      </c>
    </row>
    <row customHeight="1" ht="17" r="6" s="155">
      <c r="A6" s="105" t="n">
        <v>43104</v>
      </c>
      <c r="B6" s="134" t="n">
        <v>1024.344</v>
      </c>
      <c r="C6" s="152" t="n">
        <v>5.536</v>
      </c>
      <c r="D6" s="153" t="n">
        <v>0.0054</v>
      </c>
      <c r="E6" s="134" t="n">
        <v>106.295</v>
      </c>
      <c r="F6" s="134" t="n">
        <v>104.655</v>
      </c>
      <c r="G6" s="134" t="n">
        <v>93.27</v>
      </c>
      <c r="H6" s="134" t="n">
        <v>127.74</v>
      </c>
      <c r="I6" s="104" t="n">
        <v>0.2145</v>
      </c>
      <c r="J6" s="104" t="n">
        <v>0.1122</v>
      </c>
      <c r="K6" s="104" t="n">
        <v>0.0104</v>
      </c>
      <c r="L6" s="134" t="n">
        <v>15.5</v>
      </c>
      <c r="M6" s="134" t="n">
        <v>700.4400000000001</v>
      </c>
      <c r="N6" s="104" t="n">
        <v>0.0221</v>
      </c>
      <c r="O6" s="134" t="n">
        <v>38</v>
      </c>
      <c r="P6" s="134" t="n">
        <v>0</v>
      </c>
      <c r="Q6" s="134" t="inlineStr">
        <is>
          <t>13 0.32%</t>
        </is>
      </c>
      <c r="R6" s="134" t="inlineStr">
        <is>
          <t>11 0.36%</t>
        </is>
      </c>
      <c r="S6" s="134" t="inlineStr">
        <is>
          <t>8 1.26%</t>
        </is>
      </c>
      <c r="T6" s="134" t="inlineStr">
        <is>
          <t>6 0.41%</t>
        </is>
      </c>
      <c r="U6" s="134" t="n">
        <v>0</v>
      </c>
    </row>
    <row customHeight="1" ht="17" r="7" s="155">
      <c r="A7" s="105" t="n">
        <v>43105</v>
      </c>
      <c r="B7" s="134" t="n">
        <v>1034.655</v>
      </c>
      <c r="C7" s="152" t="n">
        <v>10.311</v>
      </c>
      <c r="D7" s="153" t="n">
        <v>0.0101</v>
      </c>
      <c r="E7" s="134" t="n">
        <v>107.336</v>
      </c>
      <c r="F7" s="134" t="n">
        <v>107</v>
      </c>
      <c r="G7" s="134" t="n">
        <v>94.26000000000001</v>
      </c>
      <c r="H7" s="134" t="n">
        <v>129.61</v>
      </c>
      <c r="I7" s="104" t="n">
        <v>0.2227</v>
      </c>
      <c r="J7" s="104" t="n">
        <v>0.1193</v>
      </c>
      <c r="K7" s="104" t="n">
        <v>0.0081</v>
      </c>
      <c r="L7" s="134" t="n">
        <v>19.97</v>
      </c>
      <c r="M7" s="134" t="n">
        <v>700.4400000000001</v>
      </c>
      <c r="N7" s="104" t="n">
        <v>0.0285</v>
      </c>
      <c r="O7" s="134" t="n">
        <v>38</v>
      </c>
      <c r="P7" s="134" t="n">
        <v>0</v>
      </c>
      <c r="Q7" s="134" t="inlineStr">
        <is>
          <t>11 1.20%</t>
        </is>
      </c>
      <c r="R7" s="134" t="inlineStr">
        <is>
          <t>13 1.19%</t>
        </is>
      </c>
      <c r="S7" s="134" t="inlineStr">
        <is>
          <t>9 0.37%</t>
        </is>
      </c>
      <c r="T7" s="134" t="inlineStr">
        <is>
          <t>4 0.97%</t>
        </is>
      </c>
      <c r="U7" s="134" t="inlineStr">
        <is>
          <t>1 2.42%</t>
        </is>
      </c>
    </row>
    <row customHeight="1" ht="17" r="8" s="155">
      <c r="A8" s="105" t="n">
        <v>43108</v>
      </c>
      <c r="B8" s="134" t="n">
        <v>1035.645</v>
      </c>
      <c r="C8" s="152" t="n">
        <v>0.99</v>
      </c>
      <c r="D8" s="153" t="n">
        <v>0.001</v>
      </c>
      <c r="E8" s="134" t="n">
        <v>107.667</v>
      </c>
      <c r="F8" s="134" t="n">
        <v>107.805</v>
      </c>
      <c r="G8" s="134" t="n">
        <v>95.81999999999999</v>
      </c>
      <c r="H8" s="134" t="n">
        <v>129.83</v>
      </c>
      <c r="I8" s="104" t="n">
        <v>0.2216</v>
      </c>
      <c r="J8" s="104" t="n">
        <v>0.1254</v>
      </c>
      <c r="K8" s="104" t="n">
        <v>0.0074</v>
      </c>
      <c r="L8" s="134" t="n">
        <v>20.51</v>
      </c>
      <c r="M8" s="134" t="n">
        <v>698.6</v>
      </c>
      <c r="N8" s="104" t="n">
        <v>0.0294</v>
      </c>
      <c r="O8" s="134" t="n">
        <v>37</v>
      </c>
      <c r="P8" s="134" t="n">
        <v>0</v>
      </c>
      <c r="Q8" s="134" t="inlineStr">
        <is>
          <t>9 0.07%</t>
        </is>
      </c>
      <c r="R8" s="134" t="inlineStr">
        <is>
          <t>13 0.18%</t>
        </is>
      </c>
      <c r="S8" s="134" t="inlineStr">
        <is>
          <t>11 -0.08%</t>
        </is>
      </c>
      <c r="T8" s="134" t="inlineStr">
        <is>
          <t>3 -0.08%</t>
        </is>
      </c>
      <c r="U8" s="134" t="inlineStr">
        <is>
          <t>1 1.68%</t>
        </is>
      </c>
    </row>
    <row customHeight="1" ht="17" r="9" s="155">
      <c r="A9" s="105" t="n">
        <v>43109</v>
      </c>
      <c r="B9" s="134" t="n">
        <v>1029.977</v>
      </c>
      <c r="C9" s="150" t="n">
        <v>-5.668</v>
      </c>
      <c r="D9" s="151" t="n">
        <v>-0.0055</v>
      </c>
      <c r="E9" s="134" t="n">
        <v>107.069</v>
      </c>
      <c r="F9" s="134" t="n">
        <v>106.371</v>
      </c>
      <c r="G9" s="134" t="n">
        <v>95.54000000000001</v>
      </c>
      <c r="H9" s="134" t="n">
        <v>128.74</v>
      </c>
      <c r="I9" s="104" t="n">
        <v>0.2167</v>
      </c>
      <c r="J9" s="104" t="n">
        <v>0.1227</v>
      </c>
      <c r="K9" s="104" t="n">
        <v>0.008500000000000001</v>
      </c>
      <c r="L9" s="134" t="n">
        <v>12.01</v>
      </c>
      <c r="M9" s="134" t="n">
        <v>698.6</v>
      </c>
      <c r="N9" s="104" t="n">
        <v>0.0172</v>
      </c>
      <c r="O9" s="134" t="n">
        <v>37</v>
      </c>
      <c r="P9" s="134" t="n">
        <v>0</v>
      </c>
      <c r="Q9" s="134" t="inlineStr">
        <is>
          <t>10 -0.52%</t>
        </is>
      </c>
      <c r="R9" s="134" t="inlineStr">
        <is>
          <t>12 -0.15%</t>
        </is>
      </c>
      <c r="S9" s="134" t="inlineStr">
        <is>
          <t>10 -0.67%</t>
        </is>
      </c>
      <c r="T9" s="134" t="inlineStr">
        <is>
          <t>4 -0.22%</t>
        </is>
      </c>
      <c r="U9" s="134" t="inlineStr">
        <is>
          <t>1 -1.38%</t>
        </is>
      </c>
    </row>
    <row customHeight="1" ht="17" r="10" s="155">
      <c r="A10" s="105" t="n">
        <v>43110</v>
      </c>
      <c r="B10" s="134" t="n">
        <v>1025.421</v>
      </c>
      <c r="C10" s="150" t="n">
        <v>-4.556</v>
      </c>
      <c r="D10" s="151" t="n">
        <v>-0.0044</v>
      </c>
      <c r="E10" s="134" t="n">
        <v>106.516</v>
      </c>
      <c r="F10" s="134" t="n">
        <v>105.75</v>
      </c>
      <c r="G10" s="134" t="n">
        <v>94.09999999999999</v>
      </c>
      <c r="H10" s="134" t="n">
        <v>128.34</v>
      </c>
      <c r="I10" s="104" t="n">
        <v>0.2183</v>
      </c>
      <c r="J10" s="104" t="n">
        <v>0.1194</v>
      </c>
      <c r="K10" s="104" t="n">
        <v>0.0095</v>
      </c>
      <c r="L10" s="134" t="n">
        <v>17.64</v>
      </c>
      <c r="M10" s="134" t="n">
        <v>717.3200000000001</v>
      </c>
      <c r="N10" s="104" t="n">
        <v>0.0246</v>
      </c>
      <c r="O10" s="134" t="n">
        <v>38</v>
      </c>
      <c r="P10" s="134" t="n">
        <v>0</v>
      </c>
      <c r="Q10" s="134" t="inlineStr">
        <is>
          <t>12 -0.51%</t>
        </is>
      </c>
      <c r="R10" s="134" t="inlineStr">
        <is>
          <t>12 -0.48%</t>
        </is>
      </c>
      <c r="S10" s="134" t="inlineStr">
        <is>
          <t>10 -0.34%</t>
        </is>
      </c>
      <c r="T10" s="134" t="inlineStr">
        <is>
          <t>3 -0.65%</t>
        </is>
      </c>
      <c r="U10" s="134" t="inlineStr">
        <is>
          <t>1 0.36%</t>
        </is>
      </c>
    </row>
    <row customHeight="1" ht="17" r="11" s="155">
      <c r="A11" s="105" t="n">
        <v>43111</v>
      </c>
      <c r="B11" s="134" t="n">
        <v>1026.641</v>
      </c>
      <c r="C11" s="152" t="n">
        <v>1.22</v>
      </c>
      <c r="D11" s="153" t="n">
        <v>0.0012</v>
      </c>
      <c r="E11" s="134" t="n">
        <v>106.631</v>
      </c>
      <c r="F11" s="134" t="n">
        <v>106.08</v>
      </c>
      <c r="G11" s="134" t="n">
        <v>94.52</v>
      </c>
      <c r="H11" s="134" t="n">
        <v>127.73</v>
      </c>
      <c r="I11" s="104" t="n">
        <v>0.2109</v>
      </c>
      <c r="J11" s="104" t="n">
        <v>0.1161</v>
      </c>
      <c r="K11" s="104" t="n">
        <v>0.0094</v>
      </c>
      <c r="L11" s="134" t="n">
        <v>14.4</v>
      </c>
      <c r="M11" s="134" t="n">
        <v>717.3200000000001</v>
      </c>
      <c r="N11" s="104" t="n">
        <v>0.0201</v>
      </c>
      <c r="O11" s="134" t="n">
        <v>38</v>
      </c>
      <c r="P11" s="134" t="n">
        <v>0</v>
      </c>
      <c r="Q11" s="134" t="inlineStr">
        <is>
          <t>12 0.19%</t>
        </is>
      </c>
      <c r="R11" s="134" t="inlineStr">
        <is>
          <t>13 -0.11%</t>
        </is>
      </c>
      <c r="S11" s="134" t="inlineStr">
        <is>
          <t>9 0.55%</t>
        </is>
      </c>
      <c r="T11" s="134" t="inlineStr">
        <is>
          <t>4 -0.30%</t>
        </is>
      </c>
      <c r="U11" s="134" t="n">
        <v>0</v>
      </c>
    </row>
    <row customHeight="1" ht="17" r="12" s="155">
      <c r="A12" s="105" t="n">
        <v>43112</v>
      </c>
      <c r="B12" s="134" t="n">
        <v>1025.852</v>
      </c>
      <c r="C12" s="150" t="n">
        <v>-0.789</v>
      </c>
      <c r="D12" s="151" t="n">
        <v>-0.0008</v>
      </c>
      <c r="E12" s="134" t="n">
        <v>106.542</v>
      </c>
      <c r="F12" s="134" t="n">
        <v>105.836</v>
      </c>
      <c r="G12" s="134" t="n">
        <v>94.23</v>
      </c>
      <c r="H12" s="134" t="n">
        <v>128.51</v>
      </c>
      <c r="I12" s="104" t="n">
        <v>0.2196</v>
      </c>
      <c r="J12" s="104" t="n">
        <v>0.1211</v>
      </c>
      <c r="K12" s="104" t="n">
        <v>0.009599999999999999</v>
      </c>
      <c r="L12" s="134" t="n">
        <v>12.9</v>
      </c>
      <c r="M12" s="134" t="n">
        <v>717.3200000000001</v>
      </c>
      <c r="N12" s="104" t="n">
        <v>0.018</v>
      </c>
      <c r="O12" s="134" t="n">
        <v>38</v>
      </c>
      <c r="P12" s="134" t="n">
        <v>0</v>
      </c>
      <c r="Q12" s="134" t="inlineStr">
        <is>
          <t>12 -0.01%</t>
        </is>
      </c>
      <c r="R12" s="134" t="inlineStr">
        <is>
          <t>12 0.03%</t>
        </is>
      </c>
      <c r="S12" s="134" t="inlineStr">
        <is>
          <t>10 0.73%</t>
        </is>
      </c>
      <c r="T12" s="134" t="inlineStr">
        <is>
          <t>4 0.30%</t>
        </is>
      </c>
      <c r="U12" s="134" t="n">
        <v>0</v>
      </c>
    </row>
    <row customHeight="1" ht="17" r="13" s="155">
      <c r="A13" s="105" t="n">
        <v>43115</v>
      </c>
      <c r="B13" s="134" t="n">
        <v>1013.789</v>
      </c>
      <c r="C13" s="150" t="n">
        <v>-12.063</v>
      </c>
      <c r="D13" s="151" t="n">
        <v>-0.0118</v>
      </c>
      <c r="E13" s="134" t="n">
        <v>105.417</v>
      </c>
      <c r="F13" s="134" t="n">
        <v>104.145</v>
      </c>
      <c r="G13" s="134" t="n">
        <v>92.90000000000001</v>
      </c>
      <c r="H13" s="134" t="n">
        <v>129.1</v>
      </c>
      <c r="I13" s="104" t="n">
        <v>0.2368</v>
      </c>
      <c r="J13" s="104" t="n">
        <v>0.1478</v>
      </c>
      <c r="K13" s="104" t="n">
        <v>0.0116</v>
      </c>
      <c r="L13" s="134" t="n">
        <v>22.62</v>
      </c>
      <c r="M13" s="134" t="n">
        <v>717.4299999999999</v>
      </c>
      <c r="N13" s="104" t="n">
        <v>0.0315</v>
      </c>
      <c r="O13" s="134" t="n">
        <v>39</v>
      </c>
      <c r="P13" s="134" t="n">
        <v>0</v>
      </c>
      <c r="Q13" s="134" t="inlineStr">
        <is>
          <t>14 -1.20%</t>
        </is>
      </c>
      <c r="R13" s="134" t="inlineStr">
        <is>
          <t>11 -1.02%</t>
        </is>
      </c>
      <c r="S13" s="134" t="inlineStr">
        <is>
          <t>12 -1.17%</t>
        </is>
      </c>
      <c r="T13" s="134" t="inlineStr">
        <is>
          <t>2 -0.86%</t>
        </is>
      </c>
      <c r="U13" s="134" t="n">
        <v>0</v>
      </c>
    </row>
    <row customHeight="1" ht="17" r="14" s="155">
      <c r="A14" s="105" t="n">
        <v>43116</v>
      </c>
      <c r="B14" s="134" t="n">
        <v>1015.888</v>
      </c>
      <c r="C14" s="152" t="n">
        <v>2.099</v>
      </c>
      <c r="D14" s="153" t="n">
        <v>0.0021</v>
      </c>
      <c r="E14" s="134" t="n">
        <v>105.394</v>
      </c>
      <c r="F14" s="134" t="n">
        <v>103.72</v>
      </c>
      <c r="G14" s="134" t="n">
        <v>93.92</v>
      </c>
      <c r="H14" s="134" t="n">
        <v>127.48</v>
      </c>
      <c r="I14" s="104" t="n">
        <v>0.2209</v>
      </c>
      <c r="J14" s="104" t="n">
        <v>0.1445</v>
      </c>
      <c r="K14" s="104" t="n">
        <v>0.0112</v>
      </c>
      <c r="L14" s="134" t="n">
        <v>15.83</v>
      </c>
      <c r="M14" s="134" t="n">
        <v>756.97</v>
      </c>
      <c r="N14" s="104" t="n">
        <v>0.0209</v>
      </c>
      <c r="O14" s="134" t="n">
        <v>41</v>
      </c>
      <c r="P14" s="134" t="n">
        <v>0</v>
      </c>
      <c r="Q14" s="134" t="inlineStr">
        <is>
          <t>16 -0.12%</t>
        </is>
      </c>
      <c r="R14" s="134" t="inlineStr">
        <is>
          <t>10 -0.10%</t>
        </is>
      </c>
      <c r="S14" s="134" t="inlineStr">
        <is>
          <t>12 0.53%</t>
        </is>
      </c>
      <c r="T14" s="134" t="inlineStr">
        <is>
          <t>3 7.39%</t>
        </is>
      </c>
      <c r="U14" s="134" t="n">
        <v>0</v>
      </c>
    </row>
    <row customHeight="1" ht="17" r="15" s="155">
      <c r="A15" s="105" t="n">
        <v>43117</v>
      </c>
      <c r="B15" s="134" t="n">
        <v>1015.571</v>
      </c>
      <c r="C15" s="150" t="n">
        <v>-0.317</v>
      </c>
      <c r="D15" s="151" t="n">
        <v>-0.0003</v>
      </c>
      <c r="E15" s="134" t="n">
        <v>105.796</v>
      </c>
      <c r="F15" s="134" t="n">
        <v>104.176</v>
      </c>
      <c r="G15" s="134" t="n">
        <v>93.98999999999999</v>
      </c>
      <c r="H15" s="134" t="n">
        <v>127.63</v>
      </c>
      <c r="I15" s="104" t="n">
        <v>0.2183</v>
      </c>
      <c r="J15" s="104" t="n">
        <v>0.1352</v>
      </c>
      <c r="K15" s="104" t="n">
        <v>0.0104</v>
      </c>
      <c r="L15" s="134" t="n">
        <v>24.3</v>
      </c>
      <c r="M15" s="134" t="n">
        <v>768.95</v>
      </c>
      <c r="N15" s="104" t="n">
        <v>0.0316</v>
      </c>
      <c r="O15" s="134" t="n">
        <v>42</v>
      </c>
      <c r="P15" s="134" t="n">
        <v>0</v>
      </c>
      <c r="Q15" s="134" t="inlineStr">
        <is>
          <t>15 -0.27%</t>
        </is>
      </c>
      <c r="R15" s="134" t="inlineStr">
        <is>
          <t>11 0.07%</t>
        </is>
      </c>
      <c r="S15" s="134" t="inlineStr">
        <is>
          <t>12 0.18%</t>
        </is>
      </c>
      <c r="T15" s="134" t="inlineStr">
        <is>
          <t>4 -1.07%</t>
        </is>
      </c>
      <c r="U15" s="134" t="n">
        <v>0</v>
      </c>
    </row>
    <row customHeight="1" ht="17" r="16" s="155">
      <c r="A16" s="105" t="n">
        <v>43118</v>
      </c>
      <c r="B16" s="134" t="n">
        <v>1022.118</v>
      </c>
      <c r="C16" s="152" t="n">
        <v>6.547</v>
      </c>
      <c r="D16" s="153" t="n">
        <v>0.0065</v>
      </c>
      <c r="E16" s="134" t="n">
        <v>106.301</v>
      </c>
      <c r="F16" s="134" t="n">
        <v>104.35</v>
      </c>
      <c r="G16" s="134" t="n">
        <v>95.59999999999999</v>
      </c>
      <c r="H16" s="134" t="n">
        <v>128.37</v>
      </c>
      <c r="I16" s="104" t="n">
        <v>0.2207</v>
      </c>
      <c r="J16" s="104" t="n">
        <v>0.1358</v>
      </c>
      <c r="K16" s="104" t="n">
        <v>0.009599999999999999</v>
      </c>
      <c r="L16" s="134" t="n">
        <v>22.43</v>
      </c>
      <c r="M16" s="134" t="n">
        <v>806.12</v>
      </c>
      <c r="N16" s="104" t="n">
        <v>0.0278</v>
      </c>
      <c r="O16" s="134" t="n">
        <v>43</v>
      </c>
      <c r="P16" s="134" t="n">
        <v>0</v>
      </c>
      <c r="Q16" s="134" t="inlineStr">
        <is>
          <t>15 0.15%</t>
        </is>
      </c>
      <c r="R16" s="134" t="inlineStr">
        <is>
          <t>11 0.16%</t>
        </is>
      </c>
      <c r="S16" s="134" t="inlineStr">
        <is>
          <t>13 1.01%</t>
        </is>
      </c>
      <c r="T16" s="134" t="inlineStr">
        <is>
          <t>4 2.63%</t>
        </is>
      </c>
      <c r="U16" s="134" t="n">
        <v>0</v>
      </c>
    </row>
    <row customHeight="1" ht="17" r="17" s="155">
      <c r="A17" s="105" t="n">
        <v>43119</v>
      </c>
      <c r="B17" s="134" t="n">
        <v>1027.752</v>
      </c>
      <c r="C17" s="152" t="n">
        <v>5.634</v>
      </c>
      <c r="D17" s="153" t="n">
        <v>0.0055</v>
      </c>
      <c r="E17" s="134" t="n">
        <v>106.914</v>
      </c>
      <c r="F17" s="134" t="n">
        <v>104.51</v>
      </c>
      <c r="G17" s="134" t="n">
        <v>93.7</v>
      </c>
      <c r="H17" s="134" t="n">
        <v>129.57</v>
      </c>
      <c r="I17" s="104" t="n">
        <v>0.2266</v>
      </c>
      <c r="J17" s="104" t="n">
        <v>0.1511</v>
      </c>
      <c r="K17" s="104" t="n">
        <v>0.0086</v>
      </c>
      <c r="L17" s="134" t="n">
        <v>28.81</v>
      </c>
      <c r="M17" s="134" t="n">
        <v>806.12</v>
      </c>
      <c r="N17" s="104" t="n">
        <v>0.0357</v>
      </c>
      <c r="O17" s="134" t="n">
        <v>43</v>
      </c>
      <c r="P17" s="134" t="n">
        <v>0</v>
      </c>
      <c r="Q17" s="134" t="inlineStr">
        <is>
          <t>15 0.20%</t>
        </is>
      </c>
      <c r="R17" s="134" t="inlineStr">
        <is>
          <t>12 0.49%</t>
        </is>
      </c>
      <c r="S17" s="134" t="inlineStr">
        <is>
          <t>10 0.88%</t>
        </is>
      </c>
      <c r="T17" s="134" t="inlineStr">
        <is>
          <t>6 1.31%</t>
        </is>
      </c>
      <c r="U17" s="134" t="n">
        <v>0</v>
      </c>
    </row>
    <row customHeight="1" ht="17" r="18" s="155">
      <c r="A18" s="105" t="n">
        <v>43122</v>
      </c>
      <c r="B18" s="134" t="n">
        <v>1039.468</v>
      </c>
      <c r="C18" s="152" t="n">
        <v>11.716</v>
      </c>
      <c r="D18" s="153" t="n">
        <v>0.0114</v>
      </c>
      <c r="E18" s="134" t="n">
        <v>108.014</v>
      </c>
      <c r="F18" s="134" t="n">
        <v>105.74</v>
      </c>
      <c r="G18" s="134" t="n">
        <v>93.97</v>
      </c>
      <c r="H18" s="134" t="n">
        <v>130.52</v>
      </c>
      <c r="I18" s="104" t="n">
        <v>0.225</v>
      </c>
      <c r="J18" s="104" t="n">
        <v>0.147</v>
      </c>
      <c r="K18" s="104" t="n">
        <v>0.0065</v>
      </c>
      <c r="L18" s="134" t="n">
        <v>32.23</v>
      </c>
      <c r="M18" s="134" t="n">
        <v>815.4</v>
      </c>
      <c r="N18" s="104" t="n">
        <v>0.0395</v>
      </c>
      <c r="O18" s="134" t="n">
        <v>44</v>
      </c>
      <c r="P18" s="134" t="n">
        <v>0</v>
      </c>
      <c r="Q18" s="134" t="inlineStr">
        <is>
          <t>13 0.69%</t>
        </is>
      </c>
      <c r="R18" s="134" t="inlineStr">
        <is>
          <t>13 1.43%</t>
        </is>
      </c>
      <c r="S18" s="134" t="inlineStr">
        <is>
          <t>13 1.63%</t>
        </is>
      </c>
      <c r="T18" s="134" t="inlineStr">
        <is>
          <t>4 0.84%</t>
        </is>
      </c>
      <c r="U18" s="134" t="inlineStr">
        <is>
          <t>1 3.41%</t>
        </is>
      </c>
    </row>
    <row customHeight="1" ht="17" r="19" s="155">
      <c r="A19" s="105" t="n">
        <v>43123</v>
      </c>
      <c r="B19" s="134" t="n">
        <v>1045.083</v>
      </c>
      <c r="C19" s="152" t="n">
        <v>5.615</v>
      </c>
      <c r="D19" s="153" t="n">
        <v>0.0054</v>
      </c>
      <c r="E19" s="134" t="n">
        <v>108.589</v>
      </c>
      <c r="F19" s="134" t="n">
        <v>106.271</v>
      </c>
      <c r="G19" s="134" t="n">
        <v>94.56999999999999</v>
      </c>
      <c r="H19" s="134" t="n">
        <v>131.15</v>
      </c>
      <c r="I19" s="104" t="n">
        <v>0.2256</v>
      </c>
      <c r="J19" s="104" t="n">
        <v>0.155</v>
      </c>
      <c r="K19" s="104" t="n">
        <v>0.0054</v>
      </c>
      <c r="L19" s="134" t="n">
        <v>46.13</v>
      </c>
      <c r="M19" s="134" t="n">
        <v>815.83</v>
      </c>
      <c r="N19" s="104" t="n">
        <v>0.0565</v>
      </c>
      <c r="O19" s="134" t="n">
        <v>45</v>
      </c>
      <c r="P19" s="134" t="n">
        <v>0</v>
      </c>
      <c r="Q19" s="134" t="inlineStr">
        <is>
          <t>13 0.21%</t>
        </is>
      </c>
      <c r="R19" s="134" t="inlineStr">
        <is>
          <t>13 0.41%</t>
        </is>
      </c>
      <c r="S19" s="134" t="inlineStr">
        <is>
          <t>13 0.86%</t>
        </is>
      </c>
      <c r="T19" s="134" t="inlineStr">
        <is>
          <t>4 0.90%</t>
        </is>
      </c>
      <c r="U19" s="134" t="inlineStr">
        <is>
          <t>2 0.70%</t>
        </is>
      </c>
    </row>
    <row customHeight="1" ht="17" r="20" s="155">
      <c r="A20" s="105" t="n">
        <v>43124</v>
      </c>
      <c r="B20" s="134" t="n">
        <v>1055.25</v>
      </c>
      <c r="C20" s="152" t="n">
        <v>10.167</v>
      </c>
      <c r="D20" s="153" t="n">
        <v>0.0097</v>
      </c>
      <c r="E20" s="134" t="n">
        <v>109.634</v>
      </c>
      <c r="F20" s="134" t="n">
        <v>106.71</v>
      </c>
      <c r="G20" s="134" t="n">
        <v>95.38</v>
      </c>
      <c r="H20" s="134" t="n">
        <v>132.09</v>
      </c>
      <c r="I20" s="104" t="n">
        <v>0.2246</v>
      </c>
      <c r="J20" s="104" t="n">
        <v>0.1569</v>
      </c>
      <c r="K20" s="104" t="n">
        <v>0.0035</v>
      </c>
      <c r="L20" s="134" t="n">
        <v>43.48</v>
      </c>
      <c r="M20" s="134" t="n">
        <v>815.83</v>
      </c>
      <c r="N20" s="104" t="n">
        <v>0.0533</v>
      </c>
      <c r="O20" s="134" t="n">
        <v>45</v>
      </c>
      <c r="P20" s="134" t="n">
        <v>0</v>
      </c>
      <c r="Q20" s="134" t="inlineStr">
        <is>
          <t>10 0.97%</t>
        </is>
      </c>
      <c r="R20" s="134" t="inlineStr">
        <is>
          <t>16 0.96%</t>
        </is>
      </c>
      <c r="S20" s="134" t="inlineStr">
        <is>
          <t>10 1.02%</t>
        </is>
      </c>
      <c r="T20" s="134" t="inlineStr">
        <is>
          <t>6 1.02%</t>
        </is>
      </c>
      <c r="U20" s="134" t="inlineStr">
        <is>
          <t>3 0.80%</t>
        </is>
      </c>
    </row>
    <row customHeight="1" ht="17" r="21" s="155">
      <c r="A21" s="105" t="n">
        <v>43125</v>
      </c>
      <c r="B21" s="134" t="n">
        <v>1062.062</v>
      </c>
      <c r="C21" s="152" t="n">
        <v>6.812</v>
      </c>
      <c r="D21" s="153" t="n">
        <v>0.0065</v>
      </c>
      <c r="E21" s="134" t="n">
        <v>110.325</v>
      </c>
      <c r="F21" s="134" t="n">
        <v>107.322</v>
      </c>
      <c r="G21" s="134" t="n">
        <v>96.84999999999999</v>
      </c>
      <c r="H21" s="134" t="n">
        <v>133.18</v>
      </c>
      <c r="I21" s="104" t="n">
        <v>0.2285</v>
      </c>
      <c r="J21" s="104" t="n">
        <v>0.1533</v>
      </c>
      <c r="K21" s="104" t="n">
        <v>0.0023</v>
      </c>
      <c r="L21" s="134" t="n">
        <v>38.99</v>
      </c>
      <c r="M21" s="134" t="n">
        <v>815.83</v>
      </c>
      <c r="N21" s="104" t="n">
        <v>0.0478</v>
      </c>
      <c r="O21" s="134" t="n">
        <v>45</v>
      </c>
      <c r="P21" s="134" t="n">
        <v>0</v>
      </c>
      <c r="Q21" s="134" t="inlineStr">
        <is>
          <t>8 0.39%</t>
        </is>
      </c>
      <c r="R21" s="134" t="inlineStr">
        <is>
          <t>17 1.09%</t>
        </is>
      </c>
      <c r="S21" s="134" t="inlineStr">
        <is>
          <t>13 0.48%</t>
        </is>
      </c>
      <c r="T21" s="134" t="inlineStr">
        <is>
          <t>5 -0.09%</t>
        </is>
      </c>
      <c r="U21" s="134" t="inlineStr">
        <is>
          <t>2 2.68%</t>
        </is>
      </c>
    </row>
    <row customHeight="1" ht="17" r="22" s="155">
      <c r="A22" s="105" t="n">
        <v>43126</v>
      </c>
      <c r="B22" s="134" t="n">
        <v>1060.13</v>
      </c>
      <c r="C22" s="150" t="n">
        <v>-1.932</v>
      </c>
      <c r="D22" s="151" t="n">
        <v>-0.0018</v>
      </c>
      <c r="E22" s="134" t="n">
        <v>109.996</v>
      </c>
      <c r="F22" s="134" t="n">
        <v>106.195</v>
      </c>
      <c r="G22" s="134" t="n">
        <v>93.23</v>
      </c>
      <c r="H22" s="134" t="n">
        <v>132.47</v>
      </c>
      <c r="I22" s="104" t="n">
        <v>0.2247</v>
      </c>
      <c r="J22" s="104" t="n">
        <v>0.1594</v>
      </c>
      <c r="K22" s="104" t="n">
        <v>0.0027</v>
      </c>
      <c r="L22" s="134" t="n">
        <v>31.23</v>
      </c>
      <c r="M22" s="134" t="n">
        <v>825.83</v>
      </c>
      <c r="N22" s="104" t="n">
        <v>0.0378</v>
      </c>
      <c r="O22" s="134" t="n">
        <v>46</v>
      </c>
      <c r="P22" s="134" t="n">
        <v>0</v>
      </c>
      <c r="Q22" s="134" t="inlineStr">
        <is>
          <t>8 -0.09%</t>
        </is>
      </c>
      <c r="R22" s="134" t="inlineStr">
        <is>
          <t>18 0.06%</t>
        </is>
      </c>
      <c r="S22" s="134" t="inlineStr">
        <is>
          <t>12 1.31%</t>
        </is>
      </c>
      <c r="T22" s="134" t="inlineStr">
        <is>
          <t>6 0.22%</t>
        </is>
      </c>
      <c r="U22" s="134" t="inlineStr">
        <is>
          <t>2 -0.71%</t>
        </is>
      </c>
    </row>
    <row customHeight="1" ht="17" r="23" s="155">
      <c r="A23" s="105" t="n">
        <v>43129</v>
      </c>
      <c r="B23" s="134" t="n">
        <v>1039.89</v>
      </c>
      <c r="C23" s="150" t="n">
        <v>-20.24</v>
      </c>
      <c r="D23" s="151" t="n">
        <v>-0.0191</v>
      </c>
      <c r="E23" s="134" t="n">
        <v>107.95</v>
      </c>
      <c r="F23" s="134" t="n">
        <v>104.968</v>
      </c>
      <c r="G23" s="134" t="n">
        <v>92.40000000000001</v>
      </c>
      <c r="H23" s="134" t="n">
        <v>129.62</v>
      </c>
      <c r="I23" s="104" t="n">
        <v>0.2167</v>
      </c>
      <c r="J23" s="104" t="n">
        <v>0.1475</v>
      </c>
      <c r="K23" s="104" t="n">
        <v>0.0065</v>
      </c>
      <c r="L23" s="134" t="n">
        <v>33.07</v>
      </c>
      <c r="M23" s="134" t="n">
        <v>837.21</v>
      </c>
      <c r="N23" s="104" t="n">
        <v>0.0395</v>
      </c>
      <c r="O23" s="134" t="n">
        <v>48</v>
      </c>
      <c r="P23" s="134" t="n">
        <v>0</v>
      </c>
      <c r="Q23" s="134" t="inlineStr">
        <is>
          <t>13 -1.27%</t>
        </is>
      </c>
      <c r="R23" s="134" t="inlineStr">
        <is>
          <t>17 -0.97%</t>
        </is>
      </c>
      <c r="S23" s="134" t="inlineStr">
        <is>
          <t>12 -2.51%</t>
        </is>
      </c>
      <c r="T23" s="134" t="inlineStr">
        <is>
          <t>5 1.46%</t>
        </is>
      </c>
      <c r="U23" s="134" t="inlineStr">
        <is>
          <t>1 -0.70%</t>
        </is>
      </c>
    </row>
    <row customHeight="1" ht="17" r="24" s="155">
      <c r="A24" s="105" t="n">
        <v>43130</v>
      </c>
      <c r="B24" s="134" t="n">
        <v>1035.412</v>
      </c>
      <c r="C24" s="150" t="n">
        <v>-4.478</v>
      </c>
      <c r="D24" s="151" t="n">
        <v>-0.0043</v>
      </c>
      <c r="E24" s="134" t="n">
        <v>107.666</v>
      </c>
      <c r="F24" s="134" t="n">
        <v>105.5</v>
      </c>
      <c r="G24" s="134" t="n">
        <v>92.73</v>
      </c>
      <c r="H24" s="134" t="n">
        <v>127.83</v>
      </c>
      <c r="I24" s="104" t="n">
        <v>0.2017</v>
      </c>
      <c r="J24" s="104" t="n">
        <v>0.1378</v>
      </c>
      <c r="K24" s="104" t="n">
        <v>0.007</v>
      </c>
      <c r="L24" s="134" t="n">
        <v>29.94</v>
      </c>
      <c r="M24" s="134" t="n">
        <v>848.72</v>
      </c>
      <c r="N24" s="104" t="n">
        <v>0.0353</v>
      </c>
      <c r="O24" s="134" t="n">
        <v>51</v>
      </c>
      <c r="P24" s="134" t="n">
        <v>0</v>
      </c>
      <c r="Q24" s="134" t="inlineStr">
        <is>
          <t>12 -0.02%</t>
        </is>
      </c>
      <c r="R24" s="134" t="inlineStr">
        <is>
          <t>20 0.09%</t>
        </is>
      </c>
      <c r="S24" s="134" t="inlineStr">
        <is>
          <t>13 -1.03%</t>
        </is>
      </c>
      <c r="T24" s="134" t="inlineStr">
        <is>
          <t>5 -0.71%</t>
        </is>
      </c>
      <c r="U24" s="134" t="inlineStr">
        <is>
          <t>1 1.30%</t>
        </is>
      </c>
    </row>
    <row customHeight="1" ht="17" r="25" s="155">
      <c r="A25" s="105" t="n">
        <v>43131</v>
      </c>
      <c r="B25" s="134" t="n">
        <v>1030.119</v>
      </c>
      <c r="C25" s="150" t="n">
        <v>-5.293</v>
      </c>
      <c r="D25" s="151" t="n">
        <v>-0.0051</v>
      </c>
      <c r="E25" s="134" t="n">
        <v>107.148</v>
      </c>
      <c r="F25" s="134" t="n">
        <v>105.14</v>
      </c>
      <c r="G25" s="134" t="n">
        <v>90.19</v>
      </c>
      <c r="H25" s="134" t="n">
        <v>128.46</v>
      </c>
      <c r="I25" s="104" t="n">
        <v>0.2131</v>
      </c>
      <c r="J25" s="104" t="n">
        <v>0.1398</v>
      </c>
      <c r="K25" s="104" t="n">
        <v>0.007900000000000001</v>
      </c>
      <c r="L25" s="134" t="n">
        <v>26.31</v>
      </c>
      <c r="M25" s="134" t="n">
        <v>848.79</v>
      </c>
      <c r="N25" s="104" t="n">
        <v>0.031</v>
      </c>
      <c r="O25" s="134" t="n">
        <v>52</v>
      </c>
      <c r="P25" s="134" t="n">
        <v>0</v>
      </c>
      <c r="Q25" s="134" t="inlineStr">
        <is>
          <t>14 -0.67%</t>
        </is>
      </c>
      <c r="R25" s="134" t="inlineStr">
        <is>
          <t>19 -0.89%</t>
        </is>
      </c>
      <c r="S25" s="134" t="inlineStr">
        <is>
          <t>14 -0.12%</t>
        </is>
      </c>
      <c r="T25" s="134" t="inlineStr">
        <is>
          <t>4 -0.02%</t>
        </is>
      </c>
      <c r="U25" s="134" t="inlineStr">
        <is>
          <t>1 1.46%</t>
        </is>
      </c>
    </row>
    <row customHeight="1" ht="17" r="26" s="155">
      <c r="A26" s="105" t="n">
        <v>43132</v>
      </c>
      <c r="B26" s="134" t="n">
        <v>1017.476</v>
      </c>
      <c r="C26" s="150" t="n">
        <v>-12.643</v>
      </c>
      <c r="D26" s="151" t="n">
        <v>-0.0123</v>
      </c>
      <c r="E26" s="134" t="n">
        <v>105.812</v>
      </c>
      <c r="F26" s="134" t="n">
        <v>103.846</v>
      </c>
      <c r="G26" s="134" t="n">
        <v>87.29000000000001</v>
      </c>
      <c r="H26" s="134" t="n">
        <v>130.67</v>
      </c>
      <c r="I26" s="104" t="n">
        <v>0.2486</v>
      </c>
      <c r="J26" s="104" t="n">
        <v>0.178</v>
      </c>
      <c r="K26" s="104" t="n">
        <v>0.0104</v>
      </c>
      <c r="L26" s="134" t="n">
        <v>36.81</v>
      </c>
      <c r="M26" s="134" t="n">
        <v>848.79</v>
      </c>
      <c r="N26" s="104" t="n">
        <v>0.0434</v>
      </c>
      <c r="O26" s="134" t="n">
        <v>52</v>
      </c>
      <c r="P26" s="134" t="n">
        <v>0</v>
      </c>
      <c r="Q26" s="134" t="inlineStr">
        <is>
          <t>18 -1.12%</t>
        </is>
      </c>
      <c r="R26" s="134" t="inlineStr">
        <is>
          <t>19 -1.42%</t>
        </is>
      </c>
      <c r="S26" s="134" t="inlineStr">
        <is>
          <t>10 -0.93%</t>
        </is>
      </c>
      <c r="T26" s="134" t="inlineStr">
        <is>
          <t>4 -1.48%</t>
        </is>
      </c>
      <c r="U26" s="134" t="inlineStr">
        <is>
          <t>1 -1.39%</t>
        </is>
      </c>
    </row>
    <row customHeight="1" ht="17" r="27" s="155">
      <c r="A27" s="105" t="n">
        <v>43133</v>
      </c>
      <c r="B27" s="134" t="n">
        <v>1023.902</v>
      </c>
      <c r="C27" s="152" t="n">
        <v>6.426</v>
      </c>
      <c r="D27" s="153" t="n">
        <v>0.0063</v>
      </c>
      <c r="E27" s="134" t="n">
        <v>106.474</v>
      </c>
      <c r="F27" s="134" t="n">
        <v>103.76</v>
      </c>
      <c r="G27" s="134" t="n">
        <v>86.77</v>
      </c>
      <c r="H27" s="134" t="n">
        <v>132.03</v>
      </c>
      <c r="I27" s="104" t="n">
        <v>0.2555</v>
      </c>
      <c r="J27" s="104" t="n">
        <v>0.1964</v>
      </c>
      <c r="K27" s="104" t="n">
        <v>0.009299999999999999</v>
      </c>
      <c r="L27" s="134" t="n">
        <v>23.09</v>
      </c>
      <c r="M27" s="134" t="n">
        <v>848.79</v>
      </c>
      <c r="N27" s="104" t="n">
        <v>0.0272</v>
      </c>
      <c r="O27" s="134" t="n">
        <v>52</v>
      </c>
      <c r="P27" s="134" t="n">
        <v>0</v>
      </c>
      <c r="Q27" s="134" t="inlineStr">
        <is>
          <t>15 0.48%</t>
        </is>
      </c>
      <c r="R27" s="134" t="inlineStr">
        <is>
          <t>20 0.21%</t>
        </is>
      </c>
      <c r="S27" s="134" t="inlineStr">
        <is>
          <t>11 1.49%</t>
        </is>
      </c>
      <c r="T27" s="134" t="inlineStr">
        <is>
          <t>5 1.12%</t>
        </is>
      </c>
      <c r="U27" s="134" t="inlineStr">
        <is>
          <t>1 -0.49%</t>
        </is>
      </c>
    </row>
    <row customHeight="1" ht="17" r="28" s="155">
      <c r="A28" s="105" t="n">
        <v>43136</v>
      </c>
      <c r="B28" s="134" t="n">
        <v>1028.082</v>
      </c>
      <c r="C28" s="152" t="n">
        <v>4.18</v>
      </c>
      <c r="D28" s="153" t="n">
        <v>0.0041</v>
      </c>
      <c r="E28" s="134" t="n">
        <v>106.976</v>
      </c>
      <c r="F28" s="134" t="n">
        <v>103.63</v>
      </c>
      <c r="G28" s="134" t="n">
        <v>86.08</v>
      </c>
      <c r="H28" s="134" t="n">
        <v>133.01</v>
      </c>
      <c r="I28" s="104" t="n">
        <v>0.2604</v>
      </c>
      <c r="J28" s="104" t="n">
        <v>0.188</v>
      </c>
      <c r="K28" s="104" t="n">
        <v>0.008399999999999999</v>
      </c>
      <c r="L28" s="134" t="n">
        <v>30.41</v>
      </c>
      <c r="M28" s="134" t="n">
        <v>848.79</v>
      </c>
      <c r="N28" s="104" t="n">
        <v>0.0358</v>
      </c>
      <c r="O28" s="134" t="n">
        <v>52</v>
      </c>
      <c r="P28" s="134" t="n">
        <v>0</v>
      </c>
      <c r="Q28" s="134" t="inlineStr">
        <is>
          <t>17 -0.10%</t>
        </is>
      </c>
      <c r="R28" s="134" t="inlineStr">
        <is>
          <t>18 -0.21%</t>
        </is>
      </c>
      <c r="S28" s="134" t="inlineStr">
        <is>
          <t>10 0.61%</t>
        </is>
      </c>
      <c r="T28" s="134" t="inlineStr">
        <is>
          <t>5 2.65%</t>
        </is>
      </c>
      <c r="U28" s="134" t="inlineStr">
        <is>
          <t>2 3.64%</t>
        </is>
      </c>
    </row>
    <row customHeight="1" ht="17" r="29" s="155">
      <c r="A29" s="105" t="n">
        <v>43137</v>
      </c>
      <c r="B29" s="134" t="n">
        <v>1013.815</v>
      </c>
      <c r="C29" s="150" t="n">
        <v>-14.267</v>
      </c>
      <c r="D29" s="151" t="n">
        <v>-0.0139</v>
      </c>
      <c r="E29" s="134" t="n">
        <v>105.427</v>
      </c>
      <c r="F29" s="134" t="n">
        <v>102.084</v>
      </c>
      <c r="G29" s="134" t="n">
        <v>82.41</v>
      </c>
      <c r="H29" s="134" t="n">
        <v>136.04</v>
      </c>
      <c r="I29" s="104" t="n">
        <v>0.3061</v>
      </c>
      <c r="J29" s="104" t="n">
        <v>0.2447</v>
      </c>
      <c r="K29" s="104" t="n">
        <v>0.0112</v>
      </c>
      <c r="L29" s="134" t="n">
        <v>31.95</v>
      </c>
      <c r="M29" s="134" t="n">
        <v>848.79</v>
      </c>
      <c r="N29" s="104" t="n">
        <v>0.0376</v>
      </c>
      <c r="O29" s="134" t="n">
        <v>52</v>
      </c>
      <c r="P29" s="134" t="n">
        <v>0</v>
      </c>
      <c r="Q29" s="134" t="inlineStr">
        <is>
          <t>20 -0.87%</t>
        </is>
      </c>
      <c r="R29" s="134" t="inlineStr">
        <is>
          <t>18 -0.85%</t>
        </is>
      </c>
      <c r="S29" s="134" t="inlineStr">
        <is>
          <t>8 -2.17%</t>
        </is>
      </c>
      <c r="T29" s="134" t="inlineStr">
        <is>
          <t>5 -2.10%</t>
        </is>
      </c>
      <c r="U29" s="134" t="inlineStr">
        <is>
          <t>1 -2.73%</t>
        </is>
      </c>
    </row>
    <row customHeight="1" ht="17" r="30" s="155">
      <c r="A30" s="105" t="n">
        <v>43138</v>
      </c>
      <c r="B30" s="134" t="n">
        <v>1013.455</v>
      </c>
      <c r="C30" s="150" t="n">
        <v>-0.36</v>
      </c>
      <c r="D30" s="151" t="n">
        <v>-0.0004</v>
      </c>
      <c r="E30" s="134" t="n">
        <v>105.415</v>
      </c>
      <c r="F30" s="134" t="n">
        <v>102</v>
      </c>
      <c r="G30" s="134" t="n">
        <v>83.79000000000001</v>
      </c>
      <c r="H30" s="134" t="n">
        <v>134.79</v>
      </c>
      <c r="I30" s="104" t="n">
        <v>0.2938</v>
      </c>
      <c r="J30" s="104" t="n">
        <v>0.2207</v>
      </c>
      <c r="K30" s="104" t="n">
        <v>0.0112</v>
      </c>
      <c r="L30" s="134" t="n">
        <v>42.26</v>
      </c>
      <c r="M30" s="134" t="n">
        <v>848.9400000000001</v>
      </c>
      <c r="N30" s="104" t="n">
        <v>0.0498</v>
      </c>
      <c r="O30" s="134" t="n">
        <v>53</v>
      </c>
      <c r="P30" s="134" t="n">
        <v>0</v>
      </c>
      <c r="Q30" s="134" t="inlineStr">
        <is>
          <t>19 -0.10%</t>
        </is>
      </c>
      <c r="R30" s="134" t="inlineStr">
        <is>
          <t>19 0.14%</t>
        </is>
      </c>
      <c r="S30" s="134" t="inlineStr">
        <is>
          <t>10 0.18%</t>
        </is>
      </c>
      <c r="T30" s="134" t="inlineStr">
        <is>
          <t>4 -1.14%</t>
        </is>
      </c>
      <c r="U30" s="134" t="inlineStr">
        <is>
          <t>1 0.07%</t>
        </is>
      </c>
    </row>
    <row customHeight="1" ht="17" r="31" s="155">
      <c r="A31" s="105" t="n">
        <v>43139</v>
      </c>
      <c r="B31" s="134" t="n">
        <v>1012.837</v>
      </c>
      <c r="C31" s="150" t="n">
        <v>-0.618</v>
      </c>
      <c r="D31" s="151" t="n">
        <v>-0.0005999999999999999</v>
      </c>
      <c r="E31" s="134" t="n">
        <v>105.315</v>
      </c>
      <c r="F31" s="134" t="n">
        <v>102.391</v>
      </c>
      <c r="G31" s="134" t="n">
        <v>84.70999999999999</v>
      </c>
      <c r="H31" s="134" t="n">
        <v>133.44</v>
      </c>
      <c r="I31" s="104" t="n">
        <v>0.2812</v>
      </c>
      <c r="J31" s="104" t="n">
        <v>0.2081</v>
      </c>
      <c r="K31" s="104" t="n">
        <v>0.0113</v>
      </c>
      <c r="L31" s="134" t="n">
        <v>37.47</v>
      </c>
      <c r="M31" s="134" t="n">
        <v>848.9400000000001</v>
      </c>
      <c r="N31" s="104" t="n">
        <v>0.0441</v>
      </c>
      <c r="O31" s="134" t="n">
        <v>53</v>
      </c>
      <c r="P31" s="134" t="n">
        <v>0</v>
      </c>
      <c r="Q31" s="134" t="inlineStr">
        <is>
          <t>18 0.21%</t>
        </is>
      </c>
      <c r="R31" s="134" t="inlineStr">
        <is>
          <t>20 0.08%</t>
        </is>
      </c>
      <c r="S31" s="134" t="inlineStr">
        <is>
          <t>11 -0.79%</t>
        </is>
      </c>
      <c r="T31" s="134" t="inlineStr">
        <is>
          <t>3 0.10%</t>
        </is>
      </c>
      <c r="U31" s="134" t="inlineStr">
        <is>
          <t>1 -0.14%</t>
        </is>
      </c>
    </row>
    <row customHeight="1" ht="17" r="32" s="155">
      <c r="A32" s="105" t="n">
        <v>43140</v>
      </c>
      <c r="B32" s="134" t="n">
        <v>991.139</v>
      </c>
      <c r="C32" s="150" t="n">
        <v>-21.698</v>
      </c>
      <c r="D32" s="151" t="n">
        <v>-0.0214</v>
      </c>
      <c r="E32" s="134" t="n">
        <v>102.918</v>
      </c>
      <c r="F32" s="134" t="n">
        <v>101.98</v>
      </c>
      <c r="G32" s="134" t="n">
        <v>82.73999999999999</v>
      </c>
      <c r="H32" s="134" t="n">
        <v>134.05</v>
      </c>
      <c r="I32" s="104" t="n">
        <v>0.3113</v>
      </c>
      <c r="J32" s="104" t="n">
        <v>0.2314</v>
      </c>
      <c r="K32" s="104" t="n">
        <v>0.0157</v>
      </c>
      <c r="L32" s="134" t="n">
        <v>51.08</v>
      </c>
      <c r="M32" s="134" t="n">
        <v>848.9400000000001</v>
      </c>
      <c r="N32" s="104" t="n">
        <v>0.0602</v>
      </c>
      <c r="O32" s="134" t="n">
        <v>53</v>
      </c>
      <c r="P32" s="134" t="n">
        <v>0</v>
      </c>
      <c r="Q32" s="134" t="inlineStr">
        <is>
          <t>22 -1.17%</t>
        </is>
      </c>
      <c r="R32" s="134" t="inlineStr">
        <is>
          <t>21 -2.15%</t>
        </is>
      </c>
      <c r="S32" s="134" t="inlineStr">
        <is>
          <t>9 -3.78%</t>
        </is>
      </c>
      <c r="T32" s="134" t="inlineStr">
        <is>
          <t>1 -8.56%</t>
        </is>
      </c>
      <c r="U32" s="134" t="n">
        <v>0</v>
      </c>
    </row>
    <row customHeight="1" ht="17" r="33" s="155">
      <c r="A33" s="105" t="n">
        <v>43143</v>
      </c>
      <c r="B33" s="134" t="n">
        <v>1009.219</v>
      </c>
      <c r="C33" s="152" t="n">
        <v>18.08</v>
      </c>
      <c r="D33" s="153" t="n">
        <v>0.0182</v>
      </c>
      <c r="E33" s="134" t="n">
        <v>104.839</v>
      </c>
      <c r="F33" s="134" t="n">
        <v>103.91</v>
      </c>
      <c r="G33" s="134" t="n">
        <v>85.09999999999999</v>
      </c>
      <c r="H33" s="134" t="n">
        <v>133.88</v>
      </c>
      <c r="I33" s="104" t="n">
        <v>0.2904</v>
      </c>
      <c r="J33" s="104" t="n">
        <v>0.2052</v>
      </c>
      <c r="K33" s="104" t="n">
        <v>0.0123</v>
      </c>
      <c r="L33" s="134" t="n">
        <v>23.43</v>
      </c>
      <c r="M33" s="134" t="n">
        <v>848.9400000000001</v>
      </c>
      <c r="N33" s="104" t="n">
        <v>0.0276</v>
      </c>
      <c r="O33" s="134" t="n">
        <v>53</v>
      </c>
      <c r="P33" s="134" t="n">
        <v>0</v>
      </c>
      <c r="Q33" s="134" t="inlineStr">
        <is>
          <t>19 0.95%</t>
        </is>
      </c>
      <c r="R33" s="134" t="inlineStr">
        <is>
          <t>20 1.94%</t>
        </is>
      </c>
      <c r="S33" s="134" t="inlineStr">
        <is>
          <t>12 2.60%</t>
        </is>
      </c>
      <c r="T33" s="134" t="inlineStr">
        <is>
          <t>1 5.48%</t>
        </is>
      </c>
      <c r="U33" s="134" t="inlineStr">
        <is>
          <t>1 3.17%</t>
        </is>
      </c>
    </row>
    <row customHeight="1" ht="17" r="34" s="155">
      <c r="A34" s="105" t="n">
        <v>43144</v>
      </c>
      <c r="B34" s="134" t="n">
        <v>1016.055</v>
      </c>
      <c r="C34" s="152" t="n">
        <v>6.836</v>
      </c>
      <c r="D34" s="153" t="n">
        <v>0.0068</v>
      </c>
      <c r="E34" s="134" t="n">
        <v>105.597</v>
      </c>
      <c r="F34" s="134" t="n">
        <v>103.92</v>
      </c>
      <c r="G34" s="134" t="n">
        <v>86.73</v>
      </c>
      <c r="H34" s="134" t="n">
        <v>134.56</v>
      </c>
      <c r="I34" s="104" t="n">
        <v>0.2896</v>
      </c>
      <c r="J34" s="104" t="n">
        <v>0.2022</v>
      </c>
      <c r="K34" s="104" t="n">
        <v>0.011</v>
      </c>
      <c r="L34" s="134" t="n">
        <v>29.56</v>
      </c>
      <c r="M34" s="134" t="n">
        <v>848.9400000000001</v>
      </c>
      <c r="N34" s="104" t="n">
        <v>0.0348</v>
      </c>
      <c r="O34" s="134" t="n">
        <v>53</v>
      </c>
      <c r="P34" s="134" t="n">
        <v>0</v>
      </c>
      <c r="Q34" s="134" t="inlineStr">
        <is>
          <t>17 0.15%</t>
        </is>
      </c>
      <c r="R34" s="134" t="inlineStr">
        <is>
          <t>19 0.39%</t>
        </is>
      </c>
      <c r="S34" s="134" t="inlineStr">
        <is>
          <t>14 1.24%</t>
        </is>
      </c>
      <c r="T34" s="134" t="inlineStr">
        <is>
          <t>2 2.42%</t>
        </is>
      </c>
      <c r="U34" s="134" t="inlineStr">
        <is>
          <t>1 3.77%</t>
        </is>
      </c>
    </row>
    <row customHeight="1" ht="17" r="35" s="155">
      <c r="A35" s="105" t="n">
        <v>43145</v>
      </c>
      <c r="B35" s="134" t="n">
        <v>1018.708</v>
      </c>
      <c r="C35" s="152" t="n">
        <v>2.653</v>
      </c>
      <c r="D35" s="153" t="n">
        <v>0.0026</v>
      </c>
      <c r="E35" s="134" t="n">
        <v>105.893</v>
      </c>
      <c r="F35" s="134" t="n">
        <v>104.2</v>
      </c>
      <c r="G35" s="134" t="n">
        <v>89.36</v>
      </c>
      <c r="H35" s="134" t="n">
        <v>134.74</v>
      </c>
      <c r="I35" s="104" t="n">
        <v>0.2885</v>
      </c>
      <c r="J35" s="104" t="n">
        <v>0.2084</v>
      </c>
      <c r="K35" s="104" t="n">
        <v>0.0104</v>
      </c>
      <c r="L35" s="134" t="n">
        <v>9.35</v>
      </c>
      <c r="M35" s="134" t="n">
        <v>848.9400000000001</v>
      </c>
      <c r="N35" s="104" t="n">
        <v>0.011</v>
      </c>
      <c r="O35" s="134" t="n">
        <v>53</v>
      </c>
      <c r="P35" s="134" t="n">
        <v>0</v>
      </c>
      <c r="Q35" s="134" t="inlineStr">
        <is>
          <t>17 -0.02%</t>
        </is>
      </c>
      <c r="R35" s="134" t="inlineStr">
        <is>
          <t>19 0.05%</t>
        </is>
      </c>
      <c r="S35" s="134" t="inlineStr">
        <is>
          <t>12 0.46%</t>
        </is>
      </c>
      <c r="T35" s="134" t="inlineStr">
        <is>
          <t>4 1.16%</t>
        </is>
      </c>
      <c r="U35" s="134" t="inlineStr">
        <is>
          <t>1 0.82%</t>
        </is>
      </c>
    </row>
    <row customHeight="1" ht="17" r="36" s="155">
      <c r="A36" s="105" t="n">
        <v>43153</v>
      </c>
      <c r="B36" s="134" t="n">
        <v>1026.897</v>
      </c>
      <c r="C36" s="152" t="n">
        <v>8.189</v>
      </c>
      <c r="D36" s="153" t="n">
        <v>0.008</v>
      </c>
      <c r="E36" s="134" t="n">
        <v>106.637</v>
      </c>
      <c r="F36" s="134" t="n">
        <v>104.429</v>
      </c>
      <c r="G36" s="134" t="n">
        <v>87</v>
      </c>
      <c r="H36" s="134" t="n">
        <v>133.82</v>
      </c>
      <c r="I36" s="104" t="n">
        <v>0.2719</v>
      </c>
      <c r="J36" s="104" t="n">
        <v>0.1855</v>
      </c>
      <c r="K36" s="104" t="n">
        <v>0.0091</v>
      </c>
      <c r="L36" s="134" t="n">
        <v>20.78</v>
      </c>
      <c r="M36" s="134" t="n">
        <v>866.53</v>
      </c>
      <c r="N36" s="104" t="n">
        <v>0.024</v>
      </c>
      <c r="O36" s="134" t="n">
        <v>54</v>
      </c>
      <c r="P36" s="134" t="n">
        <v>0</v>
      </c>
      <c r="Q36" s="134" t="inlineStr">
        <is>
          <t>17 0.34%</t>
        </is>
      </c>
      <c r="R36" s="134" t="inlineStr">
        <is>
          <t>19 0.44%</t>
        </is>
      </c>
      <c r="S36" s="134" t="inlineStr">
        <is>
          <t>10 1.56%</t>
        </is>
      </c>
      <c r="T36" s="134" t="inlineStr">
        <is>
          <t>7 1.83%</t>
        </is>
      </c>
      <c r="U36" s="134" t="inlineStr">
        <is>
          <t>1 0.96%</t>
        </is>
      </c>
    </row>
    <row customHeight="1" ht="17" r="37" s="155">
      <c r="A37" s="105" t="n">
        <v>43154</v>
      </c>
      <c r="B37" s="134" t="n">
        <v>1025.98</v>
      </c>
      <c r="C37" s="150" t="n">
        <v>-0.917</v>
      </c>
      <c r="D37" s="151" t="n">
        <v>-0.0009</v>
      </c>
      <c r="E37" s="134" t="n">
        <v>106.527</v>
      </c>
      <c r="F37" s="134" t="n">
        <v>104.11</v>
      </c>
      <c r="G37" s="134" t="n">
        <v>87.29000000000001</v>
      </c>
      <c r="H37" s="134" t="n">
        <v>133.18</v>
      </c>
      <c r="I37" s="104" t="n">
        <v>0.2665</v>
      </c>
      <c r="J37" s="104" t="n">
        <v>0.1832</v>
      </c>
      <c r="K37" s="104" t="n">
        <v>0.009299999999999999</v>
      </c>
      <c r="L37" s="134" t="n">
        <v>18.2</v>
      </c>
      <c r="M37" s="134" t="n">
        <v>866.53</v>
      </c>
      <c r="N37" s="104" t="n">
        <v>0.021</v>
      </c>
      <c r="O37" s="134" t="n">
        <v>54</v>
      </c>
      <c r="P37" s="134" t="n">
        <v>0</v>
      </c>
      <c r="Q37" s="134" t="inlineStr">
        <is>
          <t>16 0.01%</t>
        </is>
      </c>
      <c r="R37" s="134" t="inlineStr">
        <is>
          <t>21 0.05%</t>
        </is>
      </c>
      <c r="S37" s="134" t="inlineStr">
        <is>
          <t>11 -0.73%</t>
        </is>
      </c>
      <c r="T37" s="134" t="inlineStr">
        <is>
          <t>5 0.12%</t>
        </is>
      </c>
      <c r="U37" s="134" t="inlineStr">
        <is>
          <t>1 1.32%</t>
        </is>
      </c>
    </row>
    <row customHeight="1" ht="17" r="38" s="155">
      <c r="A38" s="105" t="n">
        <v>43157</v>
      </c>
      <c r="B38" s="134" t="n">
        <v>1037.176</v>
      </c>
      <c r="C38" s="152" t="n">
        <v>11.196</v>
      </c>
      <c r="D38" s="153" t="n">
        <v>0.0109</v>
      </c>
      <c r="E38" s="134" t="n">
        <v>107.724</v>
      </c>
      <c r="F38" s="134" t="n">
        <v>105.725</v>
      </c>
      <c r="G38" s="134" t="n">
        <v>90.51000000000001</v>
      </c>
      <c r="H38" s="134" t="n">
        <v>132.44</v>
      </c>
      <c r="I38" s="104" t="n">
        <v>0.2471</v>
      </c>
      <c r="J38" s="104" t="n">
        <v>0.1575</v>
      </c>
      <c r="K38" s="104" t="n">
        <v>0.0072</v>
      </c>
      <c r="L38" s="134" t="n">
        <v>27.03</v>
      </c>
      <c r="M38" s="134" t="n">
        <v>866.53</v>
      </c>
      <c r="N38" s="104" t="n">
        <v>0.0312</v>
      </c>
      <c r="O38" s="134" t="n">
        <v>54</v>
      </c>
      <c r="P38" s="134" t="n">
        <v>0</v>
      </c>
      <c r="Q38" s="134" t="inlineStr">
        <is>
          <t>15 0.69%</t>
        </is>
      </c>
      <c r="R38" s="134" t="inlineStr">
        <is>
          <t>17 0.93%</t>
        </is>
      </c>
      <c r="S38" s="134" t="inlineStr">
        <is>
          <t>14 1.54%</t>
        </is>
      </c>
      <c r="T38" s="134" t="inlineStr">
        <is>
          <t>7 1.02%</t>
        </is>
      </c>
      <c r="U38" s="134" t="inlineStr">
        <is>
          <t>1 4.23%</t>
        </is>
      </c>
    </row>
    <row customHeight="1" ht="17" r="39" s="155">
      <c r="A39" s="105" t="n">
        <v>43158</v>
      </c>
      <c r="B39" s="134" t="n">
        <v>1034.572</v>
      </c>
      <c r="C39" s="150" t="n">
        <v>-2.604</v>
      </c>
      <c r="D39" s="151" t="n">
        <v>-0.0025</v>
      </c>
      <c r="E39" s="134" t="n">
        <v>107.431</v>
      </c>
      <c r="F39" s="134" t="n">
        <v>105.845</v>
      </c>
      <c r="G39" s="134" t="n">
        <v>91.29000000000001</v>
      </c>
      <c r="H39" s="134" t="n">
        <v>131.8</v>
      </c>
      <c r="I39" s="104" t="n">
        <v>0.2437</v>
      </c>
      <c r="J39" s="104" t="n">
        <v>0.1529</v>
      </c>
      <c r="K39" s="104" t="n">
        <v>0.0077</v>
      </c>
      <c r="L39" s="134" t="n">
        <v>24.67</v>
      </c>
      <c r="M39" s="134" t="n">
        <v>866.53</v>
      </c>
      <c r="N39" s="104" t="n">
        <v>0.0285</v>
      </c>
      <c r="O39" s="134" t="n">
        <v>54</v>
      </c>
      <c r="P39" s="134" t="n">
        <v>0</v>
      </c>
      <c r="Q39" s="134" t="inlineStr">
        <is>
          <t>13 -0.14%</t>
        </is>
      </c>
      <c r="R39" s="134" t="inlineStr">
        <is>
          <t>20 -0.05%</t>
        </is>
      </c>
      <c r="S39" s="134" t="inlineStr">
        <is>
          <t>16 -0.73%</t>
        </is>
      </c>
      <c r="T39" s="134" t="inlineStr">
        <is>
          <t>4 0.46%</t>
        </is>
      </c>
      <c r="U39" s="134" t="inlineStr">
        <is>
          <t>1 -1.03%</t>
        </is>
      </c>
    </row>
    <row customHeight="1" ht="17" r="40" s="155">
      <c r="A40" s="105" t="n">
        <v>43159</v>
      </c>
      <c r="B40" s="134" t="n">
        <v>1032.15</v>
      </c>
      <c r="C40" s="150" t="n">
        <v>-2.422</v>
      </c>
      <c r="D40" s="151" t="n">
        <v>-0.0023</v>
      </c>
      <c r="E40" s="134" t="n">
        <v>107.16</v>
      </c>
      <c r="F40" s="134" t="n">
        <v>105.771</v>
      </c>
      <c r="G40" s="134" t="n">
        <v>92.02</v>
      </c>
      <c r="H40" s="134" t="n">
        <v>131.23</v>
      </c>
      <c r="I40" s="104" t="n">
        <v>0.2407</v>
      </c>
      <c r="J40" s="104" t="n">
        <v>0.153</v>
      </c>
      <c r="K40" s="104" t="n">
        <v>0.008200000000000001</v>
      </c>
      <c r="L40" s="134" t="n">
        <v>20.31</v>
      </c>
      <c r="M40" s="134" t="n">
        <v>866.53</v>
      </c>
      <c r="N40" s="104" t="n">
        <v>0.0234</v>
      </c>
      <c r="O40" s="134" t="n">
        <v>54</v>
      </c>
      <c r="P40" s="134" t="n">
        <v>0</v>
      </c>
      <c r="Q40" s="134" t="inlineStr">
        <is>
          <t>14 -0.03%</t>
        </is>
      </c>
      <c r="R40" s="134" t="inlineStr">
        <is>
          <t>21 -0.18%</t>
        </is>
      </c>
      <c r="S40" s="134" t="inlineStr">
        <is>
          <t>15 -0.49%</t>
        </is>
      </c>
      <c r="T40" s="134" t="inlineStr">
        <is>
          <t>3 -0.43%</t>
        </is>
      </c>
      <c r="U40" s="134" t="inlineStr">
        <is>
          <t>1 0.00%</t>
        </is>
      </c>
    </row>
    <row customHeight="1" ht="17" r="41" s="155">
      <c r="A41" s="105" t="n">
        <v>43160</v>
      </c>
      <c r="B41" s="134" t="n">
        <v>1035.825</v>
      </c>
      <c r="C41" s="152" t="n">
        <v>3.675</v>
      </c>
      <c r="D41" s="153" t="n">
        <v>0.0036</v>
      </c>
      <c r="E41" s="134" t="n">
        <v>107.374</v>
      </c>
      <c r="F41" s="134" t="n">
        <v>106.03</v>
      </c>
      <c r="G41" s="134" t="n">
        <v>93.22</v>
      </c>
      <c r="H41" s="134" t="n">
        <v>130.29</v>
      </c>
      <c r="I41" s="104" t="n">
        <v>0.2292</v>
      </c>
      <c r="J41" s="104" t="n">
        <v>0.142</v>
      </c>
      <c r="K41" s="104" t="n">
        <v>0.007900000000000001</v>
      </c>
      <c r="L41" s="134" t="n">
        <v>21.04</v>
      </c>
      <c r="M41" s="134" t="n">
        <v>863.48</v>
      </c>
      <c r="N41" s="104" t="n">
        <v>0.0244</v>
      </c>
      <c r="O41" s="134" t="n">
        <v>53</v>
      </c>
      <c r="P41" s="134" t="n">
        <v>0</v>
      </c>
      <c r="Q41" s="134" t="inlineStr">
        <is>
          <t>14 0.23%</t>
        </is>
      </c>
      <c r="R41" s="134" t="inlineStr">
        <is>
          <t>21 0.21%</t>
        </is>
      </c>
      <c r="S41" s="134" t="inlineStr">
        <is>
          <t>13 0.27%</t>
        </is>
      </c>
      <c r="T41" s="134" t="inlineStr">
        <is>
          <t>3 0.39%</t>
        </is>
      </c>
      <c r="U41" s="134" t="inlineStr">
        <is>
          <t>2 3.36%</t>
        </is>
      </c>
    </row>
    <row customHeight="1" ht="17" r="42" s="155">
      <c r="A42" s="105" t="n">
        <v>43161</v>
      </c>
      <c r="B42" s="134" t="n">
        <v>1029.876</v>
      </c>
      <c r="C42" s="150" t="n">
        <v>-5.949</v>
      </c>
      <c r="D42" s="151" t="n">
        <v>-0.0057</v>
      </c>
      <c r="E42" s="134" t="n">
        <v>106.694</v>
      </c>
      <c r="F42" s="134" t="n">
        <v>105.615</v>
      </c>
      <c r="G42" s="134" t="n">
        <v>92.86</v>
      </c>
      <c r="H42" s="134" t="n">
        <v>130.03</v>
      </c>
      <c r="I42" s="104" t="n">
        <v>0.2334</v>
      </c>
      <c r="J42" s="104" t="n">
        <v>0.1517</v>
      </c>
      <c r="K42" s="104" t="n">
        <v>0.008999999999999999</v>
      </c>
      <c r="L42" s="134" t="n">
        <v>18.43</v>
      </c>
      <c r="M42" s="134" t="n">
        <v>863.48</v>
      </c>
      <c r="N42" s="104" t="n">
        <v>0.0213</v>
      </c>
      <c r="O42" s="134" t="n">
        <v>53</v>
      </c>
      <c r="P42" s="134" t="n">
        <v>0</v>
      </c>
      <c r="Q42" s="134" t="inlineStr">
        <is>
          <t>15 0.00%</t>
        </is>
      </c>
      <c r="R42" s="134" t="inlineStr">
        <is>
          <t>20 -0.37%</t>
        </is>
      </c>
      <c r="S42" s="134" t="inlineStr">
        <is>
          <t>15 -1.15%</t>
        </is>
      </c>
      <c r="T42" s="134" t="inlineStr">
        <is>
          <t>1 -0.72%</t>
        </is>
      </c>
      <c r="U42" s="134" t="inlineStr">
        <is>
          <t>2 -2.49%</t>
        </is>
      </c>
    </row>
    <row customHeight="1" ht="17" r="43" s="155">
      <c r="A43" s="105" t="n">
        <v>43164</v>
      </c>
      <c r="B43" s="134" t="n">
        <v>1029.258</v>
      </c>
      <c r="C43" s="150" t="n">
        <v>-0.618</v>
      </c>
      <c r="D43" s="151" t="n">
        <v>-0.0005999999999999999</v>
      </c>
      <c r="E43" s="134" t="n">
        <v>106.625</v>
      </c>
      <c r="F43" s="134" t="n">
        <v>105.25</v>
      </c>
      <c r="G43" s="134" t="n">
        <v>93.91</v>
      </c>
      <c r="H43" s="134" t="n">
        <v>129.04</v>
      </c>
      <c r="I43" s="104" t="n">
        <v>0.2242</v>
      </c>
      <c r="J43" s="104" t="n">
        <v>0.1427</v>
      </c>
      <c r="K43" s="104" t="n">
        <v>0.0092</v>
      </c>
      <c r="L43" s="134" t="n">
        <v>15.95</v>
      </c>
      <c r="M43" s="134" t="n">
        <v>863.48</v>
      </c>
      <c r="N43" s="104" t="n">
        <v>0.0185</v>
      </c>
      <c r="O43" s="134" t="n">
        <v>53</v>
      </c>
      <c r="P43" s="134" t="n">
        <v>0</v>
      </c>
      <c r="Q43" s="134" t="inlineStr">
        <is>
          <t>14 -0.02%</t>
        </is>
      </c>
      <c r="R43" s="134" t="inlineStr">
        <is>
          <t>22 -0.12%</t>
        </is>
      </c>
      <c r="S43" s="134" t="inlineStr">
        <is>
          <t>14 1.20%</t>
        </is>
      </c>
      <c r="T43" s="134" t="inlineStr">
        <is>
          <t>1 0.28%</t>
        </is>
      </c>
      <c r="U43" s="134" t="inlineStr">
        <is>
          <t>2 -1.03%</t>
        </is>
      </c>
    </row>
    <row customHeight="1" ht="17" r="44" s="155">
      <c r="A44" s="105" t="n">
        <v>43165</v>
      </c>
      <c r="B44" s="134" t="n">
        <v>1032.115</v>
      </c>
      <c r="C44" s="152" t="n">
        <v>2.857</v>
      </c>
      <c r="D44" s="153" t="n">
        <v>0.0028</v>
      </c>
      <c r="E44" s="134" t="n">
        <v>107.117</v>
      </c>
      <c r="F44" s="134" t="n">
        <v>105.725</v>
      </c>
      <c r="G44" s="134" t="n">
        <v>93.92</v>
      </c>
      <c r="H44" s="134" t="n">
        <v>128.64</v>
      </c>
      <c r="I44" s="104" t="n">
        <v>0.2152</v>
      </c>
      <c r="J44" s="104" t="n">
        <v>0.1298</v>
      </c>
      <c r="K44" s="104" t="n">
        <v>0.0081</v>
      </c>
      <c r="L44" s="134" t="n">
        <v>23.96</v>
      </c>
      <c r="M44" s="134" t="n">
        <v>886.48</v>
      </c>
      <c r="N44" s="104" t="n">
        <v>0.027</v>
      </c>
      <c r="O44" s="134" t="n">
        <v>54</v>
      </c>
      <c r="P44" s="134" t="n">
        <v>0</v>
      </c>
      <c r="Q44" s="134" t="inlineStr">
        <is>
          <t>15 0.01%</t>
        </is>
      </c>
      <c r="R44" s="134" t="inlineStr">
        <is>
          <t>21 0.20%</t>
        </is>
      </c>
      <c r="S44" s="134" t="inlineStr">
        <is>
          <t>14 0.58%</t>
        </is>
      </c>
      <c r="T44" s="134" t="inlineStr">
        <is>
          <t>3 0.19%</t>
        </is>
      </c>
      <c r="U44" s="134" t="inlineStr">
        <is>
          <t>1 1.94%</t>
        </is>
      </c>
    </row>
    <row customHeight="1" ht="17" r="45" s="155">
      <c r="A45" s="105" t="n">
        <v>43166</v>
      </c>
      <c r="B45" s="134" t="n">
        <v>1030.383</v>
      </c>
      <c r="C45" s="150" t="n">
        <v>-1.732</v>
      </c>
      <c r="D45" s="151" t="n">
        <v>-0.0017</v>
      </c>
      <c r="E45" s="134" t="n">
        <v>106.919</v>
      </c>
      <c r="F45" s="134" t="n">
        <v>106</v>
      </c>
      <c r="G45" s="134" t="n">
        <v>95.05</v>
      </c>
      <c r="H45" s="134" t="n">
        <v>128.91</v>
      </c>
      <c r="I45" s="104" t="n">
        <v>0.2199</v>
      </c>
      <c r="J45" s="104" t="n">
        <v>0.1291</v>
      </c>
      <c r="K45" s="104" t="n">
        <v>0.008500000000000001</v>
      </c>
      <c r="L45" s="134" t="n">
        <v>18.34</v>
      </c>
      <c r="M45" s="134" t="n">
        <v>886.48</v>
      </c>
      <c r="N45" s="104" t="n">
        <v>0.0207</v>
      </c>
      <c r="O45" s="134" t="n">
        <v>54</v>
      </c>
      <c r="P45" s="134" t="n">
        <v>0</v>
      </c>
      <c r="Q45" s="134" t="inlineStr">
        <is>
          <t>15 -0.23%</t>
        </is>
      </c>
      <c r="R45" s="134" t="inlineStr">
        <is>
          <t>21 0.05%</t>
        </is>
      </c>
      <c r="S45" s="134" t="inlineStr">
        <is>
          <t>14 -0.15%</t>
        </is>
      </c>
      <c r="T45" s="134" t="inlineStr">
        <is>
          <t>3 -1.12%</t>
        </is>
      </c>
      <c r="U45" s="134" t="inlineStr">
        <is>
          <t>1 -1.35%</t>
        </is>
      </c>
    </row>
    <row customHeight="1" ht="17" r="46" s="155">
      <c r="A46" s="105" t="n">
        <v>43167</v>
      </c>
      <c r="B46" s="134" t="n">
        <v>1031.402</v>
      </c>
      <c r="C46" s="152" t="n">
        <v>1.019</v>
      </c>
      <c r="D46" s="153" t="n">
        <v>0.001</v>
      </c>
      <c r="E46" s="134" t="n">
        <v>107.031</v>
      </c>
      <c r="F46" s="134" t="n">
        <v>105.835</v>
      </c>
      <c r="G46" s="134" t="n">
        <v>95.31</v>
      </c>
      <c r="H46" s="134" t="n">
        <v>128.7</v>
      </c>
      <c r="I46" s="104" t="n">
        <v>0.2167</v>
      </c>
      <c r="J46" s="104" t="n">
        <v>0.1338</v>
      </c>
      <c r="K46" s="104" t="n">
        <v>0.008200000000000001</v>
      </c>
      <c r="L46" s="134" t="n">
        <v>13.9</v>
      </c>
      <c r="M46" s="134" t="n">
        <v>886.48</v>
      </c>
      <c r="N46" s="104" t="n">
        <v>0.0157</v>
      </c>
      <c r="O46" s="134" t="n">
        <v>54</v>
      </c>
      <c r="P46" s="134" t="n">
        <v>0</v>
      </c>
      <c r="Q46" s="134" t="inlineStr">
        <is>
          <t>13 -0.13%</t>
        </is>
      </c>
      <c r="R46" s="134" t="inlineStr">
        <is>
          <t>22 0.11%</t>
        </is>
      </c>
      <c r="S46" s="134" t="inlineStr">
        <is>
          <t>15 0.20%</t>
        </is>
      </c>
      <c r="T46" s="134" t="inlineStr">
        <is>
          <t>3 0.43%</t>
        </is>
      </c>
      <c r="U46" s="134" t="inlineStr">
        <is>
          <t>1 0.24%</t>
        </is>
      </c>
    </row>
    <row customHeight="1" ht="17" r="47" s="155">
      <c r="A47" s="105" t="n">
        <v>43168</v>
      </c>
      <c r="B47" s="134" t="n">
        <v>1036.504</v>
      </c>
      <c r="C47" s="152" t="n">
        <v>5.102</v>
      </c>
      <c r="D47" s="153" t="n">
        <v>0.005</v>
      </c>
      <c r="E47" s="134" t="n">
        <v>107.58</v>
      </c>
      <c r="F47" s="134" t="n">
        <v>105.875</v>
      </c>
      <c r="G47" s="134" t="n">
        <v>96.23</v>
      </c>
      <c r="H47" s="134" t="n">
        <v>127.87</v>
      </c>
      <c r="I47" s="104" t="n">
        <v>0.2029</v>
      </c>
      <c r="J47" s="104" t="n">
        <v>0.1279</v>
      </c>
      <c r="K47" s="104" t="n">
        <v>0.0073</v>
      </c>
      <c r="L47" s="134" t="n">
        <v>19.61</v>
      </c>
      <c r="M47" s="134" t="n">
        <v>886.48</v>
      </c>
      <c r="N47" s="104" t="n">
        <v>0.0221</v>
      </c>
      <c r="O47" s="134" t="n">
        <v>54</v>
      </c>
      <c r="P47" s="134" t="n">
        <v>0</v>
      </c>
      <c r="Q47" s="134" t="inlineStr">
        <is>
          <t>12 0.11%</t>
        </is>
      </c>
      <c r="R47" s="134" t="inlineStr">
        <is>
          <t>23 0.44%</t>
        </is>
      </c>
      <c r="S47" s="134" t="inlineStr">
        <is>
          <t>15 0.79%</t>
        </is>
      </c>
      <c r="T47" s="134" t="inlineStr">
        <is>
          <t>2 0.94%</t>
        </is>
      </c>
      <c r="U47" s="134" t="inlineStr">
        <is>
          <t>2 0.89%</t>
        </is>
      </c>
    </row>
    <row customHeight="1" ht="17" r="48" s="155">
      <c r="A48" s="105" t="n">
        <v>43171</v>
      </c>
      <c r="B48" s="134" t="n">
        <v>1047.742</v>
      </c>
      <c r="C48" s="152" t="n">
        <v>11.238</v>
      </c>
      <c r="D48" s="153" t="n">
        <v>0.0108</v>
      </c>
      <c r="E48" s="134" t="n">
        <v>108.758</v>
      </c>
      <c r="F48" s="134" t="n">
        <v>107.065</v>
      </c>
      <c r="G48" s="134" t="n">
        <v>96.84</v>
      </c>
      <c r="H48" s="134" t="n">
        <v>128.32</v>
      </c>
      <c r="I48" s="104" t="n">
        <v>0.1956</v>
      </c>
      <c r="J48" s="104" t="n">
        <v>0.1146</v>
      </c>
      <c r="K48" s="104" t="n">
        <v>0.0052</v>
      </c>
      <c r="L48" s="134" t="n">
        <v>25.32</v>
      </c>
      <c r="M48" s="134" t="n">
        <v>886.48</v>
      </c>
      <c r="N48" s="104" t="n">
        <v>0.0286</v>
      </c>
      <c r="O48" s="134" t="n">
        <v>54</v>
      </c>
      <c r="P48" s="134" t="n">
        <v>0</v>
      </c>
      <c r="Q48" s="134" t="inlineStr">
        <is>
          <t>11 0.80%</t>
        </is>
      </c>
      <c r="R48" s="134" t="inlineStr">
        <is>
          <t>21 0.80%</t>
        </is>
      </c>
      <c r="S48" s="134" t="inlineStr">
        <is>
          <t>14 1.52%</t>
        </is>
      </c>
      <c r="T48" s="134" t="inlineStr">
        <is>
          <t>6 1.49%</t>
        </is>
      </c>
      <c r="U48" s="134" t="inlineStr">
        <is>
          <t>2 1.39%</t>
        </is>
      </c>
    </row>
    <row customHeight="1" ht="17" r="49" s="155">
      <c r="A49" s="105" t="n">
        <v>43172</v>
      </c>
      <c r="B49" s="134" t="n">
        <v>1047.387</v>
      </c>
      <c r="C49" s="150" t="n">
        <v>-0.355</v>
      </c>
      <c r="D49" s="151" t="n">
        <v>-0.0003</v>
      </c>
      <c r="E49" s="134" t="n">
        <v>108.676</v>
      </c>
      <c r="F49" s="134" t="n">
        <v>107.237</v>
      </c>
      <c r="G49" s="134" t="n">
        <v>96.19</v>
      </c>
      <c r="H49" s="134" t="n">
        <v>128.89</v>
      </c>
      <c r="I49" s="104" t="n">
        <v>0.2021</v>
      </c>
      <c r="J49" s="104" t="n">
        <v>0.1198</v>
      </c>
      <c r="K49" s="104" t="n">
        <v>0.0054</v>
      </c>
      <c r="L49" s="134" t="n">
        <v>19.74</v>
      </c>
      <c r="M49" s="134" t="n">
        <v>886.48</v>
      </c>
      <c r="N49" s="104" t="n">
        <v>0.0223</v>
      </c>
      <c r="O49" s="134" t="n">
        <v>54</v>
      </c>
      <c r="P49" s="134" t="n">
        <v>0</v>
      </c>
      <c r="Q49" s="134" t="inlineStr">
        <is>
          <t>10 0.01%</t>
        </is>
      </c>
      <c r="R49" s="134" t="inlineStr">
        <is>
          <t>23 0.26%</t>
        </is>
      </c>
      <c r="S49" s="134" t="inlineStr">
        <is>
          <t>13 -0.08%</t>
        </is>
      </c>
      <c r="T49" s="134" t="inlineStr">
        <is>
          <t>6 -0.22%</t>
        </is>
      </c>
      <c r="U49" s="134" t="inlineStr">
        <is>
          <t>2 -2.74%</t>
        </is>
      </c>
    </row>
    <row customHeight="1" ht="17" r="50" s="155">
      <c r="A50" s="105" t="n">
        <v>43173</v>
      </c>
      <c r="B50" s="134" t="n">
        <v>1042.313</v>
      </c>
      <c r="C50" s="150" t="n">
        <v>-5.074</v>
      </c>
      <c r="D50" s="151" t="n">
        <v>-0.0048</v>
      </c>
      <c r="E50" s="134" t="n">
        <v>108.129</v>
      </c>
      <c r="F50" s="134" t="n">
        <v>106.685</v>
      </c>
      <c r="G50" s="134" t="n">
        <v>94.89</v>
      </c>
      <c r="H50" s="134" t="n">
        <v>128.89</v>
      </c>
      <c r="I50" s="104" t="n">
        <v>0.2077</v>
      </c>
      <c r="J50" s="104" t="n">
        <v>0.1279</v>
      </c>
      <c r="K50" s="104" t="n">
        <v>0.0063</v>
      </c>
      <c r="L50" s="134" t="n">
        <v>18.59</v>
      </c>
      <c r="M50" s="134" t="n">
        <v>886.48</v>
      </c>
      <c r="N50" s="104" t="n">
        <v>0.021</v>
      </c>
      <c r="O50" s="134" t="n">
        <v>54</v>
      </c>
      <c r="P50" s="134" t="n">
        <v>0</v>
      </c>
      <c r="Q50" s="134" t="inlineStr">
        <is>
          <t>11 -0.56%</t>
        </is>
      </c>
      <c r="R50" s="134" t="inlineStr">
        <is>
          <t>23 -0.43%</t>
        </is>
      </c>
      <c r="S50" s="134" t="inlineStr">
        <is>
          <t>14 -0.59%</t>
        </is>
      </c>
      <c r="T50" s="134" t="inlineStr">
        <is>
          <t>5 -0.87%</t>
        </is>
      </c>
      <c r="U50" s="134" t="inlineStr">
        <is>
          <t>1 0.37%</t>
        </is>
      </c>
    </row>
    <row customHeight="1" ht="17" r="51" s="155">
      <c r="A51" s="105" t="n">
        <v>43174</v>
      </c>
      <c r="B51" s="134" t="n">
        <v>1040.757</v>
      </c>
      <c r="C51" s="150" t="n">
        <v>-1.556</v>
      </c>
      <c r="D51" s="151" t="n">
        <v>-0.0015</v>
      </c>
      <c r="E51" s="134" t="n">
        <v>107.789</v>
      </c>
      <c r="F51" s="134" t="n">
        <v>106.7</v>
      </c>
      <c r="G51" s="134" t="n">
        <v>95.59</v>
      </c>
      <c r="H51" s="134" t="n">
        <v>128.59</v>
      </c>
      <c r="I51" s="104" t="n">
        <v>0.208</v>
      </c>
      <c r="J51" s="104" t="n">
        <v>0.1228</v>
      </c>
      <c r="K51" s="104" t="n">
        <v>0.0069</v>
      </c>
      <c r="L51" s="134" t="n">
        <v>15.89</v>
      </c>
      <c r="M51" s="134" t="n">
        <v>916.47</v>
      </c>
      <c r="N51" s="104" t="n">
        <v>0.0173</v>
      </c>
      <c r="O51" s="134" t="n">
        <v>55</v>
      </c>
      <c r="P51" s="134" t="n">
        <v>0</v>
      </c>
      <c r="Q51" s="134" t="inlineStr">
        <is>
          <t>12 -0.23%</t>
        </is>
      </c>
      <c r="R51" s="134" t="inlineStr">
        <is>
          <t>23 -0.35%</t>
        </is>
      </c>
      <c r="S51" s="134" t="inlineStr">
        <is>
          <t>13 -0.06%</t>
        </is>
      </c>
      <c r="T51" s="134" t="inlineStr">
        <is>
          <t>6 0.58%</t>
        </is>
      </c>
      <c r="U51" s="134" t="inlineStr">
        <is>
          <t>1 -0.15%</t>
        </is>
      </c>
    </row>
    <row customHeight="1" ht="17" r="52" s="155">
      <c r="A52" s="105" t="n">
        <v>43175</v>
      </c>
      <c r="B52" s="134" t="n">
        <v>1040.649</v>
      </c>
      <c r="C52" s="150" t="n">
        <v>-0.108</v>
      </c>
      <c r="D52" s="151" t="n">
        <v>-0.0001</v>
      </c>
      <c r="E52" s="134" t="n">
        <v>107.761</v>
      </c>
      <c r="F52" s="134" t="n">
        <v>105.82</v>
      </c>
      <c r="G52" s="134" t="n">
        <v>94.92</v>
      </c>
      <c r="H52" s="134" t="n">
        <v>129.08</v>
      </c>
      <c r="I52" s="104" t="n">
        <v>0.2132</v>
      </c>
      <c r="J52" s="104" t="n">
        <v>0.1394</v>
      </c>
      <c r="K52" s="104" t="n">
        <v>0.0069</v>
      </c>
      <c r="L52" s="134" t="n">
        <v>17.25</v>
      </c>
      <c r="M52" s="134" t="n">
        <v>916.47</v>
      </c>
      <c r="N52" s="104" t="n">
        <v>0.0188</v>
      </c>
      <c r="O52" s="134" t="n">
        <v>55</v>
      </c>
      <c r="P52" s="134" t="n">
        <v>0</v>
      </c>
      <c r="Q52" s="134" t="inlineStr">
        <is>
          <t>12 0.09%</t>
        </is>
      </c>
      <c r="R52" s="134" t="inlineStr">
        <is>
          <t>24 0.05%</t>
        </is>
      </c>
      <c r="S52" s="134" t="inlineStr">
        <is>
          <t>11 -0.08%</t>
        </is>
      </c>
      <c r="T52" s="134" t="inlineStr">
        <is>
          <t>7 -0.06%</t>
        </is>
      </c>
      <c r="U52" s="134" t="inlineStr">
        <is>
          <t>1 -1.58%</t>
        </is>
      </c>
    </row>
    <row customHeight="1" ht="17" r="53" s="155">
      <c r="A53" s="105" t="n">
        <v>43178</v>
      </c>
      <c r="B53" s="134" t="n">
        <v>1041.735</v>
      </c>
      <c r="C53" s="152" t="n">
        <v>1.086</v>
      </c>
      <c r="D53" s="153" t="n">
        <v>0.001</v>
      </c>
      <c r="E53" s="134" t="n">
        <v>107.88</v>
      </c>
      <c r="F53" s="134" t="n">
        <v>106.598</v>
      </c>
      <c r="G53" s="134" t="n">
        <v>95.40000000000001</v>
      </c>
      <c r="H53" s="134" t="n">
        <v>129.03</v>
      </c>
      <c r="I53" s="104" t="n">
        <v>0.2115</v>
      </c>
      <c r="J53" s="104" t="n">
        <v>0.1431</v>
      </c>
      <c r="K53" s="104" t="n">
        <v>0.0067</v>
      </c>
      <c r="L53" s="134" t="n">
        <v>15.37</v>
      </c>
      <c r="M53" s="134" t="n">
        <v>916.47</v>
      </c>
      <c r="N53" s="104" t="n">
        <v>0.0168</v>
      </c>
      <c r="O53" s="134" t="n">
        <v>55</v>
      </c>
      <c r="P53" s="134" t="n">
        <v>0</v>
      </c>
      <c r="Q53" s="134" t="inlineStr">
        <is>
          <t>13 -0.17%</t>
        </is>
      </c>
      <c r="R53" s="134" t="inlineStr">
        <is>
          <t>22 0.09%</t>
        </is>
      </c>
      <c r="S53" s="134" t="inlineStr">
        <is>
          <t>12 1.45%</t>
        </is>
      </c>
      <c r="T53" s="134" t="inlineStr">
        <is>
          <t>6 0.79%</t>
        </is>
      </c>
      <c r="U53" s="134" t="inlineStr">
        <is>
          <t>2 1.17%</t>
        </is>
      </c>
    </row>
    <row customHeight="1" ht="17" r="54" s="155">
      <c r="A54" s="105" t="n">
        <v>43179</v>
      </c>
      <c r="B54" s="134" t="n">
        <v>1040.36</v>
      </c>
      <c r="C54" s="150" t="n">
        <v>-1.375</v>
      </c>
      <c r="D54" s="151" t="n">
        <v>-0.0013</v>
      </c>
      <c r="E54" s="134" t="n">
        <v>107.965</v>
      </c>
      <c r="F54" s="134" t="n">
        <v>105.76</v>
      </c>
      <c r="G54" s="134" t="n">
        <v>95.45999999999999</v>
      </c>
      <c r="H54" s="134" t="n">
        <v>128.76</v>
      </c>
      <c r="I54" s="104" t="n">
        <v>0.2079</v>
      </c>
      <c r="J54" s="104" t="n">
        <v>0.131</v>
      </c>
      <c r="K54" s="104" t="n">
        <v>0.0067</v>
      </c>
      <c r="L54" s="134" t="n">
        <v>13.97</v>
      </c>
      <c r="M54" s="134" t="n">
        <v>916.53</v>
      </c>
      <c r="N54" s="104" t="n">
        <v>0.0152</v>
      </c>
      <c r="O54" s="134" t="n">
        <v>56</v>
      </c>
      <c r="P54" s="134" t="n">
        <v>0</v>
      </c>
      <c r="Q54" s="134" t="inlineStr">
        <is>
          <t>12 -0.24%</t>
        </is>
      </c>
      <c r="R54" s="134" t="inlineStr">
        <is>
          <t>23 -0.22%</t>
        </is>
      </c>
      <c r="S54" s="134" t="inlineStr">
        <is>
          <t>12 -0.14%</t>
        </is>
      </c>
      <c r="T54" s="134" t="inlineStr">
        <is>
          <t>7 0.03%</t>
        </is>
      </c>
      <c r="U54" s="134" t="inlineStr">
        <is>
          <t>2 1.04%</t>
        </is>
      </c>
    </row>
    <row customHeight="1" ht="17" r="55" s="155">
      <c r="A55" s="105" t="n">
        <v>43180</v>
      </c>
      <c r="B55" s="134" t="n">
        <v>1039.061</v>
      </c>
      <c r="C55" s="150" t="n">
        <v>-1.299</v>
      </c>
      <c r="D55" s="151" t="n">
        <v>-0.0013</v>
      </c>
      <c r="E55" s="134" t="n">
        <v>107.796</v>
      </c>
      <c r="F55" s="134" t="n">
        <v>106</v>
      </c>
      <c r="G55" s="134" t="n">
        <v>95.06999999999999</v>
      </c>
      <c r="H55" s="134" t="n">
        <v>129.43</v>
      </c>
      <c r="I55" s="104" t="n">
        <v>0.2163</v>
      </c>
      <c r="J55" s="104" t="n">
        <v>0.1262</v>
      </c>
      <c r="K55" s="104" t="n">
        <v>0.0069</v>
      </c>
      <c r="L55" s="134" t="n">
        <v>18.08</v>
      </c>
      <c r="M55" s="134" t="n">
        <v>916.53</v>
      </c>
      <c r="N55" s="104" t="n">
        <v>0.0197</v>
      </c>
      <c r="O55" s="134" t="n">
        <v>56</v>
      </c>
      <c r="P55" s="134" t="n">
        <v>0</v>
      </c>
      <c r="Q55" s="134" t="inlineStr">
        <is>
          <t>13 0.00%</t>
        </is>
      </c>
      <c r="R55" s="134" t="inlineStr">
        <is>
          <t>21 0.08%</t>
        </is>
      </c>
      <c r="S55" s="134" t="inlineStr">
        <is>
          <t>14 -0.14%</t>
        </is>
      </c>
      <c r="T55" s="134" t="inlineStr">
        <is>
          <t>7 -0.73%</t>
        </is>
      </c>
      <c r="U55" s="134" t="inlineStr">
        <is>
          <t>1 -1.63%</t>
        </is>
      </c>
    </row>
    <row customHeight="1" ht="17" r="56" s="155">
      <c r="A56" s="105" t="n">
        <v>43181</v>
      </c>
      <c r="B56" s="134" t="n">
        <v>1037.094</v>
      </c>
      <c r="C56" s="150" t="n">
        <v>-1.967</v>
      </c>
      <c r="D56" s="151" t="n">
        <v>-0.0019</v>
      </c>
      <c r="E56" s="134" t="n">
        <v>107.578</v>
      </c>
      <c r="F56" s="134" t="n">
        <v>106.13</v>
      </c>
      <c r="G56" s="134" t="n">
        <v>94.91</v>
      </c>
      <c r="H56" s="134" t="n">
        <v>128.96</v>
      </c>
      <c r="I56" s="104" t="n">
        <v>0.2138</v>
      </c>
      <c r="J56" s="104" t="n">
        <v>0.128</v>
      </c>
      <c r="K56" s="104" t="n">
        <v>0.0073</v>
      </c>
      <c r="L56" s="134" t="n">
        <v>14.12</v>
      </c>
      <c r="M56" s="134" t="n">
        <v>916.53</v>
      </c>
      <c r="N56" s="104" t="n">
        <v>0.0154</v>
      </c>
      <c r="O56" s="134" t="n">
        <v>56</v>
      </c>
      <c r="P56" s="134" t="n">
        <v>0</v>
      </c>
      <c r="Q56" s="134" t="inlineStr">
        <is>
          <t>13 -0.15%</t>
        </is>
      </c>
      <c r="R56" s="134" t="inlineStr">
        <is>
          <t>21 0.20%</t>
        </is>
      </c>
      <c r="S56" s="134" t="inlineStr">
        <is>
          <t>18 -0.43%</t>
        </is>
      </c>
      <c r="T56" s="134" t="inlineStr">
        <is>
          <t>3 0.15%</t>
        </is>
      </c>
      <c r="U56" s="134" t="inlineStr">
        <is>
          <t>1 -0.87%</t>
        </is>
      </c>
    </row>
    <row customHeight="1" ht="17" r="57" s="155">
      <c r="A57" s="105" t="n">
        <v>43182</v>
      </c>
      <c r="B57" s="134" t="n">
        <v>1020.402</v>
      </c>
      <c r="C57" s="150" t="n">
        <v>-16.692</v>
      </c>
      <c r="D57" s="151" t="n">
        <v>-0.0161</v>
      </c>
      <c r="E57" s="134" t="n">
        <v>105.748</v>
      </c>
      <c r="F57" s="134" t="n">
        <v>104.78</v>
      </c>
      <c r="G57" s="134" t="n">
        <v>90.48</v>
      </c>
      <c r="H57" s="134" t="n">
        <v>131.52</v>
      </c>
      <c r="I57" s="104" t="n">
        <v>0.2578</v>
      </c>
      <c r="J57" s="104" t="n">
        <v>0.1778</v>
      </c>
      <c r="K57" s="104" t="n">
        <v>0.0107</v>
      </c>
      <c r="L57" s="134" t="n">
        <v>33.36</v>
      </c>
      <c r="M57" s="134" t="n">
        <v>936.53</v>
      </c>
      <c r="N57" s="104" t="n">
        <v>0.0356</v>
      </c>
      <c r="O57" s="134" t="n">
        <v>57</v>
      </c>
      <c r="P57" s="134" t="n">
        <v>0</v>
      </c>
      <c r="Q57" s="134" t="inlineStr">
        <is>
          <t>16 -1.32%</t>
        </is>
      </c>
      <c r="R57" s="134" t="inlineStr">
        <is>
          <t>24 -1.12%</t>
        </is>
      </c>
      <c r="S57" s="134" t="inlineStr">
        <is>
          <t>13 -1.65%</t>
        </is>
      </c>
      <c r="T57" s="134" t="inlineStr">
        <is>
          <t>4 -3.16%</t>
        </is>
      </c>
      <c r="U57" s="134" t="n">
        <v>0</v>
      </c>
    </row>
    <row customHeight="1" ht="17" r="58" s="155">
      <c r="A58" s="105" t="n">
        <v>43185</v>
      </c>
      <c r="B58" s="134" t="n">
        <v>1026.855</v>
      </c>
      <c r="C58" s="152" t="n">
        <v>6.453</v>
      </c>
      <c r="D58" s="153" t="n">
        <v>0.0063</v>
      </c>
      <c r="E58" s="134" t="n">
        <v>106.504</v>
      </c>
      <c r="F58" s="134" t="n">
        <v>105.155</v>
      </c>
      <c r="G58" s="134" t="n">
        <v>90.84</v>
      </c>
      <c r="H58" s="134" t="n">
        <v>130.65</v>
      </c>
      <c r="I58" s="104" t="n">
        <v>0.2415</v>
      </c>
      <c r="J58" s="104" t="n">
        <v>0.1477</v>
      </c>
      <c r="K58" s="104" t="n">
        <v>0.0094</v>
      </c>
      <c r="L58" s="134" t="n">
        <v>20.55</v>
      </c>
      <c r="M58" s="134" t="n">
        <v>943.4400000000001</v>
      </c>
      <c r="N58" s="104" t="n">
        <v>0.0218</v>
      </c>
      <c r="O58" s="134" t="n">
        <v>58</v>
      </c>
      <c r="P58" s="134" t="n">
        <v>0</v>
      </c>
      <c r="Q58" s="134" t="inlineStr">
        <is>
          <t>16 0.16%</t>
        </is>
      </c>
      <c r="R58" s="134" t="inlineStr">
        <is>
          <t>23 0.38%</t>
        </is>
      </c>
      <c r="S58" s="134" t="inlineStr">
        <is>
          <t>14 0.88%</t>
        </is>
      </c>
      <c r="T58" s="134" t="inlineStr">
        <is>
          <t>4 2.24%</t>
        </is>
      </c>
      <c r="U58" s="134" t="inlineStr">
        <is>
          <t>1 4.17%</t>
        </is>
      </c>
    </row>
    <row customHeight="1" ht="17" r="59" s="155">
      <c r="A59" s="105" t="n">
        <v>43186</v>
      </c>
      <c r="B59" s="134" t="n">
        <v>1035.323</v>
      </c>
      <c r="C59" s="152" t="n">
        <v>8.468</v>
      </c>
      <c r="D59" s="153" t="n">
        <v>0.0083</v>
      </c>
      <c r="E59" s="134" t="n">
        <v>107.414</v>
      </c>
      <c r="F59" s="134" t="n">
        <v>106.035</v>
      </c>
      <c r="G59" s="134" t="n">
        <v>93.09999999999999</v>
      </c>
      <c r="H59" s="134" t="n">
        <v>129.5</v>
      </c>
      <c r="I59" s="104" t="n">
        <v>0.2209</v>
      </c>
      <c r="J59" s="104" t="n">
        <v>0.138</v>
      </c>
      <c r="K59" s="104" t="n">
        <v>0.007900000000000001</v>
      </c>
      <c r="L59" s="134" t="n">
        <v>21.63</v>
      </c>
      <c r="M59" s="134" t="n">
        <v>943.4400000000001</v>
      </c>
      <c r="N59" s="104" t="n">
        <v>0.0229</v>
      </c>
      <c r="O59" s="134" t="n">
        <v>58</v>
      </c>
      <c r="P59" s="134" t="n">
        <v>0</v>
      </c>
      <c r="Q59" s="134" t="inlineStr">
        <is>
          <t>15 0.51%</t>
        </is>
      </c>
      <c r="R59" s="134" t="inlineStr">
        <is>
          <t>21 0.51%</t>
        </is>
      </c>
      <c r="S59" s="134" t="inlineStr">
        <is>
          <t>17 1.25%</t>
        </is>
      </c>
      <c r="T59" s="134" t="inlineStr">
        <is>
          <t>4 1.48%</t>
        </is>
      </c>
      <c r="U59" s="134" t="inlineStr">
        <is>
          <t>1 2.54%</t>
        </is>
      </c>
    </row>
    <row customHeight="1" ht="17" r="60" s="155">
      <c r="A60" s="105" t="n">
        <v>43187</v>
      </c>
      <c r="B60" s="134" t="n">
        <v>1032.322</v>
      </c>
      <c r="C60" s="150" t="n">
        <v>-3.001</v>
      </c>
      <c r="D60" s="151" t="n">
        <v>-0.0029</v>
      </c>
      <c r="E60" s="134" t="n">
        <v>106.957</v>
      </c>
      <c r="F60" s="134" t="n">
        <v>105.4</v>
      </c>
      <c r="G60" s="134" t="n">
        <v>94.2</v>
      </c>
      <c r="H60" s="134" t="n">
        <v>129.07</v>
      </c>
      <c r="I60" s="104" t="n">
        <v>0.2212</v>
      </c>
      <c r="J60" s="104" t="n">
        <v>0.1449</v>
      </c>
      <c r="K60" s="104" t="n">
        <v>0.008699999999999999</v>
      </c>
      <c r="L60" s="134" t="n">
        <v>16.97</v>
      </c>
      <c r="M60" s="134" t="n">
        <v>950.9400000000001</v>
      </c>
      <c r="N60" s="104" t="n">
        <v>0.0178</v>
      </c>
      <c r="O60" s="134" t="n">
        <v>59</v>
      </c>
      <c r="P60" s="134" t="n">
        <v>0</v>
      </c>
      <c r="Q60" s="134" t="inlineStr">
        <is>
          <t>15 -0.01%</t>
        </is>
      </c>
      <c r="R60" s="134" t="inlineStr">
        <is>
          <t>22 -0.06%</t>
        </is>
      </c>
      <c r="S60" s="134" t="inlineStr">
        <is>
          <t>17 -0.62%</t>
        </is>
      </c>
      <c r="T60" s="134" t="inlineStr">
        <is>
          <t>4 -1.17%</t>
        </is>
      </c>
      <c r="U60" s="134" t="inlineStr">
        <is>
          <t>1 -0.44%</t>
        </is>
      </c>
    </row>
    <row customHeight="1" ht="17" r="61" s="155">
      <c r="A61" s="105" t="n">
        <v>43188</v>
      </c>
      <c r="B61" s="134" t="n">
        <v>1033.199</v>
      </c>
      <c r="C61" s="152" t="n">
        <v>0.877</v>
      </c>
      <c r="D61" s="153" t="n">
        <v>0.0009</v>
      </c>
      <c r="E61" s="134" t="n">
        <v>107.061</v>
      </c>
      <c r="F61" s="134" t="n">
        <v>105.2</v>
      </c>
      <c r="G61" s="134" t="n">
        <v>94.79000000000001</v>
      </c>
      <c r="H61" s="134" t="n">
        <v>128.31</v>
      </c>
      <c r="I61" s="104" t="n">
        <v>0.2125</v>
      </c>
      <c r="J61" s="104" t="n">
        <v>0.1233</v>
      </c>
      <c r="K61" s="104" t="n">
        <v>0.008500000000000001</v>
      </c>
      <c r="L61" s="134" t="n">
        <v>17.97</v>
      </c>
      <c r="M61" s="134" t="n">
        <v>950.9400000000001</v>
      </c>
      <c r="N61" s="104" t="n">
        <v>0.0189</v>
      </c>
      <c r="O61" s="134" t="n">
        <v>59</v>
      </c>
      <c r="P61" s="134" t="n">
        <v>0</v>
      </c>
      <c r="Q61" s="134" t="inlineStr">
        <is>
          <t>15 -0.20%</t>
        </is>
      </c>
      <c r="R61" s="134" t="inlineStr">
        <is>
          <t>22 0.23%</t>
        </is>
      </c>
      <c r="S61" s="134" t="inlineStr">
        <is>
          <t>17 -0.05%</t>
        </is>
      </c>
      <c r="T61" s="134" t="inlineStr">
        <is>
          <t>4 0.72%</t>
        </is>
      </c>
      <c r="U61" s="134" t="inlineStr">
        <is>
          <t>1 0.90%</t>
        </is>
      </c>
    </row>
    <row customHeight="1" ht="17" r="62" s="155">
      <c r="A62" s="105" t="n">
        <v>43189</v>
      </c>
      <c r="B62" s="134" t="n">
        <v>1040.944</v>
      </c>
      <c r="C62" s="152" t="n">
        <v>7.745</v>
      </c>
      <c r="D62" s="153" t="n">
        <v>0.0075</v>
      </c>
      <c r="E62" s="134" t="n">
        <v>107.919</v>
      </c>
      <c r="F62" s="134" t="n">
        <v>105.8</v>
      </c>
      <c r="G62" s="134" t="n">
        <v>94.66</v>
      </c>
      <c r="H62" s="134" t="n">
        <v>128.26</v>
      </c>
      <c r="I62" s="104" t="n">
        <v>0.2034</v>
      </c>
      <c r="J62" s="104" t="n">
        <v>0.1203</v>
      </c>
      <c r="K62" s="104" t="n">
        <v>0.007</v>
      </c>
      <c r="L62" s="134" t="n">
        <v>19.18</v>
      </c>
      <c r="M62" s="134" t="n">
        <v>950.9400000000001</v>
      </c>
      <c r="N62" s="104" t="n">
        <v>0.0202</v>
      </c>
      <c r="O62" s="134" t="n">
        <v>59</v>
      </c>
      <c r="P62" s="134" t="n">
        <v>0</v>
      </c>
      <c r="Q62" s="134" t="inlineStr">
        <is>
          <t>15 0.18%</t>
        </is>
      </c>
      <c r="R62" s="134" t="inlineStr">
        <is>
          <t>22 0.51%</t>
        </is>
      </c>
      <c r="S62" s="134" t="inlineStr">
        <is>
          <t>16 0.89%</t>
        </is>
      </c>
      <c r="T62" s="134" t="inlineStr">
        <is>
          <t>3 2.16%</t>
        </is>
      </c>
      <c r="U62" s="134" t="inlineStr">
        <is>
          <t>3 3.21%</t>
        </is>
      </c>
    </row>
    <row customHeight="1" ht="17" r="63" s="155">
      <c r="A63" s="105" t="n">
        <v>43192</v>
      </c>
      <c r="B63" s="134" t="n">
        <v>1047.858</v>
      </c>
      <c r="C63" s="152" t="n">
        <v>6.914</v>
      </c>
      <c r="D63" s="153" t="n">
        <v>0.0066</v>
      </c>
      <c r="E63" s="134" t="n">
        <v>108.675</v>
      </c>
      <c r="F63" s="134" t="n">
        <v>105.8</v>
      </c>
      <c r="G63" s="134" t="n">
        <v>95.76000000000001</v>
      </c>
      <c r="H63" s="134" t="n">
        <v>129.12</v>
      </c>
      <c r="I63" s="104" t="n">
        <v>0.2044</v>
      </c>
      <c r="J63" s="104" t="n">
        <v>0.1308</v>
      </c>
      <c r="K63" s="104" t="n">
        <v>0.0058</v>
      </c>
      <c r="L63" s="134" t="n">
        <v>19.26</v>
      </c>
      <c r="M63" s="134" t="n">
        <v>950.9400000000001</v>
      </c>
      <c r="N63" s="104" t="n">
        <v>0.0203</v>
      </c>
      <c r="O63" s="134" t="n">
        <v>59</v>
      </c>
      <c r="P63" s="134" t="n">
        <v>0</v>
      </c>
      <c r="Q63" s="134" t="inlineStr">
        <is>
          <t>13 0.11%</t>
        </is>
      </c>
      <c r="R63" s="134" t="inlineStr">
        <is>
          <t>23 0.35%</t>
        </is>
      </c>
      <c r="S63" s="134" t="inlineStr">
        <is>
          <t>16 1.14%</t>
        </is>
      </c>
      <c r="T63" s="134" t="inlineStr">
        <is>
          <t>4 0.94%</t>
        </is>
      </c>
      <c r="U63" s="134" t="inlineStr">
        <is>
          <t>3 2.43%</t>
        </is>
      </c>
    </row>
    <row customHeight="1" ht="17" r="64" s="155">
      <c r="A64" s="105" t="n">
        <v>43193</v>
      </c>
      <c r="B64" s="134" t="n">
        <v>1046.096</v>
      </c>
      <c r="C64" s="150" t="n">
        <v>-1.762</v>
      </c>
      <c r="D64" s="151" t="n">
        <v>-0.0017</v>
      </c>
      <c r="E64" s="134" t="n">
        <v>108.459</v>
      </c>
      <c r="F64" s="134" t="n">
        <v>105.728</v>
      </c>
      <c r="G64" s="134" t="n">
        <v>95.39</v>
      </c>
      <c r="H64" s="134" t="n">
        <v>129.74</v>
      </c>
      <c r="I64" s="104" t="n">
        <v>0.2128</v>
      </c>
      <c r="J64" s="104" t="n">
        <v>0.1435</v>
      </c>
      <c r="K64" s="104" t="n">
        <v>0.0062</v>
      </c>
      <c r="L64" s="134" t="n">
        <v>14.23</v>
      </c>
      <c r="M64" s="134" t="n">
        <v>943.59</v>
      </c>
      <c r="N64" s="104" t="n">
        <v>0.0151</v>
      </c>
      <c r="O64" s="134" t="n">
        <v>59</v>
      </c>
      <c r="P64" s="134" t="n">
        <v>0</v>
      </c>
      <c r="Q64" s="134" t="inlineStr">
        <is>
          <t>13 -0.32%</t>
        </is>
      </c>
      <c r="R64" s="134" t="inlineStr">
        <is>
          <t>23 -0.09%</t>
        </is>
      </c>
      <c r="S64" s="134" t="inlineStr">
        <is>
          <t>16 -0.25%</t>
        </is>
      </c>
      <c r="T64" s="134" t="inlineStr">
        <is>
          <t>4 -0.29%</t>
        </is>
      </c>
      <c r="U64" s="134" t="inlineStr">
        <is>
          <t>3 0.44%</t>
        </is>
      </c>
    </row>
    <row customHeight="1" ht="17" r="65" s="155">
      <c r="A65" s="105" t="n">
        <v>43194</v>
      </c>
      <c r="B65" s="134" t="n">
        <v>1045.887</v>
      </c>
      <c r="C65" s="150" t="n">
        <v>-0.209</v>
      </c>
      <c r="D65" s="151" t="n">
        <v>-0.0002</v>
      </c>
      <c r="E65" s="134" t="n">
        <v>108.394</v>
      </c>
      <c r="F65" s="134" t="n">
        <v>105.47</v>
      </c>
      <c r="G65" s="134" t="n">
        <v>95.48999999999999</v>
      </c>
      <c r="H65" s="134" t="n">
        <v>131.09</v>
      </c>
      <c r="I65" s="104" t="n">
        <v>0.227</v>
      </c>
      <c r="J65" s="104" t="n">
        <v>0.1559</v>
      </c>
      <c r="K65" s="104" t="n">
        <v>0.0062</v>
      </c>
      <c r="L65" s="134" t="n">
        <v>14.51</v>
      </c>
      <c r="M65" s="134" t="n">
        <v>943.59</v>
      </c>
      <c r="N65" s="104" t="n">
        <v>0.0154</v>
      </c>
      <c r="O65" s="134" t="n">
        <v>59</v>
      </c>
      <c r="P65" s="134" t="n">
        <v>0</v>
      </c>
      <c r="Q65" s="134" t="inlineStr">
        <is>
          <t>13 0.17%</t>
        </is>
      </c>
      <c r="R65" s="134" t="inlineStr">
        <is>
          <t>23 0.21%</t>
        </is>
      </c>
      <c r="S65" s="134" t="inlineStr">
        <is>
          <t>16 -0.08%</t>
        </is>
      </c>
      <c r="T65" s="134" t="inlineStr">
        <is>
          <t>5 -0.57%</t>
        </is>
      </c>
      <c r="U65" s="134" t="inlineStr">
        <is>
          <t>2 -2.12%</t>
        </is>
      </c>
    </row>
    <row customHeight="1" ht="17" r="66" s="155">
      <c r="A66" s="105" t="n">
        <v>43199</v>
      </c>
      <c r="B66" s="134" t="n">
        <v>1047.101</v>
      </c>
      <c r="C66" s="152" t="n">
        <v>1.214</v>
      </c>
      <c r="D66" s="153" t="n">
        <v>0.0012</v>
      </c>
      <c r="E66" s="134" t="n">
        <v>108.523</v>
      </c>
      <c r="F66" s="134" t="n">
        <v>105.99</v>
      </c>
      <c r="G66" s="134" t="n">
        <v>94.58</v>
      </c>
      <c r="H66" s="134" t="n">
        <v>131.13</v>
      </c>
      <c r="I66" s="104" t="n">
        <v>0.2261</v>
      </c>
      <c r="J66" s="104" t="n">
        <v>0.1484</v>
      </c>
      <c r="K66" s="104" t="n">
        <v>0.006</v>
      </c>
      <c r="L66" s="134" t="n">
        <v>13.38</v>
      </c>
      <c r="M66" s="134" t="n">
        <v>943.59</v>
      </c>
      <c r="N66" s="104" t="n">
        <v>0.0142</v>
      </c>
      <c r="O66" s="134" t="n">
        <v>59</v>
      </c>
      <c r="P66" s="134" t="n">
        <v>0</v>
      </c>
      <c r="Q66" s="134" t="inlineStr">
        <is>
          <t>15 -0.08%</t>
        </is>
      </c>
      <c r="R66" s="134" t="inlineStr">
        <is>
          <t>21 0.24%</t>
        </is>
      </c>
      <c r="S66" s="134" t="inlineStr">
        <is>
          <t>15 -0.14%</t>
        </is>
      </c>
      <c r="T66" s="134" t="inlineStr">
        <is>
          <t>6 0.79%</t>
        </is>
      </c>
      <c r="U66" s="134" t="inlineStr">
        <is>
          <t>2 0.15%</t>
        </is>
      </c>
    </row>
    <row customHeight="1" ht="17" r="67" s="155">
      <c r="A67" s="105" t="n">
        <v>43200</v>
      </c>
      <c r="B67" s="134" t="n">
        <v>1046.152</v>
      </c>
      <c r="C67" s="150" t="n">
        <v>-0.949</v>
      </c>
      <c r="D67" s="151" t="n">
        <v>-0.0009</v>
      </c>
      <c r="E67" s="134" t="n">
        <v>108.323</v>
      </c>
      <c r="F67" s="134" t="n">
        <v>105.725</v>
      </c>
      <c r="G67" s="134" t="n">
        <v>93.62</v>
      </c>
      <c r="H67" s="134" t="n">
        <v>130.7</v>
      </c>
      <c r="I67" s="104" t="n">
        <v>0.2238</v>
      </c>
      <c r="J67" s="104" t="n">
        <v>0.1386</v>
      </c>
      <c r="K67" s="104" t="n">
        <v>0.0062</v>
      </c>
      <c r="L67" s="134" t="n">
        <v>15.4</v>
      </c>
      <c r="M67" s="134" t="n">
        <v>952.41</v>
      </c>
      <c r="N67" s="104" t="n">
        <v>0.0162</v>
      </c>
      <c r="O67" s="134" t="n">
        <v>60</v>
      </c>
      <c r="P67" s="134" t="n">
        <v>0</v>
      </c>
      <c r="Q67" s="134" t="inlineStr">
        <is>
          <t>17 -0.38%</t>
        </is>
      </c>
      <c r="R67" s="134" t="inlineStr">
        <is>
          <t>19 -0.04%</t>
        </is>
      </c>
      <c r="S67" s="134" t="inlineStr">
        <is>
          <t>15 1.27%</t>
        </is>
      </c>
      <c r="T67" s="134" t="inlineStr">
        <is>
          <t>6 -0.02%</t>
        </is>
      </c>
      <c r="U67" s="134" t="inlineStr">
        <is>
          <t>3 0.30%</t>
        </is>
      </c>
    </row>
    <row customHeight="1" ht="17" r="68" s="155">
      <c r="A68" s="105" t="n">
        <v>43201</v>
      </c>
      <c r="B68" s="134" t="n">
        <v>1048.297</v>
      </c>
      <c r="C68" s="152" t="n">
        <v>2.145</v>
      </c>
      <c r="D68" s="153" t="n">
        <v>0.0021</v>
      </c>
      <c r="E68" s="134" t="n">
        <v>108.757</v>
      </c>
      <c r="F68" s="134" t="n">
        <v>105.992</v>
      </c>
      <c r="G68" s="134" t="n">
        <v>94.06</v>
      </c>
      <c r="H68" s="134" t="n">
        <v>130.5</v>
      </c>
      <c r="I68" s="104" t="n">
        <v>0.2174</v>
      </c>
      <c r="J68" s="104" t="n">
        <v>0.1382</v>
      </c>
      <c r="K68" s="104" t="n">
        <v>0.0056</v>
      </c>
      <c r="L68" s="134" t="n">
        <v>17.5</v>
      </c>
      <c r="M68" s="134" t="n">
        <v>957.21</v>
      </c>
      <c r="N68" s="104" t="n">
        <v>0.0183</v>
      </c>
      <c r="O68" s="134" t="n">
        <v>61</v>
      </c>
      <c r="P68" s="134" t="n">
        <v>0</v>
      </c>
      <c r="Q68" s="134" t="inlineStr">
        <is>
          <t>17 0.00%</t>
        </is>
      </c>
      <c r="R68" s="134" t="inlineStr">
        <is>
          <t>19 0.24%</t>
        </is>
      </c>
      <c r="S68" s="134" t="inlineStr">
        <is>
          <t>17 0.44%</t>
        </is>
      </c>
      <c r="T68" s="134" t="inlineStr">
        <is>
          <t>5 0.29%</t>
        </is>
      </c>
      <c r="U68" s="134" t="inlineStr">
        <is>
          <t>3 1.91%</t>
        </is>
      </c>
    </row>
    <row customHeight="1" ht="17" r="69" s="155">
      <c r="A69" s="105" t="n">
        <v>43202</v>
      </c>
      <c r="B69" s="134" t="n">
        <v>1045.127</v>
      </c>
      <c r="C69" s="150" t="n">
        <v>-3.17</v>
      </c>
      <c r="D69" s="151" t="n">
        <v>-0.003</v>
      </c>
      <c r="E69" s="134" t="n">
        <v>108.378</v>
      </c>
      <c r="F69" s="134" t="n">
        <v>106.139</v>
      </c>
      <c r="G69" s="134" t="n">
        <v>93.20999999999999</v>
      </c>
      <c r="H69" s="134" t="n">
        <v>130.6</v>
      </c>
      <c r="I69" s="104" t="n">
        <v>0.2222</v>
      </c>
      <c r="J69" s="104" t="n">
        <v>0.1362</v>
      </c>
      <c r="K69" s="104" t="n">
        <v>0.0062</v>
      </c>
      <c r="L69" s="134" t="n">
        <v>14.57</v>
      </c>
      <c r="M69" s="134" t="n">
        <v>1007.2</v>
      </c>
      <c r="N69" s="104" t="n">
        <v>0.0145</v>
      </c>
      <c r="O69" s="134" t="n">
        <v>62</v>
      </c>
      <c r="P69" s="134" t="n">
        <v>0</v>
      </c>
      <c r="Q69" s="134" t="inlineStr">
        <is>
          <t>18 -0.06%</t>
        </is>
      </c>
      <c r="R69" s="134" t="inlineStr">
        <is>
          <t>19 -0.25%</t>
        </is>
      </c>
      <c r="S69" s="134" t="inlineStr">
        <is>
          <t>17 -0.58%</t>
        </is>
      </c>
      <c r="T69" s="134" t="inlineStr">
        <is>
          <t>5 -0.16%</t>
        </is>
      </c>
      <c r="U69" s="134" t="inlineStr">
        <is>
          <t>3 -0.80%</t>
        </is>
      </c>
    </row>
    <row customHeight="1" ht="17" r="70" s="155">
      <c r="A70" s="105" t="n">
        <v>43203</v>
      </c>
      <c r="B70" s="134" t="n">
        <v>1042.324</v>
      </c>
      <c r="C70" s="150" t="n">
        <v>-2.803</v>
      </c>
      <c r="D70" s="151" t="n">
        <v>-0.0027</v>
      </c>
      <c r="E70" s="134" t="n">
        <v>108.081</v>
      </c>
      <c r="F70" s="134" t="n">
        <v>105.829</v>
      </c>
      <c r="G70" s="134" t="n">
        <v>92.91</v>
      </c>
      <c r="H70" s="134" t="n">
        <v>130.27</v>
      </c>
      <c r="I70" s="104" t="n">
        <v>0.2218</v>
      </c>
      <c r="J70" s="104" t="n">
        <v>0.1361</v>
      </c>
      <c r="K70" s="104" t="n">
        <v>0.0067</v>
      </c>
      <c r="L70" s="134" t="n">
        <v>13.04</v>
      </c>
      <c r="M70" s="134" t="n">
        <v>1007.2</v>
      </c>
      <c r="N70" s="104" t="n">
        <v>0.0129</v>
      </c>
      <c r="O70" s="134" t="n">
        <v>62</v>
      </c>
      <c r="P70" s="134" t="n">
        <v>0</v>
      </c>
      <c r="Q70" s="134" t="inlineStr">
        <is>
          <t>18 -0.16%</t>
        </is>
      </c>
      <c r="R70" s="134" t="inlineStr">
        <is>
          <t>19 -0.22%</t>
        </is>
      </c>
      <c r="S70" s="134" t="inlineStr">
        <is>
          <t>17 -0.42%</t>
        </is>
      </c>
      <c r="T70" s="134" t="inlineStr">
        <is>
          <t>5 -0.47%</t>
        </is>
      </c>
      <c r="U70" s="134" t="inlineStr">
        <is>
          <t>3 -0.01%</t>
        </is>
      </c>
    </row>
    <row customHeight="1" ht="17" r="71" s="155">
      <c r="A71" s="105" t="n">
        <v>43206</v>
      </c>
      <c r="B71" s="134" t="n">
        <v>1038.938</v>
      </c>
      <c r="C71" s="150" t="n">
        <v>-3.386</v>
      </c>
      <c r="D71" s="151" t="n">
        <v>-0.0033</v>
      </c>
      <c r="E71" s="134" t="n">
        <v>107.761</v>
      </c>
      <c r="F71" s="134" t="n">
        <v>105.213</v>
      </c>
      <c r="G71" s="134" t="n">
        <v>92.59</v>
      </c>
      <c r="H71" s="134" t="n">
        <v>130.26</v>
      </c>
      <c r="I71" s="104" t="n">
        <v>0.225</v>
      </c>
      <c r="J71" s="104" t="n">
        <v>0.1521</v>
      </c>
      <c r="K71" s="104" t="n">
        <v>0.0074</v>
      </c>
      <c r="L71" s="134" t="n">
        <v>17.72</v>
      </c>
      <c r="M71" s="134" t="n">
        <v>1007.2</v>
      </c>
      <c r="N71" s="104" t="n">
        <v>0.0176</v>
      </c>
      <c r="O71" s="134" t="n">
        <v>62</v>
      </c>
      <c r="P71" s="134" t="n">
        <v>0</v>
      </c>
      <c r="Q71" s="134" t="inlineStr">
        <is>
          <t>17 -0.35%</t>
        </is>
      </c>
      <c r="R71" s="134" t="inlineStr">
        <is>
          <t>21 -0.52%</t>
        </is>
      </c>
      <c r="S71" s="134" t="inlineStr">
        <is>
          <t>17 -0.62%</t>
        </is>
      </c>
      <c r="T71" s="134" t="inlineStr">
        <is>
          <t>5 0.08%</t>
        </is>
      </c>
      <c r="U71" s="134" t="inlineStr">
        <is>
          <t>2 3.43%</t>
        </is>
      </c>
    </row>
    <row customHeight="1" ht="17" r="72" s="155">
      <c r="A72" s="105" t="n">
        <v>43207</v>
      </c>
      <c r="B72" s="134" t="n">
        <v>1033.835</v>
      </c>
      <c r="C72" s="150" t="n">
        <v>-5.103</v>
      </c>
      <c r="D72" s="151" t="n">
        <v>-0.0049</v>
      </c>
      <c r="E72" s="134" t="n">
        <v>107.17</v>
      </c>
      <c r="F72" s="134" t="n">
        <v>104.805</v>
      </c>
      <c r="G72" s="134" t="n">
        <v>90.19</v>
      </c>
      <c r="H72" s="134" t="n">
        <v>131.68</v>
      </c>
      <c r="I72" s="104" t="n">
        <v>0.2451</v>
      </c>
      <c r="J72" s="104" t="n">
        <v>0.1801</v>
      </c>
      <c r="K72" s="104" t="n">
        <v>0.008399999999999999</v>
      </c>
      <c r="L72" s="134" t="n">
        <v>20.33</v>
      </c>
      <c r="M72" s="134" t="n">
        <v>1007.2</v>
      </c>
      <c r="N72" s="104" t="n">
        <v>0.0202</v>
      </c>
      <c r="O72" s="134" t="n">
        <v>62</v>
      </c>
      <c r="P72" s="134" t="n">
        <v>0</v>
      </c>
      <c r="Q72" s="134" t="inlineStr">
        <is>
          <t>17 0.13%</t>
        </is>
      </c>
      <c r="R72" s="134" t="inlineStr">
        <is>
          <t>21 -0.34%</t>
        </is>
      </c>
      <c r="S72" s="134" t="inlineStr">
        <is>
          <t>18 -1.10%</t>
        </is>
      </c>
      <c r="T72" s="134" t="inlineStr">
        <is>
          <t>4 -0.87%</t>
        </is>
      </c>
      <c r="U72" s="134" t="inlineStr">
        <is>
          <t>2 -1.13%</t>
        </is>
      </c>
    </row>
    <row customHeight="1" ht="17" r="73" s="155">
      <c r="A73" s="105" t="n">
        <v>43208</v>
      </c>
      <c r="B73" s="134" t="n">
        <v>1039.583</v>
      </c>
      <c r="C73" s="152" t="n">
        <v>5.748</v>
      </c>
      <c r="D73" s="153" t="n">
        <v>0.0056</v>
      </c>
      <c r="E73" s="134" t="n">
        <v>107.857</v>
      </c>
      <c r="F73" s="134" t="n">
        <v>105.17</v>
      </c>
      <c r="G73" s="134" t="n">
        <v>90.77</v>
      </c>
      <c r="H73" s="134" t="n">
        <v>131.63</v>
      </c>
      <c r="I73" s="104" t="n">
        <v>0.2377</v>
      </c>
      <c r="J73" s="104" t="n">
        <v>0.1729</v>
      </c>
      <c r="K73" s="104" t="n">
        <v>0.0074</v>
      </c>
      <c r="L73" s="134" t="n">
        <v>21.51</v>
      </c>
      <c r="M73" s="134" t="n">
        <v>1007.2</v>
      </c>
      <c r="N73" s="104" t="n">
        <v>0.0214</v>
      </c>
      <c r="O73" s="134" t="n">
        <v>62</v>
      </c>
      <c r="P73" s="134" t="n">
        <v>0</v>
      </c>
      <c r="Q73" s="134" t="inlineStr">
        <is>
          <t>17 0.13%</t>
        </is>
      </c>
      <c r="R73" s="134" t="inlineStr">
        <is>
          <t>21 0.04%</t>
        </is>
      </c>
      <c r="S73" s="134" t="inlineStr">
        <is>
          <t>16 0.51%</t>
        </is>
      </c>
      <c r="T73" s="134" t="inlineStr">
        <is>
          <t>4 2.00%</t>
        </is>
      </c>
      <c r="U73" s="134" t="inlineStr">
        <is>
          <t>4 3.83%</t>
        </is>
      </c>
    </row>
    <row customHeight="1" ht="17" r="74" s="155">
      <c r="A74" s="105" t="n">
        <v>43209</v>
      </c>
      <c r="B74" s="134" t="n">
        <v>1041.897</v>
      </c>
      <c r="C74" s="152" t="n">
        <v>2.314</v>
      </c>
      <c r="D74" s="153" t="n">
        <v>0.0022</v>
      </c>
      <c r="E74" s="134" t="n">
        <v>108.09</v>
      </c>
      <c r="F74" s="134" t="n">
        <v>106</v>
      </c>
      <c r="G74" s="134" t="n">
        <v>90.59</v>
      </c>
      <c r="H74" s="134" t="n">
        <v>131.91</v>
      </c>
      <c r="I74" s="104" t="n">
        <v>0.2382</v>
      </c>
      <c r="J74" s="104" t="n">
        <v>0.1616</v>
      </c>
      <c r="K74" s="104" t="n">
        <v>0.0069</v>
      </c>
      <c r="L74" s="134" t="n">
        <v>17.58</v>
      </c>
      <c r="M74" s="134" t="n">
        <v>1007.2</v>
      </c>
      <c r="N74" s="104" t="n">
        <v>0.0175</v>
      </c>
      <c r="O74" s="134" t="n">
        <v>62</v>
      </c>
      <c r="P74" s="134" t="n">
        <v>0</v>
      </c>
      <c r="Q74" s="134" t="inlineStr">
        <is>
          <t>18 -0.15%</t>
        </is>
      </c>
      <c r="R74" s="134" t="inlineStr">
        <is>
          <t>20 0.37%</t>
        </is>
      </c>
      <c r="S74" s="134" t="inlineStr">
        <is>
          <t>15 0.35%</t>
        </is>
      </c>
      <c r="T74" s="134" t="inlineStr">
        <is>
          <t>6 0.20%</t>
        </is>
      </c>
      <c r="U74" s="134" t="inlineStr">
        <is>
          <t>3 0.25%</t>
        </is>
      </c>
    </row>
    <row customHeight="1" ht="17" r="75" s="155">
      <c r="A75" s="105" t="n">
        <v>43210</v>
      </c>
      <c r="B75" s="134" t="n">
        <v>1034.85</v>
      </c>
      <c r="C75" s="150" t="n">
        <v>-7.047</v>
      </c>
      <c r="D75" s="151" t="n">
        <v>-0.0068</v>
      </c>
      <c r="E75" s="134" t="n">
        <v>107.162</v>
      </c>
      <c r="F75" s="134" t="n">
        <v>104.23</v>
      </c>
      <c r="G75" s="134" t="n">
        <v>88.72</v>
      </c>
      <c r="H75" s="134" t="n">
        <v>132.56</v>
      </c>
      <c r="I75" s="104" t="n">
        <v>0.254</v>
      </c>
      <c r="J75" s="104" t="n">
        <v>0.1809</v>
      </c>
      <c r="K75" s="104" t="n">
        <v>0.008699999999999999</v>
      </c>
      <c r="L75" s="134" t="n">
        <v>12.89</v>
      </c>
      <c r="M75" s="134" t="n">
        <v>1009.01</v>
      </c>
      <c r="N75" s="104" t="n">
        <v>0.0128</v>
      </c>
      <c r="O75" s="134" t="n">
        <v>63</v>
      </c>
      <c r="P75" s="134" t="n">
        <v>0</v>
      </c>
      <c r="Q75" s="134" t="inlineStr">
        <is>
          <t>20 -0.56%</t>
        </is>
      </c>
      <c r="R75" s="134" t="inlineStr">
        <is>
          <t>19 -0.81%</t>
        </is>
      </c>
      <c r="S75" s="134" t="inlineStr">
        <is>
          <t>16 -0.52%</t>
        </is>
      </c>
      <c r="T75" s="134" t="inlineStr">
        <is>
          <t>6 -0.55%</t>
        </is>
      </c>
      <c r="U75" s="134" t="inlineStr">
        <is>
          <t>2 -2.18%</t>
        </is>
      </c>
    </row>
    <row customHeight="1" ht="17" r="76" s="155">
      <c r="A76" s="105" t="n">
        <v>43213</v>
      </c>
      <c r="B76" s="134" t="n">
        <v>1020.779</v>
      </c>
      <c r="C76" s="150" t="n">
        <v>-14.071</v>
      </c>
      <c r="D76" s="151" t="n">
        <v>-0.0136</v>
      </c>
      <c r="E76" s="134" t="n">
        <v>105.643</v>
      </c>
      <c r="F76" s="134" t="n">
        <v>103.87</v>
      </c>
      <c r="G76" s="134" t="n">
        <v>88.91</v>
      </c>
      <c r="H76" s="134" t="n">
        <v>130.45</v>
      </c>
      <c r="I76" s="104" t="n">
        <v>0.2481</v>
      </c>
      <c r="J76" s="104" t="n">
        <v>0.1889</v>
      </c>
      <c r="K76" s="104" t="n">
        <v>0.0115</v>
      </c>
      <c r="L76" s="134" t="n">
        <v>15.08</v>
      </c>
      <c r="M76" s="134" t="n">
        <v>1009.01</v>
      </c>
      <c r="N76" s="104" t="n">
        <v>0.0149</v>
      </c>
      <c r="O76" s="134" t="n">
        <v>63</v>
      </c>
      <c r="P76" s="134" t="inlineStr">
        <is>
          <t>1 -8.23%</t>
        </is>
      </c>
      <c r="Q76" s="134" t="inlineStr">
        <is>
          <t>20 -0.96%</t>
        </is>
      </c>
      <c r="R76" s="134" t="inlineStr">
        <is>
          <t>22 -1.08%</t>
        </is>
      </c>
      <c r="S76" s="134" t="inlineStr">
        <is>
          <t>13 -1.59%</t>
        </is>
      </c>
      <c r="T76" s="134" t="inlineStr">
        <is>
          <t>5 -1.35%</t>
        </is>
      </c>
      <c r="U76" s="134" t="inlineStr">
        <is>
          <t>2 -3.58%</t>
        </is>
      </c>
    </row>
    <row customHeight="1" ht="17" r="77" s="155">
      <c r="A77" s="105" t="n">
        <v>43214</v>
      </c>
      <c r="B77" s="134" t="n">
        <v>1033.354</v>
      </c>
      <c r="C77" s="152" t="n">
        <v>12.575</v>
      </c>
      <c r="D77" s="153" t="n">
        <v>0.0123</v>
      </c>
      <c r="E77" s="134" t="n">
        <v>107.04</v>
      </c>
      <c r="F77" s="134" t="n">
        <v>104.59</v>
      </c>
      <c r="G77" s="134" t="n">
        <v>90.81</v>
      </c>
      <c r="H77" s="134" t="n">
        <v>129.94</v>
      </c>
      <c r="I77" s="104" t="n">
        <v>0.229</v>
      </c>
      <c r="J77" s="104" t="n">
        <v>0.1666</v>
      </c>
      <c r="K77" s="104" t="n">
        <v>0.0092</v>
      </c>
      <c r="L77" s="134" t="n">
        <v>20.94</v>
      </c>
      <c r="M77" s="134" t="n">
        <v>1009.01</v>
      </c>
      <c r="N77" s="104" t="n">
        <v>0.0207</v>
      </c>
      <c r="O77" s="134" t="n">
        <v>63</v>
      </c>
      <c r="P77" s="134" t="inlineStr">
        <is>
          <t>1 -2.16%</t>
        </is>
      </c>
      <c r="Q77" s="134" t="inlineStr">
        <is>
          <t>19 0.39%</t>
        </is>
      </c>
      <c r="R77" s="134" t="inlineStr">
        <is>
          <t>19 1.16%</t>
        </is>
      </c>
      <c r="S77" s="134" t="inlineStr">
        <is>
          <t>15 1.49%</t>
        </is>
      </c>
      <c r="T77" s="134" t="inlineStr">
        <is>
          <t>6 2.88%</t>
        </is>
      </c>
      <c r="U77" s="134" t="inlineStr">
        <is>
          <t>3 3.60%</t>
        </is>
      </c>
    </row>
    <row customHeight="1" ht="17" r="78" s="155">
      <c r="A78" s="105" t="n">
        <v>43215</v>
      </c>
      <c r="B78" s="134" t="n">
        <v>1032.891</v>
      </c>
      <c r="C78" s="150" t="n">
        <v>-0.463</v>
      </c>
      <c r="D78" s="151" t="n">
        <v>-0.0005</v>
      </c>
      <c r="E78" s="134" t="n">
        <v>107.035</v>
      </c>
      <c r="F78" s="134" t="n">
        <v>105.03</v>
      </c>
      <c r="G78" s="134" t="n">
        <v>90.28</v>
      </c>
      <c r="H78" s="134" t="n">
        <v>130</v>
      </c>
      <c r="I78" s="104" t="n">
        <v>0.2297</v>
      </c>
      <c r="J78" s="104" t="n">
        <v>0.1769</v>
      </c>
      <c r="K78" s="104" t="n">
        <v>0.009299999999999999</v>
      </c>
      <c r="L78" s="134" t="n">
        <v>14.06</v>
      </c>
      <c r="M78" s="134" t="n">
        <v>1009.01</v>
      </c>
      <c r="N78" s="104" t="n">
        <v>0.0139</v>
      </c>
      <c r="O78" s="134" t="n">
        <v>63</v>
      </c>
      <c r="P78" s="134" t="inlineStr">
        <is>
          <t>1 0.63%</t>
        </is>
      </c>
      <c r="Q78" s="134" t="inlineStr">
        <is>
          <t>19 -0.56%</t>
        </is>
      </c>
      <c r="R78" s="134" t="inlineStr">
        <is>
          <t>20 -0.17%</t>
        </is>
      </c>
      <c r="S78" s="134" t="inlineStr">
        <is>
          <t>14 -0.16%</t>
        </is>
      </c>
      <c r="T78" s="134" t="inlineStr">
        <is>
          <t>6 0.10%</t>
        </is>
      </c>
      <c r="U78" s="134" t="inlineStr">
        <is>
          <t>3 2.65%</t>
        </is>
      </c>
    </row>
    <row customHeight="1" ht="17" r="79" s="155">
      <c r="A79" s="105" t="n">
        <v>43216</v>
      </c>
      <c r="B79" s="134" t="n">
        <v>1026.343</v>
      </c>
      <c r="C79" s="150" t="n">
        <v>-6.548</v>
      </c>
      <c r="D79" s="151" t="n">
        <v>-0.0063</v>
      </c>
      <c r="E79" s="134" t="n">
        <v>106.128</v>
      </c>
      <c r="F79" s="134" t="n">
        <v>103.205</v>
      </c>
      <c r="G79" s="134" t="n">
        <v>88.09</v>
      </c>
      <c r="H79" s="134" t="n">
        <v>130.34</v>
      </c>
      <c r="I79" s="104" t="n">
        <v>0.2422</v>
      </c>
      <c r="J79" s="104" t="n">
        <v>0.171</v>
      </c>
      <c r="K79" s="104" t="n">
        <v>0.0109</v>
      </c>
      <c r="L79" s="134" t="n">
        <v>12.87</v>
      </c>
      <c r="M79" s="134" t="n">
        <v>1015.04</v>
      </c>
      <c r="N79" s="104" t="n">
        <v>0.0127</v>
      </c>
      <c r="O79" s="134" t="n">
        <v>64</v>
      </c>
      <c r="P79" s="134" t="inlineStr">
        <is>
          <t>1 0.92%</t>
        </is>
      </c>
      <c r="Q79" s="134" t="inlineStr">
        <is>
          <t>21 -0.29%</t>
        </is>
      </c>
      <c r="R79" s="134" t="inlineStr">
        <is>
          <t>20 -0.85%</t>
        </is>
      </c>
      <c r="S79" s="134" t="inlineStr">
        <is>
          <t>15 -0.82%</t>
        </is>
      </c>
      <c r="T79" s="134" t="inlineStr">
        <is>
          <t>4 -0.53%</t>
        </is>
      </c>
      <c r="U79" s="134" t="inlineStr">
        <is>
          <t>3 -1.33%</t>
        </is>
      </c>
    </row>
    <row customHeight="1" ht="17" r="80" s="155">
      <c r="A80" s="105" t="n">
        <v>43217</v>
      </c>
      <c r="B80" s="134" t="n">
        <v>1027.935</v>
      </c>
      <c r="C80" s="152" t="n">
        <v>1.592</v>
      </c>
      <c r="D80" s="153" t="n">
        <v>0.0016</v>
      </c>
      <c r="E80" s="134" t="n">
        <v>106.318</v>
      </c>
      <c r="F80" s="134" t="n">
        <v>103.505</v>
      </c>
      <c r="G80" s="134" t="n">
        <v>88.78</v>
      </c>
      <c r="H80" s="134" t="n">
        <v>130.75</v>
      </c>
      <c r="I80" s="104" t="n">
        <v>0.2443</v>
      </c>
      <c r="J80" s="104" t="n">
        <v>0.1654</v>
      </c>
      <c r="K80" s="104" t="n">
        <v>0.0106</v>
      </c>
      <c r="L80" s="134" t="n">
        <v>13.96</v>
      </c>
      <c r="M80" s="134" t="n">
        <v>1015.04</v>
      </c>
      <c r="N80" s="104" t="n">
        <v>0.0138</v>
      </c>
      <c r="O80" s="134" t="n">
        <v>64</v>
      </c>
      <c r="P80" s="134" t="inlineStr">
        <is>
          <t>1 -0.32%</t>
        </is>
      </c>
      <c r="Q80" s="134" t="inlineStr">
        <is>
          <t>21 -0.03%</t>
        </is>
      </c>
      <c r="R80" s="134" t="inlineStr">
        <is>
          <t>21 0.30%</t>
        </is>
      </c>
      <c r="S80" s="134" t="inlineStr">
        <is>
          <t>14 -0.15%</t>
        </is>
      </c>
      <c r="T80" s="134" t="inlineStr">
        <is>
          <t>3 0.36%</t>
        </is>
      </c>
      <c r="U80" s="134" t="inlineStr">
        <is>
          <t>4 1.44%</t>
        </is>
      </c>
    </row>
    <row customHeight="1" ht="17" r="81" s="155">
      <c r="A81" s="105" t="n">
        <v>43222</v>
      </c>
      <c r="B81" s="134" t="n">
        <v>1025.707</v>
      </c>
      <c r="C81" s="150" t="n">
        <v>-2.228</v>
      </c>
      <c r="D81" s="151" t="n">
        <v>-0.0022</v>
      </c>
      <c r="E81" s="134" t="n">
        <v>106.099</v>
      </c>
      <c r="F81" s="134" t="n">
        <v>103.235</v>
      </c>
      <c r="G81" s="134" t="n">
        <v>89.54000000000001</v>
      </c>
      <c r="H81" s="134" t="n">
        <v>130.14</v>
      </c>
      <c r="I81" s="104" t="n">
        <v>0.2404</v>
      </c>
      <c r="J81" s="104" t="n">
        <v>0.1746</v>
      </c>
      <c r="K81" s="104" t="n">
        <v>0.0111</v>
      </c>
      <c r="L81" s="134" t="n">
        <v>10.1</v>
      </c>
      <c r="M81" s="134" t="n">
        <v>1015.04</v>
      </c>
      <c r="N81" s="104" t="n">
        <v>0.009900000000000001</v>
      </c>
      <c r="O81" s="134" t="n">
        <v>64</v>
      </c>
      <c r="P81" s="134" t="inlineStr">
        <is>
          <t>1 -0.33%</t>
        </is>
      </c>
      <c r="Q81" s="134" t="inlineStr">
        <is>
          <t>20 -0.16%</t>
        </is>
      </c>
      <c r="R81" s="134" t="inlineStr">
        <is>
          <t>26 -0.45%</t>
        </is>
      </c>
      <c r="S81" s="134" t="inlineStr">
        <is>
          <t>10 0.05%</t>
        </is>
      </c>
      <c r="T81" s="134" t="inlineStr">
        <is>
          <t>3 -0.44%</t>
        </is>
      </c>
      <c r="U81" s="134" t="inlineStr">
        <is>
          <t>4 0.53%</t>
        </is>
      </c>
    </row>
    <row customHeight="1" ht="17" r="82" s="155">
      <c r="A82" s="105" t="n">
        <v>43223</v>
      </c>
      <c r="B82" s="134" t="n">
        <v>1030.653</v>
      </c>
      <c r="C82" s="152" t="n">
        <v>4.946</v>
      </c>
      <c r="D82" s="153" t="n">
        <v>0.0048</v>
      </c>
      <c r="E82" s="134" t="n">
        <v>106.6</v>
      </c>
      <c r="F82" s="134" t="n">
        <v>103.845</v>
      </c>
      <c r="G82" s="134" t="n">
        <v>90.98999999999999</v>
      </c>
      <c r="H82" s="134" t="n">
        <v>129.34</v>
      </c>
      <c r="I82" s="104" t="n">
        <v>0.2274</v>
      </c>
      <c r="J82" s="104" t="n">
        <v>0.1452</v>
      </c>
      <c r="K82" s="104" t="n">
        <v>0.0103</v>
      </c>
      <c r="L82" s="134" t="n">
        <v>16.34</v>
      </c>
      <c r="M82" s="134" t="n">
        <v>1015.04</v>
      </c>
      <c r="N82" s="104" t="n">
        <v>0.0161</v>
      </c>
      <c r="O82" s="134" t="n">
        <v>64</v>
      </c>
      <c r="P82" s="134" t="inlineStr">
        <is>
          <t>1 0.12%</t>
        </is>
      </c>
      <c r="Q82" s="134" t="inlineStr">
        <is>
          <t>19 0.38%</t>
        </is>
      </c>
      <c r="R82" s="134" t="inlineStr">
        <is>
          <t>24 0.27%</t>
        </is>
      </c>
      <c r="S82" s="134" t="inlineStr">
        <is>
          <t>13 1.11%</t>
        </is>
      </c>
      <c r="T82" s="134" t="inlineStr">
        <is>
          <t>3 0.71%</t>
        </is>
      </c>
      <c r="U82" s="134" t="inlineStr">
        <is>
          <t>4 0.08%</t>
        </is>
      </c>
    </row>
    <row customHeight="1" ht="17" r="83" s="155">
      <c r="A83" s="105" t="n">
        <v>43224</v>
      </c>
      <c r="B83" s="134" t="n">
        <v>1034.306</v>
      </c>
      <c r="C83" s="152" t="n">
        <v>3.653</v>
      </c>
      <c r="D83" s="153" t="n">
        <v>0.0035</v>
      </c>
      <c r="E83" s="134" t="n">
        <v>106.944</v>
      </c>
      <c r="F83" s="134" t="n">
        <v>104.379</v>
      </c>
      <c r="G83" s="134" t="n">
        <v>90.94</v>
      </c>
      <c r="H83" s="134" t="n">
        <v>130.71</v>
      </c>
      <c r="I83" s="104" t="n">
        <v>0.2377</v>
      </c>
      <c r="J83" s="104" t="n">
        <v>0.1718</v>
      </c>
      <c r="K83" s="104" t="n">
        <v>0.0097</v>
      </c>
      <c r="L83" s="134" t="n">
        <v>13.8</v>
      </c>
      <c r="M83" s="134" t="n">
        <v>1008.04</v>
      </c>
      <c r="N83" s="104" t="n">
        <v>0.0137</v>
      </c>
      <c r="O83" s="134" t="n">
        <v>63</v>
      </c>
      <c r="P83" s="134" t="inlineStr">
        <is>
          <t>1 0.09%</t>
        </is>
      </c>
      <c r="Q83" s="134" t="inlineStr">
        <is>
          <t>20 0.17%</t>
        </is>
      </c>
      <c r="R83" s="134" t="inlineStr">
        <is>
          <t>23 0.15%</t>
        </is>
      </c>
      <c r="S83" s="134" t="inlineStr">
        <is>
          <t>12 0.52%</t>
        </is>
      </c>
      <c r="T83" s="134" t="inlineStr">
        <is>
          <t>3 0.67%</t>
        </is>
      </c>
      <c r="U83" s="134" t="inlineStr">
        <is>
          <t>4 1.81%</t>
        </is>
      </c>
    </row>
    <row customHeight="1" ht="17" r="84" s="155">
      <c r="A84" s="105" t="n">
        <v>43227</v>
      </c>
      <c r="B84" s="134" t="n">
        <v>1045.426</v>
      </c>
      <c r="C84" s="152" t="n">
        <v>11.12</v>
      </c>
      <c r="D84" s="153" t="n">
        <v>0.0108</v>
      </c>
      <c r="E84" s="134" t="n">
        <v>108.196</v>
      </c>
      <c r="F84" s="134" t="n">
        <v>104.85</v>
      </c>
      <c r="G84" s="134" t="n">
        <v>93.04000000000001</v>
      </c>
      <c r="H84" s="134" t="n">
        <v>130.49</v>
      </c>
      <c r="I84" s="104" t="n">
        <v>0.223</v>
      </c>
      <c r="J84" s="104" t="n">
        <v>0.1595</v>
      </c>
      <c r="K84" s="104" t="n">
        <v>0.0077</v>
      </c>
      <c r="L84" s="134" t="n">
        <v>19.09</v>
      </c>
      <c r="M84" s="134" t="n">
        <v>1008.04</v>
      </c>
      <c r="N84" s="104" t="n">
        <v>0.0189</v>
      </c>
      <c r="O84" s="134" t="n">
        <v>63</v>
      </c>
      <c r="P84" s="134" t="inlineStr">
        <is>
          <t>1 2.69%</t>
        </is>
      </c>
      <c r="Q84" s="134" t="inlineStr">
        <is>
          <t>19 0.39%</t>
        </is>
      </c>
      <c r="R84" s="134" t="inlineStr">
        <is>
          <t>21 0.44%</t>
        </is>
      </c>
      <c r="S84" s="134" t="inlineStr">
        <is>
          <t>12 1.98%</t>
        </is>
      </c>
      <c r="T84" s="134" t="inlineStr">
        <is>
          <t>6 1.25%</t>
        </is>
      </c>
      <c r="U84" s="134" t="inlineStr">
        <is>
          <t>4 3.76%</t>
        </is>
      </c>
    </row>
    <row customHeight="1" ht="17" r="85" s="155">
      <c r="A85" s="105" t="n">
        <v>43228</v>
      </c>
      <c r="B85" s="134" t="n">
        <v>1050.328</v>
      </c>
      <c r="C85" s="152" t="n">
        <v>4.902</v>
      </c>
      <c r="D85" s="153" t="n">
        <v>0.0047</v>
      </c>
      <c r="E85" s="134" t="n">
        <v>108.593</v>
      </c>
      <c r="F85" s="134" t="n">
        <v>104.995</v>
      </c>
      <c r="G85" s="134" t="n">
        <v>92.66</v>
      </c>
      <c r="H85" s="134" t="n">
        <v>130.05</v>
      </c>
      <c r="I85" s="104" t="n">
        <v>0.2146</v>
      </c>
      <c r="J85" s="104" t="n">
        <v>0.147</v>
      </c>
      <c r="K85" s="104" t="n">
        <v>0.0071</v>
      </c>
      <c r="L85" s="134" t="n">
        <v>21.85</v>
      </c>
      <c r="M85" s="134" t="n">
        <v>1008.46</v>
      </c>
      <c r="N85" s="104" t="n">
        <v>0.0217</v>
      </c>
      <c r="O85" s="134" t="n">
        <v>64</v>
      </c>
      <c r="P85" s="134" t="inlineStr">
        <is>
          <t>1 -0.53%</t>
        </is>
      </c>
      <c r="Q85" s="134" t="inlineStr">
        <is>
          <t>20 0.19%</t>
        </is>
      </c>
      <c r="R85" s="134" t="inlineStr">
        <is>
          <t>20 0.28%</t>
        </is>
      </c>
      <c r="S85" s="134" t="inlineStr">
        <is>
          <t>13 0.46%</t>
        </is>
      </c>
      <c r="T85" s="134" t="inlineStr">
        <is>
          <t>5 1.66%</t>
        </is>
      </c>
      <c r="U85" s="134" t="inlineStr">
        <is>
          <t>5 1.37%</t>
        </is>
      </c>
    </row>
    <row customHeight="1" ht="17" r="86" s="155">
      <c r="A86" s="105" t="n">
        <v>43229</v>
      </c>
      <c r="B86" s="134" t="n">
        <v>1049.854</v>
      </c>
      <c r="C86" s="150" t="n">
        <v>-0.474</v>
      </c>
      <c r="D86" s="151" t="n">
        <v>-0.0005</v>
      </c>
      <c r="E86" s="134" t="n">
        <v>108.606</v>
      </c>
      <c r="F86" s="134" t="n">
        <v>104.815</v>
      </c>
      <c r="G86" s="134" t="n">
        <v>92.22</v>
      </c>
      <c r="H86" s="134" t="n">
        <v>129.85</v>
      </c>
      <c r="I86" s="104" t="n">
        <v>0.2125</v>
      </c>
      <c r="J86" s="104" t="n">
        <v>0.1483</v>
      </c>
      <c r="K86" s="104" t="n">
        <v>0.0072</v>
      </c>
      <c r="L86" s="134" t="n">
        <v>14.29</v>
      </c>
      <c r="M86" s="134" t="n">
        <v>1008.46</v>
      </c>
      <c r="N86" s="104" t="n">
        <v>0.0142</v>
      </c>
      <c r="O86" s="134" t="n">
        <v>64</v>
      </c>
      <c r="P86" s="134" t="inlineStr">
        <is>
          <t>1 -0.70%</t>
        </is>
      </c>
      <c r="Q86" s="134" t="inlineStr">
        <is>
          <t>19 -0.19%</t>
        </is>
      </c>
      <c r="R86" s="134" t="inlineStr">
        <is>
          <t>20 -0.11%</t>
        </is>
      </c>
      <c r="S86" s="134" t="inlineStr">
        <is>
          <t>14 -0.10%</t>
        </is>
      </c>
      <c r="T86" s="134" t="inlineStr">
        <is>
          <t>5 -0.23%</t>
        </is>
      </c>
      <c r="U86" s="134" t="inlineStr">
        <is>
          <t>5 1.25%</t>
        </is>
      </c>
    </row>
    <row customHeight="1" ht="17" r="87" s="155">
      <c r="A87" s="105" t="n">
        <v>43230</v>
      </c>
      <c r="B87" s="134" t="n">
        <v>1052.102</v>
      </c>
      <c r="C87" s="152" t="n">
        <v>2.248</v>
      </c>
      <c r="D87" s="153" t="n">
        <v>0.0021</v>
      </c>
      <c r="E87" s="134" t="n">
        <v>108.742</v>
      </c>
      <c r="F87" s="134" t="n">
        <v>104.78</v>
      </c>
      <c r="G87" s="134" t="n">
        <v>92.75</v>
      </c>
      <c r="H87" s="134" t="n">
        <v>129.72</v>
      </c>
      <c r="I87" s="104" t="n">
        <v>0.2098</v>
      </c>
      <c r="J87" s="104" t="n">
        <v>0.1557</v>
      </c>
      <c r="K87" s="104" t="n">
        <v>0.0073</v>
      </c>
      <c r="L87" s="134" t="n">
        <v>15.44</v>
      </c>
      <c r="M87" s="134" t="n">
        <v>1010.31</v>
      </c>
      <c r="N87" s="104" t="n">
        <v>0.0153</v>
      </c>
      <c r="O87" s="134" t="n">
        <v>65</v>
      </c>
      <c r="P87" s="134" t="inlineStr">
        <is>
          <t>1 -1.27%</t>
        </is>
      </c>
      <c r="Q87" s="134" t="inlineStr">
        <is>
          <t>19 0.03%</t>
        </is>
      </c>
      <c r="R87" s="134" t="inlineStr">
        <is>
          <t>22 0.33%</t>
        </is>
      </c>
      <c r="S87" s="134" t="inlineStr">
        <is>
          <t>13 -0.08%</t>
        </is>
      </c>
      <c r="T87" s="134" t="inlineStr">
        <is>
          <t>5 0.67%</t>
        </is>
      </c>
      <c r="U87" s="134" t="inlineStr">
        <is>
          <t>5 1.04%</t>
        </is>
      </c>
    </row>
    <row customHeight="1" ht="17" r="88" s="155">
      <c r="A88" s="105" t="n">
        <v>43231</v>
      </c>
      <c r="B88" s="134" t="n">
        <v>1047.544</v>
      </c>
      <c r="C88" s="150" t="n">
        <v>-4.558</v>
      </c>
      <c r="D88" s="151" t="n">
        <v>-0.0043</v>
      </c>
      <c r="E88" s="134" t="n">
        <v>108.227</v>
      </c>
      <c r="F88" s="134" t="n">
        <v>104.62</v>
      </c>
      <c r="G88" s="134" t="n">
        <v>92.28</v>
      </c>
      <c r="H88" s="134" t="n">
        <v>129.6</v>
      </c>
      <c r="I88" s="104" t="n">
        <v>0.2138</v>
      </c>
      <c r="J88" s="104" t="n">
        <v>0.1591</v>
      </c>
      <c r="K88" s="104" t="n">
        <v>0.0081</v>
      </c>
      <c r="L88" s="134" t="n">
        <v>13.37</v>
      </c>
      <c r="M88" s="134" t="n">
        <v>1010.31</v>
      </c>
      <c r="N88" s="104" t="n">
        <v>0.0132</v>
      </c>
      <c r="O88" s="134" t="n">
        <v>65</v>
      </c>
      <c r="P88" s="134" t="inlineStr">
        <is>
          <t>1 -0.35%</t>
        </is>
      </c>
      <c r="Q88" s="134" t="inlineStr">
        <is>
          <t>21 -0.43%</t>
        </is>
      </c>
      <c r="R88" s="134" t="inlineStr">
        <is>
          <t>22 -0.04%</t>
        </is>
      </c>
      <c r="S88" s="134" t="inlineStr">
        <is>
          <t>11 -0.36%</t>
        </is>
      </c>
      <c r="T88" s="134" t="inlineStr">
        <is>
          <t>6 -0.48%</t>
        </is>
      </c>
      <c r="U88" s="134" t="inlineStr">
        <is>
          <t>4 -1.40%</t>
        </is>
      </c>
    </row>
    <row customHeight="1" ht="17" r="89" s="155">
      <c r="A89" s="105" t="n">
        <v>43234</v>
      </c>
      <c r="B89" s="134" t="n">
        <v>1043.184</v>
      </c>
      <c r="C89" s="150" t="n">
        <v>-4.36</v>
      </c>
      <c r="D89" s="151" t="n">
        <v>-0.0042</v>
      </c>
      <c r="E89" s="134" t="n">
        <v>107.655</v>
      </c>
      <c r="F89" s="134" t="n">
        <v>104.475</v>
      </c>
      <c r="G89" s="134" t="n">
        <v>91.79000000000001</v>
      </c>
      <c r="H89" s="134" t="n">
        <v>129.12</v>
      </c>
      <c r="I89" s="104" t="n">
        <v>0.2146</v>
      </c>
      <c r="J89" s="104" t="n">
        <v>0.1516</v>
      </c>
      <c r="K89" s="104" t="n">
        <v>0.0089</v>
      </c>
      <c r="L89" s="134" t="n">
        <v>15.38</v>
      </c>
      <c r="M89" s="134" t="n">
        <v>1034.39</v>
      </c>
      <c r="N89" s="104" t="n">
        <v>0.0149</v>
      </c>
      <c r="O89" s="134" t="n">
        <v>66</v>
      </c>
      <c r="P89" s="134" t="inlineStr">
        <is>
          <t>1 0.45%</t>
        </is>
      </c>
      <c r="Q89" s="134" t="inlineStr">
        <is>
          <t>20 -0.34%</t>
        </is>
      </c>
      <c r="R89" s="134" t="inlineStr">
        <is>
          <t>24 0.06%</t>
        </is>
      </c>
      <c r="S89" s="134" t="inlineStr">
        <is>
          <t>12 -0.33%</t>
        </is>
      </c>
      <c r="T89" s="134" t="inlineStr">
        <is>
          <t>5 -0.72%</t>
        </is>
      </c>
      <c r="U89" s="134" t="inlineStr">
        <is>
          <t>4 -2.23%</t>
        </is>
      </c>
    </row>
    <row customHeight="1" ht="17" r="90" s="155">
      <c r="A90" s="105" t="n">
        <v>43235</v>
      </c>
      <c r="B90" s="134" t="n">
        <v>1048.259</v>
      </c>
      <c r="C90" s="152" t="n">
        <v>5.075</v>
      </c>
      <c r="D90" s="153" t="n">
        <v>0.0049</v>
      </c>
      <c r="E90" s="134" t="n">
        <v>108.391</v>
      </c>
      <c r="F90" s="134" t="n">
        <v>104.645</v>
      </c>
      <c r="G90" s="134" t="n">
        <v>92.75</v>
      </c>
      <c r="H90" s="134" t="n">
        <v>128.4</v>
      </c>
      <c r="I90" s="104" t="n">
        <v>0.2001</v>
      </c>
      <c r="J90" s="104" t="n">
        <v>0.1353</v>
      </c>
      <c r="K90" s="104" t="n">
        <v>0.0077</v>
      </c>
      <c r="L90" s="134" t="n">
        <v>15.43</v>
      </c>
      <c r="M90" s="134" t="n">
        <v>1037.55</v>
      </c>
      <c r="N90" s="104" t="n">
        <v>0.0149</v>
      </c>
      <c r="O90" s="134" t="n">
        <v>68</v>
      </c>
      <c r="P90" s="134" t="inlineStr">
        <is>
          <t>1 0.77%</t>
        </is>
      </c>
      <c r="Q90" s="134" t="inlineStr">
        <is>
          <t>20 0.04%</t>
        </is>
      </c>
      <c r="R90" s="134" t="inlineStr">
        <is>
          <t>23 -0.01%</t>
        </is>
      </c>
      <c r="S90" s="134" t="inlineStr">
        <is>
          <t>14 0.27%</t>
        </is>
      </c>
      <c r="T90" s="134" t="inlineStr">
        <is>
          <t>5 1.20%</t>
        </is>
      </c>
      <c r="U90" s="134" t="inlineStr">
        <is>
          <t>5 4.42%</t>
        </is>
      </c>
    </row>
    <row customHeight="1" ht="17" r="91" s="155">
      <c r="A91" s="105" t="n">
        <v>43236</v>
      </c>
      <c r="B91" s="134" t="n">
        <v>1045.218</v>
      </c>
      <c r="C91" s="150" t="n">
        <v>-3.041</v>
      </c>
      <c r="D91" s="151" t="n">
        <v>-0.0029</v>
      </c>
      <c r="E91" s="134" t="n">
        <v>108.021</v>
      </c>
      <c r="F91" s="134" t="n">
        <v>104.73</v>
      </c>
      <c r="G91" s="134" t="n">
        <v>91.31</v>
      </c>
      <c r="H91" s="134" t="n">
        <v>128.45</v>
      </c>
      <c r="I91" s="104" t="n">
        <v>0.2043</v>
      </c>
      <c r="J91" s="104" t="n">
        <v>0.1429</v>
      </c>
      <c r="K91" s="104" t="n">
        <v>0.0083</v>
      </c>
      <c r="L91" s="134" t="n">
        <v>14.11</v>
      </c>
      <c r="M91" s="134" t="n">
        <v>1037.55</v>
      </c>
      <c r="N91" s="104" t="n">
        <v>0.0136</v>
      </c>
      <c r="O91" s="134" t="n">
        <v>68</v>
      </c>
      <c r="P91" s="134" t="inlineStr">
        <is>
          <t>1 0.65%</t>
        </is>
      </c>
      <c r="Q91" s="134" t="inlineStr">
        <is>
          <t>21 -0.15%</t>
        </is>
      </c>
      <c r="R91" s="134" t="inlineStr">
        <is>
          <t>23 -0.14%</t>
        </is>
      </c>
      <c r="S91" s="134" t="inlineStr">
        <is>
          <t>13 -0.33%</t>
        </is>
      </c>
      <c r="T91" s="134" t="inlineStr">
        <is>
          <t>6 -1.25%</t>
        </is>
      </c>
      <c r="U91" s="134" t="inlineStr">
        <is>
          <t>4 -0.61%</t>
        </is>
      </c>
    </row>
    <row customHeight="1" ht="17" r="92" s="155">
      <c r="A92" s="105" t="n">
        <v>43237</v>
      </c>
      <c r="B92" s="134" t="n">
        <v>1044.149</v>
      </c>
      <c r="C92" s="150" t="n">
        <v>-1.069</v>
      </c>
      <c r="D92" s="151" t="n">
        <v>-0.001</v>
      </c>
      <c r="E92" s="134" t="n">
        <v>107.712</v>
      </c>
      <c r="F92" s="134" t="n">
        <v>104.82</v>
      </c>
      <c r="G92" s="134" t="n">
        <v>91.92</v>
      </c>
      <c r="H92" s="134" t="n">
        <v>128.14</v>
      </c>
      <c r="I92" s="104" t="n">
        <v>0.2043</v>
      </c>
      <c r="J92" s="104" t="n">
        <v>0.1438</v>
      </c>
      <c r="K92" s="104" t="n">
        <v>0.008699999999999999</v>
      </c>
      <c r="L92" s="134" t="n">
        <v>17.47</v>
      </c>
      <c r="M92" s="134" t="n">
        <v>1059.07</v>
      </c>
      <c r="N92" s="104" t="n">
        <v>0.0165</v>
      </c>
      <c r="O92" s="134" t="n">
        <v>69</v>
      </c>
      <c r="P92" s="134" t="inlineStr">
        <is>
          <t>1 0.21%</t>
        </is>
      </c>
      <c r="Q92" s="134" t="inlineStr">
        <is>
          <t>21 0.05%</t>
        </is>
      </c>
      <c r="R92" s="134" t="inlineStr">
        <is>
          <t>24 0.29%</t>
        </is>
      </c>
      <c r="S92" s="134" t="inlineStr">
        <is>
          <t>13 -0.26%</t>
        </is>
      </c>
      <c r="T92" s="134" t="inlineStr">
        <is>
          <t>6 -1.13%</t>
        </is>
      </c>
      <c r="U92" s="134" t="inlineStr">
        <is>
          <t>4 -1.26%</t>
        </is>
      </c>
    </row>
    <row customHeight="1" ht="17" r="93" s="155">
      <c r="A93" s="105" t="n">
        <v>43238</v>
      </c>
      <c r="B93" s="134" t="n">
        <v>1045.894</v>
      </c>
      <c r="C93" s="152" t="n">
        <v>1.745</v>
      </c>
      <c r="D93" s="153" t="n">
        <v>0.0017</v>
      </c>
      <c r="E93" s="134" t="n">
        <v>107.925</v>
      </c>
      <c r="F93" s="134" t="n">
        <v>104.69</v>
      </c>
      <c r="G93" s="134" t="n">
        <v>92.01000000000001</v>
      </c>
      <c r="H93" s="134" t="n">
        <v>127.94</v>
      </c>
      <c r="I93" s="104" t="n">
        <v>0.2001</v>
      </c>
      <c r="J93" s="104" t="n">
        <v>0.1449</v>
      </c>
      <c r="K93" s="104" t="n">
        <v>0.008399999999999999</v>
      </c>
      <c r="L93" s="134" t="n">
        <v>15.32</v>
      </c>
      <c r="M93" s="134" t="n">
        <v>1059.07</v>
      </c>
      <c r="N93" s="104" t="n">
        <v>0.0145</v>
      </c>
      <c r="O93" s="134" t="n">
        <v>69</v>
      </c>
      <c r="P93" s="134" t="inlineStr">
        <is>
          <t>1 -0.08%</t>
        </is>
      </c>
      <c r="Q93" s="134" t="inlineStr">
        <is>
          <t>20 0.14%</t>
        </is>
      </c>
      <c r="R93" s="134" t="inlineStr">
        <is>
          <t>25 0.13%</t>
        </is>
      </c>
      <c r="S93" s="134" t="inlineStr">
        <is>
          <t>13 -0.12%</t>
        </is>
      </c>
      <c r="T93" s="134" t="inlineStr">
        <is>
          <t>6 -0.14%</t>
        </is>
      </c>
      <c r="U93" s="134" t="inlineStr">
        <is>
          <t>4 2.00%</t>
        </is>
      </c>
    </row>
    <row customHeight="1" ht="17" r="94" s="155">
      <c r="A94" s="105" t="n">
        <v>43241</v>
      </c>
      <c r="B94" s="134" t="n">
        <v>1050.231</v>
      </c>
      <c r="C94" s="152" t="n">
        <v>4.337</v>
      </c>
      <c r="D94" s="153" t="n">
        <v>0.0042</v>
      </c>
      <c r="E94" s="134" t="n">
        <v>108.572</v>
      </c>
      <c r="F94" s="134" t="n">
        <v>105.36</v>
      </c>
      <c r="G94" s="134" t="n">
        <v>94.13</v>
      </c>
      <c r="H94" s="134" t="n">
        <v>127.1</v>
      </c>
      <c r="I94" s="104" t="n">
        <v>0.1853</v>
      </c>
      <c r="J94" s="104" t="n">
        <v>0.1286</v>
      </c>
      <c r="K94" s="104" t="n">
        <v>0.0074</v>
      </c>
      <c r="L94" s="134" t="n">
        <v>25.31</v>
      </c>
      <c r="M94" s="134" t="n">
        <v>1057.6</v>
      </c>
      <c r="N94" s="104" t="n">
        <v>0.0239</v>
      </c>
      <c r="O94" s="134" t="n">
        <v>68</v>
      </c>
      <c r="P94" s="134" t="inlineStr">
        <is>
          <t>1 -0.15%</t>
        </is>
      </c>
      <c r="Q94" s="134" t="inlineStr">
        <is>
          <t>19 0.25%</t>
        </is>
      </c>
      <c r="R94" s="134" t="inlineStr">
        <is>
          <t>25 0.19%</t>
        </is>
      </c>
      <c r="S94" s="134" t="inlineStr">
        <is>
          <t>12 0.42%</t>
        </is>
      </c>
      <c r="T94" s="134" t="inlineStr">
        <is>
          <t>6 1.06%</t>
        </is>
      </c>
      <c r="U94" s="134" t="inlineStr">
        <is>
          <t>5 1.52%</t>
        </is>
      </c>
    </row>
    <row customHeight="1" ht="17" r="95" s="155">
      <c r="A95" s="105" t="n">
        <v>43242</v>
      </c>
      <c r="B95" s="134" t="n">
        <v>1052.271</v>
      </c>
      <c r="C95" s="152" t="n">
        <v>2.04</v>
      </c>
      <c r="D95" s="153" t="n">
        <v>0.0019</v>
      </c>
      <c r="E95" s="134" t="n">
        <v>108.858</v>
      </c>
      <c r="F95" s="134" t="n">
        <v>105.245</v>
      </c>
      <c r="G95" s="134" t="n">
        <v>93.61</v>
      </c>
      <c r="H95" s="134" t="n">
        <v>127.05</v>
      </c>
      <c r="I95" s="104" t="n">
        <v>0.1819</v>
      </c>
      <c r="J95" s="104" t="n">
        <v>0.1117</v>
      </c>
      <c r="K95" s="104" t="n">
        <v>0.0071</v>
      </c>
      <c r="L95" s="134" t="n">
        <v>17.86</v>
      </c>
      <c r="M95" s="134" t="n">
        <v>1057.6</v>
      </c>
      <c r="N95" s="104" t="n">
        <v>0.0169</v>
      </c>
      <c r="O95" s="134" t="n">
        <v>68</v>
      </c>
      <c r="P95" s="134" t="inlineStr">
        <is>
          <t>1 -0.07%</t>
        </is>
      </c>
      <c r="Q95" s="134" t="inlineStr">
        <is>
          <t>19 -0.10%</t>
        </is>
      </c>
      <c r="R95" s="134" t="inlineStr">
        <is>
          <t>25 0.07%</t>
        </is>
      </c>
      <c r="S95" s="134" t="inlineStr">
        <is>
          <t>12 0.01%</t>
        </is>
      </c>
      <c r="T95" s="134" t="inlineStr">
        <is>
          <t>5 1.14%</t>
        </is>
      </c>
      <c r="U95" s="134" t="inlineStr">
        <is>
          <t>6 1.25%</t>
        </is>
      </c>
    </row>
    <row customHeight="1" ht="17" r="96" s="155">
      <c r="A96" s="105" t="n">
        <v>43243</v>
      </c>
      <c r="B96" s="134" t="n">
        <v>1045.476</v>
      </c>
      <c r="C96" s="150" t="n">
        <v>-6.795</v>
      </c>
      <c r="D96" s="151" t="n">
        <v>-0.0065</v>
      </c>
      <c r="E96" s="134" t="n">
        <v>108.126</v>
      </c>
      <c r="F96" s="134" t="n">
        <v>105.1</v>
      </c>
      <c r="G96" s="134" t="n">
        <v>92.42</v>
      </c>
      <c r="H96" s="134" t="n">
        <v>127.2</v>
      </c>
      <c r="I96" s="104" t="n">
        <v>0.1907</v>
      </c>
      <c r="J96" s="104" t="n">
        <v>0.1177</v>
      </c>
      <c r="K96" s="104" t="n">
        <v>0.008399999999999999</v>
      </c>
      <c r="L96" s="134" t="n">
        <v>18.88</v>
      </c>
      <c r="M96" s="134" t="n">
        <v>1057.6</v>
      </c>
      <c r="N96" s="104" t="n">
        <v>0.0179</v>
      </c>
      <c r="O96" s="134" t="n">
        <v>68</v>
      </c>
      <c r="P96" s="134" t="inlineStr">
        <is>
          <t>1 -1.01%</t>
        </is>
      </c>
      <c r="Q96" s="134" t="inlineStr">
        <is>
          <t>20 -0.62%</t>
        </is>
      </c>
      <c r="R96" s="134" t="inlineStr">
        <is>
          <t>25 -0.42%</t>
        </is>
      </c>
      <c r="S96" s="134" t="inlineStr">
        <is>
          <t>11 -0.75%</t>
        </is>
      </c>
      <c r="T96" s="134" t="inlineStr">
        <is>
          <t>7 -0.79%</t>
        </is>
      </c>
      <c r="U96" s="134" t="inlineStr">
        <is>
          <t>4 -1.53%</t>
        </is>
      </c>
    </row>
    <row customHeight="1" ht="17" r="97" s="155">
      <c r="A97" s="105" t="n">
        <v>43244</v>
      </c>
      <c r="B97" s="134" t="n">
        <v>1042.984</v>
      </c>
      <c r="C97" s="150" t="n">
        <v>-2.492</v>
      </c>
      <c r="D97" s="151" t="n">
        <v>-0.0024</v>
      </c>
      <c r="E97" s="134" t="n">
        <v>107.891</v>
      </c>
      <c r="F97" s="134" t="n">
        <v>104.67</v>
      </c>
      <c r="G97" s="134" t="n">
        <v>92.59999999999999</v>
      </c>
      <c r="H97" s="134" t="n">
        <v>127.2</v>
      </c>
      <c r="I97" s="104" t="n">
        <v>0.1931</v>
      </c>
      <c r="J97" s="104" t="n">
        <v>0.1297</v>
      </c>
      <c r="K97" s="104" t="n">
        <v>0.008999999999999999</v>
      </c>
      <c r="L97" s="134" t="n">
        <v>17.71</v>
      </c>
      <c r="M97" s="134" t="n">
        <v>1057.6</v>
      </c>
      <c r="N97" s="104" t="n">
        <v>0.0167</v>
      </c>
      <c r="O97" s="134" t="n">
        <v>68</v>
      </c>
      <c r="P97" s="134" t="inlineStr">
        <is>
          <t>1 -0.46%</t>
        </is>
      </c>
      <c r="Q97" s="134" t="inlineStr">
        <is>
          <t>20 -0.26%</t>
        </is>
      </c>
      <c r="R97" s="134" t="inlineStr">
        <is>
          <t>25 -0.11%</t>
        </is>
      </c>
      <c r="S97" s="134" t="inlineStr">
        <is>
          <t>11 -0.54%</t>
        </is>
      </c>
      <c r="T97" s="134" t="inlineStr">
        <is>
          <t>7 -0.68%</t>
        </is>
      </c>
      <c r="U97" s="134" t="inlineStr">
        <is>
          <t>4 0.69%</t>
        </is>
      </c>
    </row>
    <row customHeight="1" ht="17" r="98" s="155">
      <c r="A98" s="105" t="n">
        <v>43245</v>
      </c>
      <c r="B98" s="134" t="n">
        <v>1034.779</v>
      </c>
      <c r="C98" s="150" t="n">
        <v>-8.205</v>
      </c>
      <c r="D98" s="151" t="n">
        <v>-0.007900000000000001</v>
      </c>
      <c r="E98" s="134" t="n">
        <v>107.151</v>
      </c>
      <c r="F98" s="134" t="n">
        <v>104.15</v>
      </c>
      <c r="G98" s="134" t="n">
        <v>91.26000000000001</v>
      </c>
      <c r="H98" s="134" t="n">
        <v>127.08</v>
      </c>
      <c r="I98" s="104" t="n">
        <v>0.1993</v>
      </c>
      <c r="J98" s="104" t="n">
        <v>0.1376</v>
      </c>
      <c r="K98" s="104" t="n">
        <v>0.0104</v>
      </c>
      <c r="L98" s="134" t="n">
        <v>14.67</v>
      </c>
      <c r="M98" s="134" t="n">
        <v>1047.2</v>
      </c>
      <c r="N98" s="104" t="n">
        <v>0.014</v>
      </c>
      <c r="O98" s="134" t="n">
        <v>67</v>
      </c>
      <c r="P98" s="134" t="inlineStr">
        <is>
          <t>1 -1.02%</t>
        </is>
      </c>
      <c r="Q98" s="134" t="inlineStr">
        <is>
          <t>20 -0.65%</t>
        </is>
      </c>
      <c r="R98" s="134" t="inlineStr">
        <is>
          <t>25 -0.64%</t>
        </is>
      </c>
      <c r="S98" s="134" t="inlineStr">
        <is>
          <t>12 -1.40%</t>
        </is>
      </c>
      <c r="T98" s="134" t="inlineStr">
        <is>
          <t>5 -0.84%</t>
        </is>
      </c>
      <c r="U98" s="134" t="inlineStr">
        <is>
          <t>4 -0.42%</t>
        </is>
      </c>
    </row>
    <row customHeight="1" ht="17" r="99" s="155">
      <c r="A99" s="105" t="n">
        <v>43248</v>
      </c>
      <c r="B99" s="134" t="n">
        <v>1029.65</v>
      </c>
      <c r="C99" s="150" t="n">
        <v>-5.129</v>
      </c>
      <c r="D99" s="151" t="n">
        <v>-0.005</v>
      </c>
      <c r="E99" s="134" t="n">
        <v>106.794</v>
      </c>
      <c r="F99" s="134" t="n">
        <v>103.76</v>
      </c>
      <c r="G99" s="134" t="n">
        <v>92.84</v>
      </c>
      <c r="H99" s="134" t="n">
        <v>126.58</v>
      </c>
      <c r="I99" s="104" t="n">
        <v>0.1978</v>
      </c>
      <c r="J99" s="104" t="n">
        <v>0.1394</v>
      </c>
      <c r="K99" s="104" t="n">
        <v>0.0112</v>
      </c>
      <c r="L99" s="134" t="n">
        <v>15.18</v>
      </c>
      <c r="M99" s="134" t="n">
        <v>1049.27</v>
      </c>
      <c r="N99" s="104" t="n">
        <v>0.0145</v>
      </c>
      <c r="O99" s="134" t="n">
        <v>67</v>
      </c>
      <c r="P99" s="134" t="inlineStr">
        <is>
          <t>3 -0.52%</t>
        </is>
      </c>
      <c r="Q99" s="134" t="inlineStr">
        <is>
          <t>20 -0.53%</t>
        </is>
      </c>
      <c r="R99" s="134" t="inlineStr">
        <is>
          <t>24 -0.55%</t>
        </is>
      </c>
      <c r="S99" s="134" t="inlineStr">
        <is>
          <t>12 -0.70%</t>
        </is>
      </c>
      <c r="T99" s="134" t="inlineStr">
        <is>
          <t>4 -0.26%</t>
        </is>
      </c>
      <c r="U99" s="134" t="inlineStr">
        <is>
          <t>4 0.38%</t>
        </is>
      </c>
    </row>
    <row customHeight="1" ht="17" r="100" s="155">
      <c r="A100" s="105" t="n">
        <v>43249</v>
      </c>
      <c r="B100" s="134" t="n">
        <v>1020.107</v>
      </c>
      <c r="C100" s="150" t="n">
        <v>-9.542999999999999</v>
      </c>
      <c r="D100" s="151" t="n">
        <v>-0.009299999999999999</v>
      </c>
      <c r="E100" s="134" t="n">
        <v>105.647</v>
      </c>
      <c r="F100" s="134" t="n">
        <v>103.42</v>
      </c>
      <c r="G100" s="134" t="n">
        <v>92.02</v>
      </c>
      <c r="H100" s="134" t="n">
        <v>125.82</v>
      </c>
      <c r="I100" s="104" t="n">
        <v>0.2018</v>
      </c>
      <c r="J100" s="104" t="n">
        <v>0.1394</v>
      </c>
      <c r="K100" s="104" t="n">
        <v>0.0131</v>
      </c>
      <c r="L100" s="134" t="n">
        <v>17.52</v>
      </c>
      <c r="M100" s="134" t="n">
        <v>1049.27</v>
      </c>
      <c r="N100" s="104" t="n">
        <v>0.0167</v>
      </c>
      <c r="O100" s="134" t="n">
        <v>67</v>
      </c>
      <c r="P100" s="134" t="inlineStr">
        <is>
          <t>5 -0.69%</t>
        </is>
      </c>
      <c r="Q100" s="134" t="inlineStr">
        <is>
          <t>20 -0.78%</t>
        </is>
      </c>
      <c r="R100" s="134" t="inlineStr">
        <is>
          <t>24 -0.71%</t>
        </is>
      </c>
      <c r="S100" s="134" t="inlineStr">
        <is>
          <t>11 -0.50%</t>
        </is>
      </c>
      <c r="T100" s="134" t="inlineStr">
        <is>
          <t>4 -1.74%</t>
        </is>
      </c>
      <c r="U100" s="134" t="inlineStr">
        <is>
          <t>3 -4.51%</t>
        </is>
      </c>
    </row>
    <row customHeight="1" ht="17" r="101" s="155">
      <c r="A101" s="105" t="n">
        <v>43250</v>
      </c>
      <c r="B101" s="134" t="n">
        <v>1005.713</v>
      </c>
      <c r="C101" s="150" t="n">
        <v>-14.394</v>
      </c>
      <c r="D101" s="151" t="n">
        <v>-0.0141</v>
      </c>
      <c r="E101" s="134" t="n">
        <v>104.154</v>
      </c>
      <c r="F101" s="134" t="n">
        <v>101.77</v>
      </c>
      <c r="G101" s="134" t="n">
        <v>86.89</v>
      </c>
      <c r="H101" s="134" t="n">
        <v>127</v>
      </c>
      <c r="I101" s="104" t="n">
        <v>0.2285</v>
      </c>
      <c r="J101" s="104" t="n">
        <v>0.1499</v>
      </c>
      <c r="K101" s="104" t="n">
        <v>0.016</v>
      </c>
      <c r="L101" s="134" t="n">
        <v>19.27</v>
      </c>
      <c r="M101" s="134" t="n">
        <v>1049.27</v>
      </c>
      <c r="N101" s="104" t="n">
        <v>0.0184</v>
      </c>
      <c r="O101" s="134" t="n">
        <v>67</v>
      </c>
      <c r="P101" s="134" t="inlineStr">
        <is>
          <t>7 -0.92%</t>
        </is>
      </c>
      <c r="Q101" s="134" t="inlineStr">
        <is>
          <t>22 -1.40%</t>
        </is>
      </c>
      <c r="R101" s="134" t="inlineStr">
        <is>
          <t>24 -1.59%</t>
        </is>
      </c>
      <c r="S101" s="134" t="inlineStr">
        <is>
          <t>9 -1.91%</t>
        </is>
      </c>
      <c r="T101" s="134" t="inlineStr">
        <is>
          <t>2 -1.07%</t>
        </is>
      </c>
      <c r="U101" s="134" t="inlineStr">
        <is>
          <t>3 0.03%</t>
        </is>
      </c>
    </row>
    <row customHeight="1" ht="17" r="102" s="155">
      <c r="A102" s="105" t="n">
        <v>43251</v>
      </c>
      <c r="B102" s="134" t="n">
        <v>1010.038</v>
      </c>
      <c r="C102" s="152" t="n">
        <v>4.325</v>
      </c>
      <c r="D102" s="153" t="n">
        <v>0.0043</v>
      </c>
      <c r="E102" s="134" t="n">
        <v>104.665</v>
      </c>
      <c r="F102" s="134" t="n">
        <v>102.22</v>
      </c>
      <c r="G102" s="134" t="n">
        <v>88.59</v>
      </c>
      <c r="H102" s="134" t="n">
        <v>126.19</v>
      </c>
      <c r="I102" s="104" t="n">
        <v>0.2152</v>
      </c>
      <c r="J102" s="104" t="n">
        <v>0.1436</v>
      </c>
      <c r="K102" s="104" t="n">
        <v>0.0152</v>
      </c>
      <c r="L102" s="134" t="n">
        <v>14.22</v>
      </c>
      <c r="M102" s="134" t="n">
        <v>1049.27</v>
      </c>
      <c r="N102" s="104" t="n">
        <v>0.0136</v>
      </c>
      <c r="O102" s="134" t="n">
        <v>67</v>
      </c>
      <c r="P102" s="134" t="inlineStr">
        <is>
          <t>7 -0.33%</t>
        </is>
      </c>
      <c r="Q102" s="134" t="inlineStr">
        <is>
          <t>23 0.26%</t>
        </is>
      </c>
      <c r="R102" s="134" t="inlineStr">
        <is>
          <t>22 0.32%</t>
        </is>
      </c>
      <c r="S102" s="134" t="inlineStr">
        <is>
          <t>9 0.73%</t>
        </is>
      </c>
      <c r="T102" s="134" t="inlineStr">
        <is>
          <t>3 2.18%</t>
        </is>
      </c>
      <c r="U102" s="134" t="inlineStr">
        <is>
          <t>3 1.67%</t>
        </is>
      </c>
    </row>
    <row customHeight="1" ht="17" r="103" s="155">
      <c r="A103" s="105" t="n">
        <v>43252</v>
      </c>
      <c r="B103" s="134" t="n">
        <v>1006.247</v>
      </c>
      <c r="C103" s="150" t="n">
        <v>-3.791</v>
      </c>
      <c r="D103" s="151" t="n">
        <v>-0.0038</v>
      </c>
      <c r="E103" s="134" t="n">
        <v>104.173</v>
      </c>
      <c r="F103" s="134" t="n">
        <v>102</v>
      </c>
      <c r="G103" s="134" t="n">
        <v>88.84</v>
      </c>
      <c r="H103" s="134" t="n">
        <v>126.06</v>
      </c>
      <c r="I103" s="104" t="n">
        <v>0.2189</v>
      </c>
      <c r="J103" s="104" t="n">
        <v>0.1502</v>
      </c>
      <c r="K103" s="104" t="n">
        <v>0.016</v>
      </c>
      <c r="L103" s="134" t="n">
        <v>12.78</v>
      </c>
      <c r="M103" s="134" t="n">
        <v>1049.27</v>
      </c>
      <c r="N103" s="104" t="n">
        <v>0.0122</v>
      </c>
      <c r="O103" s="134" t="n">
        <v>67</v>
      </c>
      <c r="P103" s="134" t="inlineStr">
        <is>
          <t>7 -0.33%</t>
        </is>
      </c>
      <c r="Q103" s="134" t="inlineStr">
        <is>
          <t>22 -0.12%</t>
        </is>
      </c>
      <c r="R103" s="134" t="inlineStr">
        <is>
          <t>24 -0.13%</t>
        </is>
      </c>
      <c r="S103" s="134" t="inlineStr">
        <is>
          <t>8 -1.07%</t>
        </is>
      </c>
      <c r="T103" s="134" t="inlineStr">
        <is>
          <t>3 -0.40%</t>
        </is>
      </c>
      <c r="U103" s="134" t="inlineStr">
        <is>
          <t>3 -2.46%</t>
        </is>
      </c>
    </row>
    <row customHeight="1" ht="17" r="104" s="155">
      <c r="A104" s="105" t="n">
        <v>43255</v>
      </c>
      <c r="B104" s="134" t="n">
        <v>997.4930000000001</v>
      </c>
      <c r="C104" s="150" t="n">
        <v>-8.754</v>
      </c>
      <c r="D104" s="151" t="n">
        <v>-0.008699999999999999</v>
      </c>
      <c r="E104" s="134" t="n">
        <v>103.216</v>
      </c>
      <c r="F104" s="134" t="n">
        <v>101.04</v>
      </c>
      <c r="G104" s="134" t="n">
        <v>87.48999999999999</v>
      </c>
      <c r="H104" s="134" t="n">
        <v>124.37</v>
      </c>
      <c r="I104" s="104" t="n">
        <v>0.2115</v>
      </c>
      <c r="J104" s="104" t="n">
        <v>0.1367</v>
      </c>
      <c r="K104" s="104" t="n">
        <v>0.018</v>
      </c>
      <c r="L104" s="134" t="n">
        <v>19.87</v>
      </c>
      <c r="M104" s="134" t="n">
        <v>1050.74</v>
      </c>
      <c r="N104" s="104" t="n">
        <v>0.0189</v>
      </c>
      <c r="O104" s="134" t="n">
        <v>68</v>
      </c>
      <c r="P104" s="134" t="inlineStr">
        <is>
          <t>8 -1.83%</t>
        </is>
      </c>
      <c r="Q104" s="134" t="inlineStr">
        <is>
          <t>25 -1.26%</t>
        </is>
      </c>
      <c r="R104" s="134" t="inlineStr">
        <is>
          <t>25 -0.73%</t>
        </is>
      </c>
      <c r="S104" s="134" t="inlineStr">
        <is>
          <t>5 -0.87%</t>
        </is>
      </c>
      <c r="T104" s="134" t="inlineStr">
        <is>
          <t>2 0.66%</t>
        </is>
      </c>
      <c r="U104" s="134" t="inlineStr">
        <is>
          <t>3 2.75%</t>
        </is>
      </c>
    </row>
    <row customHeight="1" ht="17" r="105" s="155">
      <c r="A105" s="105" t="n">
        <v>43256</v>
      </c>
      <c r="B105" s="134" t="n">
        <v>1007.34</v>
      </c>
      <c r="C105" s="152" t="n">
        <v>9.847</v>
      </c>
      <c r="D105" s="153" t="n">
        <v>0.009900000000000001</v>
      </c>
      <c r="E105" s="134" t="n">
        <v>104.322</v>
      </c>
      <c r="F105" s="134" t="n">
        <v>101.645</v>
      </c>
      <c r="G105" s="134" t="n">
        <v>89.98999999999999</v>
      </c>
      <c r="H105" s="134" t="n">
        <v>124.29</v>
      </c>
      <c r="I105" s="104" t="n">
        <v>0.1996</v>
      </c>
      <c r="J105" s="104" t="n">
        <v>0.1299</v>
      </c>
      <c r="K105" s="104" t="n">
        <v>0.0161</v>
      </c>
      <c r="L105" s="134" t="n">
        <v>17.81</v>
      </c>
      <c r="M105" s="134" t="n">
        <v>1050.74</v>
      </c>
      <c r="N105" s="104" t="n">
        <v>0.017</v>
      </c>
      <c r="O105" s="134" t="n">
        <v>68</v>
      </c>
      <c r="P105" s="134" t="inlineStr">
        <is>
          <t>7 0.50%</t>
        </is>
      </c>
      <c r="Q105" s="134" t="inlineStr">
        <is>
          <t>24 0.70%</t>
        </is>
      </c>
      <c r="R105" s="134" t="inlineStr">
        <is>
          <t>25 0.79%</t>
        </is>
      </c>
      <c r="S105" s="134" t="inlineStr">
        <is>
          <t>4 0.64%</t>
        </is>
      </c>
      <c r="T105" s="134" t="inlineStr">
        <is>
          <t>4 3.36%</t>
        </is>
      </c>
      <c r="U105" s="134" t="inlineStr">
        <is>
          <t>4 2.80%</t>
        </is>
      </c>
    </row>
    <row customHeight="1" ht="17" r="106" s="155">
      <c r="A106" s="105" t="n">
        <v>43257</v>
      </c>
      <c r="B106" s="134" t="n">
        <v>1011.702</v>
      </c>
      <c r="C106" s="152" t="n">
        <v>4.362</v>
      </c>
      <c r="D106" s="153" t="n">
        <v>0.0043</v>
      </c>
      <c r="E106" s="134" t="n">
        <v>104.878</v>
      </c>
      <c r="F106" s="134" t="n">
        <v>102.07</v>
      </c>
      <c r="G106" s="134" t="n">
        <v>90.14</v>
      </c>
      <c r="H106" s="134" t="n">
        <v>124.48</v>
      </c>
      <c r="I106" s="104" t="n">
        <v>0.196</v>
      </c>
      <c r="J106" s="104" t="n">
        <v>0.1263</v>
      </c>
      <c r="K106" s="104" t="n">
        <v>0.015</v>
      </c>
      <c r="L106" s="134" t="n">
        <v>14.2</v>
      </c>
      <c r="M106" s="134" t="n">
        <v>1006.06</v>
      </c>
      <c r="N106" s="104" t="n">
        <v>0.0141</v>
      </c>
      <c r="O106" s="134" t="n">
        <v>67</v>
      </c>
      <c r="P106" s="134" t="inlineStr">
        <is>
          <t>6 0.28%</t>
        </is>
      </c>
      <c r="Q106" s="134" t="inlineStr">
        <is>
          <t>24 0.49%</t>
        </is>
      </c>
      <c r="R106" s="134" t="inlineStr">
        <is>
          <t>24 0.24%</t>
        </is>
      </c>
      <c r="S106" s="134" t="inlineStr">
        <is>
          <t>6 0.15%</t>
        </is>
      </c>
      <c r="T106" s="134" t="inlineStr">
        <is>
          <t>3 1.07%</t>
        </is>
      </c>
      <c r="U106" s="134" t="inlineStr">
        <is>
          <t>4 1.46%</t>
        </is>
      </c>
    </row>
    <row customHeight="1" ht="17" r="107" s="155">
      <c r="A107" s="105" t="n">
        <v>43258</v>
      </c>
      <c r="B107" s="134" t="n">
        <v>1014.331</v>
      </c>
      <c r="C107" s="152" t="n">
        <v>2.629</v>
      </c>
      <c r="D107" s="153" t="n">
        <v>0.0026</v>
      </c>
      <c r="E107" s="134" t="n">
        <v>105.153</v>
      </c>
      <c r="F107" s="134" t="n">
        <v>102.2</v>
      </c>
      <c r="G107" s="134" t="n">
        <v>91.73</v>
      </c>
      <c r="H107" s="134" t="n">
        <v>125.79</v>
      </c>
      <c r="I107" s="104" t="n">
        <v>0.2064</v>
      </c>
      <c r="J107" s="104" t="n">
        <v>0.142</v>
      </c>
      <c r="K107" s="104" t="n">
        <v>0.0145</v>
      </c>
      <c r="L107" s="134" t="n">
        <v>13.93</v>
      </c>
      <c r="M107" s="134" t="n">
        <v>1006.06</v>
      </c>
      <c r="N107" s="104" t="n">
        <v>0.0138</v>
      </c>
      <c r="O107" s="134" t="n">
        <v>67</v>
      </c>
      <c r="P107" s="134" t="inlineStr">
        <is>
          <t>7 -0.20%</t>
        </is>
      </c>
      <c r="Q107" s="134" t="inlineStr">
        <is>
          <t>24 0.24%</t>
        </is>
      </c>
      <c r="R107" s="134" t="inlineStr">
        <is>
          <t>23 0.38%</t>
        </is>
      </c>
      <c r="S107" s="134" t="inlineStr">
        <is>
          <t>6 0.50%</t>
        </is>
      </c>
      <c r="T107" s="134" t="inlineStr">
        <is>
          <t>4 0.21%</t>
        </is>
      </c>
      <c r="U107" s="134" t="inlineStr">
        <is>
          <t>3 0.13%</t>
        </is>
      </c>
    </row>
    <row customHeight="1" ht="17" r="108" s="155">
      <c r="A108" s="105" t="n">
        <v>43259</v>
      </c>
      <c r="B108" s="134" t="n">
        <v>1008.891</v>
      </c>
      <c r="C108" s="150" t="n">
        <v>-5.44</v>
      </c>
      <c r="D108" s="151" t="n">
        <v>-0.0054</v>
      </c>
      <c r="E108" s="134" t="n">
        <v>104.609</v>
      </c>
      <c r="F108" s="134" t="n">
        <v>101.51</v>
      </c>
      <c r="G108" s="134" t="n">
        <v>89.68000000000001</v>
      </c>
      <c r="H108" s="134" t="n">
        <v>126.2</v>
      </c>
      <c r="I108" s="104" t="n">
        <v>0.2159</v>
      </c>
      <c r="J108" s="104" t="n">
        <v>0.1541</v>
      </c>
      <c r="K108" s="104" t="n">
        <v>0.0156</v>
      </c>
      <c r="L108" s="134" t="n">
        <v>12.06</v>
      </c>
      <c r="M108" s="134" t="n">
        <v>1006.06</v>
      </c>
      <c r="N108" s="104" t="n">
        <v>0.012</v>
      </c>
      <c r="O108" s="134" t="n">
        <v>67</v>
      </c>
      <c r="P108" s="134" t="inlineStr">
        <is>
          <t>7 -0.16%</t>
        </is>
      </c>
      <c r="Q108" s="134" t="inlineStr">
        <is>
          <t>23 -0.71%</t>
        </is>
      </c>
      <c r="R108" s="134" t="inlineStr">
        <is>
          <t>25 -0.57%</t>
        </is>
      </c>
      <c r="S108" s="134" t="inlineStr">
        <is>
          <t>5 -0.50%</t>
        </is>
      </c>
      <c r="T108" s="134" t="inlineStr">
        <is>
          <t>4 -0.87%</t>
        </is>
      </c>
      <c r="U108" s="134" t="inlineStr">
        <is>
          <t>3 0.52%</t>
        </is>
      </c>
    </row>
    <row customHeight="1" ht="17" r="109" s="155">
      <c r="A109" s="105" t="n">
        <v>43262</v>
      </c>
      <c r="B109" s="134" t="n">
        <v>1007.866</v>
      </c>
      <c r="C109" s="150" t="n">
        <v>-1.025</v>
      </c>
      <c r="D109" s="151" t="n">
        <v>-0.001</v>
      </c>
      <c r="E109" s="134" t="n">
        <v>104.42</v>
      </c>
      <c r="F109" s="134" t="n">
        <v>101</v>
      </c>
      <c r="G109" s="134" t="n">
        <v>88.05</v>
      </c>
      <c r="H109" s="134" t="n">
        <v>126.86</v>
      </c>
      <c r="I109" s="104" t="n">
        <v>0.2244</v>
      </c>
      <c r="J109" s="104" t="n">
        <v>0.157</v>
      </c>
      <c r="K109" s="104" t="n">
        <v>0.0158</v>
      </c>
      <c r="L109" s="134" t="n">
        <v>13.38</v>
      </c>
      <c r="M109" s="134" t="n">
        <v>1006.06</v>
      </c>
      <c r="N109" s="104" t="n">
        <v>0.0133</v>
      </c>
      <c r="O109" s="134" t="n">
        <v>67</v>
      </c>
      <c r="P109" s="134" t="inlineStr">
        <is>
          <t>7 0.00%</t>
        </is>
      </c>
      <c r="Q109" s="134" t="inlineStr">
        <is>
          <t>24 0.15%</t>
        </is>
      </c>
      <c r="R109" s="134" t="inlineStr">
        <is>
          <t>24 -0.04%</t>
        </is>
      </c>
      <c r="S109" s="134" t="inlineStr">
        <is>
          <t>6 -0.23%</t>
        </is>
      </c>
      <c r="T109" s="134" t="inlineStr">
        <is>
          <t>3 -1.80%</t>
        </is>
      </c>
      <c r="U109" s="134" t="inlineStr">
        <is>
          <t>3 -0.89%</t>
        </is>
      </c>
    </row>
    <row customHeight="1" ht="17" r="110" s="155">
      <c r="A110" s="105" t="n">
        <v>43263</v>
      </c>
      <c r="B110" s="134" t="n">
        <v>1012.058</v>
      </c>
      <c r="C110" s="152" t="n">
        <v>4.192</v>
      </c>
      <c r="D110" s="153" t="n">
        <v>0.0042</v>
      </c>
      <c r="E110" s="134" t="n">
        <v>104.899</v>
      </c>
      <c r="F110" s="134" t="n">
        <v>101.1</v>
      </c>
      <c r="G110" s="134" t="n">
        <v>88.06999999999999</v>
      </c>
      <c r="H110" s="134" t="n">
        <v>126.66</v>
      </c>
      <c r="I110" s="104" t="n">
        <v>0.2176</v>
      </c>
      <c r="J110" s="104" t="n">
        <v>0.1539</v>
      </c>
      <c r="K110" s="104" t="n">
        <v>0.015</v>
      </c>
      <c r="L110" s="134" t="n">
        <v>13.86</v>
      </c>
      <c r="M110" s="134" t="n">
        <v>1006.06</v>
      </c>
      <c r="N110" s="104" t="n">
        <v>0.0138</v>
      </c>
      <c r="O110" s="134" t="n">
        <v>67</v>
      </c>
      <c r="P110" s="134" t="inlineStr">
        <is>
          <t>6 0.06%</t>
        </is>
      </c>
      <c r="Q110" s="134" t="inlineStr">
        <is>
          <t>24 0.42%</t>
        </is>
      </c>
      <c r="R110" s="134" t="inlineStr">
        <is>
          <t>25 0.09%</t>
        </is>
      </c>
      <c r="S110" s="134" t="inlineStr">
        <is>
          <t>3 0.94%</t>
        </is>
      </c>
      <c r="T110" s="134" t="inlineStr">
        <is>
          <t>6 1.33%</t>
        </is>
      </c>
      <c r="U110" s="134" t="inlineStr">
        <is>
          <t>3 1.46%</t>
        </is>
      </c>
    </row>
    <row customHeight="1" ht="17" r="111" s="155">
      <c r="A111" s="105" t="n">
        <v>43264</v>
      </c>
      <c r="B111" s="134" t="n">
        <v>1007.888</v>
      </c>
      <c r="C111" s="150" t="n">
        <v>-4.17</v>
      </c>
      <c r="D111" s="151" t="n">
        <v>-0.0041</v>
      </c>
      <c r="E111" s="134" t="n">
        <v>104.54</v>
      </c>
      <c r="F111" s="134" t="n">
        <v>101.392</v>
      </c>
      <c r="G111" s="134" t="n">
        <v>86.64</v>
      </c>
      <c r="H111" s="134" t="n">
        <v>127.85</v>
      </c>
      <c r="I111" s="104" t="n">
        <v>0.2331</v>
      </c>
      <c r="J111" s="104" t="n">
        <v>0.1529</v>
      </c>
      <c r="K111" s="104" t="n">
        <v>0.0156</v>
      </c>
      <c r="L111" s="134" t="n">
        <v>10.28</v>
      </c>
      <c r="M111" s="134" t="n">
        <v>1013.06</v>
      </c>
      <c r="N111" s="104" t="n">
        <v>0.0101</v>
      </c>
      <c r="O111" s="134" t="n">
        <v>68</v>
      </c>
      <c r="P111" s="134" t="inlineStr">
        <is>
          <t>6 -0.45%</t>
        </is>
      </c>
      <c r="Q111" s="134" t="inlineStr">
        <is>
          <t>25 -0.36%</t>
        </is>
      </c>
      <c r="R111" s="134" t="inlineStr">
        <is>
          <t>25 -0.41%</t>
        </is>
      </c>
      <c r="S111" s="134" t="inlineStr">
        <is>
          <t>4 -0.16%</t>
        </is>
      </c>
      <c r="T111" s="134" t="inlineStr">
        <is>
          <t>5 -0.44%</t>
        </is>
      </c>
      <c r="U111" s="134" t="inlineStr">
        <is>
          <t>3 -1.07%</t>
        </is>
      </c>
    </row>
    <row customHeight="1" ht="17" r="112" s="155">
      <c r="A112" s="105" t="n">
        <v>43265</v>
      </c>
      <c r="B112" s="134" t="n">
        <v>1003.56</v>
      </c>
      <c r="C112" s="150" t="n">
        <v>-4.328</v>
      </c>
      <c r="D112" s="151" t="n">
        <v>-0.0043</v>
      </c>
      <c r="E112" s="134" t="n">
        <v>104.067</v>
      </c>
      <c r="F112" s="134" t="n">
        <v>100.386</v>
      </c>
      <c r="G112" s="134" t="n">
        <v>85.59</v>
      </c>
      <c r="H112" s="134" t="n">
        <v>127.53</v>
      </c>
      <c r="I112" s="104" t="n">
        <v>0.2347</v>
      </c>
      <c r="J112" s="104" t="n">
        <v>0.1556</v>
      </c>
      <c r="K112" s="104" t="n">
        <v>0.0165</v>
      </c>
      <c r="L112" s="134" t="n">
        <v>8.789999999999999</v>
      </c>
      <c r="M112" s="134" t="n">
        <v>1013.06</v>
      </c>
      <c r="N112" s="104" t="n">
        <v>0.008699999999999999</v>
      </c>
      <c r="O112" s="134" t="n">
        <v>68</v>
      </c>
      <c r="P112" s="134" t="inlineStr">
        <is>
          <t>7 -0.81%</t>
        </is>
      </c>
      <c r="Q112" s="134" t="inlineStr">
        <is>
          <t>25 -0.33%</t>
        </is>
      </c>
      <c r="R112" s="134" t="inlineStr">
        <is>
          <t>25 -0.41%</t>
        </is>
      </c>
      <c r="S112" s="134" t="inlineStr">
        <is>
          <t>3 -0.18%</t>
        </is>
      </c>
      <c r="T112" s="134" t="inlineStr">
        <is>
          <t>5 0.31%</t>
        </is>
      </c>
      <c r="U112" s="134" t="inlineStr">
        <is>
          <t>3 -2.03%</t>
        </is>
      </c>
    </row>
    <row customHeight="1" ht="17" r="113" s="155">
      <c r="A113" s="105" t="n">
        <v>43266</v>
      </c>
      <c r="B113" s="134" t="n">
        <v>992.46</v>
      </c>
      <c r="C113" s="150" t="n">
        <v>-11.1</v>
      </c>
      <c r="D113" s="151" t="n">
        <v>-0.0111</v>
      </c>
      <c r="E113" s="134" t="n">
        <v>102.725</v>
      </c>
      <c r="F113" s="134" t="n">
        <v>99.86499999999999</v>
      </c>
      <c r="G113" s="134" t="n">
        <v>84.13</v>
      </c>
      <c r="H113" s="134" t="n">
        <v>128.07</v>
      </c>
      <c r="I113" s="104" t="n">
        <v>0.2535</v>
      </c>
      <c r="J113" s="104" t="n">
        <v>0.1603</v>
      </c>
      <c r="K113" s="104" t="n">
        <v>0.0187</v>
      </c>
      <c r="L113" s="134" t="n">
        <v>10.64</v>
      </c>
      <c r="M113" s="134" t="n">
        <v>1013.06</v>
      </c>
      <c r="N113" s="104" t="n">
        <v>0.0105</v>
      </c>
      <c r="O113" s="134" t="n">
        <v>68</v>
      </c>
      <c r="P113" s="134" t="inlineStr">
        <is>
          <t>7 -0.68%</t>
        </is>
      </c>
      <c r="Q113" s="134" t="inlineStr">
        <is>
          <t>29 -0.71%</t>
        </is>
      </c>
      <c r="R113" s="134" t="inlineStr">
        <is>
          <t>21 -0.98%</t>
        </is>
      </c>
      <c r="S113" s="134" t="inlineStr">
        <is>
          <t>4 -1.32%</t>
        </is>
      </c>
      <c r="T113" s="134" t="inlineStr">
        <is>
          <t>5 -1.58%</t>
        </is>
      </c>
      <c r="U113" s="134" t="inlineStr">
        <is>
          <t>2 -7.96%</t>
        </is>
      </c>
    </row>
    <row customHeight="1" ht="17" r="114" s="155">
      <c r="A114" s="105" t="n">
        <v>43270</v>
      </c>
      <c r="B114" s="134" t="n">
        <v>959.09</v>
      </c>
      <c r="C114" s="150" t="n">
        <v>-33.37</v>
      </c>
      <c r="D114" s="151" t="n">
        <v>-0.0336</v>
      </c>
      <c r="E114" s="134" t="n">
        <v>99.20099999999999</v>
      </c>
      <c r="F114" s="134" t="n">
        <v>96.42</v>
      </c>
      <c r="G114" s="134" t="n">
        <v>77.97</v>
      </c>
      <c r="H114" s="134" t="n">
        <v>129.39</v>
      </c>
      <c r="I114" s="104" t="n">
        <v>0.3019</v>
      </c>
      <c r="J114" s="104" t="n">
        <v>0.2066</v>
      </c>
      <c r="K114" s="104" t="n">
        <v>0.0258</v>
      </c>
      <c r="L114" s="134" t="n">
        <v>16.52</v>
      </c>
      <c r="M114" s="134" t="n">
        <v>1013.06</v>
      </c>
      <c r="N114" s="104" t="n">
        <v>0.0163</v>
      </c>
      <c r="O114" s="134" t="n">
        <v>68</v>
      </c>
      <c r="P114" s="134" t="inlineStr">
        <is>
          <t>13 -3.21%</t>
        </is>
      </c>
      <c r="Q114" s="134" t="inlineStr">
        <is>
          <t>28 -3.33%</t>
        </is>
      </c>
      <c r="R114" s="134" t="inlineStr">
        <is>
          <t>18 -2.90%</t>
        </is>
      </c>
      <c r="S114" s="134" t="inlineStr">
        <is>
          <t>5 -5.68%</t>
        </is>
      </c>
      <c r="T114" s="134" t="inlineStr">
        <is>
          <t>2 -1.87%</t>
        </is>
      </c>
      <c r="U114" s="134" t="inlineStr">
        <is>
          <t>2 -4.70%</t>
        </is>
      </c>
    </row>
    <row customHeight="1" ht="17" r="115" s="155">
      <c r="A115" s="105" t="n">
        <v>43271</v>
      </c>
      <c r="B115" s="134" t="n">
        <v>963.537</v>
      </c>
      <c r="C115" s="152" t="n">
        <v>4.447</v>
      </c>
      <c r="D115" s="153" t="n">
        <v>0.0046</v>
      </c>
      <c r="E115" s="134" t="n">
        <v>99.682</v>
      </c>
      <c r="F115" s="134" t="n">
        <v>97.09999999999999</v>
      </c>
      <c r="G115" s="134" t="n">
        <v>78.5</v>
      </c>
      <c r="H115" s="134" t="n">
        <v>129.34</v>
      </c>
      <c r="I115" s="104" t="n">
        <v>0.2966</v>
      </c>
      <c r="J115" s="104" t="n">
        <v>0.2076</v>
      </c>
      <c r="K115" s="104" t="n">
        <v>0.0249</v>
      </c>
      <c r="L115" s="134" t="n">
        <v>15.48</v>
      </c>
      <c r="M115" s="134" t="n">
        <v>1013.06</v>
      </c>
      <c r="N115" s="104" t="n">
        <v>0.0153</v>
      </c>
      <c r="O115" s="134" t="n">
        <v>68</v>
      </c>
      <c r="P115" s="134" t="inlineStr">
        <is>
          <t>11 -0.03%</t>
        </is>
      </c>
      <c r="Q115" s="134" t="inlineStr">
        <is>
          <t>29 0.38%</t>
        </is>
      </c>
      <c r="R115" s="134" t="inlineStr">
        <is>
          <t>19 0.60%</t>
        </is>
      </c>
      <c r="S115" s="134" t="inlineStr">
        <is>
          <t>3 -0.29%</t>
        </is>
      </c>
      <c r="T115" s="134" t="inlineStr">
        <is>
          <t>4 3.29%</t>
        </is>
      </c>
      <c r="U115" s="134" t="inlineStr">
        <is>
          <t>2 -1.47%</t>
        </is>
      </c>
    </row>
    <row customHeight="1" ht="17" r="116" s="155">
      <c r="A116" s="105" t="n">
        <v>43272</v>
      </c>
      <c r="B116" s="134" t="n">
        <v>959.466</v>
      </c>
      <c r="C116" s="150" t="n">
        <v>-4.071</v>
      </c>
      <c r="D116" s="151" t="n">
        <v>-0.0042</v>
      </c>
      <c r="E116" s="134" t="n">
        <v>99.288</v>
      </c>
      <c r="F116" s="134" t="n">
        <v>96.345</v>
      </c>
      <c r="G116" s="134" t="n">
        <v>76.95</v>
      </c>
      <c r="H116" s="134" t="n">
        <v>131.33</v>
      </c>
      <c r="I116" s="104" t="n">
        <v>0.3204</v>
      </c>
      <c r="J116" s="104" t="n">
        <v>0.2328</v>
      </c>
      <c r="K116" s="104" t="n">
        <v>0.0257</v>
      </c>
      <c r="L116" s="134" t="n">
        <v>14.06</v>
      </c>
      <c r="M116" s="134" t="n">
        <v>1013.06</v>
      </c>
      <c r="N116" s="104" t="n">
        <v>0.0139</v>
      </c>
      <c r="O116" s="134" t="n">
        <v>68</v>
      </c>
      <c r="P116" s="134" t="inlineStr">
        <is>
          <t>13 -0.75%</t>
        </is>
      </c>
      <c r="Q116" s="134" t="inlineStr">
        <is>
          <t>28 -0.40%</t>
        </is>
      </c>
      <c r="R116" s="134" t="inlineStr">
        <is>
          <t>18 -0.40%</t>
        </is>
      </c>
      <c r="S116" s="134" t="inlineStr">
        <is>
          <t>5 -0.96%</t>
        </is>
      </c>
      <c r="T116" s="134" t="inlineStr">
        <is>
          <t>2 0.21%</t>
        </is>
      </c>
      <c r="U116" s="134" t="inlineStr">
        <is>
          <t>2 1.89%</t>
        </is>
      </c>
    </row>
    <row customHeight="1" ht="17" r="117" s="155">
      <c r="A117" s="105" t="n">
        <v>43273</v>
      </c>
      <c r="B117" s="134" t="n">
        <v>964.7910000000001</v>
      </c>
      <c r="C117" s="152" t="n">
        <v>5.325</v>
      </c>
      <c r="D117" s="153" t="n">
        <v>0.0056</v>
      </c>
      <c r="E117" s="134" t="n">
        <v>99.878</v>
      </c>
      <c r="F117" s="134" t="n">
        <v>96.09399999999999</v>
      </c>
      <c r="G117" s="134" t="n">
        <v>78.25</v>
      </c>
      <c r="H117" s="134" t="n">
        <v>129.76</v>
      </c>
      <c r="I117" s="104" t="n">
        <v>0.2988</v>
      </c>
      <c r="J117" s="104" t="n">
        <v>0.2222</v>
      </c>
      <c r="K117" s="104" t="n">
        <v>0.0245</v>
      </c>
      <c r="L117" s="134" t="n">
        <v>16.75</v>
      </c>
      <c r="M117" s="134" t="n">
        <v>1013.06</v>
      </c>
      <c r="N117" s="104" t="n">
        <v>0.0165</v>
      </c>
      <c r="O117" s="134" t="n">
        <v>68</v>
      </c>
      <c r="P117" s="134" t="inlineStr">
        <is>
          <t>12 0.45%</t>
        </is>
      </c>
      <c r="Q117" s="134" t="inlineStr">
        <is>
          <t>28 0.17%</t>
        </is>
      </c>
      <c r="R117" s="134" t="inlineStr">
        <is>
          <t>19 0.47%</t>
        </is>
      </c>
      <c r="S117" s="134" t="inlineStr">
        <is>
          <t>2 0.62%</t>
        </is>
      </c>
      <c r="T117" s="134" t="inlineStr">
        <is>
          <t>5 2.67%</t>
        </is>
      </c>
      <c r="U117" s="134" t="inlineStr">
        <is>
          <t>2 1.92%</t>
        </is>
      </c>
    </row>
    <row customHeight="1" ht="17" r="118" s="155">
      <c r="A118" s="105" t="n">
        <v>43276</v>
      </c>
      <c r="B118" s="134" t="n">
        <v>967.4059999999999</v>
      </c>
      <c r="C118" s="152" t="n">
        <v>2.615</v>
      </c>
      <c r="D118" s="153" t="n">
        <v>0.0027</v>
      </c>
      <c r="E118" s="134" t="n">
        <v>100.087</v>
      </c>
      <c r="F118" s="134" t="n">
        <v>97.28</v>
      </c>
      <c r="G118" s="134" t="n">
        <v>79.41</v>
      </c>
      <c r="H118" s="134" t="n">
        <v>130.41</v>
      </c>
      <c r="I118" s="104" t="n">
        <v>0.3032</v>
      </c>
      <c r="J118" s="104" t="n">
        <v>0.2293</v>
      </c>
      <c r="K118" s="104" t="n">
        <v>0.0239</v>
      </c>
      <c r="L118" s="134" t="n">
        <v>15.4</v>
      </c>
      <c r="M118" s="134" t="n">
        <v>1017.56</v>
      </c>
      <c r="N118" s="104" t="n">
        <v>0.0151</v>
      </c>
      <c r="O118" s="134" t="n">
        <v>69</v>
      </c>
      <c r="P118" s="134" t="inlineStr">
        <is>
          <t>11 0.92%</t>
        </is>
      </c>
      <c r="Q118" s="134" t="inlineStr">
        <is>
          <t>30 0.24%</t>
        </is>
      </c>
      <c r="R118" s="134" t="inlineStr">
        <is>
          <t>19 0.19%</t>
        </is>
      </c>
      <c r="S118" s="134" t="inlineStr">
        <is>
          <t>2 0.28%</t>
        </is>
      </c>
      <c r="T118" s="134" t="inlineStr">
        <is>
          <t>5 0.13%</t>
        </is>
      </c>
      <c r="U118" s="134" t="inlineStr">
        <is>
          <t>2 -1.71%</t>
        </is>
      </c>
    </row>
    <row customHeight="1" ht="17" r="119" s="155">
      <c r="A119" s="105" t="n">
        <v>43277</v>
      </c>
      <c r="B119" s="134" t="n">
        <v>968.77</v>
      </c>
      <c r="C119" s="152" t="n">
        <v>1.364</v>
      </c>
      <c r="D119" s="153" t="n">
        <v>0.0014</v>
      </c>
      <c r="E119" s="134" t="n">
        <v>100.252</v>
      </c>
      <c r="F119" s="134" t="n">
        <v>97.25</v>
      </c>
      <c r="G119" s="134" t="n">
        <v>79.7</v>
      </c>
      <c r="H119" s="134" t="n">
        <v>129.7</v>
      </c>
      <c r="I119" s="104" t="n">
        <v>0.2945</v>
      </c>
      <c r="J119" s="104" t="n">
        <v>0.2216</v>
      </c>
      <c r="K119" s="104" t="n">
        <v>0.0237</v>
      </c>
      <c r="L119" s="134" t="n">
        <v>15.87</v>
      </c>
      <c r="M119" s="134" t="n">
        <v>1017.56</v>
      </c>
      <c r="N119" s="104" t="n">
        <v>0.0156</v>
      </c>
      <c r="O119" s="134" t="n">
        <v>69</v>
      </c>
      <c r="P119" s="134" t="inlineStr">
        <is>
          <t>11 0.34%</t>
        </is>
      </c>
      <c r="Q119" s="134" t="inlineStr">
        <is>
          <t>31 0.03%</t>
        </is>
      </c>
      <c r="R119" s="134" t="inlineStr">
        <is>
          <t>17 -0.34%</t>
        </is>
      </c>
      <c r="S119" s="134" t="inlineStr">
        <is>
          <t>4 0.52%</t>
        </is>
      </c>
      <c r="T119" s="134" t="inlineStr">
        <is>
          <t>4 0.93%</t>
        </is>
      </c>
      <c r="U119" s="134" t="inlineStr">
        <is>
          <t>2 2.49%</t>
        </is>
      </c>
    </row>
    <row customHeight="1" ht="17" r="120" s="155">
      <c r="A120" s="105" t="n">
        <v>43278</v>
      </c>
      <c r="B120" s="134" t="n">
        <v>962.425</v>
      </c>
      <c r="C120" s="150" t="n">
        <v>-6.345</v>
      </c>
      <c r="D120" s="151" t="n">
        <v>-0.0066</v>
      </c>
      <c r="E120" s="134" t="n">
        <v>99.544</v>
      </c>
      <c r="F120" s="134" t="n">
        <v>96.699</v>
      </c>
      <c r="G120" s="134" t="n">
        <v>80.18000000000001</v>
      </c>
      <c r="H120" s="134" t="n">
        <v>128.51</v>
      </c>
      <c r="I120" s="104" t="n">
        <v>0.2897</v>
      </c>
      <c r="J120" s="104" t="n">
        <v>0.216</v>
      </c>
      <c r="K120" s="104" t="n">
        <v>0.0251</v>
      </c>
      <c r="L120" s="134" t="n">
        <v>16.62</v>
      </c>
      <c r="M120" s="134" t="n">
        <v>1017.56</v>
      </c>
      <c r="N120" s="104" t="n">
        <v>0.0163</v>
      </c>
      <c r="O120" s="134" t="n">
        <v>69</v>
      </c>
      <c r="P120" s="134" t="inlineStr">
        <is>
          <t>12 -0.38%</t>
        </is>
      </c>
      <c r="Q120" s="134" t="inlineStr">
        <is>
          <t>32 -0.66%</t>
        </is>
      </c>
      <c r="R120" s="134" t="inlineStr">
        <is>
          <t>16 -0.57%</t>
        </is>
      </c>
      <c r="S120" s="134" t="inlineStr">
        <is>
          <t>4 -1.40%</t>
        </is>
      </c>
      <c r="T120" s="134" t="inlineStr">
        <is>
          <t>2 -0.34%</t>
        </is>
      </c>
      <c r="U120" s="134" t="inlineStr">
        <is>
          <t>3 -1.44%</t>
        </is>
      </c>
    </row>
    <row customHeight="1" ht="17" r="121" s="155">
      <c r="A121" s="105" t="n">
        <v>43279</v>
      </c>
      <c r="B121" s="134" t="n">
        <v>962.581</v>
      </c>
      <c r="C121" s="152" t="n">
        <v>0.156</v>
      </c>
      <c r="D121" s="153" t="n">
        <v>0.0002</v>
      </c>
      <c r="E121" s="134" t="n">
        <v>99.584</v>
      </c>
      <c r="F121" s="134" t="n">
        <v>96.56</v>
      </c>
      <c r="G121" s="134" t="n">
        <v>79.44</v>
      </c>
      <c r="H121" s="134" t="n">
        <v>129.57</v>
      </c>
      <c r="I121" s="104" t="n">
        <v>0.2998</v>
      </c>
      <c r="J121" s="104" t="n">
        <v>0.2152</v>
      </c>
      <c r="K121" s="104" t="n">
        <v>0.0251</v>
      </c>
      <c r="L121" s="134" t="n">
        <v>12.32</v>
      </c>
      <c r="M121" s="134" t="n">
        <v>1017.56</v>
      </c>
      <c r="N121" s="104" t="n">
        <v>0.0121</v>
      </c>
      <c r="O121" s="134" t="n">
        <v>69</v>
      </c>
      <c r="P121" s="134" t="inlineStr">
        <is>
          <t>12 -0.10%</t>
        </is>
      </c>
      <c r="Q121" s="134" t="inlineStr">
        <is>
          <t>32 0.01%</t>
        </is>
      </c>
      <c r="R121" s="134" t="inlineStr">
        <is>
          <t>15 -0.30%</t>
        </is>
      </c>
      <c r="S121" s="134" t="inlineStr">
        <is>
          <t>6 0.52%</t>
        </is>
      </c>
      <c r="T121" s="134" t="inlineStr">
        <is>
          <t>1 -0.03%</t>
        </is>
      </c>
      <c r="U121" s="134" t="inlineStr">
        <is>
          <t>3 1.15%</t>
        </is>
      </c>
    </row>
    <row customHeight="1" ht="17" r="122" s="155">
      <c r="A122" s="105" t="n">
        <v>43280</v>
      </c>
      <c r="B122" s="134" t="n">
        <v>978.009</v>
      </c>
      <c r="C122" s="152" t="n">
        <v>15.428</v>
      </c>
      <c r="D122" s="153" t="n">
        <v>0.016</v>
      </c>
      <c r="E122" s="134" t="n">
        <v>101.359</v>
      </c>
      <c r="F122" s="134" t="n">
        <v>97.938</v>
      </c>
      <c r="G122" s="134" t="n">
        <v>81.62</v>
      </c>
      <c r="H122" s="134" t="n">
        <v>128.76</v>
      </c>
      <c r="I122" s="104" t="n">
        <v>0.274</v>
      </c>
      <c r="J122" s="104" t="n">
        <v>0.1964</v>
      </c>
      <c r="K122" s="104" t="n">
        <v>0.022</v>
      </c>
      <c r="L122" s="134" t="n">
        <v>18.42</v>
      </c>
      <c r="M122" s="134" t="n">
        <v>1017.56</v>
      </c>
      <c r="N122" s="104" t="n">
        <v>0.0181</v>
      </c>
      <c r="O122" s="134" t="n">
        <v>69</v>
      </c>
      <c r="P122" s="134" t="inlineStr">
        <is>
          <t>11 -0.07%</t>
        </is>
      </c>
      <c r="Q122" s="134" t="inlineStr">
        <is>
          <t>30 1.07%</t>
        </is>
      </c>
      <c r="R122" s="134" t="inlineStr">
        <is>
          <t>18 1.55%</t>
        </is>
      </c>
      <c r="S122" s="134" t="inlineStr">
        <is>
          <t>2 1.93%</t>
        </is>
      </c>
      <c r="T122" s="134" t="inlineStr">
        <is>
          <t>5 3.10%</t>
        </is>
      </c>
      <c r="U122" s="134" t="inlineStr">
        <is>
          <t>3 7.23%</t>
        </is>
      </c>
    </row>
    <row customHeight="1" ht="17" r="123" s="155">
      <c r="A123" s="105" t="n">
        <v>43283</v>
      </c>
      <c r="B123" s="134" t="n">
        <v>970.87</v>
      </c>
      <c r="C123" s="150" t="n">
        <v>-7.139</v>
      </c>
      <c r="D123" s="151" t="n">
        <v>-0.0073</v>
      </c>
      <c r="E123" s="134" t="n">
        <v>100.467</v>
      </c>
      <c r="F123" s="134" t="n">
        <v>97.164</v>
      </c>
      <c r="G123" s="134" t="n">
        <v>79.31999999999999</v>
      </c>
      <c r="H123" s="134" t="n">
        <v>128.96</v>
      </c>
      <c r="I123" s="104" t="n">
        <v>0.285</v>
      </c>
      <c r="J123" s="104" t="n">
        <v>0.2021</v>
      </c>
      <c r="K123" s="104" t="n">
        <v>0.0238</v>
      </c>
      <c r="L123" s="134" t="n">
        <v>11.06</v>
      </c>
      <c r="M123" s="134" t="n">
        <v>1020.36</v>
      </c>
      <c r="N123" s="104" t="n">
        <v>0.0108</v>
      </c>
      <c r="O123" s="134" t="n">
        <v>70</v>
      </c>
      <c r="P123" s="134" t="inlineStr">
        <is>
          <t>13 -0.69%</t>
        </is>
      </c>
      <c r="Q123" s="134" t="inlineStr">
        <is>
          <t>33 -0.70%</t>
        </is>
      </c>
      <c r="R123" s="134" t="inlineStr">
        <is>
          <t>14 -0.65%</t>
        </is>
      </c>
      <c r="S123" s="134" t="inlineStr">
        <is>
          <t>5 -1.45%</t>
        </is>
      </c>
      <c r="T123" s="134" t="inlineStr">
        <is>
          <t>2 -1.90%</t>
        </is>
      </c>
      <c r="U123" s="134" t="inlineStr">
        <is>
          <t>3 0.41%</t>
        </is>
      </c>
    </row>
    <row customHeight="1" ht="17" r="124" s="155">
      <c r="A124" s="105" t="n">
        <v>43284</v>
      </c>
      <c r="B124" s="134" t="n">
        <v>976.677</v>
      </c>
      <c r="C124" s="152" t="n">
        <v>5.807</v>
      </c>
      <c r="D124" s="153" t="n">
        <v>0.006</v>
      </c>
      <c r="E124" s="134" t="n">
        <v>101.102</v>
      </c>
      <c r="F124" s="134" t="n">
        <v>97.965</v>
      </c>
      <c r="G124" s="134" t="n">
        <v>80.73</v>
      </c>
      <c r="H124" s="134" t="n">
        <v>128.51</v>
      </c>
      <c r="I124" s="104" t="n">
        <v>0.2741</v>
      </c>
      <c r="J124" s="104" t="n">
        <v>0.1981</v>
      </c>
      <c r="K124" s="104" t="n">
        <v>0.0227</v>
      </c>
      <c r="L124" s="134" t="n">
        <v>19.27</v>
      </c>
      <c r="M124" s="134" t="n">
        <v>1020.36</v>
      </c>
      <c r="N124" s="104" t="n">
        <v>0.0189</v>
      </c>
      <c r="O124" s="134" t="n">
        <v>70</v>
      </c>
      <c r="P124" s="134" t="inlineStr">
        <is>
          <t>13 -0.03%</t>
        </is>
      </c>
      <c r="Q124" s="134" t="inlineStr">
        <is>
          <t>30 0.55%</t>
        </is>
      </c>
      <c r="R124" s="134" t="inlineStr">
        <is>
          <t>16 0.94%</t>
        </is>
      </c>
      <c r="S124" s="134" t="inlineStr">
        <is>
          <t>5 0.47%</t>
        </is>
      </c>
      <c r="T124" s="134" t="inlineStr">
        <is>
          <t>3 0.96%</t>
        </is>
      </c>
      <c r="U124" s="134" t="inlineStr">
        <is>
          <t>3 1.78%</t>
        </is>
      </c>
    </row>
    <row customHeight="1" ht="17" r="125" s="155">
      <c r="A125" s="105" t="n">
        <v>43285</v>
      </c>
      <c r="B125" s="134" t="n">
        <v>973.937</v>
      </c>
      <c r="C125" s="150" t="n">
        <v>-2.74</v>
      </c>
      <c r="D125" s="151" t="n">
        <v>-0.0028</v>
      </c>
      <c r="E125" s="134" t="n">
        <v>100.808</v>
      </c>
      <c r="F125" s="134" t="n">
        <v>97.855</v>
      </c>
      <c r="G125" s="134" t="n">
        <v>79.48999999999999</v>
      </c>
      <c r="H125" s="134" t="n">
        <v>130.54</v>
      </c>
      <c r="I125" s="104" t="n">
        <v>0.2973</v>
      </c>
      <c r="J125" s="104" t="n">
        <v>0.2053</v>
      </c>
      <c r="K125" s="104" t="n">
        <v>0.0233</v>
      </c>
      <c r="L125" s="134" t="n">
        <v>14.35</v>
      </c>
      <c r="M125" s="134" t="n">
        <v>1020.36</v>
      </c>
      <c r="N125" s="104" t="n">
        <v>0.0141</v>
      </c>
      <c r="O125" s="134" t="n">
        <v>70</v>
      </c>
      <c r="P125" s="134" t="inlineStr">
        <is>
          <t>13 -0.22%</t>
        </is>
      </c>
      <c r="Q125" s="134" t="inlineStr">
        <is>
          <t>30 -0.13%</t>
        </is>
      </c>
      <c r="R125" s="134" t="inlineStr">
        <is>
          <t>18 -0.31%</t>
        </is>
      </c>
      <c r="S125" s="134" t="inlineStr">
        <is>
          <t>3 -1.42%</t>
        </is>
      </c>
      <c r="T125" s="134" t="inlineStr">
        <is>
          <t>3 -0.60%</t>
        </is>
      </c>
      <c r="U125" s="134" t="inlineStr">
        <is>
          <t>3 -0.43%</t>
        </is>
      </c>
    </row>
    <row customHeight="1" ht="17" r="126" s="155">
      <c r="A126" s="105" t="n">
        <v>43286</v>
      </c>
      <c r="B126" s="134" t="n">
        <v>972.273</v>
      </c>
      <c r="C126" s="150" t="n">
        <v>-1.664</v>
      </c>
      <c r="D126" s="151" t="n">
        <v>-0.0017</v>
      </c>
      <c r="E126" s="134" t="n">
        <v>100.611</v>
      </c>
      <c r="F126" s="134" t="n">
        <v>97.44499999999999</v>
      </c>
      <c r="G126" s="134" t="n">
        <v>78.40000000000001</v>
      </c>
      <c r="H126" s="134" t="n">
        <v>133.75</v>
      </c>
      <c r="I126" s="104" t="n">
        <v>0.3314</v>
      </c>
      <c r="J126" s="104" t="n">
        <v>0.2264</v>
      </c>
      <c r="K126" s="104" t="n">
        <v>0.0236</v>
      </c>
      <c r="L126" s="134" t="n">
        <v>14.25</v>
      </c>
      <c r="M126" s="134" t="n">
        <v>1020.36</v>
      </c>
      <c r="N126" s="104" t="n">
        <v>0.014</v>
      </c>
      <c r="O126" s="134" t="n">
        <v>70</v>
      </c>
      <c r="P126" s="134" t="inlineStr">
        <is>
          <t>13 -0.13%</t>
        </is>
      </c>
      <c r="Q126" s="134" t="inlineStr">
        <is>
          <t>32 -0.16%</t>
        </is>
      </c>
      <c r="R126" s="134" t="inlineStr">
        <is>
          <t>16 -0.22%</t>
        </is>
      </c>
      <c r="S126" s="134" t="inlineStr">
        <is>
          <t>4 -0.18%</t>
        </is>
      </c>
      <c r="T126" s="134" t="inlineStr">
        <is>
          <t>2 -0.59%</t>
        </is>
      </c>
      <c r="U126" s="134" t="inlineStr">
        <is>
          <t>3 0.05%</t>
        </is>
      </c>
    </row>
    <row customHeight="1" ht="17" r="127" s="155">
      <c r="A127" s="105" t="n">
        <v>43287</v>
      </c>
      <c r="B127" s="134" t="n">
        <v>972.486</v>
      </c>
      <c r="C127" s="152" t="n">
        <v>0.213</v>
      </c>
      <c r="D127" s="153" t="n">
        <v>0.0002</v>
      </c>
      <c r="E127" s="134" t="n">
        <v>100.624</v>
      </c>
      <c r="F127" s="134" t="n">
        <v>97.73999999999999</v>
      </c>
      <c r="G127" s="134" t="n">
        <v>78.63</v>
      </c>
      <c r="H127" s="134" t="n">
        <v>133.26</v>
      </c>
      <c r="I127" s="104" t="n">
        <v>0.3263</v>
      </c>
      <c r="J127" s="104" t="n">
        <v>0.2267</v>
      </c>
      <c r="K127" s="104" t="n">
        <v>0.0237</v>
      </c>
      <c r="L127" s="134" t="n">
        <v>17.01</v>
      </c>
      <c r="M127" s="134" t="n">
        <v>1020.36</v>
      </c>
      <c r="N127" s="104" t="n">
        <v>0.0167</v>
      </c>
      <c r="O127" s="134" t="n">
        <v>70</v>
      </c>
      <c r="P127" s="134" t="inlineStr">
        <is>
          <t>14 -0.16%</t>
        </is>
      </c>
      <c r="Q127" s="134" t="inlineStr">
        <is>
          <t>28 0.06%</t>
        </is>
      </c>
      <c r="R127" s="134" t="inlineStr">
        <is>
          <t>19 0.13%</t>
        </is>
      </c>
      <c r="S127" s="134" t="inlineStr">
        <is>
          <t>3 0.02%</t>
        </is>
      </c>
      <c r="T127" s="134" t="inlineStr">
        <is>
          <t>3 0.33%</t>
        </is>
      </c>
      <c r="U127" s="134" t="inlineStr">
        <is>
          <t>3 -0.53%</t>
        </is>
      </c>
    </row>
    <row customHeight="1" ht="17" r="128" s="155">
      <c r="A128" s="105" t="n">
        <v>43290</v>
      </c>
      <c r="B128" s="134" t="n">
        <v>981.795</v>
      </c>
      <c r="C128" s="152" t="n">
        <v>9.308999999999999</v>
      </c>
      <c r="D128" s="153" t="n">
        <v>0.009599999999999999</v>
      </c>
      <c r="E128" s="134" t="n">
        <v>100.939</v>
      </c>
      <c r="F128" s="134" t="n">
        <v>98.7</v>
      </c>
      <c r="G128" s="134" t="n">
        <v>81.18000000000001</v>
      </c>
      <c r="H128" s="134" t="n">
        <v>132.27</v>
      </c>
      <c r="I128" s="104" t="n">
        <v>0.3133</v>
      </c>
      <c r="J128" s="104" t="n">
        <v>0.212</v>
      </c>
      <c r="K128" s="104" t="n">
        <v>0.0227</v>
      </c>
      <c r="L128" s="134" t="n">
        <v>16.74</v>
      </c>
      <c r="M128" s="134" t="n">
        <v>1020.07</v>
      </c>
      <c r="N128" s="104" t="n">
        <v>0.0164</v>
      </c>
      <c r="O128" s="134" t="n">
        <v>69</v>
      </c>
      <c r="P128" s="134" t="inlineStr">
        <is>
          <t>14 0.56%</t>
        </is>
      </c>
      <c r="Q128" s="134" t="inlineStr">
        <is>
          <t>26 0.97%</t>
        </is>
      </c>
      <c r="R128" s="134" t="inlineStr">
        <is>
          <t>20 1.32%</t>
        </is>
      </c>
      <c r="S128" s="134" t="inlineStr">
        <is>
          <t>3 2.25%</t>
        </is>
      </c>
      <c r="T128" s="134" t="inlineStr">
        <is>
          <t>4 2.47%</t>
        </is>
      </c>
      <c r="U128" s="134" t="inlineStr">
        <is>
          <t>2 -4.94%</t>
        </is>
      </c>
    </row>
    <row customHeight="1" ht="17" r="129" s="155">
      <c r="A129" s="105" t="n">
        <v>43291</v>
      </c>
      <c r="B129" s="134" t="n">
        <v>984.342</v>
      </c>
      <c r="C129" s="152" t="n">
        <v>2.547</v>
      </c>
      <c r="D129" s="153" t="n">
        <v>0.0026</v>
      </c>
      <c r="E129" s="134" t="n">
        <v>101.263</v>
      </c>
      <c r="F129" s="134" t="n">
        <v>99.3</v>
      </c>
      <c r="G129" s="134" t="n">
        <v>81.40000000000001</v>
      </c>
      <c r="H129" s="134" t="n">
        <v>132.14</v>
      </c>
      <c r="I129" s="104" t="n">
        <v>0.3088</v>
      </c>
      <c r="J129" s="104" t="n">
        <v>0.2138</v>
      </c>
      <c r="K129" s="104" t="n">
        <v>0.0223</v>
      </c>
      <c r="L129" s="134" t="n">
        <v>11.95</v>
      </c>
      <c r="M129" s="134" t="n">
        <v>1020.07</v>
      </c>
      <c r="N129" s="104" t="n">
        <v>0.0117</v>
      </c>
      <c r="O129" s="134" t="n">
        <v>69</v>
      </c>
      <c r="P129" s="134" t="inlineStr">
        <is>
          <t>13 -0.01%</t>
        </is>
      </c>
      <c r="Q129" s="134" t="inlineStr">
        <is>
          <t>26 -0.02%</t>
        </is>
      </c>
      <c r="R129" s="134" t="inlineStr">
        <is>
          <t>21 0.21%</t>
        </is>
      </c>
      <c r="S129" s="134" t="inlineStr">
        <is>
          <t>3 0.22%</t>
        </is>
      </c>
      <c r="T129" s="134" t="inlineStr">
        <is>
          <t>4 0.63%</t>
        </is>
      </c>
      <c r="U129" s="134" t="inlineStr">
        <is>
          <t>2 4.91%</t>
        </is>
      </c>
    </row>
    <row customHeight="1" ht="17" r="130" s="155">
      <c r="A130" s="105" t="n">
        <v>43292</v>
      </c>
      <c r="B130" s="134" t="n">
        <v>979.313</v>
      </c>
      <c r="C130" s="150" t="n">
        <v>-5.029</v>
      </c>
      <c r="D130" s="151" t="n">
        <v>-0.0051</v>
      </c>
      <c r="E130" s="134" t="n">
        <v>100.717</v>
      </c>
      <c r="F130" s="134" t="n">
        <v>98.125</v>
      </c>
      <c r="G130" s="134" t="n">
        <v>78.40000000000001</v>
      </c>
      <c r="H130" s="134" t="n">
        <v>134.05</v>
      </c>
      <c r="I130" s="104" t="n">
        <v>0.3333</v>
      </c>
      <c r="J130" s="104" t="n">
        <v>0.2331</v>
      </c>
      <c r="K130" s="104" t="n">
        <v>0.0234</v>
      </c>
      <c r="L130" s="134" t="n">
        <v>12.38</v>
      </c>
      <c r="M130" s="134" t="n">
        <v>1021.96</v>
      </c>
      <c r="N130" s="104" t="n">
        <v>0.0121</v>
      </c>
      <c r="O130" s="134" t="n">
        <v>70</v>
      </c>
      <c r="P130" s="134" t="inlineStr">
        <is>
          <t>14 -0.60%</t>
        </is>
      </c>
      <c r="Q130" s="134" t="inlineStr">
        <is>
          <t>29 -0.65%</t>
        </is>
      </c>
      <c r="R130" s="134" t="inlineStr">
        <is>
          <t>18 -0.26%</t>
        </is>
      </c>
      <c r="S130" s="134" t="inlineStr">
        <is>
          <t>4 -0.44%</t>
        </is>
      </c>
      <c r="T130" s="134" t="inlineStr">
        <is>
          <t>2 -0.87%</t>
        </is>
      </c>
      <c r="U130" s="134" t="inlineStr">
        <is>
          <t>3 -0.12%</t>
        </is>
      </c>
    </row>
    <row customHeight="1" ht="17" r="131" s="155">
      <c r="A131" s="105" t="n">
        <v>43293</v>
      </c>
      <c r="B131" s="134" t="n">
        <v>992.141</v>
      </c>
      <c r="C131" s="152" t="n">
        <v>12.828</v>
      </c>
      <c r="D131" s="153" t="n">
        <v>0.0131</v>
      </c>
      <c r="E131" s="134" t="n">
        <v>102.149</v>
      </c>
      <c r="F131" s="134" t="n">
        <v>99.97499999999999</v>
      </c>
      <c r="G131" s="134" t="n">
        <v>80.45</v>
      </c>
      <c r="H131" s="134" t="n">
        <v>133.32</v>
      </c>
      <c r="I131" s="104" t="n">
        <v>0.3117</v>
      </c>
      <c r="J131" s="104" t="n">
        <v>0.2158</v>
      </c>
      <c r="K131" s="104" t="n">
        <v>0.0208</v>
      </c>
      <c r="L131" s="134" t="n">
        <v>16.47</v>
      </c>
      <c r="M131" s="134" t="n">
        <v>1021.96</v>
      </c>
      <c r="N131" s="104" t="n">
        <v>0.0161</v>
      </c>
      <c r="O131" s="134" t="n">
        <v>70</v>
      </c>
      <c r="P131" s="134" t="inlineStr">
        <is>
          <t>13 0.64%</t>
        </is>
      </c>
      <c r="Q131" s="134" t="inlineStr">
        <is>
          <t>24 1.09%</t>
        </is>
      </c>
      <c r="R131" s="134" t="inlineStr">
        <is>
          <t>24 1.32%</t>
        </is>
      </c>
      <c r="S131" s="134" t="inlineStr">
        <is>
          <t>1 2.47%</t>
        </is>
      </c>
      <c r="T131" s="134" t="inlineStr">
        <is>
          <t>5 2.27%</t>
        </is>
      </c>
      <c r="U131" s="134" t="inlineStr">
        <is>
          <t>3 3.94%</t>
        </is>
      </c>
    </row>
    <row customHeight="1" ht="17" r="132" s="155">
      <c r="A132" s="105" t="n">
        <v>43294</v>
      </c>
      <c r="B132" s="134" t="n">
        <v>994.271</v>
      </c>
      <c r="C132" s="152" t="n">
        <v>2.13</v>
      </c>
      <c r="D132" s="153" t="n">
        <v>0.0022</v>
      </c>
      <c r="E132" s="134" t="n">
        <v>102.384</v>
      </c>
      <c r="F132" s="134" t="n">
        <v>100.66</v>
      </c>
      <c r="G132" s="134" t="n">
        <v>80.17</v>
      </c>
      <c r="H132" s="134" t="n">
        <v>132.96</v>
      </c>
      <c r="I132" s="104" t="n">
        <v>0.3057</v>
      </c>
      <c r="J132" s="104" t="n">
        <v>0.2038</v>
      </c>
      <c r="K132" s="104" t="n">
        <v>0.0204</v>
      </c>
      <c r="L132" s="134" t="n">
        <v>11.64</v>
      </c>
      <c r="M132" s="134" t="n">
        <v>1021.96</v>
      </c>
      <c r="N132" s="104" t="n">
        <v>0.0114</v>
      </c>
      <c r="O132" s="134" t="n">
        <v>70</v>
      </c>
      <c r="P132" s="134" t="inlineStr">
        <is>
          <t>13 0.16%</t>
        </is>
      </c>
      <c r="Q132" s="134" t="inlineStr">
        <is>
          <t>22 -0.26%</t>
        </is>
      </c>
      <c r="R132" s="134" t="inlineStr">
        <is>
          <t>25 0.29%</t>
        </is>
      </c>
      <c r="S132" s="134" t="inlineStr">
        <is>
          <t>2 1.21%</t>
        </is>
      </c>
      <c r="T132" s="134" t="inlineStr">
        <is>
          <t>5 0.15%</t>
        </is>
      </c>
      <c r="U132" s="134" t="inlineStr">
        <is>
          <t>3 0.36%</t>
        </is>
      </c>
    </row>
    <row customHeight="1" ht="17" r="133" s="155">
      <c r="A133" s="105" t="n">
        <v>43297</v>
      </c>
      <c r="B133" s="134" t="n">
        <v>992.027</v>
      </c>
      <c r="C133" s="150" t="n">
        <v>-2.244</v>
      </c>
      <c r="D133" s="151" t="n">
        <v>-0.0023</v>
      </c>
      <c r="E133" s="134" t="n">
        <v>101.965</v>
      </c>
      <c r="F133" s="134" t="n">
        <v>99.61499999999999</v>
      </c>
      <c r="G133" s="134" t="n">
        <v>81.53</v>
      </c>
      <c r="H133" s="134" t="n">
        <v>132.35</v>
      </c>
      <c r="I133" s="104" t="n">
        <v>0.3038</v>
      </c>
      <c r="J133" s="104" t="n">
        <v>0.2063</v>
      </c>
      <c r="K133" s="104" t="n">
        <v>0.0211</v>
      </c>
      <c r="L133" s="134" t="n">
        <v>10.72</v>
      </c>
      <c r="M133" s="134" t="n">
        <v>1025.32</v>
      </c>
      <c r="N133" s="104" t="n">
        <v>0.0105</v>
      </c>
      <c r="O133" s="134" t="n">
        <v>72</v>
      </c>
      <c r="P133" s="134" t="inlineStr">
        <is>
          <t>13 -0.23%</t>
        </is>
      </c>
      <c r="Q133" s="134" t="inlineStr">
        <is>
          <t>24 -0.25%</t>
        </is>
      </c>
      <c r="R133" s="134" t="inlineStr">
        <is>
          <t>26 -0.08%</t>
        </is>
      </c>
      <c r="S133" s="134" t="inlineStr">
        <is>
          <t>1 -0.16%</t>
        </is>
      </c>
      <c r="T133" s="134" t="inlineStr">
        <is>
          <t>5 -0.59%</t>
        </is>
      </c>
      <c r="U133" s="134" t="inlineStr">
        <is>
          <t>3 -0.75%</t>
        </is>
      </c>
    </row>
    <row customHeight="1" ht="17" r="134" s="155">
      <c r="A134" s="105" t="n">
        <v>43298</v>
      </c>
      <c r="B134" s="134" t="n">
        <v>995.178</v>
      </c>
      <c r="C134" s="152" t="n">
        <v>3.151</v>
      </c>
      <c r="D134" s="153" t="n">
        <v>0.0032</v>
      </c>
      <c r="E134" s="134" t="n">
        <v>102.228</v>
      </c>
      <c r="F134" s="134" t="n">
        <v>99.905</v>
      </c>
      <c r="G134" s="134" t="n">
        <v>80.73999999999999</v>
      </c>
      <c r="H134" s="134" t="n">
        <v>132.53</v>
      </c>
      <c r="I134" s="104" t="n">
        <v>0.3031</v>
      </c>
      <c r="J134" s="104" t="n">
        <v>0.2058</v>
      </c>
      <c r="K134" s="104" t="n">
        <v>0.0205</v>
      </c>
      <c r="L134" s="134" t="n">
        <v>11.77</v>
      </c>
      <c r="M134" s="134" t="n">
        <v>1025.32</v>
      </c>
      <c r="N134" s="104" t="n">
        <v>0.0115</v>
      </c>
      <c r="O134" s="134" t="n">
        <v>72</v>
      </c>
      <c r="P134" s="134" t="inlineStr">
        <is>
          <t>12 0.50%</t>
        </is>
      </c>
      <c r="Q134" s="134" t="inlineStr">
        <is>
          <t>25 0.68%</t>
        </is>
      </c>
      <c r="R134" s="134" t="inlineStr">
        <is>
          <t>24 -0.01%</t>
        </is>
      </c>
      <c r="S134" s="134" t="inlineStr">
        <is>
          <t>4 0.16%</t>
        </is>
      </c>
      <c r="T134" s="134" t="inlineStr">
        <is>
          <t>4 -0.67%</t>
        </is>
      </c>
      <c r="U134" s="134" t="inlineStr">
        <is>
          <t>3 0.72%</t>
        </is>
      </c>
    </row>
    <row customHeight="1" ht="17" r="135" s="155">
      <c r="A135" s="105" t="n">
        <v>43299</v>
      </c>
      <c r="B135" s="134" t="n">
        <v>997.865</v>
      </c>
      <c r="C135" s="152" t="n">
        <v>2.687</v>
      </c>
      <c r="D135" s="153" t="n">
        <v>0.0027</v>
      </c>
      <c r="E135" s="134" t="n">
        <v>102.494</v>
      </c>
      <c r="F135" s="134" t="n">
        <v>99.91500000000001</v>
      </c>
      <c r="G135" s="134" t="n">
        <v>80.42</v>
      </c>
      <c r="H135" s="134" t="n">
        <v>133.89</v>
      </c>
      <c r="I135" s="104" t="n">
        <v>0.314</v>
      </c>
      <c r="J135" s="104" t="n">
        <v>0.2156</v>
      </c>
      <c r="K135" s="104" t="n">
        <v>0.02</v>
      </c>
      <c r="L135" s="134" t="n">
        <v>11.58</v>
      </c>
      <c r="M135" s="134" t="n">
        <v>1025.32</v>
      </c>
      <c r="N135" s="104" t="n">
        <v>0.0113</v>
      </c>
      <c r="O135" s="134" t="n">
        <v>72</v>
      </c>
      <c r="P135" s="134" t="inlineStr">
        <is>
          <t>10 0.35%</t>
        </is>
      </c>
      <c r="Q135" s="134" t="inlineStr">
        <is>
          <t>27 0.38%</t>
        </is>
      </c>
      <c r="R135" s="134" t="inlineStr">
        <is>
          <t>24 0.24%</t>
        </is>
      </c>
      <c r="S135" s="134" t="inlineStr">
        <is>
          <t>4 0.08%</t>
        </is>
      </c>
      <c r="T135" s="134" t="inlineStr">
        <is>
          <t>4 0.32%</t>
        </is>
      </c>
      <c r="U135" s="134" t="inlineStr">
        <is>
          <t>3 -0.49%</t>
        </is>
      </c>
    </row>
    <row customHeight="1" ht="17" r="136" s="155">
      <c r="A136" s="105" t="n">
        <v>43300</v>
      </c>
      <c r="B136" s="134" t="n">
        <v>999.85</v>
      </c>
      <c r="C136" s="152" t="n">
        <v>1.985</v>
      </c>
      <c r="D136" s="153" t="n">
        <v>0.002</v>
      </c>
      <c r="E136" s="134" t="n">
        <v>102.535</v>
      </c>
      <c r="F136" s="134" t="n">
        <v>100.025</v>
      </c>
      <c r="G136" s="134" t="n">
        <v>79.05</v>
      </c>
      <c r="H136" s="134" t="n">
        <v>135.41</v>
      </c>
      <c r="I136" s="104" t="n">
        <v>0.3287</v>
      </c>
      <c r="J136" s="104" t="n">
        <v>0.2226</v>
      </c>
      <c r="K136" s="104" t="n">
        <v>0.0195</v>
      </c>
      <c r="L136" s="134" t="n">
        <v>10.7</v>
      </c>
      <c r="M136" s="134" t="n">
        <v>1025.32</v>
      </c>
      <c r="N136" s="104" t="n">
        <v>0.0104</v>
      </c>
      <c r="O136" s="134" t="n">
        <v>72</v>
      </c>
      <c r="P136" s="134" t="inlineStr">
        <is>
          <t>10 0.89%</t>
        </is>
      </c>
      <c r="Q136" s="134" t="inlineStr">
        <is>
          <t>27 0.21%</t>
        </is>
      </c>
      <c r="R136" s="134" t="inlineStr">
        <is>
          <t>23 0.20%</t>
        </is>
      </c>
      <c r="S136" s="134" t="inlineStr">
        <is>
          <t>5 0.94%</t>
        </is>
      </c>
      <c r="T136" s="134" t="inlineStr">
        <is>
          <t>4 -0.11%</t>
        </is>
      </c>
      <c r="U136" s="134" t="inlineStr">
        <is>
          <t>3 -3.04%</t>
        </is>
      </c>
    </row>
    <row customHeight="1" ht="17" r="137" s="155">
      <c r="A137" s="105" t="n">
        <v>43301</v>
      </c>
      <c r="B137" s="134" t="n">
        <v>1008.403</v>
      </c>
      <c r="C137" s="152" t="n">
        <v>8.553000000000001</v>
      </c>
      <c r="D137" s="153" t="n">
        <v>0.0086</v>
      </c>
      <c r="E137" s="134" t="n">
        <v>103.411</v>
      </c>
      <c r="F137" s="134" t="n">
        <v>100.178</v>
      </c>
      <c r="G137" s="134" t="n">
        <v>80.75</v>
      </c>
      <c r="H137" s="134" t="n">
        <v>135.53</v>
      </c>
      <c r="I137" s="104" t="n">
        <v>0.3212</v>
      </c>
      <c r="J137" s="104" t="n">
        <v>0.2124</v>
      </c>
      <c r="K137" s="104" t="n">
        <v>0.0177</v>
      </c>
      <c r="L137" s="134" t="n">
        <v>19.36</v>
      </c>
      <c r="M137" s="134" t="n">
        <v>1025.32</v>
      </c>
      <c r="N137" s="104" t="n">
        <v>0.0189</v>
      </c>
      <c r="O137" s="134" t="n">
        <v>72</v>
      </c>
      <c r="P137" s="134" t="inlineStr">
        <is>
          <t>8 1.25%</t>
        </is>
      </c>
      <c r="Q137" s="134" t="inlineStr">
        <is>
          <t>27 0.96%</t>
        </is>
      </c>
      <c r="R137" s="134" t="inlineStr">
        <is>
          <t>27 0.39%</t>
        </is>
      </c>
      <c r="S137" s="134" t="inlineStr">
        <is>
          <t>3 1.37%</t>
        </is>
      </c>
      <c r="T137" s="134" t="inlineStr">
        <is>
          <t>4 0.94%</t>
        </is>
      </c>
      <c r="U137" s="134" t="inlineStr">
        <is>
          <t>3 2.47%</t>
        </is>
      </c>
    </row>
    <row customHeight="1" ht="17" r="138" s="155">
      <c r="A138" s="105" t="n">
        <v>43304</v>
      </c>
      <c r="B138" s="134" t="n">
        <v>1010.623</v>
      </c>
      <c r="C138" s="152" t="n">
        <v>2.22</v>
      </c>
      <c r="D138" s="153" t="n">
        <v>0.0022</v>
      </c>
      <c r="E138" s="134" t="n">
        <v>103.303</v>
      </c>
      <c r="F138" s="134" t="n">
        <v>100.238</v>
      </c>
      <c r="G138" s="134" t="n">
        <v>81</v>
      </c>
      <c r="H138" s="134" t="n">
        <v>134.56</v>
      </c>
      <c r="I138" s="104" t="n">
        <v>0.3126</v>
      </c>
      <c r="J138" s="104" t="n">
        <v>0.2174</v>
      </c>
      <c r="K138" s="104" t="n">
        <v>0.0172</v>
      </c>
      <c r="L138" s="134" t="n">
        <v>20.98</v>
      </c>
      <c r="M138" s="134" t="n">
        <v>1025.32</v>
      </c>
      <c r="N138" s="104" t="n">
        <v>0.0205</v>
      </c>
      <c r="O138" s="134" t="n">
        <v>72</v>
      </c>
      <c r="P138" s="134" t="inlineStr">
        <is>
          <t>6 0.83%</t>
        </is>
      </c>
      <c r="Q138" s="134" t="inlineStr">
        <is>
          <t>27 0.34%</t>
        </is>
      </c>
      <c r="R138" s="134" t="inlineStr">
        <is>
          <t>25 0.52%</t>
        </is>
      </c>
      <c r="S138" s="134" t="inlineStr">
        <is>
          <t>7 1.32%</t>
        </is>
      </c>
      <c r="T138" s="134" t="inlineStr">
        <is>
          <t>4 0.95%</t>
        </is>
      </c>
      <c r="U138" s="134" t="inlineStr">
        <is>
          <t>3 -8.12%</t>
        </is>
      </c>
    </row>
    <row customHeight="1" ht="17" r="139" s="155">
      <c r="A139" s="105" t="n">
        <v>43305</v>
      </c>
      <c r="B139" s="134" t="n">
        <v>1014.33</v>
      </c>
      <c r="C139" s="152" t="n">
        <v>3.707</v>
      </c>
      <c r="D139" s="153" t="n">
        <v>0.0037</v>
      </c>
      <c r="E139" s="134" t="n">
        <v>103.732</v>
      </c>
      <c r="F139" s="134" t="n">
        <v>101.02</v>
      </c>
      <c r="G139" s="134" t="n">
        <v>82.34</v>
      </c>
      <c r="H139" s="134" t="n">
        <v>132.98</v>
      </c>
      <c r="I139" s="104" t="n">
        <v>0.2925</v>
      </c>
      <c r="J139" s="104" t="n">
        <v>0.2019</v>
      </c>
      <c r="K139" s="104" t="n">
        <v>0.0166</v>
      </c>
      <c r="L139" s="134" t="n">
        <v>21.21</v>
      </c>
      <c r="M139" s="134" t="n">
        <v>1025.32</v>
      </c>
      <c r="N139" s="104" t="n">
        <v>0.0207</v>
      </c>
      <c r="O139" s="134" t="n">
        <v>72</v>
      </c>
      <c r="P139" s="134" t="inlineStr">
        <is>
          <t>7 -0.61%</t>
        </is>
      </c>
      <c r="Q139" s="134" t="inlineStr">
        <is>
          <t>25 0.03%</t>
        </is>
      </c>
      <c r="R139" s="134" t="inlineStr">
        <is>
          <t>26 0.54%</t>
        </is>
      </c>
      <c r="S139" s="134" t="inlineStr">
        <is>
          <t>6 0.17%</t>
        </is>
      </c>
      <c r="T139" s="134" t="inlineStr">
        <is>
          <t>5 4.19%</t>
        </is>
      </c>
      <c r="U139" s="134" t="inlineStr">
        <is>
          <t>3 2.00%</t>
        </is>
      </c>
    </row>
    <row customHeight="1" ht="17" r="140" s="155">
      <c r="A140" s="105" t="n">
        <v>43306</v>
      </c>
      <c r="B140" s="134" t="n">
        <v>1014.019</v>
      </c>
      <c r="C140" s="150" t="n">
        <v>-0.311</v>
      </c>
      <c r="D140" s="151" t="n">
        <v>-0.0003</v>
      </c>
      <c r="E140" s="134" t="n">
        <v>103.745</v>
      </c>
      <c r="F140" s="134" t="n">
        <v>100.56</v>
      </c>
      <c r="G140" s="134" t="n">
        <v>83.89</v>
      </c>
      <c r="H140" s="134" t="n">
        <v>132.54</v>
      </c>
      <c r="I140" s="104" t="n">
        <v>0.2879</v>
      </c>
      <c r="J140" s="104" t="n">
        <v>0.1992</v>
      </c>
      <c r="K140" s="104" t="n">
        <v>0.0164</v>
      </c>
      <c r="L140" s="134" t="n">
        <v>18.27</v>
      </c>
      <c r="M140" s="134" t="n">
        <v>1026.32</v>
      </c>
      <c r="N140" s="104" t="n">
        <v>0.0178</v>
      </c>
      <c r="O140" s="134" t="n">
        <v>74</v>
      </c>
      <c r="P140" s="134" t="inlineStr">
        <is>
          <t>3 1.22%</t>
        </is>
      </c>
      <c r="Q140" s="134" t="inlineStr">
        <is>
          <t>31 0.41%</t>
        </is>
      </c>
      <c r="R140" s="134" t="inlineStr">
        <is>
          <t>26 -0.37%</t>
        </is>
      </c>
      <c r="S140" s="134" t="inlineStr">
        <is>
          <t>6 -0.65%</t>
        </is>
      </c>
      <c r="T140" s="134" t="inlineStr">
        <is>
          <t>5 -0.41%</t>
        </is>
      </c>
      <c r="U140" s="134" t="inlineStr">
        <is>
          <t>3 -1.05%</t>
        </is>
      </c>
    </row>
    <row customHeight="1" ht="17" r="141" s="155">
      <c r="A141" s="105" t="n">
        <v>43307</v>
      </c>
      <c r="B141" s="134" t="n">
        <v>1006.56</v>
      </c>
      <c r="C141" s="150" t="n">
        <v>-7.459</v>
      </c>
      <c r="D141" s="151" t="n">
        <v>-0.0074</v>
      </c>
      <c r="E141" s="134" t="n">
        <v>102.954</v>
      </c>
      <c r="F141" s="134" t="n">
        <v>99.94</v>
      </c>
      <c r="G141" s="134" t="n">
        <v>82.8</v>
      </c>
      <c r="H141" s="134" t="n">
        <v>131.64</v>
      </c>
      <c r="I141" s="104" t="n">
        <v>0.2869</v>
      </c>
      <c r="J141" s="104" t="n">
        <v>0.2028</v>
      </c>
      <c r="K141" s="104" t="n">
        <v>0.0179</v>
      </c>
      <c r="L141" s="134" t="n">
        <v>14.32</v>
      </c>
      <c r="M141" s="134" t="n">
        <v>1026.32</v>
      </c>
      <c r="N141" s="104" t="n">
        <v>0.014</v>
      </c>
      <c r="O141" s="134" t="n">
        <v>74</v>
      </c>
      <c r="P141" s="134" t="inlineStr">
        <is>
          <t>3 -0.39%</t>
        </is>
      </c>
      <c r="Q141" s="134" t="inlineStr">
        <is>
          <t>36 -0.57%</t>
        </is>
      </c>
      <c r="R141" s="134" t="inlineStr">
        <is>
          <t>23 -0.79%</t>
        </is>
      </c>
      <c r="S141" s="134" t="inlineStr">
        <is>
          <t>4 -1.41%</t>
        </is>
      </c>
      <c r="T141" s="134" t="inlineStr">
        <is>
          <t>5 -1.29%</t>
        </is>
      </c>
      <c r="U141" s="134" t="inlineStr">
        <is>
          <t>3 -0.89%</t>
        </is>
      </c>
    </row>
    <row customHeight="1" ht="17" r="142" s="155">
      <c r="A142" s="105" t="n">
        <v>43308</v>
      </c>
      <c r="B142" s="134" t="n">
        <v>1003.177</v>
      </c>
      <c r="C142" s="150" t="n">
        <v>-3.383</v>
      </c>
      <c r="D142" s="151" t="n">
        <v>-0.0034</v>
      </c>
      <c r="E142" s="134" t="n">
        <v>102.596</v>
      </c>
      <c r="F142" s="134" t="n">
        <v>99.745</v>
      </c>
      <c r="G142" s="134" t="n">
        <v>82.15000000000001</v>
      </c>
      <c r="H142" s="134" t="n">
        <v>132.2</v>
      </c>
      <c r="I142" s="104" t="n">
        <v>0.2961</v>
      </c>
      <c r="J142" s="104" t="n">
        <v>0.2002</v>
      </c>
      <c r="K142" s="104" t="n">
        <v>0.0186</v>
      </c>
      <c r="L142" s="134" t="n">
        <v>12.55</v>
      </c>
      <c r="M142" s="134" t="n">
        <v>1026.32</v>
      </c>
      <c r="N142" s="104" t="n">
        <v>0.0122</v>
      </c>
      <c r="O142" s="134" t="n">
        <v>74</v>
      </c>
      <c r="P142" s="134" t="inlineStr">
        <is>
          <t>4 -1.48%</t>
        </is>
      </c>
      <c r="Q142" s="134" t="inlineStr">
        <is>
          <t>35 -0.08%</t>
        </is>
      </c>
      <c r="R142" s="134" t="inlineStr">
        <is>
          <t>25 -0.45%</t>
        </is>
      </c>
      <c r="S142" s="134" t="inlineStr">
        <is>
          <t>3 -0.83%</t>
        </is>
      </c>
      <c r="T142" s="134" t="inlineStr">
        <is>
          <t>4 0.36%</t>
        </is>
      </c>
      <c r="U142" s="134" t="inlineStr">
        <is>
          <t>3 -1.27%</t>
        </is>
      </c>
    </row>
    <row customHeight="1" ht="17" r="143" s="155">
      <c r="A143" s="105" t="n">
        <v>43311</v>
      </c>
      <c r="B143" s="134" t="n">
        <v>996.694</v>
      </c>
      <c r="C143" s="150" t="n">
        <v>-6.483</v>
      </c>
      <c r="D143" s="151" t="n">
        <v>-0.0065</v>
      </c>
      <c r="E143" s="134" t="n">
        <v>101.99</v>
      </c>
      <c r="F143" s="134" t="n">
        <v>99.395</v>
      </c>
      <c r="G143" s="134" t="n">
        <v>81.18000000000001</v>
      </c>
      <c r="H143" s="134" t="n">
        <v>131.94</v>
      </c>
      <c r="I143" s="104" t="n">
        <v>0.2995</v>
      </c>
      <c r="J143" s="104" t="n">
        <v>0.2061</v>
      </c>
      <c r="K143" s="104" t="n">
        <v>0.0201</v>
      </c>
      <c r="L143" s="134" t="n">
        <v>11.47</v>
      </c>
      <c r="M143" s="134" t="n">
        <v>1026.32</v>
      </c>
      <c r="N143" s="104" t="n">
        <v>0.0112</v>
      </c>
      <c r="O143" s="134" t="n">
        <v>74</v>
      </c>
      <c r="P143" s="134" t="inlineStr">
        <is>
          <t>8 -2.25%</t>
        </is>
      </c>
      <c r="Q143" s="134" t="inlineStr">
        <is>
          <t>32 -0.56%</t>
        </is>
      </c>
      <c r="R143" s="134" t="inlineStr">
        <is>
          <t>24 -0.53%</t>
        </is>
      </c>
      <c r="S143" s="134" t="inlineStr">
        <is>
          <t>3 -0.44%</t>
        </is>
      </c>
      <c r="T143" s="134" t="inlineStr">
        <is>
          <t>4 -0.21%</t>
        </is>
      </c>
      <c r="U143" s="134" t="inlineStr">
        <is>
          <t>3 0.95%</t>
        </is>
      </c>
    </row>
    <row customHeight="1" ht="17" r="144" s="155">
      <c r="A144" s="105" t="n">
        <v>43312</v>
      </c>
      <c r="B144" s="134" t="n">
        <v>997.3</v>
      </c>
      <c r="C144" s="152" t="n">
        <v>0.606</v>
      </c>
      <c r="D144" s="153" t="n">
        <v>0.0005999999999999999</v>
      </c>
      <c r="E144" s="134" t="n">
        <v>102.017</v>
      </c>
      <c r="F144" s="134" t="n">
        <v>99.25</v>
      </c>
      <c r="G144" s="134" t="n">
        <v>81.2</v>
      </c>
      <c r="H144" s="134" t="n">
        <v>131.94</v>
      </c>
      <c r="I144" s="104" t="n">
        <v>0.2992</v>
      </c>
      <c r="J144" s="104" t="n">
        <v>0.206</v>
      </c>
      <c r="K144" s="104" t="n">
        <v>0.02</v>
      </c>
      <c r="L144" s="134" t="n">
        <v>9.529999999999999</v>
      </c>
      <c r="M144" s="134" t="n">
        <v>1026.32</v>
      </c>
      <c r="N144" s="104" t="n">
        <v>0.009299999999999999</v>
      </c>
      <c r="O144" s="134" t="n">
        <v>74</v>
      </c>
      <c r="P144" s="134" t="inlineStr">
        <is>
          <t>8 0.29%</t>
        </is>
      </c>
      <c r="Q144" s="134" t="inlineStr">
        <is>
          <t>32 0.13%</t>
        </is>
      </c>
      <c r="R144" s="134" t="inlineStr">
        <is>
          <t>23 0.05%</t>
        </is>
      </c>
      <c r="S144" s="134" t="inlineStr">
        <is>
          <t>4 2.21%</t>
        </is>
      </c>
      <c r="T144" s="134" t="inlineStr">
        <is>
          <t>4 0.47%</t>
        </is>
      </c>
      <c r="U144" s="134" t="inlineStr">
        <is>
          <t>3 -1.57%</t>
        </is>
      </c>
    </row>
    <row customHeight="1" ht="17" r="145" s="155">
      <c r="A145" s="105" t="n">
        <v>43313</v>
      </c>
      <c r="B145" s="134" t="n">
        <v>993.124</v>
      </c>
      <c r="C145" s="150" t="n">
        <v>-4.176</v>
      </c>
      <c r="D145" s="151" t="n">
        <v>-0.0042</v>
      </c>
      <c r="E145" s="134" t="n">
        <v>101.671</v>
      </c>
      <c r="F145" s="134" t="n">
        <v>99.444</v>
      </c>
      <c r="G145" s="134" t="n">
        <v>80.73999999999999</v>
      </c>
      <c r="H145" s="134" t="n">
        <v>132.53</v>
      </c>
      <c r="I145" s="104" t="n">
        <v>0.3086</v>
      </c>
      <c r="J145" s="104" t="n">
        <v>0.2129</v>
      </c>
      <c r="K145" s="104" t="n">
        <v>0.0206</v>
      </c>
      <c r="L145" s="134" t="n">
        <v>12.71</v>
      </c>
      <c r="M145" s="134" t="n">
        <v>1056.35</v>
      </c>
      <c r="N145" s="104" t="n">
        <v>0.012</v>
      </c>
      <c r="O145" s="134" t="n">
        <v>76</v>
      </c>
      <c r="P145" s="134" t="inlineStr">
        <is>
          <t>8 -0.35%</t>
        </is>
      </c>
      <c r="Q145" s="134" t="inlineStr">
        <is>
          <t>32 -0.53%</t>
        </is>
      </c>
      <c r="R145" s="134" t="inlineStr">
        <is>
          <t>26 -0.54%</t>
        </is>
      </c>
      <c r="S145" s="134" t="inlineStr">
        <is>
          <t>3 -0.50%</t>
        </is>
      </c>
      <c r="T145" s="134" t="inlineStr">
        <is>
          <t>4 -0.70%</t>
        </is>
      </c>
      <c r="U145" s="134" t="inlineStr">
        <is>
          <t>3 -0.03%</t>
        </is>
      </c>
    </row>
    <row customHeight="1" ht="17" r="146" s="155">
      <c r="A146" s="105" t="n">
        <v>43314</v>
      </c>
      <c r="B146" s="134" t="n">
        <v>986.29</v>
      </c>
      <c r="C146" s="150" t="n">
        <v>-6.834</v>
      </c>
      <c r="D146" s="151" t="n">
        <v>-0.0069</v>
      </c>
      <c r="E146" s="134" t="n">
        <v>100.877</v>
      </c>
      <c r="F146" s="134" t="n">
        <v>98.47</v>
      </c>
      <c r="G146" s="134" t="n">
        <v>79.20999999999999</v>
      </c>
      <c r="H146" s="134" t="n">
        <v>133.96</v>
      </c>
      <c r="I146" s="104" t="n">
        <v>0.3308</v>
      </c>
      <c r="J146" s="104" t="n">
        <v>0.2388</v>
      </c>
      <c r="K146" s="104" t="n">
        <v>0.0223</v>
      </c>
      <c r="L146" s="134" t="n">
        <v>15.53</v>
      </c>
      <c r="M146" s="134" t="n">
        <v>1069.56</v>
      </c>
      <c r="N146" s="104" t="n">
        <v>0.0145</v>
      </c>
      <c r="O146" s="134" t="n">
        <v>77</v>
      </c>
      <c r="P146" s="134" t="inlineStr">
        <is>
          <t>11 -0.79%</t>
        </is>
      </c>
      <c r="Q146" s="134" t="inlineStr">
        <is>
          <t>32 -0.83%</t>
        </is>
      </c>
      <c r="R146" s="134" t="inlineStr">
        <is>
          <t>24 -0.61%</t>
        </is>
      </c>
      <c r="S146" s="134" t="inlineStr">
        <is>
          <t>4 -1.10%</t>
        </is>
      </c>
      <c r="T146" s="134" t="inlineStr">
        <is>
          <t>3 -0.05%</t>
        </is>
      </c>
      <c r="U146" s="134" t="inlineStr">
        <is>
          <t>3 0.52%</t>
        </is>
      </c>
    </row>
    <row customHeight="1" ht="17" r="147" s="155">
      <c r="A147" s="105" t="n">
        <v>43315</v>
      </c>
      <c r="B147" s="134" t="n">
        <v>983.8200000000001</v>
      </c>
      <c r="C147" s="150" t="n">
        <v>-2.47</v>
      </c>
      <c r="D147" s="151" t="n">
        <v>-0.0025</v>
      </c>
      <c r="E147" s="134" t="n">
        <v>100.581</v>
      </c>
      <c r="F147" s="134" t="n">
        <v>98</v>
      </c>
      <c r="G147" s="134" t="n">
        <v>79.09</v>
      </c>
      <c r="H147" s="134" t="n">
        <v>134.82</v>
      </c>
      <c r="I147" s="104" t="n">
        <v>0.3424</v>
      </c>
      <c r="J147" s="104" t="n">
        <v>0.2523</v>
      </c>
      <c r="K147" s="104" t="n">
        <v>0.0228</v>
      </c>
      <c r="L147" s="134" t="n">
        <v>13.04</v>
      </c>
      <c r="M147" s="134" t="n">
        <v>1069.56</v>
      </c>
      <c r="N147" s="104" t="n">
        <v>0.0122</v>
      </c>
      <c r="O147" s="134" t="n">
        <v>77</v>
      </c>
      <c r="P147" s="134" t="inlineStr">
        <is>
          <t>11 -0.32%</t>
        </is>
      </c>
      <c r="Q147" s="134" t="inlineStr">
        <is>
          <t>32 -0.08%</t>
        </is>
      </c>
      <c r="R147" s="134" t="inlineStr">
        <is>
          <t>24 -0.16%</t>
        </is>
      </c>
      <c r="S147" s="134" t="inlineStr">
        <is>
          <t>3 -0.06%</t>
        </is>
      </c>
      <c r="T147" s="134" t="inlineStr">
        <is>
          <t>5 -1.33%</t>
        </is>
      </c>
      <c r="U147" s="134" t="inlineStr">
        <is>
          <t>2 -1.30%</t>
        </is>
      </c>
    </row>
    <row customHeight="1" ht="17" r="148" s="155">
      <c r="A148" s="105" t="n">
        <v>43318</v>
      </c>
      <c r="B148" s="134" t="n">
        <v>976.192</v>
      </c>
      <c r="C148" s="150" t="n">
        <v>-7.628</v>
      </c>
      <c r="D148" s="151" t="n">
        <v>-0.0078</v>
      </c>
      <c r="E148" s="134" t="n">
        <v>99.65000000000001</v>
      </c>
      <c r="F148" s="134" t="n">
        <v>97.89</v>
      </c>
      <c r="G148" s="134" t="n">
        <v>77.54000000000001</v>
      </c>
      <c r="H148" s="134" t="n">
        <v>136.13</v>
      </c>
      <c r="I148" s="104" t="n">
        <v>0.3648</v>
      </c>
      <c r="J148" s="104" t="n">
        <v>0.27</v>
      </c>
      <c r="K148" s="104" t="n">
        <v>0.0243</v>
      </c>
      <c r="L148" s="134" t="n">
        <v>11.48</v>
      </c>
      <c r="M148" s="134" t="n">
        <v>1069.56</v>
      </c>
      <c r="N148" s="104" t="n">
        <v>0.0107</v>
      </c>
      <c r="O148" s="134" t="n">
        <v>77</v>
      </c>
      <c r="P148" s="134" t="inlineStr">
        <is>
          <t>11 -0.67%</t>
        </is>
      </c>
      <c r="Q148" s="134" t="inlineStr">
        <is>
          <t>32 -0.50%</t>
        </is>
      </c>
      <c r="R148" s="134" t="inlineStr">
        <is>
          <t>24 -0.18%</t>
        </is>
      </c>
      <c r="S148" s="134" t="inlineStr">
        <is>
          <t>4 -0.81%</t>
        </is>
      </c>
      <c r="T148" s="134" t="inlineStr">
        <is>
          <t>5 -3.86%</t>
        </is>
      </c>
      <c r="U148" s="134" t="inlineStr">
        <is>
          <t>1 -9.37%</t>
        </is>
      </c>
    </row>
    <row customHeight="1" ht="17" r="149" s="155">
      <c r="A149" s="105" t="n">
        <v>43319</v>
      </c>
      <c r="B149" s="134" t="n">
        <v>984.881</v>
      </c>
      <c r="C149" s="152" t="n">
        <v>8.689</v>
      </c>
      <c r="D149" s="153" t="n">
        <v>0.0089</v>
      </c>
      <c r="E149" s="134" t="n">
        <v>100.604</v>
      </c>
      <c r="F149" s="134" t="n">
        <v>98.58</v>
      </c>
      <c r="G149" s="134" t="n">
        <v>77.15000000000001</v>
      </c>
      <c r="H149" s="134" t="n">
        <v>135.3</v>
      </c>
      <c r="I149" s="104" t="n">
        <v>0.347</v>
      </c>
      <c r="J149" s="104" t="n">
        <v>0.2402</v>
      </c>
      <c r="K149" s="104" t="n">
        <v>0.0227</v>
      </c>
      <c r="L149" s="134" t="n">
        <v>19.31</v>
      </c>
      <c r="M149" s="134" t="n">
        <v>1114.24</v>
      </c>
      <c r="N149" s="104" t="n">
        <v>0.0173</v>
      </c>
      <c r="O149" s="134" t="n">
        <v>78</v>
      </c>
      <c r="P149" s="134" t="inlineStr">
        <is>
          <t>11 0.43%</t>
        </is>
      </c>
      <c r="Q149" s="134" t="inlineStr">
        <is>
          <t>32 0.76%</t>
        </is>
      </c>
      <c r="R149" s="134" t="inlineStr">
        <is>
          <t>25 0.63%</t>
        </is>
      </c>
      <c r="S149" s="134" t="inlineStr">
        <is>
          <t>3 2.59%</t>
        </is>
      </c>
      <c r="T149" s="134" t="inlineStr">
        <is>
          <t>4 1.20%</t>
        </is>
      </c>
      <c r="U149" s="134" t="inlineStr">
        <is>
          <t>3 3.99%</t>
        </is>
      </c>
    </row>
    <row customHeight="1" ht="17" r="150" s="155">
      <c r="A150" s="105" t="n">
        <v>43320</v>
      </c>
      <c r="B150" s="134" t="n">
        <v>980.319</v>
      </c>
      <c r="C150" s="150" t="n">
        <v>-4.562</v>
      </c>
      <c r="D150" s="151" t="n">
        <v>-0.0046</v>
      </c>
      <c r="E150" s="134" t="n">
        <v>100.084</v>
      </c>
      <c r="F150" s="134" t="n">
        <v>98.58</v>
      </c>
      <c r="G150" s="134" t="n">
        <v>76.23999999999999</v>
      </c>
      <c r="H150" s="134" t="n">
        <v>136.54</v>
      </c>
      <c r="I150" s="104" t="n">
        <v>0.3646</v>
      </c>
      <c r="J150" s="104" t="n">
        <v>0.2602</v>
      </c>
      <c r="K150" s="104" t="n">
        <v>0.0236</v>
      </c>
      <c r="L150" s="134" t="n">
        <v>11.4</v>
      </c>
      <c r="M150" s="134" t="n">
        <v>1114.24</v>
      </c>
      <c r="N150" s="104" t="n">
        <v>0.0102</v>
      </c>
      <c r="O150" s="134" t="n">
        <v>78</v>
      </c>
      <c r="P150" s="134" t="inlineStr">
        <is>
          <t>11 -0.12%</t>
        </is>
      </c>
      <c r="Q150" s="134" t="inlineStr">
        <is>
          <t>33 -0.22%</t>
        </is>
      </c>
      <c r="R150" s="134" t="inlineStr">
        <is>
          <t>24 -0.50%</t>
        </is>
      </c>
      <c r="S150" s="134" t="inlineStr">
        <is>
          <t>3 -0.36%</t>
        </is>
      </c>
      <c r="T150" s="134" t="inlineStr">
        <is>
          <t>5 -2.64%</t>
        </is>
      </c>
      <c r="U150" s="134" t="inlineStr">
        <is>
          <t>2 -0.58%</t>
        </is>
      </c>
    </row>
    <row customHeight="1" ht="17" r="151" s="155">
      <c r="A151" s="105" t="n">
        <v>43321</v>
      </c>
      <c r="B151" s="134" t="n">
        <v>990.115</v>
      </c>
      <c r="C151" s="152" t="n">
        <v>9.795999999999999</v>
      </c>
      <c r="D151" s="153" t="n">
        <v>0.01</v>
      </c>
      <c r="E151" s="134" t="n">
        <v>101.139</v>
      </c>
      <c r="F151" s="134" t="n">
        <v>99.64</v>
      </c>
      <c r="G151" s="134" t="n">
        <v>77.94</v>
      </c>
      <c r="H151" s="134" t="n">
        <v>135.67</v>
      </c>
      <c r="I151" s="104" t="n">
        <v>0.3453</v>
      </c>
      <c r="J151" s="104" t="n">
        <v>0.2457</v>
      </c>
      <c r="K151" s="104" t="n">
        <v>0.0216</v>
      </c>
      <c r="L151" s="134" t="n">
        <v>17.5</v>
      </c>
      <c r="M151" s="134" t="n">
        <v>1114.24</v>
      </c>
      <c r="N151" s="104" t="n">
        <v>0.0157</v>
      </c>
      <c r="O151" s="134" t="n">
        <v>78</v>
      </c>
      <c r="P151" s="134" t="inlineStr">
        <is>
          <t>10 0.41%</t>
        </is>
      </c>
      <c r="Q151" s="134" t="inlineStr">
        <is>
          <t>30 0.76%</t>
        </is>
      </c>
      <c r="R151" s="134" t="inlineStr">
        <is>
          <t>28 0.92%</t>
        </is>
      </c>
      <c r="S151" s="134" t="inlineStr">
        <is>
          <t>2 2.08%</t>
        </is>
      </c>
      <c r="T151" s="134" t="inlineStr">
        <is>
          <t>6 2.92%</t>
        </is>
      </c>
      <c r="U151" s="134" t="inlineStr">
        <is>
          <t>2 1.77%</t>
        </is>
      </c>
    </row>
    <row customHeight="1" ht="17" r="152" s="155">
      <c r="A152" s="105" t="n">
        <v>43322</v>
      </c>
      <c r="B152" s="134" t="n">
        <v>991.395</v>
      </c>
      <c r="C152" s="152" t="n">
        <v>1.28</v>
      </c>
      <c r="D152" s="153" t="n">
        <v>0.0013</v>
      </c>
      <c r="E152" s="134" t="n">
        <v>101.306</v>
      </c>
      <c r="F152" s="134" t="n">
        <v>99.38500000000001</v>
      </c>
      <c r="G152" s="134" t="n">
        <v>77.98</v>
      </c>
      <c r="H152" s="134" t="n">
        <v>134.3</v>
      </c>
      <c r="I152" s="104" t="n">
        <v>0.3299</v>
      </c>
      <c r="J152" s="104" t="n">
        <v>0.243</v>
      </c>
      <c r="K152" s="104" t="n">
        <v>0.0215</v>
      </c>
      <c r="L152" s="134" t="n">
        <v>13.14</v>
      </c>
      <c r="M152" s="134" t="n">
        <v>1114.24</v>
      </c>
      <c r="N152" s="104" t="n">
        <v>0.0118</v>
      </c>
      <c r="O152" s="134" t="n">
        <v>78</v>
      </c>
      <c r="P152" s="134" t="inlineStr">
        <is>
          <t>11 -0.18%</t>
        </is>
      </c>
      <c r="Q152" s="134" t="inlineStr">
        <is>
          <t>30 -0.06%</t>
        </is>
      </c>
      <c r="R152" s="134" t="inlineStr">
        <is>
          <t>27 0.06%</t>
        </is>
      </c>
      <c r="S152" s="134" t="inlineStr">
        <is>
          <t>2 -0.81%</t>
        </is>
      </c>
      <c r="T152" s="134" t="inlineStr">
        <is>
          <t>6 0.53%</t>
        </is>
      </c>
      <c r="U152" s="134" t="inlineStr">
        <is>
          <t>2 5.25%</t>
        </is>
      </c>
    </row>
    <row customHeight="1" ht="17" r="153" s="155">
      <c r="A153" s="105" t="n">
        <v>43325</v>
      </c>
      <c r="B153" s="134" t="n">
        <v>991.765</v>
      </c>
      <c r="C153" s="152" t="n">
        <v>0.37</v>
      </c>
      <c r="D153" s="153" t="n">
        <v>0.0004</v>
      </c>
      <c r="E153" s="134" t="n">
        <v>101.705</v>
      </c>
      <c r="F153" s="134" t="n">
        <v>99.48</v>
      </c>
      <c r="G153" s="134" t="n">
        <v>81</v>
      </c>
      <c r="H153" s="134" t="n">
        <v>131.93</v>
      </c>
      <c r="I153" s="104" t="n">
        <v>0.3023</v>
      </c>
      <c r="J153" s="104" t="n">
        <v>0.2366</v>
      </c>
      <c r="K153" s="104" t="n">
        <v>0.0204</v>
      </c>
      <c r="L153" s="134" t="n">
        <v>13.53</v>
      </c>
      <c r="M153" s="134" t="n">
        <v>1105.8</v>
      </c>
      <c r="N153" s="104" t="n">
        <v>0.0122</v>
      </c>
      <c r="O153" s="134" t="n">
        <v>77</v>
      </c>
      <c r="P153" s="134" t="inlineStr">
        <is>
          <t>10 -0.09%</t>
        </is>
      </c>
      <c r="Q153" s="134" t="inlineStr">
        <is>
          <t>30 -0.04%</t>
        </is>
      </c>
      <c r="R153" s="134" t="inlineStr">
        <is>
          <t>26 -0.14%</t>
        </is>
      </c>
      <c r="S153" s="134" t="inlineStr">
        <is>
          <t>3 1.10%</t>
        </is>
      </c>
      <c r="T153" s="134" t="inlineStr">
        <is>
          <t>5 0.10%</t>
        </is>
      </c>
      <c r="U153" s="134" t="inlineStr">
        <is>
          <t>3 1.30%</t>
        </is>
      </c>
    </row>
    <row customHeight="1" ht="17" r="154" s="155">
      <c r="A154" s="105" t="n">
        <v>43326</v>
      </c>
      <c r="B154" s="134" t="n">
        <v>987.376</v>
      </c>
      <c r="C154" s="150" t="n">
        <v>-4.389</v>
      </c>
      <c r="D154" s="151" t="n">
        <v>-0.0044</v>
      </c>
      <c r="E154" s="134" t="n">
        <v>100.883</v>
      </c>
      <c r="F154" s="134" t="n">
        <v>99.2</v>
      </c>
      <c r="G154" s="134" t="n">
        <v>80.29000000000001</v>
      </c>
      <c r="H154" s="134" t="n">
        <v>132.25</v>
      </c>
      <c r="I154" s="104" t="n">
        <v>0.3136</v>
      </c>
      <c r="J154" s="104" t="n">
        <v>0.2339</v>
      </c>
      <c r="K154" s="104" t="n">
        <v>0.0225</v>
      </c>
      <c r="L154" s="134" t="n">
        <v>8.24</v>
      </c>
      <c r="M154" s="134" t="n">
        <v>1115.59</v>
      </c>
      <c r="N154" s="104" t="n">
        <v>0.0074</v>
      </c>
      <c r="O154" s="134" t="n">
        <v>79</v>
      </c>
      <c r="P154" s="134" t="inlineStr">
        <is>
          <t>12 -0.63%</t>
        </is>
      </c>
      <c r="Q154" s="134" t="inlineStr">
        <is>
          <t>31 -0.63%</t>
        </is>
      </c>
      <c r="R154" s="134" t="inlineStr">
        <is>
          <t>26 -0.33%</t>
        </is>
      </c>
      <c r="S154" s="134" t="inlineStr">
        <is>
          <t>2 0.06%</t>
        </is>
      </c>
      <c r="T154" s="134" t="inlineStr">
        <is>
          <t>6 -1.11%</t>
        </is>
      </c>
      <c r="U154" s="134" t="inlineStr">
        <is>
          <t>2 -0.10%</t>
        </is>
      </c>
    </row>
    <row customHeight="1" ht="17" r="155" s="155">
      <c r="A155" s="105" t="n">
        <v>43327</v>
      </c>
      <c r="B155" s="134" t="n">
        <v>981.1799999999999</v>
      </c>
      <c r="C155" s="150" t="n">
        <v>-6.196</v>
      </c>
      <c r="D155" s="151" t="n">
        <v>-0.0063</v>
      </c>
      <c r="E155" s="134" t="n">
        <v>99.52500000000001</v>
      </c>
      <c r="F155" s="134" t="n">
        <v>98.73999999999999</v>
      </c>
      <c r="G155" s="134" t="n">
        <v>79.18000000000001</v>
      </c>
      <c r="H155" s="134" t="n">
        <v>131.5</v>
      </c>
      <c r="I155" s="104" t="n">
        <v>0.3198</v>
      </c>
      <c r="J155" s="104" t="n">
        <v>0.2295</v>
      </c>
      <c r="K155" s="104" t="n">
        <v>0.025</v>
      </c>
      <c r="L155" s="134" t="n">
        <v>11.71</v>
      </c>
      <c r="M155" s="134" t="n">
        <v>1125.71</v>
      </c>
      <c r="N155" s="104" t="n">
        <v>0.0104</v>
      </c>
      <c r="O155" s="134" t="n">
        <v>81</v>
      </c>
      <c r="P155" s="134" t="inlineStr">
        <is>
          <t>12 -0.45%</t>
        </is>
      </c>
      <c r="Q155" s="134" t="inlineStr">
        <is>
          <t>35 -0.59%</t>
        </is>
      </c>
      <c r="R155" s="134" t="inlineStr">
        <is>
          <t>25 -0.47%</t>
        </is>
      </c>
      <c r="S155" s="134" t="inlineStr">
        <is>
          <t>5 -2.06%</t>
        </is>
      </c>
      <c r="T155" s="134" t="inlineStr">
        <is>
          <t>3 -0.96%</t>
        </is>
      </c>
      <c r="U155" s="134" t="inlineStr">
        <is>
          <t>1 0.28%</t>
        </is>
      </c>
    </row>
    <row customHeight="1" ht="17" r="156" s="155">
      <c r="A156" s="105" t="n">
        <v>43328</v>
      </c>
      <c r="B156" s="134" t="n">
        <v>979.427</v>
      </c>
      <c r="C156" s="150" t="n">
        <v>-1.753</v>
      </c>
      <c r="D156" s="151" t="n">
        <v>-0.0018</v>
      </c>
      <c r="E156" s="134" t="n">
        <v>99.367</v>
      </c>
      <c r="F156" s="134" t="n">
        <v>97.92100000000001</v>
      </c>
      <c r="G156" s="134" t="n">
        <v>78.42</v>
      </c>
      <c r="H156" s="134" t="n">
        <v>132.2</v>
      </c>
      <c r="I156" s="104" t="n">
        <v>0.3283</v>
      </c>
      <c r="J156" s="104" t="n">
        <v>0.2343</v>
      </c>
      <c r="K156" s="104" t="n">
        <v>0.0254</v>
      </c>
      <c r="L156" s="134" t="n">
        <v>12.99</v>
      </c>
      <c r="M156" s="134" t="n">
        <v>1125.71</v>
      </c>
      <c r="N156" s="104" t="n">
        <v>0.0115</v>
      </c>
      <c r="O156" s="134" t="n">
        <v>81</v>
      </c>
      <c r="P156" s="134" t="inlineStr">
        <is>
          <t>12 -0.36%</t>
        </is>
      </c>
      <c r="Q156" s="134" t="inlineStr">
        <is>
          <t>37 -0.33%</t>
        </is>
      </c>
      <c r="R156" s="134" t="inlineStr">
        <is>
          <t>23 0.04%</t>
        </is>
      </c>
      <c r="S156" s="134" t="inlineStr">
        <is>
          <t>5 0.25%</t>
        </is>
      </c>
      <c r="T156" s="134" t="inlineStr">
        <is>
          <t>3 -0.54%</t>
        </is>
      </c>
      <c r="U156" s="134" t="inlineStr">
        <is>
          <t>1 1.66%</t>
        </is>
      </c>
    </row>
    <row customHeight="1" ht="17" r="157" s="155">
      <c r="A157" s="105" t="n">
        <v>43329</v>
      </c>
      <c r="B157" s="134" t="n">
        <v>975.847</v>
      </c>
      <c r="C157" s="150" t="n">
        <v>-3.58</v>
      </c>
      <c r="D157" s="151" t="n">
        <v>-0.0037</v>
      </c>
      <c r="E157" s="134" t="n">
        <v>98.953</v>
      </c>
      <c r="F157" s="134" t="n">
        <v>97.31999999999999</v>
      </c>
      <c r="G157" s="134" t="n">
        <v>76.87</v>
      </c>
      <c r="H157" s="134" t="n">
        <v>133.67</v>
      </c>
      <c r="I157" s="104" t="n">
        <v>0.3472</v>
      </c>
      <c r="J157" s="104" t="n">
        <v>0.2561</v>
      </c>
      <c r="K157" s="104" t="n">
        <v>0.0262</v>
      </c>
      <c r="L157" s="134" t="n">
        <v>10.48</v>
      </c>
      <c r="M157" s="134" t="n">
        <v>1125.71</v>
      </c>
      <c r="N157" s="104" t="n">
        <v>0.009299999999999999</v>
      </c>
      <c r="O157" s="134" t="n">
        <v>81</v>
      </c>
      <c r="P157" s="134" t="inlineStr">
        <is>
          <t>12 -0.01%</t>
        </is>
      </c>
      <c r="Q157" s="134" t="inlineStr">
        <is>
          <t>37 -0.28%</t>
        </is>
      </c>
      <c r="R157" s="134" t="inlineStr">
        <is>
          <t>23 -0.32%</t>
        </is>
      </c>
      <c r="S157" s="134" t="inlineStr">
        <is>
          <t>5 -0.84%</t>
        </is>
      </c>
      <c r="T157" s="134" t="inlineStr">
        <is>
          <t>3 -0.56%</t>
        </is>
      </c>
      <c r="U157" s="134" t="inlineStr">
        <is>
          <t>1 -5.82%</t>
        </is>
      </c>
    </row>
    <row customHeight="1" ht="17" r="158" s="155">
      <c r="A158" s="105" t="n">
        <v>43332</v>
      </c>
      <c r="B158" s="134" t="n">
        <v>974.486</v>
      </c>
      <c r="C158" s="150" t="n">
        <v>-1.361</v>
      </c>
      <c r="D158" s="151" t="n">
        <v>-0.0014</v>
      </c>
      <c r="E158" s="134" t="n">
        <v>98.80500000000001</v>
      </c>
      <c r="F158" s="134" t="n">
        <v>97.95</v>
      </c>
      <c r="G158" s="134" t="n">
        <v>77.01000000000001</v>
      </c>
      <c r="H158" s="134" t="n">
        <v>132.53</v>
      </c>
      <c r="I158" s="104" t="n">
        <v>0.3373</v>
      </c>
      <c r="J158" s="104" t="n">
        <v>0.2376</v>
      </c>
      <c r="K158" s="104" t="n">
        <v>0.0265</v>
      </c>
      <c r="L158" s="134" t="n">
        <v>10.46</v>
      </c>
      <c r="M158" s="134" t="n">
        <v>1125.71</v>
      </c>
      <c r="N158" s="104" t="n">
        <v>0.009299999999999999</v>
      </c>
      <c r="O158" s="134" t="n">
        <v>81</v>
      </c>
      <c r="P158" s="134" t="inlineStr">
        <is>
          <t>12 -0.24%</t>
        </is>
      </c>
      <c r="Q158" s="134" t="inlineStr">
        <is>
          <t>37 -0.45%</t>
        </is>
      </c>
      <c r="R158" s="134" t="inlineStr">
        <is>
          <t>23 0.08%</t>
        </is>
      </c>
      <c r="S158" s="134" t="inlineStr">
        <is>
          <t>4 0.20%</t>
        </is>
      </c>
      <c r="T158" s="134" t="inlineStr">
        <is>
          <t>4 0.50%</t>
        </is>
      </c>
      <c r="U158" s="134" t="inlineStr">
        <is>
          <t>1 -5.09%</t>
        </is>
      </c>
    </row>
    <row customHeight="1" ht="17" r="159" s="155">
      <c r="A159" s="105" t="n">
        <v>43333</v>
      </c>
      <c r="B159" s="134" t="n">
        <v>980.211</v>
      </c>
      <c r="C159" s="152" t="n">
        <v>5.725</v>
      </c>
      <c r="D159" s="153" t="n">
        <v>0.0059</v>
      </c>
      <c r="E159" s="134" t="n">
        <v>99.325</v>
      </c>
      <c r="F159" s="134" t="n">
        <v>98.17</v>
      </c>
      <c r="G159" s="134" t="n">
        <v>78.09</v>
      </c>
      <c r="H159" s="134" t="n">
        <v>131.63</v>
      </c>
      <c r="I159" s="104" t="n">
        <v>0.3231</v>
      </c>
      <c r="J159" s="104" t="n">
        <v>0.2359</v>
      </c>
      <c r="K159" s="104" t="n">
        <v>0.0255</v>
      </c>
      <c r="L159" s="134" t="n">
        <v>16.17</v>
      </c>
      <c r="M159" s="134" t="n">
        <v>1138.98</v>
      </c>
      <c r="N159" s="104" t="n">
        <v>0.0142</v>
      </c>
      <c r="O159" s="134" t="n">
        <v>83</v>
      </c>
      <c r="P159" s="134" t="inlineStr">
        <is>
          <t>12 0.34%</t>
        </is>
      </c>
      <c r="Q159" s="134" t="inlineStr">
        <is>
          <t>38 0.29%</t>
        </is>
      </c>
      <c r="R159" s="134" t="inlineStr">
        <is>
          <t>24 0.54%</t>
        </is>
      </c>
      <c r="S159" s="134" t="inlineStr">
        <is>
          <t>5 0.92%</t>
        </is>
      </c>
      <c r="T159" s="134" t="inlineStr">
        <is>
          <t>3 1.14%</t>
        </is>
      </c>
      <c r="U159" s="134" t="inlineStr">
        <is>
          <t>1 3.56%</t>
        </is>
      </c>
    </row>
    <row customHeight="1" ht="17" r="160" s="155">
      <c r="A160" s="105" t="n">
        <v>43334</v>
      </c>
      <c r="B160" s="134" t="n">
        <v>977.609</v>
      </c>
      <c r="C160" s="150" t="n">
        <v>-2.602</v>
      </c>
      <c r="D160" s="151" t="n">
        <v>-0.0027</v>
      </c>
      <c r="E160" s="134" t="n">
        <v>98.93000000000001</v>
      </c>
      <c r="F160" s="134" t="n">
        <v>97.595</v>
      </c>
      <c r="G160" s="134" t="n">
        <v>78.16</v>
      </c>
      <c r="H160" s="134" t="n">
        <v>132.04</v>
      </c>
      <c r="I160" s="104" t="n">
        <v>0.3311</v>
      </c>
      <c r="J160" s="104" t="n">
        <v>0.2343</v>
      </c>
      <c r="K160" s="104" t="n">
        <v>0.0262</v>
      </c>
      <c r="L160" s="134" t="n">
        <v>11.03</v>
      </c>
      <c r="M160" s="134" t="n">
        <v>1140.14</v>
      </c>
      <c r="N160" s="104" t="n">
        <v>0.0097</v>
      </c>
      <c r="O160" s="134" t="n">
        <v>84</v>
      </c>
      <c r="P160" s="134" t="inlineStr">
        <is>
          <t>11 0.11%</t>
        </is>
      </c>
      <c r="Q160" s="134" t="inlineStr">
        <is>
          <t>40 -0.23%</t>
        </is>
      </c>
      <c r="R160" s="134" t="inlineStr">
        <is>
          <t>24 -0.21%</t>
        </is>
      </c>
      <c r="S160" s="134" t="inlineStr">
        <is>
          <t>6 -1.32%</t>
        </is>
      </c>
      <c r="T160" s="134" t="inlineStr">
        <is>
          <t>2 -0.87%</t>
        </is>
      </c>
      <c r="U160" s="134" t="inlineStr">
        <is>
          <t>1 0.28%</t>
        </is>
      </c>
    </row>
    <row customHeight="1" ht="17" r="161" s="155">
      <c r="A161" s="105" t="n">
        <v>43335</v>
      </c>
      <c r="B161" s="134" t="n">
        <v>979.235</v>
      </c>
      <c r="C161" s="152" t="n">
        <v>1.626</v>
      </c>
      <c r="D161" s="153" t="n">
        <v>0.0017</v>
      </c>
      <c r="E161" s="134" t="n">
        <v>99.113</v>
      </c>
      <c r="F161" s="134" t="n">
        <v>98.015</v>
      </c>
      <c r="G161" s="134" t="n">
        <v>78.48999999999999</v>
      </c>
      <c r="H161" s="134" t="n">
        <v>131.76</v>
      </c>
      <c r="I161" s="104" t="n">
        <v>0.3265</v>
      </c>
      <c r="J161" s="104" t="n">
        <v>0.2326</v>
      </c>
      <c r="K161" s="104" t="n">
        <v>0.0259</v>
      </c>
      <c r="L161" s="134" t="n">
        <v>11.68</v>
      </c>
      <c r="M161" s="134" t="n">
        <v>1140.14</v>
      </c>
      <c r="N161" s="104" t="n">
        <v>0.0102</v>
      </c>
      <c r="O161" s="134" t="n">
        <v>84</v>
      </c>
      <c r="P161" s="134" t="inlineStr">
        <is>
          <t>11 0.20%</t>
        </is>
      </c>
      <c r="Q161" s="134" t="inlineStr">
        <is>
          <t>39 0.13%</t>
        </is>
      </c>
      <c r="R161" s="134" t="inlineStr">
        <is>
          <t>25 0.24%</t>
        </is>
      </c>
      <c r="S161" s="134" t="inlineStr">
        <is>
          <t>6 0.24%</t>
        </is>
      </c>
      <c r="T161" s="134" t="inlineStr">
        <is>
          <t>2 1.19%</t>
        </is>
      </c>
      <c r="U161" s="134" t="inlineStr">
        <is>
          <t>1 2.98%</t>
        </is>
      </c>
    </row>
    <row customHeight="1" ht="17" r="162" s="155">
      <c r="A162" s="105" t="n">
        <v>43336</v>
      </c>
      <c r="B162" s="134" t="n">
        <v>980.737</v>
      </c>
      <c r="C162" s="152" t="n">
        <v>1.502</v>
      </c>
      <c r="D162" s="153" t="n">
        <v>0.0015</v>
      </c>
      <c r="E162" s="134" t="n">
        <v>99.354</v>
      </c>
      <c r="F162" s="134" t="n">
        <v>97.62</v>
      </c>
      <c r="G162" s="134" t="n">
        <v>79</v>
      </c>
      <c r="H162" s="134" t="n">
        <v>132.13</v>
      </c>
      <c r="I162" s="104" t="n">
        <v>0.3278</v>
      </c>
      <c r="J162" s="104" t="n">
        <v>0.2437</v>
      </c>
      <c r="K162" s="104" t="n">
        <v>0.0254</v>
      </c>
      <c r="L162" s="134" t="n">
        <v>18.32</v>
      </c>
      <c r="M162" s="134" t="n">
        <v>1151.31</v>
      </c>
      <c r="N162" s="104" t="n">
        <v>0.0159</v>
      </c>
      <c r="O162" s="134" t="n">
        <v>85</v>
      </c>
      <c r="P162" s="134" t="inlineStr">
        <is>
          <t>11 0.27%</t>
        </is>
      </c>
      <c r="Q162" s="134" t="inlineStr">
        <is>
          <t>39 0.13%</t>
        </is>
      </c>
      <c r="R162" s="134" t="inlineStr">
        <is>
          <t>26 0.15%</t>
        </is>
      </c>
      <c r="S162" s="134" t="inlineStr">
        <is>
          <t>6 -0.35%</t>
        </is>
      </c>
      <c r="T162" s="134" t="inlineStr">
        <is>
          <t>2 0.04%</t>
        </is>
      </c>
      <c r="U162" s="134" t="inlineStr">
        <is>
          <t>1 3.32%</t>
        </is>
      </c>
    </row>
    <row customHeight="1" ht="17" r="163" s="155">
      <c r="A163" s="105" t="n">
        <v>43339</v>
      </c>
      <c r="B163" s="134" t="n">
        <v>987.489</v>
      </c>
      <c r="C163" s="152" t="n">
        <v>6.752</v>
      </c>
      <c r="D163" s="153" t="n">
        <v>0.0069</v>
      </c>
      <c r="E163" s="134" t="n">
        <v>100.091</v>
      </c>
      <c r="F163" s="134" t="n">
        <v>98.88</v>
      </c>
      <c r="G163" s="134" t="n">
        <v>81.41</v>
      </c>
      <c r="H163" s="134" t="n">
        <v>130.59</v>
      </c>
      <c r="I163" s="104" t="n">
        <v>0.305</v>
      </c>
      <c r="J163" s="104" t="n">
        <v>0.2183</v>
      </c>
      <c r="K163" s="104" t="n">
        <v>0.0241</v>
      </c>
      <c r="L163" s="134" t="n">
        <v>19.89</v>
      </c>
      <c r="M163" s="134" t="n">
        <v>1151.31</v>
      </c>
      <c r="N163" s="104" t="n">
        <v>0.0173</v>
      </c>
      <c r="O163" s="134" t="n">
        <v>85</v>
      </c>
      <c r="P163" s="134" t="inlineStr">
        <is>
          <t>11 0.14%</t>
        </is>
      </c>
      <c r="Q163" s="134" t="inlineStr">
        <is>
          <t>37 0.39%</t>
        </is>
      </c>
      <c r="R163" s="134" t="inlineStr">
        <is>
          <t>27 0.72%</t>
        </is>
      </c>
      <c r="S163" s="134" t="inlineStr">
        <is>
          <t>6 1.34%</t>
        </is>
      </c>
      <c r="T163" s="134" t="inlineStr">
        <is>
          <t>3 1.57%</t>
        </is>
      </c>
      <c r="U163" s="134" t="inlineStr">
        <is>
          <t>1 5.11%</t>
        </is>
      </c>
    </row>
    <row customHeight="1" ht="17" r="164" s="155">
      <c r="A164" s="105" t="n">
        <v>43340</v>
      </c>
      <c r="B164" s="134" t="n">
        <v>991.169</v>
      </c>
      <c r="C164" s="152" t="n">
        <v>3.68</v>
      </c>
      <c r="D164" s="153" t="n">
        <v>0.0037</v>
      </c>
      <c r="E164" s="134" t="n">
        <v>100.428</v>
      </c>
      <c r="F164" s="134" t="n">
        <v>98.97</v>
      </c>
      <c r="G164" s="134" t="n">
        <v>82.11</v>
      </c>
      <c r="H164" s="134" t="n">
        <v>130.21</v>
      </c>
      <c r="I164" s="104" t="n">
        <v>0.2978</v>
      </c>
      <c r="J164" s="104" t="n">
        <v>0.2055</v>
      </c>
      <c r="K164" s="104" t="n">
        <v>0.0235</v>
      </c>
      <c r="L164" s="134" t="n">
        <v>17.91</v>
      </c>
      <c r="M164" s="134" t="n">
        <v>1159.99</v>
      </c>
      <c r="N164" s="104" t="n">
        <v>0.0154</v>
      </c>
      <c r="O164" s="134" t="n">
        <v>87</v>
      </c>
      <c r="P164" s="134" t="inlineStr">
        <is>
          <t>11 0.07%</t>
        </is>
      </c>
      <c r="Q164" s="134" t="inlineStr">
        <is>
          <t>39 0.23%</t>
        </is>
      </c>
      <c r="R164" s="134" t="inlineStr">
        <is>
          <t>25 0.51%</t>
        </is>
      </c>
      <c r="S164" s="134" t="inlineStr">
        <is>
          <t>8 0.84%</t>
        </is>
      </c>
      <c r="T164" s="134" t="inlineStr">
        <is>
          <t>3 0.60%</t>
        </is>
      </c>
      <c r="U164" s="134" t="inlineStr">
        <is>
          <t>1 1.51%</t>
        </is>
      </c>
    </row>
    <row customHeight="1" ht="17" r="165" s="155">
      <c r="A165" s="105" t="n">
        <v>43341</v>
      </c>
      <c r="B165" s="134" t="n">
        <v>988.716</v>
      </c>
      <c r="C165" s="150" t="n">
        <v>-2.453</v>
      </c>
      <c r="D165" s="151" t="n">
        <v>-0.0025</v>
      </c>
      <c r="E165" s="134" t="n">
        <v>100.146</v>
      </c>
      <c r="F165" s="134" t="n">
        <v>98.59999999999999</v>
      </c>
      <c r="G165" s="134" t="n">
        <v>82.45999999999999</v>
      </c>
      <c r="H165" s="134" t="n">
        <v>130.27</v>
      </c>
      <c r="I165" s="104" t="n">
        <v>0.3012</v>
      </c>
      <c r="J165" s="104" t="n">
        <v>0.2133</v>
      </c>
      <c r="K165" s="104" t="n">
        <v>0.024</v>
      </c>
      <c r="L165" s="134" t="n">
        <v>12.01</v>
      </c>
      <c r="M165" s="134" t="n">
        <v>1159.99</v>
      </c>
      <c r="N165" s="104" t="n">
        <v>0.0104</v>
      </c>
      <c r="O165" s="134" t="n">
        <v>87</v>
      </c>
      <c r="P165" s="134" t="inlineStr">
        <is>
          <t>11 0.09%</t>
        </is>
      </c>
      <c r="Q165" s="134" t="inlineStr">
        <is>
          <t>40 -0.44%</t>
        </is>
      </c>
      <c r="R165" s="134" t="inlineStr">
        <is>
          <t>26 -0.21%</t>
        </is>
      </c>
      <c r="S165" s="134" t="inlineStr">
        <is>
          <t>6 -0.20%</t>
        </is>
      </c>
      <c r="T165" s="134" t="inlineStr">
        <is>
          <t>3 -1.07%</t>
        </is>
      </c>
      <c r="U165" s="134" t="inlineStr">
        <is>
          <t>1 -2.50%</t>
        </is>
      </c>
    </row>
    <row customHeight="1" ht="17" r="166" s="155">
      <c r="A166" s="105" t="n">
        <v>43342</v>
      </c>
      <c r="B166" s="134" t="n">
        <v>984.415</v>
      </c>
      <c r="C166" s="150" t="n">
        <v>-4.301</v>
      </c>
      <c r="D166" s="151" t="n">
        <v>-0.0044</v>
      </c>
      <c r="E166" s="134" t="n">
        <v>99.586</v>
      </c>
      <c r="F166" s="134" t="n">
        <v>98.458</v>
      </c>
      <c r="G166" s="134" t="n">
        <v>79.81999999999999</v>
      </c>
      <c r="H166" s="134" t="n">
        <v>130.78</v>
      </c>
      <c r="I166" s="104" t="n">
        <v>0.312</v>
      </c>
      <c r="J166" s="104" t="n">
        <v>0.213</v>
      </c>
      <c r="K166" s="104" t="n">
        <v>0.025</v>
      </c>
      <c r="L166" s="134" t="n">
        <v>12.02</v>
      </c>
      <c r="M166" s="134" t="n">
        <v>1161.33</v>
      </c>
      <c r="N166" s="104" t="n">
        <v>0.0104</v>
      </c>
      <c r="O166" s="134" t="n">
        <v>88</v>
      </c>
      <c r="P166" s="134" t="inlineStr">
        <is>
          <t>11 -0.26%</t>
        </is>
      </c>
      <c r="Q166" s="134" t="inlineStr">
        <is>
          <t>41 -0.32%</t>
        </is>
      </c>
      <c r="R166" s="134" t="inlineStr">
        <is>
          <t>27 -0.38%</t>
        </is>
      </c>
      <c r="S166" s="134" t="inlineStr">
        <is>
          <t>5 -1.32%</t>
        </is>
      </c>
      <c r="T166" s="134" t="inlineStr">
        <is>
          <t>3 -1.27%</t>
        </is>
      </c>
      <c r="U166" s="134" t="inlineStr">
        <is>
          <t>1 -1.59%</t>
        </is>
      </c>
    </row>
    <row customHeight="1" ht="17" r="167" s="155">
      <c r="A167" s="105" t="n">
        <v>43343</v>
      </c>
      <c r="B167" s="134" t="n">
        <v>983.362</v>
      </c>
      <c r="C167" s="150" t="n">
        <v>-1.053</v>
      </c>
      <c r="D167" s="151" t="n">
        <v>-0.0011</v>
      </c>
      <c r="E167" s="134" t="n">
        <v>99.465</v>
      </c>
      <c r="F167" s="134" t="n">
        <v>98.032</v>
      </c>
      <c r="G167" s="134" t="n">
        <v>78.83</v>
      </c>
      <c r="H167" s="134" t="n">
        <v>131.39</v>
      </c>
      <c r="I167" s="104" t="n">
        <v>0.3192</v>
      </c>
      <c r="J167" s="104" t="n">
        <v>0.225</v>
      </c>
      <c r="K167" s="104" t="n">
        <v>0.0252</v>
      </c>
      <c r="L167" s="134" t="n">
        <v>12.4</v>
      </c>
      <c r="M167" s="134" t="n">
        <v>1161.33</v>
      </c>
      <c r="N167" s="104" t="n">
        <v>0.0107</v>
      </c>
      <c r="O167" s="134" t="n">
        <v>88</v>
      </c>
      <c r="P167" s="134" t="inlineStr">
        <is>
          <t>11 0.09%</t>
        </is>
      </c>
      <c r="Q167" s="134" t="inlineStr">
        <is>
          <t>42 -0.14%</t>
        </is>
      </c>
      <c r="R167" s="134" t="inlineStr">
        <is>
          <t>26 -0.10%</t>
        </is>
      </c>
      <c r="S167" s="134" t="inlineStr">
        <is>
          <t>5 -0.13%</t>
        </is>
      </c>
      <c r="T167" s="134" t="inlineStr">
        <is>
          <t>3 0.37%</t>
        </is>
      </c>
      <c r="U167" s="134" t="inlineStr">
        <is>
          <t>1 -2.46%</t>
        </is>
      </c>
    </row>
    <row customHeight="1" ht="17" r="168" s="155">
      <c r="A168" s="105" t="n">
        <v>43346</v>
      </c>
      <c r="B168" s="134" t="n">
        <v>982.429</v>
      </c>
      <c r="C168" s="150" t="n">
        <v>-0.9330000000000001</v>
      </c>
      <c r="D168" s="151" t="n">
        <v>-0.001</v>
      </c>
      <c r="E168" s="134" t="n">
        <v>99.375</v>
      </c>
      <c r="F168" s="134" t="n">
        <v>97.91500000000001</v>
      </c>
      <c r="G168" s="134" t="n">
        <v>77.8</v>
      </c>
      <c r="H168" s="134" t="n">
        <v>131.5</v>
      </c>
      <c r="I168" s="104" t="n">
        <v>0.3212</v>
      </c>
      <c r="J168" s="104" t="n">
        <v>0.232</v>
      </c>
      <c r="K168" s="104" t="n">
        <v>0.0255</v>
      </c>
      <c r="L168" s="134" t="n">
        <v>10.84</v>
      </c>
      <c r="M168" s="134" t="n">
        <v>1161.33</v>
      </c>
      <c r="N168" s="104" t="n">
        <v>0.009299999999999999</v>
      </c>
      <c r="O168" s="134" t="n">
        <v>88</v>
      </c>
      <c r="P168" s="134" t="inlineStr">
        <is>
          <t>11 0.08%</t>
        </is>
      </c>
      <c r="Q168" s="134" t="inlineStr">
        <is>
          <t>44 -0.30%</t>
        </is>
      </c>
      <c r="R168" s="134" t="inlineStr">
        <is>
          <t>23 -0.07%</t>
        </is>
      </c>
      <c r="S168" s="134" t="inlineStr">
        <is>
          <t>6 -0.06%</t>
        </is>
      </c>
      <c r="T168" s="134" t="inlineStr">
        <is>
          <t>3 0.07%</t>
        </is>
      </c>
      <c r="U168" s="134" t="inlineStr">
        <is>
          <t>1 1.23%</t>
        </is>
      </c>
    </row>
    <row customHeight="1" ht="17" r="169" s="155">
      <c r="A169" s="105" t="n">
        <v>43347</v>
      </c>
      <c r="B169" s="134" t="n">
        <v>985.1559999999999</v>
      </c>
      <c r="C169" s="152" t="n">
        <v>2.727</v>
      </c>
      <c r="D169" s="153" t="n">
        <v>0.0028</v>
      </c>
      <c r="E169" s="134" t="n">
        <v>99.596</v>
      </c>
      <c r="F169" s="134" t="n">
        <v>98.06999999999999</v>
      </c>
      <c r="G169" s="134" t="n">
        <v>79.15000000000001</v>
      </c>
      <c r="H169" s="134" t="n">
        <v>130.39</v>
      </c>
      <c r="I169" s="104" t="n">
        <v>0.3079</v>
      </c>
      <c r="J169" s="104" t="n">
        <v>0.2233</v>
      </c>
      <c r="K169" s="104" t="n">
        <v>0.025</v>
      </c>
      <c r="L169" s="134" t="n">
        <v>12.68</v>
      </c>
      <c r="M169" s="134" t="n">
        <v>1165.49</v>
      </c>
      <c r="N169" s="104" t="n">
        <v>0.0109</v>
      </c>
      <c r="O169" s="134" t="n">
        <v>89</v>
      </c>
      <c r="P169" s="134" t="inlineStr">
        <is>
          <t>11 0.20%</t>
        </is>
      </c>
      <c r="Q169" s="134" t="inlineStr">
        <is>
          <t>42 0.22%</t>
        </is>
      </c>
      <c r="R169" s="134" t="inlineStr">
        <is>
          <t>25 0.25%</t>
        </is>
      </c>
      <c r="S169" s="134" t="inlineStr">
        <is>
          <t>7 0.43%</t>
        </is>
      </c>
      <c r="T169" s="134" t="inlineStr">
        <is>
          <t>3 0.58%</t>
        </is>
      </c>
      <c r="U169" s="134" t="inlineStr">
        <is>
          <t>1 -1.62%</t>
        </is>
      </c>
    </row>
    <row customHeight="1" ht="17" r="170" s="155">
      <c r="A170" s="105" t="n">
        <v>43348</v>
      </c>
      <c r="B170" s="134" t="n">
        <v>981.793</v>
      </c>
      <c r="C170" s="150" t="n">
        <v>-3.363</v>
      </c>
      <c r="D170" s="151" t="n">
        <v>-0.0034</v>
      </c>
      <c r="E170" s="134" t="n">
        <v>99.173</v>
      </c>
      <c r="F170" s="134" t="n">
        <v>97.803</v>
      </c>
      <c r="G170" s="134" t="n">
        <v>78.78</v>
      </c>
      <c r="H170" s="134" t="n">
        <v>131.18</v>
      </c>
      <c r="I170" s="104" t="n">
        <v>0.3201</v>
      </c>
      <c r="J170" s="104" t="n">
        <v>0.2216</v>
      </c>
      <c r="K170" s="104" t="n">
        <v>0.0257</v>
      </c>
      <c r="L170" s="134" t="n">
        <v>10.59</v>
      </c>
      <c r="M170" s="134" t="n">
        <v>1172.08</v>
      </c>
      <c r="N170" s="104" t="n">
        <v>0.008999999999999999</v>
      </c>
      <c r="O170" s="134" t="n">
        <v>90</v>
      </c>
      <c r="P170" s="134" t="inlineStr">
        <is>
          <t>11 -0.03%</t>
        </is>
      </c>
      <c r="Q170" s="134" t="inlineStr">
        <is>
          <t>46 -0.23%</t>
        </is>
      </c>
      <c r="R170" s="134" t="inlineStr">
        <is>
          <t>22 -0.38%</t>
        </is>
      </c>
      <c r="S170" s="134" t="inlineStr">
        <is>
          <t>7 -0.46%</t>
        </is>
      </c>
      <c r="T170" s="134" t="inlineStr">
        <is>
          <t>3 -0.66%</t>
        </is>
      </c>
      <c r="U170" s="134" t="inlineStr">
        <is>
          <t>1 -6.50%</t>
        </is>
      </c>
    </row>
    <row customHeight="1" ht="17" r="171" s="155">
      <c r="A171" s="105" t="n">
        <v>43349</v>
      </c>
      <c r="B171" s="134" t="n">
        <v>981.058</v>
      </c>
      <c r="C171" s="150" t="n">
        <v>-0.735</v>
      </c>
      <c r="D171" s="151" t="n">
        <v>-0.0008</v>
      </c>
      <c r="E171" s="134" t="n">
        <v>99.098</v>
      </c>
      <c r="F171" s="134" t="n">
        <v>97.706</v>
      </c>
      <c r="G171" s="134" t="n">
        <v>78.5</v>
      </c>
      <c r="H171" s="134" t="n">
        <v>131.71</v>
      </c>
      <c r="I171" s="104" t="n">
        <v>0.3261</v>
      </c>
      <c r="J171" s="104" t="n">
        <v>0.2403</v>
      </c>
      <c r="K171" s="104" t="n">
        <v>0.0259</v>
      </c>
      <c r="L171" s="134" t="n">
        <v>10.05</v>
      </c>
      <c r="M171" s="134" t="n">
        <v>1172.08</v>
      </c>
      <c r="N171" s="104" t="n">
        <v>0.0086</v>
      </c>
      <c r="O171" s="134" t="n">
        <v>90</v>
      </c>
      <c r="P171" s="134" t="inlineStr">
        <is>
          <t>11 0.06%</t>
        </is>
      </c>
      <c r="Q171" s="134" t="inlineStr">
        <is>
          <t>45 -0.08%</t>
        </is>
      </c>
      <c r="R171" s="134" t="inlineStr">
        <is>
          <t>24 -0.10%</t>
        </is>
      </c>
      <c r="S171" s="134" t="inlineStr">
        <is>
          <t>6 -0.58%</t>
        </is>
      </c>
      <c r="T171" s="134" t="inlineStr">
        <is>
          <t>3 -0.31%</t>
        </is>
      </c>
      <c r="U171" s="134" t="inlineStr">
        <is>
          <t>1 2.84%</t>
        </is>
      </c>
    </row>
    <row customHeight="1" ht="17" r="172" s="155">
      <c r="A172" s="105" t="n">
        <v>43350</v>
      </c>
      <c r="B172" s="134" t="n">
        <v>980.86</v>
      </c>
      <c r="C172" s="150" t="n">
        <v>-0.198</v>
      </c>
      <c r="D172" s="151" t="n">
        <v>-0.0002</v>
      </c>
      <c r="E172" s="134" t="n">
        <v>99.08</v>
      </c>
      <c r="F172" s="134" t="n">
        <v>97.745</v>
      </c>
      <c r="G172" s="134" t="n">
        <v>79.19</v>
      </c>
      <c r="H172" s="134" t="n">
        <v>131.36</v>
      </c>
      <c r="I172" s="104" t="n">
        <v>0.3228</v>
      </c>
      <c r="J172" s="104" t="n">
        <v>0.2329</v>
      </c>
      <c r="K172" s="104" t="n">
        <v>0.026</v>
      </c>
      <c r="L172" s="134" t="n">
        <v>11.14</v>
      </c>
      <c r="M172" s="134" t="n">
        <v>1172.08</v>
      </c>
      <c r="N172" s="104" t="n">
        <v>0.0095</v>
      </c>
      <c r="O172" s="134" t="n">
        <v>90</v>
      </c>
      <c r="P172" s="134" t="inlineStr">
        <is>
          <t>11 -0.10%</t>
        </is>
      </c>
      <c r="Q172" s="134" t="inlineStr">
        <is>
          <t>45 -0.03%</t>
        </is>
      </c>
      <c r="R172" s="134" t="inlineStr">
        <is>
          <t>23 0.12%</t>
        </is>
      </c>
      <c r="S172" s="134" t="inlineStr">
        <is>
          <t>7 -0.27%</t>
        </is>
      </c>
      <c r="T172" s="134" t="inlineStr">
        <is>
          <t>3 -0.47%</t>
        </is>
      </c>
      <c r="U172" s="134" t="inlineStr">
        <is>
          <t>1 1.27%</t>
        </is>
      </c>
    </row>
    <row customHeight="1" ht="17" r="173" s="155">
      <c r="A173" s="105" t="n">
        <v>43353</v>
      </c>
      <c r="B173" s="134" t="n">
        <v>976.191</v>
      </c>
      <c r="C173" s="150" t="n">
        <v>-4.669</v>
      </c>
      <c r="D173" s="151" t="n">
        <v>-0.0048</v>
      </c>
      <c r="E173" s="134" t="n">
        <v>98.599</v>
      </c>
      <c r="F173" s="134" t="n">
        <v>97.26000000000001</v>
      </c>
      <c r="G173" s="134" t="n">
        <v>78.09</v>
      </c>
      <c r="H173" s="134" t="n">
        <v>133.07</v>
      </c>
      <c r="I173" s="104" t="n">
        <v>0.3447</v>
      </c>
      <c r="J173" s="104" t="n">
        <v>0.2526</v>
      </c>
      <c r="K173" s="104" t="n">
        <v>0.027</v>
      </c>
      <c r="L173" s="134" t="n">
        <v>11.67</v>
      </c>
      <c r="M173" s="134" t="n">
        <v>1172.08</v>
      </c>
      <c r="N173" s="104" t="n">
        <v>0.01</v>
      </c>
      <c r="O173" s="134" t="n">
        <v>90</v>
      </c>
      <c r="P173" s="134" t="inlineStr">
        <is>
          <t>12 -0.31%</t>
        </is>
      </c>
      <c r="Q173" s="134" t="inlineStr">
        <is>
          <t>47 -0.51%</t>
        </is>
      </c>
      <c r="R173" s="134" t="inlineStr">
        <is>
          <t>22 -0.34%</t>
        </is>
      </c>
      <c r="S173" s="134" t="inlineStr">
        <is>
          <t>6 -1.65%</t>
        </is>
      </c>
      <c r="T173" s="134" t="inlineStr">
        <is>
          <t>2 0.31%</t>
        </is>
      </c>
      <c r="U173" s="134" t="inlineStr">
        <is>
          <t>1 1.42%</t>
        </is>
      </c>
    </row>
    <row customHeight="1" ht="17" r="174" s="155">
      <c r="A174" s="105" t="n">
        <v>43354</v>
      </c>
      <c r="B174" s="134" t="n">
        <v>976.135</v>
      </c>
      <c r="C174" s="150" t="n">
        <v>-0.056</v>
      </c>
      <c r="D174" s="151" t="n">
        <v>-0.0001</v>
      </c>
      <c r="E174" s="134" t="n">
        <v>98.592</v>
      </c>
      <c r="F174" s="134" t="n">
        <v>97.27500000000001</v>
      </c>
      <c r="G174" s="134" t="n">
        <v>79.25</v>
      </c>
      <c r="H174" s="134" t="n">
        <v>132.05</v>
      </c>
      <c r="I174" s="104" t="n">
        <v>0.3346</v>
      </c>
      <c r="J174" s="104" t="n">
        <v>0.2428</v>
      </c>
      <c r="K174" s="104" t="n">
        <v>0.027</v>
      </c>
      <c r="L174" s="134" t="n">
        <v>10.37</v>
      </c>
      <c r="M174" s="134" t="n">
        <v>1172.08</v>
      </c>
      <c r="N174" s="104" t="n">
        <v>0.008800000000000001</v>
      </c>
      <c r="O174" s="134" t="n">
        <v>90</v>
      </c>
      <c r="P174" s="134" t="inlineStr">
        <is>
          <t>12 0.18%</t>
        </is>
      </c>
      <c r="Q174" s="134" t="inlineStr">
        <is>
          <t>46 -0.05%</t>
        </is>
      </c>
      <c r="R174" s="134" t="inlineStr">
        <is>
          <t>23 0.06%</t>
        </is>
      </c>
      <c r="S174" s="134" t="inlineStr">
        <is>
          <t>6 -0.28%</t>
        </is>
      </c>
      <c r="T174" s="134" t="inlineStr">
        <is>
          <t>2 -0.95%</t>
        </is>
      </c>
      <c r="U174" s="134" t="inlineStr">
        <is>
          <t>1 1.94%</t>
        </is>
      </c>
    </row>
    <row customHeight="1" ht="17" r="175" s="155">
      <c r="A175" s="105" t="n">
        <v>43355</v>
      </c>
      <c r="B175" s="134" t="n">
        <v>975.143</v>
      </c>
      <c r="C175" s="150" t="n">
        <v>-0.992</v>
      </c>
      <c r="D175" s="151" t="n">
        <v>-0.001</v>
      </c>
      <c r="E175" s="134" t="n">
        <v>98.449</v>
      </c>
      <c r="F175" s="134" t="n">
        <v>97.345</v>
      </c>
      <c r="G175" s="134" t="n">
        <v>79.45999999999999</v>
      </c>
      <c r="H175" s="134" t="n">
        <v>131.4</v>
      </c>
      <c r="I175" s="104" t="n">
        <v>0.3296</v>
      </c>
      <c r="J175" s="104" t="n">
        <v>0.2307</v>
      </c>
      <c r="K175" s="104" t="n">
        <v>0.0272</v>
      </c>
      <c r="L175" s="134" t="n">
        <v>10.46</v>
      </c>
      <c r="M175" s="134" t="n">
        <v>1172.08</v>
      </c>
      <c r="N175" s="104" t="n">
        <v>0.0089</v>
      </c>
      <c r="O175" s="134" t="n">
        <v>90</v>
      </c>
      <c r="P175" s="134" t="inlineStr">
        <is>
          <t>12 0.30%</t>
        </is>
      </c>
      <c r="Q175" s="134" t="inlineStr">
        <is>
          <t>46 -0.01%</t>
        </is>
      </c>
      <c r="R175" s="134" t="inlineStr">
        <is>
          <t>25 -0.19%</t>
        </is>
      </c>
      <c r="S175" s="134" t="inlineStr">
        <is>
          <t>4 -0.42%</t>
        </is>
      </c>
      <c r="T175" s="134" t="inlineStr">
        <is>
          <t>2 -0.30%</t>
        </is>
      </c>
      <c r="U175" s="134" t="inlineStr">
        <is>
          <t>1 -5.40%</t>
        </is>
      </c>
    </row>
    <row customHeight="1" ht="17" r="176" s="155">
      <c r="A176" s="105" t="n">
        <v>43356</v>
      </c>
      <c r="B176" s="134" t="n">
        <v>975.3200000000001</v>
      </c>
      <c r="C176" s="152" t="n">
        <v>0.177</v>
      </c>
      <c r="D176" s="153" t="n">
        <v>0.0002</v>
      </c>
      <c r="E176" s="134" t="n">
        <v>98.45099999999999</v>
      </c>
      <c r="F176" s="134" t="n">
        <v>97.39</v>
      </c>
      <c r="G176" s="134" t="n">
        <v>79.90000000000001</v>
      </c>
      <c r="H176" s="134" t="n">
        <v>130.44</v>
      </c>
      <c r="I176" s="104" t="n">
        <v>0.3199</v>
      </c>
      <c r="J176" s="104" t="n">
        <v>0.2235</v>
      </c>
      <c r="K176" s="104" t="n">
        <v>0.0272</v>
      </c>
      <c r="L176" s="134" t="n">
        <v>8.869999999999999</v>
      </c>
      <c r="M176" s="134" t="n">
        <v>1172.08</v>
      </c>
      <c r="N176" s="104" t="n">
        <v>0.0076</v>
      </c>
      <c r="O176" s="134" t="n">
        <v>90</v>
      </c>
      <c r="P176" s="134" t="inlineStr">
        <is>
          <t>11 -0.06%</t>
        </is>
      </c>
      <c r="Q176" s="134" t="inlineStr">
        <is>
          <t>48 0.04%</t>
        </is>
      </c>
      <c r="R176" s="134" t="inlineStr">
        <is>
          <t>22 -0.04%</t>
        </is>
      </c>
      <c r="S176" s="134" t="inlineStr">
        <is>
          <t>6 0.07%</t>
        </is>
      </c>
      <c r="T176" s="134" t="inlineStr">
        <is>
          <t>2 -0.31%</t>
        </is>
      </c>
      <c r="U176" s="134" t="inlineStr">
        <is>
          <t>1 -2.16%</t>
        </is>
      </c>
    </row>
    <row customHeight="1" ht="17" r="177" s="155">
      <c r="A177" s="105" t="n">
        <v>43357</v>
      </c>
      <c r="B177" s="134" t="n">
        <v>974.2</v>
      </c>
      <c r="C177" s="150" t="n">
        <v>-1.12</v>
      </c>
      <c r="D177" s="151" t="n">
        <v>-0.0012</v>
      </c>
      <c r="E177" s="134" t="n">
        <v>98.29300000000001</v>
      </c>
      <c r="F177" s="134" t="n">
        <v>97.12</v>
      </c>
      <c r="G177" s="134" t="n">
        <v>79.95999999999999</v>
      </c>
      <c r="H177" s="134" t="n">
        <v>131.24</v>
      </c>
      <c r="I177" s="104" t="n">
        <v>0.3295</v>
      </c>
      <c r="J177" s="104" t="n">
        <v>0.2341</v>
      </c>
      <c r="K177" s="104" t="n">
        <v>0.0275</v>
      </c>
      <c r="L177" s="134" t="n">
        <v>10.41</v>
      </c>
      <c r="M177" s="134" t="n">
        <v>1173.09</v>
      </c>
      <c r="N177" s="104" t="n">
        <v>0.0089</v>
      </c>
      <c r="O177" s="134" t="n">
        <v>91</v>
      </c>
      <c r="P177" s="134" t="inlineStr">
        <is>
          <t>12 0.00%</t>
        </is>
      </c>
      <c r="Q177" s="134" t="inlineStr">
        <is>
          <t>47 -0.13%</t>
        </is>
      </c>
      <c r="R177" s="134" t="inlineStr">
        <is>
          <t>24 0.13%</t>
        </is>
      </c>
      <c r="S177" s="134" t="inlineStr">
        <is>
          <t>6 1.30%</t>
        </is>
      </c>
      <c r="T177" s="134" t="inlineStr">
        <is>
          <t>1 -0.70%</t>
        </is>
      </c>
      <c r="U177" s="134" t="inlineStr">
        <is>
          <t>1 -4.03%</t>
        </is>
      </c>
    </row>
    <row customHeight="1" ht="17" r="178" s="155">
      <c r="A178" s="105" t="n">
        <v>43360</v>
      </c>
      <c r="B178" s="134" t="n">
        <v>969.297</v>
      </c>
      <c r="C178" s="150" t="n">
        <v>-4.903</v>
      </c>
      <c r="D178" s="151" t="n">
        <v>-0.005</v>
      </c>
      <c r="E178" s="134" t="n">
        <v>97.922</v>
      </c>
      <c r="F178" s="134" t="n">
        <v>96.747</v>
      </c>
      <c r="G178" s="134" t="n">
        <v>78.12</v>
      </c>
      <c r="H178" s="134" t="n">
        <v>132.22</v>
      </c>
      <c r="I178" s="104" t="n">
        <v>0.343</v>
      </c>
      <c r="J178" s="104" t="n">
        <v>0.2411</v>
      </c>
      <c r="K178" s="104" t="n">
        <v>0.0282</v>
      </c>
      <c r="L178" s="134" t="n">
        <v>10.05</v>
      </c>
      <c r="M178" s="134" t="n">
        <v>1194.08</v>
      </c>
      <c r="N178" s="104" t="n">
        <v>0.008399999999999999</v>
      </c>
      <c r="O178" s="134" t="n">
        <v>92</v>
      </c>
      <c r="P178" s="134" t="inlineStr">
        <is>
          <t>13 -0.37%</t>
        </is>
      </c>
      <c r="Q178" s="134" t="inlineStr">
        <is>
          <t>47 -0.45%</t>
        </is>
      </c>
      <c r="R178" s="134" t="inlineStr">
        <is>
          <t>25 -0.59%</t>
        </is>
      </c>
      <c r="S178" s="134" t="inlineStr">
        <is>
          <t>5 -0.60%</t>
        </is>
      </c>
      <c r="T178" s="134" t="inlineStr">
        <is>
          <t>2 -1.26%</t>
        </is>
      </c>
      <c r="U178" s="134" t="n">
        <v>0</v>
      </c>
    </row>
    <row customHeight="1" ht="17" r="179" s="155">
      <c r="A179" s="105" t="n">
        <v>43361</v>
      </c>
      <c r="B179" s="134" t="n">
        <v>971.482</v>
      </c>
      <c r="C179" s="152" t="n">
        <v>2.185</v>
      </c>
      <c r="D179" s="153" t="n">
        <v>0.0023</v>
      </c>
      <c r="E179" s="134" t="n">
        <v>98.16200000000001</v>
      </c>
      <c r="F179" s="134" t="n">
        <v>96.861</v>
      </c>
      <c r="G179" s="134" t="n">
        <v>79.08</v>
      </c>
      <c r="H179" s="134" t="n">
        <v>130.52</v>
      </c>
      <c r="I179" s="104" t="n">
        <v>0.3236</v>
      </c>
      <c r="J179" s="104" t="n">
        <v>0.221</v>
      </c>
      <c r="K179" s="104" t="n">
        <v>0.0278</v>
      </c>
      <c r="L179" s="134" t="n">
        <v>10.23</v>
      </c>
      <c r="M179" s="134" t="n">
        <v>1194.08</v>
      </c>
      <c r="N179" s="104" t="n">
        <v>0.0086</v>
      </c>
      <c r="O179" s="134" t="n">
        <v>92</v>
      </c>
      <c r="P179" s="134" t="inlineStr">
        <is>
          <t>11 0.01%</t>
        </is>
      </c>
      <c r="Q179" s="134" t="inlineStr">
        <is>
          <t>48 0.10%</t>
        </is>
      </c>
      <c r="R179" s="134" t="inlineStr">
        <is>
          <t>26 0.33%</t>
        </is>
      </c>
      <c r="S179" s="134" t="inlineStr">
        <is>
          <t>5 0.70%</t>
        </is>
      </c>
      <c r="T179" s="134" t="inlineStr">
        <is>
          <t>1 0.97%</t>
        </is>
      </c>
      <c r="U179" s="134" t="inlineStr">
        <is>
          <t>1 2.92%</t>
        </is>
      </c>
    </row>
    <row customHeight="1" ht="17" r="180" s="155">
      <c r="A180" s="105" t="n">
        <v>43362</v>
      </c>
      <c r="B180" s="134" t="n">
        <v>976.165</v>
      </c>
      <c r="C180" s="152" t="n">
        <v>4.683</v>
      </c>
      <c r="D180" s="153" t="n">
        <v>0.0048</v>
      </c>
      <c r="E180" s="134" t="n">
        <v>98.65300000000001</v>
      </c>
      <c r="F180" s="134" t="n">
        <v>97.015</v>
      </c>
      <c r="G180" s="134" t="n">
        <v>80.23</v>
      </c>
      <c r="H180" s="134" t="n">
        <v>130.14</v>
      </c>
      <c r="I180" s="104" t="n">
        <v>0.3149</v>
      </c>
      <c r="J180" s="104" t="n">
        <v>0.2115</v>
      </c>
      <c r="K180" s="104" t="n">
        <v>0.0268</v>
      </c>
      <c r="L180" s="134" t="n">
        <v>15.25</v>
      </c>
      <c r="M180" s="134" t="n">
        <v>1194.08</v>
      </c>
      <c r="N180" s="104" t="n">
        <v>0.0128</v>
      </c>
      <c r="O180" s="134" t="n">
        <v>92</v>
      </c>
      <c r="P180" s="134" t="inlineStr">
        <is>
          <t>11 0.21%</t>
        </is>
      </c>
      <c r="Q180" s="134" t="inlineStr">
        <is>
          <t>48 0.34%</t>
        </is>
      </c>
      <c r="R180" s="134" t="inlineStr">
        <is>
          <t>23 0.48%</t>
        </is>
      </c>
      <c r="S180" s="134" t="inlineStr">
        <is>
          <t>8 1.76%</t>
        </is>
      </c>
      <c r="T180" s="134" t="inlineStr">
        <is>
          <t>2 0.38%</t>
        </is>
      </c>
      <c r="U180" s="134" t="n">
        <v>0</v>
      </c>
    </row>
    <row customHeight="1" ht="17" r="181" s="155">
      <c r="A181" s="105" t="n">
        <v>43363</v>
      </c>
      <c r="B181" s="134" t="n">
        <v>975.386</v>
      </c>
      <c r="C181" s="150" t="n">
        <v>-0.779</v>
      </c>
      <c r="D181" s="151" t="n">
        <v>-0.0008</v>
      </c>
      <c r="E181" s="134" t="n">
        <v>98.506</v>
      </c>
      <c r="F181" s="134" t="n">
        <v>97.06999999999999</v>
      </c>
      <c r="G181" s="134" t="n">
        <v>79.59999999999999</v>
      </c>
      <c r="H181" s="134" t="n">
        <v>130.38</v>
      </c>
      <c r="I181" s="104" t="n">
        <v>0.3187</v>
      </c>
      <c r="J181" s="104" t="n">
        <v>0.2162</v>
      </c>
      <c r="K181" s="104" t="n">
        <v>0.0271</v>
      </c>
      <c r="L181" s="134" t="n">
        <v>8.59</v>
      </c>
      <c r="M181" s="134" t="n">
        <v>1179.46</v>
      </c>
      <c r="N181" s="104" t="n">
        <v>0.0073</v>
      </c>
      <c r="O181" s="134" t="n">
        <v>91</v>
      </c>
      <c r="P181" s="134" t="inlineStr">
        <is>
          <t>12 -0.34%</t>
        </is>
      </c>
      <c r="Q181" s="134" t="inlineStr">
        <is>
          <t>45 -0.05%</t>
        </is>
      </c>
      <c r="R181" s="134" t="inlineStr">
        <is>
          <t>23 0.03%</t>
        </is>
      </c>
      <c r="S181" s="134" t="inlineStr">
        <is>
          <t>9 0.02%</t>
        </is>
      </c>
      <c r="T181" s="134" t="inlineStr">
        <is>
          <t>2 -0.92%</t>
        </is>
      </c>
      <c r="U181" s="134" t="n">
        <v>0</v>
      </c>
    </row>
    <row customHeight="1" ht="17" r="182" s="155">
      <c r="A182" s="105" t="n">
        <v>43364</v>
      </c>
      <c r="B182" s="134" t="n">
        <v>981.359</v>
      </c>
      <c r="C182" s="152" t="n">
        <v>5.973</v>
      </c>
      <c r="D182" s="153" t="n">
        <v>0.0061</v>
      </c>
      <c r="E182" s="134" t="n">
        <v>99.2</v>
      </c>
      <c r="F182" s="134" t="n">
        <v>97.489</v>
      </c>
      <c r="G182" s="134" t="n">
        <v>81.45</v>
      </c>
      <c r="H182" s="134" t="n">
        <v>128.55</v>
      </c>
      <c r="I182" s="104" t="n">
        <v>0.2935</v>
      </c>
      <c r="J182" s="104" t="n">
        <v>0.1985</v>
      </c>
      <c r="K182" s="104" t="n">
        <v>0.0258</v>
      </c>
      <c r="L182" s="134" t="n">
        <v>17.12</v>
      </c>
      <c r="M182" s="134" t="n">
        <v>1194.08</v>
      </c>
      <c r="N182" s="104" t="n">
        <v>0.0143</v>
      </c>
      <c r="O182" s="134" t="n">
        <v>92</v>
      </c>
      <c r="P182" s="134" t="inlineStr">
        <is>
          <t>11 0.33%</t>
        </is>
      </c>
      <c r="Q182" s="134" t="inlineStr">
        <is>
          <t>45 0.46%</t>
        </is>
      </c>
      <c r="R182" s="134" t="inlineStr">
        <is>
          <t>24 0.68%</t>
        </is>
      </c>
      <c r="S182" s="134" t="inlineStr">
        <is>
          <t>10 1.12%</t>
        </is>
      </c>
      <c r="T182" s="134" t="inlineStr">
        <is>
          <t>1 0.69%</t>
        </is>
      </c>
      <c r="U182" s="134" t="inlineStr">
        <is>
          <t>1 3.93%</t>
        </is>
      </c>
    </row>
    <row customHeight="1" ht="17" r="183" s="155">
      <c r="A183" s="105" t="n">
        <v>43368</v>
      </c>
      <c r="B183" s="134" t="n">
        <v>980.699</v>
      </c>
      <c r="C183" s="150" t="n">
        <v>-0.66</v>
      </c>
      <c r="D183" s="151" t="n">
        <v>-0.0007</v>
      </c>
      <c r="E183" s="134" t="n">
        <v>99.137</v>
      </c>
      <c r="F183" s="134" t="n">
        <v>97.51000000000001</v>
      </c>
      <c r="G183" s="134" t="n">
        <v>81.34</v>
      </c>
      <c r="H183" s="134" t="n">
        <v>128.87</v>
      </c>
      <c r="I183" s="104" t="n">
        <v>0.2973</v>
      </c>
      <c r="J183" s="104" t="n">
        <v>0.2049</v>
      </c>
      <c r="K183" s="104" t="n">
        <v>0.026</v>
      </c>
      <c r="L183" s="134" t="n">
        <v>10.08</v>
      </c>
      <c r="M183" s="134" t="n">
        <v>1194.08</v>
      </c>
      <c r="N183" s="104" t="n">
        <v>0.008399999999999999</v>
      </c>
      <c r="O183" s="134" t="n">
        <v>92</v>
      </c>
      <c r="P183" s="134" t="inlineStr">
        <is>
          <t>11 -0.08%</t>
        </is>
      </c>
      <c r="Q183" s="134" t="inlineStr">
        <is>
          <t>47 -0.11%</t>
        </is>
      </c>
      <c r="R183" s="134" t="inlineStr">
        <is>
          <t>21 -0.06%</t>
        </is>
      </c>
      <c r="S183" s="134" t="inlineStr">
        <is>
          <t>11 -0.07%</t>
        </is>
      </c>
      <c r="T183" s="134" t="inlineStr">
        <is>
          <t>1 -0.27%</t>
        </is>
      </c>
      <c r="U183" s="134" t="inlineStr">
        <is>
          <t>1 2.20%</t>
        </is>
      </c>
    </row>
    <row customHeight="1" ht="17" r="184" s="155">
      <c r="A184" s="105" t="n">
        <v>43369</v>
      </c>
      <c r="B184" s="134" t="n">
        <v>982.086</v>
      </c>
      <c r="C184" s="152" t="n">
        <v>1.387</v>
      </c>
      <c r="D184" s="153" t="n">
        <v>0.0014</v>
      </c>
      <c r="E184" s="134" t="n">
        <v>99.3</v>
      </c>
      <c r="F184" s="134" t="n">
        <v>97.578</v>
      </c>
      <c r="G184" s="134" t="n">
        <v>81.72</v>
      </c>
      <c r="H184" s="134" t="n">
        <v>128.66</v>
      </c>
      <c r="I184" s="104" t="n">
        <v>0.2936</v>
      </c>
      <c r="J184" s="104" t="n">
        <v>0.199</v>
      </c>
      <c r="K184" s="104" t="n">
        <v>0.0257</v>
      </c>
      <c r="L184" s="134" t="n">
        <v>16.8</v>
      </c>
      <c r="M184" s="134" t="n">
        <v>1194.08</v>
      </c>
      <c r="N184" s="104" t="n">
        <v>0.0141</v>
      </c>
      <c r="O184" s="134" t="n">
        <v>92</v>
      </c>
      <c r="P184" s="134" t="inlineStr">
        <is>
          <t>12 -0.04%</t>
        </is>
      </c>
      <c r="Q184" s="134" t="inlineStr">
        <is>
          <t>45 0.04%</t>
        </is>
      </c>
      <c r="R184" s="134" t="inlineStr">
        <is>
          <t>22 0.10%</t>
        </is>
      </c>
      <c r="S184" s="134" t="inlineStr">
        <is>
          <t>11 0.56%</t>
        </is>
      </c>
      <c r="T184" s="134" t="inlineStr">
        <is>
          <t>1 1.70%</t>
        </is>
      </c>
      <c r="U184" s="134" t="inlineStr">
        <is>
          <t>1 1.71%</t>
        </is>
      </c>
    </row>
    <row customHeight="1" ht="17" r="185" s="155">
      <c r="A185" s="105" t="n">
        <v>43370</v>
      </c>
      <c r="B185" s="134" t="n">
        <v>977.836</v>
      </c>
      <c r="C185" s="150" t="n">
        <v>-4.25</v>
      </c>
      <c r="D185" s="151" t="n">
        <v>-0.0043</v>
      </c>
      <c r="E185" s="134" t="n">
        <v>98.871</v>
      </c>
      <c r="F185" s="134" t="n">
        <v>97.002</v>
      </c>
      <c r="G185" s="134" t="n">
        <v>79.67</v>
      </c>
      <c r="H185" s="134" t="n">
        <v>129.73</v>
      </c>
      <c r="I185" s="104" t="n">
        <v>0.3086</v>
      </c>
      <c r="J185" s="104" t="n">
        <v>0.2141</v>
      </c>
      <c r="K185" s="104" t="n">
        <v>0.0266</v>
      </c>
      <c r="L185" s="134" t="n">
        <v>11.19</v>
      </c>
      <c r="M185" s="134" t="n">
        <v>1194.08</v>
      </c>
      <c r="N185" s="104" t="n">
        <v>0.0094</v>
      </c>
      <c r="O185" s="134" t="n">
        <v>92</v>
      </c>
      <c r="P185" s="134" t="inlineStr">
        <is>
          <t>13 -0.15%</t>
        </is>
      </c>
      <c r="Q185" s="134" t="inlineStr">
        <is>
          <t>46 -0.61%</t>
        </is>
      </c>
      <c r="R185" s="134" t="inlineStr">
        <is>
          <t>21 -0.25%</t>
        </is>
      </c>
      <c r="S185" s="134" t="inlineStr">
        <is>
          <t>10 -0.38%</t>
        </is>
      </c>
      <c r="T185" s="134" t="inlineStr">
        <is>
          <t>1 -2.76%</t>
        </is>
      </c>
      <c r="U185" s="134" t="inlineStr">
        <is>
          <t>1 2.30%</t>
        </is>
      </c>
    </row>
    <row customHeight="1" ht="17" r="186" s="155">
      <c r="A186" s="105" t="n">
        <v>43371</v>
      </c>
      <c r="B186" s="134" t="n">
        <v>979.884</v>
      </c>
      <c r="C186" s="152" t="n">
        <v>2.048</v>
      </c>
      <c r="D186" s="153" t="n">
        <v>0.0021</v>
      </c>
      <c r="E186" s="134" t="n">
        <v>99.083</v>
      </c>
      <c r="F186" s="134" t="n">
        <v>97.47499999999999</v>
      </c>
      <c r="G186" s="134" t="n">
        <v>80.58</v>
      </c>
      <c r="H186" s="134" t="n">
        <v>128.84</v>
      </c>
      <c r="I186" s="104" t="n">
        <v>0.2975</v>
      </c>
      <c r="J186" s="104" t="n">
        <v>0.2035</v>
      </c>
      <c r="K186" s="104" t="n">
        <v>0.0262</v>
      </c>
      <c r="L186" s="134" t="n">
        <v>12.18</v>
      </c>
      <c r="M186" s="134" t="n">
        <v>1194.08</v>
      </c>
      <c r="N186" s="104" t="n">
        <v>0.0102</v>
      </c>
      <c r="O186" s="134" t="n">
        <v>92</v>
      </c>
      <c r="P186" s="134" t="inlineStr">
        <is>
          <t>12 0.03%</t>
        </is>
      </c>
      <c r="Q186" s="134" t="inlineStr">
        <is>
          <t>47 0.21%</t>
        </is>
      </c>
      <c r="R186" s="134" t="inlineStr">
        <is>
          <t>19 0.20%</t>
        </is>
      </c>
      <c r="S186" s="134" t="inlineStr">
        <is>
          <t>12 0.38%</t>
        </is>
      </c>
      <c r="T186" s="134" t="inlineStr">
        <is>
          <t>1 2.38%</t>
        </is>
      </c>
      <c r="U186" s="134" t="inlineStr">
        <is>
          <t>1 -1.54%</t>
        </is>
      </c>
    </row>
    <row customHeight="1" ht="17" r="187" s="155">
      <c r="A187" s="105" t="n">
        <v>43381</v>
      </c>
      <c r="B187" s="134" t="n">
        <v>968.885</v>
      </c>
      <c r="C187" s="150" t="n">
        <v>-10.999</v>
      </c>
      <c r="D187" s="151" t="n">
        <v>-0.0112</v>
      </c>
      <c r="E187" s="134" t="n">
        <v>97.92400000000001</v>
      </c>
      <c r="F187" s="134" t="n">
        <v>96.553</v>
      </c>
      <c r="G187" s="134" t="n">
        <v>78.31</v>
      </c>
      <c r="H187" s="134" t="n">
        <v>130.67</v>
      </c>
      <c r="I187" s="104" t="n">
        <v>0.3275</v>
      </c>
      <c r="J187" s="104" t="n">
        <v>0.2376</v>
      </c>
      <c r="K187" s="104" t="n">
        <v>0.0287</v>
      </c>
      <c r="L187" s="134" t="n">
        <v>8.25</v>
      </c>
      <c r="M187" s="134" t="n">
        <v>1194.08</v>
      </c>
      <c r="N187" s="104" t="n">
        <v>0.0069</v>
      </c>
      <c r="O187" s="134" t="n">
        <v>92</v>
      </c>
      <c r="P187" s="134" t="inlineStr">
        <is>
          <t>14 -0.71%</t>
        </is>
      </c>
      <c r="Q187" s="134" t="inlineStr">
        <is>
          <t>47 -0.97%</t>
        </is>
      </c>
      <c r="R187" s="134" t="inlineStr">
        <is>
          <t>21 -1.28%</t>
        </is>
      </c>
      <c r="S187" s="134" t="inlineStr">
        <is>
          <t>8 -1.85%</t>
        </is>
      </c>
      <c r="T187" s="134" t="inlineStr">
        <is>
          <t>1 -1.74%</t>
        </is>
      </c>
      <c r="U187" s="134" t="inlineStr">
        <is>
          <t>1 -4.50%</t>
        </is>
      </c>
    </row>
    <row customHeight="1" ht="17" r="188" s="155">
      <c r="A188" s="105" t="n">
        <v>43382</v>
      </c>
      <c r="B188" s="134" t="n">
        <v>966.476</v>
      </c>
      <c r="C188" s="150" t="n">
        <v>-2.409</v>
      </c>
      <c r="D188" s="151" t="n">
        <v>-0.0025</v>
      </c>
      <c r="E188" s="134" t="n">
        <v>97.651</v>
      </c>
      <c r="F188" s="134" t="n">
        <v>96.55800000000001</v>
      </c>
      <c r="G188" s="134" t="n">
        <v>78.2</v>
      </c>
      <c r="H188" s="134" t="n">
        <v>130.44</v>
      </c>
      <c r="I188" s="104" t="n">
        <v>0.3279</v>
      </c>
      <c r="J188" s="104" t="n">
        <v>0.2461</v>
      </c>
      <c r="K188" s="104" t="n">
        <v>0.0292</v>
      </c>
      <c r="L188" s="134" t="n">
        <v>8.470000000000001</v>
      </c>
      <c r="M188" s="134" t="n">
        <v>1194.08</v>
      </c>
      <c r="N188" s="104" t="n">
        <v>0.0071</v>
      </c>
      <c r="O188" s="134" t="n">
        <v>92</v>
      </c>
      <c r="P188" s="134" t="inlineStr">
        <is>
          <t>15 -0.15%</t>
        </is>
      </c>
      <c r="Q188" s="134" t="inlineStr">
        <is>
          <t>46 -0.03%</t>
        </is>
      </c>
      <c r="R188" s="134" t="inlineStr">
        <is>
          <t>22 -0.36%</t>
        </is>
      </c>
      <c r="S188" s="134" t="inlineStr">
        <is>
          <t>7 -1.33%</t>
        </is>
      </c>
      <c r="T188" s="134" t="inlineStr">
        <is>
          <t>1 -1.39%</t>
        </is>
      </c>
      <c r="U188" s="134" t="inlineStr">
        <is>
          <t>1 -0.34%</t>
        </is>
      </c>
    </row>
    <row customHeight="1" ht="17" r="189" s="155">
      <c r="A189" s="105" t="n">
        <v>43383</v>
      </c>
      <c r="B189" s="134" t="n">
        <v>965.878</v>
      </c>
      <c r="C189" s="150" t="n">
        <v>-0.598</v>
      </c>
      <c r="D189" s="151" t="n">
        <v>-0.0005999999999999999</v>
      </c>
      <c r="E189" s="134" t="n">
        <v>97.61499999999999</v>
      </c>
      <c r="F189" s="134" t="n">
        <v>96.48</v>
      </c>
      <c r="G189" s="134" t="n">
        <v>80.40000000000001</v>
      </c>
      <c r="H189" s="134" t="n">
        <v>130.1</v>
      </c>
      <c r="I189" s="104" t="n">
        <v>0.3248</v>
      </c>
      <c r="J189" s="104" t="n">
        <v>0.2374</v>
      </c>
      <c r="K189" s="104" t="n">
        <v>0.0293</v>
      </c>
      <c r="L189" s="134" t="n">
        <v>8.09</v>
      </c>
      <c r="M189" s="134" t="n">
        <v>1205.05</v>
      </c>
      <c r="N189" s="104" t="n">
        <v>0.0067</v>
      </c>
      <c r="O189" s="134" t="n">
        <v>93</v>
      </c>
      <c r="P189" s="134" t="inlineStr">
        <is>
          <t>15 -0.07%</t>
        </is>
      </c>
      <c r="Q189" s="134" t="inlineStr">
        <is>
          <t>47 -0.09%</t>
        </is>
      </c>
      <c r="R189" s="134" t="inlineStr">
        <is>
          <t>21 -0.10%</t>
        </is>
      </c>
      <c r="S189" s="134" t="inlineStr">
        <is>
          <t>8 0.36%</t>
        </is>
      </c>
      <c r="T189" s="134" t="inlineStr">
        <is>
          <t>2 -0.66%</t>
        </is>
      </c>
      <c r="U189" s="134" t="n">
        <v>0</v>
      </c>
    </row>
    <row customHeight="1" ht="17" r="190" s="155">
      <c r="A190" s="105" t="n">
        <v>43384</v>
      </c>
      <c r="B190" s="134" t="n">
        <v>950.337</v>
      </c>
      <c r="C190" s="150" t="n">
        <v>-15.541</v>
      </c>
      <c r="D190" s="151" t="n">
        <v>-0.0161</v>
      </c>
      <c r="E190" s="134" t="n">
        <v>96.038</v>
      </c>
      <c r="F190" s="134" t="n">
        <v>94.42</v>
      </c>
      <c r="G190" s="134" t="n">
        <v>74.09999999999999</v>
      </c>
      <c r="H190" s="134" t="n">
        <v>136.92</v>
      </c>
      <c r="I190" s="104" t="n">
        <v>0.4088</v>
      </c>
      <c r="J190" s="104" t="n">
        <v>0.3171</v>
      </c>
      <c r="K190" s="104" t="n">
        <v>0.0327</v>
      </c>
      <c r="L190" s="134" t="n">
        <v>15.69</v>
      </c>
      <c r="M190" s="134" t="n">
        <v>1205.05</v>
      </c>
      <c r="N190" s="104" t="n">
        <v>0.013</v>
      </c>
      <c r="O190" s="134" t="n">
        <v>93</v>
      </c>
      <c r="P190" s="134" t="inlineStr">
        <is>
          <t>21 -1.75%</t>
        </is>
      </c>
      <c r="Q190" s="134" t="inlineStr">
        <is>
          <t>43 -1.73%</t>
        </is>
      </c>
      <c r="R190" s="134" t="inlineStr">
        <is>
          <t>22 -1.24%</t>
        </is>
      </c>
      <c r="S190" s="134" t="inlineStr">
        <is>
          <t>5 -1.32%</t>
        </is>
      </c>
      <c r="T190" s="134" t="inlineStr">
        <is>
          <t>2 -2.32%</t>
        </is>
      </c>
      <c r="U190" s="134" t="n">
        <v>0</v>
      </c>
    </row>
    <row customHeight="1" ht="17" r="191" s="155">
      <c r="A191" s="105" t="n">
        <v>43385</v>
      </c>
      <c r="B191" s="134" t="n">
        <v>951.688</v>
      </c>
      <c r="C191" s="152" t="n">
        <v>1.351</v>
      </c>
      <c r="D191" s="153" t="n">
        <v>0.0014</v>
      </c>
      <c r="E191" s="134" t="n">
        <v>96.215</v>
      </c>
      <c r="F191" s="134" t="n">
        <v>94.59999999999999</v>
      </c>
      <c r="G191" s="134" t="n">
        <v>72.88</v>
      </c>
      <c r="H191" s="134" t="n">
        <v>138.13</v>
      </c>
      <c r="I191" s="104" t="n">
        <v>0.4191</v>
      </c>
      <c r="J191" s="104" t="n">
        <v>0.2941</v>
      </c>
      <c r="K191" s="104" t="n">
        <v>0.0325</v>
      </c>
      <c r="L191" s="134" t="n">
        <v>10.6</v>
      </c>
      <c r="M191" s="134" t="n">
        <v>1205.05</v>
      </c>
      <c r="N191" s="104" t="n">
        <v>0.008800000000000001</v>
      </c>
      <c r="O191" s="134" t="n">
        <v>93</v>
      </c>
      <c r="P191" s="134" t="inlineStr">
        <is>
          <t>24 -0.22%</t>
        </is>
      </c>
      <c r="Q191" s="134" t="inlineStr">
        <is>
          <t>39 -0.09%</t>
        </is>
      </c>
      <c r="R191" s="134" t="inlineStr">
        <is>
          <t>22 0.42%</t>
        </is>
      </c>
      <c r="S191" s="134" t="inlineStr">
        <is>
          <t>6 1.45%</t>
        </is>
      </c>
      <c r="T191" s="134" t="inlineStr">
        <is>
          <t>2 2.06%</t>
        </is>
      </c>
      <c r="U191" s="134" t="n">
        <v>0</v>
      </c>
    </row>
    <row customHeight="1" ht="17" r="192" s="155">
      <c r="A192" s="105" t="n">
        <v>43388</v>
      </c>
      <c r="B192" s="134" t="n">
        <v>949.276</v>
      </c>
      <c r="C192" s="150" t="n">
        <v>-2.412</v>
      </c>
      <c r="D192" s="151" t="n">
        <v>-0.0025</v>
      </c>
      <c r="E192" s="134" t="n">
        <v>95.98</v>
      </c>
      <c r="F192" s="134" t="n">
        <v>94.18000000000001</v>
      </c>
      <c r="G192" s="134" t="n">
        <v>71.40000000000001</v>
      </c>
      <c r="H192" s="134" t="n">
        <v>139.3</v>
      </c>
      <c r="I192" s="104" t="n">
        <v>0.4332</v>
      </c>
      <c r="J192" s="104" t="n">
        <v>0.3289</v>
      </c>
      <c r="K192" s="104" t="n">
        <v>0.0331</v>
      </c>
      <c r="L192" s="134" t="n">
        <v>6.42</v>
      </c>
      <c r="M192" s="134" t="n">
        <v>1205.05</v>
      </c>
      <c r="N192" s="104" t="n">
        <v>0.0053</v>
      </c>
      <c r="O192" s="134" t="n">
        <v>93</v>
      </c>
      <c r="P192" s="134" t="inlineStr">
        <is>
          <t>26 -0.32%</t>
        </is>
      </c>
      <c r="Q192" s="134" t="inlineStr">
        <is>
          <t>37 -0.29%</t>
        </is>
      </c>
      <c r="R192" s="134" t="inlineStr">
        <is>
          <t>22 -0.23%</t>
        </is>
      </c>
      <c r="S192" s="134" t="inlineStr">
        <is>
          <t>6 -0.16%</t>
        </is>
      </c>
      <c r="T192" s="134" t="inlineStr">
        <is>
          <t>2 0.79%</t>
        </is>
      </c>
      <c r="U192" s="134" t="n">
        <v>0</v>
      </c>
    </row>
    <row customHeight="1" ht="17" r="193" s="155">
      <c r="A193" s="105" t="n">
        <v>43389</v>
      </c>
      <c r="B193" s="134" t="n">
        <v>944.545</v>
      </c>
      <c r="C193" s="150" t="n">
        <v>-4.731</v>
      </c>
      <c r="D193" s="151" t="n">
        <v>-0.005</v>
      </c>
      <c r="E193" s="134" t="n">
        <v>95.499</v>
      </c>
      <c r="F193" s="134" t="n">
        <v>93.75</v>
      </c>
      <c r="G193" s="134" t="n">
        <v>70.12</v>
      </c>
      <c r="H193" s="134" t="n">
        <v>141.28</v>
      </c>
      <c r="I193" s="104" t="n">
        <v>0.4578</v>
      </c>
      <c r="J193" s="104" t="n">
        <v>0.343</v>
      </c>
      <c r="K193" s="104" t="n">
        <v>0.0341</v>
      </c>
      <c r="L193" s="134" t="n">
        <v>8.68</v>
      </c>
      <c r="M193" s="134" t="n">
        <v>1205.05</v>
      </c>
      <c r="N193" s="104" t="n">
        <v>0.0072</v>
      </c>
      <c r="O193" s="134" t="n">
        <v>93</v>
      </c>
      <c r="P193" s="134" t="inlineStr">
        <is>
          <t>29 -0.53%</t>
        </is>
      </c>
      <c r="Q193" s="134" t="inlineStr">
        <is>
          <t>36 -0.49%</t>
        </is>
      </c>
      <c r="R193" s="134" t="inlineStr">
        <is>
          <t>20 -0.33%</t>
        </is>
      </c>
      <c r="S193" s="134" t="inlineStr">
        <is>
          <t>6 -0.80%</t>
        </is>
      </c>
      <c r="T193" s="134" t="inlineStr">
        <is>
          <t>2 -0.96%</t>
        </is>
      </c>
      <c r="U193" s="134" t="n">
        <v>0</v>
      </c>
    </row>
    <row customHeight="1" ht="17" r="194" s="155">
      <c r="A194" s="105" t="n">
        <v>43390</v>
      </c>
      <c r="B194" s="134" t="n">
        <v>943.697</v>
      </c>
      <c r="C194" s="150" t="n">
        <v>-0.848</v>
      </c>
      <c r="D194" s="151" t="n">
        <v>-0.0009</v>
      </c>
      <c r="E194" s="134" t="n">
        <v>95.396</v>
      </c>
      <c r="F194" s="134" t="n">
        <v>93.79000000000001</v>
      </c>
      <c r="G194" s="134" t="n">
        <v>70.87</v>
      </c>
      <c r="H194" s="134" t="n">
        <v>140.08</v>
      </c>
      <c r="I194" s="104" t="n">
        <v>0.4468</v>
      </c>
      <c r="J194" s="104" t="n">
        <v>0.321</v>
      </c>
      <c r="K194" s="104" t="n">
        <v>0.0343</v>
      </c>
      <c r="L194" s="134" t="n">
        <v>8.550000000000001</v>
      </c>
      <c r="M194" s="134" t="n">
        <v>1205.05</v>
      </c>
      <c r="N194" s="104" t="n">
        <v>0.0071</v>
      </c>
      <c r="O194" s="134" t="n">
        <v>93</v>
      </c>
      <c r="P194" s="134" t="inlineStr">
        <is>
          <t>27 -0.09%</t>
        </is>
      </c>
      <c r="Q194" s="134" t="inlineStr">
        <is>
          <t>37 -0.09%</t>
        </is>
      </c>
      <c r="R194" s="134" t="inlineStr">
        <is>
          <t>20 0.09%</t>
        </is>
      </c>
      <c r="S194" s="134" t="inlineStr">
        <is>
          <t>7 0.01%</t>
        </is>
      </c>
      <c r="T194" s="134" t="inlineStr">
        <is>
          <t>2 -2.16%</t>
        </is>
      </c>
      <c r="U194" s="134" t="n">
        <v>0</v>
      </c>
    </row>
    <row customHeight="1" ht="17" r="195" s="155">
      <c r="A195" s="105" t="n">
        <v>43391</v>
      </c>
      <c r="B195" s="134" t="n">
        <v>937.276</v>
      </c>
      <c r="C195" s="150" t="n">
        <v>-6.421</v>
      </c>
      <c r="D195" s="151" t="n">
        <v>-0.0068</v>
      </c>
      <c r="E195" s="134" t="n">
        <v>94.741</v>
      </c>
      <c r="F195" s="134" t="n">
        <v>93.13200000000001</v>
      </c>
      <c r="G195" s="134" t="n">
        <v>69.08</v>
      </c>
      <c r="H195" s="134" t="n">
        <v>141.74</v>
      </c>
      <c r="I195" s="104" t="n">
        <v>0.47</v>
      </c>
      <c r="J195" s="104" t="n">
        <v>0.3485</v>
      </c>
      <c r="K195" s="104" t="n">
        <v>0.0358</v>
      </c>
      <c r="L195" s="134" t="n">
        <v>6.94</v>
      </c>
      <c r="M195" s="134" t="n">
        <v>1198.06</v>
      </c>
      <c r="N195" s="104" t="n">
        <v>0.0058</v>
      </c>
      <c r="O195" s="134" t="n">
        <v>92</v>
      </c>
      <c r="P195" s="134" t="inlineStr">
        <is>
          <t>31 -0.95%</t>
        </is>
      </c>
      <c r="Q195" s="134" t="inlineStr">
        <is>
          <t>32 -0.54%</t>
        </is>
      </c>
      <c r="R195" s="134" t="inlineStr">
        <is>
          <t>22 -0.50%</t>
        </is>
      </c>
      <c r="S195" s="134" t="inlineStr">
        <is>
          <t>6 -0.63%</t>
        </is>
      </c>
      <c r="T195" s="134" t="inlineStr">
        <is>
          <t>1 -1.19%</t>
        </is>
      </c>
      <c r="U195" s="134" t="n">
        <v>0</v>
      </c>
    </row>
    <row customHeight="1" ht="17" r="196" s="155">
      <c r="A196" s="105" t="n">
        <v>43392</v>
      </c>
      <c r="B196" s="134" t="n">
        <v>943.876</v>
      </c>
      <c r="C196" s="152" t="n">
        <v>6.6</v>
      </c>
      <c r="D196" s="153" t="n">
        <v>0.007</v>
      </c>
      <c r="E196" s="134" t="n">
        <v>95.54300000000001</v>
      </c>
      <c r="F196" s="134" t="n">
        <v>93.51000000000001</v>
      </c>
      <c r="G196" s="134" t="n">
        <v>70.8</v>
      </c>
      <c r="H196" s="134" t="n">
        <v>139.17</v>
      </c>
      <c r="I196" s="104" t="n">
        <v>0.4363</v>
      </c>
      <c r="J196" s="104" t="n">
        <v>0.3279</v>
      </c>
      <c r="K196" s="104" t="n">
        <v>0.0342</v>
      </c>
      <c r="L196" s="134" t="n">
        <v>12.03</v>
      </c>
      <c r="M196" s="134" t="n">
        <v>1195.01</v>
      </c>
      <c r="N196" s="104" t="n">
        <v>0.0101</v>
      </c>
      <c r="O196" s="134" t="n">
        <v>91</v>
      </c>
      <c r="P196" s="134" t="inlineStr">
        <is>
          <t>29 0.26%</t>
        </is>
      </c>
      <c r="Q196" s="134" t="inlineStr">
        <is>
          <t>34 0.52%</t>
        </is>
      </c>
      <c r="R196" s="134" t="inlineStr">
        <is>
          <t>20 0.76%</t>
        </is>
      </c>
      <c r="S196" s="134" t="inlineStr">
        <is>
          <t>6 2.75%</t>
        </is>
      </c>
      <c r="T196" s="134" t="inlineStr">
        <is>
          <t>2 3.61%</t>
        </is>
      </c>
      <c r="U196" s="134" t="n">
        <v>0</v>
      </c>
    </row>
    <row customHeight="1" ht="17" r="197" s="155">
      <c r="A197" s="105" t="n">
        <v>43395</v>
      </c>
      <c r="B197" s="134" t="n">
        <v>955.227</v>
      </c>
      <c r="C197" s="152" t="n">
        <v>11.351</v>
      </c>
      <c r="D197" s="153" t="n">
        <v>0.012</v>
      </c>
      <c r="E197" s="134" t="n">
        <v>96.706</v>
      </c>
      <c r="F197" s="134" t="n">
        <v>95.29900000000001</v>
      </c>
      <c r="G197" s="134" t="n">
        <v>74.40000000000001</v>
      </c>
      <c r="H197" s="134" t="n">
        <v>134.86</v>
      </c>
      <c r="I197" s="104" t="n">
        <v>0.3815</v>
      </c>
      <c r="J197" s="104" t="n">
        <v>0.2908</v>
      </c>
      <c r="K197" s="104" t="n">
        <v>0.0318</v>
      </c>
      <c r="L197" s="134" t="n">
        <v>24.12</v>
      </c>
      <c r="M197" s="134" t="n">
        <v>1195.01</v>
      </c>
      <c r="N197" s="104" t="n">
        <v>0.0202</v>
      </c>
      <c r="O197" s="134" t="n">
        <v>91</v>
      </c>
      <c r="P197" s="134" t="inlineStr">
        <is>
          <t>26 1.16%</t>
        </is>
      </c>
      <c r="Q197" s="134" t="inlineStr">
        <is>
          <t>37 1.22%</t>
        </is>
      </c>
      <c r="R197" s="134" t="inlineStr">
        <is>
          <t>19 0.78%</t>
        </is>
      </c>
      <c r="S197" s="134" t="inlineStr">
        <is>
          <t>6 2.16%</t>
        </is>
      </c>
      <c r="T197" s="134" t="inlineStr">
        <is>
          <t>3 2.12%</t>
        </is>
      </c>
      <c r="U197" s="134" t="n">
        <v>0</v>
      </c>
    </row>
    <row customHeight="1" ht="17" r="198" s="155">
      <c r="A198" s="105" t="n">
        <v>43396</v>
      </c>
      <c r="B198" s="134" t="n">
        <v>951.9059999999999</v>
      </c>
      <c r="C198" s="150" t="n">
        <v>-3.321</v>
      </c>
      <c r="D198" s="151" t="n">
        <v>-0.0035</v>
      </c>
      <c r="E198" s="134" t="n">
        <v>96.37</v>
      </c>
      <c r="F198" s="134" t="n">
        <v>94.764</v>
      </c>
      <c r="G198" s="134" t="n">
        <v>73.95999999999999</v>
      </c>
      <c r="H198" s="134" t="n">
        <v>136.23</v>
      </c>
      <c r="I198" s="104" t="n">
        <v>0.3986</v>
      </c>
      <c r="J198" s="104" t="n">
        <v>0.3124</v>
      </c>
      <c r="K198" s="104" t="n">
        <v>0.0326</v>
      </c>
      <c r="L198" s="134" t="n">
        <v>9.710000000000001</v>
      </c>
      <c r="M198" s="134" t="n">
        <v>1195.01</v>
      </c>
      <c r="N198" s="104" t="n">
        <v>0.0081</v>
      </c>
      <c r="O198" s="134" t="n">
        <v>91</v>
      </c>
      <c r="P198" s="134" t="inlineStr">
        <is>
          <t>26 -0.43%</t>
        </is>
      </c>
      <c r="Q198" s="134" t="inlineStr">
        <is>
          <t>37 -0.38%</t>
        </is>
      </c>
      <c r="R198" s="134" t="inlineStr">
        <is>
          <t>19 -0.25%</t>
        </is>
      </c>
      <c r="S198" s="134" t="inlineStr">
        <is>
          <t>6 0.08%</t>
        </is>
      </c>
      <c r="T198" s="134" t="inlineStr">
        <is>
          <t>3 -0.74%</t>
        </is>
      </c>
      <c r="U198" s="134" t="n">
        <v>0</v>
      </c>
    </row>
    <row customHeight="1" ht="17" r="199" s="155">
      <c r="A199" s="105" t="n">
        <v>43397</v>
      </c>
      <c r="B199" s="134" t="n">
        <v>952.777</v>
      </c>
      <c r="C199" s="152" t="n">
        <v>0.871</v>
      </c>
      <c r="D199" s="153" t="n">
        <v>0.0009</v>
      </c>
      <c r="E199" s="134" t="n">
        <v>96.45699999999999</v>
      </c>
      <c r="F199" s="134" t="n">
        <v>94.8</v>
      </c>
      <c r="G199" s="134" t="n">
        <v>73.06999999999999</v>
      </c>
      <c r="H199" s="134" t="n">
        <v>136.52</v>
      </c>
      <c r="I199" s="104" t="n">
        <v>0.4007</v>
      </c>
      <c r="J199" s="104" t="n">
        <v>0.3065</v>
      </c>
      <c r="K199" s="104" t="n">
        <v>0.0324</v>
      </c>
      <c r="L199" s="134" t="n">
        <v>13.26</v>
      </c>
      <c r="M199" s="134" t="n">
        <v>1195.01</v>
      </c>
      <c r="N199" s="104" t="n">
        <v>0.0111</v>
      </c>
      <c r="O199" s="134" t="n">
        <v>91</v>
      </c>
      <c r="P199" s="134" t="inlineStr">
        <is>
          <t>28 -0.03%</t>
        </is>
      </c>
      <c r="Q199" s="134" t="inlineStr">
        <is>
          <t>34 0.15%</t>
        </is>
      </c>
      <c r="R199" s="134" t="inlineStr">
        <is>
          <t>20 0.27%</t>
        </is>
      </c>
      <c r="S199" s="134" t="inlineStr">
        <is>
          <t>7 -0.27%</t>
        </is>
      </c>
      <c r="T199" s="134" t="inlineStr">
        <is>
          <t>2 0.16%</t>
        </is>
      </c>
      <c r="U199" s="134" t="n">
        <v>0</v>
      </c>
    </row>
    <row customHeight="1" ht="17" r="200" s="155">
      <c r="A200" s="105" t="n">
        <v>43398</v>
      </c>
      <c r="B200" s="134" t="n">
        <v>951.217</v>
      </c>
      <c r="C200" s="150" t="n">
        <v>-1.56</v>
      </c>
      <c r="D200" s="151" t="n">
        <v>-0.0016</v>
      </c>
      <c r="E200" s="134" t="n">
        <v>96.3</v>
      </c>
      <c r="F200" s="134" t="n">
        <v>94.51000000000001</v>
      </c>
      <c r="G200" s="134" t="n">
        <v>72.79000000000001</v>
      </c>
      <c r="H200" s="134" t="n">
        <v>136.91</v>
      </c>
      <c r="I200" s="104" t="n">
        <v>0.4061</v>
      </c>
      <c r="J200" s="104" t="n">
        <v>0.3143</v>
      </c>
      <c r="K200" s="104" t="n">
        <v>0.0327</v>
      </c>
      <c r="L200" s="134" t="n">
        <v>10.73</v>
      </c>
      <c r="M200" s="134" t="n">
        <v>1202.01</v>
      </c>
      <c r="N200" s="104" t="n">
        <v>0.0089</v>
      </c>
      <c r="O200" s="134" t="n">
        <v>92</v>
      </c>
      <c r="P200" s="134" t="inlineStr">
        <is>
          <t>28 -0.27%</t>
        </is>
      </c>
      <c r="Q200" s="134" t="inlineStr">
        <is>
          <t>35 -0.29%</t>
        </is>
      </c>
      <c r="R200" s="134" t="inlineStr">
        <is>
          <t>20 0.13%</t>
        </is>
      </c>
      <c r="S200" s="134" t="inlineStr">
        <is>
          <t>6 0.08%</t>
        </is>
      </c>
      <c r="T200" s="134" t="inlineStr">
        <is>
          <t>3 -0.24%</t>
        </is>
      </c>
      <c r="U200" s="134" t="n">
        <v>0</v>
      </c>
    </row>
    <row customHeight="1" ht="17" r="201" s="155">
      <c r="A201" s="105" t="n">
        <v>43399</v>
      </c>
      <c r="B201" s="134" t="n">
        <v>954.223</v>
      </c>
      <c r="C201" s="152" t="n">
        <v>3.006</v>
      </c>
      <c r="D201" s="153" t="n">
        <v>0.0032</v>
      </c>
      <c r="E201" s="134" t="n">
        <v>96.56699999999999</v>
      </c>
      <c r="F201" s="134" t="n">
        <v>95.002</v>
      </c>
      <c r="G201" s="134" t="n">
        <v>73.33</v>
      </c>
      <c r="H201" s="134" t="n">
        <v>137.45</v>
      </c>
      <c r="I201" s="104" t="n">
        <v>0.4089</v>
      </c>
      <c r="J201" s="104" t="n">
        <v>0.3163</v>
      </c>
      <c r="K201" s="104" t="n">
        <v>0.032</v>
      </c>
      <c r="L201" s="134" t="n">
        <v>8.5</v>
      </c>
      <c r="M201" s="134" t="n">
        <v>1202.01</v>
      </c>
      <c r="N201" s="104" t="n">
        <v>0.0071</v>
      </c>
      <c r="O201" s="134" t="n">
        <v>92</v>
      </c>
      <c r="P201" s="134" t="inlineStr">
        <is>
          <t>27 0.78%</t>
        </is>
      </c>
      <c r="Q201" s="134" t="inlineStr">
        <is>
          <t>37 0.29%</t>
        </is>
      </c>
      <c r="R201" s="134" t="inlineStr">
        <is>
          <t>19 0.01%</t>
        </is>
      </c>
      <c r="S201" s="134" t="inlineStr">
        <is>
          <t>7 -0.36%</t>
        </is>
      </c>
      <c r="T201" s="134" t="inlineStr">
        <is>
          <t>2 -0.30%</t>
        </is>
      </c>
      <c r="U201" s="134" t="n">
        <v>0</v>
      </c>
    </row>
    <row customHeight="1" ht="17" r="202" s="155">
      <c r="A202" s="105" t="n">
        <v>43402</v>
      </c>
      <c r="B202" s="134" t="n">
        <v>952.275</v>
      </c>
      <c r="C202" s="150" t="n">
        <v>-1.948</v>
      </c>
      <c r="D202" s="151" t="n">
        <v>-0.002</v>
      </c>
      <c r="E202" s="134" t="n">
        <v>96.223</v>
      </c>
      <c r="F202" s="134" t="n">
        <v>94.45</v>
      </c>
      <c r="G202" s="134" t="n">
        <v>71.14</v>
      </c>
      <c r="H202" s="134" t="n">
        <v>139.55</v>
      </c>
      <c r="I202" s="104" t="n">
        <v>0.4333</v>
      </c>
      <c r="J202" s="104" t="n">
        <v>0.3389</v>
      </c>
      <c r="K202" s="104" t="n">
        <v>0.0328</v>
      </c>
      <c r="L202" s="134" t="n">
        <v>7.75</v>
      </c>
      <c r="M202" s="134" t="n">
        <v>1205.05</v>
      </c>
      <c r="N202" s="104" t="n">
        <v>0.0064</v>
      </c>
      <c r="O202" s="134" t="n">
        <v>93</v>
      </c>
      <c r="P202" s="134" t="inlineStr">
        <is>
          <t>27 0.39%</t>
        </is>
      </c>
      <c r="Q202" s="134" t="inlineStr">
        <is>
          <t>39 -0.29%</t>
        </is>
      </c>
      <c r="R202" s="134" t="inlineStr">
        <is>
          <t>18 -0.60%</t>
        </is>
      </c>
      <c r="S202" s="134" t="inlineStr">
        <is>
          <t>7 -0.73%</t>
        </is>
      </c>
      <c r="T202" s="134" t="inlineStr">
        <is>
          <t>2 -1.25%</t>
        </is>
      </c>
      <c r="U202" s="134" t="n">
        <v>0</v>
      </c>
    </row>
    <row customHeight="1" ht="17" r="203" s="155">
      <c r="A203" s="105" t="n">
        <v>43403</v>
      </c>
      <c r="B203" s="134" t="n">
        <v>953.765</v>
      </c>
      <c r="C203" s="152" t="n">
        <v>1.49</v>
      </c>
      <c r="D203" s="153" t="n">
        <v>0.0016</v>
      </c>
      <c r="E203" s="134" t="n">
        <v>96.375</v>
      </c>
      <c r="F203" s="134" t="n">
        <v>94.48999999999999</v>
      </c>
      <c r="G203" s="134" t="n">
        <v>72.15000000000001</v>
      </c>
      <c r="H203" s="134" t="n">
        <v>138.25</v>
      </c>
      <c r="I203" s="104" t="n">
        <v>0.4188</v>
      </c>
      <c r="J203" s="104" t="n">
        <v>0.3354</v>
      </c>
      <c r="K203" s="104" t="n">
        <v>0.0325</v>
      </c>
      <c r="L203" s="134" t="n">
        <v>13.1</v>
      </c>
      <c r="M203" s="134" t="n">
        <v>1205.05</v>
      </c>
      <c r="N203" s="104" t="n">
        <v>0.0109</v>
      </c>
      <c r="O203" s="134" t="n">
        <v>93</v>
      </c>
      <c r="P203" s="134" t="inlineStr">
        <is>
          <t>26 0.21%</t>
        </is>
      </c>
      <c r="Q203" s="134" t="inlineStr">
        <is>
          <t>40 0.06%</t>
        </is>
      </c>
      <c r="R203" s="134" t="inlineStr">
        <is>
          <t>18 0.22%</t>
        </is>
      </c>
      <c r="S203" s="134" t="inlineStr">
        <is>
          <t>7 0.17%</t>
        </is>
      </c>
      <c r="T203" s="134" t="inlineStr">
        <is>
          <t>2 0.81%</t>
        </is>
      </c>
      <c r="U203" s="134" t="n">
        <v>0</v>
      </c>
    </row>
    <row customHeight="1" ht="17" r="204" s="155">
      <c r="A204" s="105" t="n">
        <v>43404</v>
      </c>
      <c r="B204" s="134" t="n">
        <v>957.2670000000001</v>
      </c>
      <c r="C204" s="152" t="n">
        <v>3.502</v>
      </c>
      <c r="D204" s="153" t="n">
        <v>0.0037</v>
      </c>
      <c r="E204" s="134" t="n">
        <v>96.732</v>
      </c>
      <c r="F204" s="134" t="n">
        <v>94.88800000000001</v>
      </c>
      <c r="G204" s="134" t="n">
        <v>73.78</v>
      </c>
      <c r="H204" s="134" t="n">
        <v>137.08</v>
      </c>
      <c r="I204" s="104" t="n">
        <v>0.4035</v>
      </c>
      <c r="J204" s="104" t="n">
        <v>0.3161</v>
      </c>
      <c r="K204" s="104" t="n">
        <v>0.0317</v>
      </c>
      <c r="L204" s="134" t="n">
        <v>10.38</v>
      </c>
      <c r="M204" s="134" t="n">
        <v>1205.05</v>
      </c>
      <c r="N204" s="104" t="n">
        <v>0.0086</v>
      </c>
      <c r="O204" s="134" t="n">
        <v>93</v>
      </c>
      <c r="P204" s="134" t="inlineStr">
        <is>
          <t>23 0.37%</t>
        </is>
      </c>
      <c r="Q204" s="134" t="inlineStr">
        <is>
          <t>42 0.32%</t>
        </is>
      </c>
      <c r="R204" s="134" t="inlineStr">
        <is>
          <t>18 0.19%</t>
        </is>
      </c>
      <c r="S204" s="134" t="inlineStr">
        <is>
          <t>8 0.84%</t>
        </is>
      </c>
      <c r="T204" s="134" t="inlineStr">
        <is>
          <t>2 1.14%</t>
        </is>
      </c>
      <c r="U204" s="134" t="n">
        <v>0</v>
      </c>
    </row>
    <row customHeight="1" ht="17" r="205" s="155">
      <c r="A205" s="105" t="n">
        <v>43405</v>
      </c>
      <c r="B205" s="134" t="n">
        <v>960.436</v>
      </c>
      <c r="C205" s="152" t="n">
        <v>3.169</v>
      </c>
      <c r="D205" s="153" t="n">
        <v>0.0033</v>
      </c>
      <c r="E205" s="134" t="n">
        <v>97.05200000000001</v>
      </c>
      <c r="F205" s="134" t="n">
        <v>95.25</v>
      </c>
      <c r="G205" s="134" t="n">
        <v>73.48</v>
      </c>
      <c r="H205" s="134" t="n">
        <v>136.94</v>
      </c>
      <c r="I205" s="104" t="n">
        <v>0.3989</v>
      </c>
      <c r="J205" s="104" t="n">
        <v>0.3148</v>
      </c>
      <c r="K205" s="104" t="n">
        <v>0.031</v>
      </c>
      <c r="L205" s="134" t="n">
        <v>11.91</v>
      </c>
      <c r="M205" s="134" t="n">
        <v>1205.05</v>
      </c>
      <c r="N205" s="104" t="n">
        <v>0.009900000000000001</v>
      </c>
      <c r="O205" s="134" t="n">
        <v>93</v>
      </c>
      <c r="P205" s="134" t="inlineStr">
        <is>
          <t>23 0.25%</t>
        </is>
      </c>
      <c r="Q205" s="134" t="inlineStr">
        <is>
          <t>41 0.44%</t>
        </is>
      </c>
      <c r="R205" s="134" t="inlineStr">
        <is>
          <t>19 0.17%</t>
        </is>
      </c>
      <c r="S205" s="134" t="inlineStr">
        <is>
          <t>8 0.17%</t>
        </is>
      </c>
      <c r="T205" s="134" t="inlineStr">
        <is>
          <t>1 1.40%</t>
        </is>
      </c>
      <c r="U205" s="134" t="inlineStr">
        <is>
          <t>1 1.00%</t>
        </is>
      </c>
    </row>
    <row customHeight="1" ht="17" r="206" s="155">
      <c r="A206" s="105" t="n">
        <v>43406</v>
      </c>
      <c r="B206" s="134" t="n">
        <v>972.859</v>
      </c>
      <c r="C206" s="152" t="n">
        <v>12.423</v>
      </c>
      <c r="D206" s="153" t="n">
        <v>0.0129</v>
      </c>
      <c r="E206" s="134" t="n">
        <v>98.313</v>
      </c>
      <c r="F206" s="134" t="n">
        <v>96.399</v>
      </c>
      <c r="G206" s="134" t="n">
        <v>75.83</v>
      </c>
      <c r="H206" s="134" t="n">
        <v>135.24</v>
      </c>
      <c r="I206" s="104" t="n">
        <v>0.3693</v>
      </c>
      <c r="J206" s="104" t="n">
        <v>0.2855</v>
      </c>
      <c r="K206" s="104" t="n">
        <v>0.0283</v>
      </c>
      <c r="L206" s="134" t="n">
        <v>22.05</v>
      </c>
      <c r="M206" s="134" t="n">
        <v>1205.05</v>
      </c>
      <c r="N206" s="104" t="n">
        <v>0.0183</v>
      </c>
      <c r="O206" s="134" t="n">
        <v>93</v>
      </c>
      <c r="P206" s="134" t="inlineStr">
        <is>
          <t>15 1.11%</t>
        </is>
      </c>
      <c r="Q206" s="134" t="inlineStr">
        <is>
          <t>46 1.22%</t>
        </is>
      </c>
      <c r="R206" s="134" t="inlineStr">
        <is>
          <t>20 1.46%</t>
        </is>
      </c>
      <c r="S206" s="134" t="inlineStr">
        <is>
          <t>9 1.39%</t>
        </is>
      </c>
      <c r="T206" s="134" t="inlineStr">
        <is>
          <t>2 1.88%</t>
        </is>
      </c>
      <c r="U206" s="134" t="inlineStr">
        <is>
          <t>1 2.23%</t>
        </is>
      </c>
    </row>
    <row customHeight="1" ht="17" r="207" s="155">
      <c r="A207" s="105" t="n">
        <v>43409</v>
      </c>
      <c r="B207" s="134" t="n">
        <v>976.005</v>
      </c>
      <c r="C207" s="152" t="n">
        <v>3.146</v>
      </c>
      <c r="D207" s="153" t="n">
        <v>0.0032</v>
      </c>
      <c r="E207" s="134" t="n">
        <v>98.587</v>
      </c>
      <c r="F207" s="134" t="n">
        <v>96.78</v>
      </c>
      <c r="G207" s="134" t="n">
        <v>75.84999999999999</v>
      </c>
      <c r="H207" s="134" t="n">
        <v>135.26</v>
      </c>
      <c r="I207" s="104" t="n">
        <v>0.3667</v>
      </c>
      <c r="J207" s="104" t="n">
        <v>0.2859</v>
      </c>
      <c r="K207" s="104" t="n">
        <v>0.0277</v>
      </c>
      <c r="L207" s="134" t="n">
        <v>14.41</v>
      </c>
      <c r="M207" s="134" t="n">
        <v>1205.05</v>
      </c>
      <c r="N207" s="104" t="n">
        <v>0.012</v>
      </c>
      <c r="O207" s="134" t="n">
        <v>93</v>
      </c>
      <c r="P207" s="134" t="inlineStr">
        <is>
          <t>13 0.57%</t>
        </is>
      </c>
      <c r="Q207" s="134" t="inlineStr">
        <is>
          <t>46 0.48%</t>
        </is>
      </c>
      <c r="R207" s="134" t="inlineStr">
        <is>
          <t>22 0.28%</t>
        </is>
      </c>
      <c r="S207" s="134" t="inlineStr">
        <is>
          <t>9 -0.15%</t>
        </is>
      </c>
      <c r="T207" s="134" t="inlineStr">
        <is>
          <t>3 -1.41%</t>
        </is>
      </c>
      <c r="U207" s="134" t="n">
        <v>0</v>
      </c>
    </row>
    <row customHeight="1" ht="17" r="208" s="155">
      <c r="A208" s="105" t="n">
        <v>43410</v>
      </c>
      <c r="B208" s="134" t="n">
        <v>972.797</v>
      </c>
      <c r="C208" s="150" t="n">
        <v>-3.208</v>
      </c>
      <c r="D208" s="151" t="n">
        <v>-0.0033</v>
      </c>
      <c r="E208" s="134" t="n">
        <v>98.261</v>
      </c>
      <c r="F208" s="134" t="n">
        <v>96.3</v>
      </c>
      <c r="G208" s="134" t="n">
        <v>76.02</v>
      </c>
      <c r="H208" s="134" t="n">
        <v>134.17</v>
      </c>
      <c r="I208" s="104" t="n">
        <v>0.3591</v>
      </c>
      <c r="J208" s="104" t="n">
        <v>0.2795</v>
      </c>
      <c r="K208" s="104" t="n">
        <v>0.0284</v>
      </c>
      <c r="L208" s="134" t="n">
        <v>9.529999999999999</v>
      </c>
      <c r="M208" s="134" t="n">
        <v>1205.05</v>
      </c>
      <c r="N208" s="104" t="n">
        <v>0.007900000000000001</v>
      </c>
      <c r="O208" s="134" t="n">
        <v>93</v>
      </c>
      <c r="P208" s="134" t="inlineStr">
        <is>
          <t>14 -0.34%</t>
        </is>
      </c>
      <c r="Q208" s="134" t="inlineStr">
        <is>
          <t>46 -0.35%</t>
        </is>
      </c>
      <c r="R208" s="134" t="inlineStr">
        <is>
          <t>22 -0.39%</t>
        </is>
      </c>
      <c r="S208" s="134" t="inlineStr">
        <is>
          <t>8 -0.31%</t>
        </is>
      </c>
      <c r="T208" s="134" t="inlineStr">
        <is>
          <t>2 0.06%</t>
        </is>
      </c>
      <c r="U208" s="134" t="inlineStr">
        <is>
          <t>1 1.16%</t>
        </is>
      </c>
    </row>
    <row customHeight="1" ht="17" r="209" s="155">
      <c r="A209" s="105" t="n">
        <v>43411</v>
      </c>
      <c r="B209" s="134" t="n">
        <v>972.966</v>
      </c>
      <c r="C209" s="152" t="n">
        <v>0.169</v>
      </c>
      <c r="D209" s="153" t="n">
        <v>0.0002</v>
      </c>
      <c r="E209" s="134" t="n">
        <v>98.26300000000001</v>
      </c>
      <c r="F209" s="134" t="n">
        <v>96.59999999999999</v>
      </c>
      <c r="G209" s="134" t="n">
        <v>76.53</v>
      </c>
      <c r="H209" s="134" t="n">
        <v>134.67</v>
      </c>
      <c r="I209" s="104" t="n">
        <v>0.3641</v>
      </c>
      <c r="J209" s="104" t="n">
        <v>0.2909</v>
      </c>
      <c r="K209" s="104" t="n">
        <v>0.0284</v>
      </c>
      <c r="L209" s="134" t="n">
        <v>7.72</v>
      </c>
      <c r="M209" s="134" t="n">
        <v>1205.05</v>
      </c>
      <c r="N209" s="104" t="n">
        <v>0.0064</v>
      </c>
      <c r="O209" s="134" t="n">
        <v>93</v>
      </c>
      <c r="P209" s="134" t="inlineStr">
        <is>
          <t>14 -0.08%</t>
        </is>
      </c>
      <c r="Q209" s="134" t="inlineStr">
        <is>
          <t>47 0.15%</t>
        </is>
      </c>
      <c r="R209" s="134" t="inlineStr">
        <is>
          <t>21 0.13%</t>
        </is>
      </c>
      <c r="S209" s="134" t="inlineStr">
        <is>
          <t>8 -0.76%</t>
        </is>
      </c>
      <c r="T209" s="134" t="inlineStr">
        <is>
          <t>2 -0.03%</t>
        </is>
      </c>
      <c r="U209" s="134" t="inlineStr">
        <is>
          <t>1 -0.74%</t>
        </is>
      </c>
    </row>
    <row customHeight="1" ht="17" r="210" s="155">
      <c r="A210" s="105" t="n">
        <v>43412</v>
      </c>
      <c r="B210" s="134" t="n">
        <v>971.847</v>
      </c>
      <c r="C210" s="150" t="n">
        <v>-1.119</v>
      </c>
      <c r="D210" s="151" t="n">
        <v>-0.0012</v>
      </c>
      <c r="E210" s="134" t="n">
        <v>98.15000000000001</v>
      </c>
      <c r="F210" s="134" t="n">
        <v>96.35299999999999</v>
      </c>
      <c r="G210" s="134" t="n">
        <v>75.61</v>
      </c>
      <c r="H210" s="134" t="n">
        <v>135.07</v>
      </c>
      <c r="I210" s="104" t="n">
        <v>0.3692</v>
      </c>
      <c r="J210" s="104" t="n">
        <v>0.3007</v>
      </c>
      <c r="K210" s="104" t="n">
        <v>0.0286</v>
      </c>
      <c r="L210" s="134" t="n">
        <v>7.87</v>
      </c>
      <c r="M210" s="134" t="n">
        <v>1205.05</v>
      </c>
      <c r="N210" s="104" t="n">
        <v>0.0065</v>
      </c>
      <c r="O210" s="134" t="n">
        <v>93</v>
      </c>
      <c r="P210" s="134" t="inlineStr">
        <is>
          <t>15 -0.29%</t>
        </is>
      </c>
      <c r="Q210" s="134" t="inlineStr">
        <is>
          <t>44 -0.09%</t>
        </is>
      </c>
      <c r="R210" s="134" t="inlineStr">
        <is>
          <t>23 -0.04%</t>
        </is>
      </c>
      <c r="S210" s="134" t="inlineStr">
        <is>
          <t>8 -0.23%</t>
        </is>
      </c>
      <c r="T210" s="134" t="inlineStr">
        <is>
          <t>2 -0.76%</t>
        </is>
      </c>
      <c r="U210" s="134" t="inlineStr">
        <is>
          <t>1 1.98%</t>
        </is>
      </c>
    </row>
    <row customHeight="1" ht="17" r="211" s="155">
      <c r="A211" s="105" t="n">
        <v>43413</v>
      </c>
      <c r="B211" s="134" t="n">
        <v>968.268</v>
      </c>
      <c r="C211" s="150" t="n">
        <v>-3.579</v>
      </c>
      <c r="D211" s="151" t="n">
        <v>-0.0037</v>
      </c>
      <c r="E211" s="134" t="n">
        <v>97.73399999999999</v>
      </c>
      <c r="F211" s="134" t="n">
        <v>96.2</v>
      </c>
      <c r="G211" s="134" t="n">
        <v>75.27</v>
      </c>
      <c r="H211" s="134" t="n">
        <v>134.87</v>
      </c>
      <c r="I211" s="104" t="n">
        <v>0.3713</v>
      </c>
      <c r="J211" s="104" t="n">
        <v>0.2884</v>
      </c>
      <c r="K211" s="104" t="n">
        <v>0.0295</v>
      </c>
      <c r="L211" s="134" t="n">
        <v>8.33</v>
      </c>
      <c r="M211" s="134" t="n">
        <v>1205.05</v>
      </c>
      <c r="N211" s="104" t="n">
        <v>0.0069</v>
      </c>
      <c r="O211" s="134" t="n">
        <v>93</v>
      </c>
      <c r="P211" s="134" t="inlineStr">
        <is>
          <t>15 -0.09%</t>
        </is>
      </c>
      <c r="Q211" s="134" t="inlineStr">
        <is>
          <t>46 -0.17%</t>
        </is>
      </c>
      <c r="R211" s="134" t="inlineStr">
        <is>
          <t>22 -0.24%</t>
        </is>
      </c>
      <c r="S211" s="134" t="inlineStr">
        <is>
          <t>8 -2.02%</t>
        </is>
      </c>
      <c r="T211" s="134" t="inlineStr">
        <is>
          <t>2 -0.19%</t>
        </is>
      </c>
      <c r="U211" s="134" t="n">
        <v>0</v>
      </c>
    </row>
    <row customHeight="1" ht="17" r="212" s="155">
      <c r="A212" s="105" t="n">
        <v>43416</v>
      </c>
      <c r="B212" s="134" t="n">
        <v>973.99</v>
      </c>
      <c r="C212" s="152" t="n">
        <v>5.722</v>
      </c>
      <c r="D212" s="153" t="n">
        <v>0.0059</v>
      </c>
      <c r="E212" s="134" t="n">
        <v>98.36799999999999</v>
      </c>
      <c r="F212" s="134" t="n">
        <v>96.67100000000001</v>
      </c>
      <c r="G212" s="134" t="n">
        <v>77.31</v>
      </c>
      <c r="H212" s="134" t="n">
        <v>132.07</v>
      </c>
      <c r="I212" s="104" t="n">
        <v>0.337</v>
      </c>
      <c r="J212" s="104" t="n">
        <v>0.2636</v>
      </c>
      <c r="K212" s="104" t="n">
        <v>0.0281</v>
      </c>
      <c r="L212" s="134" t="n">
        <v>10.63</v>
      </c>
      <c r="M212" s="134" t="n">
        <v>1213.57</v>
      </c>
      <c r="N212" s="104" t="n">
        <v>0.008800000000000001</v>
      </c>
      <c r="O212" s="134" t="n">
        <v>94</v>
      </c>
      <c r="P212" s="134" t="inlineStr">
        <is>
          <t>14 0.42%</t>
        </is>
      </c>
      <c r="Q212" s="134" t="inlineStr">
        <is>
          <t>45 0.60%</t>
        </is>
      </c>
      <c r="R212" s="134" t="inlineStr">
        <is>
          <t>24 0.62%</t>
        </is>
      </c>
      <c r="S212" s="134" t="inlineStr">
        <is>
          <t>8 0.52%</t>
        </is>
      </c>
      <c r="T212" s="134" t="inlineStr">
        <is>
          <t>3 1.28%</t>
        </is>
      </c>
      <c r="U212" s="134" t="n">
        <v>0</v>
      </c>
    </row>
    <row customHeight="1" ht="17" r="213" s="155">
      <c r="A213" s="105" t="n">
        <v>43417</v>
      </c>
      <c r="B213" s="134" t="n">
        <v>979.23</v>
      </c>
      <c r="C213" s="152" t="n">
        <v>5.24</v>
      </c>
      <c r="D213" s="153" t="n">
        <v>0.0054</v>
      </c>
      <c r="E213" s="134" t="n">
        <v>98.89</v>
      </c>
      <c r="F213" s="134" t="n">
        <v>97.206</v>
      </c>
      <c r="G213" s="134" t="n">
        <v>78.95999999999999</v>
      </c>
      <c r="H213" s="134" t="n">
        <v>131.03</v>
      </c>
      <c r="I213" s="104" t="n">
        <v>0.3214</v>
      </c>
      <c r="J213" s="104" t="n">
        <v>0.2523</v>
      </c>
      <c r="K213" s="104" t="n">
        <v>0.027</v>
      </c>
      <c r="L213" s="134" t="n">
        <v>13.94</v>
      </c>
      <c r="M213" s="134" t="n">
        <v>1213.57</v>
      </c>
      <c r="N213" s="104" t="n">
        <v>0.0115</v>
      </c>
      <c r="O213" s="134" t="n">
        <v>94</v>
      </c>
      <c r="P213" s="134" t="inlineStr">
        <is>
          <t>12 0.45%</t>
        </is>
      </c>
      <c r="Q213" s="134" t="inlineStr">
        <is>
          <t>47 0.63%</t>
        </is>
      </c>
      <c r="R213" s="134" t="inlineStr">
        <is>
          <t>23 0.43%</t>
        </is>
      </c>
      <c r="S213" s="134" t="inlineStr">
        <is>
          <t>9 0.53%</t>
        </is>
      </c>
      <c r="T213" s="134" t="inlineStr">
        <is>
          <t>3 0.36%</t>
        </is>
      </c>
      <c r="U213" s="134" t="n">
        <v>0</v>
      </c>
    </row>
    <row customHeight="1" ht="17" r="214" s="155">
      <c r="A214" s="105" t="n">
        <v>43418</v>
      </c>
      <c r="B214" s="134" t="n">
        <v>982.504</v>
      </c>
      <c r="C214" s="152" t="n">
        <v>3.274</v>
      </c>
      <c r="D214" s="153" t="n">
        <v>0.0033</v>
      </c>
      <c r="E214" s="134" t="n">
        <v>99.205</v>
      </c>
      <c r="F214" s="134" t="n">
        <v>97.94</v>
      </c>
      <c r="G214" s="134" t="n">
        <v>77.86</v>
      </c>
      <c r="H214" s="134" t="n">
        <v>131.96</v>
      </c>
      <c r="I214" s="104" t="n">
        <v>0.3275</v>
      </c>
      <c r="J214" s="104" t="n">
        <v>0.2587</v>
      </c>
      <c r="K214" s="104" t="n">
        <v>0.0263</v>
      </c>
      <c r="L214" s="134" t="n">
        <v>23.52</v>
      </c>
      <c r="M214" s="134" t="n">
        <v>1213.57</v>
      </c>
      <c r="N214" s="104" t="n">
        <v>0.0194</v>
      </c>
      <c r="O214" s="134" t="n">
        <v>94</v>
      </c>
      <c r="P214" s="134" t="inlineStr">
        <is>
          <t>11 0.95%</t>
        </is>
      </c>
      <c r="Q214" s="134" t="inlineStr">
        <is>
          <t>48 0.42%</t>
        </is>
      </c>
      <c r="R214" s="134" t="inlineStr">
        <is>
          <t>24 -0.15%</t>
        </is>
      </c>
      <c r="S214" s="134" t="inlineStr">
        <is>
          <t>8 -0.25%</t>
        </is>
      </c>
      <c r="T214" s="134" t="inlineStr">
        <is>
          <t>3 2.18%</t>
        </is>
      </c>
      <c r="U214" s="134" t="n">
        <v>0</v>
      </c>
    </row>
    <row customHeight="1" ht="17" r="215" s="155">
      <c r="A215" s="105" t="n">
        <v>43419</v>
      </c>
      <c r="B215" s="134" t="n">
        <v>990.691</v>
      </c>
      <c r="C215" s="152" t="n">
        <v>8.186999999999999</v>
      </c>
      <c r="D215" s="153" t="n">
        <v>0.0083</v>
      </c>
      <c r="E215" s="134" t="n">
        <v>100.021</v>
      </c>
      <c r="F215" s="134" t="n">
        <v>98.205</v>
      </c>
      <c r="G215" s="134" t="n">
        <v>79.52</v>
      </c>
      <c r="H215" s="134" t="n">
        <v>131.35</v>
      </c>
      <c r="I215" s="104" t="n">
        <v>0.3133</v>
      </c>
      <c r="J215" s="104" t="n">
        <v>0.2552</v>
      </c>
      <c r="K215" s="104" t="n">
        <v>0.0246</v>
      </c>
      <c r="L215" s="134" t="n">
        <v>19.13</v>
      </c>
      <c r="M215" s="134" t="n">
        <v>1213.57</v>
      </c>
      <c r="N215" s="104" t="n">
        <v>0.0158</v>
      </c>
      <c r="O215" s="134" t="n">
        <v>94</v>
      </c>
      <c r="P215" s="134" t="inlineStr">
        <is>
          <t>8 1.00%</t>
        </is>
      </c>
      <c r="Q215" s="134" t="inlineStr">
        <is>
          <t>46 0.84%</t>
        </is>
      </c>
      <c r="R215" s="134" t="inlineStr">
        <is>
          <t>28 0.76%</t>
        </is>
      </c>
      <c r="S215" s="134" t="inlineStr">
        <is>
          <t>9 0.86%</t>
        </is>
      </c>
      <c r="T215" s="134" t="inlineStr">
        <is>
          <t>3 0.89%</t>
        </is>
      </c>
      <c r="U215" s="134" t="n">
        <v>0</v>
      </c>
    </row>
    <row customHeight="1" ht="17" r="216" s="155">
      <c r="A216" s="105" t="n">
        <v>43420</v>
      </c>
      <c r="B216" s="134" t="n">
        <v>995.4640000000001</v>
      </c>
      <c r="C216" s="152" t="n">
        <v>4.773</v>
      </c>
      <c r="D216" s="153" t="n">
        <v>0.0048</v>
      </c>
      <c r="E216" s="134" t="n">
        <v>100.5</v>
      </c>
      <c r="F216" s="134" t="n">
        <v>99.18000000000001</v>
      </c>
      <c r="G216" s="134" t="n">
        <v>81.48999999999999</v>
      </c>
      <c r="H216" s="134" t="n">
        <v>130.89</v>
      </c>
      <c r="I216" s="104" t="n">
        <v>0.3039</v>
      </c>
      <c r="J216" s="104" t="n">
        <v>0.2387</v>
      </c>
      <c r="K216" s="104" t="n">
        <v>0.0236</v>
      </c>
      <c r="L216" s="134" t="n">
        <v>20.71</v>
      </c>
      <c r="M216" s="134" t="n">
        <v>1213.57</v>
      </c>
      <c r="N216" s="104" t="n">
        <v>0.0171</v>
      </c>
      <c r="O216" s="134" t="n">
        <v>94</v>
      </c>
      <c r="P216" s="134" t="inlineStr">
        <is>
          <t>8 0.33%</t>
        </is>
      </c>
      <c r="Q216" s="134" t="inlineStr">
        <is>
          <t>44 0.64%</t>
        </is>
      </c>
      <c r="R216" s="134" t="inlineStr">
        <is>
          <t>29 0.33%</t>
        </is>
      </c>
      <c r="S216" s="134" t="inlineStr">
        <is>
          <t>10 0.27%</t>
        </is>
      </c>
      <c r="T216" s="134" t="inlineStr">
        <is>
          <t>2 -0.01%</t>
        </is>
      </c>
      <c r="U216" s="134" t="inlineStr">
        <is>
          <t>1 2.56%</t>
        </is>
      </c>
    </row>
    <row customHeight="1" ht="17" r="217" s="155">
      <c r="A217" s="105" t="n">
        <v>43423</v>
      </c>
      <c r="B217" s="134" t="n">
        <v>996.372</v>
      </c>
      <c r="C217" s="152" t="n">
        <v>0.908</v>
      </c>
      <c r="D217" s="153" t="n">
        <v>0.0009</v>
      </c>
      <c r="E217" s="134" t="n">
        <v>100.587</v>
      </c>
      <c r="F217" s="134" t="n">
        <v>99.361</v>
      </c>
      <c r="G217" s="134" t="n">
        <v>82.2</v>
      </c>
      <c r="H217" s="134" t="n">
        <v>130.56</v>
      </c>
      <c r="I217" s="104" t="n">
        <v>0.2997</v>
      </c>
      <c r="J217" s="104" t="n">
        <v>0.2269</v>
      </c>
      <c r="K217" s="104" t="n">
        <v>0.0234</v>
      </c>
      <c r="L217" s="134" t="n">
        <v>19.43</v>
      </c>
      <c r="M217" s="134" t="n">
        <v>1213.57</v>
      </c>
      <c r="N217" s="104" t="n">
        <v>0.016</v>
      </c>
      <c r="O217" s="134" t="n">
        <v>94</v>
      </c>
      <c r="P217" s="134" t="inlineStr">
        <is>
          <t>7 0.24%</t>
        </is>
      </c>
      <c r="Q217" s="134" t="inlineStr">
        <is>
          <t>45 0.00%</t>
        </is>
      </c>
      <c r="R217" s="134" t="inlineStr">
        <is>
          <t>30 0.16%</t>
        </is>
      </c>
      <c r="S217" s="134" t="inlineStr">
        <is>
          <t>8 -0.02%</t>
        </is>
      </c>
      <c r="T217" s="134" t="inlineStr">
        <is>
          <t>3 1.15%</t>
        </is>
      </c>
      <c r="U217" s="134" t="inlineStr">
        <is>
          <t>1 -1.28%</t>
        </is>
      </c>
    </row>
    <row customHeight="1" ht="17" r="218" s="155">
      <c r="A218" s="105" t="n">
        <v>43424</v>
      </c>
      <c r="B218" s="134" t="n">
        <v>985.4059999999999</v>
      </c>
      <c r="C218" s="150" t="n">
        <v>-10.966</v>
      </c>
      <c r="D218" s="151" t="n">
        <v>-0.011</v>
      </c>
      <c r="E218" s="134" t="n">
        <v>99.464</v>
      </c>
      <c r="F218" s="134" t="n">
        <v>98.54000000000001</v>
      </c>
      <c r="G218" s="134" t="n">
        <v>79.31999999999999</v>
      </c>
      <c r="H218" s="134" t="n">
        <v>132.31</v>
      </c>
      <c r="I218" s="104" t="n">
        <v>0.3285</v>
      </c>
      <c r="J218" s="104" t="n">
        <v>0.2479</v>
      </c>
      <c r="K218" s="104" t="n">
        <v>0.0258</v>
      </c>
      <c r="L218" s="134" t="n">
        <v>11.55</v>
      </c>
      <c r="M218" s="134" t="n">
        <v>1213.57</v>
      </c>
      <c r="N218" s="104" t="n">
        <v>0.0095</v>
      </c>
      <c r="O218" s="134" t="n">
        <v>94</v>
      </c>
      <c r="P218" s="134" t="inlineStr">
        <is>
          <t>12 -1.10%</t>
        </is>
      </c>
      <c r="Q218" s="134" t="inlineStr">
        <is>
          <t>46 -0.98%</t>
        </is>
      </c>
      <c r="R218" s="134" t="inlineStr">
        <is>
          <t>25 -1.17%</t>
        </is>
      </c>
      <c r="S218" s="134" t="inlineStr">
        <is>
          <t>8 -1.28%</t>
        </is>
      </c>
      <c r="T218" s="134" t="inlineStr">
        <is>
          <t>3 -1.88%</t>
        </is>
      </c>
      <c r="U218" s="134" t="n">
        <v>0</v>
      </c>
    </row>
    <row customHeight="1" ht="17" r="219" s="155">
      <c r="A219" s="105" t="n">
        <v>43425</v>
      </c>
      <c r="B219" s="134" t="n">
        <v>986.073</v>
      </c>
      <c r="C219" s="152" t="n">
        <v>0.667</v>
      </c>
      <c r="D219" s="153" t="n">
        <v>0.0007</v>
      </c>
      <c r="E219" s="134" t="n">
        <v>99.544</v>
      </c>
      <c r="F219" s="134" t="n">
        <v>98.482</v>
      </c>
      <c r="G219" s="134" t="n">
        <v>78.56999999999999</v>
      </c>
      <c r="H219" s="134" t="n">
        <v>131.64</v>
      </c>
      <c r="I219" s="104" t="n">
        <v>0.3209</v>
      </c>
      <c r="J219" s="104" t="n">
        <v>0.2384</v>
      </c>
      <c r="K219" s="104" t="n">
        <v>0.0256</v>
      </c>
      <c r="L219" s="134" t="n">
        <v>9.41</v>
      </c>
      <c r="M219" s="134" t="n">
        <v>1213.57</v>
      </c>
      <c r="N219" s="104" t="n">
        <v>0.0078</v>
      </c>
      <c r="O219" s="134" t="n">
        <v>94</v>
      </c>
      <c r="P219" s="134" t="inlineStr">
        <is>
          <t>12 0.04%</t>
        </is>
      </c>
      <c r="Q219" s="134" t="inlineStr">
        <is>
          <t>46 0.00%</t>
        </is>
      </c>
      <c r="R219" s="134" t="inlineStr">
        <is>
          <t>25 0.05%</t>
        </is>
      </c>
      <c r="S219" s="134" t="inlineStr">
        <is>
          <t>8 0.06%</t>
        </is>
      </c>
      <c r="T219" s="134" t="inlineStr">
        <is>
          <t>2 -0.06%</t>
        </is>
      </c>
      <c r="U219" s="134" t="inlineStr">
        <is>
          <t>1 4.47%</t>
        </is>
      </c>
    </row>
    <row customHeight="1" ht="17" r="220" s="155">
      <c r="A220" s="105" t="n">
        <v>43426</v>
      </c>
      <c r="B220" s="134" t="n">
        <v>985.832</v>
      </c>
      <c r="C220" s="150" t="n">
        <v>-0.241</v>
      </c>
      <c r="D220" s="151" t="n">
        <v>-0.0002</v>
      </c>
      <c r="E220" s="134" t="n">
        <v>99.511</v>
      </c>
      <c r="F220" s="134" t="n">
        <v>98.5</v>
      </c>
      <c r="G220" s="134" t="n">
        <v>79.13</v>
      </c>
      <c r="H220" s="134" t="n">
        <v>131.11</v>
      </c>
      <c r="I220" s="104" t="n">
        <v>0.316</v>
      </c>
      <c r="J220" s="104" t="n">
        <v>0.2284</v>
      </c>
      <c r="K220" s="104" t="n">
        <v>0.0257</v>
      </c>
      <c r="L220" s="134" t="n">
        <v>8.279999999999999</v>
      </c>
      <c r="M220" s="134" t="n">
        <v>1213.57</v>
      </c>
      <c r="N220" s="104" t="n">
        <v>0.0068</v>
      </c>
      <c r="O220" s="134" t="n">
        <v>94</v>
      </c>
      <c r="P220" s="134" t="inlineStr">
        <is>
          <t>12 0.10%</t>
        </is>
      </c>
      <c r="Q220" s="134" t="inlineStr">
        <is>
          <t>45 0.04%</t>
        </is>
      </c>
      <c r="R220" s="134" t="inlineStr">
        <is>
          <t>27 -0.12%</t>
        </is>
      </c>
      <c r="S220" s="134" t="inlineStr">
        <is>
          <t>7 -0.20%</t>
        </is>
      </c>
      <c r="T220" s="134" t="inlineStr">
        <is>
          <t>2 -0.35%</t>
        </is>
      </c>
      <c r="U220" s="134" t="inlineStr">
        <is>
          <t>1 0.00%</t>
        </is>
      </c>
    </row>
    <row customHeight="1" ht="17" r="221" s="155">
      <c r="A221" s="105" t="n">
        <v>43427</v>
      </c>
      <c r="B221" s="134" t="n">
        <v>980.592</v>
      </c>
      <c r="C221" s="150" t="n">
        <v>-5.24</v>
      </c>
      <c r="D221" s="151" t="n">
        <v>-0.0053</v>
      </c>
      <c r="E221" s="134" t="n">
        <v>98.96599999999999</v>
      </c>
      <c r="F221" s="134" t="n">
        <v>97.44499999999999</v>
      </c>
      <c r="G221" s="134" t="n">
        <v>76.04000000000001</v>
      </c>
      <c r="H221" s="134" t="n">
        <v>135.04</v>
      </c>
      <c r="I221" s="104" t="n">
        <v>0.3607</v>
      </c>
      <c r="J221" s="104" t="n">
        <v>0.2825</v>
      </c>
      <c r="K221" s="104" t="n">
        <v>0.0269</v>
      </c>
      <c r="L221" s="134" t="n">
        <v>10.5</v>
      </c>
      <c r="M221" s="134" t="n">
        <v>1213.57</v>
      </c>
      <c r="N221" s="104" t="n">
        <v>0.0086</v>
      </c>
      <c r="O221" s="134" t="n">
        <v>94</v>
      </c>
      <c r="P221" s="134" t="inlineStr">
        <is>
          <t>11 -0.37%</t>
        </is>
      </c>
      <c r="Q221" s="134" t="inlineStr">
        <is>
          <t>48 -0.55%</t>
        </is>
      </c>
      <c r="R221" s="134" t="inlineStr">
        <is>
          <t>25 -0.44%</t>
        </is>
      </c>
      <c r="S221" s="134" t="inlineStr">
        <is>
          <t>7 -0.70%</t>
        </is>
      </c>
      <c r="T221" s="134" t="inlineStr">
        <is>
          <t>2 -1.16%</t>
        </is>
      </c>
      <c r="U221" s="134" t="inlineStr">
        <is>
          <t>1 -1.43%</t>
        </is>
      </c>
    </row>
    <row customHeight="1" ht="17" r="222" s="155">
      <c r="A222" s="105" t="n">
        <v>43430</v>
      </c>
      <c r="B222" s="134" t="n">
        <v>980.415</v>
      </c>
      <c r="C222" s="150" t="n">
        <v>-0.177</v>
      </c>
      <c r="D222" s="151" t="n">
        <v>-0.0002</v>
      </c>
      <c r="E222" s="134" t="n">
        <v>98.925</v>
      </c>
      <c r="F222" s="134" t="n">
        <v>97.45</v>
      </c>
      <c r="G222" s="134" t="n">
        <v>75.45999999999999</v>
      </c>
      <c r="H222" s="134" t="n">
        <v>135</v>
      </c>
      <c r="I222" s="104" t="n">
        <v>0.3607</v>
      </c>
      <c r="J222" s="104" t="n">
        <v>0.3005</v>
      </c>
      <c r="K222" s="104" t="n">
        <v>0.0269</v>
      </c>
      <c r="L222" s="134" t="n">
        <v>8.130000000000001</v>
      </c>
      <c r="M222" s="134" t="n">
        <v>1213.57</v>
      </c>
      <c r="N222" s="104" t="n">
        <v>0.0067</v>
      </c>
      <c r="O222" s="134" t="n">
        <v>94</v>
      </c>
      <c r="P222" s="134" t="inlineStr">
        <is>
          <t>11 0.31%</t>
        </is>
      </c>
      <c r="Q222" s="134" t="inlineStr">
        <is>
          <t>47 0.00%</t>
        </is>
      </c>
      <c r="R222" s="134" t="inlineStr">
        <is>
          <t>27 -0.11%</t>
        </is>
      </c>
      <c r="S222" s="134" t="inlineStr">
        <is>
          <t>6 0.35%</t>
        </is>
      </c>
      <c r="T222" s="134" t="inlineStr">
        <is>
          <t>3 -0.82%</t>
        </is>
      </c>
      <c r="U222" s="134" t="n">
        <v>0</v>
      </c>
    </row>
    <row customHeight="1" ht="17" r="223" s="155">
      <c r="A223" s="105" t="n">
        <v>43431</v>
      </c>
      <c r="B223" s="134" t="n">
        <v>982.1130000000001</v>
      </c>
      <c r="C223" s="152" t="n">
        <v>1.698</v>
      </c>
      <c r="D223" s="153" t="n">
        <v>0.0017</v>
      </c>
      <c r="E223" s="134" t="n">
        <v>99.123</v>
      </c>
      <c r="F223" s="134" t="n">
        <v>97.67</v>
      </c>
      <c r="G223" s="134" t="n">
        <v>77.06999999999999</v>
      </c>
      <c r="H223" s="134" t="n">
        <v>134.19</v>
      </c>
      <c r="I223" s="104" t="n">
        <v>0.3506</v>
      </c>
      <c r="J223" s="104" t="n">
        <v>0.291</v>
      </c>
      <c r="K223" s="104" t="n">
        <v>0.0266</v>
      </c>
      <c r="L223" s="134" t="n">
        <v>7.71</v>
      </c>
      <c r="M223" s="134" t="n">
        <v>1217.51</v>
      </c>
      <c r="N223" s="104" t="n">
        <v>0.0063</v>
      </c>
      <c r="O223" s="134" t="n">
        <v>95</v>
      </c>
      <c r="P223" s="134" t="inlineStr">
        <is>
          <t>11 0.07%</t>
        </is>
      </c>
      <c r="Q223" s="134" t="inlineStr">
        <is>
          <t>47 0.25%</t>
        </is>
      </c>
      <c r="R223" s="134" t="inlineStr">
        <is>
          <t>28 0.05%</t>
        </is>
      </c>
      <c r="S223" s="134" t="inlineStr">
        <is>
          <t>6 0.06%</t>
        </is>
      </c>
      <c r="T223" s="134" t="inlineStr">
        <is>
          <t>2 0.22%</t>
        </is>
      </c>
      <c r="U223" s="134" t="inlineStr">
        <is>
          <t>1 1.99%</t>
        </is>
      </c>
    </row>
    <row customHeight="1" ht="17" r="224" s="155">
      <c r="A224" s="105" t="n">
        <v>43432</v>
      </c>
      <c r="B224" s="134" t="n">
        <v>986.939</v>
      </c>
      <c r="C224" s="152" t="n">
        <v>4.826</v>
      </c>
      <c r="D224" s="153" t="n">
        <v>0.0049</v>
      </c>
      <c r="E224" s="134" t="n">
        <v>99.59999999999999</v>
      </c>
      <c r="F224" s="134" t="n">
        <v>98.3</v>
      </c>
      <c r="G224" s="134" t="n">
        <v>79.37</v>
      </c>
      <c r="H224" s="134" t="n">
        <v>133.13</v>
      </c>
      <c r="I224" s="104" t="n">
        <v>0.3353</v>
      </c>
      <c r="J224" s="104" t="n">
        <v>0.2699</v>
      </c>
      <c r="K224" s="104" t="n">
        <v>0.0256</v>
      </c>
      <c r="L224" s="134" t="n">
        <v>9.51</v>
      </c>
      <c r="M224" s="134" t="n">
        <v>1217.51</v>
      </c>
      <c r="N224" s="104" t="n">
        <v>0.0078</v>
      </c>
      <c r="O224" s="134" t="n">
        <v>95</v>
      </c>
      <c r="P224" s="134" t="inlineStr">
        <is>
          <t>8 0.29%</t>
        </is>
      </c>
      <c r="Q224" s="134" t="inlineStr">
        <is>
          <t>49 0.59%</t>
        </is>
      </c>
      <c r="R224" s="134" t="inlineStr">
        <is>
          <t>28 0.38%</t>
        </is>
      </c>
      <c r="S224" s="134" t="inlineStr">
        <is>
          <t>7 0.51%</t>
        </is>
      </c>
      <c r="T224" s="134" t="inlineStr">
        <is>
          <t>2 0.55%</t>
        </is>
      </c>
      <c r="U224" s="134" t="inlineStr">
        <is>
          <t>1 0.08%</t>
        </is>
      </c>
    </row>
    <row customHeight="1" ht="17" r="225" s="155">
      <c r="A225" s="105" t="n">
        <v>43433</v>
      </c>
      <c r="B225" s="134" t="n">
        <v>983.061</v>
      </c>
      <c r="C225" s="150" t="n">
        <v>-3.878</v>
      </c>
      <c r="D225" s="151" t="n">
        <v>-0.0039</v>
      </c>
      <c r="E225" s="134" t="n">
        <v>99.199</v>
      </c>
      <c r="F225" s="134" t="n">
        <v>97.72</v>
      </c>
      <c r="G225" s="134" t="n">
        <v>79.15000000000001</v>
      </c>
      <c r="H225" s="134" t="n">
        <v>135.33</v>
      </c>
      <c r="I225" s="104" t="n">
        <v>0.3613</v>
      </c>
      <c r="J225" s="104" t="n">
        <v>0.2914</v>
      </c>
      <c r="K225" s="104" t="n">
        <v>0.0264</v>
      </c>
      <c r="L225" s="134" t="n">
        <v>10.44</v>
      </c>
      <c r="M225" s="134" t="n">
        <v>1217.51</v>
      </c>
      <c r="N225" s="104" t="n">
        <v>0.0086</v>
      </c>
      <c r="O225" s="134" t="n">
        <v>95</v>
      </c>
      <c r="P225" s="134" t="inlineStr">
        <is>
          <t>10 -0.19%</t>
        </is>
      </c>
      <c r="Q225" s="134" t="inlineStr">
        <is>
          <t>48 -0.48%</t>
        </is>
      </c>
      <c r="R225" s="134" t="inlineStr">
        <is>
          <t>27 -0.07%</t>
        </is>
      </c>
      <c r="S225" s="134" t="inlineStr">
        <is>
          <t>7 -0.84%</t>
        </is>
      </c>
      <c r="T225" s="134" t="inlineStr">
        <is>
          <t>3 -0.70%</t>
        </is>
      </c>
      <c r="U225" s="134" t="n">
        <v>0</v>
      </c>
    </row>
    <row customHeight="1" ht="17" r="226" s="155">
      <c r="A226" s="105" t="n">
        <v>43434</v>
      </c>
      <c r="B226" s="134" t="n">
        <v>983.812</v>
      </c>
      <c r="C226" s="152" t="n">
        <v>0.751</v>
      </c>
      <c r="D226" s="153" t="n">
        <v>0.0008</v>
      </c>
      <c r="E226" s="134" t="n">
        <v>99.31100000000001</v>
      </c>
      <c r="F226" s="134" t="n">
        <v>97.715</v>
      </c>
      <c r="G226" s="134" t="n">
        <v>77.03</v>
      </c>
      <c r="H226" s="134" t="n">
        <v>134.14</v>
      </c>
      <c r="I226" s="104" t="n">
        <v>0.3483</v>
      </c>
      <c r="J226" s="104" t="n">
        <v>0.2747</v>
      </c>
      <c r="K226" s="104" t="n">
        <v>0.0261</v>
      </c>
      <c r="L226" s="134" t="n">
        <v>8.609999999999999</v>
      </c>
      <c r="M226" s="134" t="n">
        <v>1242.51</v>
      </c>
      <c r="N226" s="104" t="n">
        <v>0.0069</v>
      </c>
      <c r="O226" s="134" t="n">
        <v>96</v>
      </c>
      <c r="P226" s="134" t="inlineStr">
        <is>
          <t>9 0.12%</t>
        </is>
      </c>
      <c r="Q226" s="134" t="inlineStr">
        <is>
          <t>48 0.00%</t>
        </is>
      </c>
      <c r="R226" s="134" t="inlineStr">
        <is>
          <t>30 0.04%</t>
        </is>
      </c>
      <c r="S226" s="134" t="inlineStr">
        <is>
          <t>6 0.37%</t>
        </is>
      </c>
      <c r="T226" s="134" t="inlineStr">
        <is>
          <t>2 0.60%</t>
        </is>
      </c>
      <c r="U226" s="134" t="inlineStr">
        <is>
          <t>1 0.77%</t>
        </is>
      </c>
    </row>
    <row customHeight="1" ht="17" r="227" s="155">
      <c r="A227" s="105" t="n">
        <v>43437</v>
      </c>
      <c r="B227" s="134" t="n">
        <v>993.9160000000001</v>
      </c>
      <c r="C227" s="152" t="n">
        <v>10.104</v>
      </c>
      <c r="D227" s="153" t="n">
        <v>0.0103</v>
      </c>
      <c r="E227" s="134" t="n">
        <v>100.344</v>
      </c>
      <c r="F227" s="134" t="n">
        <v>98.91</v>
      </c>
      <c r="G227" s="134" t="n">
        <v>80.66</v>
      </c>
      <c r="H227" s="134" t="n">
        <v>131.58</v>
      </c>
      <c r="I227" s="104" t="n">
        <v>0.3124</v>
      </c>
      <c r="J227" s="104" t="n">
        <v>0.2322</v>
      </c>
      <c r="K227" s="104" t="n">
        <v>0.0242</v>
      </c>
      <c r="L227" s="134" t="n">
        <v>21.61</v>
      </c>
      <c r="M227" s="134" t="n">
        <v>1249.48</v>
      </c>
      <c r="N227" s="104" t="n">
        <v>0.0173</v>
      </c>
      <c r="O227" s="134" t="n">
        <v>97</v>
      </c>
      <c r="P227" s="134" t="inlineStr">
        <is>
          <t>8 0.42%</t>
        </is>
      </c>
      <c r="Q227" s="134" t="inlineStr">
        <is>
          <t>44 0.86%</t>
        </is>
      </c>
      <c r="R227" s="134" t="inlineStr">
        <is>
          <t>33 1.27%</t>
        </is>
      </c>
      <c r="S227" s="134" t="inlineStr">
        <is>
          <t>9 1.58%</t>
        </is>
      </c>
      <c r="T227" s="134" t="inlineStr">
        <is>
          <t>2 0.93%</t>
        </is>
      </c>
      <c r="U227" s="134" t="inlineStr">
        <is>
          <t>1 2.61%</t>
        </is>
      </c>
    </row>
    <row customHeight="1" ht="17" r="228" s="155">
      <c r="A228" s="105" t="n">
        <v>43438</v>
      </c>
      <c r="B228" s="134" t="n">
        <v>994.807</v>
      </c>
      <c r="C228" s="152" t="n">
        <v>0.891</v>
      </c>
      <c r="D228" s="153" t="n">
        <v>0.0009</v>
      </c>
      <c r="E228" s="134" t="n">
        <v>100.456</v>
      </c>
      <c r="F228" s="134" t="n">
        <v>99.37</v>
      </c>
      <c r="G228" s="134" t="n">
        <v>80.66</v>
      </c>
      <c r="H228" s="134" t="n">
        <v>131.03</v>
      </c>
      <c r="I228" s="104" t="n">
        <v>0.3057</v>
      </c>
      <c r="J228" s="104" t="n">
        <v>0.2269</v>
      </c>
      <c r="K228" s="104" t="n">
        <v>0.024</v>
      </c>
      <c r="L228" s="134" t="n">
        <v>13.35</v>
      </c>
      <c r="M228" s="134" t="n">
        <v>1254.18</v>
      </c>
      <c r="N228" s="104" t="n">
        <v>0.0106</v>
      </c>
      <c r="O228" s="134" t="n">
        <v>98</v>
      </c>
      <c r="P228" s="134" t="inlineStr">
        <is>
          <t>7 0.35%</t>
        </is>
      </c>
      <c r="Q228" s="134" t="inlineStr">
        <is>
          <t>47 0.11%</t>
        </is>
      </c>
      <c r="R228" s="134" t="inlineStr">
        <is>
          <t>33 0.00%</t>
        </is>
      </c>
      <c r="S228" s="134" t="inlineStr">
        <is>
          <t>8 0.06%</t>
        </is>
      </c>
      <c r="T228" s="134" t="inlineStr">
        <is>
          <t>2 0.36%</t>
        </is>
      </c>
      <c r="U228" s="134" t="inlineStr">
        <is>
          <t>1 -0.07%</t>
        </is>
      </c>
    </row>
    <row customHeight="1" ht="17" r="229" s="155">
      <c r="A229" s="105" t="n">
        <v>43439</v>
      </c>
      <c r="B229" s="134" t="n">
        <v>995.104</v>
      </c>
      <c r="C229" s="152" t="n">
        <v>0.297</v>
      </c>
      <c r="D229" s="153" t="n">
        <v>0.0003</v>
      </c>
      <c r="E229" s="134" t="n">
        <v>100.489</v>
      </c>
      <c r="F229" s="134" t="n">
        <v>99.239</v>
      </c>
      <c r="G229" s="134" t="n">
        <v>80.18000000000001</v>
      </c>
      <c r="H229" s="134" t="n">
        <v>132.08</v>
      </c>
      <c r="I229" s="104" t="n">
        <v>0.316</v>
      </c>
      <c r="J229" s="104" t="n">
        <v>0.2339</v>
      </c>
      <c r="K229" s="104" t="n">
        <v>0.0239</v>
      </c>
      <c r="L229" s="134" t="n">
        <v>13.41</v>
      </c>
      <c r="M229" s="134" t="n">
        <v>1254.18</v>
      </c>
      <c r="N229" s="104" t="n">
        <v>0.0107</v>
      </c>
      <c r="O229" s="134" t="n">
        <v>98</v>
      </c>
      <c r="P229" s="134" t="inlineStr">
        <is>
          <t>5 0.13%</t>
        </is>
      </c>
      <c r="Q229" s="134" t="inlineStr">
        <is>
          <t>48 0.02%</t>
        </is>
      </c>
      <c r="R229" s="134" t="inlineStr">
        <is>
          <t>34 -0.04%</t>
        </is>
      </c>
      <c r="S229" s="134" t="inlineStr">
        <is>
          <t>8 0.02%</t>
        </is>
      </c>
      <c r="T229" s="134" t="inlineStr">
        <is>
          <t>2 0.10%</t>
        </is>
      </c>
      <c r="U229" s="134" t="inlineStr">
        <is>
          <t>1 2.50%</t>
        </is>
      </c>
    </row>
    <row customHeight="1" ht="17" r="230" s="155">
      <c r="A230" s="105" t="n">
        <v>43440</v>
      </c>
      <c r="B230" s="134" t="n">
        <v>992.569</v>
      </c>
      <c r="C230" s="150" t="n">
        <v>-2.535</v>
      </c>
      <c r="D230" s="151" t="n">
        <v>-0.0026</v>
      </c>
      <c r="E230" s="134" t="n">
        <v>100.206</v>
      </c>
      <c r="F230" s="134" t="n">
        <v>98.89</v>
      </c>
      <c r="G230" s="134" t="n">
        <v>78.22</v>
      </c>
      <c r="H230" s="134" t="n">
        <v>133.92</v>
      </c>
      <c r="I230" s="104" t="n">
        <v>0.3371</v>
      </c>
      <c r="J230" s="104" t="n">
        <v>0.2714</v>
      </c>
      <c r="K230" s="104" t="n">
        <v>0.0244</v>
      </c>
      <c r="L230" s="134" t="n">
        <v>13.45</v>
      </c>
      <c r="M230" s="134" t="n">
        <v>1254.18</v>
      </c>
      <c r="N230" s="104" t="n">
        <v>0.0107</v>
      </c>
      <c r="O230" s="134" t="n">
        <v>98</v>
      </c>
      <c r="P230" s="134" t="inlineStr">
        <is>
          <t>5 -0.01%</t>
        </is>
      </c>
      <c r="Q230" s="134" t="inlineStr">
        <is>
          <t>48 -0.07%</t>
        </is>
      </c>
      <c r="R230" s="134" t="inlineStr">
        <is>
          <t>35 -0.39%</t>
        </is>
      </c>
      <c r="S230" s="134" t="inlineStr">
        <is>
          <t>7 -0.54%</t>
        </is>
      </c>
      <c r="T230" s="134" t="inlineStr">
        <is>
          <t>2 -0.94%</t>
        </is>
      </c>
      <c r="U230" s="134" t="inlineStr">
        <is>
          <t>1 -2.30%</t>
        </is>
      </c>
    </row>
    <row customHeight="1" ht="17" r="231" s="155">
      <c r="A231" s="105" t="n">
        <v>43441</v>
      </c>
      <c r="B231" s="134" t="n">
        <v>992.764</v>
      </c>
      <c r="C231" s="152" t="n">
        <v>0.195</v>
      </c>
      <c r="D231" s="153" t="n">
        <v>0.0002</v>
      </c>
      <c r="E231" s="134" t="n">
        <v>100.178</v>
      </c>
      <c r="F231" s="134" t="n">
        <v>98.84</v>
      </c>
      <c r="G231" s="134" t="n">
        <v>79.95</v>
      </c>
      <c r="H231" s="134" t="n">
        <v>133.42</v>
      </c>
      <c r="I231" s="104" t="n">
        <v>0.3324</v>
      </c>
      <c r="J231" s="104" t="n">
        <v>0.277</v>
      </c>
      <c r="K231" s="104" t="n">
        <v>0.0244</v>
      </c>
      <c r="L231" s="134" t="n">
        <v>8.17</v>
      </c>
      <c r="M231" s="134" t="n">
        <v>1253.94</v>
      </c>
      <c r="N231" s="104" t="n">
        <v>0.0065</v>
      </c>
      <c r="O231" s="134" t="n">
        <v>97</v>
      </c>
      <c r="P231" s="134" t="inlineStr">
        <is>
          <t>2 0.44%</t>
        </is>
      </c>
      <c r="Q231" s="134" t="inlineStr">
        <is>
          <t>54 0.15%</t>
        </is>
      </c>
      <c r="R231" s="134" t="inlineStr">
        <is>
          <t>31 -0.15%</t>
        </is>
      </c>
      <c r="S231" s="134" t="inlineStr">
        <is>
          <t>7 0.87%</t>
        </is>
      </c>
      <c r="T231" s="134" t="inlineStr">
        <is>
          <t>2 0.25%</t>
        </is>
      </c>
      <c r="U231" s="134" t="inlineStr">
        <is>
          <t>1 -0.82%</t>
        </is>
      </c>
    </row>
    <row customHeight="1" ht="17" r="232" s="155">
      <c r="A232" s="105" t="n">
        <v>43444</v>
      </c>
      <c r="B232" s="134" t="n">
        <v>988.376</v>
      </c>
      <c r="C232" s="150" t="n">
        <v>-4.388</v>
      </c>
      <c r="D232" s="151" t="n">
        <v>-0.0044</v>
      </c>
      <c r="E232" s="134" t="n">
        <v>99.831</v>
      </c>
      <c r="F232" s="134" t="n">
        <v>98.595</v>
      </c>
      <c r="G232" s="134" t="n">
        <v>79.45999999999999</v>
      </c>
      <c r="H232" s="134" t="n">
        <v>134.13</v>
      </c>
      <c r="I232" s="104" t="n">
        <v>0.343</v>
      </c>
      <c r="J232" s="104" t="n">
        <v>0.2788</v>
      </c>
      <c r="K232" s="104" t="n">
        <v>0.0252</v>
      </c>
      <c r="L232" s="134" t="n">
        <v>10.68</v>
      </c>
      <c r="M232" s="134" t="n">
        <v>1261.3</v>
      </c>
      <c r="N232" s="104" t="n">
        <v>0.008500000000000001</v>
      </c>
      <c r="O232" s="134" t="n">
        <v>100</v>
      </c>
      <c r="P232" s="134" t="inlineStr">
        <is>
          <t>6 -0.23%</t>
        </is>
      </c>
      <c r="Q232" s="134" t="inlineStr">
        <is>
          <t>53 -0.39%</t>
        </is>
      </c>
      <c r="R232" s="134" t="inlineStr">
        <is>
          <t>32 -0.56%</t>
        </is>
      </c>
      <c r="S232" s="134" t="inlineStr">
        <is>
          <t>6 -0.43%</t>
        </is>
      </c>
      <c r="T232" s="134" t="inlineStr">
        <is>
          <t>3 -0.76%</t>
        </is>
      </c>
      <c r="U232" s="134" t="n">
        <v>0</v>
      </c>
    </row>
    <row customHeight="1" ht="17" r="233" s="155">
      <c r="A233" s="105" t="n">
        <v>43445</v>
      </c>
      <c r="B233" s="134" t="n">
        <v>987.923</v>
      </c>
      <c r="C233" s="150" t="n">
        <v>-0.453</v>
      </c>
      <c r="D233" s="151" t="n">
        <v>-0.0005</v>
      </c>
      <c r="E233" s="134" t="n">
        <v>99.782</v>
      </c>
      <c r="F233" s="134" t="n">
        <v>98.66</v>
      </c>
      <c r="G233" s="134" t="n">
        <v>81.34</v>
      </c>
      <c r="H233" s="134" t="n">
        <v>132.55</v>
      </c>
      <c r="I233" s="104" t="n">
        <v>0.3276</v>
      </c>
      <c r="J233" s="104" t="n">
        <v>0.2577</v>
      </c>
      <c r="K233" s="104" t="n">
        <v>0.0253</v>
      </c>
      <c r="L233" s="134" t="n">
        <v>13.88</v>
      </c>
      <c r="M233" s="134" t="n">
        <v>1284.29</v>
      </c>
      <c r="N233" s="104" t="n">
        <v>0.0108</v>
      </c>
      <c r="O233" s="134" t="n">
        <v>101</v>
      </c>
      <c r="P233" s="134" t="inlineStr">
        <is>
          <t>6 -0.06%</t>
        </is>
      </c>
      <c r="Q233" s="134" t="inlineStr">
        <is>
          <t>54 -0.11%</t>
        </is>
      </c>
      <c r="R233" s="134" t="inlineStr">
        <is>
          <t>32 0.24%</t>
        </is>
      </c>
      <c r="S233" s="134" t="inlineStr">
        <is>
          <t>6 -0.12%</t>
        </is>
      </c>
      <c r="T233" s="134" t="inlineStr">
        <is>
          <t>2 0.01%</t>
        </is>
      </c>
      <c r="U233" s="134" t="inlineStr">
        <is>
          <t>1 0.15%</t>
        </is>
      </c>
    </row>
    <row customHeight="1" ht="17" r="234" s="155">
      <c r="A234" s="105" t="n">
        <v>43446</v>
      </c>
      <c r="B234" s="134" t="n">
        <v>988.328</v>
      </c>
      <c r="C234" s="152" t="n">
        <v>0.405</v>
      </c>
      <c r="D234" s="153" t="n">
        <v>0.0004</v>
      </c>
      <c r="E234" s="134" t="n">
        <v>99.878</v>
      </c>
      <c r="F234" s="134" t="n">
        <v>98.84999999999999</v>
      </c>
      <c r="G234" s="134" t="n">
        <v>82.02</v>
      </c>
      <c r="H234" s="134" t="n">
        <v>131.15</v>
      </c>
      <c r="I234" s="104" t="n">
        <v>0.3127</v>
      </c>
      <c r="J234" s="104" t="n">
        <v>0.2296</v>
      </c>
      <c r="K234" s="104" t="n">
        <v>0.0252</v>
      </c>
      <c r="L234" s="134" t="n">
        <v>12.21</v>
      </c>
      <c r="M234" s="134" t="n">
        <v>1288.49</v>
      </c>
      <c r="N234" s="104" t="n">
        <v>0.0095</v>
      </c>
      <c r="O234" s="134" t="n">
        <v>102</v>
      </c>
      <c r="P234" s="134" t="inlineStr">
        <is>
          <t>6 -0.08%</t>
        </is>
      </c>
      <c r="Q234" s="134" t="inlineStr">
        <is>
          <t>53 0.03%</t>
        </is>
      </c>
      <c r="R234" s="134" t="inlineStr">
        <is>
          <t>33 0.15%</t>
        </is>
      </c>
      <c r="S234" s="134" t="inlineStr">
        <is>
          <t>7 -0.09%</t>
        </is>
      </c>
      <c r="T234" s="134" t="inlineStr">
        <is>
          <t>3 -0.17%</t>
        </is>
      </c>
      <c r="U234" s="134" t="n">
        <v>0</v>
      </c>
    </row>
    <row customHeight="1" ht="17" r="235" s="155">
      <c r="A235" s="105" t="n">
        <v>43447</v>
      </c>
      <c r="B235" s="134" t="n">
        <v>993.261</v>
      </c>
      <c r="C235" s="152" t="n">
        <v>4.933</v>
      </c>
      <c r="D235" s="153" t="n">
        <v>0.005</v>
      </c>
      <c r="E235" s="134" t="n">
        <v>100.396</v>
      </c>
      <c r="F235" s="134" t="n">
        <v>99.3</v>
      </c>
      <c r="G235" s="134" t="n">
        <v>83.51000000000001</v>
      </c>
      <c r="H235" s="134" t="n">
        <v>130.71</v>
      </c>
      <c r="I235" s="104" t="n">
        <v>0.3032</v>
      </c>
      <c r="J235" s="104" t="n">
        <v>0.2307</v>
      </c>
      <c r="K235" s="104" t="n">
        <v>0.0241</v>
      </c>
      <c r="L235" s="134" t="n">
        <v>19.5</v>
      </c>
      <c r="M235" s="134" t="n">
        <v>1323.24</v>
      </c>
      <c r="N235" s="104" t="n">
        <v>0.0147</v>
      </c>
      <c r="O235" s="134" t="n">
        <v>103</v>
      </c>
      <c r="P235" s="134" t="inlineStr">
        <is>
          <t>6 0.39%</t>
        </is>
      </c>
      <c r="Q235" s="134" t="inlineStr">
        <is>
          <t>49 0.34%</t>
        </is>
      </c>
      <c r="R235" s="134" t="inlineStr">
        <is>
          <t>36 0.60%</t>
        </is>
      </c>
      <c r="S235" s="134" t="inlineStr">
        <is>
          <t>9 0.85%</t>
        </is>
      </c>
      <c r="T235" s="134" t="inlineStr">
        <is>
          <t>3 1.07%</t>
        </is>
      </c>
      <c r="U235" s="134" t="n">
        <v>0</v>
      </c>
    </row>
    <row customHeight="1" ht="17" r="236" s="155">
      <c r="A236" s="105" t="n">
        <v>43448</v>
      </c>
      <c r="B236" s="134" t="n">
        <v>989.5650000000001</v>
      </c>
      <c r="C236" s="150" t="n">
        <v>-3.696</v>
      </c>
      <c r="D236" s="151" t="n">
        <v>-0.0037</v>
      </c>
      <c r="E236" s="134" t="n">
        <v>100.016</v>
      </c>
      <c r="F236" s="134" t="n">
        <v>99.09999999999999</v>
      </c>
      <c r="G236" s="134" t="n">
        <v>81.84999999999999</v>
      </c>
      <c r="H236" s="134" t="n">
        <v>133.18</v>
      </c>
      <c r="I236" s="104" t="n">
        <v>0.3316</v>
      </c>
      <c r="J236" s="104" t="n">
        <v>0.2578</v>
      </c>
      <c r="K236" s="104" t="n">
        <v>0.0249</v>
      </c>
      <c r="L236" s="134" t="n">
        <v>11.61</v>
      </c>
      <c r="M236" s="134" t="n">
        <v>1323.24</v>
      </c>
      <c r="N236" s="104" t="n">
        <v>0.008800000000000001</v>
      </c>
      <c r="O236" s="134" t="n">
        <v>103</v>
      </c>
      <c r="P236" s="134" t="inlineStr">
        <is>
          <t>6 -0.26%</t>
        </is>
      </c>
      <c r="Q236" s="134" t="inlineStr">
        <is>
          <t>52 -0.38%</t>
        </is>
      </c>
      <c r="R236" s="134" t="inlineStr">
        <is>
          <t>36 -0.33%</t>
        </is>
      </c>
      <c r="S236" s="134" t="inlineStr">
        <is>
          <t>6 -0.55%</t>
        </is>
      </c>
      <c r="T236" s="134" t="inlineStr">
        <is>
          <t>3 -0.63%</t>
        </is>
      </c>
      <c r="U236" s="134" t="n">
        <v>0</v>
      </c>
    </row>
    <row customHeight="1" ht="17" r="237" s="155">
      <c r="A237" s="105" t="n">
        <v>43451</v>
      </c>
      <c r="B237" s="134" t="n">
        <v>987.4450000000001</v>
      </c>
      <c r="C237" s="150" t="n">
        <v>-2.12</v>
      </c>
      <c r="D237" s="151" t="n">
        <v>-0.0021</v>
      </c>
      <c r="E237" s="134" t="n">
        <v>99.79900000000001</v>
      </c>
      <c r="F237" s="134" t="n">
        <v>98.59999999999999</v>
      </c>
      <c r="G237" s="134" t="n">
        <v>81.98999999999999</v>
      </c>
      <c r="H237" s="134" t="n">
        <v>133.07</v>
      </c>
      <c r="I237" s="104" t="n">
        <v>0.3327</v>
      </c>
      <c r="J237" s="104" t="n">
        <v>0.2538</v>
      </c>
      <c r="K237" s="104" t="n">
        <v>0.0254</v>
      </c>
      <c r="L237" s="134" t="n">
        <v>9.94</v>
      </c>
      <c r="M237" s="134" t="n">
        <v>1323.24</v>
      </c>
      <c r="N237" s="104" t="n">
        <v>0.0075</v>
      </c>
      <c r="O237" s="134" t="n">
        <v>103</v>
      </c>
      <c r="P237" s="134" t="inlineStr">
        <is>
          <t>7 -0.45%</t>
        </is>
      </c>
      <c r="Q237" s="134" t="inlineStr">
        <is>
          <t>52 -0.17%</t>
        </is>
      </c>
      <c r="R237" s="134" t="inlineStr">
        <is>
          <t>36 -0.29%</t>
        </is>
      </c>
      <c r="S237" s="134" t="inlineStr">
        <is>
          <t>5 -0.20%</t>
        </is>
      </c>
      <c r="T237" s="134" t="inlineStr">
        <is>
          <t>3 0.35%</t>
        </is>
      </c>
      <c r="U237" s="134" t="n">
        <v>0</v>
      </c>
    </row>
    <row customHeight="1" ht="17" r="238" s="155">
      <c r="A238" s="105" t="n">
        <v>43452</v>
      </c>
      <c r="B238" s="134" t="n">
        <v>983.519</v>
      </c>
      <c r="C238" s="150" t="n">
        <v>-3.926</v>
      </c>
      <c r="D238" s="151" t="n">
        <v>-0.004</v>
      </c>
      <c r="E238" s="134" t="n">
        <v>99.387</v>
      </c>
      <c r="F238" s="134" t="n">
        <v>98.48999999999999</v>
      </c>
      <c r="G238" s="134" t="n">
        <v>81.04000000000001</v>
      </c>
      <c r="H238" s="134" t="n">
        <v>133.35</v>
      </c>
      <c r="I238" s="104" t="n">
        <v>0.3396</v>
      </c>
      <c r="J238" s="104" t="n">
        <v>0.2544</v>
      </c>
      <c r="K238" s="104" t="n">
        <v>0.0262</v>
      </c>
      <c r="L238" s="134" t="n">
        <v>11.01</v>
      </c>
      <c r="M238" s="134" t="n">
        <v>1323.24</v>
      </c>
      <c r="N238" s="104" t="n">
        <v>0.0083</v>
      </c>
      <c r="O238" s="134" t="n">
        <v>103</v>
      </c>
      <c r="P238" s="134" t="inlineStr">
        <is>
          <t>8 -0.43%</t>
        </is>
      </c>
      <c r="Q238" s="134" t="inlineStr">
        <is>
          <t>55 -0.37%</t>
        </is>
      </c>
      <c r="R238" s="134" t="inlineStr">
        <is>
          <t>32 -0.35%</t>
        </is>
      </c>
      <c r="S238" s="134" t="inlineStr">
        <is>
          <t>5 -0.51%</t>
        </is>
      </c>
      <c r="T238" s="134" t="inlineStr">
        <is>
          <t>3 -0.47%</t>
        </is>
      </c>
      <c r="U238" s="134" t="n">
        <v>0</v>
      </c>
    </row>
    <row customHeight="1" ht="17" r="239" s="155">
      <c r="A239" s="105" t="n">
        <v>43453</v>
      </c>
      <c r="B239" s="134" t="n">
        <v>979.476</v>
      </c>
      <c r="C239" s="150" t="n">
        <v>-4.043</v>
      </c>
      <c r="D239" s="151" t="n">
        <v>-0.0041</v>
      </c>
      <c r="E239" s="134" t="n">
        <v>98.991</v>
      </c>
      <c r="F239" s="134" t="n">
        <v>98.295</v>
      </c>
      <c r="G239" s="134" t="n">
        <v>80.48999999999999</v>
      </c>
      <c r="H239" s="134" t="n">
        <v>133.81</v>
      </c>
      <c r="I239" s="104" t="n">
        <v>0.3482</v>
      </c>
      <c r="J239" s="104" t="n">
        <v>0.2512</v>
      </c>
      <c r="K239" s="104" t="n">
        <v>0.0271</v>
      </c>
      <c r="L239" s="134" t="n">
        <v>15.89</v>
      </c>
      <c r="M239" s="134" t="n">
        <v>1358.67</v>
      </c>
      <c r="N239" s="104" t="n">
        <v>0.0117</v>
      </c>
      <c r="O239" s="134" t="n">
        <v>104</v>
      </c>
      <c r="P239" s="134" t="inlineStr">
        <is>
          <t>9 -0.32%</t>
        </is>
      </c>
      <c r="Q239" s="134" t="inlineStr">
        <is>
          <t>54 -0.42%</t>
        </is>
      </c>
      <c r="R239" s="134" t="inlineStr">
        <is>
          <t>35 -0.31%</t>
        </is>
      </c>
      <c r="S239" s="134" t="inlineStr">
        <is>
          <t>3 -1.01%</t>
        </is>
      </c>
      <c r="T239" s="134" t="inlineStr">
        <is>
          <t>3 -1.15%</t>
        </is>
      </c>
      <c r="U239" s="134" t="n">
        <v>0</v>
      </c>
    </row>
    <row customHeight="1" ht="17" r="240" s="155">
      <c r="A240" s="105" t="n">
        <v>43454</v>
      </c>
      <c r="B240" s="134" t="n">
        <v>976.208</v>
      </c>
      <c r="C240" s="150" t="n">
        <v>-3.268</v>
      </c>
      <c r="D240" s="151" t="n">
        <v>-0.0033</v>
      </c>
      <c r="E240" s="134" t="n">
        <v>98.658</v>
      </c>
      <c r="F240" s="134" t="n">
        <v>98.09</v>
      </c>
      <c r="G240" s="134" t="n">
        <v>80.09</v>
      </c>
      <c r="H240" s="134" t="n">
        <v>132.64</v>
      </c>
      <c r="I240" s="104" t="n">
        <v>0.3399</v>
      </c>
      <c r="J240" s="104" t="n">
        <v>0.2545</v>
      </c>
      <c r="K240" s="104" t="n">
        <v>0.0278</v>
      </c>
      <c r="L240" s="134" t="n">
        <v>14.4</v>
      </c>
      <c r="M240" s="134" t="n">
        <v>1358.67</v>
      </c>
      <c r="N240" s="104" t="n">
        <v>0.0106</v>
      </c>
      <c r="O240" s="134" t="n">
        <v>104</v>
      </c>
      <c r="P240" s="134" t="inlineStr">
        <is>
          <t>11 -0.67%</t>
        </is>
      </c>
      <c r="Q240" s="134" t="inlineStr">
        <is>
          <t>56 -0.37%</t>
        </is>
      </c>
      <c r="R240" s="134" t="inlineStr">
        <is>
          <t>32 -0.31%</t>
        </is>
      </c>
      <c r="S240" s="134" t="inlineStr">
        <is>
          <t>2 -1.18%</t>
        </is>
      </c>
      <c r="T240" s="134" t="inlineStr">
        <is>
          <t>3 -0.28%</t>
        </is>
      </c>
      <c r="U240" s="134" t="n">
        <v>0</v>
      </c>
    </row>
    <row customHeight="1" ht="17" r="241" s="155">
      <c r="A241" s="105" t="n">
        <v>43455</v>
      </c>
      <c r="B241" s="134" t="n">
        <v>971.206</v>
      </c>
      <c r="C241" s="150" t="n">
        <v>-5.002</v>
      </c>
      <c r="D241" s="151" t="n">
        <v>-0.0051</v>
      </c>
      <c r="E241" s="134" t="n">
        <v>98.015</v>
      </c>
      <c r="F241" s="134" t="n">
        <v>97.626</v>
      </c>
      <c r="G241" s="134" t="n">
        <v>79.2</v>
      </c>
      <c r="H241" s="134" t="n">
        <v>132.31</v>
      </c>
      <c r="I241" s="104" t="n">
        <v>0.3429</v>
      </c>
      <c r="J241" s="104" t="n">
        <v>0.2629</v>
      </c>
      <c r="K241" s="104" t="n">
        <v>0.0292</v>
      </c>
      <c r="L241" s="134" t="n">
        <v>15.53</v>
      </c>
      <c r="M241" s="134" t="n">
        <v>1371</v>
      </c>
      <c r="N241" s="104" t="n">
        <v>0.0113</v>
      </c>
      <c r="O241" s="134" t="n">
        <v>106</v>
      </c>
      <c r="P241" s="134" t="inlineStr">
        <is>
          <t>12 -0.54%</t>
        </is>
      </c>
      <c r="Q241" s="134" t="inlineStr">
        <is>
          <t>56 -0.47%</t>
        </is>
      </c>
      <c r="R241" s="134" t="inlineStr">
        <is>
          <t>34 -0.42%</t>
        </is>
      </c>
      <c r="S241" s="134" t="inlineStr">
        <is>
          <t>2 -2.04%</t>
        </is>
      </c>
      <c r="T241" s="134" t="inlineStr">
        <is>
          <t>2 -1.73%</t>
        </is>
      </c>
      <c r="U241" s="134" t="n">
        <v>0</v>
      </c>
    </row>
    <row customHeight="1" ht="17" r="242" s="155">
      <c r="A242" s="105" t="n">
        <v>43458</v>
      </c>
      <c r="B242" s="134" t="n">
        <v>972.294</v>
      </c>
      <c r="C242" s="152" t="n">
        <v>1.088</v>
      </c>
      <c r="D242" s="153" t="n">
        <v>0.0011</v>
      </c>
      <c r="E242" s="134" t="n">
        <v>98.11499999999999</v>
      </c>
      <c r="F242" s="134" t="n">
        <v>97.761</v>
      </c>
      <c r="G242" s="134" t="n">
        <v>80.40000000000001</v>
      </c>
      <c r="H242" s="134" t="n">
        <v>130.69</v>
      </c>
      <c r="I242" s="104" t="n">
        <v>0.3257</v>
      </c>
      <c r="J242" s="104" t="n">
        <v>0.2286</v>
      </c>
      <c r="K242" s="104" t="n">
        <v>0.029</v>
      </c>
      <c r="L242" s="134" t="n">
        <v>11.22</v>
      </c>
      <c r="M242" s="134" t="n">
        <v>1371</v>
      </c>
      <c r="N242" s="104" t="n">
        <v>0.008200000000000001</v>
      </c>
      <c r="O242" s="134" t="n">
        <v>106</v>
      </c>
      <c r="P242" s="134" t="inlineStr">
        <is>
          <t>12 0.03%</t>
        </is>
      </c>
      <c r="Q242" s="134" t="inlineStr">
        <is>
          <t>56 0.07%</t>
        </is>
      </c>
      <c r="R242" s="134" t="inlineStr">
        <is>
          <t>34 0.20%</t>
        </is>
      </c>
      <c r="S242" s="134" t="inlineStr">
        <is>
          <t>2 -0.32%</t>
        </is>
      </c>
      <c r="T242" s="134" t="inlineStr">
        <is>
          <t>2 0.25%</t>
        </is>
      </c>
      <c r="U242" s="134" t="n">
        <v>0</v>
      </c>
    </row>
    <row customHeight="1" ht="17" r="243" s="155">
      <c r="A243" s="105" t="n">
        <v>43459</v>
      </c>
      <c r="B243" s="134" t="n">
        <v>968.99</v>
      </c>
      <c r="C243" s="150" t="n">
        <v>-3.304</v>
      </c>
      <c r="D243" s="151" t="n">
        <v>-0.0034</v>
      </c>
      <c r="E243" s="134" t="n">
        <v>97.771</v>
      </c>
      <c r="F243" s="134" t="n">
        <v>97.505</v>
      </c>
      <c r="G243" s="134" t="n">
        <v>79.37</v>
      </c>
      <c r="H243" s="134" t="n">
        <v>131.14</v>
      </c>
      <c r="I243" s="104" t="n">
        <v>0.3337</v>
      </c>
      <c r="J243" s="104" t="n">
        <v>0.2465</v>
      </c>
      <c r="K243" s="104" t="n">
        <v>0.0297</v>
      </c>
      <c r="L243" s="134" t="n">
        <v>15.76</v>
      </c>
      <c r="M243" s="134" t="n">
        <v>1375.39</v>
      </c>
      <c r="N243" s="104" t="n">
        <v>0.0115</v>
      </c>
      <c r="O243" s="134" t="n">
        <v>107</v>
      </c>
      <c r="P243" s="134" t="inlineStr">
        <is>
          <t>12 -0.21%</t>
        </is>
      </c>
      <c r="Q243" s="134" t="inlineStr">
        <is>
          <t>59 -0.46%</t>
        </is>
      </c>
      <c r="R243" s="134" t="inlineStr">
        <is>
          <t>32 -0.10%</t>
        </is>
      </c>
      <c r="S243" s="134" t="inlineStr">
        <is>
          <t>2 -0.97%</t>
        </is>
      </c>
      <c r="T243" s="134" t="inlineStr">
        <is>
          <t>2 0.32%</t>
        </is>
      </c>
      <c r="U243" s="134" t="n">
        <v>0</v>
      </c>
    </row>
    <row customHeight="1" ht="17" r="244" s="155">
      <c r="A244" s="105" t="n">
        <v>43460</v>
      </c>
      <c r="B244" s="134" t="n">
        <v>968.769</v>
      </c>
      <c r="C244" s="150" t="n">
        <v>-0.221</v>
      </c>
      <c r="D244" s="151" t="n">
        <v>-0.0002</v>
      </c>
      <c r="E244" s="134" t="n">
        <v>97.733</v>
      </c>
      <c r="F244" s="134" t="n">
        <v>97.3</v>
      </c>
      <c r="G244" s="134" t="n">
        <v>79.56</v>
      </c>
      <c r="H244" s="134" t="n">
        <v>130.95</v>
      </c>
      <c r="I244" s="104" t="n">
        <v>0.3322</v>
      </c>
      <c r="J244" s="104" t="n">
        <v>0.2393</v>
      </c>
      <c r="K244" s="104" t="n">
        <v>0.0296</v>
      </c>
      <c r="L244" s="134" t="n">
        <v>14.11</v>
      </c>
      <c r="M244" s="134" t="n">
        <v>1375.93</v>
      </c>
      <c r="N244" s="104" t="n">
        <v>0.0103</v>
      </c>
      <c r="O244" s="134" t="n">
        <v>107</v>
      </c>
      <c r="P244" s="134" t="inlineStr">
        <is>
          <t>11 0.15%</t>
        </is>
      </c>
      <c r="Q244" s="134" t="inlineStr">
        <is>
          <t>60 0.16%</t>
        </is>
      </c>
      <c r="R244" s="134" t="inlineStr">
        <is>
          <t>33 -0.35%</t>
        </is>
      </c>
      <c r="S244" s="134" t="inlineStr">
        <is>
          <t>1 -1.30%</t>
        </is>
      </c>
      <c r="T244" s="134" t="inlineStr">
        <is>
          <t>2 0.55%</t>
        </is>
      </c>
      <c r="U244" s="134" t="n">
        <v>0</v>
      </c>
    </row>
    <row customHeight="1" ht="17" r="245" s="155">
      <c r="A245" s="105" t="n">
        <v>43461</v>
      </c>
      <c r="B245" s="134" t="n">
        <v>967.801</v>
      </c>
      <c r="C245" s="150" t="n">
        <v>-0.968</v>
      </c>
      <c r="D245" s="151" t="n">
        <v>-0.001</v>
      </c>
      <c r="E245" s="134" t="n">
        <v>97.7</v>
      </c>
      <c r="F245" s="134" t="n">
        <v>97.51000000000001</v>
      </c>
      <c r="G245" s="134" t="n">
        <v>79.06999999999999</v>
      </c>
      <c r="H245" s="134" t="n">
        <v>132.64</v>
      </c>
      <c r="I245" s="104" t="n">
        <v>0.3494</v>
      </c>
      <c r="J245" s="104" t="n">
        <v>0.2422</v>
      </c>
      <c r="K245" s="104" t="n">
        <v>0.0298</v>
      </c>
      <c r="L245" s="134" t="n">
        <v>12.32</v>
      </c>
      <c r="M245" s="134" t="n">
        <v>1380.54</v>
      </c>
      <c r="N245" s="104" t="n">
        <v>0.0089</v>
      </c>
      <c r="O245" s="134" t="n">
        <v>109</v>
      </c>
      <c r="P245" s="134" t="inlineStr">
        <is>
          <t>10 -0.11%</t>
        </is>
      </c>
      <c r="Q245" s="134" t="inlineStr">
        <is>
          <t>63 -0.25%</t>
        </is>
      </c>
      <c r="R245" s="134" t="inlineStr">
        <is>
          <t>33 0.04%</t>
        </is>
      </c>
      <c r="S245" s="134" t="inlineStr">
        <is>
          <t>1 -0.41%</t>
        </is>
      </c>
      <c r="T245" s="134" t="inlineStr">
        <is>
          <t>2 -0.79%</t>
        </is>
      </c>
      <c r="U245" s="134" t="n">
        <v>0</v>
      </c>
    </row>
    <row customHeight="1" ht="17" r="246" s="155">
      <c r="A246" s="105" t="n">
        <v>43462</v>
      </c>
      <c r="B246" s="134" t="n">
        <v>969.254</v>
      </c>
      <c r="C246" s="152" t="n">
        <v>1.453</v>
      </c>
      <c r="D246" s="153" t="n">
        <v>0.0015</v>
      </c>
      <c r="E246" s="134" t="n">
        <v>97.79600000000001</v>
      </c>
      <c r="F246" s="134" t="n">
        <v>97.602</v>
      </c>
      <c r="G246" s="134" t="n">
        <v>79.19</v>
      </c>
      <c r="H246" s="134" t="n">
        <v>132.55</v>
      </c>
      <c r="I246" s="104" t="n">
        <v>0.3475</v>
      </c>
      <c r="J246" s="104" t="n">
        <v>0.2417</v>
      </c>
      <c r="K246" s="104" t="n">
        <v>0.0297</v>
      </c>
      <c r="L246" s="134" t="n">
        <v>12.44</v>
      </c>
      <c r="M246" s="134" t="n">
        <v>1383.74</v>
      </c>
      <c r="N246" s="104" t="n">
        <v>0.008999999999999999</v>
      </c>
      <c r="O246" s="134" t="n">
        <v>110</v>
      </c>
      <c r="P246" s="134" t="inlineStr">
        <is>
          <t>10 0.10%</t>
        </is>
      </c>
      <c r="Q246" s="134" t="inlineStr">
        <is>
          <t>64 0.15%</t>
        </is>
      </c>
      <c r="R246" s="134" t="inlineStr">
        <is>
          <t>33 0.29%</t>
        </is>
      </c>
      <c r="S246" s="134" t="inlineStr">
        <is>
          <t>1 0.76%</t>
        </is>
      </c>
      <c r="T246" s="134" t="inlineStr">
        <is>
          <t>2 -0.32%</t>
        </is>
      </c>
      <c r="U246" s="134" t="n">
        <v>0</v>
      </c>
    </row>
    <row customHeight="1" ht="17" r="247" s="155">
      <c r="A247" s="105" t="n">
        <v>43467</v>
      </c>
      <c r="B247" s="134" t="n">
        <v>966.912</v>
      </c>
      <c r="C247" s="150" t="n">
        <v>-2.342</v>
      </c>
      <c r="D247" s="151" t="n">
        <v>-0.0024</v>
      </c>
      <c r="E247" s="134" t="n">
        <v>97.598</v>
      </c>
      <c r="F247" s="134" t="n">
        <v>97.20999999999999</v>
      </c>
      <c r="G247" s="134" t="n">
        <v>79.31999999999999</v>
      </c>
      <c r="H247" s="134" t="n">
        <v>132.1</v>
      </c>
      <c r="I247" s="104" t="n">
        <v>0.3451</v>
      </c>
      <c r="J247" s="104" t="n">
        <v>0.2263</v>
      </c>
      <c r="K247" s="104" t="n">
        <v>0.0302</v>
      </c>
      <c r="L247" s="134" t="n">
        <v>13.91</v>
      </c>
      <c r="M247" s="134" t="n">
        <v>1412.04</v>
      </c>
      <c r="N247" s="104" t="n">
        <v>0.009900000000000001</v>
      </c>
      <c r="O247" s="134" t="n">
        <v>111</v>
      </c>
      <c r="P247" s="134" t="inlineStr">
        <is>
          <t>11 0.04%</t>
        </is>
      </c>
      <c r="Q247" s="134" t="inlineStr">
        <is>
          <t>62 -0.23%</t>
        </is>
      </c>
      <c r="R247" s="134" t="inlineStr">
        <is>
          <t>35 -0.29%</t>
        </is>
      </c>
      <c r="S247" s="134" t="inlineStr">
        <is>
          <t>2 -0.78%</t>
        </is>
      </c>
      <c r="T247" s="134" t="inlineStr">
        <is>
          <t>1 -1.29%</t>
        </is>
      </c>
      <c r="U247" s="134" t="n">
        <v>0</v>
      </c>
    </row>
    <row customHeight="1" ht="17" r="248" s="155">
      <c r="A248" s="105" t="n">
        <v>43468</v>
      </c>
      <c r="B248" s="134" t="n">
        <v>968.799</v>
      </c>
      <c r="C248" s="152" t="n">
        <v>1.887</v>
      </c>
      <c r="D248" s="153" t="n">
        <v>0.002</v>
      </c>
      <c r="E248" s="134" t="n">
        <v>97.78</v>
      </c>
      <c r="F248" s="134" t="n">
        <v>97.06</v>
      </c>
      <c r="G248" s="134" t="n">
        <v>79.31999999999999</v>
      </c>
      <c r="H248" s="134" t="n">
        <v>133.47</v>
      </c>
      <c r="I248" s="104" t="n">
        <v>0.3569</v>
      </c>
      <c r="J248" s="104" t="n">
        <v>0.2495</v>
      </c>
      <c r="K248" s="104" t="n">
        <v>0.0297</v>
      </c>
      <c r="L248" s="134" t="n">
        <v>14.58</v>
      </c>
      <c r="M248" s="134" t="n">
        <v>1412.04</v>
      </c>
      <c r="N248" s="104" t="n">
        <v>0.0103</v>
      </c>
      <c r="O248" s="134" t="n">
        <v>111</v>
      </c>
      <c r="P248" s="134" t="inlineStr">
        <is>
          <t>11 0.71%</t>
        </is>
      </c>
      <c r="Q248" s="134" t="inlineStr">
        <is>
          <t>64 0.05%</t>
        </is>
      </c>
      <c r="R248" s="134" t="inlineStr">
        <is>
          <t>33 0.32%</t>
        </is>
      </c>
      <c r="S248" s="134" t="inlineStr">
        <is>
          <t>2 0.36%</t>
        </is>
      </c>
      <c r="T248" s="134" t="inlineStr">
        <is>
          <t>1 -0.78%</t>
        </is>
      </c>
      <c r="U248" s="134" t="n">
        <v>0</v>
      </c>
    </row>
    <row customHeight="1" ht="17" r="249" s="155">
      <c r="A249" s="105" t="n">
        <v>43469</v>
      </c>
      <c r="B249" s="134" t="n">
        <v>977.196</v>
      </c>
      <c r="C249" s="152" t="n">
        <v>8.397</v>
      </c>
      <c r="D249" s="153" t="n">
        <v>0.008699999999999999</v>
      </c>
      <c r="E249" s="134" t="n">
        <v>98.631</v>
      </c>
      <c r="F249" s="134" t="n">
        <v>97.77</v>
      </c>
      <c r="G249" s="134" t="n">
        <v>82.09</v>
      </c>
      <c r="H249" s="134" t="n">
        <v>131.7</v>
      </c>
      <c r="I249" s="104" t="n">
        <v>0.3307</v>
      </c>
      <c r="J249" s="104" t="n">
        <v>0.2268</v>
      </c>
      <c r="K249" s="104" t="n">
        <v>0.0279</v>
      </c>
      <c r="L249" s="134" t="n">
        <v>18.1</v>
      </c>
      <c r="M249" s="134" t="n">
        <v>1412.04</v>
      </c>
      <c r="N249" s="104" t="n">
        <v>0.0128</v>
      </c>
      <c r="O249" s="134" t="n">
        <v>111</v>
      </c>
      <c r="P249" s="134" t="inlineStr">
        <is>
          <t>11 0.33%</t>
        </is>
      </c>
      <c r="Q249" s="134" t="inlineStr">
        <is>
          <t>59 0.82%</t>
        </is>
      </c>
      <c r="R249" s="134" t="inlineStr">
        <is>
          <t>36 0.90%</t>
        </is>
      </c>
      <c r="S249" s="134" t="inlineStr">
        <is>
          <t>4 2.76%</t>
        </is>
      </c>
      <c r="T249" s="134" t="inlineStr">
        <is>
          <t>1 0.70%</t>
        </is>
      </c>
      <c r="U249" s="134" t="n">
        <v>0</v>
      </c>
    </row>
    <row customHeight="1" ht="17" r="250" s="155">
      <c r="A250" s="105" t="n">
        <v>43472</v>
      </c>
      <c r="B250" s="134" t="n">
        <v>988.973</v>
      </c>
      <c r="C250" s="152" t="n">
        <v>11.777</v>
      </c>
      <c r="D250" s="153" t="n">
        <v>0.0121</v>
      </c>
      <c r="E250" s="134" t="n">
        <v>99.84699999999999</v>
      </c>
      <c r="F250" s="134" t="n">
        <v>98.5</v>
      </c>
      <c r="G250" s="134" t="n">
        <v>83.39</v>
      </c>
      <c r="H250" s="134" t="n">
        <v>132.14</v>
      </c>
      <c r="I250" s="104" t="n">
        <v>0.3229</v>
      </c>
      <c r="J250" s="104" t="n">
        <v>0.2143</v>
      </c>
      <c r="K250" s="104" t="n">
        <v>0.0255</v>
      </c>
      <c r="L250" s="134" t="n">
        <v>21.5</v>
      </c>
      <c r="M250" s="134" t="n">
        <v>1412.04</v>
      </c>
      <c r="N250" s="104" t="n">
        <v>0.0152</v>
      </c>
      <c r="O250" s="134" t="n">
        <v>111</v>
      </c>
      <c r="P250" s="134" t="inlineStr">
        <is>
          <t>8 0.60%</t>
        </is>
      </c>
      <c r="Q250" s="134" t="inlineStr">
        <is>
          <t>56 0.74%</t>
        </is>
      </c>
      <c r="R250" s="134" t="inlineStr">
        <is>
          <t>38 1.37%</t>
        </is>
      </c>
      <c r="S250" s="134" t="inlineStr">
        <is>
          <t>5 2.88%</t>
        </is>
      </c>
      <c r="T250" s="134" t="inlineStr">
        <is>
          <t>4 4.13%</t>
        </is>
      </c>
      <c r="U250" s="134" t="n">
        <v>0</v>
      </c>
    </row>
    <row customHeight="1" ht="17" r="251" s="155">
      <c r="A251" s="105" t="n">
        <v>43473</v>
      </c>
      <c r="B251" s="134" t="n">
        <v>991.244</v>
      </c>
      <c r="C251" s="152" t="n">
        <v>2.271</v>
      </c>
      <c r="D251" s="153" t="n">
        <v>0.0023</v>
      </c>
      <c r="E251" s="134" t="n">
        <v>100.036</v>
      </c>
      <c r="F251" s="134" t="n">
        <v>98.45099999999999</v>
      </c>
      <c r="G251" s="134" t="n">
        <v>82.54000000000001</v>
      </c>
      <c r="H251" s="134" t="n">
        <v>132.55</v>
      </c>
      <c r="I251" s="104" t="n">
        <v>0.3252</v>
      </c>
      <c r="J251" s="104" t="n">
        <v>0.21</v>
      </c>
      <c r="K251" s="104" t="n">
        <v>0.0251</v>
      </c>
      <c r="L251" s="134" t="n">
        <v>22.88</v>
      </c>
      <c r="M251" s="134" t="n">
        <v>1415.34</v>
      </c>
      <c r="N251" s="104" t="n">
        <v>0.0162</v>
      </c>
      <c r="O251" s="134" t="n">
        <v>112</v>
      </c>
      <c r="P251" s="134" t="inlineStr">
        <is>
          <t>8 0.57%</t>
        </is>
      </c>
      <c r="Q251" s="134" t="inlineStr">
        <is>
          <t>57 0.23%</t>
        </is>
      </c>
      <c r="R251" s="134" t="inlineStr">
        <is>
          <t>37 0.10%</t>
        </is>
      </c>
      <c r="S251" s="134" t="inlineStr">
        <is>
          <t>6 0.46%</t>
        </is>
      </c>
      <c r="T251" s="134" t="inlineStr">
        <is>
          <t>4 0.37%</t>
        </is>
      </c>
      <c r="U251" s="134" t="n">
        <v>0</v>
      </c>
    </row>
    <row customHeight="1" ht="17" r="252" s="155">
      <c r="A252" s="105" t="n">
        <v>43474</v>
      </c>
      <c r="B252" s="134" t="n">
        <v>997.404</v>
      </c>
      <c r="C252" s="152" t="n">
        <v>6.16</v>
      </c>
      <c r="D252" s="153" t="n">
        <v>0.0062</v>
      </c>
      <c r="E252" s="134" t="n">
        <v>100.651</v>
      </c>
      <c r="F252" s="134" t="n">
        <v>99.545</v>
      </c>
      <c r="G252" s="134" t="n">
        <v>82.06</v>
      </c>
      <c r="H252" s="134" t="n">
        <v>133.38</v>
      </c>
      <c r="I252" s="104" t="n">
        <v>0.3273</v>
      </c>
      <c r="J252" s="104" t="n">
        <v>0.2228</v>
      </c>
      <c r="K252" s="104" t="n">
        <v>0.0238</v>
      </c>
      <c r="L252" s="134" t="n">
        <v>33.39</v>
      </c>
      <c r="M252" s="134" t="n">
        <v>1415.34</v>
      </c>
      <c r="N252" s="104" t="n">
        <v>0.0236</v>
      </c>
      <c r="O252" s="134" t="n">
        <v>112</v>
      </c>
      <c r="P252" s="134" t="inlineStr">
        <is>
          <t>4 0.33%</t>
        </is>
      </c>
      <c r="Q252" s="134" t="inlineStr">
        <is>
          <t>58 0.58%</t>
        </is>
      </c>
      <c r="R252" s="134" t="inlineStr">
        <is>
          <t>38 0.58%</t>
        </is>
      </c>
      <c r="S252" s="134" t="inlineStr">
        <is>
          <t>8 1.82%</t>
        </is>
      </c>
      <c r="T252" s="134" t="inlineStr">
        <is>
          <t>4 -0.57%</t>
        </is>
      </c>
      <c r="U252" s="134" t="n">
        <v>0</v>
      </c>
    </row>
    <row customHeight="1" ht="17" r="253" s="155">
      <c r="A253" s="105" t="n">
        <v>43475</v>
      </c>
      <c r="B253" s="134" t="n">
        <v>999.763</v>
      </c>
      <c r="C253" s="152" t="n">
        <v>2.359</v>
      </c>
      <c r="D253" s="153" t="n">
        <v>0.0024</v>
      </c>
      <c r="E253" s="134" t="n">
        <v>100.884</v>
      </c>
      <c r="F253" s="134" t="n">
        <v>99.8</v>
      </c>
      <c r="G253" s="134" t="n">
        <v>83.81999999999999</v>
      </c>
      <c r="H253" s="134" t="n">
        <v>133.96</v>
      </c>
      <c r="I253" s="104" t="n">
        <v>0.3308</v>
      </c>
      <c r="J253" s="104" t="n">
        <v>0.2225</v>
      </c>
      <c r="K253" s="104" t="n">
        <v>0.0233</v>
      </c>
      <c r="L253" s="134" t="n">
        <v>28.61</v>
      </c>
      <c r="M253" s="134" t="n">
        <v>1417.83</v>
      </c>
      <c r="N253" s="104" t="n">
        <v>0.0202</v>
      </c>
      <c r="O253" s="134" t="n">
        <v>113</v>
      </c>
      <c r="P253" s="134" t="inlineStr">
        <is>
          <t>4 0.20%</t>
        </is>
      </c>
      <c r="Q253" s="134" t="inlineStr">
        <is>
          <t>56 0.24%</t>
        </is>
      </c>
      <c r="R253" s="134" t="inlineStr">
        <is>
          <t>40 0.24%</t>
        </is>
      </c>
      <c r="S253" s="134" t="inlineStr">
        <is>
          <t>10 -0.54%</t>
        </is>
      </c>
      <c r="T253" s="134" t="inlineStr">
        <is>
          <t>2 -0.09%</t>
        </is>
      </c>
      <c r="U253" s="134" t="inlineStr">
        <is>
          <t>1 8.74%</t>
        </is>
      </c>
    </row>
    <row customHeight="1" ht="17" r="254" s="155">
      <c r="A254" s="105" t="n">
        <v>43476</v>
      </c>
      <c r="B254" s="134" t="n">
        <v>1003.562</v>
      </c>
      <c r="C254" s="152" t="n">
        <v>3.799</v>
      </c>
      <c r="D254" s="153" t="n">
        <v>0.0038</v>
      </c>
      <c r="E254" s="134" t="n">
        <v>101.256</v>
      </c>
      <c r="F254" s="134" t="n">
        <v>99.81</v>
      </c>
      <c r="G254" s="134" t="n">
        <v>83.81999999999999</v>
      </c>
      <c r="H254" s="134" t="n">
        <v>133.79</v>
      </c>
      <c r="I254" s="104" t="n">
        <v>0.3253</v>
      </c>
      <c r="J254" s="104" t="n">
        <v>0.2171</v>
      </c>
      <c r="K254" s="104" t="n">
        <v>0.0225</v>
      </c>
      <c r="L254" s="134" t="n">
        <v>27.4</v>
      </c>
      <c r="M254" s="134" t="n">
        <v>1417.83</v>
      </c>
      <c r="N254" s="104" t="n">
        <v>0.0193</v>
      </c>
      <c r="O254" s="134" t="n">
        <v>113</v>
      </c>
      <c r="P254" s="134" t="inlineStr">
        <is>
          <t>3 1.31%</t>
        </is>
      </c>
      <c r="Q254" s="134" t="inlineStr">
        <is>
          <t>56 0.35%</t>
        </is>
      </c>
      <c r="R254" s="134" t="inlineStr">
        <is>
          <t>40 0.38%</t>
        </is>
      </c>
      <c r="S254" s="134" t="inlineStr">
        <is>
          <t>11 0.57%</t>
        </is>
      </c>
      <c r="T254" s="134" t="inlineStr">
        <is>
          <t>2 0.45%</t>
        </is>
      </c>
      <c r="U254" s="134" t="inlineStr">
        <is>
          <t>1 -1.80%</t>
        </is>
      </c>
    </row>
    <row customHeight="1" ht="17" r="255" s="155">
      <c r="A255" s="105" t="n">
        <v>43479</v>
      </c>
      <c r="B255" s="134" t="n">
        <v>1000.736</v>
      </c>
      <c r="C255" s="150" t="n">
        <v>-2.826</v>
      </c>
      <c r="D255" s="151" t="n">
        <v>-0.0028</v>
      </c>
      <c r="E255" s="134" t="n">
        <v>100.952</v>
      </c>
      <c r="F255" s="134" t="n">
        <v>99.911</v>
      </c>
      <c r="G255" s="134" t="n">
        <v>83.28</v>
      </c>
      <c r="H255" s="134" t="n">
        <v>133.85</v>
      </c>
      <c r="I255" s="104" t="n">
        <v>0.329</v>
      </c>
      <c r="J255" s="104" t="n">
        <v>0.2185</v>
      </c>
      <c r="K255" s="104" t="n">
        <v>0.0231</v>
      </c>
      <c r="L255" s="134" t="n">
        <v>20.48</v>
      </c>
      <c r="M255" s="134" t="n">
        <v>1423.16</v>
      </c>
      <c r="N255" s="104" t="n">
        <v>0.0144</v>
      </c>
      <c r="O255" s="134" t="n">
        <v>114</v>
      </c>
      <c r="P255" s="134" t="inlineStr">
        <is>
          <t>3 0.50%</t>
        </is>
      </c>
      <c r="Q255" s="134" t="inlineStr">
        <is>
          <t>55 -0.11%</t>
        </is>
      </c>
      <c r="R255" s="134" t="inlineStr">
        <is>
          <t>44 -0.46%</t>
        </is>
      </c>
      <c r="S255" s="134" t="inlineStr">
        <is>
          <t>9 -0.69%</t>
        </is>
      </c>
      <c r="T255" s="134" t="inlineStr">
        <is>
          <t>2 0.11%</t>
        </is>
      </c>
      <c r="U255" s="134" t="inlineStr">
        <is>
          <t>1 -1.05%</t>
        </is>
      </c>
    </row>
    <row customHeight="1" ht="17" r="256" s="155">
      <c r="A256" s="105" t="n">
        <v>43480</v>
      </c>
      <c r="B256" s="134" t="n">
        <v>1005.964</v>
      </c>
      <c r="C256" s="152" t="n">
        <v>5.228</v>
      </c>
      <c r="D256" s="153" t="n">
        <v>0.0052</v>
      </c>
      <c r="E256" s="134" t="n">
        <v>101.473</v>
      </c>
      <c r="F256" s="134" t="n">
        <v>100.425</v>
      </c>
      <c r="G256" s="134" t="n">
        <v>83.88</v>
      </c>
      <c r="H256" s="134" t="n">
        <v>133.54</v>
      </c>
      <c r="I256" s="104" t="n">
        <v>0.3207</v>
      </c>
      <c r="J256" s="104" t="n">
        <v>0.2086</v>
      </c>
      <c r="K256" s="104" t="n">
        <v>0.022</v>
      </c>
      <c r="L256" s="134" t="n">
        <v>21.96</v>
      </c>
      <c r="M256" s="134" t="n">
        <v>1423.16</v>
      </c>
      <c r="N256" s="104" t="n">
        <v>0.0154</v>
      </c>
      <c r="O256" s="134" t="n">
        <v>114</v>
      </c>
      <c r="P256" s="134" t="inlineStr">
        <is>
          <t>1 0.17%</t>
        </is>
      </c>
      <c r="Q256" s="134" t="inlineStr">
        <is>
          <t>52 0.36%</t>
        </is>
      </c>
      <c r="R256" s="134" t="inlineStr">
        <is>
          <t>48 0.77%</t>
        </is>
      </c>
      <c r="S256" s="134" t="inlineStr">
        <is>
          <t>10 0.17%</t>
        </is>
      </c>
      <c r="T256" s="134" t="inlineStr">
        <is>
          <t>3 0.57%</t>
        </is>
      </c>
      <c r="U256" s="134" t="n">
        <v>0</v>
      </c>
    </row>
    <row customHeight="1" ht="17" r="257" s="155">
      <c r="A257" s="105" t="n">
        <v>43481</v>
      </c>
      <c r="B257" s="134" t="n">
        <v>1007.354</v>
      </c>
      <c r="C257" s="152" t="n">
        <v>1.39</v>
      </c>
      <c r="D257" s="153" t="n">
        <v>0.0014</v>
      </c>
      <c r="E257" s="134" t="n">
        <v>101.623</v>
      </c>
      <c r="F257" s="134" t="n">
        <v>100.51</v>
      </c>
      <c r="G257" s="134" t="n">
        <v>83.97</v>
      </c>
      <c r="H257" s="134" t="n">
        <v>134.38</v>
      </c>
      <c r="I257" s="104" t="n">
        <v>0.3276</v>
      </c>
      <c r="J257" s="104" t="n">
        <v>0.2042</v>
      </c>
      <c r="K257" s="104" t="n">
        <v>0.0218</v>
      </c>
      <c r="L257" s="134" t="n">
        <v>20.83</v>
      </c>
      <c r="M257" s="134" t="n">
        <v>1423.16</v>
      </c>
      <c r="N257" s="104" t="n">
        <v>0.0146</v>
      </c>
      <c r="O257" s="134" t="n">
        <v>114</v>
      </c>
      <c r="P257" s="134" t="inlineStr">
        <is>
          <t>2 -0.15%</t>
        </is>
      </c>
      <c r="Q257" s="134" t="inlineStr">
        <is>
          <t>52 0.11%</t>
        </is>
      </c>
      <c r="R257" s="134" t="inlineStr">
        <is>
          <t>47 0.11%</t>
        </is>
      </c>
      <c r="S257" s="134" t="inlineStr">
        <is>
          <t>10 -0.01%</t>
        </is>
      </c>
      <c r="T257" s="134" t="inlineStr">
        <is>
          <t>2 -0.45%</t>
        </is>
      </c>
      <c r="U257" s="134" t="inlineStr">
        <is>
          <t>1 6.08%</t>
        </is>
      </c>
    </row>
    <row customHeight="1" ht="17" r="258" s="155">
      <c r="A258" s="105" t="n">
        <v>43482</v>
      </c>
      <c r="B258" s="134" t="n">
        <v>1004.229</v>
      </c>
      <c r="C258" s="150" t="n">
        <v>-3.125</v>
      </c>
      <c r="D258" s="151" t="n">
        <v>-0.0031</v>
      </c>
      <c r="E258" s="134" t="n">
        <v>101.302</v>
      </c>
      <c r="F258" s="134" t="n">
        <v>99.964</v>
      </c>
      <c r="G258" s="134" t="n">
        <v>82.98</v>
      </c>
      <c r="H258" s="134" t="n">
        <v>135.23</v>
      </c>
      <c r="I258" s="104" t="n">
        <v>0.3393</v>
      </c>
      <c r="J258" s="104" t="n">
        <v>0.2227</v>
      </c>
      <c r="K258" s="104" t="n">
        <v>0.0224</v>
      </c>
      <c r="L258" s="134" t="n">
        <v>18.16</v>
      </c>
      <c r="M258" s="134" t="n">
        <v>1423.16</v>
      </c>
      <c r="N258" s="104" t="n">
        <v>0.0128</v>
      </c>
      <c r="O258" s="134" t="n">
        <v>114</v>
      </c>
      <c r="P258" s="134" t="inlineStr">
        <is>
          <t>4 -0.29%</t>
        </is>
      </c>
      <c r="Q258" s="134" t="inlineStr">
        <is>
          <t>54 -0.39%</t>
        </is>
      </c>
      <c r="R258" s="134" t="inlineStr">
        <is>
          <t>42 -0.22%</t>
        </is>
      </c>
      <c r="S258" s="134" t="inlineStr">
        <is>
          <t>11 -0.15%</t>
        </is>
      </c>
      <c r="T258" s="134" t="inlineStr">
        <is>
          <t>2 -0.37%</t>
        </is>
      </c>
      <c r="U258" s="134" t="inlineStr">
        <is>
          <t>1 -1.73%</t>
        </is>
      </c>
    </row>
    <row customHeight="1" ht="17" r="259" s="155">
      <c r="A259" s="105" t="n">
        <v>43483</v>
      </c>
      <c r="B259" s="134" t="n">
        <v>1006.155</v>
      </c>
      <c r="C259" s="152" t="n">
        <v>1.926</v>
      </c>
      <c r="D259" s="153" t="n">
        <v>0.0019</v>
      </c>
      <c r="E259" s="134" t="n">
        <v>101.497</v>
      </c>
      <c r="F259" s="134" t="n">
        <v>100.267</v>
      </c>
      <c r="G259" s="134" t="n">
        <v>83.16</v>
      </c>
      <c r="H259" s="134" t="n">
        <v>134.64</v>
      </c>
      <c r="I259" s="104" t="n">
        <v>0.3315</v>
      </c>
      <c r="J259" s="104" t="n">
        <v>0.2141</v>
      </c>
      <c r="K259" s="104" t="n">
        <v>0.022</v>
      </c>
      <c r="L259" s="134" t="n">
        <v>18.19</v>
      </c>
      <c r="M259" s="134" t="n">
        <v>1423.16</v>
      </c>
      <c r="N259" s="104" t="n">
        <v>0.0128</v>
      </c>
      <c r="O259" s="134" t="n">
        <v>114</v>
      </c>
      <c r="P259" s="134" t="inlineStr">
        <is>
          <t>4 -0.06%</t>
        </is>
      </c>
      <c r="Q259" s="134" t="inlineStr">
        <is>
          <t>49 0.01%</t>
        </is>
      </c>
      <c r="R259" s="134" t="inlineStr">
        <is>
          <t>45 0.29%</t>
        </is>
      </c>
      <c r="S259" s="134" t="inlineStr">
        <is>
          <t>13 1.75%</t>
        </is>
      </c>
      <c r="T259" s="134" t="inlineStr">
        <is>
          <t>2 1.00%</t>
        </is>
      </c>
      <c r="U259" s="134" t="inlineStr">
        <is>
          <t>1 -3.26%</t>
        </is>
      </c>
    </row>
    <row customHeight="1" ht="17" r="260" s="155">
      <c r="A260" s="105" t="n">
        <v>43486</v>
      </c>
      <c r="B260" s="134" t="n">
        <v>1008.709</v>
      </c>
      <c r="C260" s="152" t="n">
        <v>2.554</v>
      </c>
      <c r="D260" s="153" t="n">
        <v>0.0025</v>
      </c>
      <c r="E260" s="134" t="n">
        <v>101.883</v>
      </c>
      <c r="F260" s="134" t="n">
        <v>100.5</v>
      </c>
      <c r="G260" s="134" t="n">
        <v>85.84</v>
      </c>
      <c r="H260" s="134" t="n">
        <v>133.38</v>
      </c>
      <c r="I260" s="104" t="n">
        <v>0.315</v>
      </c>
      <c r="J260" s="104" t="n">
        <v>0.2173</v>
      </c>
      <c r="K260" s="104" t="n">
        <v>0.0213</v>
      </c>
      <c r="L260" s="134" t="n">
        <v>24.31</v>
      </c>
      <c r="M260" s="134" t="n">
        <v>1453.23</v>
      </c>
      <c r="N260" s="104" t="n">
        <v>0.0167</v>
      </c>
      <c r="O260" s="134" t="n">
        <v>115</v>
      </c>
      <c r="P260" s="134" t="inlineStr">
        <is>
          <t>4 -0.11%</t>
        </is>
      </c>
      <c r="Q260" s="134" t="inlineStr">
        <is>
          <t>48 0.03%</t>
        </is>
      </c>
      <c r="R260" s="134" t="inlineStr">
        <is>
          <t>45 0.35%</t>
        </is>
      </c>
      <c r="S260" s="134" t="inlineStr">
        <is>
          <t>15 1.58%</t>
        </is>
      </c>
      <c r="T260" s="134" t="inlineStr">
        <is>
          <t>2 -0.07%</t>
        </is>
      </c>
      <c r="U260" s="134" t="inlineStr">
        <is>
          <t>1 -0.51%</t>
        </is>
      </c>
    </row>
    <row customHeight="1" ht="17" r="261" s="155">
      <c r="A261" s="105" t="n">
        <v>43487</v>
      </c>
      <c r="B261" s="134" t="n">
        <v>1005.616</v>
      </c>
      <c r="C261" s="150" t="n">
        <v>-3.093</v>
      </c>
      <c r="D261" s="151" t="n">
        <v>-0.0031</v>
      </c>
      <c r="E261" s="134" t="n">
        <v>101.599</v>
      </c>
      <c r="F261" s="134" t="n">
        <v>100.23</v>
      </c>
      <c r="G261" s="134" t="n">
        <v>85.47</v>
      </c>
      <c r="H261" s="134" t="n">
        <v>133.94</v>
      </c>
      <c r="I261" s="104" t="n">
        <v>0.3235</v>
      </c>
      <c r="J261" s="104" t="n">
        <v>0.2284</v>
      </c>
      <c r="K261" s="104" t="n">
        <v>0.0218</v>
      </c>
      <c r="L261" s="134" t="n">
        <v>20.99</v>
      </c>
      <c r="M261" s="134" t="n">
        <v>1460.66</v>
      </c>
      <c r="N261" s="104" t="n">
        <v>0.0144</v>
      </c>
      <c r="O261" s="134" t="n">
        <v>117</v>
      </c>
      <c r="P261" s="134" t="inlineStr">
        <is>
          <t>4 -0.12%</t>
        </is>
      </c>
      <c r="Q261" s="134" t="inlineStr">
        <is>
          <t>52 -0.25%</t>
        </is>
      </c>
      <c r="R261" s="134" t="inlineStr">
        <is>
          <t>44 -0.17%</t>
        </is>
      </c>
      <c r="S261" s="134" t="inlineStr">
        <is>
          <t>14 -0.94%</t>
        </is>
      </c>
      <c r="T261" s="134" t="inlineStr">
        <is>
          <t>2 -0.90%</t>
        </is>
      </c>
      <c r="U261" s="134" t="inlineStr">
        <is>
          <t>1 0.07%</t>
        </is>
      </c>
    </row>
    <row customHeight="1" ht="17" r="262" s="155">
      <c r="A262" s="105" t="n">
        <v>43488</v>
      </c>
      <c r="B262" s="134" t="n">
        <v>1006.876</v>
      </c>
      <c r="C262" s="152" t="n">
        <v>1.26</v>
      </c>
      <c r="D262" s="153" t="n">
        <v>0.0013</v>
      </c>
      <c r="E262" s="134" t="n">
        <v>101.734</v>
      </c>
      <c r="F262" s="134" t="n">
        <v>100.24</v>
      </c>
      <c r="G262" s="134" t="n">
        <v>85.51000000000001</v>
      </c>
      <c r="H262" s="134" t="n">
        <v>133.78</v>
      </c>
      <c r="I262" s="104" t="n">
        <v>0.3205</v>
      </c>
      <c r="J262" s="104" t="n">
        <v>0.2295</v>
      </c>
      <c r="K262" s="104" t="n">
        <v>0.0216</v>
      </c>
      <c r="L262" s="134" t="n">
        <v>17.26</v>
      </c>
      <c r="M262" s="134" t="n">
        <v>1460.66</v>
      </c>
      <c r="N262" s="104" t="n">
        <v>0.0118</v>
      </c>
      <c r="O262" s="134" t="n">
        <v>117</v>
      </c>
      <c r="P262" s="134" t="inlineStr">
        <is>
          <t>6 -0.22%</t>
        </is>
      </c>
      <c r="Q262" s="134" t="inlineStr">
        <is>
          <t>50 -0.03%</t>
        </is>
      </c>
      <c r="R262" s="134" t="inlineStr">
        <is>
          <t>43 0.24%</t>
        </is>
      </c>
      <c r="S262" s="134" t="inlineStr">
        <is>
          <t>15 0.29%</t>
        </is>
      </c>
      <c r="T262" s="134" t="inlineStr">
        <is>
          <t>3 0.18%</t>
        </is>
      </c>
      <c r="U262" s="134" t="n">
        <v>0</v>
      </c>
    </row>
    <row customHeight="1" ht="17" r="263" s="155">
      <c r="A263" s="105" t="n">
        <v>43489</v>
      </c>
      <c r="B263" s="134" t="n">
        <v>1012.153</v>
      </c>
      <c r="C263" s="152" t="n">
        <v>5.277</v>
      </c>
      <c r="D263" s="153" t="n">
        <v>0.0052</v>
      </c>
      <c r="E263" s="134" t="n">
        <v>102.256</v>
      </c>
      <c r="F263" s="134" t="n">
        <v>100.365</v>
      </c>
      <c r="G263" s="134" t="n">
        <v>84.20999999999999</v>
      </c>
      <c r="H263" s="134" t="n">
        <v>134.11</v>
      </c>
      <c r="I263" s="104" t="n">
        <v>0.3186</v>
      </c>
      <c r="J263" s="104" t="n">
        <v>0.2289</v>
      </c>
      <c r="K263" s="104" t="n">
        <v>0.0206</v>
      </c>
      <c r="L263" s="134" t="n">
        <v>22.73</v>
      </c>
      <c r="M263" s="134" t="n">
        <v>1464.99</v>
      </c>
      <c r="N263" s="104" t="n">
        <v>0.0155</v>
      </c>
      <c r="O263" s="134" t="n">
        <v>118</v>
      </c>
      <c r="P263" s="134" t="inlineStr">
        <is>
          <t>5 -0.06%</t>
        </is>
      </c>
      <c r="Q263" s="134" t="inlineStr">
        <is>
          <t>50 0.26%</t>
        </is>
      </c>
      <c r="R263" s="134" t="inlineStr">
        <is>
          <t>43 0.66%</t>
        </is>
      </c>
      <c r="S263" s="134" t="inlineStr">
        <is>
          <t>17 1.00%</t>
        </is>
      </c>
      <c r="T263" s="134" t="inlineStr">
        <is>
          <t>2 1.23%</t>
        </is>
      </c>
      <c r="U263" s="134" t="inlineStr">
        <is>
          <t>1 1.37%</t>
        </is>
      </c>
    </row>
    <row customHeight="1" ht="17" r="264" s="155">
      <c r="A264" s="105" t="n">
        <v>43490</v>
      </c>
      <c r="B264" s="134" t="n">
        <v>1016.991</v>
      </c>
      <c r="C264" s="152" t="n">
        <v>4.838</v>
      </c>
      <c r="D264" s="153" t="n">
        <v>0.0048</v>
      </c>
      <c r="E264" s="134" t="n">
        <v>102.745</v>
      </c>
      <c r="F264" s="134" t="n">
        <v>101.125</v>
      </c>
      <c r="G264" s="134" t="n">
        <v>83.23999999999999</v>
      </c>
      <c r="H264" s="134" t="n">
        <v>135.78</v>
      </c>
      <c r="I264" s="104" t="n">
        <v>0.3304</v>
      </c>
      <c r="J264" s="104" t="n">
        <v>0.2345</v>
      </c>
      <c r="K264" s="104" t="n">
        <v>0.0196</v>
      </c>
      <c r="L264" s="134" t="n">
        <v>29.84</v>
      </c>
      <c r="M264" s="134" t="n">
        <v>1464.99</v>
      </c>
      <c r="N264" s="104" t="n">
        <v>0.0204</v>
      </c>
      <c r="O264" s="134" t="n">
        <v>118</v>
      </c>
      <c r="P264" s="134" t="inlineStr">
        <is>
          <t>4 0.31%</t>
        </is>
      </c>
      <c r="Q264" s="134" t="inlineStr">
        <is>
          <t>46 0.32%</t>
        </is>
      </c>
      <c r="R264" s="134" t="inlineStr">
        <is>
          <t>42 0.61%</t>
        </is>
      </c>
      <c r="S264" s="134" t="inlineStr">
        <is>
          <t>23 0.64%</t>
        </is>
      </c>
      <c r="T264" s="134" t="inlineStr">
        <is>
          <t>3 0.06%</t>
        </is>
      </c>
      <c r="U264" s="134" t="n">
        <v>0</v>
      </c>
    </row>
    <row customHeight="1" ht="17" r="265" s="155">
      <c r="A265" s="105" t="n">
        <v>43493</v>
      </c>
      <c r="B265" s="134" t="n">
        <v>1012.965</v>
      </c>
      <c r="C265" s="150" t="n">
        <v>-4.026</v>
      </c>
      <c r="D265" s="151" t="n">
        <v>-0.004</v>
      </c>
      <c r="E265" s="134" t="n">
        <v>102.325</v>
      </c>
      <c r="F265" s="134" t="n">
        <v>100.735</v>
      </c>
      <c r="G265" s="134" t="n">
        <v>82.81</v>
      </c>
      <c r="H265" s="134" t="n">
        <v>135.48</v>
      </c>
      <c r="I265" s="104" t="n">
        <v>0.3315</v>
      </c>
      <c r="J265" s="104" t="n">
        <v>0.2382</v>
      </c>
      <c r="K265" s="104" t="n">
        <v>0.0204</v>
      </c>
      <c r="L265" s="134" t="n">
        <v>23.38</v>
      </c>
      <c r="M265" s="134" t="n">
        <v>1464.99</v>
      </c>
      <c r="N265" s="104" t="n">
        <v>0.016</v>
      </c>
      <c r="O265" s="134" t="n">
        <v>118</v>
      </c>
      <c r="P265" s="134" t="inlineStr">
        <is>
          <t>6 -0.25%</t>
        </is>
      </c>
      <c r="Q265" s="134" t="inlineStr">
        <is>
          <t>49 -0.35%</t>
        </is>
      </c>
      <c r="R265" s="134" t="inlineStr">
        <is>
          <t>43 -0.41%</t>
        </is>
      </c>
      <c r="S265" s="134" t="inlineStr">
        <is>
          <t>17 -0.36%</t>
        </is>
      </c>
      <c r="T265" s="134" t="inlineStr">
        <is>
          <t>3 -1.34%</t>
        </is>
      </c>
      <c r="U265" s="134" t="n">
        <v>0</v>
      </c>
    </row>
    <row customHeight="1" ht="17" r="266" s="155">
      <c r="A266" s="105" t="n">
        <v>43494</v>
      </c>
      <c r="B266" s="134" t="n">
        <v>1008.274</v>
      </c>
      <c r="C266" s="150" t="n">
        <v>-4.691</v>
      </c>
      <c r="D266" s="151" t="n">
        <v>-0.0046</v>
      </c>
      <c r="E266" s="134" t="n">
        <v>101.873</v>
      </c>
      <c r="F266" s="134" t="n">
        <v>100.49</v>
      </c>
      <c r="G266" s="134" t="n">
        <v>82.56999999999999</v>
      </c>
      <c r="H266" s="134" t="n">
        <v>136.19</v>
      </c>
      <c r="I266" s="104" t="n">
        <v>0.3431</v>
      </c>
      <c r="J266" s="104" t="n">
        <v>0.2542</v>
      </c>
      <c r="K266" s="104" t="n">
        <v>0.0213</v>
      </c>
      <c r="L266" s="134" t="n">
        <v>22.56</v>
      </c>
      <c r="M266" s="134" t="n">
        <v>1464.75</v>
      </c>
      <c r="N266" s="104" t="n">
        <v>0.0154</v>
      </c>
      <c r="O266" s="134" t="n">
        <v>117</v>
      </c>
      <c r="P266" s="134" t="inlineStr">
        <is>
          <t>7 -0.74%</t>
        </is>
      </c>
      <c r="Q266" s="134" t="inlineStr">
        <is>
          <t>51 -0.65%</t>
        </is>
      </c>
      <c r="R266" s="134" t="inlineStr">
        <is>
          <t>38 -0.32%</t>
        </is>
      </c>
      <c r="S266" s="134" t="inlineStr">
        <is>
          <t>18 -0.15%</t>
        </is>
      </c>
      <c r="T266" s="134" t="inlineStr">
        <is>
          <t>3 -0.34%</t>
        </is>
      </c>
      <c r="U266" s="134" t="n">
        <v>0</v>
      </c>
    </row>
    <row customHeight="1" ht="17" r="267" s="155">
      <c r="A267" s="105" t="n">
        <v>43495</v>
      </c>
      <c r="B267" s="134" t="n">
        <v>1006.977</v>
      </c>
      <c r="C267" s="150" t="n">
        <v>-1.297</v>
      </c>
      <c r="D267" s="151" t="n">
        <v>-0.0013</v>
      </c>
      <c r="E267" s="134" t="n">
        <v>101.739</v>
      </c>
      <c r="F267" s="134" t="n">
        <v>100.205</v>
      </c>
      <c r="G267" s="134" t="n">
        <v>80.72</v>
      </c>
      <c r="H267" s="134" t="n">
        <v>137.53</v>
      </c>
      <c r="I267" s="104" t="n">
        <v>0.358</v>
      </c>
      <c r="J267" s="104" t="n">
        <v>0.2678</v>
      </c>
      <c r="K267" s="104" t="n">
        <v>0.0215</v>
      </c>
      <c r="L267" s="134" t="n">
        <v>16.67</v>
      </c>
      <c r="M267" s="134" t="n">
        <v>1464.75</v>
      </c>
      <c r="N267" s="104" t="n">
        <v>0.0114</v>
      </c>
      <c r="O267" s="134" t="n">
        <v>117</v>
      </c>
      <c r="P267" s="134" t="inlineStr">
        <is>
          <t>8 0.10%</t>
        </is>
      </c>
      <c r="Q267" s="134" t="inlineStr">
        <is>
          <t>51 -0.16%</t>
        </is>
      </c>
      <c r="R267" s="134" t="inlineStr">
        <is>
          <t>37 -0.28%</t>
        </is>
      </c>
      <c r="S267" s="134" t="inlineStr">
        <is>
          <t>18 0.15%</t>
        </is>
      </c>
      <c r="T267" s="134" t="inlineStr">
        <is>
          <t>3 -0.06%</t>
        </is>
      </c>
      <c r="U267" s="134" t="n">
        <v>0</v>
      </c>
    </row>
    <row customHeight="1" ht="17" r="268" s="155">
      <c r="A268" s="105" t="n">
        <v>43496</v>
      </c>
      <c r="B268" s="134" t="n">
        <v>1006.436</v>
      </c>
      <c r="C268" s="150" t="n">
        <v>-0.541</v>
      </c>
      <c r="D268" s="151" t="n">
        <v>-0.0005</v>
      </c>
      <c r="E268" s="134" t="n">
        <v>101.695</v>
      </c>
      <c r="F268" s="134" t="n">
        <v>100.07</v>
      </c>
      <c r="G268" s="134" t="n">
        <v>80.98999999999999</v>
      </c>
      <c r="H268" s="134" t="n">
        <v>138.56</v>
      </c>
      <c r="I268" s="104" t="n">
        <v>0.3687</v>
      </c>
      <c r="J268" s="104" t="n">
        <v>0.2704</v>
      </c>
      <c r="K268" s="104" t="n">
        <v>0.0217</v>
      </c>
      <c r="L268" s="134" t="n">
        <v>21.15</v>
      </c>
      <c r="M268" s="134" t="n">
        <v>1464.75</v>
      </c>
      <c r="N268" s="104" t="n">
        <v>0.0144</v>
      </c>
      <c r="O268" s="134" t="n">
        <v>117</v>
      </c>
      <c r="P268" s="134" t="inlineStr">
        <is>
          <t>7 -0.49%</t>
        </is>
      </c>
      <c r="Q268" s="134" t="inlineStr">
        <is>
          <t>52 -0.24%</t>
        </is>
      </c>
      <c r="R268" s="134" t="inlineStr">
        <is>
          <t>36 0.15%</t>
        </is>
      </c>
      <c r="S268" s="134" t="inlineStr">
        <is>
          <t>19 0.06%</t>
        </is>
      </c>
      <c r="T268" s="134" t="inlineStr">
        <is>
          <t>3 0.91%</t>
        </is>
      </c>
      <c r="U268" s="134" t="n">
        <v>0</v>
      </c>
    </row>
    <row customHeight="1" ht="17" r="269" s="155">
      <c r="A269" s="105" t="n">
        <v>43497</v>
      </c>
      <c r="B269" s="134" t="n">
        <v>1017.136</v>
      </c>
      <c r="C269" s="152" t="n">
        <v>10.7</v>
      </c>
      <c r="D269" s="153" t="n">
        <v>0.0106</v>
      </c>
      <c r="E269" s="134" t="n">
        <v>102.897</v>
      </c>
      <c r="F269" s="134" t="n">
        <v>100.91</v>
      </c>
      <c r="G269" s="134" t="n">
        <v>82.28</v>
      </c>
      <c r="H269" s="134" t="n">
        <v>135.94</v>
      </c>
      <c r="I269" s="104" t="n">
        <v>0.3305</v>
      </c>
      <c r="J269" s="104" t="n">
        <v>0.235</v>
      </c>
      <c r="K269" s="104" t="n">
        <v>0.0191</v>
      </c>
      <c r="L269" s="134" t="n">
        <v>19.3</v>
      </c>
      <c r="M269" s="134" t="n">
        <v>1456.3</v>
      </c>
      <c r="N269" s="104" t="n">
        <v>0.0133</v>
      </c>
      <c r="O269" s="134" t="n">
        <v>116</v>
      </c>
      <c r="P269" s="134" t="inlineStr">
        <is>
          <t>5 0.88%</t>
        </is>
      </c>
      <c r="Q269" s="134" t="inlineStr">
        <is>
          <t>47 0.91%</t>
        </is>
      </c>
      <c r="R269" s="134" t="inlineStr">
        <is>
          <t>39 1.00%</t>
        </is>
      </c>
      <c r="S269" s="134" t="inlineStr">
        <is>
          <t>20 1.55%</t>
        </is>
      </c>
      <c r="T269" s="134" t="inlineStr">
        <is>
          <t>4 1.39%</t>
        </is>
      </c>
      <c r="U269" s="134" t="inlineStr">
        <is>
          <t>1 0.93%</t>
        </is>
      </c>
    </row>
    <row customHeight="1" ht="17" r="270" s="155">
      <c r="A270" s="105" t="n">
        <v>43507</v>
      </c>
      <c r="B270" s="134" t="n">
        <v>1027.813</v>
      </c>
      <c r="C270" s="152" t="n">
        <v>10.677</v>
      </c>
      <c r="D270" s="153" t="n">
        <v>0.0105</v>
      </c>
      <c r="E270" s="134" t="n">
        <v>103.856</v>
      </c>
      <c r="F270" s="134" t="n">
        <v>102.01</v>
      </c>
      <c r="G270" s="134" t="n">
        <v>85.81</v>
      </c>
      <c r="H270" s="134" t="n">
        <v>135.62</v>
      </c>
      <c r="I270" s="104" t="n">
        <v>0.3176</v>
      </c>
      <c r="J270" s="104" t="n">
        <v>0.2219</v>
      </c>
      <c r="K270" s="104" t="n">
        <v>0.0174</v>
      </c>
      <c r="L270" s="134" t="n">
        <v>21.79</v>
      </c>
      <c r="M270" s="134" t="n">
        <v>1464.75</v>
      </c>
      <c r="N270" s="104" t="n">
        <v>0.0149</v>
      </c>
      <c r="O270" s="134" t="n">
        <v>117</v>
      </c>
      <c r="P270" s="134" t="inlineStr">
        <is>
          <t>3 0.79%</t>
        </is>
      </c>
      <c r="Q270" s="134" t="inlineStr">
        <is>
          <t>44 0.95%</t>
        </is>
      </c>
      <c r="R270" s="134" t="inlineStr">
        <is>
          <t>40 0.76%</t>
        </is>
      </c>
      <c r="S270" s="134" t="inlineStr">
        <is>
          <t>23 1.35%</t>
        </is>
      </c>
      <c r="T270" s="134" t="inlineStr">
        <is>
          <t>6 2.93%</t>
        </is>
      </c>
      <c r="U270" s="134" t="inlineStr">
        <is>
          <t>1 -0.17%</t>
        </is>
      </c>
    </row>
    <row customHeight="1" ht="17" r="271" s="155">
      <c r="A271" s="105" t="n">
        <v>43508</v>
      </c>
      <c r="B271" s="134" t="n">
        <v>1034.082</v>
      </c>
      <c r="C271" s="152" t="n">
        <v>6.269</v>
      </c>
      <c r="D271" s="153" t="n">
        <v>0.0061</v>
      </c>
      <c r="E271" s="134" t="n">
        <v>104.486</v>
      </c>
      <c r="F271" s="134" t="n">
        <v>102.66</v>
      </c>
      <c r="G271" s="134" t="n">
        <v>86.47</v>
      </c>
      <c r="H271" s="134" t="n">
        <v>134.92</v>
      </c>
      <c r="I271" s="104" t="n">
        <v>0.3044</v>
      </c>
      <c r="J271" s="104" t="n">
        <v>0.205</v>
      </c>
      <c r="K271" s="104" t="n">
        <v>0.0161</v>
      </c>
      <c r="L271" s="134" t="n">
        <v>30.51</v>
      </c>
      <c r="M271" s="134" t="n">
        <v>1464.75</v>
      </c>
      <c r="N271" s="104" t="n">
        <v>0.0208</v>
      </c>
      <c r="O271" s="134" t="n">
        <v>117</v>
      </c>
      <c r="P271" s="134" t="n">
        <v>0</v>
      </c>
      <c r="Q271" s="134" t="inlineStr">
        <is>
          <t>45 0.56%</t>
        </is>
      </c>
      <c r="R271" s="134" t="inlineStr">
        <is>
          <t>39 0.62%</t>
        </is>
      </c>
      <c r="S271" s="134" t="inlineStr">
        <is>
          <t>25 0.59%</t>
        </is>
      </c>
      <c r="T271" s="134" t="inlineStr">
        <is>
          <t>7 0.80%</t>
        </is>
      </c>
      <c r="U271" s="134" t="inlineStr">
        <is>
          <t>1 1.62%</t>
        </is>
      </c>
    </row>
    <row customHeight="1" ht="17" r="272" s="155">
      <c r="A272" s="105" t="n">
        <v>43509</v>
      </c>
      <c r="B272" s="134" t="n">
        <v>1043.556</v>
      </c>
      <c r="C272" s="152" t="n">
        <v>9.474</v>
      </c>
      <c r="D272" s="153" t="n">
        <v>0.0092</v>
      </c>
      <c r="E272" s="134" t="n">
        <v>105.452</v>
      </c>
      <c r="F272" s="134" t="n">
        <v>103.5</v>
      </c>
      <c r="G272" s="134" t="n">
        <v>87.72</v>
      </c>
      <c r="H272" s="134" t="n">
        <v>134.58</v>
      </c>
      <c r="I272" s="104" t="n">
        <v>0.2913</v>
      </c>
      <c r="J272" s="104" t="n">
        <v>0.1996</v>
      </c>
      <c r="K272" s="104" t="n">
        <v>0.0142</v>
      </c>
      <c r="L272" s="134" t="n">
        <v>39.74</v>
      </c>
      <c r="M272" s="134" t="n">
        <v>1464.75</v>
      </c>
      <c r="N272" s="104" t="n">
        <v>0.0271</v>
      </c>
      <c r="O272" s="134" t="n">
        <v>117</v>
      </c>
      <c r="P272" s="134" t="inlineStr">
        <is>
          <t>1 -0.42%</t>
        </is>
      </c>
      <c r="Q272" s="134" t="inlineStr">
        <is>
          <t>36 0.60%</t>
        </is>
      </c>
      <c r="R272" s="134" t="inlineStr">
        <is>
          <t>43 0.96%</t>
        </is>
      </c>
      <c r="S272" s="134" t="inlineStr">
        <is>
          <t>28 1.23%</t>
        </is>
      </c>
      <c r="T272" s="134" t="inlineStr">
        <is>
          <t>8 1.20%</t>
        </is>
      </c>
      <c r="U272" s="134" t="inlineStr">
        <is>
          <t>1 0.70%</t>
        </is>
      </c>
    </row>
    <row customHeight="1" ht="17" r="273" s="155">
      <c r="A273" s="105" t="n">
        <v>43510</v>
      </c>
      <c r="B273" s="134" t="n">
        <v>1048.096</v>
      </c>
      <c r="C273" s="152" t="n">
        <v>4.54</v>
      </c>
      <c r="D273" s="153" t="n">
        <v>0.0044</v>
      </c>
      <c r="E273" s="134" t="n">
        <v>105.917</v>
      </c>
      <c r="F273" s="134" t="n">
        <v>104.01</v>
      </c>
      <c r="G273" s="134" t="n">
        <v>88.72</v>
      </c>
      <c r="H273" s="134" t="n">
        <v>135.09</v>
      </c>
      <c r="I273" s="104" t="n">
        <v>0.2917</v>
      </c>
      <c r="J273" s="104" t="n">
        <v>0.2052</v>
      </c>
      <c r="K273" s="104" t="n">
        <v>0.0134</v>
      </c>
      <c r="L273" s="134" t="n">
        <v>30.82</v>
      </c>
      <c r="M273" s="134" t="n">
        <v>1464.75</v>
      </c>
      <c r="N273" s="104" t="n">
        <v>0.021</v>
      </c>
      <c r="O273" s="134" t="n">
        <v>117</v>
      </c>
      <c r="P273" s="134" t="inlineStr">
        <is>
          <t>1 0.09%</t>
        </is>
      </c>
      <c r="Q273" s="134" t="inlineStr">
        <is>
          <t>36 0.36%</t>
        </is>
      </c>
      <c r="R273" s="134" t="inlineStr">
        <is>
          <t>44 0.40%</t>
        </is>
      </c>
      <c r="S273" s="134" t="inlineStr">
        <is>
          <t>27 0.55%</t>
        </is>
      </c>
      <c r="T273" s="134" t="inlineStr">
        <is>
          <t>7 0.42%</t>
        </is>
      </c>
      <c r="U273" s="134" t="inlineStr">
        <is>
          <t>2 1.37%</t>
        </is>
      </c>
    </row>
    <row customHeight="1" ht="17" r="274" s="155">
      <c r="A274" s="105" t="n">
        <v>43511</v>
      </c>
      <c r="B274" s="134" t="n">
        <v>1045.068</v>
      </c>
      <c r="C274" s="150" t="n">
        <v>-3.028</v>
      </c>
      <c r="D274" s="151" t="n">
        <v>-0.0029</v>
      </c>
      <c r="E274" s="134" t="n">
        <v>105.566</v>
      </c>
      <c r="F274" s="134" t="n">
        <v>104.329</v>
      </c>
      <c r="G274" s="134" t="n">
        <v>87.63</v>
      </c>
      <c r="H274" s="134" t="n">
        <v>135.08</v>
      </c>
      <c r="I274" s="104" t="n">
        <v>0.2951</v>
      </c>
      <c r="J274" s="104" t="n">
        <v>0.1985</v>
      </c>
      <c r="K274" s="104" t="n">
        <v>0.014</v>
      </c>
      <c r="L274" s="134" t="n">
        <v>29.49</v>
      </c>
      <c r="M274" s="134" t="n">
        <v>1464.75</v>
      </c>
      <c r="N274" s="104" t="n">
        <v>0.0201</v>
      </c>
      <c r="O274" s="134" t="n">
        <v>117</v>
      </c>
      <c r="P274" s="134" t="inlineStr">
        <is>
          <t>1 0.08%</t>
        </is>
      </c>
      <c r="Q274" s="134" t="inlineStr">
        <is>
          <t>35 0.07%</t>
        </is>
      </c>
      <c r="R274" s="134" t="inlineStr">
        <is>
          <t>44 -0.21%</t>
        </is>
      </c>
      <c r="S274" s="134" t="inlineStr">
        <is>
          <t>30 -0.67%</t>
        </is>
      </c>
      <c r="T274" s="134" t="inlineStr">
        <is>
          <t>5 -0.97%</t>
        </is>
      </c>
      <c r="U274" s="134" t="inlineStr">
        <is>
          <t>2 -1.01%</t>
        </is>
      </c>
    </row>
    <row customHeight="1" ht="17" r="275" s="155">
      <c r="A275" s="105" t="n">
        <v>43514</v>
      </c>
      <c r="B275" s="134" t="n">
        <v>1061.984</v>
      </c>
      <c r="C275" s="152" t="n">
        <v>16.916</v>
      </c>
      <c r="D275" s="153" t="n">
        <v>0.0162</v>
      </c>
      <c r="E275" s="134" t="n">
        <v>107.303</v>
      </c>
      <c r="F275" s="134" t="n">
        <v>105.61</v>
      </c>
      <c r="G275" s="134" t="n">
        <v>91.12</v>
      </c>
      <c r="H275" s="134" t="n">
        <v>134.33</v>
      </c>
      <c r="I275" s="104" t="n">
        <v>0.2702</v>
      </c>
      <c r="J275" s="104" t="n">
        <v>0.1792</v>
      </c>
      <c r="K275" s="104" t="n">
        <v>0.0106</v>
      </c>
      <c r="L275" s="134" t="n">
        <v>36.84</v>
      </c>
      <c r="M275" s="134" t="n">
        <v>1464.75</v>
      </c>
      <c r="N275" s="104" t="n">
        <v>0.0251</v>
      </c>
      <c r="O275" s="134" t="n">
        <v>117</v>
      </c>
      <c r="P275" s="134" t="n">
        <v>0</v>
      </c>
      <c r="Q275" s="134" t="inlineStr">
        <is>
          <t>28 1.17%</t>
        </is>
      </c>
      <c r="R275" s="134" t="inlineStr">
        <is>
          <t>46 1.38%</t>
        </is>
      </c>
      <c r="S275" s="134" t="inlineStr">
        <is>
          <t>33 2.52%</t>
        </is>
      </c>
      <c r="T275" s="134" t="inlineStr">
        <is>
          <t>6 2.47%</t>
        </is>
      </c>
      <c r="U275" s="134" t="inlineStr">
        <is>
          <t>4 3.06%</t>
        </is>
      </c>
    </row>
    <row customHeight="1" ht="17" r="276" s="155">
      <c r="A276" s="105" t="n">
        <v>43515</v>
      </c>
      <c r="B276" s="134" t="n">
        <v>1057.039</v>
      </c>
      <c r="C276" s="150" t="n">
        <v>-4.945</v>
      </c>
      <c r="D276" s="151" t="n">
        <v>-0.0047</v>
      </c>
      <c r="E276" s="134" t="n">
        <v>106.838</v>
      </c>
      <c r="F276" s="134" t="n">
        <v>105.81</v>
      </c>
      <c r="G276" s="134" t="n">
        <v>90.53</v>
      </c>
      <c r="H276" s="134" t="n">
        <v>133.32</v>
      </c>
      <c r="I276" s="104" t="n">
        <v>0.2648</v>
      </c>
      <c r="J276" s="104" t="n">
        <v>0.1817</v>
      </c>
      <c r="K276" s="104" t="n">
        <v>0.0116</v>
      </c>
      <c r="L276" s="134" t="n">
        <v>49.91</v>
      </c>
      <c r="M276" s="134" t="n">
        <v>1467.03</v>
      </c>
      <c r="N276" s="104" t="n">
        <v>0.034</v>
      </c>
      <c r="O276" s="134" t="n">
        <v>119</v>
      </c>
      <c r="P276" s="134" t="n">
        <v>0</v>
      </c>
      <c r="Q276" s="134" t="inlineStr">
        <is>
          <t>33 -0.42%</t>
        </is>
      </c>
      <c r="R276" s="134" t="inlineStr">
        <is>
          <t>45 -0.20%</t>
        </is>
      </c>
      <c r="S276" s="134" t="inlineStr">
        <is>
          <t>32 -0.63%</t>
        </is>
      </c>
      <c r="T276" s="134" t="inlineStr">
        <is>
          <t>7 -0.52%</t>
        </is>
      </c>
      <c r="U276" s="134" t="inlineStr">
        <is>
          <t>2 -1.24%</t>
        </is>
      </c>
    </row>
    <row customHeight="1" ht="17" r="277" s="155">
      <c r="A277" s="105" t="n">
        <v>43516</v>
      </c>
      <c r="B277" s="134" t="n">
        <v>1060.301</v>
      </c>
      <c r="C277" s="152" t="n">
        <v>3.262</v>
      </c>
      <c r="D277" s="153" t="n">
        <v>0.0031</v>
      </c>
      <c r="E277" s="134" t="n">
        <v>107.164</v>
      </c>
      <c r="F277" s="134" t="n">
        <v>105.84</v>
      </c>
      <c r="G277" s="134" t="n">
        <v>91.09</v>
      </c>
      <c r="H277" s="134" t="n">
        <v>133.41</v>
      </c>
      <c r="I277" s="104" t="n">
        <v>0.2625</v>
      </c>
      <c r="J277" s="104" t="n">
        <v>0.1725</v>
      </c>
      <c r="K277" s="104" t="n">
        <v>0.0112</v>
      </c>
      <c r="L277" s="134" t="n">
        <v>37.86</v>
      </c>
      <c r="M277" s="134" t="n">
        <v>1474.49</v>
      </c>
      <c r="N277" s="104" t="n">
        <v>0.0257</v>
      </c>
      <c r="O277" s="134" t="n">
        <v>120</v>
      </c>
      <c r="P277" s="134" t="n">
        <v>0</v>
      </c>
      <c r="Q277" s="134" t="inlineStr">
        <is>
          <t>31 0.09%</t>
        </is>
      </c>
      <c r="R277" s="134" t="inlineStr">
        <is>
          <t>46 0.29%</t>
        </is>
      </c>
      <c r="S277" s="134" t="inlineStr">
        <is>
          <t>31 0.04%</t>
        </is>
      </c>
      <c r="T277" s="134" t="inlineStr">
        <is>
          <t>10 2.00%</t>
        </is>
      </c>
      <c r="U277" s="134" t="inlineStr">
        <is>
          <t>2 0.06%</t>
        </is>
      </c>
    </row>
    <row customHeight="1" ht="17" r="278" s="155">
      <c r="A278" s="105" t="n">
        <v>43517</v>
      </c>
      <c r="B278" s="134" t="n">
        <v>1065.026</v>
      </c>
      <c r="C278" s="152" t="n">
        <v>4.725</v>
      </c>
      <c r="D278" s="153" t="n">
        <v>0.0045</v>
      </c>
      <c r="E278" s="134" t="n">
        <v>107.661</v>
      </c>
      <c r="F278" s="134" t="n">
        <v>106.07</v>
      </c>
      <c r="G278" s="134" t="n">
        <v>91.64</v>
      </c>
      <c r="H278" s="134" t="n">
        <v>134.43</v>
      </c>
      <c r="I278" s="104" t="n">
        <v>0.2676</v>
      </c>
      <c r="J278" s="104" t="n">
        <v>0.1766</v>
      </c>
      <c r="K278" s="104" t="n">
        <v>0.0103</v>
      </c>
      <c r="L278" s="134" t="n">
        <v>47.38</v>
      </c>
      <c r="M278" s="134" t="n">
        <v>1474.49</v>
      </c>
      <c r="N278" s="104" t="n">
        <v>0.0321</v>
      </c>
      <c r="O278" s="134" t="n">
        <v>120</v>
      </c>
      <c r="P278" s="134" t="n">
        <v>0</v>
      </c>
      <c r="Q278" s="134" t="inlineStr">
        <is>
          <t>28 0.15%</t>
        </is>
      </c>
      <c r="R278" s="134" t="inlineStr">
        <is>
          <t>49 0.50%</t>
        </is>
      </c>
      <c r="S278" s="134" t="inlineStr">
        <is>
          <t>30 0.78%</t>
        </is>
      </c>
      <c r="T278" s="134" t="inlineStr">
        <is>
          <t>10 0.20%</t>
        </is>
      </c>
      <c r="U278" s="134" t="inlineStr">
        <is>
          <t>3 4.30%</t>
        </is>
      </c>
    </row>
    <row customHeight="1" ht="17" r="279" s="155">
      <c r="A279" s="105" t="n">
        <v>43518</v>
      </c>
      <c r="B279" s="134" t="n">
        <v>1078.592</v>
      </c>
      <c r="C279" s="152" t="n">
        <v>13.566</v>
      </c>
      <c r="D279" s="153" t="n">
        <v>0.0127</v>
      </c>
      <c r="E279" s="134" t="n">
        <v>109.184</v>
      </c>
      <c r="F279" s="134" t="n">
        <v>107.146</v>
      </c>
      <c r="G279" s="134" t="n">
        <v>94.61</v>
      </c>
      <c r="H279" s="134" t="n">
        <v>133.82</v>
      </c>
      <c r="I279" s="104" t="n">
        <v>0.2464</v>
      </c>
      <c r="J279" s="104" t="n">
        <v>0.1599</v>
      </c>
      <c r="K279" s="104" t="n">
        <v>0.0075</v>
      </c>
      <c r="L279" s="134" t="n">
        <v>62.61</v>
      </c>
      <c r="M279" s="134" t="n">
        <v>1474.51</v>
      </c>
      <c r="N279" s="104" t="n">
        <v>0.0425</v>
      </c>
      <c r="O279" s="134" t="n">
        <v>121</v>
      </c>
      <c r="P279" s="134" t="n">
        <v>0</v>
      </c>
      <c r="Q279" s="134" t="inlineStr">
        <is>
          <t>25 0.76%</t>
        </is>
      </c>
      <c r="R279" s="134" t="inlineStr">
        <is>
          <t>48 0.91%</t>
        </is>
      </c>
      <c r="S279" s="134" t="inlineStr">
        <is>
          <t>34 0.91%</t>
        </is>
      </c>
      <c r="T279" s="134" t="inlineStr">
        <is>
          <t>10 2.48%</t>
        </is>
      </c>
      <c r="U279" s="134" t="inlineStr">
        <is>
          <t>4 8.93%</t>
        </is>
      </c>
    </row>
    <row customHeight="1" ht="17" r="280" s="155">
      <c r="A280" s="105" t="n">
        <v>43521</v>
      </c>
      <c r="B280" s="134" t="n">
        <v>1107.726</v>
      </c>
      <c r="C280" s="152" t="n">
        <v>29.134</v>
      </c>
      <c r="D280" s="153" t="n">
        <v>0.027</v>
      </c>
      <c r="E280" s="134" t="n">
        <v>112.438</v>
      </c>
      <c r="F280" s="134" t="n">
        <v>109.99</v>
      </c>
      <c r="G280" s="134" t="n">
        <v>99.31999999999999</v>
      </c>
      <c r="H280" s="134" t="n">
        <v>133.65</v>
      </c>
      <c r="I280" s="104" t="n">
        <v>0.2122</v>
      </c>
      <c r="J280" s="104" t="n">
        <v>0.1316</v>
      </c>
      <c r="K280" s="104" t="n">
        <v>0.0021</v>
      </c>
      <c r="L280" s="134" t="n">
        <v>111.73</v>
      </c>
      <c r="M280" s="134" t="n">
        <v>1474.51</v>
      </c>
      <c r="N280" s="104" t="n">
        <v>0.07580000000000001</v>
      </c>
      <c r="O280" s="134" t="n">
        <v>121</v>
      </c>
      <c r="P280" s="134" t="n">
        <v>0</v>
      </c>
      <c r="Q280" s="134" t="inlineStr">
        <is>
          <t>16 0.83%</t>
        </is>
      </c>
      <c r="R280" s="134" t="inlineStr">
        <is>
          <t>46 1.54%</t>
        </is>
      </c>
      <c r="S280" s="134" t="inlineStr">
        <is>
          <t>36 2.75%</t>
        </is>
      </c>
      <c r="T280" s="134" t="inlineStr">
        <is>
          <t>14 3.30%</t>
        </is>
      </c>
      <c r="U280" s="134" t="inlineStr">
        <is>
          <t>9 10.84%</t>
        </is>
      </c>
    </row>
    <row customHeight="1" ht="17" r="281" s="155">
      <c r="A281" s="105" t="n">
        <v>43522</v>
      </c>
      <c r="B281" s="134" t="n">
        <v>1101.148</v>
      </c>
      <c r="C281" s="150" t="n">
        <v>-6.578</v>
      </c>
      <c r="D281" s="151" t="n">
        <v>-0.0059</v>
      </c>
      <c r="E281" s="134" t="n">
        <v>111.438</v>
      </c>
      <c r="F281" s="134" t="n">
        <v>109.45</v>
      </c>
      <c r="G281" s="134" t="n">
        <v>100</v>
      </c>
      <c r="H281" s="134" t="n">
        <v>132.26</v>
      </c>
      <c r="I281" s="104" t="n">
        <v>0.2082</v>
      </c>
      <c r="J281" s="104" t="n">
        <v>0.1336</v>
      </c>
      <c r="K281" s="104" t="n">
        <v>0.0034</v>
      </c>
      <c r="L281" s="134" t="n">
        <v>100.47</v>
      </c>
      <c r="M281" s="134" t="n">
        <v>1474.51</v>
      </c>
      <c r="N281" s="104" t="n">
        <v>0.06809999999999999</v>
      </c>
      <c r="O281" s="134" t="n">
        <v>121</v>
      </c>
      <c r="P281" s="134" t="n">
        <v>0</v>
      </c>
      <c r="Q281" s="134" t="inlineStr">
        <is>
          <t>16 -0.14%</t>
        </is>
      </c>
      <c r="R281" s="134" t="inlineStr">
        <is>
          <t>47 0.00%</t>
        </is>
      </c>
      <c r="S281" s="134" t="inlineStr">
        <is>
          <t>39 -0.50%</t>
        </is>
      </c>
      <c r="T281" s="134" t="inlineStr">
        <is>
          <t>11 -1.18%</t>
        </is>
      </c>
      <c r="U281" s="134" t="inlineStr">
        <is>
          <t>8 -4.62%</t>
        </is>
      </c>
    </row>
    <row customHeight="1" ht="17" r="282" s="155">
      <c r="A282" s="105" t="n">
        <v>43523</v>
      </c>
      <c r="B282" s="134" t="n">
        <v>1097.518</v>
      </c>
      <c r="C282" s="150" t="n">
        <v>-3.63</v>
      </c>
      <c r="D282" s="151" t="n">
        <v>-0.0033</v>
      </c>
      <c r="E282" s="134" t="n">
        <v>111.07</v>
      </c>
      <c r="F282" s="134" t="n">
        <v>109.6</v>
      </c>
      <c r="G282" s="134" t="n">
        <v>99.31999999999999</v>
      </c>
      <c r="H282" s="134" t="n">
        <v>131.96</v>
      </c>
      <c r="I282" s="104" t="n">
        <v>0.2089</v>
      </c>
      <c r="J282" s="104" t="n">
        <v>0.1218</v>
      </c>
      <c r="K282" s="104" t="n">
        <v>0.0042</v>
      </c>
      <c r="L282" s="134" t="n">
        <v>103.83</v>
      </c>
      <c r="M282" s="134" t="n">
        <v>1474.51</v>
      </c>
      <c r="N282" s="104" t="n">
        <v>0.0704</v>
      </c>
      <c r="O282" s="134" t="n">
        <v>121</v>
      </c>
      <c r="P282" s="134" t="n">
        <v>0</v>
      </c>
      <c r="Q282" s="134" t="inlineStr">
        <is>
          <t>17 0.24%</t>
        </is>
      </c>
      <c r="R282" s="134" t="inlineStr">
        <is>
          <t>49 -0.27%</t>
        </is>
      </c>
      <c r="S282" s="134" t="inlineStr">
        <is>
          <t>36 -0.73%</t>
        </is>
      </c>
      <c r="T282" s="134" t="inlineStr">
        <is>
          <t>12 -0.78%</t>
        </is>
      </c>
      <c r="U282" s="134" t="inlineStr">
        <is>
          <t>7 0.68%</t>
        </is>
      </c>
    </row>
    <row customHeight="1" ht="17" r="283" s="155">
      <c r="A283" s="105" t="n">
        <v>43524</v>
      </c>
      <c r="B283" s="134" t="n">
        <v>1099.219</v>
      </c>
      <c r="C283" s="152" t="n">
        <v>1.701</v>
      </c>
      <c r="D283" s="153" t="n">
        <v>0.0016</v>
      </c>
      <c r="E283" s="134" t="n">
        <v>111.266</v>
      </c>
      <c r="F283" s="134" t="n">
        <v>109.6</v>
      </c>
      <c r="G283" s="134" t="n">
        <v>98.54000000000001</v>
      </c>
      <c r="H283" s="134" t="n">
        <v>132.25</v>
      </c>
      <c r="I283" s="104" t="n">
        <v>0.2098</v>
      </c>
      <c r="J283" s="104" t="n">
        <v>0.1191</v>
      </c>
      <c r="K283" s="104" t="n">
        <v>0.0039</v>
      </c>
      <c r="L283" s="134" t="n">
        <v>82.81</v>
      </c>
      <c r="M283" s="134" t="n">
        <v>1474.51</v>
      </c>
      <c r="N283" s="104" t="n">
        <v>0.0562</v>
      </c>
      <c r="O283" s="134" t="n">
        <v>121</v>
      </c>
      <c r="P283" s="134" t="n">
        <v>0</v>
      </c>
      <c r="Q283" s="134" t="inlineStr">
        <is>
          <t>19 -0.10%</t>
        </is>
      </c>
      <c r="R283" s="134" t="inlineStr">
        <is>
          <t>48 0.01%</t>
        </is>
      </c>
      <c r="S283" s="134" t="inlineStr">
        <is>
          <t>33 0.13%</t>
        </is>
      </c>
      <c r="T283" s="134" t="inlineStr">
        <is>
          <t>13 0.38%</t>
        </is>
      </c>
      <c r="U283" s="134" t="inlineStr">
        <is>
          <t>8 1.37%</t>
        </is>
      </c>
    </row>
    <row customHeight="1" ht="17" r="284" s="155">
      <c r="A284" s="105" t="n">
        <v>43525</v>
      </c>
      <c r="B284" s="134" t="n">
        <v>1103.312</v>
      </c>
      <c r="C284" s="152" t="n">
        <v>4.093</v>
      </c>
      <c r="D284" s="153" t="n">
        <v>0.0037</v>
      </c>
      <c r="E284" s="134" t="n">
        <v>111.633</v>
      </c>
      <c r="F284" s="134" t="n">
        <v>110.201</v>
      </c>
      <c r="G284" s="134" t="n">
        <v>99.40000000000001</v>
      </c>
      <c r="H284" s="134" t="n">
        <v>132.34</v>
      </c>
      <c r="I284" s="104" t="n">
        <v>0.2071</v>
      </c>
      <c r="J284" s="104" t="n">
        <v>0.1198</v>
      </c>
      <c r="K284" s="104" t="n">
        <v>0.0031</v>
      </c>
      <c r="L284" s="134" t="n">
        <v>88.93000000000001</v>
      </c>
      <c r="M284" s="134" t="n">
        <v>1474.51</v>
      </c>
      <c r="N284" s="104" t="n">
        <v>0.0603</v>
      </c>
      <c r="O284" s="134" t="n">
        <v>121</v>
      </c>
      <c r="P284" s="134" t="n">
        <v>0</v>
      </c>
      <c r="Q284" s="134" t="inlineStr">
        <is>
          <t>18 0.43%</t>
        </is>
      </c>
      <c r="R284" s="134" t="inlineStr">
        <is>
          <t>42 0.12%</t>
        </is>
      </c>
      <c r="S284" s="134" t="inlineStr">
        <is>
          <t>40 0.58%</t>
        </is>
      </c>
      <c r="T284" s="134" t="inlineStr">
        <is>
          <t>13 0.86%</t>
        </is>
      </c>
      <c r="U284" s="134" t="inlineStr">
        <is>
          <t>8 -0.24%</t>
        </is>
      </c>
    </row>
    <row customHeight="1" ht="17" r="285" s="155">
      <c r="A285" s="105" t="n">
        <v>43528</v>
      </c>
      <c r="B285" s="134" t="n">
        <v>1116.377</v>
      </c>
      <c r="C285" s="152" t="n">
        <v>13.065</v>
      </c>
      <c r="D285" s="153" t="n">
        <v>0.0118</v>
      </c>
      <c r="E285" s="134" t="n">
        <v>113.003</v>
      </c>
      <c r="F285" s="134" t="n">
        <v>111</v>
      </c>
      <c r="G285" s="134" t="n">
        <v>101.19</v>
      </c>
      <c r="H285" s="134" t="n">
        <v>132.73</v>
      </c>
      <c r="I285" s="104" t="n">
        <v>0.1972</v>
      </c>
      <c r="J285" s="104" t="n">
        <v>0.1054</v>
      </c>
      <c r="K285" s="104" t="n">
        <v>0.0005999999999999999</v>
      </c>
      <c r="L285" s="134" t="n">
        <v>125.28</v>
      </c>
      <c r="M285" s="134" t="n">
        <v>1474.51</v>
      </c>
      <c r="N285" s="104" t="n">
        <v>0.08500000000000001</v>
      </c>
      <c r="O285" s="134" t="n">
        <v>121</v>
      </c>
      <c r="P285" s="134" t="n">
        <v>0</v>
      </c>
      <c r="Q285" s="134" t="inlineStr">
        <is>
          <t>12 0.29%</t>
        </is>
      </c>
      <c r="R285" s="134" t="inlineStr">
        <is>
          <t>45 0.97%</t>
        </is>
      </c>
      <c r="S285" s="134" t="inlineStr">
        <is>
          <t>40 0.88%</t>
        </is>
      </c>
      <c r="T285" s="134" t="inlineStr">
        <is>
          <t>15 2.43%</t>
        </is>
      </c>
      <c r="U285" s="134" t="inlineStr">
        <is>
          <t>9 2.73%</t>
        </is>
      </c>
    </row>
    <row customHeight="1" ht="17" r="286" s="155">
      <c r="A286" s="105" t="n">
        <v>43529</v>
      </c>
      <c r="B286" s="134" t="n">
        <v>1135.728</v>
      </c>
      <c r="C286" s="152" t="n">
        <v>19.351</v>
      </c>
      <c r="D286" s="153" t="n">
        <v>0.0173</v>
      </c>
      <c r="E286" s="134" t="n">
        <v>114.987</v>
      </c>
      <c r="F286" s="134" t="n">
        <v>112.34</v>
      </c>
      <c r="G286" s="134" t="n">
        <v>102.74</v>
      </c>
      <c r="H286" s="134" t="n">
        <v>134.1</v>
      </c>
      <c r="I286" s="104" t="n">
        <v>0.1911</v>
      </c>
      <c r="J286" s="104" t="n">
        <v>0.0999</v>
      </c>
      <c r="K286" s="104" t="n">
        <v>-0.0033</v>
      </c>
      <c r="L286" s="134" t="n">
        <v>95.37</v>
      </c>
      <c r="M286" s="134" t="n">
        <v>1467.05</v>
      </c>
      <c r="N286" s="104" t="n">
        <v>0.065</v>
      </c>
      <c r="O286" s="134" t="n">
        <v>120</v>
      </c>
      <c r="P286" s="134" t="n">
        <v>0</v>
      </c>
      <c r="Q286" s="134" t="inlineStr">
        <is>
          <t>9 0.79%</t>
        </is>
      </c>
      <c r="R286" s="134" t="inlineStr">
        <is>
          <t>39 1.67%</t>
        </is>
      </c>
      <c r="S286" s="134" t="inlineStr">
        <is>
          <t>40 1.31%</t>
        </is>
      </c>
      <c r="T286" s="134" t="inlineStr">
        <is>
          <t>22 2.57%</t>
        </is>
      </c>
      <c r="U286" s="134" t="inlineStr">
        <is>
          <t>10 2.70%</t>
        </is>
      </c>
    </row>
    <row customHeight="1" ht="17" r="287" s="155">
      <c r="A287" s="105" t="n">
        <v>43530</v>
      </c>
      <c r="B287" s="134" t="n">
        <v>1149.205</v>
      </c>
      <c r="C287" s="152" t="n">
        <v>13.477</v>
      </c>
      <c r="D287" s="153" t="n">
        <v>0.0119</v>
      </c>
      <c r="E287" s="134" t="n">
        <v>116.232</v>
      </c>
      <c r="F287" s="134" t="n">
        <v>113.35</v>
      </c>
      <c r="G287" s="134" t="n">
        <v>104.9</v>
      </c>
      <c r="H287" s="134" t="n">
        <v>134.89</v>
      </c>
      <c r="I287" s="104" t="n">
        <v>0.1865</v>
      </c>
      <c r="J287" s="104" t="n">
        <v>0.0964</v>
      </c>
      <c r="K287" s="104" t="n">
        <v>-0.0057</v>
      </c>
      <c r="L287" s="134" t="n">
        <v>110.42</v>
      </c>
      <c r="M287" s="134" t="n">
        <v>1474.51</v>
      </c>
      <c r="N287" s="104" t="n">
        <v>0.07489999999999999</v>
      </c>
      <c r="O287" s="134" t="n">
        <v>121</v>
      </c>
      <c r="P287" s="134" t="n">
        <v>0</v>
      </c>
      <c r="Q287" s="134" t="inlineStr">
        <is>
          <t>8 1.82%</t>
        </is>
      </c>
      <c r="R287" s="134" t="inlineStr">
        <is>
          <t>31 1.50%</t>
        </is>
      </c>
      <c r="S287" s="134" t="inlineStr">
        <is>
          <t>48 0.69%</t>
        </is>
      </c>
      <c r="T287" s="134" t="inlineStr">
        <is>
          <t>23 1.62%</t>
        </is>
      </c>
      <c r="U287" s="134" t="inlineStr">
        <is>
          <t>11 1.10%</t>
        </is>
      </c>
    </row>
    <row customHeight="1" ht="17" r="288" s="155">
      <c r="A288" s="105" t="n">
        <v>43531</v>
      </c>
      <c r="B288" s="134" t="n">
        <v>1149.563</v>
      </c>
      <c r="C288" s="152" t="n">
        <v>0.358</v>
      </c>
      <c r="D288" s="153" t="n">
        <v>0.0003</v>
      </c>
      <c r="E288" s="134" t="n">
        <v>116.258</v>
      </c>
      <c r="F288" s="134" t="n">
        <v>113.22</v>
      </c>
      <c r="G288" s="134" t="n">
        <v>105.58</v>
      </c>
      <c r="H288" s="134" t="n">
        <v>133.71</v>
      </c>
      <c r="I288" s="104" t="n">
        <v>0.1745</v>
      </c>
      <c r="J288" s="104" t="n">
        <v>0.0863</v>
      </c>
      <c r="K288" s="104" t="n">
        <v>-0.0056</v>
      </c>
      <c r="L288" s="134" t="n">
        <v>117.28</v>
      </c>
      <c r="M288" s="134" t="n">
        <v>1474.51</v>
      </c>
      <c r="N288" s="104" t="n">
        <v>0.0795</v>
      </c>
      <c r="O288" s="134" t="n">
        <v>121</v>
      </c>
      <c r="P288" s="134" t="n">
        <v>0</v>
      </c>
      <c r="Q288" s="134" t="inlineStr">
        <is>
          <t>8 -0.20%</t>
        </is>
      </c>
      <c r="R288" s="134" t="inlineStr">
        <is>
          <t>33 -0.11%</t>
        </is>
      </c>
      <c r="S288" s="134" t="inlineStr">
        <is>
          <t>47 0.06%</t>
        </is>
      </c>
      <c r="T288" s="134" t="inlineStr">
        <is>
          <t>20 -0.28%</t>
        </is>
      </c>
      <c r="U288" s="134" t="inlineStr">
        <is>
          <t>13 2.31%</t>
        </is>
      </c>
    </row>
    <row customHeight="1" ht="17" r="289" s="155">
      <c r="A289" s="105" t="n">
        <v>43532</v>
      </c>
      <c r="B289" s="134" t="n">
        <v>1125.922</v>
      </c>
      <c r="C289" s="150" t="n">
        <v>-23.641</v>
      </c>
      <c r="D289" s="151" t="n">
        <v>-0.0206</v>
      </c>
      <c r="E289" s="134" t="n">
        <v>113.704</v>
      </c>
      <c r="F289" s="134" t="n">
        <v>112.255</v>
      </c>
      <c r="G289" s="134" t="n">
        <v>100.57</v>
      </c>
      <c r="H289" s="134" t="n">
        <v>133.99</v>
      </c>
      <c r="I289" s="104" t="n">
        <v>0.2029</v>
      </c>
      <c r="J289" s="104" t="n">
        <v>0.1162</v>
      </c>
      <c r="K289" s="104" t="n">
        <v>-0.0011</v>
      </c>
      <c r="L289" s="134" t="n">
        <v>115.5</v>
      </c>
      <c r="M289" s="134" t="n">
        <v>1482.01</v>
      </c>
      <c r="N289" s="104" t="n">
        <v>0.0779</v>
      </c>
      <c r="O289" s="134" t="n">
        <v>122</v>
      </c>
      <c r="P289" s="134" t="n">
        <v>0</v>
      </c>
      <c r="Q289" s="134" t="inlineStr">
        <is>
          <t>9 -1.47%</t>
        </is>
      </c>
      <c r="R289" s="134" t="inlineStr">
        <is>
          <t>43 -1.82%</t>
        </is>
      </c>
      <c r="S289" s="134" t="inlineStr">
        <is>
          <t>48 -1.95%</t>
        </is>
      </c>
      <c r="T289" s="134" t="inlineStr">
        <is>
          <t>11 -1.42%</t>
        </is>
      </c>
      <c r="U289" s="134" t="inlineStr">
        <is>
          <t>11 -4.56%</t>
        </is>
      </c>
    </row>
    <row customHeight="1" ht="17" r="290" s="155">
      <c r="A290" s="105" t="n">
        <v>43535</v>
      </c>
      <c r="B290" s="134" t="n">
        <v>1151.205</v>
      </c>
      <c r="C290" s="152" t="n">
        <v>25.283</v>
      </c>
      <c r="D290" s="153" t="n">
        <v>0.0225</v>
      </c>
      <c r="E290" s="134" t="n">
        <v>116.286</v>
      </c>
      <c r="F290" s="134" t="n">
        <v>114.55</v>
      </c>
      <c r="G290" s="134" t="n">
        <v>103.78</v>
      </c>
      <c r="H290" s="134" t="n">
        <v>133.94</v>
      </c>
      <c r="I290" s="104" t="n">
        <v>0.1765</v>
      </c>
      <c r="J290" s="104" t="n">
        <v>0.1061</v>
      </c>
      <c r="K290" s="104" t="n">
        <v>-0.0059</v>
      </c>
      <c r="L290" s="134" t="n">
        <v>110.54</v>
      </c>
      <c r="M290" s="134" t="n">
        <v>1482.01</v>
      </c>
      <c r="N290" s="104" t="n">
        <v>0.0746</v>
      </c>
      <c r="O290" s="134" t="n">
        <v>122</v>
      </c>
      <c r="P290" s="134" t="n">
        <v>0</v>
      </c>
      <c r="Q290" s="134" t="inlineStr">
        <is>
          <t>7 1.76%</t>
        </is>
      </c>
      <c r="R290" s="134" t="inlineStr">
        <is>
          <t>37 1.64%</t>
        </is>
      </c>
      <c r="S290" s="134" t="inlineStr">
        <is>
          <t>43 1.80%</t>
        </is>
      </c>
      <c r="T290" s="134" t="inlineStr">
        <is>
          <t>21 3.66%</t>
        </is>
      </c>
      <c r="U290" s="134" t="inlineStr">
        <is>
          <t>14 3.34%</t>
        </is>
      </c>
    </row>
    <row customHeight="1" ht="17" r="291" s="155">
      <c r="A291" s="105" t="n">
        <v>43536</v>
      </c>
      <c r="B291" s="134" t="n">
        <v>1165.457</v>
      </c>
      <c r="C291" s="152" t="n">
        <v>14.252</v>
      </c>
      <c r="D291" s="153" t="n">
        <v>0.0124</v>
      </c>
      <c r="E291" s="134" t="n">
        <v>117.772</v>
      </c>
      <c r="F291" s="134" t="n">
        <v>115.49</v>
      </c>
      <c r="G291" s="134" t="n">
        <v>105.33</v>
      </c>
      <c r="H291" s="134" t="n">
        <v>134.56</v>
      </c>
      <c r="I291" s="104" t="n">
        <v>0.1679</v>
      </c>
      <c r="J291" s="104" t="n">
        <v>0.0864</v>
      </c>
      <c r="K291" s="104" t="n">
        <v>-0.008500000000000001</v>
      </c>
      <c r="L291" s="134" t="n">
        <v>127.96</v>
      </c>
      <c r="M291" s="134" t="n">
        <v>1482.01</v>
      </c>
      <c r="N291" s="104" t="n">
        <v>0.0863</v>
      </c>
      <c r="O291" s="134" t="n">
        <v>122</v>
      </c>
      <c r="P291" s="134" t="n">
        <v>0</v>
      </c>
      <c r="Q291" s="134" t="inlineStr">
        <is>
          <t>5 0.91%</t>
        </is>
      </c>
      <c r="R291" s="134" t="inlineStr">
        <is>
          <t>32 1.00%</t>
        </is>
      </c>
      <c r="S291" s="134" t="inlineStr">
        <is>
          <t>45 0.68%</t>
        </is>
      </c>
      <c r="T291" s="134" t="inlineStr">
        <is>
          <t>24 1.28%</t>
        </is>
      </c>
      <c r="U291" s="134" t="inlineStr">
        <is>
          <t>16 3.34%</t>
        </is>
      </c>
    </row>
    <row customHeight="1" ht="17" r="292" s="155">
      <c r="A292" s="105" t="n">
        <v>43537</v>
      </c>
      <c r="B292" s="134" t="n">
        <v>1153.034</v>
      </c>
      <c r="C292" s="150" t="n">
        <v>-12.423</v>
      </c>
      <c r="D292" s="151" t="n">
        <v>-0.0107</v>
      </c>
      <c r="E292" s="134" t="n">
        <v>116.483</v>
      </c>
      <c r="F292" s="134" t="n">
        <v>113.615</v>
      </c>
      <c r="G292" s="134" t="n">
        <v>103.34</v>
      </c>
      <c r="H292" s="134" t="n">
        <v>134.63</v>
      </c>
      <c r="I292" s="104" t="n">
        <v>0.1814</v>
      </c>
      <c r="J292" s="104" t="n">
        <v>0.1007</v>
      </c>
      <c r="K292" s="104" t="n">
        <v>-0.0061</v>
      </c>
      <c r="L292" s="134" t="n">
        <v>94.86</v>
      </c>
      <c r="M292" s="134" t="n">
        <v>1482.01</v>
      </c>
      <c r="N292" s="104" t="n">
        <v>0.064</v>
      </c>
      <c r="O292" s="134" t="n">
        <v>122</v>
      </c>
      <c r="P292" s="134" t="n">
        <v>0</v>
      </c>
      <c r="Q292" s="134" t="inlineStr">
        <is>
          <t>6 -0.21%</t>
        </is>
      </c>
      <c r="R292" s="134" t="inlineStr">
        <is>
          <t>37 -0.67%</t>
        </is>
      </c>
      <c r="S292" s="134" t="inlineStr">
        <is>
          <t>48 -1.39%</t>
        </is>
      </c>
      <c r="T292" s="134" t="inlineStr">
        <is>
          <t>16 -0.96%</t>
        </is>
      </c>
      <c r="U292" s="134" t="inlineStr">
        <is>
          <t>15 -1.46%</t>
        </is>
      </c>
    </row>
    <row customHeight="1" ht="17" r="293" s="155">
      <c r="A293" s="105" t="n">
        <v>43538</v>
      </c>
      <c r="B293" s="134" t="n">
        <v>1130.993</v>
      </c>
      <c r="C293" s="150" t="n">
        <v>-22.041</v>
      </c>
      <c r="D293" s="151" t="n">
        <v>-0.0191</v>
      </c>
      <c r="E293" s="134" t="n">
        <v>114.106</v>
      </c>
      <c r="F293" s="134" t="n">
        <v>111.571</v>
      </c>
      <c r="G293" s="134" t="n">
        <v>101.8</v>
      </c>
      <c r="H293" s="134" t="n">
        <v>133.63</v>
      </c>
      <c r="I293" s="104" t="n">
        <v>0.1952</v>
      </c>
      <c r="J293" s="104" t="n">
        <v>0.1012</v>
      </c>
      <c r="K293" s="104" t="n">
        <v>-0.002</v>
      </c>
      <c r="L293" s="134" t="n">
        <v>73.3</v>
      </c>
      <c r="M293" s="134" t="n">
        <v>1482.01</v>
      </c>
      <c r="N293" s="104" t="n">
        <v>0.0495</v>
      </c>
      <c r="O293" s="134" t="n">
        <v>122</v>
      </c>
      <c r="P293" s="134" t="n">
        <v>0</v>
      </c>
      <c r="Q293" s="134" t="inlineStr">
        <is>
          <t>7 -0.78%</t>
        </is>
      </c>
      <c r="R293" s="134" t="inlineStr">
        <is>
          <t>46 -1.44%</t>
        </is>
      </c>
      <c r="S293" s="134" t="inlineStr">
        <is>
          <t>43 -1.51%</t>
        </is>
      </c>
      <c r="T293" s="134" t="inlineStr">
        <is>
          <t>15 -3.34%</t>
        </is>
      </c>
      <c r="U293" s="134" t="inlineStr">
        <is>
          <t>11 -2.88%</t>
        </is>
      </c>
    </row>
    <row customHeight="1" ht="17" r="294" s="155">
      <c r="A294" s="105" t="n">
        <v>43539</v>
      </c>
      <c r="B294" s="134" t="n">
        <v>1143.201</v>
      </c>
      <c r="C294" s="152" t="n">
        <v>12.208</v>
      </c>
      <c r="D294" s="153" t="n">
        <v>0.0108</v>
      </c>
      <c r="E294" s="134" t="n">
        <v>115.396</v>
      </c>
      <c r="F294" s="134" t="n">
        <v>112.299</v>
      </c>
      <c r="G294" s="134" t="n">
        <v>102.24</v>
      </c>
      <c r="H294" s="134" t="n">
        <v>134.34</v>
      </c>
      <c r="I294" s="104" t="n">
        <v>0.1894</v>
      </c>
      <c r="J294" s="104" t="n">
        <v>0.1039</v>
      </c>
      <c r="K294" s="104" t="n">
        <v>-0.0043</v>
      </c>
      <c r="L294" s="134" t="n">
        <v>70.13</v>
      </c>
      <c r="M294" s="134" t="n">
        <v>1483.95</v>
      </c>
      <c r="N294" s="104" t="n">
        <v>0.0473</v>
      </c>
      <c r="O294" s="134" t="n">
        <v>123</v>
      </c>
      <c r="P294" s="134" t="n">
        <v>0</v>
      </c>
      <c r="Q294" s="134" t="inlineStr">
        <is>
          <t>6 0.45%</t>
        </is>
      </c>
      <c r="R294" s="134" t="inlineStr">
        <is>
          <t>40 0.64%</t>
        </is>
      </c>
      <c r="S294" s="134" t="inlineStr">
        <is>
          <t>49 0.79%</t>
        </is>
      </c>
      <c r="T294" s="134" t="inlineStr">
        <is>
          <t>16 0.90%</t>
        </is>
      </c>
      <c r="U294" s="134" t="inlineStr">
        <is>
          <t>12 4.27%</t>
        </is>
      </c>
    </row>
    <row customHeight="1" ht="17" r="295" s="155">
      <c r="A295" s="105" t="n">
        <v>43542</v>
      </c>
      <c r="B295" s="134" t="n">
        <v>1164.992</v>
      </c>
      <c r="C295" s="152" t="n">
        <v>21.791</v>
      </c>
      <c r="D295" s="153" t="n">
        <v>0.0191</v>
      </c>
      <c r="E295" s="134" t="n">
        <v>117.58</v>
      </c>
      <c r="F295" s="134" t="n">
        <v>114.66</v>
      </c>
      <c r="G295" s="134" t="n">
        <v>105.14</v>
      </c>
      <c r="H295" s="134" t="n">
        <v>135.65</v>
      </c>
      <c r="I295" s="104" t="n">
        <v>0.1807</v>
      </c>
      <c r="J295" s="104" t="n">
        <v>0.0897</v>
      </c>
      <c r="K295" s="104" t="n">
        <v>-0.0083</v>
      </c>
      <c r="L295" s="134" t="n">
        <v>76.65000000000001</v>
      </c>
      <c r="M295" s="134" t="n">
        <v>1483.95</v>
      </c>
      <c r="N295" s="104" t="n">
        <v>0.0517</v>
      </c>
      <c r="O295" s="134" t="n">
        <v>123</v>
      </c>
      <c r="P295" s="134" t="n">
        <v>0</v>
      </c>
      <c r="Q295" s="134" t="inlineStr">
        <is>
          <t>5 0.85%</t>
        </is>
      </c>
      <c r="R295" s="134" t="inlineStr">
        <is>
          <t>31 1.39%</t>
        </is>
      </c>
      <c r="S295" s="134" t="inlineStr">
        <is>
          <t>51 2.06%</t>
        </is>
      </c>
      <c r="T295" s="134" t="inlineStr">
        <is>
          <t>20 2.49%</t>
        </is>
      </c>
      <c r="U295" s="134" t="inlineStr">
        <is>
          <t>16 2.02%</t>
        </is>
      </c>
    </row>
    <row customHeight="1" ht="17" r="296" s="155">
      <c r="A296" s="105" t="n">
        <v>43543</v>
      </c>
      <c r="B296" s="134" t="n">
        <v>1174.622</v>
      </c>
      <c r="C296" s="152" t="n">
        <v>9.630000000000001</v>
      </c>
      <c r="D296" s="153" t="n">
        <v>0.0083</v>
      </c>
      <c r="E296" s="134" t="n">
        <v>118.522</v>
      </c>
      <c r="F296" s="134" t="n">
        <v>116.2</v>
      </c>
      <c r="G296" s="134" t="n">
        <v>106.62</v>
      </c>
      <c r="H296" s="134" t="n">
        <v>136.89</v>
      </c>
      <c r="I296" s="104" t="n">
        <v>0.1837</v>
      </c>
      <c r="J296" s="104" t="n">
        <v>0.09089999999999999</v>
      </c>
      <c r="K296" s="104" t="n">
        <v>-0.009900000000000001</v>
      </c>
      <c r="L296" s="134" t="n">
        <v>69.95999999999999</v>
      </c>
      <c r="M296" s="134" t="n">
        <v>1483.95</v>
      </c>
      <c r="N296" s="104" t="n">
        <v>0.0471</v>
      </c>
      <c r="O296" s="134" t="n">
        <v>123</v>
      </c>
      <c r="P296" s="134" t="n">
        <v>0</v>
      </c>
      <c r="Q296" s="134" t="inlineStr">
        <is>
          <t>5 -0.02%</t>
        </is>
      </c>
      <c r="R296" s="134" t="inlineStr">
        <is>
          <t>29 0.64%</t>
        </is>
      </c>
      <c r="S296" s="134" t="inlineStr">
        <is>
          <t>44 0.82%</t>
        </is>
      </c>
      <c r="T296" s="134" t="inlineStr">
        <is>
          <t>27 1.41%</t>
        </is>
      </c>
      <c r="U296" s="134" t="inlineStr">
        <is>
          <t>18 0.91%</t>
        </is>
      </c>
    </row>
    <row customHeight="1" ht="17" r="297" s="155">
      <c r="A297" s="105" t="n">
        <v>43544</v>
      </c>
      <c r="B297" s="134" t="n">
        <v>1172.068</v>
      </c>
      <c r="C297" s="150" t="n">
        <v>-2.554</v>
      </c>
      <c r="D297" s="151" t="n">
        <v>-0.0022</v>
      </c>
      <c r="E297" s="134" t="n">
        <v>117.719</v>
      </c>
      <c r="F297" s="134" t="n">
        <v>115.76</v>
      </c>
      <c r="G297" s="134" t="n">
        <v>105.05</v>
      </c>
      <c r="H297" s="134" t="n">
        <v>136.47</v>
      </c>
      <c r="I297" s="104" t="n">
        <v>0.1875</v>
      </c>
      <c r="J297" s="104" t="n">
        <v>0.0964</v>
      </c>
      <c r="K297" s="104" t="n">
        <v>-0.008</v>
      </c>
      <c r="L297" s="134" t="n">
        <v>72.44</v>
      </c>
      <c r="M297" s="134" t="n">
        <v>1883.85</v>
      </c>
      <c r="N297" s="104" t="n">
        <v>0.0385</v>
      </c>
      <c r="O297" s="134" t="n">
        <v>123</v>
      </c>
      <c r="P297" s="134" t="n">
        <v>0</v>
      </c>
      <c r="Q297" s="134" t="inlineStr">
        <is>
          <t>5 -0.13%</t>
        </is>
      </c>
      <c r="R297" s="134" t="inlineStr">
        <is>
          <t>28 -0.23%</t>
        </is>
      </c>
      <c r="S297" s="134" t="inlineStr">
        <is>
          <t>53 -0.03%</t>
        </is>
      </c>
      <c r="T297" s="134" t="inlineStr">
        <is>
          <t>22 -0.77%</t>
        </is>
      </c>
      <c r="U297" s="134" t="inlineStr">
        <is>
          <t>15 0.69%</t>
        </is>
      </c>
    </row>
    <row customHeight="1" ht="17" r="298" s="155">
      <c r="A298" s="105" t="n">
        <v>43545</v>
      </c>
      <c r="B298" s="134" t="n">
        <v>1185.672</v>
      </c>
      <c r="C298" s="152" t="n">
        <v>13.604</v>
      </c>
      <c r="D298" s="153" t="n">
        <v>0.0116</v>
      </c>
      <c r="E298" s="134" t="n">
        <v>119.098</v>
      </c>
      <c r="F298" s="134" t="n">
        <v>116.571</v>
      </c>
      <c r="G298" s="134" t="n">
        <v>106.57</v>
      </c>
      <c r="H298" s="134" t="n">
        <v>137.85</v>
      </c>
      <c r="I298" s="104" t="n">
        <v>0.1875</v>
      </c>
      <c r="J298" s="104" t="n">
        <v>0.09909999999999999</v>
      </c>
      <c r="K298" s="104" t="n">
        <v>-0.0103</v>
      </c>
      <c r="L298" s="134" t="n">
        <v>101.19</v>
      </c>
      <c r="M298" s="134" t="n">
        <v>1890.19</v>
      </c>
      <c r="N298" s="104" t="n">
        <v>0.0535</v>
      </c>
      <c r="O298" s="134" t="n">
        <v>124</v>
      </c>
      <c r="P298" s="134" t="n">
        <v>0</v>
      </c>
      <c r="Q298" s="134" t="inlineStr">
        <is>
          <t>5 0.75%</t>
        </is>
      </c>
      <c r="R298" s="134" t="inlineStr">
        <is>
          <t>24 1.20%</t>
        </is>
      </c>
      <c r="S298" s="134" t="inlineStr">
        <is>
          <t>46 0.68%</t>
        </is>
      </c>
      <c r="T298" s="134" t="inlineStr">
        <is>
          <t>32 1.10%</t>
        </is>
      </c>
      <c r="U298" s="134" t="inlineStr">
        <is>
          <t>17 2.66%</t>
        </is>
      </c>
    </row>
    <row customHeight="1" ht="17" r="299" s="155">
      <c r="A299" s="105" t="n">
        <v>43546</v>
      </c>
      <c r="B299" s="134" t="n">
        <v>1185.159</v>
      </c>
      <c r="C299" s="150" t="n">
        <v>-0.513</v>
      </c>
      <c r="D299" s="151" t="n">
        <v>-0.0004</v>
      </c>
      <c r="E299" s="134" t="n">
        <v>119.003</v>
      </c>
      <c r="F299" s="134" t="n">
        <v>116.856</v>
      </c>
      <c r="G299" s="134" t="n">
        <v>106.39</v>
      </c>
      <c r="H299" s="134" t="n">
        <v>137.39</v>
      </c>
      <c r="I299" s="104" t="n">
        <v>0.1838</v>
      </c>
      <c r="J299" s="104" t="n">
        <v>0.09379999999999999</v>
      </c>
      <c r="K299" s="104" t="n">
        <v>-0.0102</v>
      </c>
      <c r="L299" s="134" t="n">
        <v>65.25</v>
      </c>
      <c r="M299" s="134" t="n">
        <v>1890.19</v>
      </c>
      <c r="N299" s="104" t="n">
        <v>0.0345</v>
      </c>
      <c r="O299" s="134" t="n">
        <v>124</v>
      </c>
      <c r="P299" s="134" t="n">
        <v>0</v>
      </c>
      <c r="Q299" s="134" t="inlineStr">
        <is>
          <t>5 0.41%</t>
        </is>
      </c>
      <c r="R299" s="134" t="inlineStr">
        <is>
          <t>21 0.42%</t>
        </is>
      </c>
      <c r="S299" s="134" t="inlineStr">
        <is>
          <t>52 0.52%</t>
        </is>
      </c>
      <c r="T299" s="134" t="inlineStr">
        <is>
          <t>31 -0.10%</t>
        </is>
      </c>
      <c r="U299" s="134" t="inlineStr">
        <is>
          <t>15 -0.27%</t>
        </is>
      </c>
    </row>
    <row customHeight="1" ht="17" r="300" s="155">
      <c r="A300" s="105" t="n">
        <v>43549</v>
      </c>
      <c r="B300" s="134" t="n">
        <v>1173.43</v>
      </c>
      <c r="C300" s="150" t="n">
        <v>-11.729</v>
      </c>
      <c r="D300" s="151" t="n">
        <v>-0.009900000000000001</v>
      </c>
      <c r="E300" s="134" t="n">
        <v>117.619</v>
      </c>
      <c r="F300" s="134" t="n">
        <v>115</v>
      </c>
      <c r="G300" s="134" t="n">
        <v>106.17</v>
      </c>
      <c r="H300" s="134" t="n">
        <v>136.13</v>
      </c>
      <c r="I300" s="104" t="n">
        <v>0.1851</v>
      </c>
      <c r="J300" s="104" t="n">
        <v>0.095</v>
      </c>
      <c r="K300" s="104" t="n">
        <v>-0.0076</v>
      </c>
      <c r="L300" s="134" t="n">
        <v>68.27</v>
      </c>
      <c r="M300" s="134" t="n">
        <v>1943.52</v>
      </c>
      <c r="N300" s="104" t="n">
        <v>0.0351</v>
      </c>
      <c r="O300" s="134" t="n">
        <v>127</v>
      </c>
      <c r="P300" s="134" t="n">
        <v>0</v>
      </c>
      <c r="Q300" s="134" t="inlineStr">
        <is>
          <t>5 -0.59%</t>
        </is>
      </c>
      <c r="R300" s="134" t="inlineStr">
        <is>
          <t>28 -0.75%</t>
        </is>
      </c>
      <c r="S300" s="134" t="inlineStr">
        <is>
          <t>54 -0.80%</t>
        </is>
      </c>
      <c r="T300" s="134" t="inlineStr">
        <is>
          <t>27 -1.10%</t>
        </is>
      </c>
      <c r="U300" s="134" t="inlineStr">
        <is>
          <t>13 -0.74%</t>
        </is>
      </c>
    </row>
    <row customHeight="1" ht="17" r="301" s="155">
      <c r="A301" s="105" t="n">
        <v>43550</v>
      </c>
      <c r="B301" s="134" t="n">
        <v>1147.822</v>
      </c>
      <c r="C301" s="150" t="n">
        <v>-25.608</v>
      </c>
      <c r="D301" s="151" t="n">
        <v>-0.0218</v>
      </c>
      <c r="E301" s="134" t="n">
        <v>114.987</v>
      </c>
      <c r="F301" s="134" t="n">
        <v>113.005</v>
      </c>
      <c r="G301" s="134" t="n">
        <v>102.91</v>
      </c>
      <c r="H301" s="134" t="n">
        <v>134.3</v>
      </c>
      <c r="I301" s="104" t="n">
        <v>0.1931</v>
      </c>
      <c r="J301" s="104" t="n">
        <v>0.09370000000000001</v>
      </c>
      <c r="K301" s="104" t="n">
        <v>-0.0029</v>
      </c>
      <c r="L301" s="134" t="n">
        <v>68.12</v>
      </c>
      <c r="M301" s="134" t="n">
        <v>1955.48</v>
      </c>
      <c r="N301" s="104" t="n">
        <v>0.0348</v>
      </c>
      <c r="O301" s="134" t="n">
        <v>128</v>
      </c>
      <c r="P301" s="134" t="n">
        <v>0</v>
      </c>
      <c r="Q301" s="134" t="inlineStr">
        <is>
          <t>6 -1.57%</t>
        </is>
      </c>
      <c r="R301" s="134" t="inlineStr">
        <is>
          <t>41 -1.94%</t>
        </is>
      </c>
      <c r="S301" s="134" t="inlineStr">
        <is>
          <t>55 -2.40%</t>
        </is>
      </c>
      <c r="T301" s="134" t="inlineStr">
        <is>
          <t>16 -1.96%</t>
        </is>
      </c>
      <c r="U301" s="134" t="inlineStr">
        <is>
          <t>10 -2.70%</t>
        </is>
      </c>
    </row>
    <row customHeight="1" ht="17" r="302" s="155">
      <c r="A302" s="105" t="n">
        <v>43551</v>
      </c>
      <c r="B302" s="134" t="n">
        <v>1151.667</v>
      </c>
      <c r="C302" s="152" t="n">
        <v>3.845</v>
      </c>
      <c r="D302" s="153" t="n">
        <v>0.0034</v>
      </c>
      <c r="E302" s="134" t="n">
        <v>115.402</v>
      </c>
      <c r="F302" s="134" t="n">
        <v>112.625</v>
      </c>
      <c r="G302" s="134" t="n">
        <v>103.36</v>
      </c>
      <c r="H302" s="134" t="n">
        <v>134.35</v>
      </c>
      <c r="I302" s="104" t="n">
        <v>0.1895</v>
      </c>
      <c r="J302" s="104" t="n">
        <v>0.0998</v>
      </c>
      <c r="K302" s="104" t="n">
        <v>-0.0035</v>
      </c>
      <c r="L302" s="134" t="n">
        <v>66.41</v>
      </c>
      <c r="M302" s="134" t="n">
        <v>1955.48</v>
      </c>
      <c r="N302" s="104" t="n">
        <v>0.034</v>
      </c>
      <c r="O302" s="134" t="n">
        <v>128</v>
      </c>
      <c r="P302" s="134" t="n">
        <v>0</v>
      </c>
      <c r="Q302" s="134" t="inlineStr">
        <is>
          <t>5 0.46%</t>
        </is>
      </c>
      <c r="R302" s="134" t="inlineStr">
        <is>
          <t>42 -0.07%</t>
        </is>
      </c>
      <c r="S302" s="134" t="inlineStr">
        <is>
          <t>51 0.13%</t>
        </is>
      </c>
      <c r="T302" s="134" t="inlineStr">
        <is>
          <t>18 0.20%</t>
        </is>
      </c>
      <c r="U302" s="134" t="inlineStr">
        <is>
          <t>12 2.76%</t>
        </is>
      </c>
    </row>
    <row customHeight="1" ht="17" r="303" s="155">
      <c r="A303" s="105" t="n">
        <v>43552</v>
      </c>
      <c r="B303" s="134" t="n">
        <v>1146.812</v>
      </c>
      <c r="C303" s="150" t="n">
        <v>-4.855</v>
      </c>
      <c r="D303" s="151" t="n">
        <v>-0.0042</v>
      </c>
      <c r="E303" s="134" t="n">
        <v>114.864</v>
      </c>
      <c r="F303" s="134" t="n">
        <v>112.69</v>
      </c>
      <c r="G303" s="134" t="n">
        <v>102.07</v>
      </c>
      <c r="H303" s="134" t="n">
        <v>134.51</v>
      </c>
      <c r="I303" s="104" t="n">
        <v>0.1965</v>
      </c>
      <c r="J303" s="104" t="n">
        <v>0.095</v>
      </c>
      <c r="K303" s="104" t="n">
        <v>-0.0025</v>
      </c>
      <c r="L303" s="134" t="n">
        <v>52.03</v>
      </c>
      <c r="M303" s="134" t="n">
        <v>1955.48</v>
      </c>
      <c r="N303" s="104" t="n">
        <v>0.0266</v>
      </c>
      <c r="O303" s="134" t="n">
        <v>128</v>
      </c>
      <c r="P303" s="134" t="n">
        <v>0</v>
      </c>
      <c r="Q303" s="134" t="inlineStr">
        <is>
          <t>5 -0.18%</t>
        </is>
      </c>
      <c r="R303" s="134" t="inlineStr">
        <is>
          <t>45 -0.18%</t>
        </is>
      </c>
      <c r="S303" s="134" t="inlineStr">
        <is>
          <t>52 -0.21%</t>
        </is>
      </c>
      <c r="T303" s="134" t="inlineStr">
        <is>
          <t>15 -1.39%</t>
        </is>
      </c>
      <c r="U303" s="134" t="inlineStr">
        <is>
          <t>11 -0.58%</t>
        </is>
      </c>
    </row>
    <row customHeight="1" ht="17" r="304" s="155">
      <c r="A304" s="105" t="n">
        <v>43553</v>
      </c>
      <c r="B304" s="134" t="n">
        <v>1167.077</v>
      </c>
      <c r="C304" s="152" t="n">
        <v>20.265</v>
      </c>
      <c r="D304" s="153" t="n">
        <v>0.0177</v>
      </c>
      <c r="E304" s="134" t="n">
        <v>116.889</v>
      </c>
      <c r="F304" s="134" t="n">
        <v>114.01</v>
      </c>
      <c r="G304" s="134" t="n">
        <v>104.7</v>
      </c>
      <c r="H304" s="134" t="n">
        <v>135.04</v>
      </c>
      <c r="I304" s="104" t="n">
        <v>0.1815</v>
      </c>
      <c r="J304" s="104" t="n">
        <v>0.08260000000000001</v>
      </c>
      <c r="K304" s="104" t="n">
        <v>-0.0062</v>
      </c>
      <c r="L304" s="134" t="n">
        <v>74.68000000000001</v>
      </c>
      <c r="M304" s="134" t="n">
        <v>1990.48</v>
      </c>
      <c r="N304" s="104" t="n">
        <v>0.0375</v>
      </c>
      <c r="O304" s="134" t="n">
        <v>129</v>
      </c>
      <c r="P304" s="134" t="n">
        <v>0</v>
      </c>
      <c r="Q304" s="134" t="inlineStr">
        <is>
          <t>5 0.66%</t>
        </is>
      </c>
      <c r="R304" s="134" t="inlineStr">
        <is>
          <t>33 1.31%</t>
        </is>
      </c>
      <c r="S304" s="134" t="inlineStr">
        <is>
          <t>55 2.17%</t>
        </is>
      </c>
      <c r="T304" s="134" t="inlineStr">
        <is>
          <t>24 2.44%</t>
        </is>
      </c>
      <c r="U304" s="134" t="inlineStr">
        <is>
          <t>12 2.72%</t>
        </is>
      </c>
    </row>
    <row customHeight="1" ht="17" r="305" s="155">
      <c r="A305" s="105" t="n">
        <v>43556</v>
      </c>
      <c r="B305" s="134" t="n">
        <v>1198.768</v>
      </c>
      <c r="C305" s="152" t="n">
        <v>31.691</v>
      </c>
      <c r="D305" s="153" t="n">
        <v>0.0272</v>
      </c>
      <c r="E305" s="134" t="n">
        <v>120.167</v>
      </c>
      <c r="F305" s="134" t="n">
        <v>117.31</v>
      </c>
      <c r="G305" s="134" t="n">
        <v>107.49</v>
      </c>
      <c r="H305" s="134" t="n">
        <v>135.92</v>
      </c>
      <c r="I305" s="104" t="n">
        <v>0.1575</v>
      </c>
      <c r="J305" s="104" t="n">
        <v>0.0667</v>
      </c>
      <c r="K305" s="104" t="n">
        <v>-0.0115</v>
      </c>
      <c r="L305" s="134" t="n">
        <v>111.09</v>
      </c>
      <c r="M305" s="134" t="n">
        <v>2009.51</v>
      </c>
      <c r="N305" s="104" t="n">
        <v>0.0553</v>
      </c>
      <c r="O305" s="134" t="n">
        <v>131</v>
      </c>
      <c r="P305" s="134" t="n">
        <v>0</v>
      </c>
      <c r="Q305" s="134" t="inlineStr">
        <is>
          <t>4 1.94%</t>
        </is>
      </c>
      <c r="R305" s="134" t="inlineStr">
        <is>
          <t>22 1.34%</t>
        </is>
      </c>
      <c r="S305" s="134" t="inlineStr">
        <is>
          <t>53 2.12%</t>
        </is>
      </c>
      <c r="T305" s="134" t="inlineStr">
        <is>
          <t>33 3.22%</t>
        </is>
      </c>
      <c r="U305" s="134" t="inlineStr">
        <is>
          <t>19 5.26%</t>
        </is>
      </c>
    </row>
    <row customHeight="1" ht="17" r="306" s="155">
      <c r="A306" s="105" t="n">
        <v>43557</v>
      </c>
      <c r="B306" s="134" t="n">
        <v>1203.097</v>
      </c>
      <c r="C306" s="152" t="n">
        <v>4.329</v>
      </c>
      <c r="D306" s="153" t="n">
        <v>0.0036</v>
      </c>
      <c r="E306" s="134" t="n">
        <v>120.549</v>
      </c>
      <c r="F306" s="134" t="n">
        <v>118.1</v>
      </c>
      <c r="G306" s="134" t="n">
        <v>108.34</v>
      </c>
      <c r="H306" s="134" t="n">
        <v>136.53</v>
      </c>
      <c r="I306" s="104" t="n">
        <v>0.1598</v>
      </c>
      <c r="J306" s="104" t="n">
        <v>0.07580000000000001</v>
      </c>
      <c r="K306" s="104" t="n">
        <v>-0.0124</v>
      </c>
      <c r="L306" s="134" t="n">
        <v>91.97</v>
      </c>
      <c r="M306" s="134" t="n">
        <v>2009.51</v>
      </c>
      <c r="N306" s="104" t="n">
        <v>0.0458</v>
      </c>
      <c r="O306" s="134" t="n">
        <v>131</v>
      </c>
      <c r="P306" s="134" t="n">
        <v>0</v>
      </c>
      <c r="Q306" s="134" t="inlineStr">
        <is>
          <t>3 0.53%</t>
        </is>
      </c>
      <c r="R306" s="134" t="inlineStr">
        <is>
          <t>20 0.65%</t>
        </is>
      </c>
      <c r="S306" s="134" t="inlineStr">
        <is>
          <t>53 0.66%</t>
        </is>
      </c>
      <c r="T306" s="134" t="inlineStr">
        <is>
          <t>35 1.87%</t>
        </is>
      </c>
      <c r="U306" s="134" t="inlineStr">
        <is>
          <t>20 -0.25%</t>
        </is>
      </c>
    </row>
    <row customHeight="1" ht="17" r="307" s="155">
      <c r="A307" s="105" t="n">
        <v>43558</v>
      </c>
      <c r="B307" s="134" t="n">
        <v>1207.581</v>
      </c>
      <c r="C307" s="152" t="n">
        <v>4.484</v>
      </c>
      <c r="D307" s="153" t="n">
        <v>0.0037</v>
      </c>
      <c r="E307" s="134" t="n">
        <v>121.06</v>
      </c>
      <c r="F307" s="134" t="n">
        <v>118.432</v>
      </c>
      <c r="G307" s="134" t="n">
        <v>108.96</v>
      </c>
      <c r="H307" s="134" t="n">
        <v>136.24</v>
      </c>
      <c r="I307" s="104" t="n">
        <v>0.1518</v>
      </c>
      <c r="J307" s="104" t="n">
        <v>0.0713</v>
      </c>
      <c r="K307" s="104" t="n">
        <v>-0.0132</v>
      </c>
      <c r="L307" s="134" t="n">
        <v>78.56</v>
      </c>
      <c r="M307" s="134" t="n">
        <v>2031.13</v>
      </c>
      <c r="N307" s="104" t="n">
        <v>0.0387</v>
      </c>
      <c r="O307" s="134" t="n">
        <v>134</v>
      </c>
      <c r="P307" s="134" t="n">
        <v>0</v>
      </c>
      <c r="Q307" s="134" t="inlineStr">
        <is>
          <t>2 -0.25%</t>
        </is>
      </c>
      <c r="R307" s="134" t="inlineStr">
        <is>
          <t>20 0.37%</t>
        </is>
      </c>
      <c r="S307" s="134" t="inlineStr">
        <is>
          <t>55 0.37%</t>
        </is>
      </c>
      <c r="T307" s="134" t="inlineStr">
        <is>
          <t>38 0.94%</t>
        </is>
      </c>
      <c r="U307" s="134" t="inlineStr">
        <is>
          <t>19 0.91%</t>
        </is>
      </c>
    </row>
    <row customHeight="1" ht="17" r="308" s="155">
      <c r="A308" s="105" t="n">
        <v>43559</v>
      </c>
      <c r="B308" s="134" t="n">
        <v>1215.386</v>
      </c>
      <c r="C308" s="152" t="n">
        <v>7.805</v>
      </c>
      <c r="D308" s="153" t="n">
        <v>0.0065</v>
      </c>
      <c r="E308" s="134" t="n">
        <v>121.741</v>
      </c>
      <c r="F308" s="134" t="n">
        <v>119.406</v>
      </c>
      <c r="G308" s="134" t="n">
        <v>110.56</v>
      </c>
      <c r="H308" s="134" t="n">
        <v>136.49</v>
      </c>
      <c r="I308" s="104" t="n">
        <v>0.1475</v>
      </c>
      <c r="J308" s="104" t="n">
        <v>0.0721</v>
      </c>
      <c r="K308" s="104" t="n">
        <v>-0.0142</v>
      </c>
      <c r="L308" s="134" t="n">
        <v>115.62</v>
      </c>
      <c r="M308" s="134" t="n">
        <v>2240.26</v>
      </c>
      <c r="N308" s="104" t="n">
        <v>0.0516</v>
      </c>
      <c r="O308" s="134" t="n">
        <v>136</v>
      </c>
      <c r="P308" s="134" t="n">
        <v>0</v>
      </c>
      <c r="Q308" s="134" t="inlineStr">
        <is>
          <t>1 0.81%</t>
        </is>
      </c>
      <c r="R308" s="134" t="inlineStr">
        <is>
          <t>20 0.38%</t>
        </is>
      </c>
      <c r="S308" s="134" t="inlineStr">
        <is>
          <t>50 0.67%</t>
        </is>
      </c>
      <c r="T308" s="134" t="inlineStr">
        <is>
          <t>43 1.08%</t>
        </is>
      </c>
      <c r="U308" s="134" t="inlineStr">
        <is>
          <t>22 2.20%</t>
        </is>
      </c>
    </row>
    <row customHeight="1" ht="17" r="309" s="155">
      <c r="A309" s="105" t="n">
        <v>43563</v>
      </c>
      <c r="B309" s="134" t="n">
        <v>1213.011</v>
      </c>
      <c r="C309" s="150" t="n">
        <v>-2.375</v>
      </c>
      <c r="D309" s="151" t="n">
        <v>-0.002</v>
      </c>
      <c r="E309" s="134" t="n">
        <v>121.532</v>
      </c>
      <c r="F309" s="134" t="n">
        <v>119.6</v>
      </c>
      <c r="G309" s="134" t="n">
        <v>109.41</v>
      </c>
      <c r="H309" s="134" t="n">
        <v>136.59</v>
      </c>
      <c r="I309" s="104" t="n">
        <v>0.1506</v>
      </c>
      <c r="J309" s="104" t="n">
        <v>0.0851</v>
      </c>
      <c r="K309" s="104" t="n">
        <v>-0.0138</v>
      </c>
      <c r="L309" s="134" t="n">
        <v>102.15</v>
      </c>
      <c r="M309" s="134" t="n">
        <v>2258.8</v>
      </c>
      <c r="N309" s="104" t="n">
        <v>0.0452</v>
      </c>
      <c r="O309" s="134" t="n">
        <v>137</v>
      </c>
      <c r="P309" s="134" t="n">
        <v>0</v>
      </c>
      <c r="Q309" s="134" t="inlineStr">
        <is>
          <t>1 -0.12%</t>
        </is>
      </c>
      <c r="R309" s="134" t="inlineStr">
        <is>
          <t>19 -0.58%</t>
        </is>
      </c>
      <c r="S309" s="134" t="inlineStr">
        <is>
          <t>55 -0.13%</t>
        </is>
      </c>
      <c r="T309" s="134" t="inlineStr">
        <is>
          <t>37 -0.99%</t>
        </is>
      </c>
      <c r="U309" s="134" t="inlineStr">
        <is>
          <t>25 1.89%</t>
        </is>
      </c>
    </row>
    <row customHeight="1" ht="17" r="310" s="155">
      <c r="A310" s="105" t="n">
        <v>43564</v>
      </c>
      <c r="B310" s="134" t="n">
        <v>1204.443</v>
      </c>
      <c r="C310" s="150" t="n">
        <v>-8.568</v>
      </c>
      <c r="D310" s="151" t="n">
        <v>-0.0071</v>
      </c>
      <c r="E310" s="134" t="n">
        <v>120.515</v>
      </c>
      <c r="F310" s="134" t="n">
        <v>118.988</v>
      </c>
      <c r="G310" s="134" t="n">
        <v>109.41</v>
      </c>
      <c r="H310" s="134" t="n">
        <v>134.65</v>
      </c>
      <c r="I310" s="104" t="n">
        <v>0.1414</v>
      </c>
      <c r="J310" s="104" t="n">
        <v>0.06510000000000001</v>
      </c>
      <c r="K310" s="104" t="n">
        <v>-0.0121</v>
      </c>
      <c r="L310" s="134" t="n">
        <v>69.15000000000001</v>
      </c>
      <c r="M310" s="134" t="n">
        <v>2264.34</v>
      </c>
      <c r="N310" s="104" t="n">
        <v>0.0305</v>
      </c>
      <c r="O310" s="134" t="n">
        <v>137</v>
      </c>
      <c r="P310" s="134" t="n">
        <v>0</v>
      </c>
      <c r="Q310" s="134" t="inlineStr">
        <is>
          <t>1 0.05%</t>
        </is>
      </c>
      <c r="R310" s="134" t="inlineStr">
        <is>
          <t>23 -0.13%</t>
        </is>
      </c>
      <c r="S310" s="134" t="inlineStr">
        <is>
          <t>57 -0.28%</t>
        </is>
      </c>
      <c r="T310" s="134" t="inlineStr">
        <is>
          <t>39 -1.54%</t>
        </is>
      </c>
      <c r="U310" s="134" t="inlineStr">
        <is>
          <t>17 -1.06%</t>
        </is>
      </c>
    </row>
    <row customHeight="1" ht="17" r="311" s="155">
      <c r="A311" s="105" t="n">
        <v>43565</v>
      </c>
      <c r="B311" s="134" t="n">
        <v>1197.535</v>
      </c>
      <c r="C311" s="150" t="n">
        <v>-6.908</v>
      </c>
      <c r="D311" s="151" t="n">
        <v>-0.0057</v>
      </c>
      <c r="E311" s="134" t="n">
        <v>119.82</v>
      </c>
      <c r="F311" s="134" t="n">
        <v>118.3</v>
      </c>
      <c r="G311" s="134" t="n">
        <v>109.75</v>
      </c>
      <c r="H311" s="134" t="n">
        <v>133.7</v>
      </c>
      <c r="I311" s="104" t="n">
        <v>0.1388</v>
      </c>
      <c r="J311" s="104" t="n">
        <v>0.0727</v>
      </c>
      <c r="K311" s="104" t="n">
        <v>-0.011</v>
      </c>
      <c r="L311" s="134" t="n">
        <v>62.54</v>
      </c>
      <c r="M311" s="134" t="n">
        <v>2264.34</v>
      </c>
      <c r="N311" s="104" t="n">
        <v>0.0276</v>
      </c>
      <c r="O311" s="134" t="n">
        <v>137</v>
      </c>
      <c r="P311" s="134" t="n">
        <v>0</v>
      </c>
      <c r="Q311" s="134" t="inlineStr">
        <is>
          <t>3 -0.36%</t>
        </is>
      </c>
      <c r="R311" s="134" t="inlineStr">
        <is>
          <t>23 -0.56%</t>
        </is>
      </c>
      <c r="S311" s="134" t="inlineStr">
        <is>
          <t>63 -0.11%</t>
        </is>
      </c>
      <c r="T311" s="134" t="inlineStr">
        <is>
          <t>31 -0.79%</t>
        </is>
      </c>
      <c r="U311" s="134" t="inlineStr">
        <is>
          <t>17 0.00%</t>
        </is>
      </c>
    </row>
    <row customHeight="1" ht="17" r="312" s="155">
      <c r="A312" s="105" t="n">
        <v>43566</v>
      </c>
      <c r="B312" s="134" t="n">
        <v>1179.969</v>
      </c>
      <c r="C312" s="150" t="n">
        <v>-17.566</v>
      </c>
      <c r="D312" s="151" t="n">
        <v>-0.0147</v>
      </c>
      <c r="E312" s="134" t="n">
        <v>117.992</v>
      </c>
      <c r="F312" s="134" t="n">
        <v>116.275</v>
      </c>
      <c r="G312" s="134" t="n">
        <v>106.19</v>
      </c>
      <c r="H312" s="134" t="n">
        <v>132.45</v>
      </c>
      <c r="I312" s="104" t="n">
        <v>0.1446</v>
      </c>
      <c r="J312" s="104" t="n">
        <v>0.076</v>
      </c>
      <c r="K312" s="104" t="n">
        <v>-0.0078</v>
      </c>
      <c r="L312" s="134" t="n">
        <v>68.31999999999999</v>
      </c>
      <c r="M312" s="134" t="n">
        <v>2324.2</v>
      </c>
      <c r="N312" s="104" t="n">
        <v>0.0294</v>
      </c>
      <c r="O312" s="134" t="n">
        <v>138</v>
      </c>
      <c r="P312" s="134" t="n">
        <v>0</v>
      </c>
      <c r="Q312" s="134" t="inlineStr">
        <is>
          <t>2 -0.05%</t>
        </is>
      </c>
      <c r="R312" s="134" t="inlineStr">
        <is>
          <t>34 -1.15%</t>
        </is>
      </c>
      <c r="S312" s="134" t="inlineStr">
        <is>
          <t>59 -1.55%</t>
        </is>
      </c>
      <c r="T312" s="134" t="inlineStr">
        <is>
          <t>30 -1.52%</t>
        </is>
      </c>
      <c r="U312" s="134" t="inlineStr">
        <is>
          <t>13 -2.02%</t>
        </is>
      </c>
    </row>
    <row customHeight="1" ht="17" r="313" s="155">
      <c r="A313" s="105" t="n">
        <v>43567</v>
      </c>
      <c r="B313" s="134" t="n">
        <v>1182.2</v>
      </c>
      <c r="C313" s="152" t="n">
        <v>2.231</v>
      </c>
      <c r="D313" s="153" t="n">
        <v>0.0019</v>
      </c>
      <c r="E313" s="134" t="n">
        <v>118.256</v>
      </c>
      <c r="F313" s="134" t="n">
        <v>116.145</v>
      </c>
      <c r="G313" s="134" t="n">
        <v>106.52</v>
      </c>
      <c r="H313" s="134" t="n">
        <v>132.63</v>
      </c>
      <c r="I313" s="104" t="n">
        <v>0.1437</v>
      </c>
      <c r="J313" s="104" t="n">
        <v>0.0711</v>
      </c>
      <c r="K313" s="104" t="n">
        <v>-0.007900000000000001</v>
      </c>
      <c r="L313" s="134" t="n">
        <v>62.35</v>
      </c>
      <c r="M313" s="134" t="n">
        <v>2324.2</v>
      </c>
      <c r="N313" s="104" t="n">
        <v>0.0268</v>
      </c>
      <c r="O313" s="134" t="n">
        <v>138</v>
      </c>
      <c r="P313" s="134" t="n">
        <v>0</v>
      </c>
      <c r="Q313" s="134" t="inlineStr">
        <is>
          <t>4 -0.74%</t>
        </is>
      </c>
      <c r="R313" s="134" t="inlineStr">
        <is>
          <t>37 0.02%</t>
        </is>
      </c>
      <c r="S313" s="134" t="inlineStr">
        <is>
          <t>53 -0.13%</t>
        </is>
      </c>
      <c r="T313" s="134" t="inlineStr">
        <is>
          <t>30 0.26%</t>
        </is>
      </c>
      <c r="U313" s="134" t="inlineStr">
        <is>
          <t>14 1.98%</t>
        </is>
      </c>
    </row>
    <row customHeight="1" ht="17" r="314" s="155">
      <c r="A314" s="105" t="n">
        <v>43570</v>
      </c>
      <c r="B314" s="134" t="n">
        <v>1173.821</v>
      </c>
      <c r="C314" s="150" t="n">
        <v>-8.379</v>
      </c>
      <c r="D314" s="151" t="n">
        <v>-0.0071</v>
      </c>
      <c r="E314" s="134" t="n">
        <v>117.438</v>
      </c>
      <c r="F314" s="134" t="n">
        <v>114.95</v>
      </c>
      <c r="G314" s="134" t="n">
        <v>104.87</v>
      </c>
      <c r="H314" s="134" t="n">
        <v>132.18</v>
      </c>
      <c r="I314" s="104" t="n">
        <v>0.1474</v>
      </c>
      <c r="J314" s="104" t="n">
        <v>0.0791</v>
      </c>
      <c r="K314" s="104" t="n">
        <v>-0.0065</v>
      </c>
      <c r="L314" s="134" t="n">
        <v>75.02</v>
      </c>
      <c r="M314" s="134" t="n">
        <v>2324.2</v>
      </c>
      <c r="N314" s="104" t="n">
        <v>0.0323</v>
      </c>
      <c r="O314" s="134" t="n">
        <v>138</v>
      </c>
      <c r="P314" s="134" t="n">
        <v>0</v>
      </c>
      <c r="Q314" s="134" t="inlineStr">
        <is>
          <t>5 -0.66%</t>
        </is>
      </c>
      <c r="R314" s="134" t="inlineStr">
        <is>
          <t>37 -0.53%</t>
        </is>
      </c>
      <c r="S314" s="134" t="inlineStr">
        <is>
          <t>58 -0.94%</t>
        </is>
      </c>
      <c r="T314" s="134" t="inlineStr">
        <is>
          <t>24 -0.55%</t>
        </is>
      </c>
      <c r="U314" s="134" t="inlineStr">
        <is>
          <t>14 -0.05%</t>
        </is>
      </c>
    </row>
    <row customHeight="1" ht="17" r="315" s="155">
      <c r="A315" s="105" t="n">
        <v>43571</v>
      </c>
      <c r="B315" s="134" t="n">
        <v>1180.311</v>
      </c>
      <c r="C315" s="152" t="n">
        <v>6.49</v>
      </c>
      <c r="D315" s="153" t="n">
        <v>0.0055</v>
      </c>
      <c r="E315" s="134" t="n">
        <v>118.212</v>
      </c>
      <c r="F315" s="134" t="n">
        <v>114.919</v>
      </c>
      <c r="G315" s="134" t="n">
        <v>106.57</v>
      </c>
      <c r="H315" s="134" t="n">
        <v>130.93</v>
      </c>
      <c r="I315" s="104" t="n">
        <v>0.1272</v>
      </c>
      <c r="J315" s="104" t="n">
        <v>0.0584</v>
      </c>
      <c r="K315" s="104" t="n">
        <v>-0.0073</v>
      </c>
      <c r="L315" s="134" t="n">
        <v>91.45999999999999</v>
      </c>
      <c r="M315" s="134" t="n">
        <v>2327.03</v>
      </c>
      <c r="N315" s="104" t="n">
        <v>0.0393</v>
      </c>
      <c r="O315" s="134" t="n">
        <v>139</v>
      </c>
      <c r="P315" s="134" t="n">
        <v>0</v>
      </c>
      <c r="Q315" s="134" t="inlineStr">
        <is>
          <t>6 -0.29%</t>
        </is>
      </c>
      <c r="R315" s="134" t="inlineStr">
        <is>
          <t>38 -0.10%</t>
        </is>
      </c>
      <c r="S315" s="134" t="inlineStr">
        <is>
          <t>53 0.31%</t>
        </is>
      </c>
      <c r="T315" s="134" t="inlineStr">
        <is>
          <t>26 0.61%</t>
        </is>
      </c>
      <c r="U315" s="134" t="inlineStr">
        <is>
          <t>16 4.42%</t>
        </is>
      </c>
    </row>
    <row customHeight="1" ht="17" r="316" s="155">
      <c r="A316" s="105" t="n">
        <v>43572</v>
      </c>
      <c r="B316" s="134" t="n">
        <v>1186.724</v>
      </c>
      <c r="C316" s="152" t="n">
        <v>6.413</v>
      </c>
      <c r="D316" s="153" t="n">
        <v>0.0054</v>
      </c>
      <c r="E316" s="134" t="n">
        <v>118.867</v>
      </c>
      <c r="F316" s="134" t="n">
        <v>114.874</v>
      </c>
      <c r="G316" s="134" t="n">
        <v>108.69</v>
      </c>
      <c r="H316" s="134" t="n">
        <v>130.81</v>
      </c>
      <c r="I316" s="104" t="n">
        <v>0.1194</v>
      </c>
      <c r="J316" s="104" t="n">
        <v>0.0554</v>
      </c>
      <c r="K316" s="104" t="n">
        <v>-0.008399999999999999</v>
      </c>
      <c r="L316" s="134" t="n">
        <v>102.79</v>
      </c>
      <c r="M316" s="134" t="n">
        <v>2350.56</v>
      </c>
      <c r="N316" s="104" t="n">
        <v>0.0437</v>
      </c>
      <c r="O316" s="134" t="n">
        <v>142</v>
      </c>
      <c r="P316" s="134" t="n">
        <v>0</v>
      </c>
      <c r="Q316" s="134" t="inlineStr">
        <is>
          <t>6 0.13%</t>
        </is>
      </c>
      <c r="R316" s="134" t="inlineStr">
        <is>
          <t>38 0.39%</t>
        </is>
      </c>
      <c r="S316" s="134" t="inlineStr">
        <is>
          <t>52 0.22%</t>
        </is>
      </c>
      <c r="T316" s="134" t="inlineStr">
        <is>
          <t>28 0.71%</t>
        </is>
      </c>
      <c r="U316" s="134" t="inlineStr">
        <is>
          <t>18 2.17%</t>
        </is>
      </c>
    </row>
    <row customHeight="1" ht="17" r="317" s="155">
      <c r="A317" s="105" t="n">
        <v>43573</v>
      </c>
      <c r="B317" s="134" t="n">
        <v>1186.301</v>
      </c>
      <c r="C317" s="150" t="n">
        <v>-0.423</v>
      </c>
      <c r="D317" s="151" t="n">
        <v>-0.0004</v>
      </c>
      <c r="E317" s="134" t="n">
        <v>118.66</v>
      </c>
      <c r="F317" s="134" t="n">
        <v>115.03</v>
      </c>
      <c r="G317" s="134" t="n">
        <v>108.55</v>
      </c>
      <c r="H317" s="134" t="n">
        <v>130.66</v>
      </c>
      <c r="I317" s="104" t="n">
        <v>0.12</v>
      </c>
      <c r="J317" s="104" t="n">
        <v>0.0536</v>
      </c>
      <c r="K317" s="104" t="n">
        <v>-0.0081</v>
      </c>
      <c r="L317" s="134" t="n">
        <v>88.7</v>
      </c>
      <c r="M317" s="134" t="n">
        <v>2352.66</v>
      </c>
      <c r="N317" s="104" t="n">
        <v>0.0377</v>
      </c>
      <c r="O317" s="134" t="n">
        <v>143</v>
      </c>
      <c r="P317" s="134" t="n">
        <v>0</v>
      </c>
      <c r="Q317" s="134" t="inlineStr">
        <is>
          <t>5 0.22%</t>
        </is>
      </c>
      <c r="R317" s="134" t="inlineStr">
        <is>
          <t>38 0.11%</t>
        </is>
      </c>
      <c r="S317" s="134" t="inlineStr">
        <is>
          <t>52 0.14%</t>
        </is>
      </c>
      <c r="T317" s="134" t="inlineStr">
        <is>
          <t>31 -0.06%</t>
        </is>
      </c>
      <c r="U317" s="134" t="inlineStr">
        <is>
          <t>17 -0.67%</t>
        </is>
      </c>
    </row>
    <row customHeight="1" ht="17" r="318" s="155">
      <c r="A318" s="105" t="n">
        <v>43574</v>
      </c>
      <c r="B318" s="134" t="n">
        <v>1189.295</v>
      </c>
      <c r="C318" s="152" t="n">
        <v>2.994</v>
      </c>
      <c r="D318" s="153" t="n">
        <v>0.0025</v>
      </c>
      <c r="E318" s="134" t="n">
        <v>118.876</v>
      </c>
      <c r="F318" s="134" t="n">
        <v>115.295</v>
      </c>
      <c r="G318" s="134" t="n">
        <v>108.67</v>
      </c>
      <c r="H318" s="134" t="n">
        <v>130.39</v>
      </c>
      <c r="I318" s="104" t="n">
        <v>0.1151</v>
      </c>
      <c r="J318" s="104" t="n">
        <v>0.0465</v>
      </c>
      <c r="K318" s="104" t="n">
        <v>-0.008399999999999999</v>
      </c>
      <c r="L318" s="134" t="n">
        <v>86.15000000000001</v>
      </c>
      <c r="M318" s="134" t="n">
        <v>2358.96</v>
      </c>
      <c r="N318" s="104" t="n">
        <v>0.0365</v>
      </c>
      <c r="O318" s="134" t="n">
        <v>144</v>
      </c>
      <c r="P318" s="134" t="n">
        <v>0</v>
      </c>
      <c r="Q318" s="134" t="inlineStr">
        <is>
          <t>4 0.13%</t>
        </is>
      </c>
      <c r="R318" s="134" t="inlineStr">
        <is>
          <t>38 0.02%</t>
        </is>
      </c>
      <c r="S318" s="134" t="inlineStr">
        <is>
          <t>53 0.29%</t>
        </is>
      </c>
      <c r="T318" s="134" t="inlineStr">
        <is>
          <t>31 0.54%</t>
        </is>
      </c>
      <c r="U318" s="134" t="inlineStr">
        <is>
          <t>18 0.99%</t>
        </is>
      </c>
    </row>
    <row customHeight="1" ht="17" r="319" s="155">
      <c r="A319" s="105" t="n">
        <v>43577</v>
      </c>
      <c r="B319" s="134" t="n">
        <v>1183.546</v>
      </c>
      <c r="C319" s="150" t="n">
        <v>-5.749</v>
      </c>
      <c r="D319" s="151" t="n">
        <v>-0.0048</v>
      </c>
      <c r="E319" s="134" t="n">
        <v>118.353</v>
      </c>
      <c r="F319" s="134" t="n">
        <v>114.13</v>
      </c>
      <c r="G319" s="134" t="n">
        <v>107.15</v>
      </c>
      <c r="H319" s="134" t="n">
        <v>130.66</v>
      </c>
      <c r="I319" s="104" t="n">
        <v>0.1231</v>
      </c>
      <c r="J319" s="104" t="n">
        <v>0.0433</v>
      </c>
      <c r="K319" s="104" t="n">
        <v>-0.007</v>
      </c>
      <c r="L319" s="134" t="n">
        <v>91.56</v>
      </c>
      <c r="M319" s="134" t="n">
        <v>2364.93</v>
      </c>
      <c r="N319" s="104" t="n">
        <v>0.0387</v>
      </c>
      <c r="O319" s="134" t="n">
        <v>146</v>
      </c>
      <c r="P319" s="134" t="n">
        <v>0</v>
      </c>
      <c r="Q319" s="134" t="inlineStr">
        <is>
          <t>6 -0.40%</t>
        </is>
      </c>
      <c r="R319" s="134" t="inlineStr">
        <is>
          <t>44 -0.63%</t>
        </is>
      </c>
      <c r="S319" s="134" t="inlineStr">
        <is>
          <t>51 -1.19%</t>
        </is>
      </c>
      <c r="T319" s="134" t="inlineStr">
        <is>
          <t>29 -1.58%</t>
        </is>
      </c>
      <c r="U319" s="134" t="inlineStr">
        <is>
          <t>16 4.70%</t>
        </is>
      </c>
    </row>
    <row customHeight="1" ht="17" r="320" s="155">
      <c r="A320" s="105" t="n">
        <v>43578</v>
      </c>
      <c r="B320" s="134" t="n">
        <v>1166.897</v>
      </c>
      <c r="C320" s="150" t="n">
        <v>-16.649</v>
      </c>
      <c r="D320" s="151" t="n">
        <v>-0.0141</v>
      </c>
      <c r="E320" s="134" t="n">
        <v>116.436</v>
      </c>
      <c r="F320" s="134" t="n">
        <v>113</v>
      </c>
      <c r="G320" s="134" t="n">
        <v>105.21</v>
      </c>
      <c r="H320" s="134" t="n">
        <v>128.88</v>
      </c>
      <c r="I320" s="104" t="n">
        <v>0.1244</v>
      </c>
      <c r="J320" s="104" t="n">
        <v>0.0583</v>
      </c>
      <c r="K320" s="104" t="n">
        <v>-0.0038</v>
      </c>
      <c r="L320" s="134" t="n">
        <v>94.03</v>
      </c>
      <c r="M320" s="134" t="n">
        <v>2368.2</v>
      </c>
      <c r="N320" s="104" t="n">
        <v>0.0397</v>
      </c>
      <c r="O320" s="134" t="n">
        <v>147</v>
      </c>
      <c r="P320" s="134" t="n">
        <v>0</v>
      </c>
      <c r="Q320" s="134" t="inlineStr">
        <is>
          <t>6 -0.75%</t>
        </is>
      </c>
      <c r="R320" s="134" t="inlineStr">
        <is>
          <t>53 -1.27%</t>
        </is>
      </c>
      <c r="S320" s="134" t="inlineStr">
        <is>
          <t>50 -1.11%</t>
        </is>
      </c>
      <c r="T320" s="134" t="inlineStr">
        <is>
          <t>25 -2.17%</t>
        </is>
      </c>
      <c r="U320" s="134" t="inlineStr">
        <is>
          <t>13 -1.96%</t>
        </is>
      </c>
    </row>
    <row customHeight="1" ht="17" r="321" s="155">
      <c r="A321" s="105" t="n">
        <v>43579</v>
      </c>
      <c r="B321" s="134" t="n">
        <v>1164.341</v>
      </c>
      <c r="C321" s="150" t="n">
        <v>-2.556</v>
      </c>
      <c r="D321" s="151" t="n">
        <v>-0.0022</v>
      </c>
      <c r="E321" s="134" t="n">
        <v>116.196</v>
      </c>
      <c r="F321" s="134" t="n">
        <v>112.26</v>
      </c>
      <c r="G321" s="134" t="n">
        <v>105</v>
      </c>
      <c r="H321" s="134" t="n">
        <v>127.54</v>
      </c>
      <c r="I321" s="104" t="n">
        <v>0.1134</v>
      </c>
      <c r="J321" s="104" t="n">
        <v>0.0415</v>
      </c>
      <c r="K321" s="104" t="n">
        <v>-0.0033</v>
      </c>
      <c r="L321" s="134" t="n">
        <v>92.31999999999999</v>
      </c>
      <c r="M321" s="134" t="n">
        <v>2368.02</v>
      </c>
      <c r="N321" s="104" t="n">
        <v>0.039</v>
      </c>
      <c r="O321" s="134" t="n">
        <v>146</v>
      </c>
      <c r="P321" s="134" t="n">
        <v>0</v>
      </c>
      <c r="Q321" s="134" t="inlineStr">
        <is>
          <t>7 -0.53%</t>
        </is>
      </c>
      <c r="R321" s="134" t="inlineStr">
        <is>
          <t>53 -0.11%</t>
        </is>
      </c>
      <c r="S321" s="134" t="inlineStr">
        <is>
          <t>51 -0.26%</t>
        </is>
      </c>
      <c r="T321" s="134" t="inlineStr">
        <is>
          <t>21 1.50%</t>
        </is>
      </c>
      <c r="U321" s="134" t="inlineStr">
        <is>
          <t>14 0.90%</t>
        </is>
      </c>
    </row>
    <row customHeight="1" ht="17" r="322" s="155">
      <c r="A322" s="105" t="n">
        <v>43580</v>
      </c>
      <c r="B322" s="134" t="n">
        <v>1143.98</v>
      </c>
      <c r="C322" s="150" t="n">
        <v>-20.361</v>
      </c>
      <c r="D322" s="151" t="n">
        <v>-0.0175</v>
      </c>
      <c r="E322" s="134" t="n">
        <v>113.875</v>
      </c>
      <c r="F322" s="134" t="n">
        <v>109.685</v>
      </c>
      <c r="G322" s="134" t="n">
        <v>100.62</v>
      </c>
      <c r="H322" s="134" t="n">
        <v>127.15</v>
      </c>
      <c r="I322" s="104" t="n">
        <v>0.1328</v>
      </c>
      <c r="J322" s="104" t="n">
        <v>0.0649</v>
      </c>
      <c r="K322" s="104" t="n">
        <v>0.001</v>
      </c>
      <c r="L322" s="134" t="n">
        <v>80.90000000000001</v>
      </c>
      <c r="M322" s="134" t="n">
        <v>2406.25</v>
      </c>
      <c r="N322" s="104" t="n">
        <v>0.0336</v>
      </c>
      <c r="O322" s="134" t="n">
        <v>152</v>
      </c>
      <c r="P322" s="134" t="n">
        <v>0</v>
      </c>
      <c r="Q322" s="134" t="inlineStr">
        <is>
          <t>8 -1.34%</t>
        </is>
      </c>
      <c r="R322" s="134" t="inlineStr">
        <is>
          <t>70 -1.89%</t>
        </is>
      </c>
      <c r="S322" s="134" t="inlineStr">
        <is>
          <t>49 -2.45%</t>
        </is>
      </c>
      <c r="T322" s="134" t="inlineStr">
        <is>
          <t>11 -2.29%</t>
        </is>
      </c>
      <c r="U322" s="134" t="inlineStr">
        <is>
          <t>14 1.59%</t>
        </is>
      </c>
    </row>
    <row customHeight="1" ht="17" r="323" s="155">
      <c r="A323" s="105" t="n">
        <v>43581</v>
      </c>
      <c r="B323" s="134" t="n">
        <v>1135.778</v>
      </c>
      <c r="C323" s="150" t="n">
        <v>-8.202</v>
      </c>
      <c r="D323" s="151" t="n">
        <v>-0.0072</v>
      </c>
      <c r="E323" s="134" t="n">
        <v>113.113</v>
      </c>
      <c r="F323" s="134" t="n">
        <v>108.981</v>
      </c>
      <c r="G323" s="134" t="n">
        <v>99.11</v>
      </c>
      <c r="H323" s="134" t="n">
        <v>127.01</v>
      </c>
      <c r="I323" s="104" t="n">
        <v>0.139</v>
      </c>
      <c r="J323" s="104" t="n">
        <v>0.0789</v>
      </c>
      <c r="K323" s="104" t="n">
        <v>0.0026</v>
      </c>
      <c r="L323" s="134" t="n">
        <v>88.29000000000001</v>
      </c>
      <c r="M323" s="134" t="n">
        <v>2406.25</v>
      </c>
      <c r="N323" s="104" t="n">
        <v>0.0367</v>
      </c>
      <c r="O323" s="134" t="n">
        <v>152</v>
      </c>
      <c r="P323" s="134" t="n">
        <v>0</v>
      </c>
      <c r="Q323" s="134" t="inlineStr">
        <is>
          <t>11 -0.71%</t>
        </is>
      </c>
      <c r="R323" s="134" t="inlineStr">
        <is>
          <t>74 -0.85%</t>
        </is>
      </c>
      <c r="S323" s="134" t="inlineStr">
        <is>
          <t>45 -0.79%</t>
        </is>
      </c>
      <c r="T323" s="134" t="inlineStr">
        <is>
          <t>9 -0.68%</t>
        </is>
      </c>
      <c r="U323" s="134" t="inlineStr">
        <is>
          <t>13 0.53%</t>
        </is>
      </c>
    </row>
    <row customHeight="1" ht="17" r="324" s="155">
      <c r="A324" s="105" t="n">
        <v>43584</v>
      </c>
      <c r="B324" s="134" t="n">
        <v>1120.385</v>
      </c>
      <c r="C324" s="150" t="n">
        <v>-15.393</v>
      </c>
      <c r="D324" s="151" t="n">
        <v>-0.0136</v>
      </c>
      <c r="E324" s="134" t="n">
        <v>110.79</v>
      </c>
      <c r="F324" s="134" t="n">
        <v>107.14</v>
      </c>
      <c r="G324" s="134" t="n">
        <v>96.91</v>
      </c>
      <c r="H324" s="134" t="n">
        <v>126.85</v>
      </c>
      <c r="I324" s="104" t="n">
        <v>0.1606</v>
      </c>
      <c r="J324" s="104" t="n">
        <v>0.1219</v>
      </c>
      <c r="K324" s="104" t="n">
        <v>0.0065</v>
      </c>
      <c r="L324" s="134" t="n">
        <v>79.29000000000001</v>
      </c>
      <c r="M324" s="134" t="n">
        <v>2436.03</v>
      </c>
      <c r="N324" s="104" t="n">
        <v>0.0326</v>
      </c>
      <c r="O324" s="134" t="n">
        <v>151</v>
      </c>
      <c r="P324" s="134" t="n">
        <v>0</v>
      </c>
      <c r="Q324" s="134" t="inlineStr">
        <is>
          <t>15 -0.72%</t>
        </is>
      </c>
      <c r="R324" s="134" t="inlineStr">
        <is>
          <t>79 -1.19%</t>
        </is>
      </c>
      <c r="S324" s="134" t="inlineStr">
        <is>
          <t>36 -1.27%</t>
        </is>
      </c>
      <c r="T324" s="134" t="inlineStr">
        <is>
          <t>11 0.65%</t>
        </is>
      </c>
      <c r="U324" s="134" t="inlineStr">
        <is>
          <t>10 -6.14%</t>
        </is>
      </c>
    </row>
    <row customHeight="1" ht="17" r="325" s="155">
      <c r="A325" s="105" t="n">
        <v>43585</v>
      </c>
      <c r="B325" s="134" t="n">
        <v>1128.872</v>
      </c>
      <c r="C325" s="152" t="n">
        <v>8.487</v>
      </c>
      <c r="D325" s="153" t="n">
        <v>0.0076</v>
      </c>
      <c r="E325" s="134" t="n">
        <v>111.675</v>
      </c>
      <c r="F325" s="134" t="n">
        <v>108.14</v>
      </c>
      <c r="G325" s="134" t="n">
        <v>97.56</v>
      </c>
      <c r="H325" s="134" t="n">
        <v>127.26</v>
      </c>
      <c r="I325" s="104" t="n">
        <v>0.1559</v>
      </c>
      <c r="J325" s="104" t="n">
        <v>0.1066</v>
      </c>
      <c r="K325" s="104" t="n">
        <v>0.0049</v>
      </c>
      <c r="L325" s="134" t="n">
        <v>61.89</v>
      </c>
      <c r="M325" s="134" t="n">
        <v>2436.03</v>
      </c>
      <c r="N325" s="104" t="n">
        <v>0.0254</v>
      </c>
      <c r="O325" s="134" t="n">
        <v>151</v>
      </c>
      <c r="P325" s="134" t="n">
        <v>0</v>
      </c>
      <c r="Q325" s="134" t="inlineStr">
        <is>
          <t>15 -0.02%</t>
        </is>
      </c>
      <c r="R325" s="134" t="inlineStr">
        <is>
          <t>73 0.58%</t>
        </is>
      </c>
      <c r="S325" s="134" t="inlineStr">
        <is>
          <t>40 0.94%</t>
        </is>
      </c>
      <c r="T325" s="134" t="inlineStr">
        <is>
          <t>12 1.12%</t>
        </is>
      </c>
      <c r="U325" s="134" t="inlineStr">
        <is>
          <t>11 2.09%</t>
        </is>
      </c>
    </row>
    <row customHeight="1" ht="17" r="326" s="155">
      <c r="A326" s="105" t="n">
        <v>43591</v>
      </c>
      <c r="B326" s="134" t="n">
        <v>1091.884</v>
      </c>
      <c r="C326" s="150" t="n">
        <v>-36.988</v>
      </c>
      <c r="D326" s="151" t="n">
        <v>-0.0328</v>
      </c>
      <c r="E326" s="134" t="n">
        <v>107.657</v>
      </c>
      <c r="F326" s="134" t="n">
        <v>104.79</v>
      </c>
      <c r="G326" s="134" t="n">
        <v>89.34999999999999</v>
      </c>
      <c r="H326" s="134" t="n">
        <v>128.37</v>
      </c>
      <c r="I326" s="104" t="n">
        <v>0.2071</v>
      </c>
      <c r="J326" s="104" t="n">
        <v>0.1429</v>
      </c>
      <c r="K326" s="104" t="n">
        <v>0.0122</v>
      </c>
      <c r="L326" s="134" t="n">
        <v>95.61</v>
      </c>
      <c r="M326" s="134" t="n">
        <v>2514.73</v>
      </c>
      <c r="N326" s="104" t="n">
        <v>0.038</v>
      </c>
      <c r="O326" s="134" t="n">
        <v>154</v>
      </c>
      <c r="P326" s="134" t="n">
        <v>0</v>
      </c>
      <c r="Q326" s="134" t="inlineStr">
        <is>
          <t>37 -2.29%</t>
        </is>
      </c>
      <c r="R326" s="134" t="inlineStr">
        <is>
          <t>79 -3.09%</t>
        </is>
      </c>
      <c r="S326" s="134" t="inlineStr">
        <is>
          <t>24 -4.11%</t>
        </is>
      </c>
      <c r="T326" s="134" t="inlineStr">
        <is>
          <t>7 -4.01%</t>
        </is>
      </c>
      <c r="U326" s="134" t="inlineStr">
        <is>
          <t>7 -7.00%</t>
        </is>
      </c>
    </row>
    <row customHeight="1" ht="17" r="327" s="155">
      <c r="A327" s="105" t="n">
        <v>43592</v>
      </c>
      <c r="B327" s="134" t="n">
        <v>1098.191</v>
      </c>
      <c r="C327" s="152" t="n">
        <v>6.307</v>
      </c>
      <c r="D327" s="153" t="n">
        <v>0.0058</v>
      </c>
      <c r="E327" s="134" t="n">
        <v>108.208</v>
      </c>
      <c r="F327" s="134" t="n">
        <v>105.447</v>
      </c>
      <c r="G327" s="134" t="n">
        <v>90.40000000000001</v>
      </c>
      <c r="H327" s="134" t="n">
        <v>127.92</v>
      </c>
      <c r="I327" s="104" t="n">
        <v>0.1971</v>
      </c>
      <c r="J327" s="104" t="n">
        <v>0.1367</v>
      </c>
      <c r="K327" s="104" t="n">
        <v>0.0111</v>
      </c>
      <c r="L327" s="134" t="n">
        <v>89.06999999999999</v>
      </c>
      <c r="M327" s="134" t="n">
        <v>2514.73</v>
      </c>
      <c r="N327" s="104" t="n">
        <v>0.0354</v>
      </c>
      <c r="O327" s="134" t="n">
        <v>154</v>
      </c>
      <c r="P327" s="134" t="n">
        <v>0</v>
      </c>
      <c r="Q327" s="134" t="inlineStr">
        <is>
          <t>35 0.03%</t>
        </is>
      </c>
      <c r="R327" s="134" t="inlineStr">
        <is>
          <t>77 0.65%</t>
        </is>
      </c>
      <c r="S327" s="134" t="inlineStr">
        <is>
          <t>24 0.66%</t>
        </is>
      </c>
      <c r="T327" s="134" t="inlineStr">
        <is>
          <t>10 2.12%</t>
        </is>
      </c>
      <c r="U327" s="134" t="inlineStr">
        <is>
          <t>8 -0.37%</t>
        </is>
      </c>
    </row>
    <row customHeight="1" ht="17" r="328" s="155">
      <c r="A328" s="105" t="n">
        <v>43593</v>
      </c>
      <c r="B328" s="134" t="n">
        <v>1102.641</v>
      </c>
      <c r="C328" s="152" t="n">
        <v>4.45</v>
      </c>
      <c r="D328" s="153" t="n">
        <v>0.0041</v>
      </c>
      <c r="E328" s="134" t="n">
        <v>108.445</v>
      </c>
      <c r="F328" s="134" t="n">
        <v>105.83</v>
      </c>
      <c r="G328" s="134" t="n">
        <v>90.48999999999999</v>
      </c>
      <c r="H328" s="134" t="n">
        <v>129.15</v>
      </c>
      <c r="I328" s="104" t="n">
        <v>0.207</v>
      </c>
      <c r="J328" s="104" t="n">
        <v>0.1457</v>
      </c>
      <c r="K328" s="104" t="n">
        <v>0.0105</v>
      </c>
      <c r="L328" s="134" t="n">
        <v>79.44</v>
      </c>
      <c r="M328" s="134" t="n">
        <v>2541.12</v>
      </c>
      <c r="N328" s="104" t="n">
        <v>0.0313</v>
      </c>
      <c r="O328" s="134" t="n">
        <v>156</v>
      </c>
      <c r="P328" s="134" t="n">
        <v>0</v>
      </c>
      <c r="Q328" s="134" t="inlineStr">
        <is>
          <t>35 0.06%</t>
        </is>
      </c>
      <c r="R328" s="134" t="inlineStr">
        <is>
          <t>75 0.50%</t>
        </is>
      </c>
      <c r="S328" s="134" t="inlineStr">
        <is>
          <t>27 0.85%</t>
        </is>
      </c>
      <c r="T328" s="134" t="inlineStr">
        <is>
          <t>11 1.33%</t>
        </is>
      </c>
      <c r="U328" s="134" t="inlineStr">
        <is>
          <t>8 -2.02%</t>
        </is>
      </c>
    </row>
    <row customHeight="1" ht="17" r="329" s="155">
      <c r="A329" s="105" t="n">
        <v>43594</v>
      </c>
      <c r="B329" s="134" t="n">
        <v>1103.084</v>
      </c>
      <c r="C329" s="152" t="n">
        <v>0.443</v>
      </c>
      <c r="D329" s="153" t="n">
        <v>0.0004</v>
      </c>
      <c r="E329" s="134" t="n">
        <v>108.328</v>
      </c>
      <c r="F329" s="134" t="n">
        <v>105.555</v>
      </c>
      <c r="G329" s="134" t="n">
        <v>89.20999999999999</v>
      </c>
      <c r="H329" s="134" t="n">
        <v>130.13</v>
      </c>
      <c r="I329" s="104" t="n">
        <v>0.218</v>
      </c>
      <c r="J329" s="104" t="n">
        <v>0.1631</v>
      </c>
      <c r="K329" s="104" t="n">
        <v>0.0105</v>
      </c>
      <c r="L329" s="134" t="n">
        <v>82.48</v>
      </c>
      <c r="M329" s="134" t="n">
        <v>2628.92</v>
      </c>
      <c r="N329" s="104" t="n">
        <v>0.0314</v>
      </c>
      <c r="O329" s="134" t="n">
        <v>158</v>
      </c>
      <c r="P329" s="134" t="n">
        <v>0</v>
      </c>
      <c r="Q329" s="134" t="inlineStr">
        <is>
          <t>32 0.05%</t>
        </is>
      </c>
      <c r="R329" s="134" t="inlineStr">
        <is>
          <t>77 0.12%</t>
        </is>
      </c>
      <c r="S329" s="134" t="inlineStr">
        <is>
          <t>32 0.05%</t>
        </is>
      </c>
      <c r="T329" s="134" t="inlineStr">
        <is>
          <t>10 -0.48%</t>
        </is>
      </c>
      <c r="U329" s="134" t="inlineStr">
        <is>
          <t>7 -0.14%</t>
        </is>
      </c>
    </row>
    <row customHeight="1" ht="17" r="330" s="155">
      <c r="A330" s="105" t="n">
        <v>43595</v>
      </c>
      <c r="B330" s="134" t="n">
        <v>1123.795</v>
      </c>
      <c r="C330" s="152" t="n">
        <v>20.711</v>
      </c>
      <c r="D330" s="153" t="n">
        <v>0.0188</v>
      </c>
      <c r="E330" s="134" t="n">
        <v>110.498</v>
      </c>
      <c r="F330" s="134" t="n">
        <v>107.508</v>
      </c>
      <c r="G330" s="134" t="n">
        <v>92.25</v>
      </c>
      <c r="H330" s="134" t="n">
        <v>130.29</v>
      </c>
      <c r="I330" s="104" t="n">
        <v>0.198</v>
      </c>
      <c r="J330" s="104" t="n">
        <v>0.1454</v>
      </c>
      <c r="K330" s="104" t="n">
        <v>0.0067</v>
      </c>
      <c r="L330" s="134" t="n">
        <v>103.67</v>
      </c>
      <c r="M330" s="134" t="n">
        <v>2628.92</v>
      </c>
      <c r="N330" s="104" t="n">
        <v>0.0394</v>
      </c>
      <c r="O330" s="134" t="n">
        <v>158</v>
      </c>
      <c r="P330" s="134" t="n">
        <v>0</v>
      </c>
      <c r="Q330" s="134" t="inlineStr">
        <is>
          <t>21 0.51%</t>
        </is>
      </c>
      <c r="R330" s="134" t="inlineStr">
        <is>
          <t>76 1.31%</t>
        </is>
      </c>
      <c r="S330" s="134" t="inlineStr">
        <is>
          <t>38 2.18%</t>
        </is>
      </c>
      <c r="T330" s="134" t="inlineStr">
        <is>
          <t>12 3.28%</t>
        </is>
      </c>
      <c r="U330" s="134" t="inlineStr">
        <is>
          <t>11 5.46%</t>
        </is>
      </c>
    </row>
    <row customHeight="1" ht="17" r="331" s="155">
      <c r="A331" s="105" t="n">
        <v>43598</v>
      </c>
      <c r="B331" s="134" t="n">
        <v>1118.493</v>
      </c>
      <c r="C331" s="150" t="n">
        <v>-5.302</v>
      </c>
      <c r="D331" s="151" t="n">
        <v>-0.0047</v>
      </c>
      <c r="E331" s="134" t="n">
        <v>109.738</v>
      </c>
      <c r="F331" s="134" t="n">
        <v>107.099</v>
      </c>
      <c r="G331" s="134" t="n">
        <v>91.72</v>
      </c>
      <c r="H331" s="134" t="n">
        <v>130.2</v>
      </c>
      <c r="I331" s="104" t="n">
        <v>0.2046</v>
      </c>
      <c r="J331" s="104" t="n">
        <v>0.1487</v>
      </c>
      <c r="K331" s="104" t="n">
        <v>0.0083</v>
      </c>
      <c r="L331" s="134" t="n">
        <v>68.84999999999999</v>
      </c>
      <c r="M331" s="134" t="n">
        <v>2636.62</v>
      </c>
      <c r="N331" s="104" t="n">
        <v>0.0261</v>
      </c>
      <c r="O331" s="134" t="n">
        <v>158</v>
      </c>
      <c r="P331" s="134" t="n">
        <v>0</v>
      </c>
      <c r="Q331" s="134" t="inlineStr">
        <is>
          <t>28 -0.65%</t>
        </is>
      </c>
      <c r="R331" s="134" t="inlineStr">
        <is>
          <t>75 -0.48%</t>
        </is>
      </c>
      <c r="S331" s="134" t="inlineStr">
        <is>
          <t>35 -0.62%</t>
        </is>
      </c>
      <c r="T331" s="134" t="inlineStr">
        <is>
          <t>13 -0.32%</t>
        </is>
      </c>
      <c r="U331" s="134" t="inlineStr">
        <is>
          <t>7 0.83%</t>
        </is>
      </c>
    </row>
    <row customHeight="1" ht="17" r="332" s="155">
      <c r="A332" s="105" t="n">
        <v>43599</v>
      </c>
      <c r="B332" s="134" t="n">
        <v>1120.679</v>
      </c>
      <c r="C332" s="152" t="n">
        <v>2.186</v>
      </c>
      <c r="D332" s="153" t="n">
        <v>0.002</v>
      </c>
      <c r="E332" s="134" t="n">
        <v>109.982</v>
      </c>
      <c r="F332" s="134" t="n">
        <v>107.25</v>
      </c>
      <c r="G332" s="134" t="n">
        <v>91.12</v>
      </c>
      <c r="H332" s="134" t="n">
        <v>131.5</v>
      </c>
      <c r="I332" s="104" t="n">
        <v>0.2152</v>
      </c>
      <c r="J332" s="104" t="n">
        <v>0.1588</v>
      </c>
      <c r="K332" s="104" t="n">
        <v>0.007900000000000001</v>
      </c>
      <c r="L332" s="134" t="n">
        <v>73.16</v>
      </c>
      <c r="M332" s="134" t="n">
        <v>2636.62</v>
      </c>
      <c r="N332" s="104" t="n">
        <v>0.0277</v>
      </c>
      <c r="O332" s="134" t="n">
        <v>158</v>
      </c>
      <c r="P332" s="134" t="n">
        <v>0</v>
      </c>
      <c r="Q332" s="134" t="inlineStr">
        <is>
          <t>29 -0.07%</t>
        </is>
      </c>
      <c r="R332" s="134" t="inlineStr">
        <is>
          <t>72 0.17%</t>
        </is>
      </c>
      <c r="S332" s="134" t="inlineStr">
        <is>
          <t>37 0.10%</t>
        </is>
      </c>
      <c r="T332" s="134" t="inlineStr">
        <is>
          <t>12 0.26%</t>
        </is>
      </c>
      <c r="U332" s="134" t="inlineStr">
        <is>
          <t>8 1.57%</t>
        </is>
      </c>
    </row>
    <row customHeight="1" ht="17" r="333" s="155">
      <c r="A333" s="105" t="n">
        <v>43600</v>
      </c>
      <c r="B333" s="134" t="n">
        <v>1134.932</v>
      </c>
      <c r="C333" s="152" t="n">
        <v>14.253</v>
      </c>
      <c r="D333" s="153" t="n">
        <v>0.0127</v>
      </c>
      <c r="E333" s="134" t="n">
        <v>111.394</v>
      </c>
      <c r="F333" s="134" t="n">
        <v>108.22</v>
      </c>
      <c r="G333" s="134" t="n">
        <v>92.45</v>
      </c>
      <c r="H333" s="134" t="n">
        <v>131.68</v>
      </c>
      <c r="I333" s="104" t="n">
        <v>0.2028</v>
      </c>
      <c r="J333" s="104" t="n">
        <v>0.1524</v>
      </c>
      <c r="K333" s="104" t="n">
        <v>0.0055</v>
      </c>
      <c r="L333" s="134" t="n">
        <v>80.14</v>
      </c>
      <c r="M333" s="134" t="n">
        <v>2641.42</v>
      </c>
      <c r="N333" s="104" t="n">
        <v>0.0303</v>
      </c>
      <c r="O333" s="134" t="n">
        <v>159</v>
      </c>
      <c r="P333" s="134" t="n">
        <v>0</v>
      </c>
      <c r="Q333" s="134" t="inlineStr">
        <is>
          <t>24 0.65%</t>
        </is>
      </c>
      <c r="R333" s="134" t="inlineStr">
        <is>
          <t>66 0.90%</t>
        </is>
      </c>
      <c r="S333" s="134" t="inlineStr">
        <is>
          <t>46 1.30%</t>
        </is>
      </c>
      <c r="T333" s="134" t="inlineStr">
        <is>
          <t>9 1.90%</t>
        </is>
      </c>
      <c r="U333" s="134" t="inlineStr">
        <is>
          <t>14 3.59%</t>
        </is>
      </c>
    </row>
    <row customHeight="1" ht="17" r="334" s="155">
      <c r="A334" s="105" t="n">
        <v>43601</v>
      </c>
      <c r="B334" s="134" t="n">
        <v>1137.459</v>
      </c>
      <c r="C334" s="152" t="n">
        <v>2.527</v>
      </c>
      <c r="D334" s="153" t="n">
        <v>0.0022</v>
      </c>
      <c r="E334" s="134" t="n">
        <v>111.606</v>
      </c>
      <c r="F334" s="134" t="n">
        <v>109.35</v>
      </c>
      <c r="G334" s="134" t="n">
        <v>92.56</v>
      </c>
      <c r="H334" s="134" t="n">
        <v>131.5</v>
      </c>
      <c r="I334" s="104" t="n">
        <v>0.199</v>
      </c>
      <c r="J334" s="104" t="n">
        <v>0.151</v>
      </c>
      <c r="K334" s="104" t="n">
        <v>0.005</v>
      </c>
      <c r="L334" s="134" t="n">
        <v>59.52</v>
      </c>
      <c r="M334" s="134" t="n">
        <v>2641.42</v>
      </c>
      <c r="N334" s="104" t="n">
        <v>0.0225</v>
      </c>
      <c r="O334" s="134" t="n">
        <v>159</v>
      </c>
      <c r="P334" s="134" t="n">
        <v>0</v>
      </c>
      <c r="Q334" s="134" t="inlineStr">
        <is>
          <t>24 0.20%</t>
        </is>
      </c>
      <c r="R334" s="134" t="inlineStr">
        <is>
          <t>63 0.31%</t>
        </is>
      </c>
      <c r="S334" s="134" t="inlineStr">
        <is>
          <t>48 0.33%</t>
        </is>
      </c>
      <c r="T334" s="134" t="inlineStr">
        <is>
          <t>11 -0.02%</t>
        </is>
      </c>
      <c r="U334" s="134" t="inlineStr">
        <is>
          <t>13 -0.34%</t>
        </is>
      </c>
    </row>
    <row customHeight="1" ht="17" r="335" s="155">
      <c r="A335" s="105" t="n">
        <v>43602</v>
      </c>
      <c r="B335" s="134" t="n">
        <v>1119.692</v>
      </c>
      <c r="C335" s="150" t="n">
        <v>-17.767</v>
      </c>
      <c r="D335" s="151" t="n">
        <v>-0.0156</v>
      </c>
      <c r="E335" s="134" t="n">
        <v>109.584</v>
      </c>
      <c r="F335" s="134" t="n">
        <v>106.75</v>
      </c>
      <c r="G335" s="134" t="n">
        <v>89.04000000000001</v>
      </c>
      <c r="H335" s="134" t="n">
        <v>132.03</v>
      </c>
      <c r="I335" s="104" t="n">
        <v>0.2244</v>
      </c>
      <c r="J335" s="104" t="n">
        <v>0.1716</v>
      </c>
      <c r="K335" s="104" t="n">
        <v>0.008699999999999999</v>
      </c>
      <c r="L335" s="134" t="n">
        <v>65.12</v>
      </c>
      <c r="M335" s="134" t="n">
        <v>2651.66</v>
      </c>
      <c r="N335" s="104" t="n">
        <v>0.0246</v>
      </c>
      <c r="O335" s="134" t="n">
        <v>159</v>
      </c>
      <c r="P335" s="134" t="n">
        <v>0</v>
      </c>
      <c r="Q335" s="134" t="inlineStr">
        <is>
          <t>31 -1.10%</t>
        </is>
      </c>
      <c r="R335" s="134" t="inlineStr">
        <is>
          <t>72 -1.46%</t>
        </is>
      </c>
      <c r="S335" s="134" t="inlineStr">
        <is>
          <t>36 -0.94%</t>
        </is>
      </c>
      <c r="T335" s="134" t="inlineStr">
        <is>
          <t>10 -2.53%</t>
        </is>
      </c>
      <c r="U335" s="134" t="inlineStr">
        <is>
          <t>10 -3.28%</t>
        </is>
      </c>
    </row>
    <row customHeight="1" ht="17" r="336" s="155">
      <c r="A336" s="105" t="n">
        <v>43605</v>
      </c>
      <c r="B336" s="134" t="n">
        <v>1112.327</v>
      </c>
      <c r="C336" s="150" t="n">
        <v>-7.365</v>
      </c>
      <c r="D336" s="151" t="n">
        <v>-0.0066</v>
      </c>
      <c r="E336" s="134" t="n">
        <v>108.904</v>
      </c>
      <c r="F336" s="134" t="n">
        <v>106.056</v>
      </c>
      <c r="G336" s="134" t="n">
        <v>88.90000000000001</v>
      </c>
      <c r="H336" s="134" t="n">
        <v>131.53</v>
      </c>
      <c r="I336" s="104" t="n">
        <v>0.2262</v>
      </c>
      <c r="J336" s="104" t="n">
        <v>0.1772</v>
      </c>
      <c r="K336" s="104" t="n">
        <v>0.01</v>
      </c>
      <c r="L336" s="134" t="n">
        <v>62.89</v>
      </c>
      <c r="M336" s="134" t="n">
        <v>2657.69</v>
      </c>
      <c r="N336" s="104" t="n">
        <v>0.0237</v>
      </c>
      <c r="O336" s="134" t="n">
        <v>160</v>
      </c>
      <c r="P336" s="134" t="n">
        <v>0</v>
      </c>
      <c r="Q336" s="134" t="inlineStr">
        <is>
          <t>33 -0.28%</t>
        </is>
      </c>
      <c r="R336" s="134" t="inlineStr">
        <is>
          <t>76 -0.76%</t>
        </is>
      </c>
      <c r="S336" s="134" t="inlineStr">
        <is>
          <t>32 -0.74%</t>
        </is>
      </c>
      <c r="T336" s="134" t="inlineStr">
        <is>
          <t>10 -0.98%</t>
        </is>
      </c>
      <c r="U336" s="134" t="inlineStr">
        <is>
          <t>9 -0.53%</t>
        </is>
      </c>
    </row>
    <row customHeight="1" ht="17" r="337" s="155">
      <c r="A337" s="105" t="n">
        <v>43606</v>
      </c>
      <c r="B337" s="134" t="n">
        <v>1119.261</v>
      </c>
      <c r="C337" s="152" t="n">
        <v>6.934</v>
      </c>
      <c r="D337" s="153" t="n">
        <v>0.0062</v>
      </c>
      <c r="E337" s="134" t="n">
        <v>109.675</v>
      </c>
      <c r="F337" s="134" t="n">
        <v>106.895</v>
      </c>
      <c r="G337" s="134" t="n">
        <v>90.89</v>
      </c>
      <c r="H337" s="134" t="n">
        <v>130.94</v>
      </c>
      <c r="I337" s="104" t="n">
        <v>0.2127</v>
      </c>
      <c r="J337" s="104" t="n">
        <v>0.1572</v>
      </c>
      <c r="K337" s="104" t="n">
        <v>0.008800000000000001</v>
      </c>
      <c r="L337" s="134" t="n">
        <v>70.52</v>
      </c>
      <c r="M337" s="134" t="n">
        <v>2657.69</v>
      </c>
      <c r="N337" s="104" t="n">
        <v>0.0265</v>
      </c>
      <c r="O337" s="134" t="n">
        <v>160</v>
      </c>
      <c r="P337" s="134" t="n">
        <v>0</v>
      </c>
      <c r="Q337" s="134" t="inlineStr">
        <is>
          <t>29 0.42%</t>
        </is>
      </c>
      <c r="R337" s="134" t="inlineStr">
        <is>
          <t>77 0.45%</t>
        </is>
      </c>
      <c r="S337" s="134" t="inlineStr">
        <is>
          <t>34 0.47%</t>
        </is>
      </c>
      <c r="T337" s="134" t="inlineStr">
        <is>
          <t>10 0.89%</t>
        </is>
      </c>
      <c r="U337" s="134" t="inlineStr">
        <is>
          <t>10 2.79%</t>
        </is>
      </c>
    </row>
    <row customHeight="1" ht="17" r="338" s="155">
      <c r="A338" s="105" t="n">
        <v>43607</v>
      </c>
      <c r="B338" s="134" t="n">
        <v>1118.588</v>
      </c>
      <c r="C338" s="150" t="n">
        <v>-0.673</v>
      </c>
      <c r="D338" s="151" t="n">
        <v>-0.0005999999999999999</v>
      </c>
      <c r="E338" s="134" t="n">
        <v>109.608</v>
      </c>
      <c r="F338" s="134" t="n">
        <v>106.905</v>
      </c>
      <c r="G338" s="134" t="n">
        <v>90.56999999999999</v>
      </c>
      <c r="H338" s="134" t="n">
        <v>131.61</v>
      </c>
      <c r="I338" s="104" t="n">
        <v>0.22</v>
      </c>
      <c r="J338" s="104" t="n">
        <v>0.1636</v>
      </c>
      <c r="K338" s="104" t="n">
        <v>0.0089</v>
      </c>
      <c r="L338" s="134" t="n">
        <v>55.26</v>
      </c>
      <c r="M338" s="134" t="n">
        <v>2657.69</v>
      </c>
      <c r="N338" s="104" t="n">
        <v>0.0208</v>
      </c>
      <c r="O338" s="134" t="n">
        <v>160</v>
      </c>
      <c r="P338" s="134" t="n">
        <v>0</v>
      </c>
      <c r="Q338" s="134" t="inlineStr">
        <is>
          <t>31 -0.14%</t>
        </is>
      </c>
      <c r="R338" s="134" t="inlineStr">
        <is>
          <t>77 -0.17%</t>
        </is>
      </c>
      <c r="S338" s="134" t="inlineStr">
        <is>
          <t>32 0.06%</t>
        </is>
      </c>
      <c r="T338" s="134" t="inlineStr">
        <is>
          <t>10 -0.04%</t>
        </is>
      </c>
      <c r="U338" s="134" t="inlineStr">
        <is>
          <t>10 0.62%</t>
        </is>
      </c>
    </row>
    <row customHeight="1" ht="17" r="339" s="155">
      <c r="A339" s="105" t="n">
        <v>43608</v>
      </c>
      <c r="B339" s="134" t="n">
        <v>1109.056</v>
      </c>
      <c r="C339" s="150" t="n">
        <v>-9.532</v>
      </c>
      <c r="D339" s="151" t="n">
        <v>-0.008500000000000001</v>
      </c>
      <c r="E339" s="134" t="n">
        <v>108.548</v>
      </c>
      <c r="F339" s="134" t="n">
        <v>106.08</v>
      </c>
      <c r="G339" s="134" t="n">
        <v>88.03</v>
      </c>
      <c r="H339" s="134" t="n">
        <v>132.68</v>
      </c>
      <c r="I339" s="104" t="n">
        <v>0.2413</v>
      </c>
      <c r="J339" s="104" t="n">
        <v>0.1765</v>
      </c>
      <c r="K339" s="104" t="n">
        <v>0.0107</v>
      </c>
      <c r="L339" s="134" t="n">
        <v>40.88</v>
      </c>
      <c r="M339" s="134" t="n">
        <v>2657.69</v>
      </c>
      <c r="N339" s="104" t="n">
        <v>0.0154</v>
      </c>
      <c r="O339" s="134" t="n">
        <v>160</v>
      </c>
      <c r="P339" s="134" t="n">
        <v>0</v>
      </c>
      <c r="Q339" s="134" t="inlineStr">
        <is>
          <t>34 -0.56%</t>
        </is>
      </c>
      <c r="R339" s="134" t="inlineStr">
        <is>
          <t>80 -0.58%</t>
        </is>
      </c>
      <c r="S339" s="134" t="inlineStr">
        <is>
          <t>29 -0.94%</t>
        </is>
      </c>
      <c r="T339" s="134" t="inlineStr">
        <is>
          <t>8 -1.54%</t>
        </is>
      </c>
      <c r="U339" s="134" t="inlineStr">
        <is>
          <t>9 -3.49%</t>
        </is>
      </c>
    </row>
    <row customHeight="1" ht="17" r="340" s="155">
      <c r="A340" s="105" t="n">
        <v>43609</v>
      </c>
      <c r="B340" s="134" t="n">
        <v>1107.111</v>
      </c>
      <c r="C340" s="150" t="n">
        <v>-1.945</v>
      </c>
      <c r="D340" s="151" t="n">
        <v>-0.0018</v>
      </c>
      <c r="E340" s="134" t="n">
        <v>108.315</v>
      </c>
      <c r="F340" s="134" t="n">
        <v>105.952</v>
      </c>
      <c r="G340" s="134" t="n">
        <v>88.01000000000001</v>
      </c>
      <c r="H340" s="134" t="n">
        <v>132.97</v>
      </c>
      <c r="I340" s="104" t="n">
        <v>0.2465</v>
      </c>
      <c r="J340" s="104" t="n">
        <v>0.1803</v>
      </c>
      <c r="K340" s="104" t="n">
        <v>0.0111</v>
      </c>
      <c r="L340" s="134" t="n">
        <v>42.13</v>
      </c>
      <c r="M340" s="134" t="n">
        <v>2657.69</v>
      </c>
      <c r="N340" s="104" t="n">
        <v>0.0159</v>
      </c>
      <c r="O340" s="134" t="n">
        <v>160</v>
      </c>
      <c r="P340" s="134" t="n">
        <v>0</v>
      </c>
      <c r="Q340" s="134" t="inlineStr">
        <is>
          <t>38 -0.16%</t>
        </is>
      </c>
      <c r="R340" s="134" t="inlineStr">
        <is>
          <t>76 -0.04%</t>
        </is>
      </c>
      <c r="S340" s="134" t="inlineStr">
        <is>
          <t>31 -0.26%</t>
        </is>
      </c>
      <c r="T340" s="134" t="inlineStr">
        <is>
          <t>8 -0.77%</t>
        </is>
      </c>
      <c r="U340" s="134" t="inlineStr">
        <is>
          <t>7 -0.62%</t>
        </is>
      </c>
    </row>
    <row customHeight="1" ht="17" r="341" s="155">
      <c r="A341" s="105" t="n">
        <v>43612</v>
      </c>
      <c r="B341" s="134" t="n">
        <v>1112.211</v>
      </c>
      <c r="C341" s="152" t="n">
        <v>5.1</v>
      </c>
      <c r="D341" s="153" t="n">
        <v>0.0046</v>
      </c>
      <c r="E341" s="134" t="n">
        <v>108.934</v>
      </c>
      <c r="F341" s="134" t="n">
        <v>106.251</v>
      </c>
      <c r="G341" s="134" t="n">
        <v>89.86</v>
      </c>
      <c r="H341" s="134" t="n">
        <v>130.96</v>
      </c>
      <c r="I341" s="104" t="n">
        <v>0.2202</v>
      </c>
      <c r="J341" s="104" t="n">
        <v>0.1543</v>
      </c>
      <c r="K341" s="104" t="n">
        <v>0.0102</v>
      </c>
      <c r="L341" s="134" t="n">
        <v>56.96</v>
      </c>
      <c r="M341" s="134" t="n">
        <v>2657.69</v>
      </c>
      <c r="N341" s="104" t="n">
        <v>0.0214</v>
      </c>
      <c r="O341" s="134" t="n">
        <v>160</v>
      </c>
      <c r="P341" s="134" t="n">
        <v>0</v>
      </c>
      <c r="Q341" s="134" t="inlineStr">
        <is>
          <t>37 0.06%</t>
        </is>
      </c>
      <c r="R341" s="134" t="inlineStr">
        <is>
          <t>74 0.06%</t>
        </is>
      </c>
      <c r="S341" s="134" t="inlineStr">
        <is>
          <t>30 0.39%</t>
        </is>
      </c>
      <c r="T341" s="134" t="inlineStr">
        <is>
          <t>9 1.36%</t>
        </is>
      </c>
      <c r="U341" s="134" t="inlineStr">
        <is>
          <t>10 4.29%</t>
        </is>
      </c>
    </row>
    <row customHeight="1" ht="17" r="342" s="155">
      <c r="A342" s="105" t="n">
        <v>43613</v>
      </c>
      <c r="B342" s="134" t="n">
        <v>1113.715</v>
      </c>
      <c r="C342" s="152" t="n">
        <v>1.504</v>
      </c>
      <c r="D342" s="153" t="n">
        <v>0.0014</v>
      </c>
      <c r="E342" s="134" t="n">
        <v>109.146</v>
      </c>
      <c r="F342" s="134" t="n">
        <v>106.294</v>
      </c>
      <c r="G342" s="134" t="n">
        <v>89.93000000000001</v>
      </c>
      <c r="H342" s="134" t="n">
        <v>131.06</v>
      </c>
      <c r="I342" s="104" t="n">
        <v>0.2192</v>
      </c>
      <c r="J342" s="104" t="n">
        <v>0.1518</v>
      </c>
      <c r="K342" s="104" t="n">
        <v>0.01</v>
      </c>
      <c r="L342" s="134" t="n">
        <v>52.24</v>
      </c>
      <c r="M342" s="134" t="n">
        <v>2657.69</v>
      </c>
      <c r="N342" s="104" t="n">
        <v>0.0197</v>
      </c>
      <c r="O342" s="134" t="n">
        <v>160</v>
      </c>
      <c r="P342" s="134" t="n">
        <v>0</v>
      </c>
      <c r="Q342" s="134" t="inlineStr">
        <is>
          <t>37 -0.04%</t>
        </is>
      </c>
      <c r="R342" s="134" t="inlineStr">
        <is>
          <t>73 -0.03%</t>
        </is>
      </c>
      <c r="S342" s="134" t="inlineStr">
        <is>
          <t>32 0.01%</t>
        </is>
      </c>
      <c r="T342" s="134" t="inlineStr">
        <is>
          <t>8 0.55%</t>
        </is>
      </c>
      <c r="U342" s="134" t="inlineStr">
        <is>
          <t>10 2.02%</t>
        </is>
      </c>
    </row>
    <row customHeight="1" ht="17" r="343" s="155">
      <c r="A343" s="105" t="n">
        <v>43614</v>
      </c>
      <c r="B343" s="134" t="n">
        <v>1114.074</v>
      </c>
      <c r="C343" s="152" t="n">
        <v>0.359</v>
      </c>
      <c r="D343" s="153" t="n">
        <v>0.0003</v>
      </c>
      <c r="E343" s="134" t="n">
        <v>109.242</v>
      </c>
      <c r="F343" s="134" t="n">
        <v>105.99</v>
      </c>
      <c r="G343" s="134" t="n">
        <v>90.12</v>
      </c>
      <c r="H343" s="134" t="n">
        <v>130.86</v>
      </c>
      <c r="I343" s="104" t="n">
        <v>0.2162</v>
      </c>
      <c r="J343" s="104" t="n">
        <v>0.1554</v>
      </c>
      <c r="K343" s="104" t="n">
        <v>0.01</v>
      </c>
      <c r="L343" s="134" t="n">
        <v>39.97</v>
      </c>
      <c r="M343" s="134" t="n">
        <v>2657.69</v>
      </c>
      <c r="N343" s="104" t="n">
        <v>0.015</v>
      </c>
      <c r="O343" s="134" t="n">
        <v>160</v>
      </c>
      <c r="P343" s="134" t="n">
        <v>0</v>
      </c>
      <c r="Q343" s="134" t="inlineStr">
        <is>
          <t>37 -0.06%</t>
        </is>
      </c>
      <c r="R343" s="134" t="inlineStr">
        <is>
          <t>73 -0.06%</t>
        </is>
      </c>
      <c r="S343" s="134" t="inlineStr">
        <is>
          <t>33 -0.04%</t>
        </is>
      </c>
      <c r="T343" s="134" t="inlineStr">
        <is>
          <t>7 -0.24%</t>
        </is>
      </c>
      <c r="U343" s="134" t="inlineStr">
        <is>
          <t>10 1.46%</t>
        </is>
      </c>
    </row>
    <row customHeight="1" ht="17" r="344" s="155">
      <c r="A344" s="105" t="n">
        <v>43615</v>
      </c>
      <c r="B344" s="134" t="n">
        <v>1107.333</v>
      </c>
      <c r="C344" s="150" t="n">
        <v>-6.741</v>
      </c>
      <c r="D344" s="151" t="n">
        <v>-0.0061</v>
      </c>
      <c r="E344" s="134" t="n">
        <v>108.412</v>
      </c>
      <c r="F344" s="134" t="n">
        <v>105.031</v>
      </c>
      <c r="G344" s="134" t="n">
        <v>89.15000000000001</v>
      </c>
      <c r="H344" s="134" t="n">
        <v>130.15</v>
      </c>
      <c r="I344" s="104" t="n">
        <v>0.2174</v>
      </c>
      <c r="J344" s="104" t="n">
        <v>0.1524</v>
      </c>
      <c r="K344" s="104" t="n">
        <v>0.0113</v>
      </c>
      <c r="L344" s="134" t="n">
        <v>45.65</v>
      </c>
      <c r="M344" s="134" t="n">
        <v>2657.69</v>
      </c>
      <c r="N344" s="104" t="n">
        <v>0.0172</v>
      </c>
      <c r="O344" s="134" t="n">
        <v>160</v>
      </c>
      <c r="P344" s="134" t="n">
        <v>0</v>
      </c>
      <c r="Q344" s="134" t="inlineStr">
        <is>
          <t>39 -0.31%</t>
        </is>
      </c>
      <c r="R344" s="134" t="inlineStr">
        <is>
          <t>73 -0.51%</t>
        </is>
      </c>
      <c r="S344" s="134" t="inlineStr">
        <is>
          <t>31 -0.60%</t>
        </is>
      </c>
      <c r="T344" s="134" t="inlineStr">
        <is>
          <t>8 -0.72%</t>
        </is>
      </c>
      <c r="U344" s="134" t="inlineStr">
        <is>
          <t>9 -2.56%</t>
        </is>
      </c>
    </row>
    <row customHeight="1" ht="17" r="345" s="155">
      <c r="A345" s="105" t="n">
        <v>43616</v>
      </c>
      <c r="B345" s="134" t="n">
        <v>1105.533</v>
      </c>
      <c r="C345" s="150" t="n">
        <v>-1.8</v>
      </c>
      <c r="D345" s="151" t="n">
        <v>-0.0016</v>
      </c>
      <c r="E345" s="134" t="n">
        <v>108.204</v>
      </c>
      <c r="F345" s="134" t="n">
        <v>104.635</v>
      </c>
      <c r="G345" s="134" t="n">
        <v>89.03</v>
      </c>
      <c r="H345" s="134" t="n">
        <v>129.69</v>
      </c>
      <c r="I345" s="104" t="n">
        <v>0.2149</v>
      </c>
      <c r="J345" s="104" t="n">
        <v>0.1514</v>
      </c>
      <c r="K345" s="104" t="n">
        <v>0.0117</v>
      </c>
      <c r="L345" s="134" t="n">
        <v>45.42</v>
      </c>
      <c r="M345" s="134" t="n">
        <v>2657.69</v>
      </c>
      <c r="N345" s="104" t="n">
        <v>0.0171</v>
      </c>
      <c r="O345" s="134" t="n">
        <v>160</v>
      </c>
      <c r="P345" s="134" t="n">
        <v>0</v>
      </c>
      <c r="Q345" s="134" t="inlineStr">
        <is>
          <t>41 -0.06%</t>
        </is>
      </c>
      <c r="R345" s="134" t="inlineStr">
        <is>
          <t>72 -0.18%</t>
        </is>
      </c>
      <c r="S345" s="134" t="inlineStr">
        <is>
          <t>29 -0.18%</t>
        </is>
      </c>
      <c r="T345" s="134" t="inlineStr">
        <is>
          <t>9 0.71%</t>
        </is>
      </c>
      <c r="U345" s="134" t="inlineStr">
        <is>
          <t>9 -1.31%</t>
        </is>
      </c>
    </row>
    <row customHeight="1" ht="17" r="346" s="155">
      <c r="A346" s="105" t="n">
        <v>43619</v>
      </c>
      <c r="B346" s="134" t="n">
        <v>1096.475</v>
      </c>
      <c r="C346" s="150" t="n">
        <v>-9.058</v>
      </c>
      <c r="D346" s="151" t="n">
        <v>-0.008200000000000001</v>
      </c>
      <c r="E346" s="134" t="n">
        <v>107.398</v>
      </c>
      <c r="F346" s="134" t="n">
        <v>103.75</v>
      </c>
      <c r="G346" s="134" t="n">
        <v>88.59999999999999</v>
      </c>
      <c r="H346" s="134" t="n">
        <v>129.07</v>
      </c>
      <c r="I346" s="104" t="n">
        <v>0.2167</v>
      </c>
      <c r="J346" s="104" t="n">
        <v>0.1521</v>
      </c>
      <c r="K346" s="104" t="n">
        <v>0.0134</v>
      </c>
      <c r="L346" s="134" t="n">
        <v>54.22</v>
      </c>
      <c r="M346" s="134" t="n">
        <v>2640.36</v>
      </c>
      <c r="N346" s="104" t="n">
        <v>0.0205</v>
      </c>
      <c r="O346" s="134" t="n">
        <v>159</v>
      </c>
      <c r="P346" s="134" t="n">
        <v>0</v>
      </c>
      <c r="Q346" s="134" t="inlineStr">
        <is>
          <t>45 -0.47%</t>
        </is>
      </c>
      <c r="R346" s="134" t="inlineStr">
        <is>
          <t>77 -0.89%</t>
        </is>
      </c>
      <c r="S346" s="134" t="inlineStr">
        <is>
          <t>21 -1.35%</t>
        </is>
      </c>
      <c r="T346" s="134" t="inlineStr">
        <is>
          <t>7 -0.96%</t>
        </is>
      </c>
      <c r="U346" s="134" t="inlineStr">
        <is>
          <t>9 -0.34%</t>
        </is>
      </c>
    </row>
    <row customHeight="1" ht="17" r="347" s="155">
      <c r="A347" s="105" t="n">
        <v>43620</v>
      </c>
      <c r="B347" s="134" t="n">
        <v>1086.626</v>
      </c>
      <c r="C347" s="150" t="n">
        <v>-9.849</v>
      </c>
      <c r="D347" s="151" t="n">
        <v>-0.008999999999999999</v>
      </c>
      <c r="E347" s="134" t="n">
        <v>106.347</v>
      </c>
      <c r="F347" s="134" t="n">
        <v>102.99</v>
      </c>
      <c r="G347" s="134" t="n">
        <v>87.8</v>
      </c>
      <c r="H347" s="134" t="n">
        <v>128.96</v>
      </c>
      <c r="I347" s="104" t="n">
        <v>0.2262</v>
      </c>
      <c r="J347" s="104" t="n">
        <v>0.156</v>
      </c>
      <c r="K347" s="104" t="n">
        <v>0.0154</v>
      </c>
      <c r="L347" s="134" t="n">
        <v>53.13</v>
      </c>
      <c r="M347" s="134" t="n">
        <v>2645.36</v>
      </c>
      <c r="N347" s="104" t="n">
        <v>0.0201</v>
      </c>
      <c r="O347" s="134" t="n">
        <v>160</v>
      </c>
      <c r="P347" s="134" t="n">
        <v>0</v>
      </c>
      <c r="Q347" s="134" t="inlineStr">
        <is>
          <t>49 -0.46%</t>
        </is>
      </c>
      <c r="R347" s="134" t="inlineStr">
        <is>
          <t>81 -0.98%</t>
        </is>
      </c>
      <c r="S347" s="134" t="inlineStr">
        <is>
          <t>16 -1.78%</t>
        </is>
      </c>
      <c r="T347" s="134" t="inlineStr">
        <is>
          <t>5 -0.71%</t>
        </is>
      </c>
      <c r="U347" s="134" t="inlineStr">
        <is>
          <t>9 -1.14%</t>
        </is>
      </c>
    </row>
    <row customHeight="1" ht="17" r="348" s="155">
      <c r="A348" s="105" t="n">
        <v>43621</v>
      </c>
      <c r="B348" s="134" t="n">
        <v>1085.656</v>
      </c>
      <c r="C348" s="150" t="n">
        <v>-0.97</v>
      </c>
      <c r="D348" s="151" t="n">
        <v>-0.0009</v>
      </c>
      <c r="E348" s="134" t="n">
        <v>106.295</v>
      </c>
      <c r="F348" s="134" t="n">
        <v>102.969</v>
      </c>
      <c r="G348" s="134" t="n">
        <v>87.89</v>
      </c>
      <c r="H348" s="134" t="n">
        <v>128.52</v>
      </c>
      <c r="I348" s="104" t="n">
        <v>0.2223</v>
      </c>
      <c r="J348" s="104" t="n">
        <v>0.1523</v>
      </c>
      <c r="K348" s="104" t="n">
        <v>0.0156</v>
      </c>
      <c r="L348" s="134" t="n">
        <v>56.34</v>
      </c>
      <c r="M348" s="134" t="n">
        <v>2645.36</v>
      </c>
      <c r="N348" s="104" t="n">
        <v>0.0213</v>
      </c>
      <c r="O348" s="134" t="n">
        <v>160</v>
      </c>
      <c r="P348" s="134" t="n">
        <v>0</v>
      </c>
      <c r="Q348" s="134" t="inlineStr">
        <is>
          <t>49 -0.07%</t>
        </is>
      </c>
      <c r="R348" s="134" t="inlineStr">
        <is>
          <t>81 -0.12%</t>
        </is>
      </c>
      <c r="S348" s="134" t="inlineStr">
        <is>
          <t>16 -0.21%</t>
        </is>
      </c>
      <c r="T348" s="134" t="inlineStr">
        <is>
          <t>8 -1.42%</t>
        </is>
      </c>
      <c r="U348" s="134" t="inlineStr">
        <is>
          <t>6 2.31%</t>
        </is>
      </c>
    </row>
    <row customHeight="1" ht="17" r="349" s="155">
      <c r="A349" s="105" t="n">
        <v>43622</v>
      </c>
      <c r="B349" s="134" t="n">
        <v>1075.787</v>
      </c>
      <c r="C349" s="150" t="n">
        <v>-9.869</v>
      </c>
      <c r="D349" s="151" t="n">
        <v>-0.0091</v>
      </c>
      <c r="E349" s="134" t="n">
        <v>105.161</v>
      </c>
      <c r="F349" s="134" t="n">
        <v>101.89</v>
      </c>
      <c r="G349" s="134" t="n">
        <v>85.91</v>
      </c>
      <c r="H349" s="134" t="n">
        <v>129.18</v>
      </c>
      <c r="I349" s="104" t="n">
        <v>0.2402</v>
      </c>
      <c r="J349" s="104" t="n">
        <v>0.1759</v>
      </c>
      <c r="K349" s="104" t="n">
        <v>0.0176</v>
      </c>
      <c r="L349" s="134" t="n">
        <v>49.67</v>
      </c>
      <c r="M349" s="134" t="n">
        <v>2645.36</v>
      </c>
      <c r="N349" s="104" t="n">
        <v>0.0188</v>
      </c>
      <c r="O349" s="134" t="n">
        <v>160</v>
      </c>
      <c r="P349" s="134" t="n">
        <v>0</v>
      </c>
      <c r="Q349" s="134" t="inlineStr">
        <is>
          <t>53 -0.81%</t>
        </is>
      </c>
      <c r="R349" s="134" t="inlineStr">
        <is>
          <t>81 -0.60%</t>
        </is>
      </c>
      <c r="S349" s="134" t="inlineStr">
        <is>
          <t>13 -1.17%</t>
        </is>
      </c>
      <c r="T349" s="134" t="inlineStr">
        <is>
          <t>6 -1.80%</t>
        </is>
      </c>
      <c r="U349" s="134" t="inlineStr">
        <is>
          <t>7 -4.07%</t>
        </is>
      </c>
    </row>
    <row customHeight="1" ht="17" r="350" s="155">
      <c r="A350" s="105" t="n">
        <v>43626</v>
      </c>
      <c r="B350" s="134" t="n">
        <v>1081.142</v>
      </c>
      <c r="C350" s="152" t="n">
        <v>5.355</v>
      </c>
      <c r="D350" s="153" t="n">
        <v>0.005</v>
      </c>
      <c r="E350" s="134" t="n">
        <v>105.737</v>
      </c>
      <c r="F350" s="134" t="n">
        <v>102.371</v>
      </c>
      <c r="G350" s="134" t="n">
        <v>87.51000000000001</v>
      </c>
      <c r="H350" s="134" t="n">
        <v>128.71</v>
      </c>
      <c r="I350" s="104" t="n">
        <v>0.2298</v>
      </c>
      <c r="J350" s="104" t="n">
        <v>0.168</v>
      </c>
      <c r="K350" s="104" t="n">
        <v>0.0167</v>
      </c>
      <c r="L350" s="134" t="n">
        <v>44.95</v>
      </c>
      <c r="M350" s="134" t="n">
        <v>2645.36</v>
      </c>
      <c r="N350" s="104" t="n">
        <v>0.017</v>
      </c>
      <c r="O350" s="134" t="n">
        <v>160</v>
      </c>
      <c r="P350" s="134" t="n">
        <v>0</v>
      </c>
      <c r="Q350" s="134" t="inlineStr">
        <is>
          <t>55 0.01%</t>
        </is>
      </c>
      <c r="R350" s="134" t="inlineStr">
        <is>
          <t>80 0.46%</t>
        </is>
      </c>
      <c r="S350" s="134" t="inlineStr">
        <is>
          <t>11 1.17%</t>
        </is>
      </c>
      <c r="T350" s="134" t="inlineStr">
        <is>
          <t>6 2.28%</t>
        </is>
      </c>
      <c r="U350" s="134" t="inlineStr">
        <is>
          <t>8 2.01%</t>
        </is>
      </c>
    </row>
    <row customHeight="1" ht="17" r="351" s="155">
      <c r="A351" s="105" t="n">
        <v>43627</v>
      </c>
      <c r="B351" s="134" t="n">
        <v>1100.291</v>
      </c>
      <c r="C351" s="152" t="n">
        <v>19.149</v>
      </c>
      <c r="D351" s="153" t="n">
        <v>0.0177</v>
      </c>
      <c r="E351" s="134" t="n">
        <v>107.713</v>
      </c>
      <c r="F351" s="134" t="n">
        <v>104.235</v>
      </c>
      <c r="G351" s="134" t="n">
        <v>89.56999999999999</v>
      </c>
      <c r="H351" s="134" t="n">
        <v>128.59</v>
      </c>
      <c r="I351" s="104" t="n">
        <v>0.2088</v>
      </c>
      <c r="J351" s="104" t="n">
        <v>0.1472</v>
      </c>
      <c r="K351" s="104" t="n">
        <v>0.013</v>
      </c>
      <c r="L351" s="134" t="n">
        <v>71.09</v>
      </c>
      <c r="M351" s="134" t="n">
        <v>2645.36</v>
      </c>
      <c r="N351" s="104" t="n">
        <v>0.0269</v>
      </c>
      <c r="O351" s="134" t="n">
        <v>160</v>
      </c>
      <c r="P351" s="134" t="n">
        <v>0</v>
      </c>
      <c r="Q351" s="134" t="inlineStr">
        <is>
          <t>44 0.97%</t>
        </is>
      </c>
      <c r="R351" s="134" t="inlineStr">
        <is>
          <t>79 1.42%</t>
        </is>
      </c>
      <c r="S351" s="134" t="inlineStr">
        <is>
          <t>21 3.31%</t>
        </is>
      </c>
      <c r="T351" s="134" t="inlineStr">
        <is>
          <t>8 2.39%</t>
        </is>
      </c>
      <c r="U351" s="134" t="inlineStr">
        <is>
          <t>8 4.96%</t>
        </is>
      </c>
    </row>
    <row customHeight="1" ht="17" r="352" s="155">
      <c r="A352" s="105" t="n">
        <v>43628</v>
      </c>
      <c r="B352" s="134" t="n">
        <v>1096.544</v>
      </c>
      <c r="C352" s="150" t="n">
        <v>-3.747</v>
      </c>
      <c r="D352" s="151" t="n">
        <v>-0.0034</v>
      </c>
      <c r="E352" s="134" t="n">
        <v>107.323</v>
      </c>
      <c r="F352" s="134" t="n">
        <v>104.2</v>
      </c>
      <c r="G352" s="134" t="n">
        <v>89.04000000000001</v>
      </c>
      <c r="H352" s="134" t="n">
        <v>128.55</v>
      </c>
      <c r="I352" s="104" t="n">
        <v>0.2123</v>
      </c>
      <c r="J352" s="104" t="n">
        <v>0.1461</v>
      </c>
      <c r="K352" s="104" t="n">
        <v>0.0136</v>
      </c>
      <c r="L352" s="134" t="n">
        <v>58.96</v>
      </c>
      <c r="M352" s="134" t="n">
        <v>2645.36</v>
      </c>
      <c r="N352" s="104" t="n">
        <v>0.0223</v>
      </c>
      <c r="O352" s="134" t="n">
        <v>160</v>
      </c>
      <c r="P352" s="134" t="n">
        <v>0</v>
      </c>
      <c r="Q352" s="134" t="inlineStr">
        <is>
          <t>48 -0.18%</t>
        </is>
      </c>
      <c r="R352" s="134" t="inlineStr">
        <is>
          <t>75 -0.45%</t>
        </is>
      </c>
      <c r="S352" s="134" t="inlineStr">
        <is>
          <t>21 0.12%</t>
        </is>
      </c>
      <c r="T352" s="134" t="inlineStr">
        <is>
          <t>9 -1.19%</t>
        </is>
      </c>
      <c r="U352" s="134" t="inlineStr">
        <is>
          <t>7 -0.59%</t>
        </is>
      </c>
    </row>
    <row customHeight="1" ht="17" r="353" s="155">
      <c r="A353" s="105" t="n">
        <v>43629</v>
      </c>
      <c r="B353" s="134" t="n">
        <v>1096.956</v>
      </c>
      <c r="C353" s="152" t="n">
        <v>0.412</v>
      </c>
      <c r="D353" s="153" t="n">
        <v>0.0004</v>
      </c>
      <c r="E353" s="134" t="n">
        <v>107.399</v>
      </c>
      <c r="F353" s="134" t="n">
        <v>104.12</v>
      </c>
      <c r="G353" s="134" t="n">
        <v>90.55</v>
      </c>
      <c r="H353" s="134" t="n">
        <v>127.87</v>
      </c>
      <c r="I353" s="104" t="n">
        <v>0.2047</v>
      </c>
      <c r="J353" s="104" t="n">
        <v>0.1399</v>
      </c>
      <c r="K353" s="104" t="n">
        <v>0.0137</v>
      </c>
      <c r="L353" s="134" t="n">
        <v>60.65</v>
      </c>
      <c r="M353" s="134" t="n">
        <v>2645.36</v>
      </c>
      <c r="N353" s="104" t="n">
        <v>0.0229</v>
      </c>
      <c r="O353" s="134" t="n">
        <v>160</v>
      </c>
      <c r="P353" s="134" t="n">
        <v>0</v>
      </c>
      <c r="Q353" s="134" t="inlineStr">
        <is>
          <t>49 -0.02%</t>
        </is>
      </c>
      <c r="R353" s="134" t="inlineStr">
        <is>
          <t>76 -0.14%</t>
        </is>
      </c>
      <c r="S353" s="134" t="inlineStr">
        <is>
          <t>20 0.24%</t>
        </is>
      </c>
      <c r="T353" s="134" t="inlineStr">
        <is>
          <t>7 -0.25%</t>
        </is>
      </c>
      <c r="U353" s="134" t="inlineStr">
        <is>
          <t>8 1.79%</t>
        </is>
      </c>
    </row>
    <row customHeight="1" ht="17" r="354" s="155">
      <c r="A354" s="105" t="n">
        <v>43630</v>
      </c>
      <c r="B354" s="134" t="n">
        <v>1089.074</v>
      </c>
      <c r="C354" s="150" t="n">
        <v>-7.882</v>
      </c>
      <c r="D354" s="151" t="n">
        <v>-0.0072</v>
      </c>
      <c r="E354" s="134" t="n">
        <v>106.543</v>
      </c>
      <c r="F354" s="134" t="n">
        <v>103.399</v>
      </c>
      <c r="G354" s="134" t="n">
        <v>88.56999999999999</v>
      </c>
      <c r="H354" s="134" t="n">
        <v>128.6</v>
      </c>
      <c r="I354" s="104" t="n">
        <v>0.2205</v>
      </c>
      <c r="J354" s="104" t="n">
        <v>0.1528</v>
      </c>
      <c r="K354" s="104" t="n">
        <v>0.0152</v>
      </c>
      <c r="L354" s="134" t="n">
        <v>49.94</v>
      </c>
      <c r="M354" s="134" t="n">
        <v>2645.36</v>
      </c>
      <c r="N354" s="104" t="n">
        <v>0.0189</v>
      </c>
      <c r="O354" s="134" t="n">
        <v>160</v>
      </c>
      <c r="P354" s="134" t="n">
        <v>0</v>
      </c>
      <c r="Q354" s="134" t="inlineStr">
        <is>
          <t>50 -0.52%</t>
        </is>
      </c>
      <c r="R354" s="134" t="inlineStr">
        <is>
          <t>77 -0.57%</t>
        </is>
      </c>
      <c r="S354" s="134" t="inlineStr">
        <is>
          <t>19 -0.88%</t>
        </is>
      </c>
      <c r="T354" s="134" t="inlineStr">
        <is>
          <t>6 -1.56%</t>
        </is>
      </c>
      <c r="U354" s="134" t="inlineStr">
        <is>
          <t>8 -2.44%</t>
        </is>
      </c>
    </row>
    <row customHeight="1" ht="17" r="355" s="155">
      <c r="A355" s="105" t="n">
        <v>43633</v>
      </c>
      <c r="B355" s="134" t="n">
        <v>1087.095</v>
      </c>
      <c r="C355" s="150" t="n">
        <v>-1.979</v>
      </c>
      <c r="D355" s="151" t="n">
        <v>-0.0018</v>
      </c>
      <c r="E355" s="134" t="n">
        <v>106.388</v>
      </c>
      <c r="F355" s="134" t="n">
        <v>103.03</v>
      </c>
      <c r="G355" s="134" t="n">
        <v>88.55</v>
      </c>
      <c r="H355" s="134" t="n">
        <v>128.3</v>
      </c>
      <c r="I355" s="104" t="n">
        <v>0.2191</v>
      </c>
      <c r="J355" s="104" t="n">
        <v>0.1547</v>
      </c>
      <c r="K355" s="104" t="n">
        <v>0.0156</v>
      </c>
      <c r="L355" s="134" t="n">
        <v>44.38</v>
      </c>
      <c r="M355" s="134" t="n">
        <v>2633.41</v>
      </c>
      <c r="N355" s="104" t="n">
        <v>0.0169</v>
      </c>
      <c r="O355" s="134" t="n">
        <v>159</v>
      </c>
      <c r="P355" s="134" t="n">
        <v>0</v>
      </c>
      <c r="Q355" s="134" t="inlineStr">
        <is>
          <t>53 -0.22%</t>
        </is>
      </c>
      <c r="R355" s="134" t="inlineStr">
        <is>
          <t>74 -0.13%</t>
        </is>
      </c>
      <c r="S355" s="134" t="inlineStr">
        <is>
          <t>20 -0.27%</t>
        </is>
      </c>
      <c r="T355" s="134" t="inlineStr">
        <is>
          <t>4 -1.07%</t>
        </is>
      </c>
      <c r="U355" s="134" t="inlineStr">
        <is>
          <t>8 0.30%</t>
        </is>
      </c>
    </row>
    <row customHeight="1" ht="17" r="356" s="155">
      <c r="A356" s="105" t="n">
        <v>43634</v>
      </c>
      <c r="B356" s="134" t="n">
        <v>1086.465</v>
      </c>
      <c r="C356" s="150" t="n">
        <v>-0.63</v>
      </c>
      <c r="D356" s="151" t="n">
        <v>-0.0005999999999999999</v>
      </c>
      <c r="E356" s="134" t="n">
        <v>106.295</v>
      </c>
      <c r="F356" s="134" t="n">
        <v>102.67</v>
      </c>
      <c r="G356" s="134" t="n">
        <v>88.17</v>
      </c>
      <c r="H356" s="134" t="n">
        <v>128.19</v>
      </c>
      <c r="I356" s="104" t="n">
        <v>0.219</v>
      </c>
      <c r="J356" s="104" t="n">
        <v>0.1526</v>
      </c>
      <c r="K356" s="104" t="n">
        <v>0.0159</v>
      </c>
      <c r="L356" s="134" t="n">
        <v>50.81</v>
      </c>
      <c r="M356" s="134" t="n">
        <v>2650.74</v>
      </c>
      <c r="N356" s="104" t="n">
        <v>0.0192</v>
      </c>
      <c r="O356" s="134" t="n">
        <v>160</v>
      </c>
      <c r="P356" s="134" t="n">
        <v>0</v>
      </c>
      <c r="Q356" s="134" t="inlineStr">
        <is>
          <t>55 -0.25%</t>
        </is>
      </c>
      <c r="R356" s="134" t="inlineStr">
        <is>
          <t>72 -0.21%</t>
        </is>
      </c>
      <c r="S356" s="134" t="inlineStr">
        <is>
          <t>20 0.47%</t>
        </is>
      </c>
      <c r="T356" s="134" t="inlineStr">
        <is>
          <t>5 0.37%</t>
        </is>
      </c>
      <c r="U356" s="134" t="inlineStr">
        <is>
          <t>8 1.00%</t>
        </is>
      </c>
    </row>
    <row customHeight="1" ht="17" r="357" s="155">
      <c r="A357" s="105" t="n">
        <v>43635</v>
      </c>
      <c r="B357" s="134" t="n">
        <v>1093.363</v>
      </c>
      <c r="C357" s="152" t="n">
        <v>6.898</v>
      </c>
      <c r="D357" s="153" t="n">
        <v>0.0064</v>
      </c>
      <c r="E357" s="134" t="n">
        <v>107.019</v>
      </c>
      <c r="F357" s="134" t="n">
        <v>103.025</v>
      </c>
      <c r="G357" s="134" t="n">
        <v>89.59999999999999</v>
      </c>
      <c r="H357" s="134" t="n">
        <v>127.84</v>
      </c>
      <c r="I357" s="104" t="n">
        <v>0.2082</v>
      </c>
      <c r="J357" s="104" t="n">
        <v>0.1441</v>
      </c>
      <c r="K357" s="104" t="n">
        <v>0.0146</v>
      </c>
      <c r="L357" s="134" t="n">
        <v>58.76</v>
      </c>
      <c r="M357" s="134" t="n">
        <v>2650.74</v>
      </c>
      <c r="N357" s="104" t="n">
        <v>0.0222</v>
      </c>
      <c r="O357" s="134" t="n">
        <v>160</v>
      </c>
      <c r="P357" s="134" t="n">
        <v>0</v>
      </c>
      <c r="Q357" s="134" t="inlineStr">
        <is>
          <t>53 0.30%</t>
        </is>
      </c>
      <c r="R357" s="134" t="inlineStr">
        <is>
          <t>73 0.58%</t>
        </is>
      </c>
      <c r="S357" s="134" t="inlineStr">
        <is>
          <t>20 1.01%</t>
        </is>
      </c>
      <c r="T357" s="134" t="inlineStr">
        <is>
          <t>6 1.14%</t>
        </is>
      </c>
      <c r="U357" s="134" t="inlineStr">
        <is>
          <t>8 2.05%</t>
        </is>
      </c>
    </row>
    <row customHeight="1" ht="17" r="358" s="155">
      <c r="A358" s="105" t="n">
        <v>43636</v>
      </c>
      <c r="B358" s="134" t="n">
        <v>1106.054</v>
      </c>
      <c r="C358" s="152" t="n">
        <v>12.691</v>
      </c>
      <c r="D358" s="153" t="n">
        <v>0.0116</v>
      </c>
      <c r="E358" s="134" t="n">
        <v>108.281</v>
      </c>
      <c r="F358" s="134" t="n">
        <v>104.63</v>
      </c>
      <c r="G358" s="134" t="n">
        <v>90.95</v>
      </c>
      <c r="H358" s="134" t="n">
        <v>128.11</v>
      </c>
      <c r="I358" s="104" t="n">
        <v>0.1983</v>
      </c>
      <c r="J358" s="104" t="n">
        <v>0.1332</v>
      </c>
      <c r="K358" s="104" t="n">
        <v>0.0122</v>
      </c>
      <c r="L358" s="134" t="n">
        <v>81.7</v>
      </c>
      <c r="M358" s="134" t="n">
        <v>2650.74</v>
      </c>
      <c r="N358" s="104" t="n">
        <v>0.0308</v>
      </c>
      <c r="O358" s="134" t="n">
        <v>160</v>
      </c>
      <c r="P358" s="134" t="n">
        <v>0</v>
      </c>
      <c r="Q358" s="134" t="inlineStr">
        <is>
          <t>46 0.58%</t>
        </is>
      </c>
      <c r="R358" s="134" t="inlineStr">
        <is>
          <t>66 1.08%</t>
        </is>
      </c>
      <c r="S358" s="134" t="inlineStr">
        <is>
          <t>32 1.88%</t>
        </is>
      </c>
      <c r="T358" s="134" t="inlineStr">
        <is>
          <t>7 2.83%</t>
        </is>
      </c>
      <c r="U358" s="134" t="inlineStr">
        <is>
          <t>9 0.90%</t>
        </is>
      </c>
    </row>
    <row customHeight="1" ht="17" r="359" s="155">
      <c r="A359" s="105" t="n">
        <v>43637</v>
      </c>
      <c r="B359" s="134" t="n">
        <v>1116.921</v>
      </c>
      <c r="C359" s="152" t="n">
        <v>10.867</v>
      </c>
      <c r="D359" s="153" t="n">
        <v>0.0098</v>
      </c>
      <c r="E359" s="134" t="n">
        <v>109.306</v>
      </c>
      <c r="F359" s="134" t="n">
        <v>105.815</v>
      </c>
      <c r="G359" s="134" t="n">
        <v>92.76000000000001</v>
      </c>
      <c r="H359" s="134" t="n">
        <v>128.4</v>
      </c>
      <c r="I359" s="104" t="n">
        <v>0.1909</v>
      </c>
      <c r="J359" s="104" t="n">
        <v>0.133</v>
      </c>
      <c r="K359" s="104" t="n">
        <v>0.01</v>
      </c>
      <c r="L359" s="134" t="n">
        <v>62.15</v>
      </c>
      <c r="M359" s="134" t="n">
        <v>2650.74</v>
      </c>
      <c r="N359" s="104" t="n">
        <v>0.0234</v>
      </c>
      <c r="O359" s="134" t="n">
        <v>160</v>
      </c>
      <c r="P359" s="134" t="n">
        <v>0</v>
      </c>
      <c r="Q359" s="134" t="inlineStr">
        <is>
          <t>40 0.99%</t>
        </is>
      </c>
      <c r="R359" s="134" t="inlineStr">
        <is>
          <t>65 1.04%</t>
        </is>
      </c>
      <c r="S359" s="134" t="inlineStr">
        <is>
          <t>38 1.07%</t>
        </is>
      </c>
      <c r="T359" s="134" t="inlineStr">
        <is>
          <t>8 1.37%</t>
        </is>
      </c>
      <c r="U359" s="134" t="inlineStr">
        <is>
          <t>9 -0.15%</t>
        </is>
      </c>
    </row>
    <row customHeight="1" ht="17" r="360" s="155">
      <c r="A360" s="105" t="n">
        <v>43640</v>
      </c>
      <c r="B360" s="134" t="n">
        <v>1116.272</v>
      </c>
      <c r="C360" s="150" t="n">
        <v>-0.649</v>
      </c>
      <c r="D360" s="151" t="n">
        <v>-0.0005999999999999999</v>
      </c>
      <c r="E360" s="134" t="n">
        <v>109.135</v>
      </c>
      <c r="F360" s="134" t="n">
        <v>105.71</v>
      </c>
      <c r="G360" s="134" t="n">
        <v>92.43000000000001</v>
      </c>
      <c r="H360" s="134" t="n">
        <v>128.14</v>
      </c>
      <c r="I360" s="104" t="n">
        <v>0.1901</v>
      </c>
      <c r="J360" s="104" t="n">
        <v>0.1288</v>
      </c>
      <c r="K360" s="104" t="n">
        <v>0.0104</v>
      </c>
      <c r="L360" s="134" t="n">
        <v>44.54</v>
      </c>
      <c r="M360" s="134" t="n">
        <v>2651.52</v>
      </c>
      <c r="N360" s="104" t="n">
        <v>0.0168</v>
      </c>
      <c r="O360" s="134" t="n">
        <v>160</v>
      </c>
      <c r="P360" s="134" t="n">
        <v>0</v>
      </c>
      <c r="Q360" s="134" t="inlineStr">
        <is>
          <t>41 -0.13%</t>
        </is>
      </c>
      <c r="R360" s="134" t="inlineStr">
        <is>
          <t>70 -0.23%</t>
        </is>
      </c>
      <c r="S360" s="134" t="inlineStr">
        <is>
          <t>31 0.24%</t>
        </is>
      </c>
      <c r="T360" s="134" t="inlineStr">
        <is>
          <t>9 0.67%</t>
        </is>
      </c>
      <c r="U360" s="134" t="inlineStr">
        <is>
          <t>9 0.10%</t>
        </is>
      </c>
    </row>
    <row customHeight="1" ht="17" r="361" s="155">
      <c r="A361" s="105" t="n">
        <v>43641</v>
      </c>
      <c r="B361" s="134" t="n">
        <v>1111.022</v>
      </c>
      <c r="C361" s="150" t="n">
        <v>-5.25</v>
      </c>
      <c r="D361" s="151" t="n">
        <v>-0.0047</v>
      </c>
      <c r="E361" s="134" t="n">
        <v>108.543</v>
      </c>
      <c r="F361" s="134" t="n">
        <v>105.5</v>
      </c>
      <c r="G361" s="134" t="n">
        <v>92.58</v>
      </c>
      <c r="H361" s="134" t="n">
        <v>128.22</v>
      </c>
      <c r="I361" s="104" t="n">
        <v>0.1968</v>
      </c>
      <c r="J361" s="104" t="n">
        <v>0.1337</v>
      </c>
      <c r="K361" s="104" t="n">
        <v>0.0115</v>
      </c>
      <c r="L361" s="134" t="n">
        <v>51.23</v>
      </c>
      <c r="M361" s="134" t="n">
        <v>2653.44</v>
      </c>
      <c r="N361" s="104" t="n">
        <v>0.0193</v>
      </c>
      <c r="O361" s="134" t="n">
        <v>161</v>
      </c>
      <c r="P361" s="134" t="n">
        <v>0</v>
      </c>
      <c r="Q361" s="134" t="inlineStr">
        <is>
          <t>43 -0.42%</t>
        </is>
      </c>
      <c r="R361" s="134" t="inlineStr">
        <is>
          <t>71 -0.42%</t>
        </is>
      </c>
      <c r="S361" s="134" t="inlineStr">
        <is>
          <t>31 -0.49%</t>
        </is>
      </c>
      <c r="T361" s="134" t="inlineStr">
        <is>
          <t>7 -0.70%</t>
        </is>
      </c>
      <c r="U361" s="134" t="inlineStr">
        <is>
          <t>9 -0.86%</t>
        </is>
      </c>
    </row>
    <row customHeight="1" ht="17" r="362" s="155">
      <c r="A362" s="105" t="n">
        <v>43642</v>
      </c>
      <c r="B362" s="134" t="n">
        <v>1114.551</v>
      </c>
      <c r="C362" s="152" t="n">
        <v>3.529</v>
      </c>
      <c r="D362" s="153" t="n">
        <v>0.0032</v>
      </c>
      <c r="E362" s="134" t="n">
        <v>108.892</v>
      </c>
      <c r="F362" s="134" t="n">
        <v>105.58</v>
      </c>
      <c r="G362" s="134" t="n">
        <v>92.04000000000001</v>
      </c>
      <c r="H362" s="134" t="n">
        <v>129.11</v>
      </c>
      <c r="I362" s="104" t="n">
        <v>0.2022</v>
      </c>
      <c r="J362" s="104" t="n">
        <v>0.1418</v>
      </c>
      <c r="K362" s="104" t="n">
        <v>0.0109</v>
      </c>
      <c r="L362" s="134" t="n">
        <v>40.45</v>
      </c>
      <c r="M362" s="134" t="n">
        <v>2653.44</v>
      </c>
      <c r="N362" s="104" t="n">
        <v>0.0152</v>
      </c>
      <c r="O362" s="134" t="n">
        <v>161</v>
      </c>
      <c r="P362" s="134" t="n">
        <v>0</v>
      </c>
      <c r="Q362" s="134" t="inlineStr">
        <is>
          <t>41 0.14%</t>
        </is>
      </c>
      <c r="R362" s="134" t="inlineStr">
        <is>
          <t>70 0.16%</t>
        </is>
      </c>
      <c r="S362" s="134" t="inlineStr">
        <is>
          <t>30 0.43%</t>
        </is>
      </c>
      <c r="T362" s="134" t="inlineStr">
        <is>
          <t>11 1.95%</t>
        </is>
      </c>
      <c r="U362" s="134" t="inlineStr">
        <is>
          <t>9 -0.02%</t>
        </is>
      </c>
    </row>
    <row customHeight="1" ht="17" r="363" s="155">
      <c r="A363" s="105" t="n">
        <v>43643</v>
      </c>
      <c r="B363" s="134" t="n">
        <v>1121.2</v>
      </c>
      <c r="C363" s="152" t="n">
        <v>6.649</v>
      </c>
      <c r="D363" s="153" t="n">
        <v>0.006</v>
      </c>
      <c r="E363" s="134" t="n">
        <v>109.64</v>
      </c>
      <c r="F363" s="134" t="n">
        <v>106.115</v>
      </c>
      <c r="G363" s="134" t="n">
        <v>93.52</v>
      </c>
      <c r="H363" s="134" t="n">
        <v>129.46</v>
      </c>
      <c r="I363" s="104" t="n">
        <v>0.1982</v>
      </c>
      <c r="J363" s="104" t="n">
        <v>0.1355</v>
      </c>
      <c r="K363" s="104" t="n">
        <v>0.0095</v>
      </c>
      <c r="L363" s="134" t="n">
        <v>74.97</v>
      </c>
      <c r="M363" s="134" t="n">
        <v>2664.61</v>
      </c>
      <c r="N363" s="104" t="n">
        <v>0.0281</v>
      </c>
      <c r="O363" s="134" t="n">
        <v>162</v>
      </c>
      <c r="P363" s="134" t="n">
        <v>0</v>
      </c>
      <c r="Q363" s="134" t="inlineStr">
        <is>
          <t>39 0.34%</t>
        </is>
      </c>
      <c r="R363" s="134" t="inlineStr">
        <is>
          <t>71 0.21%</t>
        </is>
      </c>
      <c r="S363" s="134" t="inlineStr">
        <is>
          <t>27 1.00%</t>
        </is>
      </c>
      <c r="T363" s="134" t="inlineStr">
        <is>
          <t>15 1.79%</t>
        </is>
      </c>
      <c r="U363" s="134" t="inlineStr">
        <is>
          <t>10 1.50%</t>
        </is>
      </c>
    </row>
    <row customHeight="1" ht="17" r="364" s="155">
      <c r="A364" s="105" t="n">
        <v>43644</v>
      </c>
      <c r="B364" s="134" t="n">
        <v>1121.081</v>
      </c>
      <c r="C364" s="150" t="n">
        <v>-0.119</v>
      </c>
      <c r="D364" s="151" t="n">
        <v>-0.0001</v>
      </c>
      <c r="E364" s="134" t="n">
        <v>109.609</v>
      </c>
      <c r="F364" s="134" t="n">
        <v>105.525</v>
      </c>
      <c r="G364" s="134" t="n">
        <v>92.48999999999999</v>
      </c>
      <c r="H364" s="134" t="n">
        <v>130.84</v>
      </c>
      <c r="I364" s="104" t="n">
        <v>0.2123</v>
      </c>
      <c r="J364" s="104" t="n">
        <v>0.1367</v>
      </c>
      <c r="K364" s="104" t="n">
        <v>0.009599999999999999</v>
      </c>
      <c r="L364" s="134" t="n">
        <v>46.62</v>
      </c>
      <c r="M364" s="134" t="n">
        <v>2664.61</v>
      </c>
      <c r="N364" s="104" t="n">
        <v>0.0175</v>
      </c>
      <c r="O364" s="134" t="n">
        <v>162</v>
      </c>
      <c r="P364" s="134" t="n">
        <v>0</v>
      </c>
      <c r="Q364" s="134" t="inlineStr">
        <is>
          <t>41 0.01%</t>
        </is>
      </c>
      <c r="R364" s="134" t="inlineStr">
        <is>
          <t>71 -0.25%</t>
        </is>
      </c>
      <c r="S364" s="134" t="inlineStr">
        <is>
          <t>29 -0.28%</t>
        </is>
      </c>
      <c r="T364" s="134" t="inlineStr">
        <is>
          <t>9 0.26%</t>
        </is>
      </c>
      <c r="U364" s="134" t="inlineStr">
        <is>
          <t>12 1.76%</t>
        </is>
      </c>
    </row>
    <row customHeight="1" ht="17" r="365" s="155">
      <c r="A365" s="105" t="n">
        <v>43647</v>
      </c>
      <c r="B365" s="134" t="n">
        <v>1138.598</v>
      </c>
      <c r="C365" s="152" t="n">
        <v>17.517</v>
      </c>
      <c r="D365" s="153" t="n">
        <v>0.0156</v>
      </c>
      <c r="E365" s="134" t="n">
        <v>111.503</v>
      </c>
      <c r="F365" s="134" t="n">
        <v>106.794</v>
      </c>
      <c r="G365" s="134" t="n">
        <v>94.86</v>
      </c>
      <c r="H365" s="134" t="n">
        <v>130.89</v>
      </c>
      <c r="I365" s="104" t="n">
        <v>0.1939</v>
      </c>
      <c r="J365" s="104" t="n">
        <v>0.1337</v>
      </c>
      <c r="K365" s="104" t="n">
        <v>0.0066</v>
      </c>
      <c r="L365" s="134" t="n">
        <v>89.7</v>
      </c>
      <c r="M365" s="134" t="n">
        <v>2664.61</v>
      </c>
      <c r="N365" s="104" t="n">
        <v>0.0337</v>
      </c>
      <c r="O365" s="134" t="n">
        <v>162</v>
      </c>
      <c r="P365" s="134" t="n">
        <v>0</v>
      </c>
      <c r="Q365" s="134" t="inlineStr">
        <is>
          <t>30 0.71%</t>
        </is>
      </c>
      <c r="R365" s="134" t="inlineStr">
        <is>
          <t>77 1.01%</t>
        </is>
      </c>
      <c r="S365" s="134" t="inlineStr">
        <is>
          <t>28 2.17%</t>
        </is>
      </c>
      <c r="T365" s="134" t="inlineStr">
        <is>
          <t>13 2.13%</t>
        </is>
      </c>
      <c r="U365" s="134" t="inlineStr">
        <is>
          <t>14 5.92%</t>
        </is>
      </c>
    </row>
    <row customHeight="1" ht="17" r="366" s="155">
      <c r="A366" s="105" t="n">
        <v>43648</v>
      </c>
      <c r="B366" s="134" t="n">
        <v>1138.09</v>
      </c>
      <c r="C366" s="150" t="n">
        <v>-0.508</v>
      </c>
      <c r="D366" s="151" t="n">
        <v>-0.0005</v>
      </c>
      <c r="E366" s="134" t="n">
        <v>111.212</v>
      </c>
      <c r="F366" s="134" t="n">
        <v>107.29</v>
      </c>
      <c r="G366" s="134" t="n">
        <v>94.34999999999999</v>
      </c>
      <c r="H366" s="134" t="n">
        <v>130.2</v>
      </c>
      <c r="I366" s="104" t="n">
        <v>0.1899</v>
      </c>
      <c r="J366" s="104" t="n">
        <v>0.129</v>
      </c>
      <c r="K366" s="104" t="n">
        <v>0.0066</v>
      </c>
      <c r="L366" s="134" t="n">
        <v>86.95999999999999</v>
      </c>
      <c r="M366" s="134" t="n">
        <v>2672.98</v>
      </c>
      <c r="N366" s="104" t="n">
        <v>0.0325</v>
      </c>
      <c r="O366" s="134" t="n">
        <v>164</v>
      </c>
      <c r="P366" s="134" t="n">
        <v>0</v>
      </c>
      <c r="Q366" s="134" t="inlineStr">
        <is>
          <t>27 0.31%</t>
        </is>
      </c>
      <c r="R366" s="134" t="inlineStr">
        <is>
          <t>77 0.36%</t>
        </is>
      </c>
      <c r="S366" s="134" t="inlineStr">
        <is>
          <t>33 0.20%</t>
        </is>
      </c>
      <c r="T366" s="134" t="inlineStr">
        <is>
          <t>13 -0.24%</t>
        </is>
      </c>
      <c r="U366" s="134" t="inlineStr">
        <is>
          <t>14 -3.36%</t>
        </is>
      </c>
    </row>
    <row customHeight="1" ht="17" r="367" s="155">
      <c r="A367" s="105" t="n">
        <v>43649</v>
      </c>
      <c r="B367" s="134" t="n">
        <v>1133.57</v>
      </c>
      <c r="C367" s="150" t="n">
        <v>-4.52</v>
      </c>
      <c r="D367" s="151" t="n">
        <v>-0.004</v>
      </c>
      <c r="E367" s="134" t="n">
        <v>110.645</v>
      </c>
      <c r="F367" s="134" t="n">
        <v>107.085</v>
      </c>
      <c r="G367" s="134" t="n">
        <v>93.53</v>
      </c>
      <c r="H367" s="134" t="n">
        <v>130.38</v>
      </c>
      <c r="I367" s="104" t="n">
        <v>0.1974</v>
      </c>
      <c r="J367" s="104" t="n">
        <v>0.1349</v>
      </c>
      <c r="K367" s="104" t="n">
        <v>0.0074</v>
      </c>
      <c r="L367" s="134" t="n">
        <v>74.09</v>
      </c>
      <c r="M367" s="134" t="n">
        <v>2672.98</v>
      </c>
      <c r="N367" s="104" t="n">
        <v>0.0277</v>
      </c>
      <c r="O367" s="134" t="n">
        <v>164</v>
      </c>
      <c r="P367" s="134" t="n">
        <v>0</v>
      </c>
      <c r="Q367" s="134" t="inlineStr">
        <is>
          <t>29 -0.21%</t>
        </is>
      </c>
      <c r="R367" s="134" t="inlineStr">
        <is>
          <t>76 -0.14%</t>
        </is>
      </c>
      <c r="S367" s="134" t="inlineStr">
        <is>
          <t>35 -0.05%</t>
        </is>
      </c>
      <c r="T367" s="134" t="inlineStr">
        <is>
          <t>12 -1.61%</t>
        </is>
      </c>
      <c r="U367" s="134" t="inlineStr">
        <is>
          <t>12 -2.28%</t>
        </is>
      </c>
    </row>
    <row customHeight="1" ht="17" r="368" s="155">
      <c r="A368" s="105" t="n">
        <v>43650</v>
      </c>
      <c r="B368" s="134" t="n">
        <v>1133.309</v>
      </c>
      <c r="C368" s="150" t="n">
        <v>-0.261</v>
      </c>
      <c r="D368" s="151" t="n">
        <v>-0.0002</v>
      </c>
      <c r="E368" s="134" t="n">
        <v>110.565</v>
      </c>
      <c r="F368" s="134" t="n">
        <v>107.13</v>
      </c>
      <c r="G368" s="134" t="n">
        <v>94.09999999999999</v>
      </c>
      <c r="H368" s="134" t="n">
        <v>130.28</v>
      </c>
      <c r="I368" s="104" t="n">
        <v>0.1971</v>
      </c>
      <c r="J368" s="104" t="n">
        <v>0.1345</v>
      </c>
      <c r="K368" s="104" t="n">
        <v>0.0074</v>
      </c>
      <c r="L368" s="134" t="n">
        <v>82.67</v>
      </c>
      <c r="M368" s="134" t="n">
        <v>2672.98</v>
      </c>
      <c r="N368" s="104" t="n">
        <v>0.0309</v>
      </c>
      <c r="O368" s="134" t="n">
        <v>164</v>
      </c>
      <c r="P368" s="134" t="n">
        <v>0</v>
      </c>
      <c r="Q368" s="134" t="inlineStr">
        <is>
          <t>28 0.14%</t>
        </is>
      </c>
      <c r="R368" s="134" t="inlineStr">
        <is>
          <t>75 0.20%</t>
        </is>
      </c>
      <c r="S368" s="134" t="inlineStr">
        <is>
          <t>36 -0.24%</t>
        </is>
      </c>
      <c r="T368" s="134" t="inlineStr">
        <is>
          <t>14 0.47%</t>
        </is>
      </c>
      <c r="U368" s="134" t="inlineStr">
        <is>
          <t>11 -1.14%</t>
        </is>
      </c>
    </row>
    <row customHeight="1" ht="17" r="369" s="155">
      <c r="A369" s="105" t="n">
        <v>43651</v>
      </c>
      <c r="B369" s="134" t="n">
        <v>1132.868</v>
      </c>
      <c r="C369" s="150" t="n">
        <v>-0.441</v>
      </c>
      <c r="D369" s="151" t="n">
        <v>-0.0004</v>
      </c>
      <c r="E369" s="134" t="n">
        <v>110.292</v>
      </c>
      <c r="F369" s="134" t="n">
        <v>107.137</v>
      </c>
      <c r="G369" s="134" t="n">
        <v>93.94</v>
      </c>
      <c r="H369" s="134" t="n">
        <v>129.8</v>
      </c>
      <c r="I369" s="104" t="n">
        <v>0.1951</v>
      </c>
      <c r="J369" s="104" t="n">
        <v>0.1285</v>
      </c>
      <c r="K369" s="104" t="n">
        <v>0.007900000000000001</v>
      </c>
      <c r="L369" s="134" t="n">
        <v>64.79000000000001</v>
      </c>
      <c r="M369" s="134" t="n">
        <v>2676.34</v>
      </c>
      <c r="N369" s="104" t="n">
        <v>0.0242</v>
      </c>
      <c r="O369" s="134" t="n">
        <v>164</v>
      </c>
      <c r="P369" s="134" t="n">
        <v>0</v>
      </c>
      <c r="Q369" s="134" t="inlineStr">
        <is>
          <t>26 0.00%</t>
        </is>
      </c>
      <c r="R369" s="134" t="inlineStr">
        <is>
          <t>81 -0.17%</t>
        </is>
      </c>
      <c r="S369" s="134" t="inlineStr">
        <is>
          <t>33 0.04%</t>
        </is>
      </c>
      <c r="T369" s="134" t="inlineStr">
        <is>
          <t>14 0.51%</t>
        </is>
      </c>
      <c r="U369" s="134" t="inlineStr">
        <is>
          <t>10 0.09%</t>
        </is>
      </c>
    </row>
    <row customHeight="1" ht="17" r="370" s="155">
      <c r="A370" s="105" t="n">
        <v>43654</v>
      </c>
      <c r="B370" s="134" t="n">
        <v>1119.731</v>
      </c>
      <c r="C370" s="150" t="n">
        <v>-13.137</v>
      </c>
      <c r="D370" s="151" t="n">
        <v>-0.0116</v>
      </c>
      <c r="E370" s="134" t="n">
        <v>108.856</v>
      </c>
      <c r="F370" s="134" t="n">
        <v>105.88</v>
      </c>
      <c r="G370" s="134" t="n">
        <v>90.84</v>
      </c>
      <c r="H370" s="134" t="n">
        <v>130.84</v>
      </c>
      <c r="I370" s="104" t="n">
        <v>0.2199</v>
      </c>
      <c r="J370" s="104" t="n">
        <v>0.1549</v>
      </c>
      <c r="K370" s="104" t="n">
        <v>0.0106</v>
      </c>
      <c r="L370" s="134" t="n">
        <v>49.26</v>
      </c>
      <c r="M370" s="134" t="n">
        <v>2684.34</v>
      </c>
      <c r="N370" s="104" t="n">
        <v>0.0184</v>
      </c>
      <c r="O370" s="134" t="n">
        <v>165</v>
      </c>
      <c r="P370" s="134" t="n">
        <v>0</v>
      </c>
      <c r="Q370" s="134" t="inlineStr">
        <is>
          <t>34 -0.75%</t>
        </is>
      </c>
      <c r="R370" s="134" t="inlineStr">
        <is>
          <t>81 -1.16%</t>
        </is>
      </c>
      <c r="S370" s="134" t="inlineStr">
        <is>
          <t>27 -0.90%</t>
        </is>
      </c>
      <c r="T370" s="134" t="inlineStr">
        <is>
          <t>14 -0.29%</t>
        </is>
      </c>
      <c r="U370" s="134" t="inlineStr">
        <is>
          <t>9 -2.86%</t>
        </is>
      </c>
    </row>
    <row customHeight="1" ht="17" r="371" s="155">
      <c r="A371" s="105" t="n">
        <v>43655</v>
      </c>
      <c r="B371" s="134" t="n">
        <v>1119.088</v>
      </c>
      <c r="C371" s="150" t="n">
        <v>-0.643</v>
      </c>
      <c r="D371" s="151" t="n">
        <v>-0.0005999999999999999</v>
      </c>
      <c r="E371" s="134" t="n">
        <v>108.81</v>
      </c>
      <c r="F371" s="134" t="n">
        <v>105.975</v>
      </c>
      <c r="G371" s="134" t="n">
        <v>91.25</v>
      </c>
      <c r="H371" s="134" t="n">
        <v>130.37</v>
      </c>
      <c r="I371" s="104" t="n">
        <v>0.2156</v>
      </c>
      <c r="J371" s="104" t="n">
        <v>0.1464</v>
      </c>
      <c r="K371" s="104" t="n">
        <v>0.0106</v>
      </c>
      <c r="L371" s="134" t="n">
        <v>46.95</v>
      </c>
      <c r="M371" s="134" t="n">
        <v>2706.04</v>
      </c>
      <c r="N371" s="104" t="n">
        <v>0.0173</v>
      </c>
      <c r="O371" s="134" t="n">
        <v>166</v>
      </c>
      <c r="P371" s="134" t="n">
        <v>0</v>
      </c>
      <c r="Q371" s="134" t="inlineStr">
        <is>
          <t>31 -0.02%</t>
        </is>
      </c>
      <c r="R371" s="134" t="inlineStr">
        <is>
          <t>82 0.16%</t>
        </is>
      </c>
      <c r="S371" s="134" t="inlineStr">
        <is>
          <t>32 -0.41%</t>
        </is>
      </c>
      <c r="T371" s="134" t="inlineStr">
        <is>
          <t>12 -0.38%</t>
        </is>
      </c>
      <c r="U371" s="134" t="inlineStr">
        <is>
          <t>9 -0.50%</t>
        </is>
      </c>
    </row>
    <row customHeight="1" ht="17" r="372" s="155">
      <c r="A372" s="105" t="n">
        <v>43656</v>
      </c>
      <c r="B372" s="134" t="n">
        <v>1116.222</v>
      </c>
      <c r="C372" s="150" t="n">
        <v>-2.866</v>
      </c>
      <c r="D372" s="151" t="n">
        <v>-0.0026</v>
      </c>
      <c r="E372" s="134" t="n">
        <v>108.479</v>
      </c>
      <c r="F372" s="134" t="n">
        <v>105.801</v>
      </c>
      <c r="G372" s="134" t="n">
        <v>90.95999999999999</v>
      </c>
      <c r="H372" s="134" t="n">
        <v>130.54</v>
      </c>
      <c r="I372" s="104" t="n">
        <v>0.2206</v>
      </c>
      <c r="J372" s="104" t="n">
        <v>0.1541</v>
      </c>
      <c r="K372" s="104" t="n">
        <v>0.0112</v>
      </c>
      <c r="L372" s="134" t="n">
        <v>40.16</v>
      </c>
      <c r="M372" s="134" t="n">
        <v>2706.04</v>
      </c>
      <c r="N372" s="104" t="n">
        <v>0.0148</v>
      </c>
      <c r="O372" s="134" t="n">
        <v>166</v>
      </c>
      <c r="P372" s="134" t="n">
        <v>0</v>
      </c>
      <c r="Q372" s="134" t="inlineStr">
        <is>
          <t>32 -0.21%</t>
        </is>
      </c>
      <c r="R372" s="134" t="inlineStr">
        <is>
          <t>81 -0.09%</t>
        </is>
      </c>
      <c r="S372" s="134" t="inlineStr">
        <is>
          <t>35 -0.30%</t>
        </is>
      </c>
      <c r="T372" s="134" t="inlineStr">
        <is>
          <t>10 -0.13%</t>
        </is>
      </c>
      <c r="U372" s="134" t="inlineStr">
        <is>
          <t>8 -1.89%</t>
        </is>
      </c>
    </row>
    <row customHeight="1" ht="17" r="373" s="155">
      <c r="A373" s="105" t="n">
        <v>43657</v>
      </c>
      <c r="B373" s="134" t="n">
        <v>1116.058</v>
      </c>
      <c r="C373" s="150" t="n">
        <v>-0.164</v>
      </c>
      <c r="D373" s="151" t="n">
        <v>-0.0002</v>
      </c>
      <c r="E373" s="134" t="n">
        <v>108.41</v>
      </c>
      <c r="F373" s="134" t="n">
        <v>105.66</v>
      </c>
      <c r="G373" s="134" t="n">
        <v>91.93000000000001</v>
      </c>
      <c r="H373" s="134" t="n">
        <v>130.34</v>
      </c>
      <c r="I373" s="104" t="n">
        <v>0.2193</v>
      </c>
      <c r="J373" s="104" t="n">
        <v>0.1518</v>
      </c>
      <c r="K373" s="104" t="n">
        <v>0.0112</v>
      </c>
      <c r="L373" s="134" t="n">
        <v>41.76</v>
      </c>
      <c r="M373" s="134" t="n">
        <v>2712.44</v>
      </c>
      <c r="N373" s="104" t="n">
        <v>0.0154</v>
      </c>
      <c r="O373" s="134" t="n">
        <v>167</v>
      </c>
      <c r="P373" s="134" t="n">
        <v>0</v>
      </c>
      <c r="Q373" s="134" t="inlineStr">
        <is>
          <t>33 -0.13%</t>
        </is>
      </c>
      <c r="R373" s="134" t="inlineStr">
        <is>
          <t>82 0.04%</t>
        </is>
      </c>
      <c r="S373" s="134" t="inlineStr">
        <is>
          <t>34 0.12%</t>
        </is>
      </c>
      <c r="T373" s="134" t="inlineStr">
        <is>
          <t>10 -0.29%</t>
        </is>
      </c>
      <c r="U373" s="134" t="inlineStr">
        <is>
          <t>8 -0.25%</t>
        </is>
      </c>
    </row>
    <row customHeight="1" ht="17" r="374" s="155">
      <c r="A374" s="105" t="n">
        <v>43658</v>
      </c>
      <c r="B374" s="134" t="n">
        <v>1118.216</v>
      </c>
      <c r="C374" s="152" t="n">
        <v>2.158</v>
      </c>
      <c r="D374" s="153" t="n">
        <v>0.0019</v>
      </c>
      <c r="E374" s="134" t="n">
        <v>108.574</v>
      </c>
      <c r="F374" s="134" t="n">
        <v>105.855</v>
      </c>
      <c r="G374" s="134" t="n">
        <v>91.73</v>
      </c>
      <c r="H374" s="134" t="n">
        <v>130.24</v>
      </c>
      <c r="I374" s="104" t="n">
        <v>0.2166</v>
      </c>
      <c r="J374" s="104" t="n">
        <v>0.1428</v>
      </c>
      <c r="K374" s="104" t="n">
        <v>0.0109</v>
      </c>
      <c r="L374" s="134" t="n">
        <v>36.59</v>
      </c>
      <c r="M374" s="134" t="n">
        <v>2715.44</v>
      </c>
      <c r="N374" s="104" t="n">
        <v>0.0135</v>
      </c>
      <c r="O374" s="134" t="n">
        <v>168</v>
      </c>
      <c r="P374" s="134" t="n">
        <v>0</v>
      </c>
      <c r="Q374" s="134" t="inlineStr">
        <is>
          <t>32 0.00%</t>
        </is>
      </c>
      <c r="R374" s="134" t="inlineStr">
        <is>
          <t>83 0.14%</t>
        </is>
      </c>
      <c r="S374" s="134" t="inlineStr">
        <is>
          <t>33 0.25%</t>
        </is>
      </c>
      <c r="T374" s="134" t="inlineStr">
        <is>
          <t>12 1.19%</t>
        </is>
      </c>
      <c r="U374" s="134" t="inlineStr">
        <is>
          <t>8 -0.18%</t>
        </is>
      </c>
    </row>
    <row customHeight="1" ht="17" r="375" s="155">
      <c r="A375" s="105" t="n">
        <v>43661</v>
      </c>
      <c r="B375" s="134" t="n">
        <v>1120.368</v>
      </c>
      <c r="C375" s="152" t="n">
        <v>2.152</v>
      </c>
      <c r="D375" s="153" t="n">
        <v>0.0019</v>
      </c>
      <c r="E375" s="134" t="n">
        <v>108.811</v>
      </c>
      <c r="F375" s="134" t="n">
        <v>105.875</v>
      </c>
      <c r="G375" s="134" t="n">
        <v>92.77</v>
      </c>
      <c r="H375" s="134" t="n">
        <v>130.13</v>
      </c>
      <c r="I375" s="104" t="n">
        <v>0.2132</v>
      </c>
      <c r="J375" s="104" t="n">
        <v>0.1344</v>
      </c>
      <c r="K375" s="104" t="n">
        <v>0.0106</v>
      </c>
      <c r="L375" s="134" t="n">
        <v>39.27</v>
      </c>
      <c r="M375" s="134" t="n">
        <v>2715.44</v>
      </c>
      <c r="N375" s="104" t="n">
        <v>0.0145</v>
      </c>
      <c r="O375" s="134" t="n">
        <v>168</v>
      </c>
      <c r="P375" s="134" t="n">
        <v>0</v>
      </c>
      <c r="Q375" s="134" t="inlineStr">
        <is>
          <t>37 -0.07%</t>
        </is>
      </c>
      <c r="R375" s="134" t="inlineStr">
        <is>
          <t>77 0.13%</t>
        </is>
      </c>
      <c r="S375" s="134" t="inlineStr">
        <is>
          <t>34 0.41%</t>
        </is>
      </c>
      <c r="T375" s="134" t="inlineStr">
        <is>
          <t>11 0.58%</t>
        </is>
      </c>
      <c r="U375" s="134" t="inlineStr">
        <is>
          <t>9 0.91%</t>
        </is>
      </c>
    </row>
    <row customHeight="1" ht="17" r="376" s="155">
      <c r="A376" s="105" t="n">
        <v>43662</v>
      </c>
      <c r="B376" s="134" t="n">
        <v>1121.492</v>
      </c>
      <c r="C376" s="152" t="n">
        <v>1.124</v>
      </c>
      <c r="D376" s="153" t="n">
        <v>0.001</v>
      </c>
      <c r="E376" s="134" t="n">
        <v>108.907</v>
      </c>
      <c r="F376" s="134" t="n">
        <v>106.283</v>
      </c>
      <c r="G376" s="134" t="n">
        <v>94.98</v>
      </c>
      <c r="H376" s="134" t="n">
        <v>129.9</v>
      </c>
      <c r="I376" s="104" t="n">
        <v>0.2099</v>
      </c>
      <c r="J376" s="104" t="n">
        <v>0.1345</v>
      </c>
      <c r="K376" s="104" t="n">
        <v>0.0105</v>
      </c>
      <c r="L376" s="134" t="n">
        <v>38.41</v>
      </c>
      <c r="M376" s="134" t="n">
        <v>2720.34</v>
      </c>
      <c r="N376" s="104" t="n">
        <v>0.0141</v>
      </c>
      <c r="O376" s="134" t="n">
        <v>169</v>
      </c>
      <c r="P376" s="134" t="n">
        <v>0</v>
      </c>
      <c r="Q376" s="134" t="inlineStr">
        <is>
          <t>35 -0.02%</t>
        </is>
      </c>
      <c r="R376" s="134" t="inlineStr">
        <is>
          <t>79 0.15%</t>
        </is>
      </c>
      <c r="S376" s="134" t="inlineStr">
        <is>
          <t>34 0.12%</t>
        </is>
      </c>
      <c r="T376" s="134" t="inlineStr">
        <is>
          <t>13 -0.49%</t>
        </is>
      </c>
      <c r="U376" s="134" t="inlineStr">
        <is>
          <t>8 0.94%</t>
        </is>
      </c>
    </row>
    <row customHeight="1" ht="17" r="377" s="155">
      <c r="A377" s="105" t="n">
        <v>43663</v>
      </c>
      <c r="B377" s="134" t="n">
        <v>1124.238</v>
      </c>
      <c r="C377" s="152" t="n">
        <v>2.746</v>
      </c>
      <c r="D377" s="153" t="n">
        <v>0.0025</v>
      </c>
      <c r="E377" s="134" t="n">
        <v>109.204</v>
      </c>
      <c r="F377" s="134" t="n">
        <v>106.429</v>
      </c>
      <c r="G377" s="134" t="n">
        <v>94.08</v>
      </c>
      <c r="H377" s="134" t="n">
        <v>130.09</v>
      </c>
      <c r="I377" s="104" t="n">
        <v>0.2089</v>
      </c>
      <c r="J377" s="104" t="n">
        <v>0.1349</v>
      </c>
      <c r="K377" s="104" t="n">
        <v>0.009900000000000001</v>
      </c>
      <c r="L377" s="134" t="n">
        <v>37.48</v>
      </c>
      <c r="M377" s="134" t="n">
        <v>2718.4</v>
      </c>
      <c r="N377" s="104" t="n">
        <v>0.0138</v>
      </c>
      <c r="O377" s="134" t="n">
        <v>168</v>
      </c>
      <c r="P377" s="134" t="n">
        <v>0</v>
      </c>
      <c r="Q377" s="134" t="inlineStr">
        <is>
          <t>31 0.13%</t>
        </is>
      </c>
      <c r="R377" s="134" t="inlineStr">
        <is>
          <t>80 0.29%</t>
        </is>
      </c>
      <c r="S377" s="134" t="inlineStr">
        <is>
          <t>37 0.31%</t>
        </is>
      </c>
      <c r="T377" s="134" t="inlineStr">
        <is>
          <t>11 0.32%</t>
        </is>
      </c>
      <c r="U377" s="134" t="inlineStr">
        <is>
          <t>9 -0.06%</t>
        </is>
      </c>
    </row>
    <row customHeight="1" ht="17" r="378" s="155">
      <c r="A378" s="105" t="n">
        <v>43664</v>
      </c>
      <c r="B378" s="134" t="n">
        <v>1117.731</v>
      </c>
      <c r="C378" s="150" t="n">
        <v>-6.507</v>
      </c>
      <c r="D378" s="151" t="n">
        <v>-0.0058</v>
      </c>
      <c r="E378" s="134" t="n">
        <v>108.512</v>
      </c>
      <c r="F378" s="134" t="n">
        <v>106.051</v>
      </c>
      <c r="G378" s="134" t="n">
        <v>92.56999999999999</v>
      </c>
      <c r="H378" s="134" t="n">
        <v>130.99</v>
      </c>
      <c r="I378" s="104" t="n">
        <v>0.2248</v>
      </c>
      <c r="J378" s="104" t="n">
        <v>0.1495</v>
      </c>
      <c r="K378" s="104" t="n">
        <v>0.0111</v>
      </c>
      <c r="L378" s="134" t="n">
        <v>32.78</v>
      </c>
      <c r="M378" s="134" t="n">
        <v>2718.4</v>
      </c>
      <c r="N378" s="104" t="n">
        <v>0.0121</v>
      </c>
      <c r="O378" s="134" t="n">
        <v>168</v>
      </c>
      <c r="P378" s="134" t="n">
        <v>0</v>
      </c>
      <c r="Q378" s="134" t="inlineStr">
        <is>
          <t>34 -0.38%</t>
        </is>
      </c>
      <c r="R378" s="134" t="inlineStr">
        <is>
          <t>79 -0.47%</t>
        </is>
      </c>
      <c r="S378" s="134" t="inlineStr">
        <is>
          <t>37 -0.60%</t>
        </is>
      </c>
      <c r="T378" s="134" t="inlineStr">
        <is>
          <t>10 -1.18%</t>
        </is>
      </c>
      <c r="U378" s="134" t="inlineStr">
        <is>
          <t>8 -1.66%</t>
        </is>
      </c>
    </row>
    <row customHeight="1" ht="17" r="379" s="155">
      <c r="A379" s="105" t="n">
        <v>43665</v>
      </c>
      <c r="B379" s="134" t="n">
        <v>1119.722</v>
      </c>
      <c r="C379" s="152" t="n">
        <v>1.991</v>
      </c>
      <c r="D379" s="153" t="n">
        <v>0.0018</v>
      </c>
      <c r="E379" s="134" t="n">
        <v>108.718</v>
      </c>
      <c r="F379" s="134" t="n">
        <v>106.126</v>
      </c>
      <c r="G379" s="134" t="n">
        <v>92.78</v>
      </c>
      <c r="H379" s="134" t="n">
        <v>130.94</v>
      </c>
      <c r="I379" s="104" t="n">
        <v>0.2222</v>
      </c>
      <c r="J379" s="104" t="n">
        <v>0.1452</v>
      </c>
      <c r="K379" s="104" t="n">
        <v>0.0107</v>
      </c>
      <c r="L379" s="134" t="n">
        <v>38.61</v>
      </c>
      <c r="M379" s="134" t="n">
        <v>2718.4</v>
      </c>
      <c r="N379" s="104" t="n">
        <v>0.0142</v>
      </c>
      <c r="O379" s="134" t="n">
        <v>168</v>
      </c>
      <c r="P379" s="134" t="n">
        <v>0</v>
      </c>
      <c r="Q379" s="134" t="inlineStr">
        <is>
          <t>36 -0.02%</t>
        </is>
      </c>
      <c r="R379" s="134" t="inlineStr">
        <is>
          <t>77 0.10%</t>
        </is>
      </c>
      <c r="S379" s="134" t="inlineStr">
        <is>
          <t>36 0.40%</t>
        </is>
      </c>
      <c r="T379" s="134" t="inlineStr">
        <is>
          <t>10 0.51%</t>
        </is>
      </c>
      <c r="U379" s="134" t="inlineStr">
        <is>
          <t>9 0.41%</t>
        </is>
      </c>
    </row>
    <row customHeight="1" ht="17" r="380" s="155">
      <c r="A380" s="105" t="n">
        <v>43668</v>
      </c>
      <c r="B380" s="134" t="n">
        <v>1110.804</v>
      </c>
      <c r="C380" s="150" t="n">
        <v>-8.917999999999999</v>
      </c>
      <c r="D380" s="151" t="n">
        <v>-0.008</v>
      </c>
      <c r="E380" s="134" t="n">
        <v>107.768</v>
      </c>
      <c r="F380" s="134" t="n">
        <v>105.23</v>
      </c>
      <c r="G380" s="134" t="n">
        <v>90.18000000000001</v>
      </c>
      <c r="H380" s="134" t="n">
        <v>132.46</v>
      </c>
      <c r="I380" s="104" t="n">
        <v>0.247</v>
      </c>
      <c r="J380" s="104" t="n">
        <v>0.1693</v>
      </c>
      <c r="K380" s="104" t="n">
        <v>0.0124</v>
      </c>
      <c r="L380" s="134" t="n">
        <v>32.22</v>
      </c>
      <c r="M380" s="134" t="n">
        <v>2718.4</v>
      </c>
      <c r="N380" s="104" t="n">
        <v>0.0119</v>
      </c>
      <c r="O380" s="134" t="n">
        <v>168</v>
      </c>
      <c r="P380" s="134" t="n">
        <v>0</v>
      </c>
      <c r="Q380" s="134" t="inlineStr">
        <is>
          <t>46 -0.56%</t>
        </is>
      </c>
      <c r="R380" s="134" t="inlineStr">
        <is>
          <t>69 -0.80%</t>
        </is>
      </c>
      <c r="S380" s="134" t="inlineStr">
        <is>
          <t>37 -0.14%</t>
        </is>
      </c>
      <c r="T380" s="134" t="inlineStr">
        <is>
          <t>8 -0.73%</t>
        </is>
      </c>
      <c r="U380" s="134" t="inlineStr">
        <is>
          <t>8 -3.41%</t>
        </is>
      </c>
    </row>
    <row customHeight="1" ht="17" r="381" s="155">
      <c r="A381" s="105" t="n">
        <v>43669</v>
      </c>
      <c r="B381" s="134" t="n">
        <v>1113.353</v>
      </c>
      <c r="C381" s="152" t="n">
        <v>2.549</v>
      </c>
      <c r="D381" s="153" t="n">
        <v>0.0023</v>
      </c>
      <c r="E381" s="134" t="n">
        <v>108.044</v>
      </c>
      <c r="F381" s="134" t="n">
        <v>105.255</v>
      </c>
      <c r="G381" s="134" t="n">
        <v>91.09999999999999</v>
      </c>
      <c r="H381" s="134" t="n">
        <v>131.47</v>
      </c>
      <c r="I381" s="104" t="n">
        <v>0.2343</v>
      </c>
      <c r="J381" s="104" t="n">
        <v>0.1435</v>
      </c>
      <c r="K381" s="104" t="n">
        <v>0.0119</v>
      </c>
      <c r="L381" s="134" t="n">
        <v>39.28</v>
      </c>
      <c r="M381" s="134" t="n">
        <v>2696.93</v>
      </c>
      <c r="N381" s="104" t="n">
        <v>0.0146</v>
      </c>
      <c r="O381" s="134" t="n">
        <v>168</v>
      </c>
      <c r="P381" s="134" t="n">
        <v>0</v>
      </c>
      <c r="Q381" s="134" t="inlineStr">
        <is>
          <t>45 -0.03%</t>
        </is>
      </c>
      <c r="R381" s="134" t="inlineStr">
        <is>
          <t>68 0.27%</t>
        </is>
      </c>
      <c r="S381" s="134" t="inlineStr">
        <is>
          <t>36 0.18%</t>
        </is>
      </c>
      <c r="T381" s="134" t="inlineStr">
        <is>
          <t>12 0.76%</t>
        </is>
      </c>
      <c r="U381" s="134" t="inlineStr">
        <is>
          <t>7 0.59%</t>
        </is>
      </c>
    </row>
    <row customHeight="1" ht="17" r="382" s="155">
      <c r="A382" s="105" t="n">
        <v>43670</v>
      </c>
      <c r="B382" s="134" t="n">
        <v>1116.867</v>
      </c>
      <c r="C382" s="152" t="n">
        <v>3.514</v>
      </c>
      <c r="D382" s="153" t="n">
        <v>0.0032</v>
      </c>
      <c r="E382" s="134" t="n">
        <v>108.353</v>
      </c>
      <c r="F382" s="134" t="n">
        <v>105.55</v>
      </c>
      <c r="G382" s="134" t="n">
        <v>91.77</v>
      </c>
      <c r="H382" s="134" t="n">
        <v>130.69</v>
      </c>
      <c r="I382" s="104" t="n">
        <v>0.2233</v>
      </c>
      <c r="J382" s="104" t="n">
        <v>0.1413</v>
      </c>
      <c r="K382" s="104" t="n">
        <v>0.0113</v>
      </c>
      <c r="L382" s="134" t="n">
        <v>48.87</v>
      </c>
      <c r="M382" s="134" t="n">
        <v>2699.23</v>
      </c>
      <c r="N382" s="104" t="n">
        <v>0.0181</v>
      </c>
      <c r="O382" s="134" t="n">
        <v>169</v>
      </c>
      <c r="P382" s="134" t="n">
        <v>0</v>
      </c>
      <c r="Q382" s="134" t="inlineStr">
        <is>
          <t>43 0.16%</t>
        </is>
      </c>
      <c r="R382" s="134" t="inlineStr">
        <is>
          <t>72 0.24%</t>
        </is>
      </c>
      <c r="S382" s="134" t="inlineStr">
        <is>
          <t>33 0.34%</t>
        </is>
      </c>
      <c r="T382" s="134" t="inlineStr">
        <is>
          <t>12 0.55%</t>
        </is>
      </c>
      <c r="U382" s="134" t="inlineStr">
        <is>
          <t>9 1.26%</t>
        </is>
      </c>
    </row>
    <row customHeight="1" ht="17" r="383" s="155">
      <c r="A383" s="105" t="n">
        <v>43671</v>
      </c>
      <c r="B383" s="134" t="n">
        <v>1121.973</v>
      </c>
      <c r="C383" s="152" t="n">
        <v>5.106</v>
      </c>
      <c r="D383" s="153" t="n">
        <v>0.0046</v>
      </c>
      <c r="E383" s="134" t="n">
        <v>108.882</v>
      </c>
      <c r="F383" s="134" t="n">
        <v>105.94</v>
      </c>
      <c r="G383" s="134" t="n">
        <v>92.26000000000001</v>
      </c>
      <c r="H383" s="134" t="n">
        <v>131.36</v>
      </c>
      <c r="I383" s="104" t="n">
        <v>0.2247</v>
      </c>
      <c r="J383" s="104" t="n">
        <v>0.1389</v>
      </c>
      <c r="K383" s="104" t="n">
        <v>0.0104</v>
      </c>
      <c r="L383" s="134" t="n">
        <v>50.44</v>
      </c>
      <c r="M383" s="134" t="n">
        <v>2699.23</v>
      </c>
      <c r="N383" s="104" t="n">
        <v>0.0187</v>
      </c>
      <c r="O383" s="134" t="n">
        <v>169</v>
      </c>
      <c r="P383" s="134" t="n">
        <v>0</v>
      </c>
      <c r="Q383" s="134" t="inlineStr">
        <is>
          <t>41 0.13%</t>
        </is>
      </c>
      <c r="R383" s="134" t="inlineStr">
        <is>
          <t>73 0.31%</t>
        </is>
      </c>
      <c r="S383" s="134" t="inlineStr">
        <is>
          <t>31 0.57%</t>
        </is>
      </c>
      <c r="T383" s="134" t="inlineStr">
        <is>
          <t>14 0.82%</t>
        </is>
      </c>
      <c r="U383" s="134" t="inlineStr">
        <is>
          <t>10 2.02%</t>
        </is>
      </c>
    </row>
    <row customHeight="1" ht="17" r="384" s="155">
      <c r="A384" s="105" t="n">
        <v>43672</v>
      </c>
      <c r="B384" s="134" t="n">
        <v>1127.206</v>
      </c>
      <c r="C384" s="152" t="n">
        <v>5.233</v>
      </c>
      <c r="D384" s="153" t="n">
        <v>0.0047</v>
      </c>
      <c r="E384" s="134" t="n">
        <v>109.4</v>
      </c>
      <c r="F384" s="134" t="n">
        <v>106.88</v>
      </c>
      <c r="G384" s="134" t="n">
        <v>92.43000000000001</v>
      </c>
      <c r="H384" s="134" t="n">
        <v>131.89</v>
      </c>
      <c r="I384" s="104" t="n">
        <v>0.2249</v>
      </c>
      <c r="J384" s="104" t="n">
        <v>0.1465</v>
      </c>
      <c r="K384" s="104" t="n">
        <v>0.0094</v>
      </c>
      <c r="L384" s="134" t="n">
        <v>50.65</v>
      </c>
      <c r="M384" s="134" t="n">
        <v>2699.23</v>
      </c>
      <c r="N384" s="104" t="n">
        <v>0.0188</v>
      </c>
      <c r="O384" s="134" t="n">
        <v>169</v>
      </c>
      <c r="P384" s="134" t="n">
        <v>0</v>
      </c>
      <c r="Q384" s="134" t="inlineStr">
        <is>
          <t>37 0.21%</t>
        </is>
      </c>
      <c r="R384" s="134" t="inlineStr">
        <is>
          <t>74 0.52%</t>
        </is>
      </c>
      <c r="S384" s="134" t="inlineStr">
        <is>
          <t>34 0.54%</t>
        </is>
      </c>
      <c r="T384" s="134" t="inlineStr">
        <is>
          <t>12 1.04%</t>
        </is>
      </c>
      <c r="U384" s="134" t="inlineStr">
        <is>
          <t>12 0.83%</t>
        </is>
      </c>
    </row>
    <row customHeight="1" ht="17" r="385" s="155">
      <c r="A385" s="105" t="n">
        <v>43675</v>
      </c>
      <c r="B385" s="134" t="n">
        <v>1129.573</v>
      </c>
      <c r="C385" s="152" t="n">
        <v>2.367</v>
      </c>
      <c r="D385" s="153" t="n">
        <v>0.0021</v>
      </c>
      <c r="E385" s="134" t="n">
        <v>109.635</v>
      </c>
      <c r="F385" s="134" t="n">
        <v>107.17</v>
      </c>
      <c r="G385" s="134" t="n">
        <v>92.15000000000001</v>
      </c>
      <c r="H385" s="134" t="n">
        <v>132.05</v>
      </c>
      <c r="I385" s="104" t="n">
        <v>0.2242</v>
      </c>
      <c r="J385" s="104" t="n">
        <v>0.1434</v>
      </c>
      <c r="K385" s="104" t="n">
        <v>0.0091</v>
      </c>
      <c r="L385" s="134" t="n">
        <v>54.38</v>
      </c>
      <c r="M385" s="134" t="n">
        <v>2702.22</v>
      </c>
      <c r="N385" s="104" t="n">
        <v>0.0201</v>
      </c>
      <c r="O385" s="134" t="n">
        <v>170</v>
      </c>
      <c r="P385" s="134" t="n">
        <v>0</v>
      </c>
      <c r="Q385" s="134" t="inlineStr">
        <is>
          <t>37 0.07%</t>
        </is>
      </c>
      <c r="R385" s="134" t="inlineStr">
        <is>
          <t>73 0.18%</t>
        </is>
      </c>
      <c r="S385" s="134" t="inlineStr">
        <is>
          <t>35 0.21%</t>
        </is>
      </c>
      <c r="T385" s="134" t="inlineStr">
        <is>
          <t>13 0.36%</t>
        </is>
      </c>
      <c r="U385" s="134" t="inlineStr">
        <is>
          <t>12 0.71%</t>
        </is>
      </c>
    </row>
    <row customHeight="1" ht="17" r="386" s="155">
      <c r="A386" s="105" t="n">
        <v>43676</v>
      </c>
      <c r="B386" s="134" t="n">
        <v>1134.939</v>
      </c>
      <c r="C386" s="152" t="n">
        <v>5.366</v>
      </c>
      <c r="D386" s="153" t="n">
        <v>0.0048</v>
      </c>
      <c r="E386" s="134" t="n">
        <v>110.153</v>
      </c>
      <c r="F386" s="134" t="n">
        <v>107.435</v>
      </c>
      <c r="G386" s="134" t="n">
        <v>92.73</v>
      </c>
      <c r="H386" s="134" t="n">
        <v>132.68</v>
      </c>
      <c r="I386" s="104" t="n">
        <v>0.2253</v>
      </c>
      <c r="J386" s="104" t="n">
        <v>0.1464</v>
      </c>
      <c r="K386" s="104" t="n">
        <v>0.0081</v>
      </c>
      <c r="L386" s="134" t="n">
        <v>63.31</v>
      </c>
      <c r="M386" s="134" t="n">
        <v>2702.22</v>
      </c>
      <c r="N386" s="104" t="n">
        <v>0.0234</v>
      </c>
      <c r="O386" s="134" t="n">
        <v>170</v>
      </c>
      <c r="P386" s="134" t="n">
        <v>0</v>
      </c>
      <c r="Q386" s="134" t="inlineStr">
        <is>
          <t>33 0.24%</t>
        </is>
      </c>
      <c r="R386" s="134" t="inlineStr">
        <is>
          <t>73 0.50%</t>
        </is>
      </c>
      <c r="S386" s="134" t="inlineStr">
        <is>
          <t>37 0.63%</t>
        </is>
      </c>
      <c r="T386" s="134" t="inlineStr">
        <is>
          <t>16 0.48%</t>
        </is>
      </c>
      <c r="U386" s="134" t="inlineStr">
        <is>
          <t>11 0.51%</t>
        </is>
      </c>
    </row>
    <row customHeight="1" ht="17" r="387" s="155">
      <c r="A387" s="105" t="n">
        <v>43677</v>
      </c>
      <c r="B387" s="134" t="n">
        <v>1136.049</v>
      </c>
      <c r="C387" s="152" t="n">
        <v>1.11</v>
      </c>
      <c r="D387" s="153" t="n">
        <v>0.001</v>
      </c>
      <c r="E387" s="134" t="n">
        <v>110.207</v>
      </c>
      <c r="F387" s="134" t="n">
        <v>107.51</v>
      </c>
      <c r="G387" s="134" t="n">
        <v>92.19</v>
      </c>
      <c r="H387" s="134" t="n">
        <v>133.56</v>
      </c>
      <c r="I387" s="104" t="n">
        <v>0.2335</v>
      </c>
      <c r="J387" s="104" t="n">
        <v>0.1566</v>
      </c>
      <c r="K387" s="104" t="n">
        <v>0.008</v>
      </c>
      <c r="L387" s="134" t="n">
        <v>45.09</v>
      </c>
      <c r="M387" s="134" t="n">
        <v>2704.16</v>
      </c>
      <c r="N387" s="104" t="n">
        <v>0.0167</v>
      </c>
      <c r="O387" s="134" t="n">
        <v>171</v>
      </c>
      <c r="P387" s="134" t="n">
        <v>0</v>
      </c>
      <c r="Q387" s="134" t="inlineStr">
        <is>
          <t>33 0.14%</t>
        </is>
      </c>
      <c r="R387" s="134" t="inlineStr">
        <is>
          <t>75 0.02%</t>
        </is>
      </c>
      <c r="S387" s="134" t="inlineStr">
        <is>
          <t>37 0.13%</t>
        </is>
      </c>
      <c r="T387" s="134" t="inlineStr">
        <is>
          <t>15 0.39%</t>
        </is>
      </c>
      <c r="U387" s="134" t="inlineStr">
        <is>
          <t>11 -0.01%</t>
        </is>
      </c>
    </row>
    <row customHeight="1" ht="17" r="388" s="155">
      <c r="A388" s="105" t="n">
        <v>43678</v>
      </c>
      <c r="B388" s="134" t="n">
        <v>1133.632</v>
      </c>
      <c r="C388" s="150" t="n">
        <v>-2.417</v>
      </c>
      <c r="D388" s="151" t="n">
        <v>-0.0021</v>
      </c>
      <c r="E388" s="134" t="n">
        <v>109.602</v>
      </c>
      <c r="F388" s="134" t="n">
        <v>107.1</v>
      </c>
      <c r="G388" s="134" t="n">
        <v>91.65000000000001</v>
      </c>
      <c r="H388" s="134" t="n">
        <v>133.29</v>
      </c>
      <c r="I388" s="104" t="n">
        <v>0.2369</v>
      </c>
      <c r="J388" s="104" t="n">
        <v>0.1618</v>
      </c>
      <c r="K388" s="104" t="n">
        <v>0.008999999999999999</v>
      </c>
      <c r="L388" s="134" t="n">
        <v>52.72</v>
      </c>
      <c r="M388" s="134" t="n">
        <v>2704.06</v>
      </c>
      <c r="N388" s="104" t="n">
        <v>0.0195</v>
      </c>
      <c r="O388" s="134" t="n">
        <v>170</v>
      </c>
      <c r="P388" s="134" t="n">
        <v>0</v>
      </c>
      <c r="Q388" s="134" t="inlineStr">
        <is>
          <t>33 -0.17%</t>
        </is>
      </c>
      <c r="R388" s="134" t="inlineStr">
        <is>
          <t>75 -0.14%</t>
        </is>
      </c>
      <c r="S388" s="134" t="inlineStr">
        <is>
          <t>38 -0.21%</t>
        </is>
      </c>
      <c r="T388" s="134" t="inlineStr">
        <is>
          <t>14 0.00%</t>
        </is>
      </c>
      <c r="U388" s="134" t="inlineStr">
        <is>
          <t>10 -1.24%</t>
        </is>
      </c>
    </row>
    <row customHeight="1" ht="17" r="389" s="155">
      <c r="A389" s="105" t="n">
        <v>43679</v>
      </c>
      <c r="B389" s="134" t="n">
        <v>1129.115</v>
      </c>
      <c r="C389" s="150" t="n">
        <v>-4.517</v>
      </c>
      <c r="D389" s="151" t="n">
        <v>-0.004</v>
      </c>
      <c r="E389" s="134" t="n">
        <v>109.123</v>
      </c>
      <c r="F389" s="134" t="n">
        <v>106.66</v>
      </c>
      <c r="G389" s="134" t="n">
        <v>90.47</v>
      </c>
      <c r="H389" s="134" t="n">
        <v>134.45</v>
      </c>
      <c r="I389" s="104" t="n">
        <v>0.2532</v>
      </c>
      <c r="J389" s="104" t="n">
        <v>0.1778</v>
      </c>
      <c r="K389" s="104" t="n">
        <v>0.009900000000000001</v>
      </c>
      <c r="L389" s="134" t="n">
        <v>58.94</v>
      </c>
      <c r="M389" s="134" t="n">
        <v>2732.36</v>
      </c>
      <c r="N389" s="104" t="n">
        <v>0.0216</v>
      </c>
      <c r="O389" s="134" t="n">
        <v>171</v>
      </c>
      <c r="P389" s="134" t="n">
        <v>0</v>
      </c>
      <c r="Q389" s="134" t="inlineStr">
        <is>
          <t>37 -0.25%</t>
        </is>
      </c>
      <c r="R389" s="134" t="inlineStr">
        <is>
          <t>74 -0.37%</t>
        </is>
      </c>
      <c r="S389" s="134" t="inlineStr">
        <is>
          <t>37 -0.27%</t>
        </is>
      </c>
      <c r="T389" s="134" t="inlineStr">
        <is>
          <t>14 -0.76%</t>
        </is>
      </c>
      <c r="U389" s="134" t="inlineStr">
        <is>
          <t>9 -1.21%</t>
        </is>
      </c>
    </row>
    <row customHeight="1" ht="17" r="390" s="155">
      <c r="A390" s="105" t="n">
        <v>43682</v>
      </c>
      <c r="B390" s="134" t="n">
        <v>1122.7</v>
      </c>
      <c r="C390" s="150" t="n">
        <v>-6.415</v>
      </c>
      <c r="D390" s="151" t="n">
        <v>-0.0057</v>
      </c>
      <c r="E390" s="134" t="n">
        <v>108.476</v>
      </c>
      <c r="F390" s="134" t="n">
        <v>106.01</v>
      </c>
      <c r="G390" s="134" t="n">
        <v>89.78</v>
      </c>
      <c r="H390" s="134" t="n">
        <v>134.92</v>
      </c>
      <c r="I390" s="104" t="n">
        <v>0.2645</v>
      </c>
      <c r="J390" s="104" t="n">
        <v>0.1832</v>
      </c>
      <c r="K390" s="104" t="n">
        <v>0.0112</v>
      </c>
      <c r="L390" s="134" t="n">
        <v>51.16</v>
      </c>
      <c r="M390" s="134" t="n">
        <v>2732.36</v>
      </c>
      <c r="N390" s="104" t="n">
        <v>0.0187</v>
      </c>
      <c r="O390" s="134" t="n">
        <v>171</v>
      </c>
      <c r="P390" s="134" t="n">
        <v>0</v>
      </c>
      <c r="Q390" s="134" t="inlineStr">
        <is>
          <t>39 -0.40%</t>
        </is>
      </c>
      <c r="R390" s="134" t="inlineStr">
        <is>
          <t>71 -0.47%</t>
        </is>
      </c>
      <c r="S390" s="134" t="inlineStr">
        <is>
          <t>43 -0.82%</t>
        </is>
      </c>
      <c r="T390" s="134" t="inlineStr">
        <is>
          <t>9 -0.28%</t>
        </is>
      </c>
      <c r="U390" s="134" t="inlineStr">
        <is>
          <t>9 -1.04%</t>
        </is>
      </c>
    </row>
    <row customHeight="1" ht="17" r="391" s="155">
      <c r="A391" s="105" t="n">
        <v>43683</v>
      </c>
      <c r="B391" s="134" t="n">
        <v>1114.054</v>
      </c>
      <c r="C391" s="150" t="n">
        <v>-8.646000000000001</v>
      </c>
      <c r="D391" s="151" t="n">
        <v>-0.0077</v>
      </c>
      <c r="E391" s="134" t="n">
        <v>107.531</v>
      </c>
      <c r="F391" s="134" t="n">
        <v>105.55</v>
      </c>
      <c r="G391" s="134" t="n">
        <v>86.90000000000001</v>
      </c>
      <c r="H391" s="134" t="n">
        <v>137.11</v>
      </c>
      <c r="I391" s="104" t="n">
        <v>0.2958</v>
      </c>
      <c r="J391" s="104" t="n">
        <v>0.2048</v>
      </c>
      <c r="K391" s="104" t="n">
        <v>0.0129</v>
      </c>
      <c r="L391" s="134" t="n">
        <v>52.12</v>
      </c>
      <c r="M391" s="134" t="n">
        <v>2738.96</v>
      </c>
      <c r="N391" s="104" t="n">
        <v>0.019</v>
      </c>
      <c r="O391" s="134" t="n">
        <v>172</v>
      </c>
      <c r="P391" s="134" t="n">
        <v>0</v>
      </c>
      <c r="Q391" s="134" t="inlineStr">
        <is>
          <t>51 -0.53%</t>
        </is>
      </c>
      <c r="R391" s="134" t="inlineStr">
        <is>
          <t>63 -0.70%</t>
        </is>
      </c>
      <c r="S391" s="134" t="inlineStr">
        <is>
          <t>40 -0.69%</t>
        </is>
      </c>
      <c r="T391" s="134" t="inlineStr">
        <is>
          <t>12 -1.91%</t>
        </is>
      </c>
      <c r="U391" s="134" t="inlineStr">
        <is>
          <t>6 -1.86%</t>
        </is>
      </c>
    </row>
    <row customHeight="1" ht="17" r="392" s="155">
      <c r="A392" s="105" t="n">
        <v>43684</v>
      </c>
      <c r="B392" s="134" t="n">
        <v>1118.784</v>
      </c>
      <c r="C392" s="152" t="n">
        <v>4.73</v>
      </c>
      <c r="D392" s="153" t="n">
        <v>0.0043</v>
      </c>
      <c r="E392" s="134" t="n">
        <v>107.991</v>
      </c>
      <c r="F392" s="134" t="n">
        <v>105.785</v>
      </c>
      <c r="G392" s="134" t="n">
        <v>86.28</v>
      </c>
      <c r="H392" s="134" t="n">
        <v>138.02</v>
      </c>
      <c r="I392" s="104" t="n">
        <v>0.3003</v>
      </c>
      <c r="J392" s="104" t="n">
        <v>0.2144</v>
      </c>
      <c r="K392" s="104" t="n">
        <v>0.012</v>
      </c>
      <c r="L392" s="134" t="n">
        <v>42.92</v>
      </c>
      <c r="M392" s="134" t="n">
        <v>2738.96</v>
      </c>
      <c r="N392" s="104" t="n">
        <v>0.0157</v>
      </c>
      <c r="O392" s="134" t="n">
        <v>172</v>
      </c>
      <c r="P392" s="134" t="n">
        <v>0</v>
      </c>
      <c r="Q392" s="134" t="inlineStr">
        <is>
          <t>45 0.35%</t>
        </is>
      </c>
      <c r="R392" s="134" t="inlineStr">
        <is>
          <t>67 0.29%</t>
        </is>
      </c>
      <c r="S392" s="134" t="inlineStr">
        <is>
          <t>39 0.38%</t>
        </is>
      </c>
      <c r="T392" s="134" t="inlineStr">
        <is>
          <t>15 1.09%</t>
        </is>
      </c>
      <c r="U392" s="134" t="inlineStr">
        <is>
          <t>6 1.13%</t>
        </is>
      </c>
    </row>
    <row customHeight="1" ht="17" r="393" s="155">
      <c r="A393" s="105" t="n">
        <v>43685</v>
      </c>
      <c r="B393" s="134" t="n">
        <v>1121.695</v>
      </c>
      <c r="C393" s="152" t="n">
        <v>2.911</v>
      </c>
      <c r="D393" s="153" t="n">
        <v>0.0026</v>
      </c>
      <c r="E393" s="134" t="n">
        <v>108.305</v>
      </c>
      <c r="F393" s="134" t="n">
        <v>105.765</v>
      </c>
      <c r="G393" s="134" t="n">
        <v>86.45</v>
      </c>
      <c r="H393" s="134" t="n">
        <v>137.98</v>
      </c>
      <c r="I393" s="104" t="n">
        <v>0.2968</v>
      </c>
      <c r="J393" s="104" t="n">
        <v>0.2065</v>
      </c>
      <c r="K393" s="104" t="n">
        <v>0.0115</v>
      </c>
      <c r="L393" s="134" t="n">
        <v>54.87</v>
      </c>
      <c r="M393" s="134" t="n">
        <v>2738.96</v>
      </c>
      <c r="N393" s="104" t="n">
        <v>0.02</v>
      </c>
      <c r="O393" s="134" t="n">
        <v>172</v>
      </c>
      <c r="P393" s="134" t="n">
        <v>0</v>
      </c>
      <c r="Q393" s="134" t="inlineStr">
        <is>
          <t>42 0.06%</t>
        </is>
      </c>
      <c r="R393" s="134" t="inlineStr">
        <is>
          <t>69 0.15%</t>
        </is>
      </c>
      <c r="S393" s="134" t="inlineStr">
        <is>
          <t>39 0.23%</t>
        </is>
      </c>
      <c r="T393" s="134" t="inlineStr">
        <is>
          <t>14 0.79%</t>
        </is>
      </c>
      <c r="U393" s="134" t="inlineStr">
        <is>
          <t>8 1.47%</t>
        </is>
      </c>
    </row>
    <row customHeight="1" ht="17" r="394" s="155">
      <c r="A394" s="105" t="n">
        <v>43686</v>
      </c>
      <c r="B394" s="134" t="n">
        <v>1120.517</v>
      </c>
      <c r="C394" s="150" t="n">
        <v>-1.178</v>
      </c>
      <c r="D394" s="151" t="n">
        <v>-0.0011</v>
      </c>
      <c r="E394" s="134" t="n">
        <v>108.165</v>
      </c>
      <c r="F394" s="134" t="n">
        <v>105.83</v>
      </c>
      <c r="G394" s="134" t="n">
        <v>84.95999999999999</v>
      </c>
      <c r="H394" s="134" t="n">
        <v>138.99</v>
      </c>
      <c r="I394" s="104" t="n">
        <v>0.3083</v>
      </c>
      <c r="J394" s="104" t="n">
        <v>0.2211</v>
      </c>
      <c r="K394" s="104" t="n">
        <v>0.0117</v>
      </c>
      <c r="L394" s="134" t="n">
        <v>45.4</v>
      </c>
      <c r="M394" s="134" t="n">
        <v>2738.96</v>
      </c>
      <c r="N394" s="104" t="n">
        <v>0.0166</v>
      </c>
      <c r="O394" s="134" t="n">
        <v>172</v>
      </c>
      <c r="P394" s="134" t="n">
        <v>0</v>
      </c>
      <c r="Q394" s="134" t="inlineStr">
        <is>
          <t>42 -0.04%</t>
        </is>
      </c>
      <c r="R394" s="134" t="inlineStr">
        <is>
          <t>72 -0.06%</t>
        </is>
      </c>
      <c r="S394" s="134" t="inlineStr">
        <is>
          <t>37 -0.18%</t>
        </is>
      </c>
      <c r="T394" s="134" t="inlineStr">
        <is>
          <t>14 0.08%</t>
        </is>
      </c>
      <c r="U394" s="134" t="inlineStr">
        <is>
          <t>7 -0.97%</t>
        </is>
      </c>
    </row>
    <row customHeight="1" ht="17" r="395" s="155">
      <c r="A395" s="105" t="n">
        <v>43689</v>
      </c>
      <c r="B395" s="134" t="n">
        <v>1125.574</v>
      </c>
      <c r="C395" s="152" t="n">
        <v>5.057</v>
      </c>
      <c r="D395" s="153" t="n">
        <v>0.0045</v>
      </c>
      <c r="E395" s="134" t="n">
        <v>108.692</v>
      </c>
      <c r="F395" s="134" t="n">
        <v>106.206</v>
      </c>
      <c r="G395" s="134" t="n">
        <v>87</v>
      </c>
      <c r="H395" s="134" t="n">
        <v>137.97</v>
      </c>
      <c r="I395" s="104" t="n">
        <v>0.2928</v>
      </c>
      <c r="J395" s="104" t="n">
        <v>0.2055</v>
      </c>
      <c r="K395" s="104" t="n">
        <v>0.0107</v>
      </c>
      <c r="L395" s="134" t="n">
        <v>53.35</v>
      </c>
      <c r="M395" s="134" t="n">
        <v>2738.96</v>
      </c>
      <c r="N395" s="104" t="n">
        <v>0.0195</v>
      </c>
      <c r="O395" s="134" t="n">
        <v>172</v>
      </c>
      <c r="P395" s="134" t="n">
        <v>0</v>
      </c>
      <c r="Q395" s="134" t="inlineStr">
        <is>
          <t>43 0.11%</t>
        </is>
      </c>
      <c r="R395" s="134" t="inlineStr">
        <is>
          <t>68 0.20%</t>
        </is>
      </c>
      <c r="S395" s="134" t="inlineStr">
        <is>
          <t>38 0.51%</t>
        </is>
      </c>
      <c r="T395" s="134" t="inlineStr">
        <is>
          <t>14 1.43%</t>
        </is>
      </c>
      <c r="U395" s="134" t="inlineStr">
        <is>
          <t>9 2.19%</t>
        </is>
      </c>
    </row>
    <row customHeight="1" ht="17" r="396" s="155">
      <c r="A396" s="105" t="n">
        <v>43690</v>
      </c>
      <c r="B396" s="134" t="n">
        <v>1125.17</v>
      </c>
      <c r="C396" s="150" t="n">
        <v>-0.404</v>
      </c>
      <c r="D396" s="151" t="n">
        <v>-0.0004</v>
      </c>
      <c r="E396" s="134" t="n">
        <v>108.638</v>
      </c>
      <c r="F396" s="134" t="n">
        <v>106.085</v>
      </c>
      <c r="G396" s="134" t="n">
        <v>86.90000000000001</v>
      </c>
      <c r="H396" s="134" t="n">
        <v>138.53</v>
      </c>
      <c r="I396" s="104" t="n">
        <v>0.2989</v>
      </c>
      <c r="J396" s="104" t="n">
        <v>0.2138</v>
      </c>
      <c r="K396" s="104" t="n">
        <v>0.0108</v>
      </c>
      <c r="L396" s="134" t="n">
        <v>44.43</v>
      </c>
      <c r="M396" s="134" t="n">
        <v>2738.96</v>
      </c>
      <c r="N396" s="104" t="n">
        <v>0.0162</v>
      </c>
      <c r="O396" s="134" t="n">
        <v>172</v>
      </c>
      <c r="P396" s="134" t="n">
        <v>0</v>
      </c>
      <c r="Q396" s="134" t="inlineStr">
        <is>
          <t>44 -0.07%</t>
        </is>
      </c>
      <c r="R396" s="134" t="inlineStr">
        <is>
          <t>68 -0.04%</t>
        </is>
      </c>
      <c r="S396" s="134" t="inlineStr">
        <is>
          <t>35 -0.11%</t>
        </is>
      </c>
      <c r="T396" s="134" t="inlineStr">
        <is>
          <t>15 0.05%</t>
        </is>
      </c>
      <c r="U396" s="134" t="inlineStr">
        <is>
          <t>10 0.32%</t>
        </is>
      </c>
    </row>
    <row customHeight="1" ht="17" r="397" s="155">
      <c r="A397" s="105" t="n">
        <v>43691</v>
      </c>
      <c r="B397" s="134" t="n">
        <v>1127.057</v>
      </c>
      <c r="C397" s="152" t="n">
        <v>1.887</v>
      </c>
      <c r="D397" s="153" t="n">
        <v>0.0017</v>
      </c>
      <c r="E397" s="134" t="n">
        <v>108.775</v>
      </c>
      <c r="F397" s="134" t="n">
        <v>106.02</v>
      </c>
      <c r="G397" s="134" t="n">
        <v>87.58</v>
      </c>
      <c r="H397" s="134" t="n">
        <v>138.08</v>
      </c>
      <c r="I397" s="104" t="n">
        <v>0.2931</v>
      </c>
      <c r="J397" s="104" t="n">
        <v>0.2164</v>
      </c>
      <c r="K397" s="104" t="n">
        <v>0.0105</v>
      </c>
      <c r="L397" s="134" t="n">
        <v>48.13</v>
      </c>
      <c r="M397" s="134" t="n">
        <v>2742.26</v>
      </c>
      <c r="N397" s="104" t="n">
        <v>0.0176</v>
      </c>
      <c r="O397" s="134" t="n">
        <v>173</v>
      </c>
      <c r="P397" s="134" t="n">
        <v>0</v>
      </c>
      <c r="Q397" s="134" t="inlineStr">
        <is>
          <t>44 -0.04%</t>
        </is>
      </c>
      <c r="R397" s="134" t="inlineStr">
        <is>
          <t>68 0.26%</t>
        </is>
      </c>
      <c r="S397" s="134" t="inlineStr">
        <is>
          <t>37 0.27%</t>
        </is>
      </c>
      <c r="T397" s="134" t="inlineStr">
        <is>
          <t>15 0.09%</t>
        </is>
      </c>
      <c r="U397" s="134" t="inlineStr">
        <is>
          <t>9 0.26%</t>
        </is>
      </c>
    </row>
    <row customHeight="1" ht="17" r="398" s="155">
      <c r="A398" s="105" t="n">
        <v>43692</v>
      </c>
      <c r="B398" s="134" t="n">
        <v>1128.788</v>
      </c>
      <c r="C398" s="152" t="n">
        <v>1.731</v>
      </c>
      <c r="D398" s="153" t="n">
        <v>0.0015</v>
      </c>
      <c r="E398" s="134" t="n">
        <v>108.962</v>
      </c>
      <c r="F398" s="134" t="n">
        <v>106.07</v>
      </c>
      <c r="G398" s="134" t="n">
        <v>88.16</v>
      </c>
      <c r="H398" s="134" t="n">
        <v>137.98</v>
      </c>
      <c r="I398" s="104" t="n">
        <v>0.2902</v>
      </c>
      <c r="J398" s="104" t="n">
        <v>0.2138</v>
      </c>
      <c r="K398" s="104" t="n">
        <v>0.0102</v>
      </c>
      <c r="L398" s="134" t="n">
        <v>45.04</v>
      </c>
      <c r="M398" s="134" t="n">
        <v>2742.26</v>
      </c>
      <c r="N398" s="104" t="n">
        <v>0.0164</v>
      </c>
      <c r="O398" s="134" t="n">
        <v>173</v>
      </c>
      <c r="P398" s="134" t="n">
        <v>0</v>
      </c>
      <c r="Q398" s="134" t="inlineStr">
        <is>
          <t>43 -0.11%</t>
        </is>
      </c>
      <c r="R398" s="134" t="inlineStr">
        <is>
          <t>66 0.04%</t>
        </is>
      </c>
      <c r="S398" s="134" t="inlineStr">
        <is>
          <t>40 0.27%</t>
        </is>
      </c>
      <c r="T398" s="134" t="inlineStr">
        <is>
          <t>13 0.38%</t>
        </is>
      </c>
      <c r="U398" s="134" t="inlineStr">
        <is>
          <t>11 1.20%</t>
        </is>
      </c>
    </row>
    <row customHeight="1" ht="17" r="399" s="155">
      <c r="A399" s="105" t="n">
        <v>43693</v>
      </c>
      <c r="B399" s="134" t="n">
        <v>1133.851</v>
      </c>
      <c r="C399" s="152" t="n">
        <v>5.063</v>
      </c>
      <c r="D399" s="153" t="n">
        <v>0.0045</v>
      </c>
      <c r="E399" s="134" t="n">
        <v>109.466</v>
      </c>
      <c r="F399" s="134" t="n">
        <v>106.15</v>
      </c>
      <c r="G399" s="134" t="n">
        <v>88.08</v>
      </c>
      <c r="H399" s="134" t="n">
        <v>138.41</v>
      </c>
      <c r="I399" s="104" t="n">
        <v>0.2894</v>
      </c>
      <c r="J399" s="104" t="n">
        <v>0.2081</v>
      </c>
      <c r="K399" s="104" t="n">
        <v>0.0092</v>
      </c>
      <c r="L399" s="134" t="n">
        <v>48.65</v>
      </c>
      <c r="M399" s="134" t="n">
        <v>2742.26</v>
      </c>
      <c r="N399" s="104" t="n">
        <v>0.0177</v>
      </c>
      <c r="O399" s="134" t="n">
        <v>173</v>
      </c>
      <c r="P399" s="134" t="n">
        <v>0</v>
      </c>
      <c r="Q399" s="134" t="inlineStr">
        <is>
          <t>40 0.07%</t>
        </is>
      </c>
      <c r="R399" s="134" t="inlineStr">
        <is>
          <t>66 0.30%</t>
        </is>
      </c>
      <c r="S399" s="134" t="inlineStr">
        <is>
          <t>42 1.02%</t>
        </is>
      </c>
      <c r="T399" s="134" t="inlineStr">
        <is>
          <t>13 0.67%</t>
        </is>
      </c>
      <c r="U399" s="134" t="inlineStr">
        <is>
          <t>12 0.31%</t>
        </is>
      </c>
    </row>
    <row customHeight="1" ht="17" r="400" s="155">
      <c r="A400" s="105" t="n">
        <v>43696</v>
      </c>
      <c r="B400" s="134" t="n">
        <v>1148.451</v>
      </c>
      <c r="C400" s="152" t="n">
        <v>14.6</v>
      </c>
      <c r="D400" s="153" t="n">
        <v>0.0129</v>
      </c>
      <c r="E400" s="134" t="n">
        <v>111.009</v>
      </c>
      <c r="F400" s="134" t="n">
        <v>107.596</v>
      </c>
      <c r="G400" s="134" t="n">
        <v>90.52</v>
      </c>
      <c r="H400" s="134" t="n">
        <v>137.53</v>
      </c>
      <c r="I400" s="104" t="n">
        <v>0.2652</v>
      </c>
      <c r="J400" s="104" t="n">
        <v>0.1893</v>
      </c>
      <c r="K400" s="104" t="n">
        <v>0.0066</v>
      </c>
      <c r="L400" s="134" t="n">
        <v>70.7</v>
      </c>
      <c r="M400" s="134" t="n">
        <v>2742.26</v>
      </c>
      <c r="N400" s="104" t="n">
        <v>0.0258</v>
      </c>
      <c r="O400" s="134" t="n">
        <v>173</v>
      </c>
      <c r="P400" s="134" t="n">
        <v>0</v>
      </c>
      <c r="Q400" s="134" t="inlineStr">
        <is>
          <t>31 0.35%</t>
        </is>
      </c>
      <c r="R400" s="134" t="inlineStr">
        <is>
          <t>70 1.04%</t>
        </is>
      </c>
      <c r="S400" s="134" t="inlineStr">
        <is>
          <t>37 1.32%</t>
        </is>
      </c>
      <c r="T400" s="134" t="inlineStr">
        <is>
          <t>19 1.60%</t>
        </is>
      </c>
      <c r="U400" s="134" t="inlineStr">
        <is>
          <t>16 3.73%</t>
        </is>
      </c>
    </row>
    <row customHeight="1" ht="17" r="401" s="155">
      <c r="A401" s="105" t="n">
        <v>43697</v>
      </c>
      <c r="B401" s="134" t="n">
        <v>1149.154</v>
      </c>
      <c r="C401" s="152" t="n">
        <v>0.703</v>
      </c>
      <c r="D401" s="153" t="n">
        <v>0.0005999999999999999</v>
      </c>
      <c r="E401" s="134" t="n">
        <v>111.094</v>
      </c>
      <c r="F401" s="134" t="n">
        <v>107.774</v>
      </c>
      <c r="G401" s="134" t="n">
        <v>90.65000000000001</v>
      </c>
      <c r="H401" s="134" t="n">
        <v>137.74</v>
      </c>
      <c r="I401" s="104" t="n">
        <v>0.2665</v>
      </c>
      <c r="J401" s="104" t="n">
        <v>0.1876</v>
      </c>
      <c r="K401" s="104" t="n">
        <v>0.0065</v>
      </c>
      <c r="L401" s="134" t="n">
        <v>66.78</v>
      </c>
      <c r="M401" s="134" t="n">
        <v>2742.26</v>
      </c>
      <c r="N401" s="104" t="n">
        <v>0.0244</v>
      </c>
      <c r="O401" s="134" t="n">
        <v>173</v>
      </c>
      <c r="P401" s="134" t="n">
        <v>0</v>
      </c>
      <c r="Q401" s="134" t="inlineStr">
        <is>
          <t>29 0.15%</t>
        </is>
      </c>
      <c r="R401" s="134" t="inlineStr">
        <is>
          <t>71 0.18%</t>
        </is>
      </c>
      <c r="S401" s="134" t="inlineStr">
        <is>
          <t>37 -0.06%</t>
        </is>
      </c>
      <c r="T401" s="134" t="inlineStr">
        <is>
          <t>22 -0.58%</t>
        </is>
      </c>
      <c r="U401" s="134" t="inlineStr">
        <is>
          <t>14 0.59%</t>
        </is>
      </c>
    </row>
    <row customHeight="1" ht="17" r="402" s="155">
      <c r="A402" s="105" t="n">
        <v>43698</v>
      </c>
      <c r="B402" s="134" t="n">
        <v>1149.709</v>
      </c>
      <c r="C402" s="152" t="n">
        <v>0.555</v>
      </c>
      <c r="D402" s="153" t="n">
        <v>0.0005</v>
      </c>
      <c r="E402" s="134" t="n">
        <v>111.068</v>
      </c>
      <c r="F402" s="134" t="n">
        <v>107.7</v>
      </c>
      <c r="G402" s="134" t="n">
        <v>90.91</v>
      </c>
      <c r="H402" s="134" t="n">
        <v>137.65</v>
      </c>
      <c r="I402" s="104" t="n">
        <v>0.2658</v>
      </c>
      <c r="J402" s="104" t="n">
        <v>0.1942</v>
      </c>
      <c r="K402" s="104" t="n">
        <v>0.0064</v>
      </c>
      <c r="L402" s="134" t="n">
        <v>67.22</v>
      </c>
      <c r="M402" s="134" t="n">
        <v>2742.26</v>
      </c>
      <c r="N402" s="104" t="n">
        <v>0.0245</v>
      </c>
      <c r="O402" s="134" t="n">
        <v>173</v>
      </c>
      <c r="P402" s="134" t="n">
        <v>0</v>
      </c>
      <c r="Q402" s="134" t="inlineStr">
        <is>
          <t>28 0.07%</t>
        </is>
      </c>
      <c r="R402" s="134" t="inlineStr">
        <is>
          <t>72 0.07%</t>
        </is>
      </c>
      <c r="S402" s="134" t="inlineStr">
        <is>
          <t>39 -0.20%</t>
        </is>
      </c>
      <c r="T402" s="134" t="inlineStr">
        <is>
          <t>19 -0.48%</t>
        </is>
      </c>
      <c r="U402" s="134" t="inlineStr">
        <is>
          <t>15 1.23%</t>
        </is>
      </c>
    </row>
    <row customHeight="1" ht="17" r="403" s="155">
      <c r="A403" s="105" t="n">
        <v>43699</v>
      </c>
      <c r="B403" s="134" t="n">
        <v>1149.432</v>
      </c>
      <c r="C403" s="150" t="n">
        <v>-0.277</v>
      </c>
      <c r="D403" s="151" t="n">
        <v>-0.0002</v>
      </c>
      <c r="E403" s="134" t="n">
        <v>110.971</v>
      </c>
      <c r="F403" s="134" t="n">
        <v>107.49</v>
      </c>
      <c r="G403" s="134" t="n">
        <v>90.08</v>
      </c>
      <c r="H403" s="134" t="n">
        <v>137.42</v>
      </c>
      <c r="I403" s="104" t="n">
        <v>0.2645</v>
      </c>
      <c r="J403" s="104" t="n">
        <v>0.1938</v>
      </c>
      <c r="K403" s="104" t="n">
        <v>0.0066</v>
      </c>
      <c r="L403" s="134" t="n">
        <v>52.59</v>
      </c>
      <c r="M403" s="134" t="n">
        <v>3043.79</v>
      </c>
      <c r="N403" s="104" t="n">
        <v>0.0173</v>
      </c>
      <c r="O403" s="134" t="n">
        <v>172</v>
      </c>
      <c r="P403" s="134" t="n">
        <v>0</v>
      </c>
      <c r="Q403" s="134" t="inlineStr">
        <is>
          <t>30 -0.02%</t>
        </is>
      </c>
      <c r="R403" s="134" t="inlineStr">
        <is>
          <t>70 -0.04%</t>
        </is>
      </c>
      <c r="S403" s="134" t="inlineStr">
        <is>
          <t>40 0.01%</t>
        </is>
      </c>
      <c r="T403" s="134" t="inlineStr">
        <is>
          <t>19 -0.24%</t>
        </is>
      </c>
      <c r="U403" s="134" t="inlineStr">
        <is>
          <t>13 0.23%</t>
        </is>
      </c>
    </row>
    <row customHeight="1" ht="17" r="404" s="155">
      <c r="A404" s="105" t="n">
        <v>43700</v>
      </c>
      <c r="B404" s="134" t="n">
        <v>1151.953</v>
      </c>
      <c r="C404" s="152" t="n">
        <v>2.521</v>
      </c>
      <c r="D404" s="153" t="n">
        <v>0.0022</v>
      </c>
      <c r="E404" s="134" t="n">
        <v>111.204</v>
      </c>
      <c r="F404" s="134" t="n">
        <v>107.793</v>
      </c>
      <c r="G404" s="134" t="n">
        <v>89.90000000000001</v>
      </c>
      <c r="H404" s="134" t="n">
        <v>138.07</v>
      </c>
      <c r="I404" s="104" t="n">
        <v>0.2686</v>
      </c>
      <c r="J404" s="104" t="n">
        <v>0.2066</v>
      </c>
      <c r="K404" s="104" t="n">
        <v>0.0061</v>
      </c>
      <c r="L404" s="134" t="n">
        <v>64.59999999999999</v>
      </c>
      <c r="M404" s="134" t="n">
        <v>3038.44</v>
      </c>
      <c r="N404" s="104" t="n">
        <v>0.0213</v>
      </c>
      <c r="O404" s="134" t="n">
        <v>172</v>
      </c>
      <c r="P404" s="134" t="n">
        <v>0</v>
      </c>
      <c r="Q404" s="134" t="inlineStr">
        <is>
          <t>30 0.00%</t>
        </is>
      </c>
      <c r="R404" s="134" t="inlineStr">
        <is>
          <t>69 0.31%</t>
        </is>
      </c>
      <c r="S404" s="134" t="inlineStr">
        <is>
          <t>38 0.11%</t>
        </is>
      </c>
      <c r="T404" s="134" t="inlineStr">
        <is>
          <t>22 0.47%</t>
        </is>
      </c>
      <c r="U404" s="134" t="inlineStr">
        <is>
          <t>13 0.76%</t>
        </is>
      </c>
    </row>
    <row customHeight="1" ht="17" r="405" s="155">
      <c r="A405" s="105" t="n">
        <v>43703</v>
      </c>
      <c r="B405" s="134" t="n">
        <v>1149.848</v>
      </c>
      <c r="C405" s="150" t="n">
        <v>-2.105</v>
      </c>
      <c r="D405" s="151" t="n">
        <v>-0.0018</v>
      </c>
      <c r="E405" s="134" t="n">
        <v>111.029</v>
      </c>
      <c r="F405" s="134" t="n">
        <v>107.87</v>
      </c>
      <c r="G405" s="134" t="n">
        <v>89.20999999999999</v>
      </c>
      <c r="H405" s="134" t="n">
        <v>138.54</v>
      </c>
      <c r="I405" s="104" t="n">
        <v>0.2752</v>
      </c>
      <c r="J405" s="104" t="n">
        <v>0.2102</v>
      </c>
      <c r="K405" s="104" t="n">
        <v>0.0067</v>
      </c>
      <c r="L405" s="134" t="n">
        <v>63.95</v>
      </c>
      <c r="M405" s="134" t="n">
        <v>3035.76</v>
      </c>
      <c r="N405" s="104" t="n">
        <v>0.0211</v>
      </c>
      <c r="O405" s="134" t="n">
        <v>173</v>
      </c>
      <c r="P405" s="134" t="n">
        <v>0</v>
      </c>
      <c r="Q405" s="134" t="inlineStr">
        <is>
          <t>30 -0.14%</t>
        </is>
      </c>
      <c r="R405" s="134" t="inlineStr">
        <is>
          <t>71 -0.24%</t>
        </is>
      </c>
      <c r="S405" s="134" t="inlineStr">
        <is>
          <t>40 -0.59%</t>
        </is>
      </c>
      <c r="T405" s="134" t="inlineStr">
        <is>
          <t>20 -0.44%</t>
        </is>
      </c>
      <c r="U405" s="134" t="inlineStr">
        <is>
          <t>12 1.86%</t>
        </is>
      </c>
    </row>
    <row customHeight="1" ht="17" r="406" s="155">
      <c r="A406" s="105" t="n">
        <v>43704</v>
      </c>
      <c r="B406" s="134" t="n">
        <v>1158.249</v>
      </c>
      <c r="C406" s="152" t="n">
        <v>8.401</v>
      </c>
      <c r="D406" s="153" t="n">
        <v>0.0073</v>
      </c>
      <c r="E406" s="134" t="n">
        <v>111.883</v>
      </c>
      <c r="F406" s="134" t="n">
        <v>108.17</v>
      </c>
      <c r="G406" s="134" t="n">
        <v>90.81</v>
      </c>
      <c r="H406" s="134" t="n">
        <v>137.77</v>
      </c>
      <c r="I406" s="104" t="n">
        <v>0.2588</v>
      </c>
      <c r="J406" s="104" t="n">
        <v>0.1928</v>
      </c>
      <c r="K406" s="104" t="n">
        <v>0.0052</v>
      </c>
      <c r="L406" s="134" t="n">
        <v>73.87</v>
      </c>
      <c r="M406" s="134" t="n">
        <v>3026.89</v>
      </c>
      <c r="N406" s="104" t="n">
        <v>0.0244</v>
      </c>
      <c r="O406" s="134" t="n">
        <v>173</v>
      </c>
      <c r="P406" s="134" t="n">
        <v>0</v>
      </c>
      <c r="Q406" s="134" t="inlineStr">
        <is>
          <t>25 0.34%</t>
        </is>
      </c>
      <c r="R406" s="134" t="inlineStr">
        <is>
          <t>74 0.51%</t>
        </is>
      </c>
      <c r="S406" s="134" t="inlineStr">
        <is>
          <t>38 0.74%</t>
        </is>
      </c>
      <c r="T406" s="134" t="inlineStr">
        <is>
          <t>21 1.43%</t>
        </is>
      </c>
      <c r="U406" s="134" t="inlineStr">
        <is>
          <t>15 1.46%</t>
        </is>
      </c>
    </row>
    <row customHeight="1" ht="17" r="407" s="155">
      <c r="A407" s="105" t="n">
        <v>43705</v>
      </c>
      <c r="B407" s="134" t="n">
        <v>1160.068</v>
      </c>
      <c r="C407" s="152" t="n">
        <v>1.819</v>
      </c>
      <c r="D407" s="153" t="n">
        <v>0.0016</v>
      </c>
      <c r="E407" s="134" t="n">
        <v>112.084</v>
      </c>
      <c r="F407" s="134" t="n">
        <v>108.62</v>
      </c>
      <c r="G407" s="134" t="n">
        <v>91.31999999999999</v>
      </c>
      <c r="H407" s="134" t="n">
        <v>138.05</v>
      </c>
      <c r="I407" s="104" t="n">
        <v>0.2597</v>
      </c>
      <c r="J407" s="104" t="n">
        <v>0.1985</v>
      </c>
      <c r="K407" s="104" t="n">
        <v>0.0048</v>
      </c>
      <c r="L407" s="134" t="n">
        <v>59.63</v>
      </c>
      <c r="M407" s="134" t="n">
        <v>3020.05</v>
      </c>
      <c r="N407" s="104" t="n">
        <v>0.0197</v>
      </c>
      <c r="O407" s="134" t="n">
        <v>173</v>
      </c>
      <c r="P407" s="134" t="n">
        <v>0</v>
      </c>
      <c r="Q407" s="134" t="inlineStr">
        <is>
          <t>26 0.05%</t>
        </is>
      </c>
      <c r="R407" s="134" t="inlineStr">
        <is>
          <t>72 0.09%</t>
        </is>
      </c>
      <c r="S407" s="134" t="inlineStr">
        <is>
          <t>40 0.08%</t>
        </is>
      </c>
      <c r="T407" s="134" t="inlineStr">
        <is>
          <t>18 0.07%</t>
        </is>
      </c>
      <c r="U407" s="134" t="inlineStr">
        <is>
          <t>17 0.86%</t>
        </is>
      </c>
    </row>
    <row customHeight="1" ht="17" r="408" s="155">
      <c r="A408" s="105" t="n">
        <v>43706</v>
      </c>
      <c r="B408" s="134" t="n">
        <v>1159.811</v>
      </c>
      <c r="C408" s="150" t="n">
        <v>-0.257</v>
      </c>
      <c r="D408" s="151" t="n">
        <v>-0.0002</v>
      </c>
      <c r="E408" s="134" t="n">
        <v>112.055</v>
      </c>
      <c r="F408" s="134" t="n">
        <v>108.5</v>
      </c>
      <c r="G408" s="134" t="n">
        <v>90.86</v>
      </c>
      <c r="H408" s="134" t="n">
        <v>138.18</v>
      </c>
      <c r="I408" s="104" t="n">
        <v>0.2612</v>
      </c>
      <c r="J408" s="104" t="n">
        <v>0.1952</v>
      </c>
      <c r="K408" s="104" t="n">
        <v>0.0049</v>
      </c>
      <c r="L408" s="134" t="n">
        <v>49.5</v>
      </c>
      <c r="M408" s="134" t="n">
        <v>3014.76</v>
      </c>
      <c r="N408" s="104" t="n">
        <v>0.0164</v>
      </c>
      <c r="O408" s="134" t="n">
        <v>173</v>
      </c>
      <c r="P408" s="134" t="n">
        <v>0</v>
      </c>
      <c r="Q408" s="134" t="inlineStr">
        <is>
          <t>26 0.03%</t>
        </is>
      </c>
      <c r="R408" s="134" t="inlineStr">
        <is>
          <t>72 -0.14%</t>
        </is>
      </c>
      <c r="S408" s="134" t="inlineStr">
        <is>
          <t>40 -0.05%</t>
        </is>
      </c>
      <c r="T408" s="134" t="inlineStr">
        <is>
          <t>18 0.60%</t>
        </is>
      </c>
      <c r="U408" s="134" t="inlineStr">
        <is>
          <t>17 -0.19%</t>
        </is>
      </c>
    </row>
    <row customHeight="1" ht="17" r="409" s="155">
      <c r="A409" s="105" t="n">
        <v>43707</v>
      </c>
      <c r="B409" s="134" t="n">
        <v>1156.836</v>
      </c>
      <c r="C409" s="150" t="n">
        <v>-2.975</v>
      </c>
      <c r="D409" s="151" t="n">
        <v>-0.0026</v>
      </c>
      <c r="E409" s="134" t="n">
        <v>111.692</v>
      </c>
      <c r="F409" s="134" t="n">
        <v>108</v>
      </c>
      <c r="G409" s="134" t="n">
        <v>89.53</v>
      </c>
      <c r="H409" s="134" t="n">
        <v>139.27</v>
      </c>
      <c r="I409" s="104" t="n">
        <v>0.2758</v>
      </c>
      <c r="J409" s="104" t="n">
        <v>0.2115</v>
      </c>
      <c r="K409" s="104" t="n">
        <v>0.0055</v>
      </c>
      <c r="L409" s="134" t="n">
        <v>47.22</v>
      </c>
      <c r="M409" s="134" t="n">
        <v>3010.97</v>
      </c>
      <c r="N409" s="104" t="n">
        <v>0.0157</v>
      </c>
      <c r="O409" s="134" t="n">
        <v>173</v>
      </c>
      <c r="P409" s="134" t="n">
        <v>0</v>
      </c>
      <c r="Q409" s="134" t="inlineStr">
        <is>
          <t>25 0.07%</t>
        </is>
      </c>
      <c r="R409" s="134" t="inlineStr">
        <is>
          <t>75 -0.09%</t>
        </is>
      </c>
      <c r="S409" s="134" t="inlineStr">
        <is>
          <t>37 -0.28%</t>
        </is>
      </c>
      <c r="T409" s="134" t="inlineStr">
        <is>
          <t>22 -0.60%</t>
        </is>
      </c>
      <c r="U409" s="134" t="inlineStr">
        <is>
          <t>14 -1.15%</t>
        </is>
      </c>
    </row>
    <row customHeight="1" ht="17" r="410" s="155">
      <c r="A410" s="105" t="n">
        <v>43710</v>
      </c>
      <c r="B410" s="134" t="n">
        <v>1164.782</v>
      </c>
      <c r="C410" s="152" t="n">
        <v>7.946</v>
      </c>
      <c r="D410" s="153" t="n">
        <v>0.0069</v>
      </c>
      <c r="E410" s="134" t="n">
        <v>112.517</v>
      </c>
      <c r="F410" s="134" t="n">
        <v>108.3</v>
      </c>
      <c r="G410" s="134" t="n">
        <v>91.13</v>
      </c>
      <c r="H410" s="134" t="n">
        <v>138.16</v>
      </c>
      <c r="I410" s="104" t="n">
        <v>0.2564</v>
      </c>
      <c r="J410" s="104" t="n">
        <v>0.1896</v>
      </c>
      <c r="K410" s="104" t="n">
        <v>0.004</v>
      </c>
      <c r="L410" s="134" t="n">
        <v>55.11</v>
      </c>
      <c r="M410" s="134" t="n">
        <v>3008.9</v>
      </c>
      <c r="N410" s="104" t="n">
        <v>0.0183</v>
      </c>
      <c r="O410" s="134" t="n">
        <v>173</v>
      </c>
      <c r="P410" s="134" t="n">
        <v>0</v>
      </c>
      <c r="Q410" s="134" t="inlineStr">
        <is>
          <t>23 0.27%</t>
        </is>
      </c>
      <c r="R410" s="134" t="inlineStr">
        <is>
          <t>73 0.37%</t>
        </is>
      </c>
      <c r="S410" s="134" t="inlineStr">
        <is>
          <t>39 0.94%</t>
        </is>
      </c>
      <c r="T410" s="134" t="inlineStr">
        <is>
          <t>22 0.87%</t>
        </is>
      </c>
      <c r="U410" s="134" t="inlineStr">
        <is>
          <t>16 1.89%</t>
        </is>
      </c>
    </row>
    <row customHeight="1" ht="17" r="411" s="155">
      <c r="A411" s="105" t="n">
        <v>43711</v>
      </c>
      <c r="B411" s="134" t="n">
        <v>1168.365</v>
      </c>
      <c r="C411" s="152" t="n">
        <v>3.583</v>
      </c>
      <c r="D411" s="153" t="n">
        <v>0.0031</v>
      </c>
      <c r="E411" s="134" t="n">
        <v>112.933</v>
      </c>
      <c r="F411" s="134" t="n">
        <v>108.35</v>
      </c>
      <c r="G411" s="134" t="n">
        <v>91.39</v>
      </c>
      <c r="H411" s="134" t="n">
        <v>138.28</v>
      </c>
      <c r="I411" s="104" t="n">
        <v>0.2534</v>
      </c>
      <c r="J411" s="104" t="n">
        <v>0.1747</v>
      </c>
      <c r="K411" s="104" t="n">
        <v>0.0035</v>
      </c>
      <c r="L411" s="134" t="n">
        <v>53.36</v>
      </c>
      <c r="M411" s="134" t="n">
        <v>2999.76</v>
      </c>
      <c r="N411" s="104" t="n">
        <v>0.0178</v>
      </c>
      <c r="O411" s="134" t="n">
        <v>173</v>
      </c>
      <c r="P411" s="134" t="n">
        <v>0</v>
      </c>
      <c r="Q411" s="134" t="inlineStr">
        <is>
          <t>21 0.02%</t>
        </is>
      </c>
      <c r="R411" s="134" t="inlineStr">
        <is>
          <t>75 0.10%</t>
        </is>
      </c>
      <c r="S411" s="134" t="inlineStr">
        <is>
          <t>36 0.46%</t>
        </is>
      </c>
      <c r="T411" s="134" t="inlineStr">
        <is>
          <t>26 0.13%</t>
        </is>
      </c>
      <c r="U411" s="134" t="inlineStr">
        <is>
          <t>15 1.69%</t>
        </is>
      </c>
    </row>
    <row customHeight="1" ht="17" r="412" s="155">
      <c r="A412" s="105" t="n">
        <v>43712</v>
      </c>
      <c r="B412" s="134" t="n">
        <v>1170.585</v>
      </c>
      <c r="C412" s="152" t="n">
        <v>2.22</v>
      </c>
      <c r="D412" s="153" t="n">
        <v>0.0019</v>
      </c>
      <c r="E412" s="134" t="n">
        <v>112.918</v>
      </c>
      <c r="F412" s="134" t="n">
        <v>108.52</v>
      </c>
      <c r="G412" s="134" t="n">
        <v>92.37</v>
      </c>
      <c r="H412" s="134" t="n">
        <v>137.64</v>
      </c>
      <c r="I412" s="104" t="n">
        <v>0.2473</v>
      </c>
      <c r="J412" s="104" t="n">
        <v>0.1694</v>
      </c>
      <c r="K412" s="104" t="n">
        <v>0.0036</v>
      </c>
      <c r="L412" s="134" t="n">
        <v>52.95</v>
      </c>
      <c r="M412" s="134" t="n">
        <v>2997.03</v>
      </c>
      <c r="N412" s="104" t="n">
        <v>0.0177</v>
      </c>
      <c r="O412" s="134" t="n">
        <v>172</v>
      </c>
      <c r="P412" s="134" t="n">
        <v>0</v>
      </c>
      <c r="Q412" s="134" t="inlineStr">
        <is>
          <t>22 -0.04%</t>
        </is>
      </c>
      <c r="R412" s="134" t="inlineStr">
        <is>
          <t>74 0.14%</t>
        </is>
      </c>
      <c r="S412" s="134" t="inlineStr">
        <is>
          <t>34 0.22%</t>
        </is>
      </c>
      <c r="T412" s="134" t="inlineStr">
        <is>
          <t>28 1.03%</t>
        </is>
      </c>
      <c r="U412" s="134" t="inlineStr">
        <is>
          <t>14 0.88%</t>
        </is>
      </c>
    </row>
    <row customHeight="1" ht="17" r="413" s="155">
      <c r="A413" s="105" t="n">
        <v>43713</v>
      </c>
      <c r="B413" s="134" t="n">
        <v>1180.047</v>
      </c>
      <c r="C413" s="152" t="n">
        <v>9.462</v>
      </c>
      <c r="D413" s="153" t="n">
        <v>0.0081</v>
      </c>
      <c r="E413" s="134" t="n">
        <v>113.937</v>
      </c>
      <c r="F413" s="134" t="n">
        <v>109.8</v>
      </c>
      <c r="G413" s="134" t="n">
        <v>93.70999999999999</v>
      </c>
      <c r="H413" s="134" t="n">
        <v>138.37</v>
      </c>
      <c r="I413" s="104" t="n">
        <v>0.2443</v>
      </c>
      <c r="J413" s="104" t="n">
        <v>0.1679</v>
      </c>
      <c r="K413" s="104" t="n">
        <v>0.0018</v>
      </c>
      <c r="L413" s="134" t="n">
        <v>93.34</v>
      </c>
      <c r="M413" s="134" t="n">
        <v>3008.92</v>
      </c>
      <c r="N413" s="104" t="n">
        <v>0.031</v>
      </c>
      <c r="O413" s="134" t="n">
        <v>173</v>
      </c>
      <c r="P413" s="134" t="n">
        <v>0</v>
      </c>
      <c r="Q413" s="134" t="inlineStr">
        <is>
          <t>22 0.19%</t>
        </is>
      </c>
      <c r="R413" s="134" t="inlineStr">
        <is>
          <t>67 0.74%</t>
        </is>
      </c>
      <c r="S413" s="134" t="inlineStr">
        <is>
          <t>31 0.97%</t>
        </is>
      </c>
      <c r="T413" s="134" t="inlineStr">
        <is>
          <t>35 0.95%</t>
        </is>
      </c>
      <c r="U413" s="134" t="inlineStr">
        <is>
          <t>18 1.27%</t>
        </is>
      </c>
    </row>
    <row customHeight="1" ht="17" r="414" s="155">
      <c r="A414" s="105" t="n">
        <v>43714</v>
      </c>
      <c r="B414" s="134" t="n">
        <v>1185.827</v>
      </c>
      <c r="C414" s="152" t="n">
        <v>5.78</v>
      </c>
      <c r="D414" s="153" t="n">
        <v>0.0049</v>
      </c>
      <c r="E414" s="134" t="n">
        <v>114.533</v>
      </c>
      <c r="F414" s="134" t="n">
        <v>110.01</v>
      </c>
      <c r="G414" s="134" t="n">
        <v>94.23</v>
      </c>
      <c r="H414" s="134" t="n">
        <v>138.65</v>
      </c>
      <c r="I414" s="104" t="n">
        <v>0.2412</v>
      </c>
      <c r="J414" s="104" t="n">
        <v>0.1662</v>
      </c>
      <c r="K414" s="104" t="n">
        <v>0.0008</v>
      </c>
      <c r="L414" s="134" t="n">
        <v>60.4</v>
      </c>
      <c r="M414" s="134" t="n">
        <v>3001.92</v>
      </c>
      <c r="N414" s="104" t="n">
        <v>0.0201</v>
      </c>
      <c r="O414" s="134" t="n">
        <v>173</v>
      </c>
      <c r="P414" s="134" t="n">
        <v>0</v>
      </c>
      <c r="Q414" s="134" t="inlineStr">
        <is>
          <t>21 0.15%</t>
        </is>
      </c>
      <c r="R414" s="134" t="inlineStr">
        <is>
          <t>66 0.44%</t>
        </is>
      </c>
      <c r="S414" s="134" t="inlineStr">
        <is>
          <t>31 0.61%</t>
        </is>
      </c>
      <c r="T414" s="134" t="inlineStr">
        <is>
          <t>39 0.43%</t>
        </is>
      </c>
      <c r="U414" s="134" t="inlineStr">
        <is>
          <t>16 1.06%</t>
        </is>
      </c>
    </row>
    <row customHeight="1" ht="17" r="415" s="155">
      <c r="A415" s="105" t="n">
        <v>43717</v>
      </c>
      <c r="B415" s="134" t="n">
        <v>1198.212</v>
      </c>
      <c r="C415" s="152" t="n">
        <v>12.385</v>
      </c>
      <c r="D415" s="153" t="n">
        <v>0.0104</v>
      </c>
      <c r="E415" s="134" t="n">
        <v>115.793</v>
      </c>
      <c r="F415" s="134" t="n">
        <v>110.96</v>
      </c>
      <c r="G415" s="134" t="n">
        <v>95.19</v>
      </c>
      <c r="H415" s="134" t="n">
        <v>138.67</v>
      </c>
      <c r="I415" s="104" t="n">
        <v>0.2288</v>
      </c>
      <c r="J415" s="104" t="n">
        <v>0.1587</v>
      </c>
      <c r="K415" s="104" t="n">
        <v>-0.0015</v>
      </c>
      <c r="L415" s="134" t="n">
        <v>79</v>
      </c>
      <c r="M415" s="134" t="n">
        <v>2998.98</v>
      </c>
      <c r="N415" s="104" t="n">
        <v>0.0263</v>
      </c>
      <c r="O415" s="134" t="n">
        <v>173</v>
      </c>
      <c r="P415" s="134" t="n">
        <v>0</v>
      </c>
      <c r="Q415" s="134" t="inlineStr">
        <is>
          <t>16 0.88%</t>
        </is>
      </c>
      <c r="R415" s="134" t="inlineStr">
        <is>
          <t>62 0.87%</t>
        </is>
      </c>
      <c r="S415" s="134" t="inlineStr">
        <is>
          <t>37 0.92%</t>
        </is>
      </c>
      <c r="T415" s="134" t="inlineStr">
        <is>
          <t>36 0.53%</t>
        </is>
      </c>
      <c r="U415" s="134" t="inlineStr">
        <is>
          <t>22 2.70%</t>
        </is>
      </c>
    </row>
    <row customHeight="1" ht="17" r="416" s="155">
      <c r="A416" s="105" t="n">
        <v>43718</v>
      </c>
      <c r="B416" s="134" t="n">
        <v>1200.137</v>
      </c>
      <c r="C416" s="152" t="n">
        <v>1.925</v>
      </c>
      <c r="D416" s="153" t="n">
        <v>0.0016</v>
      </c>
      <c r="E416" s="134" t="n">
        <v>115.933</v>
      </c>
      <c r="F416" s="134" t="n">
        <v>111.226</v>
      </c>
      <c r="G416" s="134" t="n">
        <v>96.15000000000001</v>
      </c>
      <c r="H416" s="134" t="n">
        <v>138.81</v>
      </c>
      <c r="I416" s="104" t="n">
        <v>0.2288</v>
      </c>
      <c r="J416" s="104" t="n">
        <v>0.1555</v>
      </c>
      <c r="K416" s="104" t="n">
        <v>-0.0018</v>
      </c>
      <c r="L416" s="134" t="n">
        <v>58.7</v>
      </c>
      <c r="M416" s="134" t="n">
        <v>2994.08</v>
      </c>
      <c r="N416" s="104" t="n">
        <v>0.0196</v>
      </c>
      <c r="O416" s="134" t="n">
        <v>173</v>
      </c>
      <c r="P416" s="134" t="n">
        <v>0</v>
      </c>
      <c r="Q416" s="134" t="inlineStr">
        <is>
          <t>15 0.24%</t>
        </is>
      </c>
      <c r="R416" s="134" t="inlineStr">
        <is>
          <t>63 0.25%</t>
        </is>
      </c>
      <c r="S416" s="134" t="inlineStr">
        <is>
          <t>38 0.49%</t>
        </is>
      </c>
      <c r="T416" s="134" t="inlineStr">
        <is>
          <t>37 0.20%</t>
        </is>
      </c>
      <c r="U416" s="134" t="inlineStr">
        <is>
          <t>20 -0.03%</t>
        </is>
      </c>
    </row>
    <row customHeight="1" ht="17" r="417" s="155">
      <c r="A417" s="105" t="n">
        <v>43719</v>
      </c>
      <c r="B417" s="134" t="n">
        <v>1195.194</v>
      </c>
      <c r="C417" s="150" t="n">
        <v>-4.943</v>
      </c>
      <c r="D417" s="151" t="n">
        <v>-0.0041</v>
      </c>
      <c r="E417" s="134" t="n">
        <v>115.404</v>
      </c>
      <c r="F417" s="134" t="n">
        <v>110.96</v>
      </c>
      <c r="G417" s="134" t="n">
        <v>95.62</v>
      </c>
      <c r="H417" s="134" t="n">
        <v>138.57</v>
      </c>
      <c r="I417" s="104" t="n">
        <v>0.2317</v>
      </c>
      <c r="J417" s="104" t="n">
        <v>0.1557</v>
      </c>
      <c r="K417" s="104" t="n">
        <v>-0.0009</v>
      </c>
      <c r="L417" s="134" t="n">
        <v>54.45</v>
      </c>
      <c r="M417" s="134" t="n">
        <v>2995.86</v>
      </c>
      <c r="N417" s="104" t="n">
        <v>0.0182</v>
      </c>
      <c r="O417" s="134" t="n">
        <v>174</v>
      </c>
      <c r="P417" s="134" t="n">
        <v>0</v>
      </c>
      <c r="Q417" s="134" t="inlineStr">
        <is>
          <t>16 -0.07%</t>
        </is>
      </c>
      <c r="R417" s="134" t="inlineStr">
        <is>
          <t>64 -0.04%</t>
        </is>
      </c>
      <c r="S417" s="134" t="inlineStr">
        <is>
          <t>37 -0.10%</t>
        </is>
      </c>
      <c r="T417" s="134" t="inlineStr">
        <is>
          <t>42 -0.80%</t>
        </is>
      </c>
      <c r="U417" s="134" t="inlineStr">
        <is>
          <t>15 -1.28%</t>
        </is>
      </c>
    </row>
    <row customHeight="1" ht="17" r="418" s="155">
      <c r="A418" s="105" t="n">
        <v>43720</v>
      </c>
      <c r="B418" s="134" t="n">
        <v>1196.382</v>
      </c>
      <c r="C418" s="152" t="n">
        <v>1.188</v>
      </c>
      <c r="D418" s="153" t="n">
        <v>0.001</v>
      </c>
      <c r="E418" s="134" t="n">
        <v>115.523</v>
      </c>
      <c r="F418" s="134" t="n">
        <v>110.66</v>
      </c>
      <c r="G418" s="134" t="n">
        <v>96.55</v>
      </c>
      <c r="H418" s="134" t="n">
        <v>138.04</v>
      </c>
      <c r="I418" s="104" t="n">
        <v>0.2252</v>
      </c>
      <c r="J418" s="104" t="n">
        <v>0.146</v>
      </c>
      <c r="K418" s="104" t="n">
        <v>-0.0018</v>
      </c>
      <c r="L418" s="134" t="n">
        <v>53.79</v>
      </c>
      <c r="M418" s="134" t="n">
        <v>2994.31</v>
      </c>
      <c r="N418" s="104" t="n">
        <v>0.018</v>
      </c>
      <c r="O418" s="134" t="n">
        <v>175</v>
      </c>
      <c r="P418" s="134" t="n">
        <v>0</v>
      </c>
      <c r="Q418" s="134" t="inlineStr">
        <is>
          <t>16 0.26%</t>
        </is>
      </c>
      <c r="R418" s="134" t="inlineStr">
        <is>
          <t>65 0.11%</t>
        </is>
      </c>
      <c r="S418" s="134" t="inlineStr">
        <is>
          <t>39 -0.13%</t>
        </is>
      </c>
      <c r="T418" s="134" t="inlineStr">
        <is>
          <t>37 0.07%</t>
        </is>
      </c>
      <c r="U418" s="134" t="inlineStr">
        <is>
          <t>18 1.02%</t>
        </is>
      </c>
    </row>
    <row customHeight="1" ht="17" r="419" s="155">
      <c r="A419" s="105" t="n">
        <v>43724</v>
      </c>
      <c r="B419" s="134" t="n">
        <v>1195.776</v>
      </c>
      <c r="C419" s="150" t="n">
        <v>-0.606</v>
      </c>
      <c r="D419" s="151" t="n">
        <v>-0.0005</v>
      </c>
      <c r="E419" s="134" t="n">
        <v>115.44</v>
      </c>
      <c r="F419" s="134" t="n">
        <v>110.41</v>
      </c>
      <c r="G419" s="134" t="n">
        <v>96.39</v>
      </c>
      <c r="H419" s="134" t="n">
        <v>137.41</v>
      </c>
      <c r="I419" s="104" t="n">
        <v>0.2197</v>
      </c>
      <c r="J419" s="104" t="n">
        <v>0.1469</v>
      </c>
      <c r="K419" s="104" t="n">
        <v>-0.0015</v>
      </c>
      <c r="L419" s="134" t="n">
        <v>43.98</v>
      </c>
      <c r="M419" s="134" t="n">
        <v>2874.84</v>
      </c>
      <c r="N419" s="104" t="n">
        <v>0.0153</v>
      </c>
      <c r="O419" s="134" t="n">
        <v>176</v>
      </c>
      <c r="P419" s="134" t="n">
        <v>0</v>
      </c>
      <c r="Q419" s="134" t="inlineStr">
        <is>
          <t>16 0.02%</t>
        </is>
      </c>
      <c r="R419" s="134" t="inlineStr">
        <is>
          <t>69 -0.01%</t>
        </is>
      </c>
      <c r="S419" s="134" t="inlineStr">
        <is>
          <t>35 0.18%</t>
        </is>
      </c>
      <c r="T419" s="134" t="inlineStr">
        <is>
          <t>40 -0.19%</t>
        </is>
      </c>
      <c r="U419" s="134" t="inlineStr">
        <is>
          <t>16 0.76%</t>
        </is>
      </c>
    </row>
    <row customHeight="1" ht="17" r="420" s="155">
      <c r="A420" s="105" t="n">
        <v>43725</v>
      </c>
      <c r="B420" s="134" t="n">
        <v>1181.492</v>
      </c>
      <c r="C420" s="150" t="n">
        <v>-14.284</v>
      </c>
      <c r="D420" s="151" t="n">
        <v>-0.012</v>
      </c>
      <c r="E420" s="134" t="n">
        <v>113.917</v>
      </c>
      <c r="F420" s="134" t="n">
        <v>109.065</v>
      </c>
      <c r="G420" s="134" t="n">
        <v>94.78</v>
      </c>
      <c r="H420" s="134" t="n">
        <v>137.07</v>
      </c>
      <c r="I420" s="104" t="n">
        <v>0.2315</v>
      </c>
      <c r="J420" s="104" t="n">
        <v>0.1626</v>
      </c>
      <c r="K420" s="104" t="n">
        <v>0.0012</v>
      </c>
      <c r="L420" s="134" t="n">
        <v>53.93</v>
      </c>
      <c r="M420" s="134" t="n">
        <v>2858.36</v>
      </c>
      <c r="N420" s="104" t="n">
        <v>0.0189</v>
      </c>
      <c r="O420" s="134" t="n">
        <v>178</v>
      </c>
      <c r="P420" s="134" t="n">
        <v>0</v>
      </c>
      <c r="Q420" s="134" t="inlineStr">
        <is>
          <t>18 -0.72%</t>
        </is>
      </c>
      <c r="R420" s="134" t="inlineStr">
        <is>
          <t>76 -1.04%</t>
        </is>
      </c>
      <c r="S420" s="134" t="inlineStr">
        <is>
          <t>45 -1.56%</t>
        </is>
      </c>
      <c r="T420" s="134" t="inlineStr">
        <is>
          <t>24 -0.77%</t>
        </is>
      </c>
      <c r="U420" s="134" t="inlineStr">
        <is>
          <t>15 -2.13%</t>
        </is>
      </c>
    </row>
    <row customHeight="1" ht="17" r="421" s="155">
      <c r="A421" s="105" t="n">
        <v>43726</v>
      </c>
      <c r="B421" s="134" t="n">
        <v>1181.623</v>
      </c>
      <c r="C421" s="152" t="n">
        <v>0.131</v>
      </c>
      <c r="D421" s="153" t="n">
        <v>0.0001</v>
      </c>
      <c r="E421" s="134" t="n">
        <v>113.892</v>
      </c>
      <c r="F421" s="134" t="n">
        <v>109.23</v>
      </c>
      <c r="G421" s="134" t="n">
        <v>94.78</v>
      </c>
      <c r="H421" s="134" t="n">
        <v>136.97</v>
      </c>
      <c r="I421" s="104" t="n">
        <v>0.2308</v>
      </c>
      <c r="J421" s="104" t="n">
        <v>0.1601</v>
      </c>
      <c r="K421" s="104" t="n">
        <v>0.0012</v>
      </c>
      <c r="L421" s="134" t="n">
        <v>49.62</v>
      </c>
      <c r="M421" s="134" t="n">
        <v>2823.13</v>
      </c>
      <c r="N421" s="104" t="n">
        <v>0.0176</v>
      </c>
      <c r="O421" s="134" t="n">
        <v>178</v>
      </c>
      <c r="P421" s="134" t="n">
        <v>0</v>
      </c>
      <c r="Q421" s="134" t="inlineStr">
        <is>
          <t>17 0.20%</t>
        </is>
      </c>
      <c r="R421" s="134" t="inlineStr">
        <is>
          <t>77 0.04%</t>
        </is>
      </c>
      <c r="S421" s="134" t="inlineStr">
        <is>
          <t>43 -0.16%</t>
        </is>
      </c>
      <c r="T421" s="134" t="inlineStr">
        <is>
          <t>25 0.10%</t>
        </is>
      </c>
      <c r="U421" s="134" t="inlineStr">
        <is>
          <t>16 0.01%</t>
        </is>
      </c>
    </row>
    <row customHeight="1" ht="17" r="422" s="155">
      <c r="A422" s="105" t="n">
        <v>43727</v>
      </c>
      <c r="B422" s="134" t="n">
        <v>1186.648</v>
      </c>
      <c r="C422" s="152" t="n">
        <v>5.025</v>
      </c>
      <c r="D422" s="153" t="n">
        <v>0.0043</v>
      </c>
      <c r="E422" s="134" t="n">
        <v>114.359</v>
      </c>
      <c r="F422" s="134" t="n">
        <v>109.501</v>
      </c>
      <c r="G422" s="134" t="n">
        <v>96.11</v>
      </c>
      <c r="H422" s="134" t="n">
        <v>136.7</v>
      </c>
      <c r="I422" s="104" t="n">
        <v>0.2234</v>
      </c>
      <c r="J422" s="104" t="n">
        <v>0.1541</v>
      </c>
      <c r="K422" s="104" t="n">
        <v>0.0003</v>
      </c>
      <c r="L422" s="134" t="n">
        <v>41.79</v>
      </c>
      <c r="M422" s="134" t="n">
        <v>2820.72</v>
      </c>
      <c r="N422" s="104" t="n">
        <v>0.0148</v>
      </c>
      <c r="O422" s="134" t="n">
        <v>177</v>
      </c>
      <c r="P422" s="134" t="n">
        <v>0</v>
      </c>
      <c r="Q422" s="134" t="inlineStr">
        <is>
          <t>17 0.14%</t>
        </is>
      </c>
      <c r="R422" s="134" t="inlineStr">
        <is>
          <t>75 0.37%</t>
        </is>
      </c>
      <c r="S422" s="134" t="inlineStr">
        <is>
          <t>42 0.41%</t>
        </is>
      </c>
      <c r="T422" s="134" t="inlineStr">
        <is>
          <t>28 0.43%</t>
        </is>
      </c>
      <c r="U422" s="134" t="inlineStr">
        <is>
          <t>15 1.06%</t>
        </is>
      </c>
    </row>
    <row customHeight="1" ht="17" r="423" s="155">
      <c r="A423" s="105" t="n">
        <v>43728</v>
      </c>
      <c r="B423" s="134" t="n">
        <v>1191.505</v>
      </c>
      <c r="C423" s="152" t="n">
        <v>4.857</v>
      </c>
      <c r="D423" s="153" t="n">
        <v>0.0041</v>
      </c>
      <c r="E423" s="134" t="n">
        <v>114.799</v>
      </c>
      <c r="F423" s="134" t="n">
        <v>109.8</v>
      </c>
      <c r="G423" s="134" t="n">
        <v>96.23999999999999</v>
      </c>
      <c r="H423" s="134" t="n">
        <v>137.2</v>
      </c>
      <c r="I423" s="104" t="n">
        <v>0.224</v>
      </c>
      <c r="J423" s="104" t="n">
        <v>0.1543</v>
      </c>
      <c r="K423" s="104" t="n">
        <v>-0.0005999999999999999</v>
      </c>
      <c r="L423" s="134" t="n">
        <v>37.97</v>
      </c>
      <c r="M423" s="134" t="n">
        <v>2819.74</v>
      </c>
      <c r="N423" s="104" t="n">
        <v>0.0135</v>
      </c>
      <c r="O423" s="134" t="n">
        <v>177</v>
      </c>
      <c r="P423" s="134" t="n">
        <v>0</v>
      </c>
      <c r="Q423" s="134" t="inlineStr">
        <is>
          <t>15 0.19%</t>
        </is>
      </c>
      <c r="R423" s="134" t="inlineStr">
        <is>
          <t>76 0.19%</t>
        </is>
      </c>
      <c r="S423" s="134" t="inlineStr">
        <is>
          <t>40 0.33%</t>
        </is>
      </c>
      <c r="T423" s="134" t="inlineStr">
        <is>
          <t>29 0.80%</t>
        </is>
      </c>
      <c r="U423" s="134" t="inlineStr">
        <is>
          <t>17 1.11%</t>
        </is>
      </c>
    </row>
    <row customHeight="1" ht="17" r="424" s="155">
      <c r="A424" s="105" t="n">
        <v>43731</v>
      </c>
      <c r="B424" s="134" t="n">
        <v>1185.974</v>
      </c>
      <c r="C424" s="150" t="n">
        <v>-5.531</v>
      </c>
      <c r="D424" s="151" t="n">
        <v>-0.0046</v>
      </c>
      <c r="E424" s="134" t="n">
        <v>114.228</v>
      </c>
      <c r="F424" s="134" t="n">
        <v>109.35</v>
      </c>
      <c r="G424" s="134" t="n">
        <v>95.3</v>
      </c>
      <c r="H424" s="134" t="n">
        <v>137.07</v>
      </c>
      <c r="I424" s="104" t="n">
        <v>0.2284</v>
      </c>
      <c r="J424" s="104" t="n">
        <v>0.1556</v>
      </c>
      <c r="K424" s="104" t="n">
        <v>0.0005</v>
      </c>
      <c r="L424" s="134" t="n">
        <v>36.52</v>
      </c>
      <c r="M424" s="134" t="n">
        <v>2819.17</v>
      </c>
      <c r="N424" s="104" t="n">
        <v>0.013</v>
      </c>
      <c r="O424" s="134" t="n">
        <v>177</v>
      </c>
      <c r="P424" s="134" t="n">
        <v>0</v>
      </c>
      <c r="Q424" s="134" t="inlineStr">
        <is>
          <t>15 -0.22%</t>
        </is>
      </c>
      <c r="R424" s="134" t="inlineStr">
        <is>
          <t>77 -0.28%</t>
        </is>
      </c>
      <c r="S424" s="134" t="inlineStr">
        <is>
          <t>47 -0.44%</t>
        </is>
      </c>
      <c r="T424" s="134" t="inlineStr">
        <is>
          <t>22 -1.19%</t>
        </is>
      </c>
      <c r="U424" s="134" t="inlineStr">
        <is>
          <t>16 -0.67%</t>
        </is>
      </c>
    </row>
    <row customHeight="1" ht="17" r="425" s="155">
      <c r="A425" s="105" t="n">
        <v>43732</v>
      </c>
      <c r="B425" s="134" t="n">
        <v>1187.935</v>
      </c>
      <c r="C425" s="152" t="n">
        <v>1.961</v>
      </c>
      <c r="D425" s="153" t="n">
        <v>0.0017</v>
      </c>
      <c r="E425" s="134" t="n">
        <v>114.428</v>
      </c>
      <c r="F425" s="134" t="n">
        <v>109.73</v>
      </c>
      <c r="G425" s="134" t="n">
        <v>96.81</v>
      </c>
      <c r="H425" s="134" t="n">
        <v>136.81</v>
      </c>
      <c r="I425" s="104" t="n">
        <v>0.2238</v>
      </c>
      <c r="J425" s="104" t="n">
        <v>0.1501</v>
      </c>
      <c r="K425" s="104" t="n">
        <v>0.0001</v>
      </c>
      <c r="L425" s="134" t="n">
        <v>46.39</v>
      </c>
      <c r="M425" s="134" t="n">
        <v>2817.96</v>
      </c>
      <c r="N425" s="104" t="n">
        <v>0.0165</v>
      </c>
      <c r="O425" s="134" t="n">
        <v>177</v>
      </c>
      <c r="P425" s="134" t="n">
        <v>0</v>
      </c>
      <c r="Q425" s="134" t="inlineStr">
        <is>
          <t>14 0.24%</t>
        </is>
      </c>
      <c r="R425" s="134" t="inlineStr">
        <is>
          <t>76 0.09%</t>
        </is>
      </c>
      <c r="S425" s="134" t="inlineStr">
        <is>
          <t>47 -0.26%</t>
        </is>
      </c>
      <c r="T425" s="134" t="inlineStr">
        <is>
          <t>22 0.52%</t>
        </is>
      </c>
      <c r="U425" s="134" t="inlineStr">
        <is>
          <t>18 1.13%</t>
        </is>
      </c>
    </row>
    <row customHeight="1" ht="17" r="426" s="155">
      <c r="A426" s="105" t="n">
        <v>43733</v>
      </c>
      <c r="B426" s="134" t="n">
        <v>1180.436</v>
      </c>
      <c r="C426" s="150" t="n">
        <v>-7.499</v>
      </c>
      <c r="D426" s="151" t="n">
        <v>-0.0063</v>
      </c>
      <c r="E426" s="134" t="n">
        <v>113.622</v>
      </c>
      <c r="F426" s="134" t="n">
        <v>109.568</v>
      </c>
      <c r="G426" s="134" t="n">
        <v>94.69</v>
      </c>
      <c r="H426" s="134" t="n">
        <v>137.48</v>
      </c>
      <c r="I426" s="104" t="n">
        <v>0.2386</v>
      </c>
      <c r="J426" s="104" t="n">
        <v>0.1599</v>
      </c>
      <c r="K426" s="104" t="n">
        <v>0.0014</v>
      </c>
      <c r="L426" s="134" t="n">
        <v>40.8</v>
      </c>
      <c r="M426" s="134" t="n">
        <v>2816.08</v>
      </c>
      <c r="N426" s="104" t="n">
        <v>0.0145</v>
      </c>
      <c r="O426" s="134" t="n">
        <v>177</v>
      </c>
      <c r="P426" s="134" t="n">
        <v>0</v>
      </c>
      <c r="Q426" s="134" t="inlineStr">
        <is>
          <t>14 -0.10%</t>
        </is>
      </c>
      <c r="R426" s="134" t="inlineStr">
        <is>
          <t>79 -0.32%</t>
        </is>
      </c>
      <c r="S426" s="134" t="inlineStr">
        <is>
          <t>48 -0.90%</t>
        </is>
      </c>
      <c r="T426" s="134" t="inlineStr">
        <is>
          <t>22 -0.94%</t>
        </is>
      </c>
      <c r="U426" s="134" t="inlineStr">
        <is>
          <t>14 -1.54%</t>
        </is>
      </c>
    </row>
    <row customHeight="1" ht="17" r="427" s="155">
      <c r="A427" s="105" t="n">
        <v>43734</v>
      </c>
      <c r="B427" s="134" t="n">
        <v>1170.305</v>
      </c>
      <c r="C427" s="150" t="n">
        <v>-10.131</v>
      </c>
      <c r="D427" s="151" t="n">
        <v>-0.0086</v>
      </c>
      <c r="E427" s="134" t="n">
        <v>112.497</v>
      </c>
      <c r="F427" s="134" t="n">
        <v>108.55</v>
      </c>
      <c r="G427" s="134" t="n">
        <v>93.64</v>
      </c>
      <c r="H427" s="134" t="n">
        <v>138.05</v>
      </c>
      <c r="I427" s="104" t="n">
        <v>0.2555</v>
      </c>
      <c r="J427" s="104" t="n">
        <v>0.1771</v>
      </c>
      <c r="K427" s="104" t="n">
        <v>0.0032</v>
      </c>
      <c r="L427" s="134" t="n">
        <v>36.84</v>
      </c>
      <c r="M427" s="134" t="n">
        <v>2815.06</v>
      </c>
      <c r="N427" s="104" t="n">
        <v>0.0131</v>
      </c>
      <c r="O427" s="134" t="n">
        <v>177</v>
      </c>
      <c r="P427" s="134" t="n">
        <v>0</v>
      </c>
      <c r="Q427" s="134" t="inlineStr">
        <is>
          <t>16 -0.28%</t>
        </is>
      </c>
      <c r="R427" s="134" t="inlineStr">
        <is>
          <t>86 -0.49%</t>
        </is>
      </c>
      <c r="S427" s="134" t="inlineStr">
        <is>
          <t>43 -0.62%</t>
        </is>
      </c>
      <c r="T427" s="134" t="inlineStr">
        <is>
          <t>22 -1.55%</t>
        </is>
      </c>
      <c r="U427" s="134" t="inlineStr">
        <is>
          <t>10 -3.38%</t>
        </is>
      </c>
    </row>
    <row customHeight="1" ht="17" r="428" s="155">
      <c r="A428" s="105" t="n">
        <v>43735</v>
      </c>
      <c r="B428" s="134" t="n">
        <v>1173.08</v>
      </c>
      <c r="C428" s="152" t="n">
        <v>2.775</v>
      </c>
      <c r="D428" s="153" t="n">
        <v>0.0024</v>
      </c>
      <c r="E428" s="134" t="n">
        <v>112.759</v>
      </c>
      <c r="F428" s="134" t="n">
        <v>109.231</v>
      </c>
      <c r="G428" s="134" t="n">
        <v>94.20999999999999</v>
      </c>
      <c r="H428" s="134" t="n">
        <v>137.56</v>
      </c>
      <c r="I428" s="104" t="n">
        <v>0.248</v>
      </c>
      <c r="J428" s="104" t="n">
        <v>0.1634</v>
      </c>
      <c r="K428" s="104" t="n">
        <v>0.0027</v>
      </c>
      <c r="L428" s="134" t="n">
        <v>37.31</v>
      </c>
      <c r="M428" s="134" t="n">
        <v>2815.79</v>
      </c>
      <c r="N428" s="104" t="n">
        <v>0.0132</v>
      </c>
      <c r="O428" s="134" t="n">
        <v>178</v>
      </c>
      <c r="P428" s="134" t="n">
        <v>0</v>
      </c>
      <c r="Q428" s="134" t="inlineStr">
        <is>
          <t>17 -0.10%</t>
        </is>
      </c>
      <c r="R428" s="134" t="inlineStr">
        <is>
          <t>79 0.10%</t>
        </is>
      </c>
      <c r="S428" s="134" t="inlineStr">
        <is>
          <t>50 0.44%</t>
        </is>
      </c>
      <c r="T428" s="134" t="inlineStr">
        <is>
          <t>21 0.44%</t>
        </is>
      </c>
      <c r="U428" s="134" t="inlineStr">
        <is>
          <t>11 0.47%</t>
        </is>
      </c>
    </row>
    <row customHeight="1" ht="17" r="429" s="155">
      <c r="A429" s="105" t="n">
        <v>43738</v>
      </c>
      <c r="B429" s="134" t="n">
        <v>1171.173</v>
      </c>
      <c r="C429" s="150" t="n">
        <v>-1.907</v>
      </c>
      <c r="D429" s="151" t="n">
        <v>-0.0016</v>
      </c>
      <c r="E429" s="134" t="n">
        <v>112.552</v>
      </c>
      <c r="F429" s="134" t="n">
        <v>108.844</v>
      </c>
      <c r="G429" s="134" t="n">
        <v>93.23</v>
      </c>
      <c r="H429" s="134" t="n">
        <v>138.56</v>
      </c>
      <c r="I429" s="104" t="n">
        <v>0.2601</v>
      </c>
      <c r="J429" s="104" t="n">
        <v>0.1775</v>
      </c>
      <c r="K429" s="104" t="n">
        <v>0.0025</v>
      </c>
      <c r="L429" s="134" t="n">
        <v>17.89</v>
      </c>
      <c r="M429" s="134" t="n">
        <v>2814.28</v>
      </c>
      <c r="N429" s="104" t="n">
        <v>0.0064</v>
      </c>
      <c r="O429" s="134" t="n">
        <v>178</v>
      </c>
      <c r="P429" s="134" t="n">
        <v>0</v>
      </c>
      <c r="Q429" s="134" t="inlineStr">
        <is>
          <t>17 0.11%</t>
        </is>
      </c>
      <c r="R429" s="134" t="inlineStr">
        <is>
          <t>80 -0.12%</t>
        </is>
      </c>
      <c r="S429" s="134" t="inlineStr">
        <is>
          <t>49 -0.13%</t>
        </is>
      </c>
      <c r="T429" s="134" t="inlineStr">
        <is>
          <t>21 -0.60%</t>
        </is>
      </c>
      <c r="U429" s="134" t="inlineStr">
        <is>
          <t>11 -0.23%</t>
        </is>
      </c>
    </row>
    <row customHeight="1" ht="17" r="430" s="155">
      <c r="A430" s="105" t="n">
        <v>43746</v>
      </c>
      <c r="B430" s="134" t="n">
        <v>1171.14</v>
      </c>
      <c r="C430" s="150" t="n">
        <v>-0.033</v>
      </c>
      <c r="D430" s="151" t="n">
        <v>0</v>
      </c>
      <c r="E430" s="134" t="n">
        <v>112.557</v>
      </c>
      <c r="F430" s="134" t="n">
        <v>109.036</v>
      </c>
      <c r="G430" s="134" t="n">
        <v>93.61</v>
      </c>
      <c r="H430" s="134" t="n">
        <v>138.17</v>
      </c>
      <c r="I430" s="104" t="n">
        <v>0.2562</v>
      </c>
      <c r="J430" s="104" t="n">
        <v>0.1708</v>
      </c>
      <c r="K430" s="104" t="n">
        <v>0.0026</v>
      </c>
      <c r="L430" s="134" t="n">
        <v>22.98</v>
      </c>
      <c r="M430" s="134" t="n">
        <v>2813.68</v>
      </c>
      <c r="N430" s="104" t="n">
        <v>0.008200000000000001</v>
      </c>
      <c r="O430" s="134" t="n">
        <v>178</v>
      </c>
      <c r="P430" s="134" t="n">
        <v>0</v>
      </c>
      <c r="Q430" s="134" t="inlineStr">
        <is>
          <t>17 0.03%</t>
        </is>
      </c>
      <c r="R430" s="134" t="inlineStr">
        <is>
          <t>79 -0.07%</t>
        </is>
      </c>
      <c r="S430" s="134" t="inlineStr">
        <is>
          <t>48 0.11%</t>
        </is>
      </c>
      <c r="T430" s="134" t="inlineStr">
        <is>
          <t>23 -0.37%</t>
        </is>
      </c>
      <c r="U430" s="134" t="inlineStr">
        <is>
          <t>11 0.72%</t>
        </is>
      </c>
    </row>
    <row customHeight="1" ht="17" r="431" s="155">
      <c r="A431" s="105" t="n">
        <v>43747</v>
      </c>
      <c r="B431" s="134" t="n">
        <v>1173.063</v>
      </c>
      <c r="C431" s="152" t="n">
        <v>1.923</v>
      </c>
      <c r="D431" s="153" t="n">
        <v>0.0016</v>
      </c>
      <c r="E431" s="134" t="n">
        <v>112.749</v>
      </c>
      <c r="F431" s="134" t="n">
        <v>109.099</v>
      </c>
      <c r="G431" s="134" t="n">
        <v>94.38</v>
      </c>
      <c r="H431" s="134" t="n">
        <v>137.41</v>
      </c>
      <c r="I431" s="104" t="n">
        <v>0.2466</v>
      </c>
      <c r="J431" s="104" t="n">
        <v>0.1588</v>
      </c>
      <c r="K431" s="104" t="n">
        <v>0.0023</v>
      </c>
      <c r="L431" s="134" t="n">
        <v>33.29</v>
      </c>
      <c r="M431" s="134" t="n">
        <v>2812.18</v>
      </c>
      <c r="N431" s="104" t="n">
        <v>0.0118</v>
      </c>
      <c r="O431" s="134" t="n">
        <v>178</v>
      </c>
      <c r="P431" s="134" t="n">
        <v>0</v>
      </c>
      <c r="Q431" s="134" t="inlineStr">
        <is>
          <t>17 -0.07%</t>
        </is>
      </c>
      <c r="R431" s="134" t="inlineStr">
        <is>
          <t>76 0.14%</t>
        </is>
      </c>
      <c r="S431" s="134" t="inlineStr">
        <is>
          <t>50 0.30%</t>
        </is>
      </c>
      <c r="T431" s="134" t="inlineStr">
        <is>
          <t>22 -0.06%</t>
        </is>
      </c>
      <c r="U431" s="134" t="inlineStr">
        <is>
          <t>13 0.46%</t>
        </is>
      </c>
    </row>
    <row customHeight="1" ht="17" r="432" s="155">
      <c r="A432" s="105" t="n">
        <v>43748</v>
      </c>
      <c r="B432" s="134" t="n">
        <v>1180.873</v>
      </c>
      <c r="C432" s="152" t="n">
        <v>7.81</v>
      </c>
      <c r="D432" s="153" t="n">
        <v>0.0067</v>
      </c>
      <c r="E432" s="134" t="n">
        <v>113.486</v>
      </c>
      <c r="F432" s="134" t="n">
        <v>110</v>
      </c>
      <c r="G432" s="134" t="n">
        <v>94.76000000000001</v>
      </c>
      <c r="H432" s="134" t="n">
        <v>137.61</v>
      </c>
      <c r="I432" s="104" t="n">
        <v>0.2413</v>
      </c>
      <c r="J432" s="104" t="n">
        <v>0.1618</v>
      </c>
      <c r="K432" s="104" t="n">
        <v>0.001</v>
      </c>
      <c r="L432" s="134" t="n">
        <v>38.64</v>
      </c>
      <c r="M432" s="134" t="n">
        <v>2809.45</v>
      </c>
      <c r="N432" s="104" t="n">
        <v>0.0138</v>
      </c>
      <c r="O432" s="134" t="n">
        <v>177</v>
      </c>
      <c r="P432" s="134" t="n">
        <v>0</v>
      </c>
      <c r="Q432" s="134" t="inlineStr">
        <is>
          <t>16 0.23%</t>
        </is>
      </c>
      <c r="R432" s="134" t="inlineStr">
        <is>
          <t>73 0.23%</t>
        </is>
      </c>
      <c r="S432" s="134" t="inlineStr">
        <is>
          <t>53 0.72%</t>
        </is>
      </c>
      <c r="T432" s="134" t="inlineStr">
        <is>
          <t>22 1.69%</t>
        </is>
      </c>
      <c r="U432" s="134" t="inlineStr">
        <is>
          <t>13 1.67%</t>
        </is>
      </c>
    </row>
    <row customHeight="1" ht="17" r="433" s="155">
      <c r="A433" s="105" t="n">
        <v>43749</v>
      </c>
      <c r="B433" s="134" t="n">
        <v>1184.241</v>
      </c>
      <c r="C433" s="152" t="n">
        <v>3.368</v>
      </c>
      <c r="D433" s="153" t="n">
        <v>0.0029</v>
      </c>
      <c r="E433" s="134" t="n">
        <v>113.696</v>
      </c>
      <c r="F433" s="134" t="n">
        <v>110.135</v>
      </c>
      <c r="G433" s="134" t="n">
        <v>94.62</v>
      </c>
      <c r="H433" s="134" t="n">
        <v>138.36</v>
      </c>
      <c r="I433" s="104" t="n">
        <v>0.2467</v>
      </c>
      <c r="J433" s="104" t="n">
        <v>0.1688</v>
      </c>
      <c r="K433" s="104" t="n">
        <v>0.0008</v>
      </c>
      <c r="L433" s="134" t="n">
        <v>41.31</v>
      </c>
      <c r="M433" s="134" t="n">
        <v>2805.75</v>
      </c>
      <c r="N433" s="104" t="n">
        <v>0.0147</v>
      </c>
      <c r="O433" s="134" t="n">
        <v>176</v>
      </c>
      <c r="P433" s="134" t="n">
        <v>0</v>
      </c>
      <c r="Q433" s="134" t="inlineStr">
        <is>
          <t>16 0.13%</t>
        </is>
      </c>
      <c r="R433" s="134" t="inlineStr">
        <is>
          <t>71 0.21%</t>
        </is>
      </c>
      <c r="S433" s="134" t="inlineStr">
        <is>
          <t>48 0.26%</t>
        </is>
      </c>
      <c r="T433" s="134" t="inlineStr">
        <is>
          <t>29 0.53%</t>
        </is>
      </c>
      <c r="U433" s="134" t="inlineStr">
        <is>
          <t>12 0.45%</t>
        </is>
      </c>
    </row>
    <row customHeight="1" ht="17" r="434" s="155">
      <c r="A434" s="105" t="n">
        <v>43752</v>
      </c>
      <c r="B434" s="134" t="n">
        <v>1191.796</v>
      </c>
      <c r="C434" s="152" t="n">
        <v>7.555</v>
      </c>
      <c r="D434" s="153" t="n">
        <v>0.0064</v>
      </c>
      <c r="E434" s="134" t="n">
        <v>114.459</v>
      </c>
      <c r="F434" s="134" t="n">
        <v>110.881</v>
      </c>
      <c r="G434" s="134" t="n">
        <v>96.34</v>
      </c>
      <c r="H434" s="134" t="n">
        <v>137.65</v>
      </c>
      <c r="I434" s="104" t="n">
        <v>0.2319</v>
      </c>
      <c r="J434" s="104" t="n">
        <v>0.1538</v>
      </c>
      <c r="K434" s="104" t="n">
        <v>-0.0008</v>
      </c>
      <c r="L434" s="134" t="n">
        <v>66.62</v>
      </c>
      <c r="M434" s="134" t="n">
        <v>2800.62</v>
      </c>
      <c r="N434" s="104" t="n">
        <v>0.0238</v>
      </c>
      <c r="O434" s="134" t="n">
        <v>176</v>
      </c>
      <c r="P434" s="134" t="n">
        <v>0</v>
      </c>
      <c r="Q434" s="134" t="inlineStr">
        <is>
          <t>16 0.22%</t>
        </is>
      </c>
      <c r="R434" s="134" t="inlineStr">
        <is>
          <t>66 0.36%</t>
        </is>
      </c>
      <c r="S434" s="134" t="inlineStr">
        <is>
          <t>50 0.52%</t>
        </is>
      </c>
      <c r="T434" s="134" t="inlineStr">
        <is>
          <t>27 0.68%</t>
        </is>
      </c>
      <c r="U434" s="134" t="inlineStr">
        <is>
          <t>17 2.40%</t>
        </is>
      </c>
    </row>
    <row customHeight="1" ht="17" r="435" s="155">
      <c r="A435" s="105" t="n">
        <v>43753</v>
      </c>
      <c r="B435" s="134" t="n">
        <v>1186.252</v>
      </c>
      <c r="C435" s="150" t="n">
        <v>-5.544</v>
      </c>
      <c r="D435" s="151" t="n">
        <v>-0.0047</v>
      </c>
      <c r="E435" s="134" t="n">
        <v>113.787</v>
      </c>
      <c r="F435" s="134" t="n">
        <v>110.58</v>
      </c>
      <c r="G435" s="134" t="n">
        <v>95.2</v>
      </c>
      <c r="H435" s="134" t="n">
        <v>138.04</v>
      </c>
      <c r="I435" s="104" t="n">
        <v>0.2425</v>
      </c>
      <c r="J435" s="104" t="n">
        <v>0.1718</v>
      </c>
      <c r="K435" s="104" t="n">
        <v>0.0007</v>
      </c>
      <c r="L435" s="134" t="n">
        <v>40.36</v>
      </c>
      <c r="M435" s="134" t="n">
        <v>2793.81</v>
      </c>
      <c r="N435" s="104" t="n">
        <v>0.0144</v>
      </c>
      <c r="O435" s="134" t="n">
        <v>175</v>
      </c>
      <c r="P435" s="134" t="n">
        <v>0</v>
      </c>
      <c r="Q435" s="134" t="inlineStr">
        <is>
          <t>16 -0.14%</t>
        </is>
      </c>
      <c r="R435" s="134" t="inlineStr">
        <is>
          <t>70 -0.18%</t>
        </is>
      </c>
      <c r="S435" s="134" t="inlineStr">
        <is>
          <t>49 -0.24%</t>
        </is>
      </c>
      <c r="T435" s="134" t="inlineStr">
        <is>
          <t>28 -0.89%</t>
        </is>
      </c>
      <c r="U435" s="134" t="inlineStr">
        <is>
          <t>12 -0.87%</t>
        </is>
      </c>
    </row>
    <row customHeight="1" ht="17" r="436" s="155">
      <c r="A436" s="105" t="n">
        <v>43754</v>
      </c>
      <c r="B436" s="134" t="n">
        <v>1183.547</v>
      </c>
      <c r="C436" s="150" t="n">
        <v>-2.705</v>
      </c>
      <c r="D436" s="151" t="n">
        <v>-0.0023</v>
      </c>
      <c r="E436" s="134" t="n">
        <v>113.474</v>
      </c>
      <c r="F436" s="134" t="n">
        <v>110.29</v>
      </c>
      <c r="G436" s="134" t="n">
        <v>94.01000000000001</v>
      </c>
      <c r="H436" s="134" t="n">
        <v>138.52</v>
      </c>
      <c r="I436" s="104" t="n">
        <v>0.2505</v>
      </c>
      <c r="J436" s="104" t="n">
        <v>0.1798</v>
      </c>
      <c r="K436" s="104" t="n">
        <v>0.0015</v>
      </c>
      <c r="L436" s="134" t="n">
        <v>26.23</v>
      </c>
      <c r="M436" s="134" t="n">
        <v>2795.97</v>
      </c>
      <c r="N436" s="104" t="n">
        <v>0.0094</v>
      </c>
      <c r="O436" s="134" t="n">
        <v>175</v>
      </c>
      <c r="P436" s="134" t="n">
        <v>0</v>
      </c>
      <c r="Q436" s="134" t="inlineStr">
        <is>
          <t>16 -0.13%</t>
        </is>
      </c>
      <c r="R436" s="134" t="inlineStr">
        <is>
          <t>69 -0.27%</t>
        </is>
      </c>
      <c r="S436" s="134" t="inlineStr">
        <is>
          <t>53 -0.33%</t>
        </is>
      </c>
      <c r="T436" s="134" t="inlineStr">
        <is>
          <t>24 -0.02%</t>
        </is>
      </c>
      <c r="U436" s="134" t="inlineStr">
        <is>
          <t>13 -0.12%</t>
        </is>
      </c>
    </row>
    <row customHeight="1" ht="17" r="437" s="155">
      <c r="A437" s="105" t="n">
        <v>43755</v>
      </c>
      <c r="B437" s="134" t="n">
        <v>1183.212</v>
      </c>
      <c r="C437" s="150" t="n">
        <v>-0.335</v>
      </c>
      <c r="D437" s="151" t="n">
        <v>-0.0003</v>
      </c>
      <c r="E437" s="134" t="n">
        <v>113.43</v>
      </c>
      <c r="F437" s="134" t="n">
        <v>110.3</v>
      </c>
      <c r="G437" s="134" t="n">
        <v>93.90000000000001</v>
      </c>
      <c r="H437" s="134" t="n">
        <v>138.55</v>
      </c>
      <c r="I437" s="104" t="n">
        <v>0.2512</v>
      </c>
      <c r="J437" s="104" t="n">
        <v>0.1798</v>
      </c>
      <c r="K437" s="104" t="n">
        <v>0.0018</v>
      </c>
      <c r="L437" s="134" t="n">
        <v>23.21</v>
      </c>
      <c r="M437" s="134" t="n">
        <v>2795.17</v>
      </c>
      <c r="N437" s="104" t="n">
        <v>0.0083</v>
      </c>
      <c r="O437" s="134" t="n">
        <v>175</v>
      </c>
      <c r="P437" s="134" t="n">
        <v>0</v>
      </c>
      <c r="Q437" s="134" t="inlineStr">
        <is>
          <t>16 0.01%</t>
        </is>
      </c>
      <c r="R437" s="134" t="inlineStr">
        <is>
          <t>69 -0.07%</t>
        </is>
      </c>
      <c r="S437" s="134" t="inlineStr">
        <is>
          <t>53 0.07%</t>
        </is>
      </c>
      <c r="T437" s="134" t="inlineStr">
        <is>
          <t>23 -0.09%</t>
        </is>
      </c>
      <c r="U437" s="134" t="inlineStr">
        <is>
          <t>14 -0.17%</t>
        </is>
      </c>
    </row>
    <row customHeight="1" ht="17" r="438" s="155">
      <c r="A438" s="105" t="n">
        <v>43756</v>
      </c>
      <c r="B438" s="134" t="n">
        <v>1178.424</v>
      </c>
      <c r="C438" s="150" t="n">
        <v>-4.788</v>
      </c>
      <c r="D438" s="151" t="n">
        <v>-0.0041</v>
      </c>
      <c r="E438" s="134" t="n">
        <v>112.932</v>
      </c>
      <c r="F438" s="134" t="n">
        <v>109.808</v>
      </c>
      <c r="G438" s="134" t="n">
        <v>92.86</v>
      </c>
      <c r="H438" s="134" t="n">
        <v>139.19</v>
      </c>
      <c r="I438" s="104" t="n">
        <v>0.2626</v>
      </c>
      <c r="J438" s="104" t="n">
        <v>0.1991</v>
      </c>
      <c r="K438" s="104" t="n">
        <v>0.0026</v>
      </c>
      <c r="L438" s="134" t="n">
        <v>29.71</v>
      </c>
      <c r="M438" s="134" t="n">
        <v>2793.32</v>
      </c>
      <c r="N438" s="104" t="n">
        <v>0.0106</v>
      </c>
      <c r="O438" s="134" t="n">
        <v>175</v>
      </c>
      <c r="P438" s="134" t="n">
        <v>0</v>
      </c>
      <c r="Q438" s="134" t="inlineStr">
        <is>
          <t>16 -0.21%</t>
        </is>
      </c>
      <c r="R438" s="134" t="inlineStr">
        <is>
          <t>75 -0.26%</t>
        </is>
      </c>
      <c r="S438" s="134" t="inlineStr">
        <is>
          <t>49 -0.37%</t>
        </is>
      </c>
      <c r="T438" s="134" t="inlineStr">
        <is>
          <t>26 -0.87%</t>
        </is>
      </c>
      <c r="U438" s="134" t="inlineStr">
        <is>
          <t>9 -0.86%</t>
        </is>
      </c>
    </row>
    <row customHeight="1" ht="17" r="439" s="155">
      <c r="A439" s="105" t="n">
        <v>43759</v>
      </c>
      <c r="B439" s="134" t="n">
        <v>1172.766</v>
      </c>
      <c r="C439" s="150" t="n">
        <v>-5.658</v>
      </c>
      <c r="D439" s="151" t="n">
        <v>-0.0048</v>
      </c>
      <c r="E439" s="134" t="n">
        <v>112.362</v>
      </c>
      <c r="F439" s="134" t="n">
        <v>108.851</v>
      </c>
      <c r="G439" s="134" t="n">
        <v>91.38</v>
      </c>
      <c r="H439" s="134" t="n">
        <v>138.72</v>
      </c>
      <c r="I439" s="104" t="n">
        <v>0.2636</v>
      </c>
      <c r="J439" s="104" t="n">
        <v>0.2</v>
      </c>
      <c r="K439" s="104" t="n">
        <v>0.0037</v>
      </c>
      <c r="L439" s="134" t="n">
        <v>25.32</v>
      </c>
      <c r="M439" s="134" t="n">
        <v>2792.02</v>
      </c>
      <c r="N439" s="104" t="n">
        <v>0.0091</v>
      </c>
      <c r="O439" s="134" t="n">
        <v>175</v>
      </c>
      <c r="P439" s="134" t="n">
        <v>0</v>
      </c>
      <c r="Q439" s="134" t="inlineStr">
        <is>
          <t>17 -0.17%</t>
        </is>
      </c>
      <c r="R439" s="134" t="inlineStr">
        <is>
          <t>79 -0.53%</t>
        </is>
      </c>
      <c r="S439" s="134" t="inlineStr">
        <is>
          <t>46 -0.27%</t>
        </is>
      </c>
      <c r="T439" s="134" t="inlineStr">
        <is>
          <t>23 -0.22%</t>
        </is>
      </c>
      <c r="U439" s="134" t="inlineStr">
        <is>
          <t>10 -1.04%</t>
        </is>
      </c>
    </row>
    <row customHeight="1" ht="17" r="440" s="155">
      <c r="A440" s="105" t="n">
        <v>43760</v>
      </c>
      <c r="B440" s="134" t="n">
        <v>1175.95</v>
      </c>
      <c r="C440" s="152" t="n">
        <v>3.184</v>
      </c>
      <c r="D440" s="153" t="n">
        <v>0.0027</v>
      </c>
      <c r="E440" s="134" t="n">
        <v>112.676</v>
      </c>
      <c r="F440" s="134" t="n">
        <v>109.175</v>
      </c>
      <c r="G440" s="134" t="n">
        <v>92.95</v>
      </c>
      <c r="H440" s="134" t="n">
        <v>138.08</v>
      </c>
      <c r="I440" s="104" t="n">
        <v>0.254</v>
      </c>
      <c r="J440" s="104" t="n">
        <v>0.1748</v>
      </c>
      <c r="K440" s="104" t="n">
        <v>0.0031</v>
      </c>
      <c r="L440" s="134" t="n">
        <v>25.26</v>
      </c>
      <c r="M440" s="134" t="n">
        <v>2802.58</v>
      </c>
      <c r="N440" s="104" t="n">
        <v>0.008999999999999999</v>
      </c>
      <c r="O440" s="134" t="n">
        <v>176</v>
      </c>
      <c r="P440" s="134" t="n">
        <v>0</v>
      </c>
      <c r="Q440" s="134" t="inlineStr">
        <is>
          <t>16 0.08%</t>
        </is>
      </c>
      <c r="R440" s="134" t="inlineStr">
        <is>
          <t>79 0.11%</t>
        </is>
      </c>
      <c r="S440" s="134" t="inlineStr">
        <is>
          <t>46 0.39%</t>
        </is>
      </c>
      <c r="T440" s="134" t="inlineStr">
        <is>
          <t>24 0.39%</t>
        </is>
      </c>
      <c r="U440" s="134" t="inlineStr">
        <is>
          <t>11 0.99%</t>
        </is>
      </c>
    </row>
    <row customHeight="1" ht="17" r="441" s="155">
      <c r="A441" s="105" t="n">
        <v>43761</v>
      </c>
      <c r="B441" s="134" t="n">
        <v>1174.075</v>
      </c>
      <c r="C441" s="150" t="n">
        <v>-1.875</v>
      </c>
      <c r="D441" s="151" t="n">
        <v>-0.0016</v>
      </c>
      <c r="E441" s="134" t="n">
        <v>112.481</v>
      </c>
      <c r="F441" s="134" t="n">
        <v>109.228</v>
      </c>
      <c r="G441" s="134" t="n">
        <v>92.45</v>
      </c>
      <c r="H441" s="134" t="n">
        <v>138.4</v>
      </c>
      <c r="I441" s="104" t="n">
        <v>0.2591</v>
      </c>
      <c r="J441" s="104" t="n">
        <v>0.1841</v>
      </c>
      <c r="K441" s="104" t="n">
        <v>0.0035</v>
      </c>
      <c r="L441" s="134" t="n">
        <v>25.38</v>
      </c>
      <c r="M441" s="134" t="n">
        <v>2801.79</v>
      </c>
      <c r="N441" s="104" t="n">
        <v>0.0091</v>
      </c>
      <c r="O441" s="134" t="n">
        <v>176</v>
      </c>
      <c r="P441" s="134" t="n">
        <v>0</v>
      </c>
      <c r="Q441" s="134" t="inlineStr">
        <is>
          <t>17 -0.12%</t>
        </is>
      </c>
      <c r="R441" s="134" t="inlineStr">
        <is>
          <t>79 -0.13%</t>
        </is>
      </c>
      <c r="S441" s="134" t="inlineStr">
        <is>
          <t>48 -0.08%</t>
        </is>
      </c>
      <c r="T441" s="134" t="inlineStr">
        <is>
          <t>22 -0.51%</t>
        </is>
      </c>
      <c r="U441" s="134" t="inlineStr">
        <is>
          <t>10 -0.11%</t>
        </is>
      </c>
    </row>
    <row customHeight="1" ht="17" r="442" s="155">
      <c r="A442" s="105" t="n">
        <v>43762</v>
      </c>
      <c r="B442" s="134" t="n">
        <v>1170.696</v>
      </c>
      <c r="C442" s="150" t="n">
        <v>-3.379</v>
      </c>
      <c r="D442" s="151" t="n">
        <v>-0.0029</v>
      </c>
      <c r="E442" s="134" t="n">
        <v>112.153</v>
      </c>
      <c r="F442" s="134" t="n">
        <v>109.005</v>
      </c>
      <c r="G442" s="134" t="n">
        <v>92.53</v>
      </c>
      <c r="H442" s="134" t="n">
        <v>137.75</v>
      </c>
      <c r="I442" s="104" t="n">
        <v>0.2559</v>
      </c>
      <c r="J442" s="104" t="n">
        <v>0.1738</v>
      </c>
      <c r="K442" s="104" t="n">
        <v>0.0044</v>
      </c>
      <c r="L442" s="134" t="n">
        <v>26.25</v>
      </c>
      <c r="M442" s="134" t="n">
        <v>2801.22</v>
      </c>
      <c r="N442" s="104" t="n">
        <v>0.0094</v>
      </c>
      <c r="O442" s="134" t="n">
        <v>176</v>
      </c>
      <c r="P442" s="134" t="n">
        <v>0</v>
      </c>
      <c r="Q442" s="134" t="inlineStr">
        <is>
          <t>20 -0.26%</t>
        </is>
      </c>
      <c r="R442" s="134" t="inlineStr">
        <is>
          <t>78 -0.33%</t>
        </is>
      </c>
      <c r="S442" s="134" t="inlineStr">
        <is>
          <t>47 -0.24%</t>
        </is>
      </c>
      <c r="T442" s="134" t="inlineStr">
        <is>
          <t>21 -0.24%</t>
        </is>
      </c>
      <c r="U442" s="134" t="inlineStr">
        <is>
          <t>10 -0.38%</t>
        </is>
      </c>
    </row>
    <row customHeight="1" ht="17" r="443" s="155">
      <c r="A443" s="105" t="n">
        <v>43763</v>
      </c>
      <c r="B443" s="134" t="n">
        <v>1176.036</v>
      </c>
      <c r="C443" s="152" t="n">
        <v>5.34</v>
      </c>
      <c r="D443" s="153" t="n">
        <v>0.0046</v>
      </c>
      <c r="E443" s="134" t="n">
        <v>112.708</v>
      </c>
      <c r="F443" s="134" t="n">
        <v>109.563</v>
      </c>
      <c r="G443" s="134" t="n">
        <v>93.11</v>
      </c>
      <c r="H443" s="134" t="n">
        <v>137.89</v>
      </c>
      <c r="I443" s="104" t="n">
        <v>0.2518</v>
      </c>
      <c r="J443" s="104" t="n">
        <v>0.1666</v>
      </c>
      <c r="K443" s="104" t="n">
        <v>0.0033</v>
      </c>
      <c r="L443" s="134" t="n">
        <v>26.79</v>
      </c>
      <c r="M443" s="134" t="n">
        <v>2800.73</v>
      </c>
      <c r="N443" s="104" t="n">
        <v>0.009599999999999999</v>
      </c>
      <c r="O443" s="134" t="n">
        <v>176</v>
      </c>
      <c r="P443" s="134" t="n">
        <v>0</v>
      </c>
      <c r="Q443" s="134" t="inlineStr">
        <is>
          <t>17 0.15%</t>
        </is>
      </c>
      <c r="R443" s="134" t="inlineStr">
        <is>
          <t>75 0.17%</t>
        </is>
      </c>
      <c r="S443" s="134" t="inlineStr">
        <is>
          <t>51 0.44%</t>
        </is>
      </c>
      <c r="T443" s="134" t="inlineStr">
        <is>
          <t>20 0.84%</t>
        </is>
      </c>
      <c r="U443" s="134" t="inlineStr">
        <is>
          <t>13 1.99%</t>
        </is>
      </c>
    </row>
    <row customHeight="1" ht="17" r="444" s="155">
      <c r="A444" s="105" t="n">
        <v>43766</v>
      </c>
      <c r="B444" s="134" t="n">
        <v>1185.956</v>
      </c>
      <c r="C444" s="152" t="n">
        <v>9.92</v>
      </c>
      <c r="D444" s="153" t="n">
        <v>0.008399999999999999</v>
      </c>
      <c r="E444" s="134" t="n">
        <v>113.805</v>
      </c>
      <c r="F444" s="134" t="n">
        <v>110.16</v>
      </c>
      <c r="G444" s="134" t="n">
        <v>94.64</v>
      </c>
      <c r="H444" s="134" t="n">
        <v>137.5</v>
      </c>
      <c r="I444" s="104" t="n">
        <v>0.2369</v>
      </c>
      <c r="J444" s="104" t="n">
        <v>0.1653</v>
      </c>
      <c r="K444" s="104" t="n">
        <v>0.0014</v>
      </c>
      <c r="L444" s="134" t="n">
        <v>46.19</v>
      </c>
      <c r="M444" s="134" t="n">
        <v>2794</v>
      </c>
      <c r="N444" s="104" t="n">
        <v>0.0165</v>
      </c>
      <c r="O444" s="134" t="n">
        <v>175</v>
      </c>
      <c r="P444" s="134" t="n">
        <v>0</v>
      </c>
      <c r="Q444" s="134" t="inlineStr">
        <is>
          <t>15 0.38%</t>
        </is>
      </c>
      <c r="R444" s="134" t="inlineStr">
        <is>
          <t>73 0.32%</t>
        </is>
      </c>
      <c r="S444" s="134" t="inlineStr">
        <is>
          <t>47 0.60%</t>
        </is>
      </c>
      <c r="T444" s="134" t="inlineStr">
        <is>
          <t>27 2.04%</t>
        </is>
      </c>
      <c r="U444" s="134" t="inlineStr">
        <is>
          <t>13 2.68%</t>
        </is>
      </c>
    </row>
    <row customHeight="1" ht="17" r="445" s="155">
      <c r="A445" s="105" t="n">
        <v>43767</v>
      </c>
      <c r="B445" s="134" t="n">
        <v>1182.054</v>
      </c>
      <c r="C445" s="150" t="n">
        <v>-3.902</v>
      </c>
      <c r="D445" s="151" t="n">
        <v>-0.0033</v>
      </c>
      <c r="E445" s="134" t="n">
        <v>113.391</v>
      </c>
      <c r="F445" s="134" t="n">
        <v>109.7</v>
      </c>
      <c r="G445" s="134" t="n">
        <v>93.38</v>
      </c>
      <c r="H445" s="134" t="n">
        <v>138.46</v>
      </c>
      <c r="I445" s="104" t="n">
        <v>0.2507</v>
      </c>
      <c r="J445" s="104" t="n">
        <v>0.1812</v>
      </c>
      <c r="K445" s="104" t="n">
        <v>0.0023</v>
      </c>
      <c r="L445" s="134" t="n">
        <v>43.75</v>
      </c>
      <c r="M445" s="134" t="n">
        <v>2791.92</v>
      </c>
      <c r="N445" s="104" t="n">
        <v>0.0157</v>
      </c>
      <c r="O445" s="134" t="n">
        <v>175</v>
      </c>
      <c r="P445" s="134" t="n">
        <v>0</v>
      </c>
      <c r="Q445" s="134" t="inlineStr">
        <is>
          <t>15 -0.06%</t>
        </is>
      </c>
      <c r="R445" s="134" t="inlineStr">
        <is>
          <t>76 -0.17%</t>
        </is>
      </c>
      <c r="S445" s="134" t="inlineStr">
        <is>
          <t>47 -0.85%</t>
        </is>
      </c>
      <c r="T445" s="134" t="inlineStr">
        <is>
          <t>25 -0.31%</t>
        </is>
      </c>
      <c r="U445" s="134" t="inlineStr">
        <is>
          <t>12 0.34%</t>
        </is>
      </c>
    </row>
    <row customHeight="1" ht="17" r="446" s="155">
      <c r="A446" s="105" t="n">
        <v>43768</v>
      </c>
      <c r="B446" s="134" t="n">
        <v>1171.846</v>
      </c>
      <c r="C446" s="150" t="n">
        <v>-10.208</v>
      </c>
      <c r="D446" s="151" t="n">
        <v>-0.0086</v>
      </c>
      <c r="E446" s="134" t="n">
        <v>112.307</v>
      </c>
      <c r="F446" s="134" t="n">
        <v>108.826</v>
      </c>
      <c r="G446" s="134" t="n">
        <v>92.09999999999999</v>
      </c>
      <c r="H446" s="134" t="n">
        <v>138.14</v>
      </c>
      <c r="I446" s="104" t="n">
        <v>0.2583</v>
      </c>
      <c r="J446" s="104" t="n">
        <v>0.18</v>
      </c>
      <c r="K446" s="104" t="n">
        <v>0.0042</v>
      </c>
      <c r="L446" s="134" t="n">
        <v>35.09</v>
      </c>
      <c r="M446" s="134" t="n">
        <v>2782.96</v>
      </c>
      <c r="N446" s="104" t="n">
        <v>0.0126</v>
      </c>
      <c r="O446" s="134" t="n">
        <v>174</v>
      </c>
      <c r="P446" s="134" t="n">
        <v>0</v>
      </c>
      <c r="Q446" s="134" t="inlineStr">
        <is>
          <t>17 -0.40%</t>
        </is>
      </c>
      <c r="R446" s="134" t="inlineStr">
        <is>
          <t>81 -0.65%</t>
        </is>
      </c>
      <c r="S446" s="134" t="inlineStr">
        <is>
          <t>46 -1.15%</t>
        </is>
      </c>
      <c r="T446" s="134" t="inlineStr">
        <is>
          <t>19 -1.01%</t>
        </is>
      </c>
      <c r="U446" s="134" t="inlineStr">
        <is>
          <t>11 -1.74%</t>
        </is>
      </c>
    </row>
    <row customHeight="1" ht="17" r="447" s="155">
      <c r="A447" s="105" t="n">
        <v>43769</v>
      </c>
      <c r="B447" s="134" t="n">
        <v>1167.082</v>
      </c>
      <c r="C447" s="150" t="n">
        <v>-4.764</v>
      </c>
      <c r="D447" s="151" t="n">
        <v>-0.0041</v>
      </c>
      <c r="E447" s="134" t="n">
        <v>111.791</v>
      </c>
      <c r="F447" s="134" t="n">
        <v>108.317</v>
      </c>
      <c r="G447" s="134" t="n">
        <v>91.26000000000001</v>
      </c>
      <c r="H447" s="134" t="n">
        <v>138.23</v>
      </c>
      <c r="I447" s="104" t="n">
        <v>0.2644</v>
      </c>
      <c r="J447" s="104" t="n">
        <v>0.1828</v>
      </c>
      <c r="K447" s="104" t="n">
        <v>0.0052</v>
      </c>
      <c r="L447" s="134" t="n">
        <v>31.97</v>
      </c>
      <c r="M447" s="134" t="n">
        <v>2781.92</v>
      </c>
      <c r="N447" s="104" t="n">
        <v>0.0115</v>
      </c>
      <c r="O447" s="134" t="n">
        <v>174</v>
      </c>
      <c r="P447" s="134" t="n">
        <v>0</v>
      </c>
      <c r="Q447" s="134" t="inlineStr">
        <is>
          <t>19 -0.20%</t>
        </is>
      </c>
      <c r="R447" s="134" t="inlineStr">
        <is>
          <t>78 -0.23%</t>
        </is>
      </c>
      <c r="S447" s="134" t="inlineStr">
        <is>
          <t>47 -0.26%</t>
        </is>
      </c>
      <c r="T447" s="134" t="inlineStr">
        <is>
          <t>19 -0.42%</t>
        </is>
      </c>
      <c r="U447" s="134" t="inlineStr">
        <is>
          <t>11 -2.18%</t>
        </is>
      </c>
    </row>
    <row customHeight="1" ht="17" r="448" s="155">
      <c r="A448" s="105" t="n">
        <v>43770</v>
      </c>
      <c r="B448" s="134" t="n">
        <v>1171.237</v>
      </c>
      <c r="C448" s="152" t="n">
        <v>4.155</v>
      </c>
      <c r="D448" s="153" t="n">
        <v>0.0036</v>
      </c>
      <c r="E448" s="134" t="n">
        <v>112.118</v>
      </c>
      <c r="F448" s="134" t="n">
        <v>108.545</v>
      </c>
      <c r="G448" s="134" t="n">
        <v>91.81999999999999</v>
      </c>
      <c r="H448" s="134" t="n">
        <v>137.69</v>
      </c>
      <c r="I448" s="104" t="n">
        <v>0.2557</v>
      </c>
      <c r="J448" s="104" t="n">
        <v>0.176</v>
      </c>
      <c r="K448" s="104" t="n">
        <v>0.0046</v>
      </c>
      <c r="L448" s="134" t="n">
        <v>35.88</v>
      </c>
      <c r="M448" s="134" t="n">
        <v>2790.21</v>
      </c>
      <c r="N448" s="104" t="n">
        <v>0.0129</v>
      </c>
      <c r="O448" s="134" t="n">
        <v>176</v>
      </c>
      <c r="P448" s="134" t="n">
        <v>0</v>
      </c>
      <c r="Q448" s="134" t="inlineStr">
        <is>
          <t>17 0.04%</t>
        </is>
      </c>
      <c r="R448" s="134" t="inlineStr">
        <is>
          <t>82 0.09%</t>
        </is>
      </c>
      <c r="S448" s="134" t="inlineStr">
        <is>
          <t>44 0.37%</t>
        </is>
      </c>
      <c r="T448" s="134" t="inlineStr">
        <is>
          <t>22 0.90%</t>
        </is>
      </c>
      <c r="U448" s="134" t="inlineStr">
        <is>
          <t>11 1.70%</t>
        </is>
      </c>
    </row>
    <row customHeight="1" ht="17" r="449" s="155">
      <c r="A449" s="105" t="n">
        <v>43773</v>
      </c>
      <c r="B449" s="134" t="n">
        <v>1174.861</v>
      </c>
      <c r="C449" s="152" t="n">
        <v>3.624</v>
      </c>
      <c r="D449" s="153" t="n">
        <v>0.0031</v>
      </c>
      <c r="E449" s="134" t="n">
        <v>112.535</v>
      </c>
      <c r="F449" s="134" t="n">
        <v>108.425</v>
      </c>
      <c r="G449" s="134" t="n">
        <v>92.23</v>
      </c>
      <c r="H449" s="134" t="n">
        <v>137.95</v>
      </c>
      <c r="I449" s="104" t="n">
        <v>0.2542</v>
      </c>
      <c r="J449" s="104" t="n">
        <v>0.1813</v>
      </c>
      <c r="K449" s="104" t="n">
        <v>0.0039</v>
      </c>
      <c r="L449" s="134" t="n">
        <v>43.81</v>
      </c>
      <c r="M449" s="134" t="n">
        <v>2788.97</v>
      </c>
      <c r="N449" s="104" t="n">
        <v>0.0157</v>
      </c>
      <c r="O449" s="134" t="n">
        <v>176</v>
      </c>
      <c r="P449" s="134" t="n">
        <v>0</v>
      </c>
      <c r="Q449" s="134" t="inlineStr">
        <is>
          <t>18 -0.11%</t>
        </is>
      </c>
      <c r="R449" s="134" t="inlineStr">
        <is>
          <t>78 0.04%</t>
        </is>
      </c>
      <c r="S449" s="134" t="inlineStr">
        <is>
          <t>47 0.32%</t>
        </is>
      </c>
      <c r="T449" s="134" t="inlineStr">
        <is>
          <t>21 0.88%</t>
        </is>
      </c>
      <c r="U449" s="134" t="inlineStr">
        <is>
          <t>12 1.66%</t>
        </is>
      </c>
    </row>
    <row customHeight="1" ht="17" r="450" s="155">
      <c r="A450" s="105" t="n">
        <v>43774</v>
      </c>
      <c r="B450" s="134" t="n">
        <v>1179.215</v>
      </c>
      <c r="C450" s="152" t="n">
        <v>4.354</v>
      </c>
      <c r="D450" s="153" t="n">
        <v>0.0037</v>
      </c>
      <c r="E450" s="134" t="n">
        <v>112.908</v>
      </c>
      <c r="F450" s="134" t="n">
        <v>108.678</v>
      </c>
      <c r="G450" s="134" t="n">
        <v>92.44</v>
      </c>
      <c r="H450" s="134" t="n">
        <v>138.32</v>
      </c>
      <c r="I450" s="104" t="n">
        <v>0.2541</v>
      </c>
      <c r="J450" s="104" t="n">
        <v>0.1776</v>
      </c>
      <c r="K450" s="104" t="n">
        <v>0.0032</v>
      </c>
      <c r="L450" s="134" t="n">
        <v>48.01</v>
      </c>
      <c r="M450" s="134" t="n">
        <v>2790.78</v>
      </c>
      <c r="N450" s="104" t="n">
        <v>0.0172</v>
      </c>
      <c r="O450" s="134" t="n">
        <v>176</v>
      </c>
      <c r="P450" s="134" t="n">
        <v>0</v>
      </c>
      <c r="Q450" s="134" t="inlineStr">
        <is>
          <t>19 0.13%</t>
        </is>
      </c>
      <c r="R450" s="134" t="inlineStr">
        <is>
          <t>74 0.18%</t>
        </is>
      </c>
      <c r="S450" s="134" t="inlineStr">
        <is>
          <t>47 0.47%</t>
        </is>
      </c>
      <c r="T450" s="134" t="inlineStr">
        <is>
          <t>23 1.05%</t>
        </is>
      </c>
      <c r="U450" s="134" t="inlineStr">
        <is>
          <t>13 0.27%</t>
        </is>
      </c>
    </row>
    <row customHeight="1" ht="17" r="451" s="155">
      <c r="A451" s="105" t="n">
        <v>43775</v>
      </c>
      <c r="B451" s="134" t="n">
        <v>1177.43</v>
      </c>
      <c r="C451" s="150" t="n">
        <v>-1.785</v>
      </c>
      <c r="D451" s="151" t="n">
        <v>-0.0015</v>
      </c>
      <c r="E451" s="134" t="n">
        <v>112.69</v>
      </c>
      <c r="F451" s="134" t="n">
        <v>108.723</v>
      </c>
      <c r="G451" s="134" t="n">
        <v>91.61</v>
      </c>
      <c r="H451" s="134" t="n">
        <v>138.98</v>
      </c>
      <c r="I451" s="104" t="n">
        <v>0.2629</v>
      </c>
      <c r="J451" s="104" t="n">
        <v>0.1762</v>
      </c>
      <c r="K451" s="104" t="n">
        <v>0.0036</v>
      </c>
      <c r="L451" s="134" t="n">
        <v>39.21</v>
      </c>
      <c r="M451" s="134" t="n">
        <v>2789.49</v>
      </c>
      <c r="N451" s="104" t="n">
        <v>0.0141</v>
      </c>
      <c r="O451" s="134" t="n">
        <v>176</v>
      </c>
      <c r="P451" s="134" t="n">
        <v>0</v>
      </c>
      <c r="Q451" s="134" t="inlineStr">
        <is>
          <t>18 0.07%</t>
        </is>
      </c>
      <c r="R451" s="134" t="inlineStr">
        <is>
          <t>78 -0.03%</t>
        </is>
      </c>
      <c r="S451" s="134" t="inlineStr">
        <is>
          <t>45 -0.36%</t>
        </is>
      </c>
      <c r="T451" s="134" t="inlineStr">
        <is>
          <t>23 0.02%</t>
        </is>
      </c>
      <c r="U451" s="134" t="inlineStr">
        <is>
          <t>12 -0.82%</t>
        </is>
      </c>
    </row>
    <row customHeight="1" ht="17" r="452" s="155">
      <c r="A452" s="105" t="n">
        <v>43776</v>
      </c>
      <c r="B452" s="134" t="n">
        <v>1182.868</v>
      </c>
      <c r="C452" s="152" t="n">
        <v>5.438</v>
      </c>
      <c r="D452" s="153" t="n">
        <v>0.0046</v>
      </c>
      <c r="E452" s="134" t="n">
        <v>113.24</v>
      </c>
      <c r="F452" s="134" t="n">
        <v>108.9</v>
      </c>
      <c r="G452" s="134" t="n">
        <v>91.81</v>
      </c>
      <c r="H452" s="134" t="n">
        <v>139.31</v>
      </c>
      <c r="I452" s="104" t="n">
        <v>0.2607</v>
      </c>
      <c r="J452" s="104" t="n">
        <v>0.1744</v>
      </c>
      <c r="K452" s="104" t="n">
        <v>0.0026</v>
      </c>
      <c r="L452" s="134" t="n">
        <v>47.33</v>
      </c>
      <c r="M452" s="134" t="n">
        <v>2787.77</v>
      </c>
      <c r="N452" s="104" t="n">
        <v>0.017</v>
      </c>
      <c r="O452" s="134" t="n">
        <v>176</v>
      </c>
      <c r="P452" s="134" t="n">
        <v>0</v>
      </c>
      <c r="Q452" s="134" t="inlineStr">
        <is>
          <t>17 0.15%</t>
        </is>
      </c>
      <c r="R452" s="134" t="inlineStr">
        <is>
          <t>76 0.27%</t>
        </is>
      </c>
      <c r="S452" s="134" t="inlineStr">
        <is>
          <t>45 0.74%</t>
        </is>
      </c>
      <c r="T452" s="134" t="inlineStr">
        <is>
          <t>23 0.09%</t>
        </is>
      </c>
      <c r="U452" s="134" t="inlineStr">
        <is>
          <t>15 2.73%</t>
        </is>
      </c>
    </row>
    <row customHeight="1" ht="17" r="453" s="155">
      <c r="A453" s="105" t="n">
        <v>43777</v>
      </c>
      <c r="B453" s="134" t="n">
        <v>1182.067</v>
      </c>
      <c r="C453" s="150" t="n">
        <v>-0.801</v>
      </c>
      <c r="D453" s="151" t="n">
        <v>-0.0007</v>
      </c>
      <c r="E453" s="134" t="n">
        <v>113.071</v>
      </c>
      <c r="F453" s="134" t="n">
        <v>109.057</v>
      </c>
      <c r="G453" s="134" t="n">
        <v>91.66</v>
      </c>
      <c r="H453" s="134" t="n">
        <v>139.14</v>
      </c>
      <c r="I453" s="104" t="n">
        <v>0.2607</v>
      </c>
      <c r="J453" s="104" t="n">
        <v>0.1797</v>
      </c>
      <c r="K453" s="104" t="n">
        <v>0.0029</v>
      </c>
      <c r="L453" s="134" t="n">
        <v>37.92</v>
      </c>
      <c r="M453" s="134" t="n">
        <v>2803.63</v>
      </c>
      <c r="N453" s="104" t="n">
        <v>0.0135</v>
      </c>
      <c r="O453" s="134" t="n">
        <v>178</v>
      </c>
      <c r="P453" s="134" t="n">
        <v>0</v>
      </c>
      <c r="Q453" s="134" t="inlineStr">
        <is>
          <t>17 0.02%</t>
        </is>
      </c>
      <c r="R453" s="134" t="inlineStr">
        <is>
          <t>76 0.09%</t>
        </is>
      </c>
      <c r="S453" s="134" t="inlineStr">
        <is>
          <t>46 0.10%</t>
        </is>
      </c>
      <c r="T453" s="134" t="inlineStr">
        <is>
          <t>25 0.33%</t>
        </is>
      </c>
      <c r="U453" s="134" t="inlineStr">
        <is>
          <t>14 -0.55%</t>
        </is>
      </c>
    </row>
    <row customHeight="1" ht="17" r="454" s="155">
      <c r="A454" s="105" t="n">
        <v>43780</v>
      </c>
      <c r="B454" s="134" t="n">
        <v>1173.951</v>
      </c>
      <c r="C454" s="150" t="n">
        <v>-8.116</v>
      </c>
      <c r="D454" s="151" t="n">
        <v>-0.0069</v>
      </c>
      <c r="E454" s="134" t="n">
        <v>112.135</v>
      </c>
      <c r="F454" s="134" t="n">
        <v>108.3</v>
      </c>
      <c r="G454" s="134" t="n">
        <v>89.45999999999999</v>
      </c>
      <c r="H454" s="134" t="n">
        <v>140.51</v>
      </c>
      <c r="I454" s="104" t="n">
        <v>0.2838</v>
      </c>
      <c r="J454" s="104" t="n">
        <v>0.2078</v>
      </c>
      <c r="K454" s="104" t="n">
        <v>0.0048</v>
      </c>
      <c r="L454" s="134" t="n">
        <v>29.86</v>
      </c>
      <c r="M454" s="134" t="n">
        <v>2818.94</v>
      </c>
      <c r="N454" s="104" t="n">
        <v>0.0106</v>
      </c>
      <c r="O454" s="134" t="n">
        <v>181</v>
      </c>
      <c r="P454" s="134" t="n">
        <v>0</v>
      </c>
      <c r="Q454" s="134" t="inlineStr">
        <is>
          <t>22 -0.23%</t>
        </is>
      </c>
      <c r="R454" s="134" t="inlineStr">
        <is>
          <t>80 -0.45%</t>
        </is>
      </c>
      <c r="S454" s="134" t="inlineStr">
        <is>
          <t>40 -0.75%</t>
        </is>
      </c>
      <c r="T454" s="134" t="inlineStr">
        <is>
          <t>28 -1.18%</t>
        </is>
      </c>
      <c r="U454" s="134" t="inlineStr">
        <is>
          <t>11 -1.83%</t>
        </is>
      </c>
    </row>
    <row customHeight="1" ht="17" r="455" s="155">
      <c r="A455" s="105" t="n">
        <v>43781</v>
      </c>
      <c r="B455" s="134" t="n">
        <v>1172.97</v>
      </c>
      <c r="C455" s="150" t="n">
        <v>-0.981</v>
      </c>
      <c r="D455" s="151" t="n">
        <v>-0.0008</v>
      </c>
      <c r="E455" s="134" t="n">
        <v>112.039</v>
      </c>
      <c r="F455" s="134" t="n">
        <v>108.157</v>
      </c>
      <c r="G455" s="134" t="n">
        <v>89.36</v>
      </c>
      <c r="H455" s="134" t="n">
        <v>140.21</v>
      </c>
      <c r="I455" s="104" t="n">
        <v>0.2817</v>
      </c>
      <c r="J455" s="104" t="n">
        <v>0.1979</v>
      </c>
      <c r="K455" s="104" t="n">
        <v>0.0051</v>
      </c>
      <c r="L455" s="134" t="n">
        <v>26.64</v>
      </c>
      <c r="M455" s="134" t="n">
        <v>2818.21</v>
      </c>
      <c r="N455" s="104" t="n">
        <v>0.0095</v>
      </c>
      <c r="O455" s="134" t="n">
        <v>181</v>
      </c>
      <c r="P455" s="134" t="n">
        <v>0</v>
      </c>
      <c r="Q455" s="134" t="inlineStr">
        <is>
          <t>22 0.04%</t>
        </is>
      </c>
      <c r="R455" s="134" t="inlineStr">
        <is>
          <t>79 -0.10%</t>
        </is>
      </c>
      <c r="S455" s="134" t="inlineStr">
        <is>
          <t>44 -0.21%</t>
        </is>
      </c>
      <c r="T455" s="134" t="inlineStr">
        <is>
          <t>25 0.07%</t>
        </is>
      </c>
      <c r="U455" s="134" t="inlineStr">
        <is>
          <t>11 -0.07%</t>
        </is>
      </c>
    </row>
    <row customHeight="1" ht="17" r="456" s="155">
      <c r="A456" s="105" t="n">
        <v>43782</v>
      </c>
      <c r="B456" s="134" t="n">
        <v>1170.972</v>
      </c>
      <c r="C456" s="150" t="n">
        <v>-1.998</v>
      </c>
      <c r="D456" s="151" t="n">
        <v>-0.0017</v>
      </c>
      <c r="E456" s="134" t="n">
        <v>111.832</v>
      </c>
      <c r="F456" s="134" t="n">
        <v>108.25</v>
      </c>
      <c r="G456" s="134" t="n">
        <v>89.52</v>
      </c>
      <c r="H456" s="134" t="n">
        <v>140.5</v>
      </c>
      <c r="I456" s="104" t="n">
        <v>0.2867</v>
      </c>
      <c r="J456" s="104" t="n">
        <v>0.2068</v>
      </c>
      <c r="K456" s="104" t="n">
        <v>0.0055</v>
      </c>
      <c r="L456" s="134" t="n">
        <v>22.45</v>
      </c>
      <c r="M456" s="134" t="n">
        <v>2817.91</v>
      </c>
      <c r="N456" s="104" t="n">
        <v>0.008</v>
      </c>
      <c r="O456" s="134" t="n">
        <v>181</v>
      </c>
      <c r="P456" s="134" t="n">
        <v>0</v>
      </c>
      <c r="Q456" s="134" t="inlineStr">
        <is>
          <t>24 -0.16%</t>
        </is>
      </c>
      <c r="R456" s="134" t="inlineStr">
        <is>
          <t>78 -0.08%</t>
        </is>
      </c>
      <c r="S456" s="134" t="inlineStr">
        <is>
          <t>45 -0.23%</t>
        </is>
      </c>
      <c r="T456" s="134" t="inlineStr">
        <is>
          <t>25 -0.27%</t>
        </is>
      </c>
      <c r="U456" s="134" t="inlineStr">
        <is>
          <t>9 -0.42%</t>
        </is>
      </c>
    </row>
    <row customHeight="1" ht="17" r="457" s="155">
      <c r="A457" s="105" t="n">
        <v>43783</v>
      </c>
      <c r="B457" s="134" t="n">
        <v>1172.632</v>
      </c>
      <c r="C457" s="152" t="n">
        <v>1.66</v>
      </c>
      <c r="D457" s="153" t="n">
        <v>0.0014</v>
      </c>
      <c r="E457" s="134" t="n">
        <v>112.027</v>
      </c>
      <c r="F457" s="134" t="n">
        <v>108.3</v>
      </c>
      <c r="G457" s="134" t="n">
        <v>89.68000000000001</v>
      </c>
      <c r="H457" s="134" t="n">
        <v>140.42</v>
      </c>
      <c r="I457" s="104" t="n">
        <v>0.2839</v>
      </c>
      <c r="J457" s="104" t="n">
        <v>0.2097</v>
      </c>
      <c r="K457" s="104" t="n">
        <v>0.0054</v>
      </c>
      <c r="L457" s="134" t="n">
        <v>27.32</v>
      </c>
      <c r="M457" s="134" t="n">
        <v>2817.12</v>
      </c>
      <c r="N457" s="104" t="n">
        <v>0.0097</v>
      </c>
      <c r="O457" s="134" t="n">
        <v>181</v>
      </c>
      <c r="P457" s="134" t="n">
        <v>0</v>
      </c>
      <c r="Q457" s="134" t="inlineStr">
        <is>
          <t>24 -0.05%</t>
        </is>
      </c>
      <c r="R457" s="134" t="inlineStr">
        <is>
          <t>78 -0.07%</t>
        </is>
      </c>
      <c r="S457" s="134" t="inlineStr">
        <is>
          <t>46 0.11%</t>
        </is>
      </c>
      <c r="T457" s="134" t="inlineStr">
        <is>
          <t>23 0.51%</t>
        </is>
      </c>
      <c r="U457" s="134" t="inlineStr">
        <is>
          <t>10 1.58%</t>
        </is>
      </c>
    </row>
    <row customHeight="1" ht="17" r="458" s="155">
      <c r="A458" s="105" t="n">
        <v>43784</v>
      </c>
      <c r="B458" s="134" t="n">
        <v>1167.989</v>
      </c>
      <c r="C458" s="150" t="n">
        <v>-4.643</v>
      </c>
      <c r="D458" s="151" t="n">
        <v>-0.004</v>
      </c>
      <c r="E458" s="134" t="n">
        <v>111.546</v>
      </c>
      <c r="F458" s="134" t="n">
        <v>107.7</v>
      </c>
      <c r="G458" s="134" t="n">
        <v>89.62</v>
      </c>
      <c r="H458" s="134" t="n">
        <v>141.14</v>
      </c>
      <c r="I458" s="104" t="n">
        <v>0.2959</v>
      </c>
      <c r="J458" s="104" t="n">
        <v>0.2165</v>
      </c>
      <c r="K458" s="104" t="n">
        <v>0.0063</v>
      </c>
      <c r="L458" s="134" t="n">
        <v>25.43</v>
      </c>
      <c r="M458" s="134" t="n">
        <v>2814.04</v>
      </c>
      <c r="N458" s="104" t="n">
        <v>0.008999999999999999</v>
      </c>
      <c r="O458" s="134" t="n">
        <v>181</v>
      </c>
      <c r="P458" s="134" t="n">
        <v>0</v>
      </c>
      <c r="Q458" s="134" t="inlineStr">
        <is>
          <t>28 -0.22%</t>
        </is>
      </c>
      <c r="R458" s="134" t="inlineStr">
        <is>
          <t>74 -0.31%</t>
        </is>
      </c>
      <c r="S458" s="134" t="inlineStr">
        <is>
          <t>47 -0.33%</t>
        </is>
      </c>
      <c r="T458" s="134" t="inlineStr">
        <is>
          <t>23 -0.51%</t>
        </is>
      </c>
      <c r="U458" s="134" t="inlineStr">
        <is>
          <t>9 -1.30%</t>
        </is>
      </c>
    </row>
    <row customHeight="1" ht="17" r="459" s="155">
      <c r="A459" s="105" t="n">
        <v>43787</v>
      </c>
      <c r="B459" s="134" t="n">
        <v>1170.457</v>
      </c>
      <c r="C459" s="152" t="n">
        <v>2.468</v>
      </c>
      <c r="D459" s="153" t="n">
        <v>0.0021</v>
      </c>
      <c r="E459" s="134" t="n">
        <v>111.763</v>
      </c>
      <c r="F459" s="134" t="n">
        <v>108.18</v>
      </c>
      <c r="G459" s="134" t="n">
        <v>90.15000000000001</v>
      </c>
      <c r="H459" s="134" t="n">
        <v>140.51</v>
      </c>
      <c r="I459" s="104" t="n">
        <v>0.2874</v>
      </c>
      <c r="J459" s="104" t="n">
        <v>0.2023</v>
      </c>
      <c r="K459" s="104" t="n">
        <v>0.0063</v>
      </c>
      <c r="L459" s="134" t="n">
        <v>55.41</v>
      </c>
      <c r="M459" s="134" t="n">
        <v>3313.37</v>
      </c>
      <c r="N459" s="104" t="n">
        <v>0.0167</v>
      </c>
      <c r="O459" s="134" t="n">
        <v>182</v>
      </c>
      <c r="P459" s="134" t="n">
        <v>0</v>
      </c>
      <c r="Q459" s="134" t="inlineStr">
        <is>
          <t>26 -0.22%</t>
        </is>
      </c>
      <c r="R459" s="134" t="inlineStr">
        <is>
          <t>75 0.12%</t>
        </is>
      </c>
      <c r="S459" s="134" t="inlineStr">
        <is>
          <t>46 0.20%</t>
        </is>
      </c>
      <c r="T459" s="134" t="inlineStr">
        <is>
          <t>24 0.48%</t>
        </is>
      </c>
      <c r="U459" s="134" t="inlineStr">
        <is>
          <t>11 1.34%</t>
        </is>
      </c>
    </row>
    <row customHeight="1" ht="17" r="460" s="155">
      <c r="A460" s="105" t="n">
        <v>43788</v>
      </c>
      <c r="B460" s="134" t="n">
        <v>1177.48</v>
      </c>
      <c r="C460" s="152" t="n">
        <v>7.023</v>
      </c>
      <c r="D460" s="153" t="n">
        <v>0.006</v>
      </c>
      <c r="E460" s="134" t="n">
        <v>112.465</v>
      </c>
      <c r="F460" s="134" t="n">
        <v>108.81</v>
      </c>
      <c r="G460" s="134" t="n">
        <v>91.28</v>
      </c>
      <c r="H460" s="134" t="n">
        <v>139.77</v>
      </c>
      <c r="I460" s="104" t="n">
        <v>0.273</v>
      </c>
      <c r="J460" s="104" t="n">
        <v>0.1882</v>
      </c>
      <c r="K460" s="104" t="n">
        <v>0.0049</v>
      </c>
      <c r="L460" s="134" t="n">
        <v>50.63</v>
      </c>
      <c r="M460" s="134" t="n">
        <v>3312.72</v>
      </c>
      <c r="N460" s="104" t="n">
        <v>0.0153</v>
      </c>
      <c r="O460" s="134" t="n">
        <v>182</v>
      </c>
      <c r="P460" s="134" t="n">
        <v>0</v>
      </c>
      <c r="Q460" s="134" t="inlineStr">
        <is>
          <t>24 0.07%</t>
        </is>
      </c>
      <c r="R460" s="134" t="inlineStr">
        <is>
          <t>74 0.34%</t>
        </is>
      </c>
      <c r="S460" s="134" t="inlineStr">
        <is>
          <t>45 0.85%</t>
        </is>
      </c>
      <c r="T460" s="134" t="inlineStr">
        <is>
          <t>28 1.11%</t>
        </is>
      </c>
      <c r="U460" s="134" t="inlineStr">
        <is>
          <t>11 1.23%</t>
        </is>
      </c>
    </row>
    <row customHeight="1" ht="17" r="461" s="155">
      <c r="A461" s="105" t="n">
        <v>43789</v>
      </c>
      <c r="B461" s="134" t="n">
        <v>1176.515</v>
      </c>
      <c r="C461" s="150" t="n">
        <v>-0.965</v>
      </c>
      <c r="D461" s="151" t="n">
        <v>-0.0008</v>
      </c>
      <c r="E461" s="134" t="n">
        <v>112.356</v>
      </c>
      <c r="F461" s="134" t="n">
        <v>108.85</v>
      </c>
      <c r="G461" s="134" t="n">
        <v>90.55</v>
      </c>
      <c r="H461" s="134" t="n">
        <v>140.54</v>
      </c>
      <c r="I461" s="104" t="n">
        <v>0.2819</v>
      </c>
      <c r="J461" s="104" t="n">
        <v>0.1962</v>
      </c>
      <c r="K461" s="104" t="n">
        <v>0.0053</v>
      </c>
      <c r="L461" s="134" t="n">
        <v>40.18</v>
      </c>
      <c r="M461" s="134" t="n">
        <v>3312.06</v>
      </c>
      <c r="N461" s="104" t="n">
        <v>0.0121</v>
      </c>
      <c r="O461" s="134" t="n">
        <v>182</v>
      </c>
      <c r="P461" s="134" t="n">
        <v>0</v>
      </c>
      <c r="Q461" s="134" t="inlineStr">
        <is>
          <t>24 -0.12%</t>
        </is>
      </c>
      <c r="R461" s="134" t="inlineStr">
        <is>
          <t>73 0.04%</t>
        </is>
      </c>
      <c r="S461" s="134" t="inlineStr">
        <is>
          <t>49 -0.34%</t>
        </is>
      </c>
      <c r="T461" s="134" t="inlineStr">
        <is>
          <t>24 -0.32%</t>
        </is>
      </c>
      <c r="U461" s="134" t="inlineStr">
        <is>
          <t>12 0.79%</t>
        </is>
      </c>
    </row>
    <row customHeight="1" ht="17" r="462" s="155">
      <c r="A462" s="105" t="n">
        <v>43790</v>
      </c>
      <c r="B462" s="134" t="n">
        <v>1173.333</v>
      </c>
      <c r="C462" s="150" t="n">
        <v>-3.182</v>
      </c>
      <c r="D462" s="151" t="n">
        <v>-0.0027</v>
      </c>
      <c r="E462" s="134" t="n">
        <v>112.056</v>
      </c>
      <c r="F462" s="134" t="n">
        <v>108.362</v>
      </c>
      <c r="G462" s="134" t="n">
        <v>90.26000000000001</v>
      </c>
      <c r="H462" s="134" t="n">
        <v>139.87</v>
      </c>
      <c r="I462" s="104" t="n">
        <v>0.2781</v>
      </c>
      <c r="J462" s="104" t="n">
        <v>0.193</v>
      </c>
      <c r="K462" s="104" t="n">
        <v>0.006</v>
      </c>
      <c r="L462" s="134" t="n">
        <v>33.27</v>
      </c>
      <c r="M462" s="134" t="n">
        <v>3310.74</v>
      </c>
      <c r="N462" s="104" t="n">
        <v>0.0101</v>
      </c>
      <c r="O462" s="134" t="n">
        <v>182</v>
      </c>
      <c r="P462" s="134" t="n">
        <v>0</v>
      </c>
      <c r="Q462" s="134" t="inlineStr">
        <is>
          <t>27 -0.39%</t>
        </is>
      </c>
      <c r="R462" s="134" t="inlineStr">
        <is>
          <t>72 -0.10%</t>
        </is>
      </c>
      <c r="S462" s="134" t="inlineStr">
        <is>
          <t>45 -0.24%</t>
        </is>
      </c>
      <c r="T462" s="134" t="inlineStr">
        <is>
          <t>25 -0.37%</t>
        </is>
      </c>
      <c r="U462" s="134" t="inlineStr">
        <is>
          <t>13 0.02%</t>
        </is>
      </c>
    </row>
    <row customHeight="1" ht="17" r="463" s="155">
      <c r="A463" s="105" t="n">
        <v>43791</v>
      </c>
      <c r="B463" s="134" t="n">
        <v>1169.703</v>
      </c>
      <c r="C463" s="150" t="n">
        <v>-3.63</v>
      </c>
      <c r="D463" s="151" t="n">
        <v>-0.0031</v>
      </c>
      <c r="E463" s="134" t="n">
        <v>111.26</v>
      </c>
      <c r="F463" s="134" t="n">
        <v>108.05</v>
      </c>
      <c r="G463" s="134" t="n">
        <v>89.36</v>
      </c>
      <c r="H463" s="134" t="n">
        <v>139.64</v>
      </c>
      <c r="I463" s="104" t="n">
        <v>0.2838</v>
      </c>
      <c r="J463" s="104" t="n">
        <v>0.2031</v>
      </c>
      <c r="K463" s="104" t="n">
        <v>0.0072</v>
      </c>
      <c r="L463" s="134" t="n">
        <v>37.9</v>
      </c>
      <c r="M463" s="134" t="n">
        <v>3319.53</v>
      </c>
      <c r="N463" s="104" t="n">
        <v>0.0114</v>
      </c>
      <c r="O463" s="134" t="n">
        <v>184</v>
      </c>
      <c r="P463" s="134" t="n">
        <v>0</v>
      </c>
      <c r="Q463" s="134" t="inlineStr">
        <is>
          <t>30 -0.15%</t>
        </is>
      </c>
      <c r="R463" s="134" t="inlineStr">
        <is>
          <t>74 -0.02%</t>
        </is>
      </c>
      <c r="S463" s="134" t="inlineStr">
        <is>
          <t>45 0.09%</t>
        </is>
      </c>
      <c r="T463" s="134" t="inlineStr">
        <is>
          <t>27 -0.90%</t>
        </is>
      </c>
      <c r="U463" s="134" t="inlineStr">
        <is>
          <t>8 -1.73%</t>
        </is>
      </c>
    </row>
    <row customHeight="1" ht="17" r="464" s="155">
      <c r="A464" s="105" t="n">
        <v>43794</v>
      </c>
      <c r="B464" s="134" t="n">
        <v>1168.484</v>
      </c>
      <c r="C464" s="150" t="n">
        <v>-1.219</v>
      </c>
      <c r="D464" s="151" t="n">
        <v>-0.001</v>
      </c>
      <c r="E464" s="134" t="n">
        <v>111.058</v>
      </c>
      <c r="F464" s="134" t="n">
        <v>108.309</v>
      </c>
      <c r="G464" s="134" t="n">
        <v>89.2</v>
      </c>
      <c r="H464" s="134" t="n">
        <v>138.87</v>
      </c>
      <c r="I464" s="104" t="n">
        <v>0.2781</v>
      </c>
      <c r="J464" s="104" t="n">
        <v>0.2006</v>
      </c>
      <c r="K464" s="104" t="n">
        <v>0.0073</v>
      </c>
      <c r="L464" s="134" t="n">
        <v>31.46</v>
      </c>
      <c r="M464" s="134" t="n">
        <v>3332.49</v>
      </c>
      <c r="N464" s="104" t="n">
        <v>0.0094</v>
      </c>
      <c r="O464" s="134" t="n">
        <v>186</v>
      </c>
      <c r="P464" s="134" t="n">
        <v>0</v>
      </c>
      <c r="Q464" s="134" t="inlineStr">
        <is>
          <t>30 -0.05%</t>
        </is>
      </c>
      <c r="R464" s="134" t="inlineStr">
        <is>
          <t>77 0.19%</t>
        </is>
      </c>
      <c r="S464" s="134" t="inlineStr">
        <is>
          <t>42 -0.02%</t>
        </is>
      </c>
      <c r="T464" s="134" t="inlineStr">
        <is>
          <t>29 -0.20%</t>
        </is>
      </c>
      <c r="U464" s="134" t="inlineStr">
        <is>
          <t>8 -2.08%</t>
        </is>
      </c>
    </row>
    <row customHeight="1" ht="17" r="465" s="155">
      <c r="A465" s="105" t="n">
        <v>43795</v>
      </c>
      <c r="B465" s="134" t="n">
        <v>1169.567</v>
      </c>
      <c r="C465" s="152" t="n">
        <v>1.083</v>
      </c>
      <c r="D465" s="153" t="n">
        <v>0.0009</v>
      </c>
      <c r="E465" s="134" t="n">
        <v>111.153</v>
      </c>
      <c r="F465" s="134" t="n">
        <v>108.03</v>
      </c>
      <c r="G465" s="134" t="n">
        <v>89.5</v>
      </c>
      <c r="H465" s="134" t="n">
        <v>138.82</v>
      </c>
      <c r="I465" s="104" t="n">
        <v>0.2767</v>
      </c>
      <c r="J465" s="104" t="n">
        <v>0.2</v>
      </c>
      <c r="K465" s="104" t="n">
        <v>0.0073</v>
      </c>
      <c r="L465" s="134" t="n">
        <v>35.03</v>
      </c>
      <c r="M465" s="134" t="n">
        <v>3335.83</v>
      </c>
      <c r="N465" s="104" t="n">
        <v>0.0105</v>
      </c>
      <c r="O465" s="134" t="n">
        <v>187</v>
      </c>
      <c r="P465" s="134" t="inlineStr">
        <is>
          <t>1 -1.08%</t>
        </is>
      </c>
      <c r="Q465" s="134" t="inlineStr">
        <is>
          <t>29 0.09%</t>
        </is>
      </c>
      <c r="R465" s="134" t="inlineStr">
        <is>
          <t>76 0.01%</t>
        </is>
      </c>
      <c r="S465" s="134" t="inlineStr">
        <is>
          <t>45 0.20%</t>
        </is>
      </c>
      <c r="T465" s="134" t="inlineStr">
        <is>
          <t>28 0.22%</t>
        </is>
      </c>
      <c r="U465" s="134" t="inlineStr">
        <is>
          <t>8 0.02%</t>
        </is>
      </c>
    </row>
    <row customHeight="1" ht="17" r="466" s="155">
      <c r="A466" s="105" t="n">
        <v>43796</v>
      </c>
      <c r="B466" s="134" t="n">
        <v>1169.011</v>
      </c>
      <c r="C466" s="150" t="n">
        <v>-0.556</v>
      </c>
      <c r="D466" s="151" t="n">
        <v>-0.0005</v>
      </c>
      <c r="E466" s="134" t="n">
        <v>111.094</v>
      </c>
      <c r="F466" s="134" t="n">
        <v>108.5</v>
      </c>
      <c r="G466" s="134" t="n">
        <v>90.5</v>
      </c>
      <c r="H466" s="134" t="n">
        <v>138.97</v>
      </c>
      <c r="I466" s="104" t="n">
        <v>0.2788</v>
      </c>
      <c r="J466" s="104" t="n">
        <v>0.2046</v>
      </c>
      <c r="K466" s="104" t="n">
        <v>0.0075</v>
      </c>
      <c r="L466" s="134" t="n">
        <v>29.08</v>
      </c>
      <c r="M466" s="134" t="n">
        <v>3333.24</v>
      </c>
      <c r="N466" s="104" t="n">
        <v>0.008699999999999999</v>
      </c>
      <c r="O466" s="134" t="n">
        <v>187</v>
      </c>
      <c r="P466" s="134" t="inlineStr">
        <is>
          <t>1 -0.14%</t>
        </is>
      </c>
      <c r="Q466" s="134" t="inlineStr">
        <is>
          <t>31 -0.19%</t>
        </is>
      </c>
      <c r="R466" s="134" t="inlineStr">
        <is>
          <t>75 -0.08%</t>
        </is>
      </c>
      <c r="S466" s="134" t="inlineStr">
        <is>
          <t>45 0.06%</t>
        </is>
      </c>
      <c r="T466" s="134" t="inlineStr">
        <is>
          <t>25 0.10%</t>
        </is>
      </c>
      <c r="U466" s="134" t="inlineStr">
        <is>
          <t>10 -0.22%</t>
        </is>
      </c>
    </row>
    <row customHeight="1" ht="17" r="467" s="155">
      <c r="A467" s="105" t="n">
        <v>43797</v>
      </c>
      <c r="B467" s="134" t="n">
        <v>1166.504</v>
      </c>
      <c r="C467" s="150" t="n">
        <v>-2.507</v>
      </c>
      <c r="D467" s="151" t="n">
        <v>-0.0021</v>
      </c>
      <c r="E467" s="134" t="n">
        <v>110.821</v>
      </c>
      <c r="F467" s="134" t="n">
        <v>108.225</v>
      </c>
      <c r="G467" s="134" t="n">
        <v>89.02</v>
      </c>
      <c r="H467" s="134" t="n">
        <v>138.95</v>
      </c>
      <c r="I467" s="104" t="n">
        <v>0.2813</v>
      </c>
      <c r="J467" s="104" t="n">
        <v>0.2022</v>
      </c>
      <c r="K467" s="104" t="n">
        <v>0.0081</v>
      </c>
      <c r="L467" s="134" t="n">
        <v>26.7</v>
      </c>
      <c r="M467" s="134" t="n">
        <v>3303.54</v>
      </c>
      <c r="N467" s="104" t="n">
        <v>0.0081</v>
      </c>
      <c r="O467" s="134" t="n">
        <v>186</v>
      </c>
      <c r="P467" s="134" t="inlineStr">
        <is>
          <t>1 -0.46%</t>
        </is>
      </c>
      <c r="Q467" s="134" t="inlineStr">
        <is>
          <t>31 -0.27%</t>
        </is>
      </c>
      <c r="R467" s="134" t="inlineStr">
        <is>
          <t>75 -0.10%</t>
        </is>
      </c>
      <c r="S467" s="134" t="inlineStr">
        <is>
          <t>45 -0.23%</t>
        </is>
      </c>
      <c r="T467" s="134" t="inlineStr">
        <is>
          <t>24 -0.33%</t>
        </is>
      </c>
      <c r="U467" s="134" t="inlineStr">
        <is>
          <t>10 0.34%</t>
        </is>
      </c>
    </row>
    <row customHeight="1" ht="17" r="468" s="155">
      <c r="A468" s="105" t="n">
        <v>43798</v>
      </c>
      <c r="B468" s="134" t="n">
        <v>1165.179</v>
      </c>
      <c r="C468" s="150" t="n">
        <v>-1.325</v>
      </c>
      <c r="D468" s="151" t="n">
        <v>-0.0011</v>
      </c>
      <c r="E468" s="134" t="n">
        <v>110.656</v>
      </c>
      <c r="F468" s="134" t="n">
        <v>107.8</v>
      </c>
      <c r="G468" s="134" t="n">
        <v>90.29000000000001</v>
      </c>
      <c r="H468" s="134" t="n">
        <v>138.29</v>
      </c>
      <c r="I468" s="104" t="n">
        <v>0.2763</v>
      </c>
      <c r="J468" s="104" t="n">
        <v>0.1988</v>
      </c>
      <c r="K468" s="104" t="n">
        <v>0.008399999999999999</v>
      </c>
      <c r="L468" s="134" t="n">
        <v>28.2</v>
      </c>
      <c r="M468" s="134" t="n">
        <v>3344.69</v>
      </c>
      <c r="N468" s="104" t="n">
        <v>0.008399999999999999</v>
      </c>
      <c r="O468" s="134" t="n">
        <v>189</v>
      </c>
      <c r="P468" s="134" t="inlineStr">
        <is>
          <t>1 0.42%</t>
        </is>
      </c>
      <c r="Q468" s="134" t="inlineStr">
        <is>
          <t>32 -0.13%</t>
        </is>
      </c>
      <c r="R468" s="134" t="inlineStr">
        <is>
          <t>76 -0.05%</t>
        </is>
      </c>
      <c r="S468" s="134" t="inlineStr">
        <is>
          <t>47 -0.14%</t>
        </is>
      </c>
      <c r="T468" s="134" t="inlineStr">
        <is>
          <t>24 -0.08%</t>
        </is>
      </c>
      <c r="U468" s="134" t="inlineStr">
        <is>
          <t>9 -0.56%</t>
        </is>
      </c>
    </row>
    <row customHeight="1" ht="17" r="469" s="155">
      <c r="A469" s="105" t="n">
        <v>43801</v>
      </c>
      <c r="B469" s="134" t="n">
        <v>1164.624</v>
      </c>
      <c r="C469" s="150" t="n">
        <v>-0.555</v>
      </c>
      <c r="D469" s="151" t="n">
        <v>-0.0005</v>
      </c>
      <c r="E469" s="134" t="n">
        <v>110.551</v>
      </c>
      <c r="F469" s="134" t="n">
        <v>107.8</v>
      </c>
      <c r="G469" s="134" t="n">
        <v>90.86</v>
      </c>
      <c r="H469" s="134" t="n">
        <v>138.2</v>
      </c>
      <c r="I469" s="104" t="n">
        <v>0.2765</v>
      </c>
      <c r="J469" s="104" t="n">
        <v>0.1927</v>
      </c>
      <c r="K469" s="104" t="n">
        <v>0.0086</v>
      </c>
      <c r="L469" s="134" t="n">
        <v>24.47</v>
      </c>
      <c r="M469" s="134" t="n">
        <v>3344.16</v>
      </c>
      <c r="N469" s="104" t="n">
        <v>0.0073</v>
      </c>
      <c r="O469" s="134" t="n">
        <v>189</v>
      </c>
      <c r="P469" s="134" t="inlineStr">
        <is>
          <t>1 -0.02%</t>
        </is>
      </c>
      <c r="Q469" s="134" t="inlineStr">
        <is>
          <t>34 -0.05%</t>
        </is>
      </c>
      <c r="R469" s="134" t="inlineStr">
        <is>
          <t>73 -0.04%</t>
        </is>
      </c>
      <c r="S469" s="134" t="inlineStr">
        <is>
          <t>49 0.30%</t>
        </is>
      </c>
      <c r="T469" s="134" t="inlineStr">
        <is>
          <t>22 0.14%</t>
        </is>
      </c>
      <c r="U469" s="134" t="inlineStr">
        <is>
          <t>10 -0.84%</t>
        </is>
      </c>
    </row>
    <row customHeight="1" ht="17" r="470" s="155">
      <c r="A470" s="105" t="n">
        <v>43802</v>
      </c>
      <c r="B470" s="134" t="n">
        <v>1166.318</v>
      </c>
      <c r="C470" s="152" t="n">
        <v>1.694</v>
      </c>
      <c r="D470" s="153" t="n">
        <v>0.0015</v>
      </c>
      <c r="E470" s="134" t="n">
        <v>110.759</v>
      </c>
      <c r="F470" s="134" t="n">
        <v>108.07</v>
      </c>
      <c r="G470" s="134" t="n">
        <v>90.78</v>
      </c>
      <c r="H470" s="134" t="n">
        <v>137.76</v>
      </c>
      <c r="I470" s="104" t="n">
        <v>0.27</v>
      </c>
      <c r="J470" s="104" t="n">
        <v>0.1893</v>
      </c>
      <c r="K470" s="104" t="n">
        <v>0.0083</v>
      </c>
      <c r="L470" s="134" t="n">
        <v>31.06</v>
      </c>
      <c r="M470" s="134" t="n">
        <v>3383.24</v>
      </c>
      <c r="N470" s="104" t="n">
        <v>0.0092</v>
      </c>
      <c r="O470" s="134" t="n">
        <v>190</v>
      </c>
      <c r="P470" s="134" t="inlineStr">
        <is>
          <t>1 -0.30%</t>
        </is>
      </c>
      <c r="Q470" s="134" t="inlineStr">
        <is>
          <t>34 -0.05%</t>
        </is>
      </c>
      <c r="R470" s="134" t="inlineStr">
        <is>
          <t>73 0.17%</t>
        </is>
      </c>
      <c r="S470" s="134" t="inlineStr">
        <is>
          <t>51 -0.02%</t>
        </is>
      </c>
      <c r="T470" s="134" t="inlineStr">
        <is>
          <t>21 0.09%</t>
        </is>
      </c>
      <c r="U470" s="134" t="inlineStr">
        <is>
          <t>10 1.60%</t>
        </is>
      </c>
    </row>
    <row customHeight="1" ht="17" r="471" s="155">
      <c r="A471" s="105" t="n">
        <v>43803</v>
      </c>
      <c r="B471" s="134" t="n">
        <v>1168.066</v>
      </c>
      <c r="C471" s="152" t="n">
        <v>1.748</v>
      </c>
      <c r="D471" s="153" t="n">
        <v>0.0015</v>
      </c>
      <c r="E471" s="134" t="n">
        <v>110.926</v>
      </c>
      <c r="F471" s="134" t="n">
        <v>108.418</v>
      </c>
      <c r="G471" s="134" t="n">
        <v>91.7</v>
      </c>
      <c r="H471" s="134" t="n">
        <v>137.58</v>
      </c>
      <c r="I471" s="104" t="n">
        <v>0.2665</v>
      </c>
      <c r="J471" s="104" t="n">
        <v>0.189</v>
      </c>
      <c r="K471" s="104" t="n">
        <v>0.007900000000000001</v>
      </c>
      <c r="L471" s="134" t="n">
        <v>32.84</v>
      </c>
      <c r="M471" s="134" t="n">
        <v>3373.63</v>
      </c>
      <c r="N471" s="104" t="n">
        <v>0.0097</v>
      </c>
      <c r="O471" s="134" t="n">
        <v>189</v>
      </c>
      <c r="P471" s="134" t="n">
        <v>0</v>
      </c>
      <c r="Q471" s="134" t="inlineStr">
        <is>
          <t>35 0.11%</t>
        </is>
      </c>
      <c r="R471" s="134" t="inlineStr">
        <is>
          <t>69 0.05%</t>
        </is>
      </c>
      <c r="S471" s="134" t="inlineStr">
        <is>
          <t>53 0.25%</t>
        </is>
      </c>
      <c r="T471" s="134" t="inlineStr">
        <is>
          <t>21 0.42%</t>
        </is>
      </c>
      <c r="U471" s="134" t="inlineStr">
        <is>
          <t>11 -0.12%</t>
        </is>
      </c>
    </row>
    <row customHeight="1" ht="17" r="472" s="155">
      <c r="A472" s="105" t="n">
        <v>43804</v>
      </c>
      <c r="B472" s="134" t="n">
        <v>1173.745</v>
      </c>
      <c r="C472" s="152" t="n">
        <v>5.679</v>
      </c>
      <c r="D472" s="153" t="n">
        <v>0.0049</v>
      </c>
      <c r="E472" s="134" t="n">
        <v>111.479</v>
      </c>
      <c r="F472" s="134" t="n">
        <v>108.601</v>
      </c>
      <c r="G472" s="134" t="n">
        <v>92.38</v>
      </c>
      <c r="H472" s="134" t="n">
        <v>137.46</v>
      </c>
      <c r="I472" s="104" t="n">
        <v>0.2598</v>
      </c>
      <c r="J472" s="104" t="n">
        <v>0.182</v>
      </c>
      <c r="K472" s="104" t="n">
        <v>0.007</v>
      </c>
      <c r="L472" s="134" t="n">
        <v>41.16</v>
      </c>
      <c r="M472" s="134" t="n">
        <v>3378.47</v>
      </c>
      <c r="N472" s="104" t="n">
        <v>0.0122</v>
      </c>
      <c r="O472" s="134" t="n">
        <v>190</v>
      </c>
      <c r="P472" s="134" t="n">
        <v>0</v>
      </c>
      <c r="Q472" s="134" t="inlineStr">
        <is>
          <t>34 0.13%</t>
        </is>
      </c>
      <c r="R472" s="134" t="inlineStr">
        <is>
          <t>70 0.28%</t>
        </is>
      </c>
      <c r="S472" s="134" t="inlineStr">
        <is>
          <t>52 0.58%</t>
        </is>
      </c>
      <c r="T472" s="134" t="inlineStr">
        <is>
          <t>21 1.09%</t>
        </is>
      </c>
      <c r="U472" s="134" t="inlineStr">
        <is>
          <t>13 1.21%</t>
        </is>
      </c>
    </row>
    <row customHeight="1" ht="17" r="473" s="155">
      <c r="A473" s="105" t="n">
        <v>43805</v>
      </c>
      <c r="B473" s="134" t="n">
        <v>1177.823</v>
      </c>
      <c r="C473" s="152" t="n">
        <v>4.078</v>
      </c>
      <c r="D473" s="153" t="n">
        <v>0.0035</v>
      </c>
      <c r="E473" s="134" t="n">
        <v>111.894</v>
      </c>
      <c r="F473" s="134" t="n">
        <v>108.983</v>
      </c>
      <c r="G473" s="134" t="n">
        <v>92.95</v>
      </c>
      <c r="H473" s="134" t="n">
        <v>137.38</v>
      </c>
      <c r="I473" s="104" t="n">
        <v>0.2549</v>
      </c>
      <c r="J473" s="104" t="n">
        <v>0.178</v>
      </c>
      <c r="K473" s="104" t="n">
        <v>0.0063</v>
      </c>
      <c r="L473" s="134" t="n">
        <v>36.57</v>
      </c>
      <c r="M473" s="134" t="n">
        <v>3374.5</v>
      </c>
      <c r="N473" s="104" t="n">
        <v>0.0108</v>
      </c>
      <c r="O473" s="134" t="n">
        <v>190</v>
      </c>
      <c r="P473" s="134" t="n">
        <v>0</v>
      </c>
      <c r="Q473" s="134" t="inlineStr">
        <is>
          <t>32 0.11%</t>
        </is>
      </c>
      <c r="R473" s="134" t="inlineStr">
        <is>
          <t>71 0.14%</t>
        </is>
      </c>
      <c r="S473" s="134" t="inlineStr">
        <is>
          <t>52 0.47%</t>
        </is>
      </c>
      <c r="T473" s="134" t="inlineStr">
        <is>
          <t>22 0.67%</t>
        </is>
      </c>
      <c r="U473" s="134" t="inlineStr">
        <is>
          <t>13 1.07%</t>
        </is>
      </c>
    </row>
    <row customHeight="1" ht="17" r="474" s="155">
      <c r="A474" s="105" t="n">
        <v>43808</v>
      </c>
      <c r="B474" s="134" t="n">
        <v>1179.771</v>
      </c>
      <c r="C474" s="152" t="n">
        <v>1.948</v>
      </c>
      <c r="D474" s="153" t="n">
        <v>0.0017</v>
      </c>
      <c r="E474" s="134" t="n">
        <v>112.08</v>
      </c>
      <c r="F474" s="134" t="n">
        <v>109.185</v>
      </c>
      <c r="G474" s="134" t="n">
        <v>92.88</v>
      </c>
      <c r="H474" s="134" t="n">
        <v>137.61</v>
      </c>
      <c r="I474" s="104" t="n">
        <v>0.2553</v>
      </c>
      <c r="J474" s="104" t="n">
        <v>0.1745</v>
      </c>
      <c r="K474" s="104" t="n">
        <v>0.0061</v>
      </c>
      <c r="L474" s="134" t="n">
        <v>35.54</v>
      </c>
      <c r="M474" s="134" t="n">
        <v>3370.75</v>
      </c>
      <c r="N474" s="104" t="n">
        <v>0.0105</v>
      </c>
      <c r="O474" s="134" t="n">
        <v>190</v>
      </c>
      <c r="P474" s="134" t="inlineStr">
        <is>
          <t>1 -0.03%</t>
        </is>
      </c>
      <c r="Q474" s="134" t="inlineStr">
        <is>
          <t>31 0.05%</t>
        </is>
      </c>
      <c r="R474" s="134" t="inlineStr">
        <is>
          <t>72 0.18%</t>
        </is>
      </c>
      <c r="S474" s="134" t="inlineStr">
        <is>
          <t>49 0.52%</t>
        </is>
      </c>
      <c r="T474" s="134" t="inlineStr">
        <is>
          <t>22 0.32%</t>
        </is>
      </c>
      <c r="U474" s="134" t="inlineStr">
        <is>
          <t>15 0.63%</t>
        </is>
      </c>
    </row>
    <row customHeight="1" ht="17" r="475" s="155">
      <c r="A475" s="105" t="n">
        <v>43809</v>
      </c>
      <c r="B475" s="134" t="n">
        <v>1185.001</v>
      </c>
      <c r="C475" s="152" t="n">
        <v>5.23</v>
      </c>
      <c r="D475" s="153" t="n">
        <v>0.0044</v>
      </c>
      <c r="E475" s="134" t="n">
        <v>112.615</v>
      </c>
      <c r="F475" s="134" t="n">
        <v>109.95</v>
      </c>
      <c r="G475" s="134" t="n">
        <v>92.37</v>
      </c>
      <c r="H475" s="134" t="n">
        <v>137.92</v>
      </c>
      <c r="I475" s="104" t="n">
        <v>0.2531</v>
      </c>
      <c r="J475" s="104" t="n">
        <v>0.1846</v>
      </c>
      <c r="K475" s="104" t="n">
        <v>0.0051</v>
      </c>
      <c r="L475" s="134" t="n">
        <v>54.66</v>
      </c>
      <c r="M475" s="134" t="n">
        <v>3440.5</v>
      </c>
      <c r="N475" s="104" t="n">
        <v>0.0159</v>
      </c>
      <c r="O475" s="134" t="n">
        <v>192</v>
      </c>
      <c r="P475" s="134" t="n">
        <v>0</v>
      </c>
      <c r="Q475" s="134" t="inlineStr">
        <is>
          <t>31 0.06%</t>
        </is>
      </c>
      <c r="R475" s="134" t="inlineStr">
        <is>
          <t>66 0.24%</t>
        </is>
      </c>
      <c r="S475" s="134" t="inlineStr">
        <is>
          <t>54 0.38%</t>
        </is>
      </c>
      <c r="T475" s="134" t="inlineStr">
        <is>
          <t>25 0.88%</t>
        </is>
      </c>
      <c r="U475" s="134" t="inlineStr">
        <is>
          <t>16 1.55%</t>
        </is>
      </c>
    </row>
    <row customHeight="1" ht="17" r="476" s="155">
      <c r="A476" s="105" t="n">
        <v>43810</v>
      </c>
      <c r="B476" s="134" t="n">
        <v>1187.725</v>
      </c>
      <c r="C476" s="152" t="n">
        <v>2.724</v>
      </c>
      <c r="D476" s="153" t="n">
        <v>0.0023</v>
      </c>
      <c r="E476" s="134" t="n">
        <v>112.972</v>
      </c>
      <c r="F476" s="134" t="n">
        <v>110.13</v>
      </c>
      <c r="G476" s="134" t="n">
        <v>92.33</v>
      </c>
      <c r="H476" s="134" t="n">
        <v>138.78</v>
      </c>
      <c r="I476" s="104" t="n">
        <v>0.2581</v>
      </c>
      <c r="J476" s="104" t="n">
        <v>0.1969</v>
      </c>
      <c r="K476" s="104" t="n">
        <v>0.0043</v>
      </c>
      <c r="L476" s="134" t="n">
        <v>51.83</v>
      </c>
      <c r="M476" s="134" t="n">
        <v>3430.25</v>
      </c>
      <c r="N476" s="104" t="n">
        <v>0.0151</v>
      </c>
      <c r="O476" s="134" t="n">
        <v>191</v>
      </c>
      <c r="P476" s="134" t="n">
        <v>0</v>
      </c>
      <c r="Q476" s="134" t="inlineStr">
        <is>
          <t>31 0.02%</t>
        </is>
      </c>
      <c r="R476" s="134" t="inlineStr">
        <is>
          <t>63 0.15%</t>
        </is>
      </c>
      <c r="S476" s="134" t="inlineStr">
        <is>
          <t>54 0.10%</t>
        </is>
      </c>
      <c r="T476" s="134" t="inlineStr">
        <is>
          <t>27 1.13%</t>
        </is>
      </c>
      <c r="U476" s="134" t="inlineStr">
        <is>
          <t>16 1.32%</t>
        </is>
      </c>
    </row>
    <row customHeight="1" ht="17" r="477" s="155">
      <c r="A477" s="105" t="n">
        <v>43811</v>
      </c>
      <c r="B477" s="134" t="n">
        <v>1187.87</v>
      </c>
      <c r="C477" s="152" t="n">
        <v>0.145</v>
      </c>
      <c r="D477" s="153" t="n">
        <v>0.0001</v>
      </c>
      <c r="E477" s="134" t="n">
        <v>113.025</v>
      </c>
      <c r="F477" s="134" t="n">
        <v>110.06</v>
      </c>
      <c r="G477" s="134" t="n">
        <v>92.31</v>
      </c>
      <c r="H477" s="134" t="n">
        <v>139.14</v>
      </c>
      <c r="I477" s="104" t="n">
        <v>0.2611</v>
      </c>
      <c r="J477" s="104" t="n">
        <v>0.1992</v>
      </c>
      <c r="K477" s="104" t="n">
        <v>0.0044</v>
      </c>
      <c r="L477" s="134" t="n">
        <v>45.15</v>
      </c>
      <c r="M477" s="134" t="n">
        <v>3427.2</v>
      </c>
      <c r="N477" s="104" t="n">
        <v>0.0132</v>
      </c>
      <c r="O477" s="134" t="n">
        <v>192</v>
      </c>
      <c r="P477" s="134" t="inlineStr">
        <is>
          <t>1 -0.17%</t>
        </is>
      </c>
      <c r="Q477" s="134" t="inlineStr">
        <is>
          <t>33 -0.09%</t>
        </is>
      </c>
      <c r="R477" s="134" t="inlineStr">
        <is>
          <t>62 -0.02%</t>
        </is>
      </c>
      <c r="S477" s="134" t="inlineStr">
        <is>
          <t>51 0.02%</t>
        </is>
      </c>
      <c r="T477" s="134" t="inlineStr">
        <is>
          <t>29 0.30%</t>
        </is>
      </c>
      <c r="U477" s="134" t="inlineStr">
        <is>
          <t>16 0.40%</t>
        </is>
      </c>
    </row>
    <row customHeight="1" ht="17" r="478" s="155">
      <c r="A478" s="105" t="n">
        <v>43812</v>
      </c>
      <c r="B478" s="134" t="n">
        <v>1194.419</v>
      </c>
      <c r="C478" s="152" t="n">
        <v>6.549</v>
      </c>
      <c r="D478" s="153" t="n">
        <v>0.0055</v>
      </c>
      <c r="E478" s="134" t="n">
        <v>113.595</v>
      </c>
      <c r="F478" s="134" t="n">
        <v>110.772</v>
      </c>
      <c r="G478" s="134" t="n">
        <v>93.89</v>
      </c>
      <c r="H478" s="134" t="n">
        <v>138.67</v>
      </c>
      <c r="I478" s="104" t="n">
        <v>0.2507</v>
      </c>
      <c r="J478" s="104" t="n">
        <v>0.1841</v>
      </c>
      <c r="K478" s="104" t="n">
        <v>0.0032</v>
      </c>
      <c r="L478" s="134" t="n">
        <v>56.66</v>
      </c>
      <c r="M478" s="134" t="n">
        <v>3450.04</v>
      </c>
      <c r="N478" s="104" t="n">
        <v>0.0164</v>
      </c>
      <c r="O478" s="134" t="n">
        <v>194</v>
      </c>
      <c r="P478" s="134" t="inlineStr">
        <is>
          <t>1 0.12%</t>
        </is>
      </c>
      <c r="Q478" s="134" t="inlineStr">
        <is>
          <t>30 0.27%</t>
        </is>
      </c>
      <c r="R478" s="134" t="inlineStr">
        <is>
          <t>63 0.44%</t>
        </is>
      </c>
      <c r="S478" s="134" t="inlineStr">
        <is>
          <t>53 0.67%</t>
        </is>
      </c>
      <c r="T478" s="134" t="inlineStr">
        <is>
          <t>30 0.97%</t>
        </is>
      </c>
      <c r="U478" s="134" t="inlineStr">
        <is>
          <t>17 0.38%</t>
        </is>
      </c>
    </row>
    <row customHeight="1" ht="17" r="479" s="155">
      <c r="A479" s="105" t="n">
        <v>43815</v>
      </c>
      <c r="B479" s="134" t="n">
        <v>1207.086</v>
      </c>
      <c r="C479" s="152" t="n">
        <v>12.667</v>
      </c>
      <c r="D479" s="153" t="n">
        <v>0.0106</v>
      </c>
      <c r="E479" s="134" t="n">
        <v>114.868</v>
      </c>
      <c r="F479" s="134" t="n">
        <v>112.348</v>
      </c>
      <c r="G479" s="134" t="n">
        <v>95.42</v>
      </c>
      <c r="H479" s="134" t="n">
        <v>139.08</v>
      </c>
      <c r="I479" s="104" t="n">
        <v>0.2421</v>
      </c>
      <c r="J479" s="104" t="n">
        <v>0.1746</v>
      </c>
      <c r="K479" s="104" t="n">
        <v>0.001</v>
      </c>
      <c r="L479" s="134" t="n">
        <v>64.97</v>
      </c>
      <c r="M479" s="134" t="n">
        <v>3446.37</v>
      </c>
      <c r="N479" s="104" t="n">
        <v>0.0189</v>
      </c>
      <c r="O479" s="134" t="n">
        <v>194</v>
      </c>
      <c r="P479" s="134" t="n">
        <v>0</v>
      </c>
      <c r="Q479" s="134" t="inlineStr">
        <is>
          <t>26 0.22%</t>
        </is>
      </c>
      <c r="R479" s="134" t="inlineStr">
        <is>
          <t>61 0.77%</t>
        </is>
      </c>
      <c r="S479" s="134" t="inlineStr">
        <is>
          <t>55 1.27%</t>
        </is>
      </c>
      <c r="T479" s="134" t="inlineStr">
        <is>
          <t>30 1.08%</t>
        </is>
      </c>
      <c r="U479" s="134" t="inlineStr">
        <is>
          <t>22 2.60%</t>
        </is>
      </c>
    </row>
    <row customHeight="1" ht="17" r="480" s="155">
      <c r="A480" s="105" t="n">
        <v>43816</v>
      </c>
      <c r="B480" s="134" t="n">
        <v>1217.324</v>
      </c>
      <c r="C480" s="152" t="n">
        <v>10.238</v>
      </c>
      <c r="D480" s="153" t="n">
        <v>0.008500000000000001</v>
      </c>
      <c r="E480" s="134" t="n">
        <v>114.969</v>
      </c>
      <c r="F480" s="134" t="n">
        <v>113.11</v>
      </c>
      <c r="G480" s="134" t="n">
        <v>96.06999999999999</v>
      </c>
      <c r="H480" s="134" t="n">
        <v>138.73</v>
      </c>
      <c r="I480" s="104" t="n">
        <v>0.2376</v>
      </c>
      <c r="J480" s="104" t="n">
        <v>0.1782</v>
      </c>
      <c r="K480" s="104" t="n">
        <v>0.0005</v>
      </c>
      <c r="L480" s="134" t="n">
        <v>86.2</v>
      </c>
      <c r="M480" s="134" t="n">
        <v>3469.16</v>
      </c>
      <c r="N480" s="104" t="n">
        <v>0.0248</v>
      </c>
      <c r="O480" s="134" t="n">
        <v>192</v>
      </c>
      <c r="P480" s="134" t="n">
        <v>0</v>
      </c>
      <c r="Q480" s="134" t="inlineStr">
        <is>
          <t>24 0.36%</t>
        </is>
      </c>
      <c r="R480" s="134" t="inlineStr">
        <is>
          <t>59 0.63%</t>
        </is>
      </c>
      <c r="S480" s="134" t="inlineStr">
        <is>
          <t>56 0.95%</t>
        </is>
      </c>
      <c r="T480" s="134" t="inlineStr">
        <is>
          <t>32 1.26%</t>
        </is>
      </c>
      <c r="U480" s="134" t="inlineStr">
        <is>
          <t>21 1.12%</t>
        </is>
      </c>
    </row>
    <row customHeight="1" ht="17" r="481" s="155">
      <c r="A481" s="105" t="n">
        <v>43817</v>
      </c>
      <c r="B481" s="134" t="n">
        <v>1221.315</v>
      </c>
      <c r="C481" s="152" t="n">
        <v>3.991</v>
      </c>
      <c r="D481" s="153" t="n">
        <v>0.0033</v>
      </c>
      <c r="E481" s="134" t="n">
        <v>116.128</v>
      </c>
      <c r="F481" s="134" t="n">
        <v>113.496</v>
      </c>
      <c r="G481" s="134" t="n">
        <v>96.52</v>
      </c>
      <c r="H481" s="134" t="n">
        <v>139.56</v>
      </c>
      <c r="I481" s="104" t="n">
        <v>0.2343</v>
      </c>
      <c r="J481" s="104" t="n">
        <v>0.1713</v>
      </c>
      <c r="K481" s="104" t="n">
        <v>-0.0012</v>
      </c>
      <c r="L481" s="134" t="n">
        <v>65.01000000000001</v>
      </c>
      <c r="M481" s="134" t="n">
        <v>3470.81</v>
      </c>
      <c r="N481" s="104" t="n">
        <v>0.0187</v>
      </c>
      <c r="O481" s="134" t="n">
        <v>194</v>
      </c>
      <c r="P481" s="134" t="n">
        <v>0</v>
      </c>
      <c r="Q481" s="134" t="inlineStr">
        <is>
          <t>24 0.08%</t>
        </is>
      </c>
      <c r="R481" s="134" t="inlineStr">
        <is>
          <t>56 0.22%</t>
        </is>
      </c>
      <c r="S481" s="134" t="inlineStr">
        <is>
          <t>59 0.23%</t>
        </is>
      </c>
      <c r="T481" s="134" t="inlineStr">
        <is>
          <t>31 0.13%</t>
        </is>
      </c>
      <c r="U481" s="134" t="inlineStr">
        <is>
          <t>24 1.31%</t>
        </is>
      </c>
    </row>
    <row customHeight="1" ht="17" r="482" s="155">
      <c r="A482" s="105" t="n">
        <v>43818</v>
      </c>
      <c r="B482" s="134" t="n">
        <v>1220.577</v>
      </c>
      <c r="C482" s="150" t="n">
        <v>-0.738</v>
      </c>
      <c r="D482" s="151" t="n">
        <v>-0.0005999999999999999</v>
      </c>
      <c r="E482" s="134" t="n">
        <v>116.011</v>
      </c>
      <c r="F482" s="134" t="n">
        <v>113.255</v>
      </c>
      <c r="G482" s="134" t="n">
        <v>97.44</v>
      </c>
      <c r="H482" s="134" t="n">
        <v>138.57</v>
      </c>
      <c r="I482" s="104" t="n">
        <v>0.2256</v>
      </c>
      <c r="J482" s="104" t="n">
        <v>0.1603</v>
      </c>
      <c r="K482" s="104" t="n">
        <v>-0.0011</v>
      </c>
      <c r="L482" s="134" t="n">
        <v>52.05</v>
      </c>
      <c r="M482" s="134" t="n">
        <v>3469.36</v>
      </c>
      <c r="N482" s="104" t="n">
        <v>0.015</v>
      </c>
      <c r="O482" s="134" t="n">
        <v>194</v>
      </c>
      <c r="P482" s="134" t="n">
        <v>0</v>
      </c>
      <c r="Q482" s="134" t="inlineStr">
        <is>
          <t>21 -0.04%</t>
        </is>
      </c>
      <c r="R482" s="134" t="inlineStr">
        <is>
          <t>59 0.16%</t>
        </is>
      </c>
      <c r="S482" s="134" t="inlineStr">
        <is>
          <t>58 -0.03%</t>
        </is>
      </c>
      <c r="T482" s="134" t="inlineStr">
        <is>
          <t>32 0.29%</t>
        </is>
      </c>
      <c r="U482" s="134" t="inlineStr">
        <is>
          <t>24 -0.29%</t>
        </is>
      </c>
    </row>
    <row customHeight="1" ht="17" r="483" s="155">
      <c r="A483" s="105" t="n">
        <v>43819</v>
      </c>
      <c r="B483" s="134" t="n">
        <v>1219.152</v>
      </c>
      <c r="C483" s="150" t="n">
        <v>-1.425</v>
      </c>
      <c r="D483" s="151" t="n">
        <v>-0.0012</v>
      </c>
      <c r="E483" s="134" t="n">
        <v>115.872</v>
      </c>
      <c r="F483" s="134" t="n">
        <v>113.26</v>
      </c>
      <c r="G483" s="134" t="n">
        <v>96.06999999999999</v>
      </c>
      <c r="H483" s="134" t="n">
        <v>139.19</v>
      </c>
      <c r="I483" s="104" t="n">
        <v>0.2332</v>
      </c>
      <c r="J483" s="104" t="n">
        <v>0.1761</v>
      </c>
      <c r="K483" s="104" t="n">
        <v>-0.0008</v>
      </c>
      <c r="L483" s="134" t="n">
        <v>55.88</v>
      </c>
      <c r="M483" s="134" t="n">
        <v>3470</v>
      </c>
      <c r="N483" s="104" t="n">
        <v>0.0161</v>
      </c>
      <c r="O483" s="134" t="n">
        <v>195</v>
      </c>
      <c r="P483" s="134" t="n">
        <v>0</v>
      </c>
      <c r="Q483" s="134" t="inlineStr">
        <is>
          <t>20 0.08%</t>
        </is>
      </c>
      <c r="R483" s="134" t="inlineStr">
        <is>
          <t>61 -0.09%</t>
        </is>
      </c>
      <c r="S483" s="134" t="inlineStr">
        <is>
          <t>57 -0.15%</t>
        </is>
      </c>
      <c r="T483" s="134" t="inlineStr">
        <is>
          <t>32 -0.20%</t>
        </is>
      </c>
      <c r="U483" s="134" t="inlineStr">
        <is>
          <t>25 -0.16%</t>
        </is>
      </c>
    </row>
    <row customHeight="1" ht="17" r="484" s="155">
      <c r="A484" s="105" t="n">
        <v>43822</v>
      </c>
      <c r="B484" s="134" t="n">
        <v>1210.144</v>
      </c>
      <c r="C484" s="150" t="n">
        <v>-9.007999999999999</v>
      </c>
      <c r="D484" s="151" t="n">
        <v>-0.0074</v>
      </c>
      <c r="E484" s="134" t="n">
        <v>114.984</v>
      </c>
      <c r="F484" s="134" t="n">
        <v>112.289</v>
      </c>
      <c r="G484" s="134" t="n">
        <v>94.48999999999999</v>
      </c>
      <c r="H484" s="134" t="n">
        <v>139.74</v>
      </c>
      <c r="I484" s="104" t="n">
        <v>0.2475</v>
      </c>
      <c r="J484" s="104" t="n">
        <v>0.1859</v>
      </c>
      <c r="K484" s="104" t="n">
        <v>0.0008</v>
      </c>
      <c r="L484" s="134" t="n">
        <v>40.81</v>
      </c>
      <c r="M484" s="134" t="n">
        <v>3469.08</v>
      </c>
      <c r="N484" s="104" t="n">
        <v>0.0118</v>
      </c>
      <c r="O484" s="134" t="n">
        <v>195</v>
      </c>
      <c r="P484" s="134" t="n">
        <v>0</v>
      </c>
      <c r="Q484" s="134" t="inlineStr">
        <is>
          <t>24 -0.36%</t>
        </is>
      </c>
      <c r="R484" s="134" t="inlineStr">
        <is>
          <t>62 -0.81%</t>
        </is>
      </c>
      <c r="S484" s="134" t="inlineStr">
        <is>
          <t>55 -0.87%</t>
        </is>
      </c>
      <c r="T484" s="134" t="inlineStr">
        <is>
          <t>33 -0.41%</t>
        </is>
      </c>
      <c r="U484" s="134" t="inlineStr">
        <is>
          <t>21 -1.14%</t>
        </is>
      </c>
    </row>
    <row customHeight="1" ht="17" r="485" s="155">
      <c r="A485" s="105" t="n">
        <v>43823</v>
      </c>
      <c r="B485" s="134" t="n">
        <v>1221.213</v>
      </c>
      <c r="C485" s="152" t="n">
        <v>11.069</v>
      </c>
      <c r="D485" s="153" t="n">
        <v>0.0092</v>
      </c>
      <c r="E485" s="134" t="n">
        <v>116.068</v>
      </c>
      <c r="F485" s="134" t="n">
        <v>113.1</v>
      </c>
      <c r="G485" s="134" t="n">
        <v>96.34</v>
      </c>
      <c r="H485" s="134" t="n">
        <v>139.44</v>
      </c>
      <c r="I485" s="104" t="n">
        <v>0.2338</v>
      </c>
      <c r="J485" s="104" t="n">
        <v>0.1648</v>
      </c>
      <c r="K485" s="104" t="n">
        <v>-0.0011</v>
      </c>
      <c r="L485" s="134" t="n">
        <v>46.72</v>
      </c>
      <c r="M485" s="134" t="n">
        <v>3468.43</v>
      </c>
      <c r="N485" s="104" t="n">
        <v>0.0135</v>
      </c>
      <c r="O485" s="134" t="n">
        <v>195</v>
      </c>
      <c r="P485" s="134" t="n">
        <v>0</v>
      </c>
      <c r="Q485" s="134" t="inlineStr">
        <is>
          <t>22 0.22%</t>
        </is>
      </c>
      <c r="R485" s="134" t="inlineStr">
        <is>
          <t>57 0.70%</t>
        </is>
      </c>
      <c r="S485" s="134" t="inlineStr">
        <is>
          <t>56 0.66%</t>
        </is>
      </c>
      <c r="T485" s="134" t="inlineStr">
        <is>
          <t>39 1.47%</t>
        </is>
      </c>
      <c r="U485" s="134" t="inlineStr">
        <is>
          <t>21 1.86%</t>
        </is>
      </c>
    </row>
    <row customHeight="1" ht="17" r="486" s="155">
      <c r="A486" s="105" t="n">
        <v>43824</v>
      </c>
      <c r="B486" s="134" t="n">
        <v>1223.266</v>
      </c>
      <c r="C486" s="152" t="n">
        <v>2.053</v>
      </c>
      <c r="D486" s="153" t="n">
        <v>0.0017</v>
      </c>
      <c r="E486" s="134" t="n">
        <v>116.248</v>
      </c>
      <c r="F486" s="134" t="n">
        <v>113.093</v>
      </c>
      <c r="G486" s="134" t="n">
        <v>96.36</v>
      </c>
      <c r="H486" s="134" t="n">
        <v>139.53</v>
      </c>
      <c r="I486" s="104" t="n">
        <v>0.2328</v>
      </c>
      <c r="J486" s="104" t="n">
        <v>0.1725</v>
      </c>
      <c r="K486" s="104" t="n">
        <v>-0.0014</v>
      </c>
      <c r="L486" s="134" t="n">
        <v>45.15</v>
      </c>
      <c r="M486" s="134" t="n">
        <v>3468.11</v>
      </c>
      <c r="N486" s="104" t="n">
        <v>0.013</v>
      </c>
      <c r="O486" s="134" t="n">
        <v>195</v>
      </c>
      <c r="P486" s="134" t="inlineStr">
        <is>
          <t>1 -1.30%</t>
        </is>
      </c>
      <c r="Q486" s="134" t="inlineStr">
        <is>
          <t>20 0.16%</t>
        </is>
      </c>
      <c r="R486" s="134" t="inlineStr">
        <is>
          <t>58 0.11%</t>
        </is>
      </c>
      <c r="S486" s="134" t="inlineStr">
        <is>
          <t>54 0.33%</t>
        </is>
      </c>
      <c r="T486" s="134" t="inlineStr">
        <is>
          <t>38 0.64%</t>
        </is>
      </c>
      <c r="U486" s="134" t="inlineStr">
        <is>
          <t>24 0.25%</t>
        </is>
      </c>
    </row>
    <row customHeight="1" ht="17" r="487" s="155">
      <c r="A487" s="105" t="n">
        <v>43825</v>
      </c>
      <c r="B487" s="134" t="n">
        <v>1230.816</v>
      </c>
      <c r="C487" s="152" t="n">
        <v>7.55</v>
      </c>
      <c r="D487" s="153" t="n">
        <v>0.0062</v>
      </c>
      <c r="E487" s="134" t="n">
        <v>117.02</v>
      </c>
      <c r="F487" s="134" t="n">
        <v>113.933</v>
      </c>
      <c r="G487" s="134" t="n">
        <v>97.06</v>
      </c>
      <c r="H487" s="134" t="n">
        <v>139.9</v>
      </c>
      <c r="I487" s="104" t="n">
        <v>0.2288</v>
      </c>
      <c r="J487" s="104" t="n">
        <v>0.1661</v>
      </c>
      <c r="K487" s="104" t="n">
        <v>-0.0029</v>
      </c>
      <c r="L487" s="134" t="n">
        <v>69.98</v>
      </c>
      <c r="M487" s="134" t="n">
        <v>3498.29</v>
      </c>
      <c r="N487" s="104" t="n">
        <v>0.02</v>
      </c>
      <c r="O487" s="134" t="n">
        <v>196</v>
      </c>
      <c r="P487" s="134" t="inlineStr">
        <is>
          <t>1 0.03%</t>
        </is>
      </c>
      <c r="Q487" s="134" t="inlineStr">
        <is>
          <t>16 0.23%</t>
        </is>
      </c>
      <c r="R487" s="134" t="inlineStr">
        <is>
          <t>56 0.44%</t>
        </is>
      </c>
      <c r="S487" s="134" t="inlineStr">
        <is>
          <t>58 0.66%</t>
        </is>
      </c>
      <c r="T487" s="134" t="inlineStr">
        <is>
          <t>38 0.78%</t>
        </is>
      </c>
      <c r="U487" s="134" t="inlineStr">
        <is>
          <t>27 0.92%</t>
        </is>
      </c>
    </row>
    <row customHeight="1" ht="17" r="488" s="155">
      <c r="A488" s="105" t="n">
        <v>43826</v>
      </c>
      <c r="B488" s="134" t="n">
        <v>1228.596</v>
      </c>
      <c r="C488" s="150" t="n">
        <v>-2.22</v>
      </c>
      <c r="D488" s="151" t="n">
        <v>-0.0018</v>
      </c>
      <c r="E488" s="134" t="n">
        <v>116.717</v>
      </c>
      <c r="F488" s="134" t="n">
        <v>113.75</v>
      </c>
      <c r="G488" s="134" t="n">
        <v>96.67</v>
      </c>
      <c r="H488" s="134" t="n">
        <v>139.71</v>
      </c>
      <c r="I488" s="104" t="n">
        <v>0.2299</v>
      </c>
      <c r="J488" s="104" t="n">
        <v>0.1633</v>
      </c>
      <c r="K488" s="104" t="n">
        <v>-0.0026</v>
      </c>
      <c r="L488" s="134" t="n">
        <v>64.45999999999999</v>
      </c>
      <c r="M488" s="134" t="n">
        <v>3497.71</v>
      </c>
      <c r="N488" s="104" t="n">
        <v>0.0184</v>
      </c>
      <c r="O488" s="134" t="n">
        <v>196</v>
      </c>
      <c r="P488" s="134" t="inlineStr">
        <is>
          <t>1 -0.08%</t>
        </is>
      </c>
      <c r="Q488" s="134" t="inlineStr">
        <is>
          <t>17 0.15%</t>
        </is>
      </c>
      <c r="R488" s="134" t="inlineStr">
        <is>
          <t>53 0.22%</t>
        </is>
      </c>
      <c r="S488" s="134" t="inlineStr">
        <is>
          <t>60 -0.12%</t>
        </is>
      </c>
      <c r="T488" s="134" t="inlineStr">
        <is>
          <t>41 -0.35%</t>
        </is>
      </c>
      <c r="U488" s="134" t="inlineStr">
        <is>
          <t>24 -1.19%</t>
        </is>
      </c>
    </row>
    <row customHeight="1" ht="17" r="489" s="155">
      <c r="A489" s="105" t="n">
        <v>43829</v>
      </c>
      <c r="B489" s="134" t="n">
        <v>1232.864</v>
      </c>
      <c r="C489" s="152" t="n">
        <v>4.268</v>
      </c>
      <c r="D489" s="153" t="n">
        <v>0.0035</v>
      </c>
      <c r="E489" s="134" t="n">
        <v>117.112</v>
      </c>
      <c r="F489" s="134" t="n">
        <v>114.845</v>
      </c>
      <c r="G489" s="134" t="n">
        <v>97.09999999999999</v>
      </c>
      <c r="H489" s="134" t="n">
        <v>139.6</v>
      </c>
      <c r="I489" s="104" t="n">
        <v>0.2249</v>
      </c>
      <c r="J489" s="104" t="n">
        <v>0.1617</v>
      </c>
      <c r="K489" s="104" t="n">
        <v>-0.0033</v>
      </c>
      <c r="L489" s="134" t="n">
        <v>59.2</v>
      </c>
      <c r="M489" s="134" t="n">
        <v>3496.34</v>
      </c>
      <c r="N489" s="104" t="n">
        <v>0.0169</v>
      </c>
      <c r="O489" s="134" t="n">
        <v>196</v>
      </c>
      <c r="P489" s="134" t="inlineStr">
        <is>
          <t>1 -0.32%</t>
        </is>
      </c>
      <c r="Q489" s="134" t="inlineStr">
        <is>
          <t>14 0.06%</t>
        </is>
      </c>
      <c r="R489" s="134" t="inlineStr">
        <is>
          <t>58 0.10%</t>
        </is>
      </c>
      <c r="S489" s="134" t="inlineStr">
        <is>
          <t>53 0.58%</t>
        </is>
      </c>
      <c r="T489" s="134" t="inlineStr">
        <is>
          <t>46 0.58%</t>
        </is>
      </c>
      <c r="U489" s="134" t="inlineStr">
        <is>
          <t>24 0.17%</t>
        </is>
      </c>
    </row>
    <row customHeight="1" ht="17" r="490" s="155">
      <c r="A490" s="105" t="n">
        <v>43830</v>
      </c>
      <c r="B490" s="134" t="n">
        <v>1240.365</v>
      </c>
      <c r="C490" s="152" t="n">
        <v>7.501</v>
      </c>
      <c r="D490" s="153" t="n">
        <v>0.0061</v>
      </c>
      <c r="E490" s="134" t="n">
        <v>117.83</v>
      </c>
      <c r="F490" s="134" t="n">
        <v>116.25</v>
      </c>
      <c r="G490" s="134" t="n">
        <v>97.69</v>
      </c>
      <c r="H490" s="134" t="n">
        <v>140.44</v>
      </c>
      <c r="I490" s="104" t="n">
        <v>0.2261</v>
      </c>
      <c r="J490" s="104" t="n">
        <v>0.1672</v>
      </c>
      <c r="K490" s="104" t="n">
        <v>-0.0047</v>
      </c>
      <c r="L490" s="134" t="n">
        <v>53.22</v>
      </c>
      <c r="M490" s="134" t="n">
        <v>3494.11</v>
      </c>
      <c r="N490" s="104" t="n">
        <v>0.0152</v>
      </c>
      <c r="O490" s="134" t="n">
        <v>196</v>
      </c>
      <c r="P490" s="134" t="inlineStr">
        <is>
          <t>1 0.69%</t>
        </is>
      </c>
      <c r="Q490" s="134" t="inlineStr">
        <is>
          <t>12 0.22%</t>
        </is>
      </c>
      <c r="R490" s="134" t="inlineStr">
        <is>
          <t>52 0.58%</t>
        </is>
      </c>
      <c r="S490" s="134" t="inlineStr">
        <is>
          <t>60 1.05%</t>
        </is>
      </c>
      <c r="T490" s="134" t="inlineStr">
        <is>
          <t>47 0.48%</t>
        </is>
      </c>
      <c r="U490" s="134" t="inlineStr">
        <is>
          <t>24 0.79%</t>
        </is>
      </c>
    </row>
    <row customHeight="1" ht="17" r="491" s="155">
      <c r="A491" s="105" t="n">
        <v>43832</v>
      </c>
      <c r="B491" s="134" t="n">
        <v>1255.845</v>
      </c>
      <c r="C491" s="152" t="n">
        <v>15.48</v>
      </c>
      <c r="D491" s="153" t="n">
        <v>0.0125</v>
      </c>
      <c r="E491" s="134" t="n">
        <v>119.364</v>
      </c>
      <c r="F491" s="134" t="n">
        <v>116.77</v>
      </c>
      <c r="G491" s="134" t="n">
        <v>98.68000000000001</v>
      </c>
      <c r="H491" s="134" t="n">
        <v>141.35</v>
      </c>
      <c r="I491" s="104" t="n">
        <v>0.2199</v>
      </c>
      <c r="J491" s="104" t="n">
        <v>0.1628</v>
      </c>
      <c r="K491" s="104" t="n">
        <v>-0.0074</v>
      </c>
      <c r="L491" s="134" t="n">
        <v>76.45999999999999</v>
      </c>
      <c r="M491" s="134" t="n">
        <v>3499.95</v>
      </c>
      <c r="N491" s="104" t="n">
        <v>0.0218</v>
      </c>
      <c r="O491" s="134" t="n">
        <v>196</v>
      </c>
      <c r="P491" s="134" t="inlineStr">
        <is>
          <t>1 -0.11%</t>
        </is>
      </c>
      <c r="Q491" s="134" t="inlineStr">
        <is>
          <t>10 0.46%</t>
        </is>
      </c>
      <c r="R491" s="134" t="inlineStr">
        <is>
          <t>47 0.88%</t>
        </is>
      </c>
      <c r="S491" s="134" t="inlineStr">
        <is>
          <t>60 0.89%</t>
        </is>
      </c>
      <c r="T491" s="134" t="inlineStr">
        <is>
          <t>45 1.21%</t>
        </is>
      </c>
      <c r="U491" s="134" t="inlineStr">
        <is>
          <t>33 2.75%</t>
        </is>
      </c>
    </row>
    <row customHeight="1" ht="17" r="492" s="155">
      <c r="A492" s="105" t="n">
        <v>43833</v>
      </c>
      <c r="B492" s="134" t="n">
        <v>1258.03</v>
      </c>
      <c r="C492" s="152" t="n">
        <v>2.185</v>
      </c>
      <c r="D492" s="153" t="n">
        <v>0.0017</v>
      </c>
      <c r="E492" s="134" t="n">
        <v>119.544</v>
      </c>
      <c r="F492" s="134" t="n">
        <v>117</v>
      </c>
      <c r="G492" s="134" t="n">
        <v>98.62</v>
      </c>
      <c r="H492" s="134" t="n">
        <v>141.28</v>
      </c>
      <c r="I492" s="104" t="n">
        <v>0.2174</v>
      </c>
      <c r="J492" s="104" t="n">
        <v>0.1612</v>
      </c>
      <c r="K492" s="104" t="n">
        <v>-0.0078</v>
      </c>
      <c r="L492" s="134" t="n">
        <v>65.8</v>
      </c>
      <c r="M492" s="134" t="n">
        <v>3500.37</v>
      </c>
      <c r="N492" s="104" t="n">
        <v>0.0188</v>
      </c>
      <c r="O492" s="134" t="n">
        <v>197</v>
      </c>
      <c r="P492" s="134" t="inlineStr">
        <is>
          <t>1 -0.22%</t>
        </is>
      </c>
      <c r="Q492" s="134" t="inlineStr">
        <is>
          <t>10 0.14%</t>
        </is>
      </c>
      <c r="R492" s="134" t="inlineStr">
        <is>
          <t>44 0.30%</t>
        </is>
      </c>
      <c r="S492" s="134" t="inlineStr">
        <is>
          <t>59 0.32%</t>
        </is>
      </c>
      <c r="T492" s="134" t="inlineStr">
        <is>
          <t>51 0.53%</t>
        </is>
      </c>
      <c r="U492" s="134" t="inlineStr">
        <is>
          <t>32 -0.12%</t>
        </is>
      </c>
    </row>
    <row customHeight="1" ht="17" r="493" s="155">
      <c r="A493" s="105" t="n">
        <v>43836</v>
      </c>
      <c r="B493" s="134" t="n">
        <v>1265.389</v>
      </c>
      <c r="C493" s="152" t="n">
        <v>7.359</v>
      </c>
      <c r="D493" s="153" t="n">
        <v>0.0059</v>
      </c>
      <c r="E493" s="134" t="n">
        <v>120.295</v>
      </c>
      <c r="F493" s="134" t="n">
        <v>117.47</v>
      </c>
      <c r="G493" s="134" t="n">
        <v>99.47</v>
      </c>
      <c r="H493" s="134" t="n">
        <v>141.49</v>
      </c>
      <c r="I493" s="104" t="n">
        <v>0.212</v>
      </c>
      <c r="J493" s="104" t="n">
        <v>0.1554</v>
      </c>
      <c r="K493" s="104" t="n">
        <v>-0.0091</v>
      </c>
      <c r="L493" s="134" t="n">
        <v>83.95</v>
      </c>
      <c r="M493" s="134" t="n">
        <v>3517.22</v>
      </c>
      <c r="N493" s="104" t="n">
        <v>0.0239</v>
      </c>
      <c r="O493" s="134" t="n">
        <v>198</v>
      </c>
      <c r="P493" s="134" t="inlineStr">
        <is>
          <t>1 0.06%</t>
        </is>
      </c>
      <c r="Q493" s="134" t="inlineStr">
        <is>
          <t>10 0.10%</t>
        </is>
      </c>
      <c r="R493" s="134" t="inlineStr">
        <is>
          <t>44 0.39%</t>
        </is>
      </c>
      <c r="S493" s="134" t="inlineStr">
        <is>
          <t>58 0.51%</t>
        </is>
      </c>
      <c r="T493" s="134" t="inlineStr">
        <is>
          <t>51 0.35%</t>
        </is>
      </c>
      <c r="U493" s="134" t="inlineStr">
        <is>
          <t>34 1.84%</t>
        </is>
      </c>
    </row>
    <row customHeight="1" ht="17" r="494" s="155">
      <c r="A494" s="105" t="n">
        <v>43837</v>
      </c>
      <c r="B494" s="134" t="n">
        <v>1274.538</v>
      </c>
      <c r="C494" s="152" t="n">
        <v>9.148999999999999</v>
      </c>
      <c r="D494" s="153" t="n">
        <v>0.0072</v>
      </c>
      <c r="E494" s="134" t="n">
        <v>121.154</v>
      </c>
      <c r="F494" s="134" t="n">
        <v>118</v>
      </c>
      <c r="G494" s="134" t="n">
        <v>100.88</v>
      </c>
      <c r="H494" s="134" t="n">
        <v>141.47</v>
      </c>
      <c r="I494" s="104" t="n">
        <v>0.2032</v>
      </c>
      <c r="J494" s="104" t="n">
        <v>0.1467</v>
      </c>
      <c r="K494" s="104" t="n">
        <v>-0.0106</v>
      </c>
      <c r="L494" s="134" t="n">
        <v>75.52</v>
      </c>
      <c r="M494" s="134" t="n">
        <v>3518.79</v>
      </c>
      <c r="N494" s="104" t="n">
        <v>0.0215</v>
      </c>
      <c r="O494" s="134" t="n">
        <v>199</v>
      </c>
      <c r="P494" s="134" t="inlineStr">
        <is>
          <t>1 0.44%</t>
        </is>
      </c>
      <c r="Q494" s="134" t="inlineStr">
        <is>
          <t>8 0.87%</t>
        </is>
      </c>
      <c r="R494" s="134" t="inlineStr">
        <is>
          <t>41 0.63%</t>
        </is>
      </c>
      <c r="S494" s="134" t="inlineStr">
        <is>
          <t>62 0.47%</t>
        </is>
      </c>
      <c r="T494" s="134" t="inlineStr">
        <is>
          <t>51 1.39%</t>
        </is>
      </c>
      <c r="U494" s="134" t="inlineStr">
        <is>
          <t>36 1.50%</t>
        </is>
      </c>
    </row>
    <row customHeight="1" ht="17" r="495" s="155">
      <c r="A495" s="105" t="n">
        <v>43838</v>
      </c>
      <c r="B495" s="134" t="n">
        <v>1267.26</v>
      </c>
      <c r="C495" s="150" t="n">
        <v>-7.278</v>
      </c>
      <c r="D495" s="151" t="n">
        <v>-0.0057</v>
      </c>
      <c r="E495" s="134" t="n">
        <v>120.42</v>
      </c>
      <c r="F495" s="134" t="n">
        <v>117.21</v>
      </c>
      <c r="G495" s="134" t="n">
        <v>99.78</v>
      </c>
      <c r="H495" s="134" t="n">
        <v>141.5</v>
      </c>
      <c r="I495" s="104" t="n">
        <v>0.2108</v>
      </c>
      <c r="J495" s="104" t="n">
        <v>0.1543</v>
      </c>
      <c r="K495" s="104" t="n">
        <v>-0.0092</v>
      </c>
      <c r="L495" s="134" t="n">
        <v>74.23999999999999</v>
      </c>
      <c r="M495" s="134" t="n">
        <v>3537.28</v>
      </c>
      <c r="N495" s="104" t="n">
        <v>0.021</v>
      </c>
      <c r="O495" s="134" t="n">
        <v>201</v>
      </c>
      <c r="P495" s="134" t="n">
        <v>0</v>
      </c>
      <c r="Q495" s="134" t="inlineStr">
        <is>
          <t>10 -0.08%</t>
        </is>
      </c>
      <c r="R495" s="134" t="inlineStr">
        <is>
          <t>45 -0.48%</t>
        </is>
      </c>
      <c r="S495" s="134" t="inlineStr">
        <is>
          <t>58 -0.38%</t>
        </is>
      </c>
      <c r="T495" s="134" t="inlineStr">
        <is>
          <t>55 -0.49%</t>
        </is>
      </c>
      <c r="U495" s="134" t="inlineStr">
        <is>
          <t>33 -0.91%</t>
        </is>
      </c>
    </row>
    <row customHeight="1" ht="17" r="496" s="155">
      <c r="A496" s="105" t="n">
        <v>43839</v>
      </c>
      <c r="B496" s="134" t="n">
        <v>1280.351</v>
      </c>
      <c r="C496" s="152" t="n">
        <v>13.091</v>
      </c>
      <c r="D496" s="153" t="n">
        <v>0.0103</v>
      </c>
      <c r="E496" s="134" t="n">
        <v>121.676</v>
      </c>
      <c r="F496" s="134" t="n">
        <v>117.98</v>
      </c>
      <c r="G496" s="134" t="n">
        <v>102.17</v>
      </c>
      <c r="H496" s="134" t="n">
        <v>141.74</v>
      </c>
      <c r="I496" s="104" t="n">
        <v>0.2006</v>
      </c>
      <c r="J496" s="104" t="n">
        <v>0.1464</v>
      </c>
      <c r="K496" s="104" t="n">
        <v>-0.0113</v>
      </c>
      <c r="L496" s="134" t="n">
        <v>76.98999999999999</v>
      </c>
      <c r="M496" s="134" t="n">
        <v>3559.48</v>
      </c>
      <c r="N496" s="104" t="n">
        <v>0.0216</v>
      </c>
      <c r="O496" s="134" t="n">
        <v>202</v>
      </c>
      <c r="P496" s="134" t="inlineStr">
        <is>
          <t>1 -0.16%</t>
        </is>
      </c>
      <c r="Q496" s="134" t="inlineStr">
        <is>
          <t>5 0.87%</t>
        </is>
      </c>
      <c r="R496" s="134" t="inlineStr">
        <is>
          <t>46 0.82%</t>
        </is>
      </c>
      <c r="S496" s="134" t="inlineStr">
        <is>
          <t>59 0.77%</t>
        </is>
      </c>
      <c r="T496" s="134" t="inlineStr">
        <is>
          <t>55 1.59%</t>
        </is>
      </c>
      <c r="U496" s="134" t="inlineStr">
        <is>
          <t>36 1.72%</t>
        </is>
      </c>
    </row>
    <row customHeight="1" ht="17" r="497" s="155">
      <c r="A497" s="105" t="n">
        <v>43840</v>
      </c>
      <c r="B497" s="134" t="n">
        <v>1276.6</v>
      </c>
      <c r="C497" s="150" t="n">
        <v>-3.751</v>
      </c>
      <c r="D497" s="151" t="n">
        <v>-0.0029</v>
      </c>
      <c r="E497" s="134" t="n">
        <v>121.367</v>
      </c>
      <c r="F497" s="134" t="n">
        <v>117.69</v>
      </c>
      <c r="G497" s="134" t="n">
        <v>102.35</v>
      </c>
      <c r="H497" s="134" t="n">
        <v>141.32</v>
      </c>
      <c r="I497" s="104" t="n">
        <v>0.1996</v>
      </c>
      <c r="J497" s="104" t="n">
        <v>0.1478</v>
      </c>
      <c r="K497" s="104" t="n">
        <v>-0.0106</v>
      </c>
      <c r="L497" s="134" t="n">
        <v>67.02</v>
      </c>
      <c r="M497" s="134" t="n">
        <v>3559.41</v>
      </c>
      <c r="N497" s="104" t="n">
        <v>0.0188</v>
      </c>
      <c r="O497" s="134" t="n">
        <v>203</v>
      </c>
      <c r="P497" s="134" t="inlineStr">
        <is>
          <t>1 -0.08%</t>
        </is>
      </c>
      <c r="Q497" s="134" t="inlineStr">
        <is>
          <t>5 -0.22%</t>
        </is>
      </c>
      <c r="R497" s="134" t="inlineStr">
        <is>
          <t>48 -0.43%</t>
        </is>
      </c>
      <c r="S497" s="134" t="inlineStr">
        <is>
          <t>58 0.36%</t>
        </is>
      </c>
      <c r="T497" s="134" t="inlineStr">
        <is>
          <t>54 0.42%</t>
        </is>
      </c>
      <c r="U497" s="134" t="inlineStr">
        <is>
          <t>37 1.18%</t>
        </is>
      </c>
    </row>
    <row customHeight="1" ht="17" r="498" s="155">
      <c r="A498" s="105" t="n">
        <v>43843</v>
      </c>
      <c r="B498" s="134" t="n">
        <v>1285.281</v>
      </c>
      <c r="C498" s="152" t="n">
        <v>8.680999999999999</v>
      </c>
      <c r="D498" s="153" t="n">
        <v>0.0068</v>
      </c>
      <c r="E498" s="134" t="n">
        <v>122.317</v>
      </c>
      <c r="F498" s="134" t="n">
        <v>118</v>
      </c>
      <c r="G498" s="134" t="n">
        <v>104.27</v>
      </c>
      <c r="H498" s="134" t="n">
        <v>141.23</v>
      </c>
      <c r="I498" s="104" t="n">
        <v>0.1891</v>
      </c>
      <c r="J498" s="104" t="n">
        <v>0.134</v>
      </c>
      <c r="K498" s="104" t="n">
        <v>-0.0117</v>
      </c>
      <c r="L498" s="134" t="n">
        <v>76.2</v>
      </c>
      <c r="M498" s="134" t="n">
        <v>3635.73</v>
      </c>
      <c r="N498" s="104" t="n">
        <v>0.021</v>
      </c>
      <c r="O498" s="134" t="n">
        <v>209</v>
      </c>
      <c r="P498" s="134" t="inlineStr">
        <is>
          <t>1 -0.88%</t>
        </is>
      </c>
      <c r="Q498" s="134" t="inlineStr">
        <is>
          <t>6 -0.18%</t>
        </is>
      </c>
      <c r="R498" s="134" t="inlineStr">
        <is>
          <t>45 0.08%</t>
        </is>
      </c>
      <c r="S498" s="134" t="inlineStr">
        <is>
          <t>63 0.41%</t>
        </is>
      </c>
      <c r="T498" s="134" t="inlineStr">
        <is>
          <t>53 0.72%</t>
        </is>
      </c>
      <c r="U498" s="134" t="inlineStr">
        <is>
          <t>41 2.26%</t>
        </is>
      </c>
    </row>
    <row customHeight="1" ht="17" r="499" s="155">
      <c r="A499" s="105" t="n">
        <v>43844</v>
      </c>
      <c r="B499" s="134" t="n">
        <v>1289.857</v>
      </c>
      <c r="C499" s="152" t="n">
        <v>4.576</v>
      </c>
      <c r="D499" s="153" t="n">
        <v>0.0036</v>
      </c>
      <c r="E499" s="134" t="n">
        <v>122.657</v>
      </c>
      <c r="F499" s="134" t="n">
        <v>118.8</v>
      </c>
      <c r="G499" s="134" t="n">
        <v>105.28</v>
      </c>
      <c r="H499" s="134" t="n">
        <v>141.78</v>
      </c>
      <c r="I499" s="104" t="n">
        <v>0.1913</v>
      </c>
      <c r="J499" s="104" t="n">
        <v>0.1384</v>
      </c>
      <c r="K499" s="104" t="n">
        <v>-0.0125</v>
      </c>
      <c r="L499" s="134" t="n">
        <v>93.59999999999999</v>
      </c>
      <c r="M499" s="134" t="n">
        <v>3659.39</v>
      </c>
      <c r="N499" s="104" t="n">
        <v>0.0256</v>
      </c>
      <c r="O499" s="134" t="n">
        <v>210</v>
      </c>
      <c r="P499" s="134" t="inlineStr">
        <is>
          <t>1 -0.01%</t>
        </is>
      </c>
      <c r="Q499" s="134" t="inlineStr">
        <is>
          <t>6 0.30%</t>
        </is>
      </c>
      <c r="R499" s="134" t="inlineStr">
        <is>
          <t>44 0.31%</t>
        </is>
      </c>
      <c r="S499" s="134" t="inlineStr">
        <is>
          <t>60 0.70%</t>
        </is>
      </c>
      <c r="T499" s="134" t="inlineStr">
        <is>
          <t>50 0.88%</t>
        </is>
      </c>
      <c r="U499" s="134" t="inlineStr">
        <is>
          <t>49 0.42%</t>
        </is>
      </c>
    </row>
    <row customHeight="1" ht="17" r="500" s="155">
      <c r="A500" s="105" t="n">
        <v>43845</v>
      </c>
      <c r="B500" s="134" t="n">
        <v>1283.137</v>
      </c>
      <c r="C500" s="150" t="n">
        <v>-6.72</v>
      </c>
      <c r="D500" s="151" t="n">
        <v>-0.0052</v>
      </c>
      <c r="E500" s="134" t="n">
        <v>122.018</v>
      </c>
      <c r="F500" s="134" t="n">
        <v>118.35</v>
      </c>
      <c r="G500" s="134" t="n">
        <v>104.6</v>
      </c>
      <c r="H500" s="134" t="n">
        <v>141.03</v>
      </c>
      <c r="I500" s="104" t="n">
        <v>0.1901</v>
      </c>
      <c r="J500" s="104" t="n">
        <v>0.1362</v>
      </c>
      <c r="K500" s="104" t="n">
        <v>-0.0113</v>
      </c>
      <c r="L500" s="134" t="n">
        <v>71.83</v>
      </c>
      <c r="M500" s="134" t="n">
        <v>3673.25</v>
      </c>
      <c r="N500" s="104" t="n">
        <v>0.0196</v>
      </c>
      <c r="O500" s="134" t="n">
        <v>212</v>
      </c>
      <c r="P500" s="134" t="inlineStr">
        <is>
          <t>1 -0.12%</t>
        </is>
      </c>
      <c r="Q500" s="134" t="inlineStr">
        <is>
          <t>6 -0.34%</t>
        </is>
      </c>
      <c r="R500" s="134" t="inlineStr">
        <is>
          <t>48 -0.36%</t>
        </is>
      </c>
      <c r="S500" s="134" t="inlineStr">
        <is>
          <t>61 -0.63%</t>
        </is>
      </c>
      <c r="T500" s="134" t="inlineStr">
        <is>
          <t>53 -0.99%</t>
        </is>
      </c>
      <c r="U500" s="134" t="inlineStr">
        <is>
          <t>43 -0.01%</t>
        </is>
      </c>
    </row>
    <row customHeight="1" ht="17" r="501" s="155">
      <c r="A501" s="105" t="n">
        <v>43846</v>
      </c>
      <c r="B501" s="134" t="n">
        <v>1278.838</v>
      </c>
      <c r="C501" s="150" t="n">
        <v>-4.299</v>
      </c>
      <c r="D501" s="151" t="n">
        <v>-0.0034</v>
      </c>
      <c r="E501" s="134" t="n">
        <v>121.657</v>
      </c>
      <c r="F501" s="134" t="n">
        <v>117.675</v>
      </c>
      <c r="G501" s="134" t="n">
        <v>104.83</v>
      </c>
      <c r="H501" s="134" t="n">
        <v>140.81</v>
      </c>
      <c r="I501" s="104" t="n">
        <v>0.1916</v>
      </c>
      <c r="J501" s="104" t="n">
        <v>0.1388</v>
      </c>
      <c r="K501" s="104" t="n">
        <v>-0.0105</v>
      </c>
      <c r="L501" s="134" t="n">
        <v>55.92</v>
      </c>
      <c r="M501" s="134" t="n">
        <v>3670.6</v>
      </c>
      <c r="N501" s="104" t="n">
        <v>0.0152</v>
      </c>
      <c r="O501" s="134" t="n">
        <v>212</v>
      </c>
      <c r="P501" s="134" t="inlineStr">
        <is>
          <t>1 -0.07%</t>
        </is>
      </c>
      <c r="Q501" s="134" t="inlineStr">
        <is>
          <t>7 -0.26%</t>
        </is>
      </c>
      <c r="R501" s="134" t="inlineStr">
        <is>
          <t>47 -0.28%</t>
        </is>
      </c>
      <c r="S501" s="134" t="inlineStr">
        <is>
          <t>67 -0.38%</t>
        </is>
      </c>
      <c r="T501" s="134" t="inlineStr">
        <is>
          <t>50 0.12%</t>
        </is>
      </c>
      <c r="U501" s="134" t="inlineStr">
        <is>
          <t>40 0.34%</t>
        </is>
      </c>
    </row>
    <row customHeight="1" ht="17" r="502" s="155">
      <c r="A502" s="105" t="n">
        <v>43847</v>
      </c>
      <c r="B502" s="134" t="n">
        <v>1279.094</v>
      </c>
      <c r="C502" s="152" t="n">
        <v>0.256</v>
      </c>
      <c r="D502" s="153" t="n">
        <v>0.0002</v>
      </c>
      <c r="E502" s="134" t="n">
        <v>121.469</v>
      </c>
      <c r="F502" s="134" t="n">
        <v>117.434</v>
      </c>
      <c r="G502" s="134" t="n">
        <v>103.81</v>
      </c>
      <c r="H502" s="134" t="n">
        <v>140.9</v>
      </c>
      <c r="I502" s="104" t="n">
        <v>0.1943</v>
      </c>
      <c r="J502" s="104" t="n">
        <v>0.1404</v>
      </c>
      <c r="K502" s="104" t="n">
        <v>-0.0103</v>
      </c>
      <c r="L502" s="134" t="n">
        <v>73.92</v>
      </c>
      <c r="M502" s="134" t="n">
        <v>3705.97</v>
      </c>
      <c r="N502" s="104" t="n">
        <v>0.0199</v>
      </c>
      <c r="O502" s="134" t="n">
        <v>214</v>
      </c>
      <c r="P502" s="134" t="inlineStr">
        <is>
          <t>1 -0.31%</t>
        </is>
      </c>
      <c r="Q502" s="134" t="inlineStr">
        <is>
          <t>6 0.43%</t>
        </is>
      </c>
      <c r="R502" s="134" t="inlineStr">
        <is>
          <t>49 -0.03%</t>
        </is>
      </c>
      <c r="S502" s="134" t="inlineStr">
        <is>
          <t>67 0.07%</t>
        </is>
      </c>
      <c r="T502" s="134" t="inlineStr">
        <is>
          <t>52 0.08%</t>
        </is>
      </c>
      <c r="U502" s="134" t="inlineStr">
        <is>
          <t>39 0.15%</t>
        </is>
      </c>
    </row>
    <row customHeight="1" ht="17" r="503" s="155">
      <c r="A503" s="105" t="n">
        <v>43850</v>
      </c>
      <c r="B503" s="134" t="n">
        <v>1293.305</v>
      </c>
      <c r="C503" s="152" t="n">
        <v>14.211</v>
      </c>
      <c r="D503" s="153" t="n">
        <v>0.0111</v>
      </c>
      <c r="E503" s="134" t="n">
        <v>122.895</v>
      </c>
      <c r="F503" s="134" t="n">
        <v>117.9</v>
      </c>
      <c r="G503" s="134" t="n">
        <v>105.13</v>
      </c>
      <c r="H503" s="134" t="n">
        <v>141.89</v>
      </c>
      <c r="I503" s="104" t="n">
        <v>0.19</v>
      </c>
      <c r="J503" s="104" t="n">
        <v>0.1298</v>
      </c>
      <c r="K503" s="104" t="n">
        <v>-0.0125</v>
      </c>
      <c r="L503" s="134" t="n">
        <v>78.66</v>
      </c>
      <c r="M503" s="134" t="n">
        <v>3706.64</v>
      </c>
      <c r="N503" s="104" t="n">
        <v>0.0212</v>
      </c>
      <c r="O503" s="134" t="n">
        <v>215</v>
      </c>
      <c r="P503" s="134" t="inlineStr">
        <is>
          <t>1 0.31%</t>
        </is>
      </c>
      <c r="Q503" s="134" t="inlineStr">
        <is>
          <t>6 0.11%</t>
        </is>
      </c>
      <c r="R503" s="134" t="inlineStr">
        <is>
          <t>44 0.25%</t>
        </is>
      </c>
      <c r="S503" s="134" t="inlineStr">
        <is>
          <t>68 0.65%</t>
        </is>
      </c>
      <c r="T503" s="134" t="inlineStr">
        <is>
          <t>47 1.13%</t>
        </is>
      </c>
      <c r="U503" s="134" t="inlineStr">
        <is>
          <t>49 2.95%</t>
        </is>
      </c>
    </row>
    <row customHeight="1" ht="17" r="504" s="155">
      <c r="A504" s="105" t="n">
        <v>43851</v>
      </c>
      <c r="B504" s="134" t="n">
        <v>1290.77</v>
      </c>
      <c r="C504" s="150" t="n">
        <v>-2.535</v>
      </c>
      <c r="D504" s="151" t="n">
        <v>-0.002</v>
      </c>
      <c r="E504" s="134" t="n">
        <v>122.574</v>
      </c>
      <c r="F504" s="134" t="n">
        <v>117.82</v>
      </c>
      <c r="G504" s="134" t="n">
        <v>103.1</v>
      </c>
      <c r="H504" s="134" t="n">
        <v>142.69</v>
      </c>
      <c r="I504" s="104" t="n">
        <v>0.2011</v>
      </c>
      <c r="J504" s="104" t="n">
        <v>0.1412</v>
      </c>
      <c r="K504" s="104" t="n">
        <v>-0.012</v>
      </c>
      <c r="L504" s="134" t="n">
        <v>83.52</v>
      </c>
      <c r="M504" s="134" t="n">
        <v>3707.58</v>
      </c>
      <c r="N504" s="104" t="n">
        <v>0.0225</v>
      </c>
      <c r="O504" s="134" t="n">
        <v>216</v>
      </c>
      <c r="P504" s="134" t="n">
        <v>0</v>
      </c>
      <c r="Q504" s="134" t="inlineStr">
        <is>
          <t>7 0.25%</t>
        </is>
      </c>
      <c r="R504" s="134" t="inlineStr">
        <is>
          <t>48 -0.13%</t>
        </is>
      </c>
      <c r="S504" s="134" t="inlineStr">
        <is>
          <t>64 0.03%</t>
        </is>
      </c>
      <c r="T504" s="134" t="inlineStr">
        <is>
          <t>49 0.12%</t>
        </is>
      </c>
      <c r="U504" s="134" t="inlineStr">
        <is>
          <t>48 -0.26%</t>
        </is>
      </c>
    </row>
    <row customHeight="1" ht="17" r="505" s="155">
      <c r="A505" s="105" t="n">
        <v>43852</v>
      </c>
      <c r="B505" s="134" t="n">
        <v>1297.353</v>
      </c>
      <c r="C505" s="152" t="n">
        <v>6.583</v>
      </c>
      <c r="D505" s="153" t="n">
        <v>0.0051</v>
      </c>
      <c r="E505" s="134" t="n">
        <v>123.263</v>
      </c>
      <c r="F505" s="134" t="n">
        <v>117.856</v>
      </c>
      <c r="G505" s="134" t="n">
        <v>102.28</v>
      </c>
      <c r="H505" s="134" t="n">
        <v>143.41</v>
      </c>
      <c r="I505" s="104" t="n">
        <v>0.2015</v>
      </c>
      <c r="J505" s="104" t="n">
        <v>0.148</v>
      </c>
      <c r="K505" s="104" t="n">
        <v>-0.0129</v>
      </c>
      <c r="L505" s="134" t="n">
        <v>103.64</v>
      </c>
      <c r="M505" s="134" t="n">
        <v>3716.88</v>
      </c>
      <c r="N505" s="104" t="n">
        <v>0.0279</v>
      </c>
      <c r="O505" s="134" t="n">
        <v>218</v>
      </c>
      <c r="P505" s="134" t="inlineStr">
        <is>
          <t>1 -0.99%</t>
        </is>
      </c>
      <c r="Q505" s="134" t="inlineStr">
        <is>
          <t>6 0.03%</t>
        </is>
      </c>
      <c r="R505" s="134" t="inlineStr">
        <is>
          <t>50 -0.02%</t>
        </is>
      </c>
      <c r="S505" s="134" t="inlineStr">
        <is>
          <t>60 0.42%</t>
        </is>
      </c>
      <c r="T505" s="134" t="inlineStr">
        <is>
          <t>49 0.35%</t>
        </is>
      </c>
      <c r="U505" s="134" t="inlineStr">
        <is>
          <t>52 2.52%</t>
        </is>
      </c>
    </row>
    <row customHeight="1" ht="17" r="506" s="155">
      <c r="A506" s="105" t="n">
        <v>43853</v>
      </c>
      <c r="B506" s="134" t="n">
        <v>1272.82</v>
      </c>
      <c r="C506" s="150" t="n">
        <v>-24.533</v>
      </c>
      <c r="D506" s="151" t="n">
        <v>-0.0189</v>
      </c>
      <c r="E506" s="134" t="n">
        <v>120.715</v>
      </c>
      <c r="F506" s="134" t="n">
        <v>116.14</v>
      </c>
      <c r="G506" s="134" t="n">
        <v>99.76000000000001</v>
      </c>
      <c r="H506" s="134" t="n">
        <v>142.8</v>
      </c>
      <c r="I506" s="104" t="n">
        <v>0.2209</v>
      </c>
      <c r="J506" s="104" t="n">
        <v>0.1721</v>
      </c>
      <c r="K506" s="104" t="n">
        <v>-0.0086</v>
      </c>
      <c r="L506" s="134" t="n">
        <v>98.55</v>
      </c>
      <c r="M506" s="134" t="n">
        <v>3729.64</v>
      </c>
      <c r="N506" s="104" t="n">
        <v>0.0264</v>
      </c>
      <c r="O506" s="134" t="n">
        <v>221</v>
      </c>
      <c r="P506" s="134" t="inlineStr">
        <is>
          <t>1 -0.62%</t>
        </is>
      </c>
      <c r="Q506" s="134" t="inlineStr">
        <is>
          <t>8 -0.56%</t>
        </is>
      </c>
      <c r="R506" s="134" t="inlineStr">
        <is>
          <t>58 -1.35%</t>
        </is>
      </c>
      <c r="S506" s="134" t="inlineStr">
        <is>
          <t>64 -1.37%</t>
        </is>
      </c>
      <c r="T506" s="134" t="inlineStr">
        <is>
          <t>50 -1.66%</t>
        </is>
      </c>
      <c r="U506" s="134" t="inlineStr">
        <is>
          <t>40 -2.21%</t>
        </is>
      </c>
    </row>
    <row customHeight="1" ht="17" r="507" s="155">
      <c r="A507" s="105" t="n">
        <v>43864</v>
      </c>
      <c r="B507" s="134" t="n">
        <v>1209.93</v>
      </c>
      <c r="C507" s="150" t="n">
        <v>-62.89</v>
      </c>
      <c r="D507" s="151" t="n">
        <v>-0.0494</v>
      </c>
      <c r="E507" s="134" t="n">
        <v>114.271</v>
      </c>
      <c r="F507" s="134" t="n">
        <v>110.861</v>
      </c>
      <c r="G507" s="134" t="n">
        <v>90.95999999999999</v>
      </c>
      <c r="H507" s="134" t="n">
        <v>141.98</v>
      </c>
      <c r="I507" s="104" t="n">
        <v>0.2771</v>
      </c>
      <c r="J507" s="104" t="n">
        <v>0.2362</v>
      </c>
      <c r="K507" s="104" t="n">
        <v>0.0028</v>
      </c>
      <c r="L507" s="134" t="n">
        <v>125.73</v>
      </c>
      <c r="M507" s="134" t="n">
        <v>3737.42</v>
      </c>
      <c r="N507" s="104" t="n">
        <v>0.0336</v>
      </c>
      <c r="O507" s="134" t="n">
        <v>223</v>
      </c>
      <c r="P507" s="134" t="inlineStr">
        <is>
          <t>1 -1.08%</t>
        </is>
      </c>
      <c r="Q507" s="134" t="inlineStr">
        <is>
          <t>25 -3.26%</t>
        </is>
      </c>
      <c r="R507" s="134" t="inlineStr">
        <is>
          <t>76 -4.39%</t>
        </is>
      </c>
      <c r="S507" s="134" t="inlineStr">
        <is>
          <t>68 -5.15%</t>
        </is>
      </c>
      <c r="T507" s="134" t="inlineStr">
        <is>
          <t>26 -5.26%</t>
        </is>
      </c>
      <c r="U507" s="134" t="inlineStr">
        <is>
          <t>27 -7.34%</t>
        </is>
      </c>
    </row>
    <row customHeight="1" ht="17" r="508" s="155">
      <c r="A508" s="105" t="n">
        <v>43865</v>
      </c>
      <c r="B508" s="134" t="n">
        <v>1244.135</v>
      </c>
      <c r="C508" s="152" t="n">
        <v>34.205</v>
      </c>
      <c r="D508" s="153" t="n">
        <v>0.0283</v>
      </c>
      <c r="E508" s="134" t="n">
        <v>117.706</v>
      </c>
      <c r="F508" s="134" t="n">
        <v>113.5</v>
      </c>
      <c r="G508" s="134" t="n">
        <v>90.03</v>
      </c>
      <c r="H508" s="134" t="n">
        <v>148.62</v>
      </c>
      <c r="I508" s="104" t="n">
        <v>0.3092</v>
      </c>
      <c r="J508" s="104" t="n">
        <v>0.2559</v>
      </c>
      <c r="K508" s="104" t="n">
        <v>-0.0032</v>
      </c>
      <c r="L508" s="134" t="n">
        <v>130.14</v>
      </c>
      <c r="M508" s="134" t="n">
        <v>3734.95</v>
      </c>
      <c r="N508" s="104" t="n">
        <v>0.0348</v>
      </c>
      <c r="O508" s="134" t="n">
        <v>223</v>
      </c>
      <c r="P508" s="134" t="inlineStr">
        <is>
          <t>1 0.80%</t>
        </is>
      </c>
      <c r="Q508" s="134" t="inlineStr">
        <is>
          <t>15 1.60%</t>
        </is>
      </c>
      <c r="R508" s="134" t="inlineStr">
        <is>
          <t>76 1.55%</t>
        </is>
      </c>
      <c r="S508" s="134" t="inlineStr">
        <is>
          <t>54 2.25%</t>
        </is>
      </c>
      <c r="T508" s="134" t="inlineStr">
        <is>
          <t>46 3.43%</t>
        </is>
      </c>
      <c r="U508" s="134" t="inlineStr">
        <is>
          <t>31 8.03%</t>
        </is>
      </c>
    </row>
    <row customHeight="1" ht="17" r="509" s="155">
      <c r="A509" s="105" t="n">
        <v>43866</v>
      </c>
      <c r="B509" s="134" t="n">
        <v>1265.459</v>
      </c>
      <c r="C509" s="152" t="n">
        <v>21.324</v>
      </c>
      <c r="D509" s="153" t="n">
        <v>0.0171</v>
      </c>
      <c r="E509" s="134" t="n">
        <v>120.012</v>
      </c>
      <c r="F509" s="134" t="n">
        <v>115</v>
      </c>
      <c r="G509" s="134" t="n">
        <v>92.16</v>
      </c>
      <c r="H509" s="134" t="n">
        <v>149.38</v>
      </c>
      <c r="I509" s="104" t="n">
        <v>0.2937</v>
      </c>
      <c r="J509" s="104" t="n">
        <v>0.2397</v>
      </c>
      <c r="K509" s="104" t="n">
        <v>-0.007</v>
      </c>
      <c r="L509" s="134" t="n">
        <v>146.48</v>
      </c>
      <c r="M509" s="134" t="n">
        <v>3778.89</v>
      </c>
      <c r="N509" s="104" t="n">
        <v>0.0388</v>
      </c>
      <c r="O509" s="134" t="n">
        <v>225</v>
      </c>
      <c r="P509" s="134" t="n">
        <v>0</v>
      </c>
      <c r="Q509" s="134" t="inlineStr">
        <is>
          <t>13 0.62%</t>
        </is>
      </c>
      <c r="R509" s="134" t="inlineStr">
        <is>
          <t>63 0.76%</t>
        </is>
      </c>
      <c r="S509" s="134" t="inlineStr">
        <is>
          <t>66 1.51%</t>
        </is>
      </c>
      <c r="T509" s="134" t="inlineStr">
        <is>
          <t>41 1.68%</t>
        </is>
      </c>
      <c r="U509" s="134" t="inlineStr">
        <is>
          <t>42 3.84%</t>
        </is>
      </c>
    </row>
    <row customHeight="1" ht="17" r="510" s="155">
      <c r="A510" s="105" t="n">
        <v>43867</v>
      </c>
      <c r="B510" s="134" t="n">
        <v>1284.454</v>
      </c>
      <c r="C510" s="152" t="n">
        <v>18.995</v>
      </c>
      <c r="D510" s="153" t="n">
        <v>0.015</v>
      </c>
      <c r="E510" s="134" t="n">
        <v>121.749</v>
      </c>
      <c r="F510" s="134" t="n">
        <v>115.7</v>
      </c>
      <c r="G510" s="134" t="n">
        <v>94.26000000000001</v>
      </c>
      <c r="H510" s="134" t="n">
        <v>149.85</v>
      </c>
      <c r="I510" s="104" t="n">
        <v>0.281</v>
      </c>
      <c r="J510" s="104" t="n">
        <v>0.2297</v>
      </c>
      <c r="K510" s="104" t="n">
        <v>-0.009599999999999999</v>
      </c>
      <c r="L510" s="134" t="n">
        <v>160.08</v>
      </c>
      <c r="M510" s="134" t="n">
        <v>3776.05</v>
      </c>
      <c r="N510" s="104" t="n">
        <v>0.0424</v>
      </c>
      <c r="O510" s="134" t="n">
        <v>223</v>
      </c>
      <c r="P510" s="134" t="n">
        <v>0</v>
      </c>
      <c r="Q510" s="134" t="inlineStr">
        <is>
          <t>9 0.61%</t>
        </is>
      </c>
      <c r="R510" s="134" t="inlineStr">
        <is>
          <t>65 0.58%</t>
        </is>
      </c>
      <c r="S510" s="134" t="inlineStr">
        <is>
          <t>61 0.94%</t>
        </is>
      </c>
      <c r="T510" s="134" t="inlineStr">
        <is>
          <t>43 1.57%</t>
        </is>
      </c>
      <c r="U510" s="134" t="inlineStr">
        <is>
          <t>45 3.70%</t>
        </is>
      </c>
    </row>
    <row customHeight="1" ht="17" r="511" s="155">
      <c r="A511" s="105" t="n">
        <v>43868</v>
      </c>
      <c r="B511" s="134" t="n">
        <v>1283.234</v>
      </c>
      <c r="C511" s="150" t="n">
        <v>-1.22</v>
      </c>
      <c r="D511" s="151" t="n">
        <v>-0.001</v>
      </c>
      <c r="E511" s="134" t="n">
        <v>121.532</v>
      </c>
      <c r="F511" s="134" t="n">
        <v>115.689</v>
      </c>
      <c r="G511" s="134" t="n">
        <v>95.55</v>
      </c>
      <c r="H511" s="134" t="n">
        <v>148.43</v>
      </c>
      <c r="I511" s="104" t="n">
        <v>0.2689</v>
      </c>
      <c r="J511" s="104" t="n">
        <v>0.2239</v>
      </c>
      <c r="K511" s="104" t="n">
        <v>-0.0094</v>
      </c>
      <c r="L511" s="134" t="n">
        <v>136.78</v>
      </c>
      <c r="M511" s="134" t="n">
        <v>3774.89</v>
      </c>
      <c r="N511" s="104" t="n">
        <v>0.0362</v>
      </c>
      <c r="O511" s="134" t="n">
        <v>223</v>
      </c>
      <c r="P511" s="134" t="n">
        <v>0</v>
      </c>
      <c r="Q511" s="134" t="inlineStr">
        <is>
          <t>10 -0.08%</t>
        </is>
      </c>
      <c r="R511" s="134" t="inlineStr">
        <is>
          <t>61 -0.07%</t>
        </is>
      </c>
      <c r="S511" s="134" t="inlineStr">
        <is>
          <t>64 -0.03%</t>
        </is>
      </c>
      <c r="T511" s="134" t="inlineStr">
        <is>
          <t>38 0.26%</t>
        </is>
      </c>
      <c r="U511" s="134" t="inlineStr">
        <is>
          <t>50 -0.49%</t>
        </is>
      </c>
    </row>
    <row customHeight="1" ht="17" r="512" s="155">
      <c r="A512" s="105" t="n">
        <v>43871</v>
      </c>
      <c r="B512" s="134" t="n">
        <v>1294.668</v>
      </c>
      <c r="C512" s="152" t="n">
        <v>11.434</v>
      </c>
      <c r="D512" s="153" t="n">
        <v>0.0089</v>
      </c>
      <c r="E512" s="134" t="n">
        <v>122.234</v>
      </c>
      <c r="F512" s="134" t="n">
        <v>115.44</v>
      </c>
      <c r="G512" s="134" t="n">
        <v>95.40000000000001</v>
      </c>
      <c r="H512" s="134" t="n">
        <v>148.1</v>
      </c>
      <c r="I512" s="104" t="n">
        <v>0.2586</v>
      </c>
      <c r="J512" s="104" t="n">
        <v>0.2098</v>
      </c>
      <c r="K512" s="104" t="n">
        <v>-0.0108</v>
      </c>
      <c r="L512" s="134" t="n">
        <v>138.04</v>
      </c>
      <c r="M512" s="134" t="n">
        <v>3771.53</v>
      </c>
      <c r="N512" s="104" t="n">
        <v>0.0366</v>
      </c>
      <c r="O512" s="134" t="n">
        <v>222</v>
      </c>
      <c r="P512" s="134" t="n">
        <v>0</v>
      </c>
      <c r="Q512" s="134" t="inlineStr">
        <is>
          <t>8 0.85%</t>
        </is>
      </c>
      <c r="R512" s="134" t="inlineStr">
        <is>
          <t>61 0.53%</t>
        </is>
      </c>
      <c r="S512" s="134" t="inlineStr">
        <is>
          <t>64 0.45%</t>
        </is>
      </c>
      <c r="T512" s="134" t="inlineStr">
        <is>
          <t>31 1.21%</t>
        </is>
      </c>
      <c r="U512" s="134" t="inlineStr">
        <is>
          <t>58 1.70%</t>
        </is>
      </c>
    </row>
    <row customHeight="1" ht="17" r="513" s="155">
      <c r="A513" s="105" t="n">
        <v>43872</v>
      </c>
      <c r="B513" s="134" t="n">
        <v>1295.082</v>
      </c>
      <c r="C513" s="152" t="n">
        <v>0.414</v>
      </c>
      <c r="D513" s="153" t="n">
        <v>0.0003</v>
      </c>
      <c r="E513" s="134" t="n">
        <v>122.08</v>
      </c>
      <c r="F513" s="134" t="n">
        <v>115.81</v>
      </c>
      <c r="G513" s="134" t="n">
        <v>94.92</v>
      </c>
      <c r="H513" s="134" t="n">
        <v>148.59</v>
      </c>
      <c r="I513" s="104" t="n">
        <v>0.2651</v>
      </c>
      <c r="J513" s="104" t="n">
        <v>0.2236</v>
      </c>
      <c r="K513" s="104" t="n">
        <v>-0.0106</v>
      </c>
      <c r="L513" s="134" t="n">
        <v>131.63</v>
      </c>
      <c r="M513" s="134" t="n">
        <v>3771.95</v>
      </c>
      <c r="N513" s="104" t="n">
        <v>0.0349</v>
      </c>
      <c r="O513" s="134" t="n">
        <v>223</v>
      </c>
      <c r="P513" s="134" t="n">
        <v>0</v>
      </c>
      <c r="Q513" s="134" t="inlineStr">
        <is>
          <t>6 0.77%</t>
        </is>
      </c>
      <c r="R513" s="134" t="inlineStr">
        <is>
          <t>64 0.03%</t>
        </is>
      </c>
      <c r="S513" s="134" t="inlineStr">
        <is>
          <t>58 0.18%</t>
        </is>
      </c>
      <c r="T513" s="134" t="inlineStr">
        <is>
          <t>41 0.31%</t>
        </is>
      </c>
      <c r="U513" s="134" t="inlineStr">
        <is>
          <t>54 -0.42%</t>
        </is>
      </c>
    </row>
    <row customHeight="1" ht="17" r="514" s="155">
      <c r="A514" s="105" t="n">
        <v>43873</v>
      </c>
      <c r="B514" s="134" t="n">
        <v>1313.615</v>
      </c>
      <c r="C514" s="152" t="n">
        <v>18.533</v>
      </c>
      <c r="D514" s="153" t="n">
        <v>0.0143</v>
      </c>
      <c r="E514" s="134" t="n">
        <v>123.951</v>
      </c>
      <c r="F514" s="134" t="n">
        <v>116.71</v>
      </c>
      <c r="G514" s="134" t="n">
        <v>95.91</v>
      </c>
      <c r="H514" s="134" t="n">
        <v>149.88</v>
      </c>
      <c r="I514" s="104" t="n">
        <v>0.2592</v>
      </c>
      <c r="J514" s="104" t="n">
        <v>0.2159</v>
      </c>
      <c r="K514" s="104" t="n">
        <v>-0.0136</v>
      </c>
      <c r="L514" s="134" t="n">
        <v>145.44</v>
      </c>
      <c r="M514" s="134" t="n">
        <v>3770.2</v>
      </c>
      <c r="N514" s="104" t="n">
        <v>0.0386</v>
      </c>
      <c r="O514" s="134" t="n">
        <v>223</v>
      </c>
      <c r="P514" s="134" t="n">
        <v>0</v>
      </c>
      <c r="Q514" s="134" t="inlineStr">
        <is>
          <t>4 0.52%</t>
        </is>
      </c>
      <c r="R514" s="134" t="inlineStr">
        <is>
          <t>60 0.52%</t>
        </is>
      </c>
      <c r="S514" s="134" t="inlineStr">
        <is>
          <t>63 0.82%</t>
        </is>
      </c>
      <c r="T514" s="134" t="inlineStr">
        <is>
          <t>31 1.27%</t>
        </is>
      </c>
      <c r="U514" s="134" t="inlineStr">
        <is>
          <t>65 3.00%</t>
        </is>
      </c>
    </row>
    <row customHeight="1" ht="17" r="515" s="155">
      <c r="A515" s="105" t="n">
        <v>43874</v>
      </c>
      <c r="B515" s="134" t="n">
        <v>1310.62</v>
      </c>
      <c r="C515" s="150" t="n">
        <v>-2.995</v>
      </c>
      <c r="D515" s="151" t="n">
        <v>-0.0023</v>
      </c>
      <c r="E515" s="134" t="n">
        <v>123.449</v>
      </c>
      <c r="F515" s="134" t="n">
        <v>115.995</v>
      </c>
      <c r="G515" s="134" t="n">
        <v>93.90000000000001</v>
      </c>
      <c r="H515" s="134" t="n">
        <v>150.3</v>
      </c>
      <c r="I515" s="104" t="n">
        <v>0.2685</v>
      </c>
      <c r="J515" s="104" t="n">
        <v>0.2244</v>
      </c>
      <c r="K515" s="104" t="n">
        <v>-0.0128</v>
      </c>
      <c r="L515" s="134" t="n">
        <v>154.46</v>
      </c>
      <c r="M515" s="134" t="n">
        <v>3768.23</v>
      </c>
      <c r="N515" s="104" t="n">
        <v>0.041</v>
      </c>
      <c r="O515" s="134" t="n">
        <v>222</v>
      </c>
      <c r="P515" s="134" t="n">
        <v>0</v>
      </c>
      <c r="Q515" s="134" t="inlineStr">
        <is>
          <t>5 -0.81%</t>
        </is>
      </c>
      <c r="R515" s="134" t="inlineStr">
        <is>
          <t>61 -0.26%</t>
        </is>
      </c>
      <c r="S515" s="134" t="inlineStr">
        <is>
          <t>63 -0.14%</t>
        </is>
      </c>
      <c r="T515" s="134" t="inlineStr">
        <is>
          <t>29 -0.36%</t>
        </is>
      </c>
      <c r="U515" s="134" t="inlineStr">
        <is>
          <t>64 -0.18%</t>
        </is>
      </c>
    </row>
    <row customHeight="1" ht="17" r="516" s="155">
      <c r="A516" s="105" t="n">
        <v>43875</v>
      </c>
      <c r="B516" s="134" t="n">
        <v>1311.852</v>
      </c>
      <c r="C516" s="152" t="n">
        <v>1.232</v>
      </c>
      <c r="D516" s="153" t="n">
        <v>0.0009</v>
      </c>
      <c r="E516" s="134" t="n">
        <v>123.566</v>
      </c>
      <c r="F516" s="134" t="n">
        <v>116.785</v>
      </c>
      <c r="G516" s="134" t="n">
        <v>94.90000000000001</v>
      </c>
      <c r="H516" s="134" t="n">
        <v>150.46</v>
      </c>
      <c r="I516" s="104" t="n">
        <v>0.2689</v>
      </c>
      <c r="J516" s="104" t="n">
        <v>0.2249</v>
      </c>
      <c r="K516" s="104" t="n">
        <v>-0.013</v>
      </c>
      <c r="L516" s="134" t="n">
        <v>121.74</v>
      </c>
      <c r="M516" s="134" t="n">
        <v>3767.32</v>
      </c>
      <c r="N516" s="104" t="n">
        <v>0.0323</v>
      </c>
      <c r="O516" s="134" t="n">
        <v>222</v>
      </c>
      <c r="P516" s="134" t="n">
        <v>0</v>
      </c>
      <c r="Q516" s="134" t="inlineStr">
        <is>
          <t>5 -0.39%</t>
        </is>
      </c>
      <c r="R516" s="134" t="inlineStr">
        <is>
          <t>61 0.10%</t>
        </is>
      </c>
      <c r="S516" s="134" t="inlineStr">
        <is>
          <t>63 0.30%</t>
        </is>
      </c>
      <c r="T516" s="134" t="inlineStr">
        <is>
          <t>30 1.11%</t>
        </is>
      </c>
      <c r="U516" s="134" t="inlineStr">
        <is>
          <t>63 0.06%</t>
        </is>
      </c>
    </row>
    <row customHeight="1" ht="17" r="517" s="155">
      <c r="A517" s="105" t="n">
        <v>43878</v>
      </c>
      <c r="B517" s="134" t="n">
        <v>1335.269</v>
      </c>
      <c r="C517" s="152" t="n">
        <v>23.417</v>
      </c>
      <c r="D517" s="153" t="n">
        <v>0.0179</v>
      </c>
      <c r="E517" s="134" t="n">
        <v>125.894</v>
      </c>
      <c r="F517" s="134" t="n">
        <v>118.901</v>
      </c>
      <c r="G517" s="134" t="n">
        <v>98.40000000000001</v>
      </c>
      <c r="H517" s="134" t="n">
        <v>150.76</v>
      </c>
      <c r="I517" s="104" t="n">
        <v>0.2487</v>
      </c>
      <c r="J517" s="104" t="n">
        <v>0.1998</v>
      </c>
      <c r="K517" s="104" t="n">
        <v>-0.0168</v>
      </c>
      <c r="L517" s="134" t="n">
        <v>157.5</v>
      </c>
      <c r="M517" s="134" t="n">
        <v>3840.1</v>
      </c>
      <c r="N517" s="104" t="n">
        <v>0.041</v>
      </c>
      <c r="O517" s="134" t="n">
        <v>224</v>
      </c>
      <c r="P517" s="134" t="n">
        <v>0</v>
      </c>
      <c r="Q517" s="134" t="inlineStr">
        <is>
          <t>5 0.41%</t>
        </is>
      </c>
      <c r="R517" s="134" t="inlineStr">
        <is>
          <t>49 0.84%</t>
        </is>
      </c>
      <c r="S517" s="134" t="inlineStr">
        <is>
          <t>63 1.37%</t>
        </is>
      </c>
      <c r="T517" s="134" t="inlineStr">
        <is>
          <t>33 1.55%</t>
        </is>
      </c>
      <c r="U517" s="134" t="inlineStr">
        <is>
          <t>74 3.33%</t>
        </is>
      </c>
    </row>
    <row customHeight="1" ht="17" r="518" s="155">
      <c r="A518" s="105" t="n">
        <v>43879</v>
      </c>
      <c r="B518" s="134" t="n">
        <v>1346.953</v>
      </c>
      <c r="C518" s="152" t="n">
        <v>11.684</v>
      </c>
      <c r="D518" s="153" t="n">
        <v>0.008800000000000001</v>
      </c>
      <c r="E518" s="134" t="n">
        <v>127.089</v>
      </c>
      <c r="F518" s="134" t="n">
        <v>119.05</v>
      </c>
      <c r="G518" s="134" t="n">
        <v>99.84999999999999</v>
      </c>
      <c r="H518" s="134" t="n">
        <v>151.33</v>
      </c>
      <c r="I518" s="104" t="n">
        <v>0.2424</v>
      </c>
      <c r="J518" s="104" t="n">
        <v>0.1932</v>
      </c>
      <c r="K518" s="104" t="n">
        <v>-0.0186</v>
      </c>
      <c r="L518" s="134" t="n">
        <v>145.72</v>
      </c>
      <c r="M518" s="134" t="n">
        <v>3849.81</v>
      </c>
      <c r="N518" s="104" t="n">
        <v>0.0379</v>
      </c>
      <c r="O518" s="134" t="n">
        <v>225</v>
      </c>
      <c r="P518" s="134" t="n">
        <v>0</v>
      </c>
      <c r="Q518" s="134" t="inlineStr">
        <is>
          <t>5 0.50%</t>
        </is>
      </c>
      <c r="R518" s="134" t="inlineStr">
        <is>
          <t>42 0.68%</t>
        </is>
      </c>
      <c r="S518" s="134" t="inlineStr">
        <is>
          <t>68 0.68%</t>
        </is>
      </c>
      <c r="T518" s="134" t="inlineStr">
        <is>
          <t>36 0.48%</t>
        </is>
      </c>
      <c r="U518" s="134" t="inlineStr">
        <is>
          <t>74 1.38%</t>
        </is>
      </c>
    </row>
    <row customHeight="1" ht="17" r="519" s="155">
      <c r="A519" s="105" t="n">
        <v>43880</v>
      </c>
      <c r="B519" s="134" t="n">
        <v>1350.32</v>
      </c>
      <c r="C519" s="152" t="n">
        <v>3.367</v>
      </c>
      <c r="D519" s="153" t="n">
        <v>0.0025</v>
      </c>
      <c r="E519" s="134" t="n">
        <v>127.132</v>
      </c>
      <c r="F519" s="134" t="n">
        <v>119.763</v>
      </c>
      <c r="G519" s="134" t="n">
        <v>100.1</v>
      </c>
      <c r="H519" s="134" t="n">
        <v>152.06</v>
      </c>
      <c r="I519" s="104" t="n">
        <v>0.2493</v>
      </c>
      <c r="J519" s="104" t="n">
        <v>0.2011</v>
      </c>
      <c r="K519" s="104" t="n">
        <v>-0.0188</v>
      </c>
      <c r="L519" s="134" t="n">
        <v>138.08</v>
      </c>
      <c r="M519" s="134" t="n">
        <v>3847.73</v>
      </c>
      <c r="N519" s="104" t="n">
        <v>0.0359</v>
      </c>
      <c r="O519" s="134" t="n">
        <v>224</v>
      </c>
      <c r="P519" s="134" t="n">
        <v>0</v>
      </c>
      <c r="Q519" s="134" t="inlineStr">
        <is>
          <t>5 -0.01%</t>
        </is>
      </c>
      <c r="R519" s="134" t="inlineStr">
        <is>
          <t>42 0.26%</t>
        </is>
      </c>
      <c r="S519" s="134" t="inlineStr">
        <is>
          <t>69 0.52%</t>
        </is>
      </c>
      <c r="T519" s="134" t="inlineStr">
        <is>
          <t>36 0.31%</t>
        </is>
      </c>
      <c r="U519" s="134" t="inlineStr">
        <is>
          <t>72 0.21%</t>
        </is>
      </c>
    </row>
    <row customHeight="1" ht="17" r="520" s="155">
      <c r="A520" s="105" t="n">
        <v>43881</v>
      </c>
      <c r="B520" s="134" t="n">
        <v>1364.566</v>
      </c>
      <c r="C520" s="152" t="n">
        <v>14.246</v>
      </c>
      <c r="D520" s="153" t="n">
        <v>0.0106</v>
      </c>
      <c r="E520" s="134" t="n">
        <v>128.404</v>
      </c>
      <c r="F520" s="134" t="n">
        <v>121.25</v>
      </c>
      <c r="G520" s="134" t="n">
        <v>101.95</v>
      </c>
      <c r="H520" s="134" t="n">
        <v>152.6</v>
      </c>
      <c r="I520" s="104" t="n">
        <v>0.242</v>
      </c>
      <c r="J520" s="104" t="n">
        <v>0.1966</v>
      </c>
      <c r="K520" s="104" t="n">
        <v>-0.0209</v>
      </c>
      <c r="L520" s="134" t="n">
        <v>151.84</v>
      </c>
      <c r="M520" s="134" t="n">
        <v>3847.61</v>
      </c>
      <c r="N520" s="104" t="n">
        <v>0.0395</v>
      </c>
      <c r="O520" s="134" t="n">
        <v>225</v>
      </c>
      <c r="P520" s="134" t="n">
        <v>0</v>
      </c>
      <c r="Q520" s="134" t="inlineStr">
        <is>
          <t>4 0.16%</t>
        </is>
      </c>
      <c r="R520" s="134" t="inlineStr">
        <is>
          <t>39 0.86%</t>
        </is>
      </c>
      <c r="S520" s="134" t="inlineStr">
        <is>
          <t>66 0.93%</t>
        </is>
      </c>
      <c r="T520" s="134" t="inlineStr">
        <is>
          <t>39 0.67%</t>
        </is>
      </c>
      <c r="U520" s="134" t="inlineStr">
        <is>
          <t>77 1.51%</t>
        </is>
      </c>
    </row>
    <row customHeight="1" ht="17" r="521" s="155">
      <c r="A521" s="105" t="n">
        <v>43882</v>
      </c>
      <c r="B521" s="134" t="n">
        <v>1377.366</v>
      </c>
      <c r="C521" s="152" t="n">
        <v>12.8</v>
      </c>
      <c r="D521" s="153" t="n">
        <v>0.0094</v>
      </c>
      <c r="E521" s="134" t="n">
        <v>129.718</v>
      </c>
      <c r="F521" s="134" t="n">
        <v>121.83</v>
      </c>
      <c r="G521" s="134" t="n">
        <v>103.32</v>
      </c>
      <c r="H521" s="134" t="n">
        <v>153.37</v>
      </c>
      <c r="I521" s="104" t="n">
        <v>0.2365</v>
      </c>
      <c r="J521" s="104" t="n">
        <v>0.1921</v>
      </c>
      <c r="K521" s="104" t="n">
        <v>-0.0227</v>
      </c>
      <c r="L521" s="134" t="n">
        <v>175.12</v>
      </c>
      <c r="M521" s="134" t="n">
        <v>3846.59</v>
      </c>
      <c r="N521" s="104" t="n">
        <v>0.0455</v>
      </c>
      <c r="O521" s="134" t="n">
        <v>225</v>
      </c>
      <c r="P521" s="134" t="n">
        <v>0</v>
      </c>
      <c r="Q521" s="134" t="inlineStr">
        <is>
          <t>5 0.12%</t>
        </is>
      </c>
      <c r="R521" s="134" t="inlineStr">
        <is>
          <t>35 0.24%</t>
        </is>
      </c>
      <c r="S521" s="134" t="inlineStr">
        <is>
          <t>65 0.80%</t>
        </is>
      </c>
      <c r="T521" s="134" t="inlineStr">
        <is>
          <t>36 0.48%</t>
        </is>
      </c>
      <c r="U521" s="134" t="inlineStr">
        <is>
          <t>84 1.58%</t>
        </is>
      </c>
    </row>
    <row customHeight="1" ht="17" r="522" s="155">
      <c r="A522" s="105" t="n">
        <v>43885</v>
      </c>
      <c r="B522" s="134" t="n">
        <v>1389.611</v>
      </c>
      <c r="C522" s="152" t="n">
        <v>12.245</v>
      </c>
      <c r="D522" s="153" t="n">
        <v>0.0089</v>
      </c>
      <c r="E522" s="134" t="n">
        <v>131.046</v>
      </c>
      <c r="F522" s="134" t="n">
        <v>122.85</v>
      </c>
      <c r="G522" s="134" t="n">
        <v>103.46</v>
      </c>
      <c r="H522" s="134" t="n">
        <v>154.46</v>
      </c>
      <c r="I522" s="104" t="n">
        <v>0.2341</v>
      </c>
      <c r="J522" s="104" t="n">
        <v>0.1899</v>
      </c>
      <c r="K522" s="104" t="n">
        <v>-0.0245</v>
      </c>
      <c r="L522" s="134" t="n">
        <v>144.45</v>
      </c>
      <c r="M522" s="134" t="n">
        <v>3845.29</v>
      </c>
      <c r="N522" s="104" t="n">
        <v>0.0376</v>
      </c>
      <c r="O522" s="134" t="n">
        <v>225</v>
      </c>
      <c r="P522" s="134" t="n">
        <v>0</v>
      </c>
      <c r="Q522" s="134" t="inlineStr">
        <is>
          <t>3 -0.17%</t>
        </is>
      </c>
      <c r="R522" s="134" t="inlineStr">
        <is>
          <t>36 0.17%</t>
        </is>
      </c>
      <c r="S522" s="134" t="inlineStr">
        <is>
          <t>64 0.05%</t>
        </is>
      </c>
      <c r="T522" s="134" t="inlineStr">
        <is>
          <t>36 1.60%</t>
        </is>
      </c>
      <c r="U522" s="134" t="inlineStr">
        <is>
          <t>86 1.84%</t>
        </is>
      </c>
    </row>
    <row customHeight="1" ht="17" r="523" s="155">
      <c r="A523" s="105" t="n">
        <v>43886</v>
      </c>
      <c r="B523" s="134" t="n">
        <v>1388.152</v>
      </c>
      <c r="C523" s="150" t="n">
        <v>-1.459</v>
      </c>
      <c r="D523" s="151" t="n">
        <v>-0.0011</v>
      </c>
      <c r="E523" s="134" t="n">
        <v>130.898</v>
      </c>
      <c r="F523" s="134" t="n">
        <v>122.996</v>
      </c>
      <c r="G523" s="134" t="n">
        <v>103.84</v>
      </c>
      <c r="H523" s="134" t="n">
        <v>154.41</v>
      </c>
      <c r="I523" s="104" t="n">
        <v>0.2352</v>
      </c>
      <c r="J523" s="104" t="n">
        <v>0.1892</v>
      </c>
      <c r="K523" s="104" t="n">
        <v>-0.0242</v>
      </c>
      <c r="L523" s="134" t="n">
        <v>171.63</v>
      </c>
      <c r="M523" s="134" t="n">
        <v>3848.37</v>
      </c>
      <c r="N523" s="104" t="n">
        <v>0.0446</v>
      </c>
      <c r="O523" s="134" t="n">
        <v>226</v>
      </c>
      <c r="P523" s="134" t="n">
        <v>0</v>
      </c>
      <c r="Q523" s="134" t="inlineStr">
        <is>
          <t>3 -0.22%</t>
        </is>
      </c>
      <c r="R523" s="134" t="inlineStr">
        <is>
          <t>38 -0.40%</t>
        </is>
      </c>
      <c r="S523" s="134" t="inlineStr">
        <is>
          <t>60 -0.51%</t>
        </is>
      </c>
      <c r="T523" s="134" t="inlineStr">
        <is>
          <t>39 0.07%</t>
        </is>
      </c>
      <c r="U523" s="134" t="inlineStr">
        <is>
          <t>86 0.23%</t>
        </is>
      </c>
    </row>
    <row customHeight="1" ht="17" r="524" s="155">
      <c r="A524" s="105" t="n">
        <v>43887</v>
      </c>
      <c r="B524" s="134" t="n">
        <v>1364.359</v>
      </c>
      <c r="C524" s="150" t="n">
        <v>-23.793</v>
      </c>
      <c r="D524" s="151" t="n">
        <v>-0.0171</v>
      </c>
      <c r="E524" s="134" t="n">
        <v>128.183</v>
      </c>
      <c r="F524" s="134" t="n">
        <v>121.498</v>
      </c>
      <c r="G524" s="134" t="n">
        <v>102.19</v>
      </c>
      <c r="H524" s="134" t="n">
        <v>152.02</v>
      </c>
      <c r="I524" s="104" t="n">
        <v>0.2384</v>
      </c>
      <c r="J524" s="104" t="n">
        <v>0.191</v>
      </c>
      <c r="K524" s="104" t="n">
        <v>-0.0206</v>
      </c>
      <c r="L524" s="134" t="n">
        <v>139.71</v>
      </c>
      <c r="M524" s="134" t="n">
        <v>3836.65</v>
      </c>
      <c r="N524" s="104" t="n">
        <v>0.0364</v>
      </c>
      <c r="O524" s="134" t="n">
        <v>226</v>
      </c>
      <c r="P524" s="134" t="n">
        <v>0</v>
      </c>
      <c r="Q524" s="134" t="inlineStr">
        <is>
          <t>3 -0.18%</t>
        </is>
      </c>
      <c r="R524" s="134" t="inlineStr">
        <is>
          <t>38 -0.23%</t>
        </is>
      </c>
      <c r="S524" s="134" t="inlineStr">
        <is>
          <t>64 -0.82%</t>
        </is>
      </c>
      <c r="T524" s="134" t="inlineStr">
        <is>
          <t>42 -0.92%</t>
        </is>
      </c>
      <c r="U524" s="134" t="inlineStr">
        <is>
          <t>79 -3.63%</t>
        </is>
      </c>
    </row>
    <row customHeight="1" ht="17" r="525" s="155">
      <c r="A525" s="105" t="n">
        <v>43888</v>
      </c>
      <c r="B525" s="134" t="n">
        <v>1362.476</v>
      </c>
      <c r="C525" s="150" t="n">
        <v>-1.883</v>
      </c>
      <c r="D525" s="151" t="n">
        <v>-0.0014</v>
      </c>
      <c r="E525" s="134" t="n">
        <v>128.024</v>
      </c>
      <c r="F525" s="134" t="n">
        <v>121.33</v>
      </c>
      <c r="G525" s="134" t="n">
        <v>103.47</v>
      </c>
      <c r="H525" s="134" t="n">
        <v>151.48</v>
      </c>
      <c r="I525" s="104" t="n">
        <v>0.2345</v>
      </c>
      <c r="J525" s="104" t="n">
        <v>0.1825</v>
      </c>
      <c r="K525" s="104" t="n">
        <v>-0.0203</v>
      </c>
      <c r="L525" s="134" t="n">
        <v>131.01</v>
      </c>
      <c r="M525" s="134" t="n">
        <v>3834.46</v>
      </c>
      <c r="N525" s="104" t="n">
        <v>0.0342</v>
      </c>
      <c r="O525" s="134" t="n">
        <v>226</v>
      </c>
      <c r="P525" s="134" t="n">
        <v>0</v>
      </c>
      <c r="Q525" s="134" t="inlineStr">
        <is>
          <t>3 -0.12%</t>
        </is>
      </c>
      <c r="R525" s="134" t="inlineStr">
        <is>
          <t>40 -0.11%</t>
        </is>
      </c>
      <c r="S525" s="134" t="inlineStr">
        <is>
          <t>65 -0.08%</t>
        </is>
      </c>
      <c r="T525" s="134" t="inlineStr">
        <is>
          <t>40 -0.36%</t>
        </is>
      </c>
      <c r="U525" s="134" t="inlineStr">
        <is>
          <t>78 -0.09%</t>
        </is>
      </c>
    </row>
    <row customHeight="1" ht="17" r="526" s="155">
      <c r="A526" s="105" t="n">
        <v>43889</v>
      </c>
      <c r="B526" s="134" t="n">
        <v>1331.534</v>
      </c>
      <c r="C526" s="150" t="n">
        <v>-30.942</v>
      </c>
      <c r="D526" s="151" t="n">
        <v>-0.0227</v>
      </c>
      <c r="E526" s="134" t="n">
        <v>124.743</v>
      </c>
      <c r="F526" s="134" t="n">
        <v>118.061</v>
      </c>
      <c r="G526" s="134" t="n">
        <v>97.09</v>
      </c>
      <c r="H526" s="134" t="n">
        <v>152.65</v>
      </c>
      <c r="I526" s="104" t="n">
        <v>0.2791</v>
      </c>
      <c r="J526" s="104" t="n">
        <v>0.2139</v>
      </c>
      <c r="K526" s="104" t="n">
        <v>-0.0151</v>
      </c>
      <c r="L526" s="134" t="n">
        <v>159.09</v>
      </c>
      <c r="M526" s="134" t="n">
        <v>3830.7</v>
      </c>
      <c r="N526" s="104" t="n">
        <v>0.0415</v>
      </c>
      <c r="O526" s="134" t="n">
        <v>225</v>
      </c>
      <c r="P526" s="134" t="inlineStr">
        <is>
          <t>1 -0.94%</t>
        </is>
      </c>
      <c r="Q526" s="134" t="inlineStr">
        <is>
          <t>2 -0.17%</t>
        </is>
      </c>
      <c r="R526" s="134" t="inlineStr">
        <is>
          <t>47 -0.96%</t>
        </is>
      </c>
      <c r="S526" s="134" t="inlineStr">
        <is>
          <t>72 -2.09%</t>
        </is>
      </c>
      <c r="T526" s="134" t="inlineStr">
        <is>
          <t>39 -2.08%</t>
        </is>
      </c>
      <c r="U526" s="134" t="inlineStr">
        <is>
          <t>64 -3.21%</t>
        </is>
      </c>
    </row>
    <row customHeight="1" ht="17" r="527" s="155">
      <c r="A527" s="105" t="n">
        <v>43892</v>
      </c>
      <c r="B527" s="134" t="n">
        <v>1349.39</v>
      </c>
      <c r="C527" s="152" t="n">
        <v>17.856</v>
      </c>
      <c r="D527" s="153" t="n">
        <v>0.0134</v>
      </c>
      <c r="E527" s="134" t="n">
        <v>126.353</v>
      </c>
      <c r="F527" s="134" t="n">
        <v>119.847</v>
      </c>
      <c r="G527" s="134" t="n">
        <v>100.74</v>
      </c>
      <c r="H527" s="134" t="n">
        <v>150.9</v>
      </c>
      <c r="I527" s="104" t="n">
        <v>0.2455</v>
      </c>
      <c r="J527" s="104" t="n">
        <v>0.1877</v>
      </c>
      <c r="K527" s="104" t="n">
        <v>-0.0181</v>
      </c>
      <c r="L527" s="134" t="n">
        <v>167.67</v>
      </c>
      <c r="M527" s="134" t="n">
        <v>3845.15</v>
      </c>
      <c r="N527" s="104" t="n">
        <v>0.0436</v>
      </c>
      <c r="O527" s="134" t="n">
        <v>226</v>
      </c>
      <c r="P527" s="134" t="n">
        <v>0</v>
      </c>
      <c r="Q527" s="134" t="inlineStr">
        <is>
          <t>2 0.42%</t>
        </is>
      </c>
      <c r="R527" s="134" t="inlineStr">
        <is>
          <t>42 1.02%</t>
        </is>
      </c>
      <c r="S527" s="134" t="inlineStr">
        <is>
          <t>71 1.33%</t>
        </is>
      </c>
      <c r="T527" s="134" t="inlineStr">
        <is>
          <t>44 1.64%</t>
        </is>
      </c>
      <c r="U527" s="134" t="inlineStr">
        <is>
          <t>67 1.39%</t>
        </is>
      </c>
    </row>
    <row customHeight="1" ht="17" r="528" s="155">
      <c r="A528" s="105" t="n">
        <v>43893</v>
      </c>
      <c r="B528" s="134" t="n">
        <v>1359.362</v>
      </c>
      <c r="C528" s="152" t="n">
        <v>9.972</v>
      </c>
      <c r="D528" s="153" t="n">
        <v>0.0074</v>
      </c>
      <c r="E528" s="134" t="n">
        <v>127.405</v>
      </c>
      <c r="F528" s="134" t="n">
        <v>120.28</v>
      </c>
      <c r="G528" s="134" t="n">
        <v>100.97</v>
      </c>
      <c r="H528" s="134" t="n">
        <v>151.53</v>
      </c>
      <c r="I528" s="104" t="n">
        <v>0.2413</v>
      </c>
      <c r="J528" s="104" t="n">
        <v>0.1871</v>
      </c>
      <c r="K528" s="104" t="n">
        <v>-0.0197</v>
      </c>
      <c r="L528" s="134" t="n">
        <v>169.92</v>
      </c>
      <c r="M528" s="134" t="n">
        <v>3841.08</v>
      </c>
      <c r="N528" s="104" t="n">
        <v>0.0442</v>
      </c>
      <c r="O528" s="134" t="n">
        <v>226</v>
      </c>
      <c r="P528" s="134" t="n">
        <v>0</v>
      </c>
      <c r="Q528" s="134" t="inlineStr">
        <is>
          <t>2 0.11%</t>
        </is>
      </c>
      <c r="R528" s="134" t="inlineStr">
        <is>
          <t>41 0.16%</t>
        </is>
      </c>
      <c r="S528" s="134" t="inlineStr">
        <is>
          <t>69 0.41%</t>
        </is>
      </c>
      <c r="T528" s="134" t="inlineStr">
        <is>
          <t>40 0.66%</t>
        </is>
      </c>
      <c r="U528" s="134" t="inlineStr">
        <is>
          <t>74 1.43%</t>
        </is>
      </c>
    </row>
    <row customHeight="1" ht="17" r="529" s="155">
      <c r="A529" s="105" t="n">
        <v>43894</v>
      </c>
      <c r="B529" s="134" t="n">
        <v>1360.164</v>
      </c>
      <c r="C529" s="152" t="n">
        <v>0.802</v>
      </c>
      <c r="D529" s="153" t="n">
        <v>0.0005999999999999999</v>
      </c>
      <c r="E529" s="134" t="n">
        <v>127.357</v>
      </c>
      <c r="F529" s="134" t="n">
        <v>120.87</v>
      </c>
      <c r="G529" s="134" t="n">
        <v>101.8</v>
      </c>
      <c r="H529" s="134" t="n">
        <v>150.3</v>
      </c>
      <c r="I529" s="104" t="n">
        <v>0.2294</v>
      </c>
      <c r="J529" s="104" t="n">
        <v>0.1802</v>
      </c>
      <c r="K529" s="104" t="n">
        <v>-0.0198</v>
      </c>
      <c r="L529" s="134" t="n">
        <v>123.47</v>
      </c>
      <c r="M529" s="134" t="n">
        <v>3832.12</v>
      </c>
      <c r="N529" s="104" t="n">
        <v>0.0322</v>
      </c>
      <c r="O529" s="134" t="n">
        <v>225</v>
      </c>
      <c r="P529" s="134" t="n">
        <v>0</v>
      </c>
      <c r="Q529" s="134" t="inlineStr">
        <is>
          <t>2 0.04%</t>
        </is>
      </c>
      <c r="R529" s="134" t="inlineStr">
        <is>
          <t>38 0.24%</t>
        </is>
      </c>
      <c r="S529" s="134" t="inlineStr">
        <is>
          <t>71 0.27%</t>
        </is>
      </c>
      <c r="T529" s="134" t="inlineStr">
        <is>
          <t>43 -0.33%</t>
        </is>
      </c>
      <c r="U529" s="134" t="inlineStr">
        <is>
          <t>71 -0.01%</t>
        </is>
      </c>
    </row>
    <row customHeight="1" ht="17" r="530" s="155">
      <c r="A530" s="105" t="n">
        <v>43895</v>
      </c>
      <c r="B530" s="134" t="n">
        <v>1376.513</v>
      </c>
      <c r="C530" s="152" t="n">
        <v>16.349</v>
      </c>
      <c r="D530" s="153" t="n">
        <v>0.012</v>
      </c>
      <c r="E530" s="134" t="n">
        <v>128.902</v>
      </c>
      <c r="F530" s="134" t="n">
        <v>123</v>
      </c>
      <c r="G530" s="134" t="n">
        <v>103.68</v>
      </c>
      <c r="H530" s="134" t="n">
        <v>150.89</v>
      </c>
      <c r="I530" s="104" t="n">
        <v>0.2199</v>
      </c>
      <c r="J530" s="104" t="n">
        <v>0.1708</v>
      </c>
      <c r="K530" s="104" t="n">
        <v>-0.0224</v>
      </c>
      <c r="L530" s="134" t="n">
        <v>157.14</v>
      </c>
      <c r="M530" s="134" t="n">
        <v>3828.74</v>
      </c>
      <c r="N530" s="104" t="n">
        <v>0.041</v>
      </c>
      <c r="O530" s="134" t="n">
        <v>225</v>
      </c>
      <c r="P530" s="134" t="n">
        <v>0</v>
      </c>
      <c r="Q530" s="134" t="inlineStr">
        <is>
          <t>2 0.34%</t>
        </is>
      </c>
      <c r="R530" s="134" t="inlineStr">
        <is>
          <t>30 0.66%</t>
        </is>
      </c>
      <c r="S530" s="134" t="inlineStr">
        <is>
          <t>70 1.11%</t>
        </is>
      </c>
      <c r="T530" s="134" t="inlineStr">
        <is>
          <t>49 1.37%</t>
        </is>
      </c>
      <c r="U530" s="134" t="inlineStr">
        <is>
          <t>74 1.42%</t>
        </is>
      </c>
    </row>
    <row customHeight="1" ht="17" r="531" s="155">
      <c r="A531" s="105" t="n">
        <v>43896</v>
      </c>
      <c r="B531" s="134" t="n">
        <v>1379.211</v>
      </c>
      <c r="C531" s="152" t="n">
        <v>2.698</v>
      </c>
      <c r="D531" s="153" t="n">
        <v>0.002</v>
      </c>
      <c r="E531" s="134" t="n">
        <v>129.232</v>
      </c>
      <c r="F531" s="134" t="n">
        <v>123.02</v>
      </c>
      <c r="G531" s="134" t="n">
        <v>102.49</v>
      </c>
      <c r="H531" s="134" t="n">
        <v>151.8</v>
      </c>
      <c r="I531" s="104" t="n">
        <v>0.2257</v>
      </c>
      <c r="J531" s="104" t="n">
        <v>0.1756</v>
      </c>
      <c r="K531" s="104" t="n">
        <v>-0.0227</v>
      </c>
      <c r="L531" s="134" t="n">
        <v>143.73</v>
      </c>
      <c r="M531" s="134" t="n">
        <v>3822.13</v>
      </c>
      <c r="N531" s="104" t="n">
        <v>0.0376</v>
      </c>
      <c r="O531" s="134" t="n">
        <v>225</v>
      </c>
      <c r="P531" s="134" t="inlineStr">
        <is>
          <t>1 -0.10%</t>
        </is>
      </c>
      <c r="Q531" s="134" t="n">
        <v>0</v>
      </c>
      <c r="R531" s="134" t="inlineStr">
        <is>
          <t>27 0.49%</t>
        </is>
      </c>
      <c r="S531" s="134" t="inlineStr">
        <is>
          <t>72 0.20%</t>
        </is>
      </c>
      <c r="T531" s="134" t="inlineStr">
        <is>
          <t>49 -0.22%</t>
        </is>
      </c>
      <c r="U531" s="134" t="inlineStr">
        <is>
          <t>76 0.36%</t>
        </is>
      </c>
    </row>
    <row customHeight="1" ht="17" r="532" s="155">
      <c r="A532" s="105" t="n">
        <v>43899</v>
      </c>
      <c r="B532" s="134" t="n">
        <v>1358.564</v>
      </c>
      <c r="C532" s="150" t="n">
        <v>-20.647</v>
      </c>
      <c r="D532" s="151" t="n">
        <v>-0.015</v>
      </c>
      <c r="E532" s="134" t="n">
        <v>127.747</v>
      </c>
      <c r="F532" s="134" t="n">
        <v>120.001</v>
      </c>
      <c r="G532" s="134" t="n">
        <v>99.83</v>
      </c>
      <c r="H532" s="134" t="n">
        <v>152.83</v>
      </c>
      <c r="I532" s="104" t="n">
        <v>0.2508</v>
      </c>
      <c r="J532" s="104" t="n">
        <v>0.1962</v>
      </c>
      <c r="K532" s="104" t="n">
        <v>-0.019</v>
      </c>
      <c r="L532" s="134" t="n">
        <v>191.08</v>
      </c>
      <c r="M532" s="134" t="n">
        <v>3815.64</v>
      </c>
      <c r="N532" s="104" t="n">
        <v>0.0501</v>
      </c>
      <c r="O532" s="134" t="n">
        <v>225</v>
      </c>
      <c r="P532" s="134" t="inlineStr">
        <is>
          <t>1 -0.31%</t>
        </is>
      </c>
      <c r="Q532" s="134" t="n">
        <v>0</v>
      </c>
      <c r="R532" s="134" t="inlineStr">
        <is>
          <t>40 -0.98%</t>
        </is>
      </c>
      <c r="S532" s="134" t="inlineStr">
        <is>
          <t>71 -1.83%</t>
        </is>
      </c>
      <c r="T532" s="134" t="inlineStr">
        <is>
          <t>56 -3.15%</t>
        </is>
      </c>
      <c r="U532" s="134" t="inlineStr">
        <is>
          <t>57 0.15%</t>
        </is>
      </c>
    </row>
    <row customHeight="1" ht="17" r="533" s="155">
      <c r="A533" s="105" t="n">
        <v>43900</v>
      </c>
      <c r="B533" s="134" t="n">
        <v>1365.384</v>
      </c>
      <c r="C533" s="152" t="n">
        <v>6.82</v>
      </c>
      <c r="D533" s="153" t="n">
        <v>0.005</v>
      </c>
      <c r="E533" s="134" t="n">
        <v>127.286</v>
      </c>
      <c r="F533" s="134" t="n">
        <v>121.3</v>
      </c>
      <c r="G533" s="134" t="n">
        <v>102.36</v>
      </c>
      <c r="H533" s="134" t="n">
        <v>149.95</v>
      </c>
      <c r="I533" s="104" t="n">
        <v>0.2267</v>
      </c>
      <c r="J533" s="104" t="n">
        <v>0.1809</v>
      </c>
      <c r="K533" s="104" t="n">
        <v>-0.02</v>
      </c>
      <c r="L533" s="134" t="n">
        <v>303.31</v>
      </c>
      <c r="M533" s="134" t="n">
        <v>3810.07</v>
      </c>
      <c r="N533" s="104" t="n">
        <v>0.0796</v>
      </c>
      <c r="O533" s="134" t="n">
        <v>225</v>
      </c>
      <c r="P533" s="134" t="inlineStr">
        <is>
          <t>1 -0.30%</t>
        </is>
      </c>
      <c r="Q533" s="134" t="n">
        <v>0</v>
      </c>
      <c r="R533" s="134" t="inlineStr">
        <is>
          <t>36 0.34%</t>
        </is>
      </c>
      <c r="S533" s="134" t="inlineStr">
        <is>
          <t>66 0.60%</t>
        </is>
      </c>
      <c r="T533" s="134" t="inlineStr">
        <is>
          <t>56 0.96%</t>
        </is>
      </c>
      <c r="U533" s="134" t="inlineStr">
        <is>
          <t>66 0.12%</t>
        </is>
      </c>
    </row>
    <row customHeight="1" ht="17" r="534" s="155">
      <c r="A534" s="105" t="n">
        <v>43901</v>
      </c>
      <c r="B534" s="134" t="n">
        <v>1367.077</v>
      </c>
      <c r="C534" s="152" t="n">
        <v>1.693</v>
      </c>
      <c r="D534" s="153" t="n">
        <v>0.0012</v>
      </c>
      <c r="E534" s="134" t="n">
        <v>127.406</v>
      </c>
      <c r="F534" s="134" t="n">
        <v>121.545</v>
      </c>
      <c r="G534" s="134" t="n">
        <v>100.62</v>
      </c>
      <c r="H534" s="134" t="n">
        <v>151.57</v>
      </c>
      <c r="I534" s="104" t="n">
        <v>0.2417</v>
      </c>
      <c r="J534" s="104" t="n">
        <v>0.1981</v>
      </c>
      <c r="K534" s="104" t="n">
        <v>-0.02</v>
      </c>
      <c r="L534" s="134" t="n">
        <v>311.39</v>
      </c>
      <c r="M534" s="134" t="n">
        <v>3797.57</v>
      </c>
      <c r="N534" s="104" t="n">
        <v>0.082</v>
      </c>
      <c r="O534" s="134" t="n">
        <v>224</v>
      </c>
      <c r="P534" s="134" t="inlineStr">
        <is>
          <t>1 0.61%</t>
        </is>
      </c>
      <c r="Q534" s="134" t="inlineStr">
        <is>
          <t>1 -0.15%</t>
        </is>
      </c>
      <c r="R534" s="134" t="inlineStr">
        <is>
          <t>31 0.04%</t>
        </is>
      </c>
      <c r="S534" s="134" t="inlineStr">
        <is>
          <t>75 0.04%</t>
        </is>
      </c>
      <c r="T534" s="134" t="inlineStr">
        <is>
          <t>50 -0.27%</t>
        </is>
      </c>
      <c r="U534" s="134" t="inlineStr">
        <is>
          <t>66 0.56%</t>
        </is>
      </c>
    </row>
    <row customHeight="1" ht="17" r="535" s="155">
      <c r="A535" s="105" t="n">
        <v>43902</v>
      </c>
      <c r="B535" s="134" t="n">
        <v>1358.123</v>
      </c>
      <c r="C535" s="150" t="n">
        <v>-8.954000000000001</v>
      </c>
      <c r="D535" s="151" t="n">
        <v>-0.0066</v>
      </c>
      <c r="E535" s="134" t="n">
        <v>126.683</v>
      </c>
      <c r="F535" s="134" t="n">
        <v>119.895</v>
      </c>
      <c r="G535" s="134" t="n">
        <v>99.14</v>
      </c>
      <c r="H535" s="134" t="n">
        <v>152.28</v>
      </c>
      <c r="I535" s="104" t="n">
        <v>0.256</v>
      </c>
      <c r="J535" s="104" t="n">
        <v>0.2078</v>
      </c>
      <c r="K535" s="104" t="n">
        <v>-0.0184</v>
      </c>
      <c r="L535" s="134" t="n">
        <v>342.98</v>
      </c>
      <c r="M535" s="134" t="n">
        <v>3785.15</v>
      </c>
      <c r="N535" s="104" t="n">
        <v>0.0906</v>
      </c>
      <c r="O535" s="134" t="n">
        <v>223</v>
      </c>
      <c r="P535" s="134" t="inlineStr">
        <is>
          <t>1 -0.43%</t>
        </is>
      </c>
      <c r="Q535" s="134" t="inlineStr">
        <is>
          <t>1 -0.07%</t>
        </is>
      </c>
      <c r="R535" s="134" t="inlineStr">
        <is>
          <t>40 -0.70%</t>
        </is>
      </c>
      <c r="S535" s="134" t="inlineStr">
        <is>
          <t>72 -0.91%</t>
        </is>
      </c>
      <c r="T535" s="134" t="inlineStr">
        <is>
          <t>54 -1.35%</t>
        </is>
      </c>
      <c r="U535" s="134" t="inlineStr">
        <is>
          <t>55 0.36%</t>
        </is>
      </c>
    </row>
    <row customHeight="1" ht="17" r="536" s="155">
      <c r="A536" s="105" t="n">
        <v>43903</v>
      </c>
      <c r="B536" s="134" t="n">
        <v>1352.962</v>
      </c>
      <c r="C536" s="150" t="n">
        <v>-5.161</v>
      </c>
      <c r="D536" s="151" t="n">
        <v>-0.0038</v>
      </c>
      <c r="E536" s="134" t="n">
        <v>126.046</v>
      </c>
      <c r="F536" s="134" t="n">
        <v>118.95</v>
      </c>
      <c r="G536" s="134" t="n">
        <v>97.89</v>
      </c>
      <c r="H536" s="134" t="n">
        <v>152.65</v>
      </c>
      <c r="I536" s="104" t="n">
        <v>0.266</v>
      </c>
      <c r="J536" s="104" t="n">
        <v>0.2139</v>
      </c>
      <c r="K536" s="104" t="n">
        <v>-0.0172</v>
      </c>
      <c r="L536" s="134" t="n">
        <v>438.31</v>
      </c>
      <c r="M536" s="134" t="n">
        <v>3776.5</v>
      </c>
      <c r="N536" s="104" t="n">
        <v>0.1161</v>
      </c>
      <c r="O536" s="134" t="n">
        <v>223</v>
      </c>
      <c r="P536" s="134" t="inlineStr">
        <is>
          <t>1 -0.41%</t>
        </is>
      </c>
      <c r="Q536" s="134" t="inlineStr">
        <is>
          <t>1 -0.11%</t>
        </is>
      </c>
      <c r="R536" s="134" t="inlineStr">
        <is>
          <t>40 -0.30%</t>
        </is>
      </c>
      <c r="S536" s="134" t="inlineStr">
        <is>
          <t>81 -0.72%</t>
        </is>
      </c>
      <c r="T536" s="134" t="inlineStr">
        <is>
          <t>47 -0.66%</t>
        </is>
      </c>
      <c r="U536" s="134" t="inlineStr">
        <is>
          <t>53 0.31%</t>
        </is>
      </c>
    </row>
    <row customHeight="1" ht="17" r="537" s="155">
      <c r="A537" s="105" t="n">
        <v>43906</v>
      </c>
      <c r="B537" s="134" t="n">
        <v>1327.716</v>
      </c>
      <c r="C537" s="150" t="n">
        <v>-25.246</v>
      </c>
      <c r="D537" s="151" t="n">
        <v>-0.0187</v>
      </c>
      <c r="E537" s="134" t="n">
        <v>123.548</v>
      </c>
      <c r="F537" s="134" t="n">
        <v>116.06</v>
      </c>
      <c r="G537" s="134" t="n">
        <v>94.01000000000001</v>
      </c>
      <c r="H537" s="134" t="n">
        <v>153.17</v>
      </c>
      <c r="I537" s="104" t="n">
        <v>0.2962</v>
      </c>
      <c r="J537" s="104" t="n">
        <v>0.243</v>
      </c>
      <c r="K537" s="104" t="n">
        <v>-0.0124</v>
      </c>
      <c r="L537" s="134" t="n">
        <v>443.99</v>
      </c>
      <c r="M537" s="134" t="n">
        <v>3760.14</v>
      </c>
      <c r="N537" s="104" t="n">
        <v>0.1181</v>
      </c>
      <c r="O537" s="134" t="n">
        <v>223</v>
      </c>
      <c r="P537" s="134" t="inlineStr">
        <is>
          <t>1 -0.48%</t>
        </is>
      </c>
      <c r="Q537" s="134" t="inlineStr">
        <is>
          <t>1 -0.09%</t>
        </is>
      </c>
      <c r="R537" s="134" t="inlineStr">
        <is>
          <t>49 -1.05%</t>
        </is>
      </c>
      <c r="S537" s="134" t="inlineStr">
        <is>
          <t>92 -1.58%</t>
        </is>
      </c>
      <c r="T537" s="134" t="inlineStr">
        <is>
          <t>45 -3.06%</t>
        </is>
      </c>
      <c r="U537" s="134" t="inlineStr">
        <is>
          <t>35 -0.60%</t>
        </is>
      </c>
    </row>
    <row customHeight="1" ht="17" r="538" s="155">
      <c r="A538" s="105" t="n">
        <v>43907</v>
      </c>
      <c r="B538" s="134" t="n">
        <v>1334.341</v>
      </c>
      <c r="C538" s="152" t="n">
        <v>6.625</v>
      </c>
      <c r="D538" s="153" t="n">
        <v>0.005</v>
      </c>
      <c r="E538" s="134" t="n">
        <v>123.494</v>
      </c>
      <c r="F538" s="134" t="n">
        <v>116.31</v>
      </c>
      <c r="G538" s="134" t="n">
        <v>93.7</v>
      </c>
      <c r="H538" s="134" t="n">
        <v>153.9</v>
      </c>
      <c r="I538" s="104" t="n">
        <v>0.304</v>
      </c>
      <c r="J538" s="104" t="n">
        <v>0.251</v>
      </c>
      <c r="K538" s="104" t="n">
        <v>-0.0124</v>
      </c>
      <c r="L538" s="134" t="n">
        <v>713.12</v>
      </c>
      <c r="M538" s="134" t="n">
        <v>3757.94</v>
      </c>
      <c r="N538" s="104" t="n">
        <v>0.1898</v>
      </c>
      <c r="O538" s="134" t="n">
        <v>224</v>
      </c>
      <c r="P538" s="134" t="inlineStr">
        <is>
          <t>1 0.00%</t>
        </is>
      </c>
      <c r="Q538" s="134" t="n">
        <v>0</v>
      </c>
      <c r="R538" s="134" t="inlineStr">
        <is>
          <t>56 -0.17%</t>
        </is>
      </c>
      <c r="S538" s="134" t="inlineStr">
        <is>
          <t>86 -0.12%</t>
        </is>
      </c>
      <c r="T538" s="134" t="inlineStr">
        <is>
          <t>38 0.54%</t>
        </is>
      </c>
      <c r="U538" s="134" t="inlineStr">
        <is>
          <t>43 2.58%</t>
        </is>
      </c>
    </row>
    <row customHeight="1" ht="17" r="539" s="155">
      <c r="A539" s="105" t="n">
        <v>43908</v>
      </c>
      <c r="B539" s="134" t="n">
        <v>1343.281</v>
      </c>
      <c r="C539" s="152" t="n">
        <v>8.94</v>
      </c>
      <c r="D539" s="153" t="n">
        <v>0.0067</v>
      </c>
      <c r="E539" s="134" t="n">
        <v>124.52</v>
      </c>
      <c r="F539" s="134" t="n">
        <v>116.2</v>
      </c>
      <c r="G539" s="134" t="n">
        <v>92.69</v>
      </c>
      <c r="H539" s="134" t="n">
        <v>157.6</v>
      </c>
      <c r="I539" s="104" t="n">
        <v>0.3308</v>
      </c>
      <c r="J539" s="104" t="n">
        <v>0.2799</v>
      </c>
      <c r="K539" s="104" t="n">
        <v>-0.0135</v>
      </c>
      <c r="L539" s="134" t="n">
        <v>793.62</v>
      </c>
      <c r="M539" s="134" t="n">
        <v>3752.36</v>
      </c>
      <c r="N539" s="104" t="n">
        <v>0.2115</v>
      </c>
      <c r="O539" s="134" t="n">
        <v>224</v>
      </c>
      <c r="P539" s="134" t="inlineStr">
        <is>
          <t>1 1.01%</t>
        </is>
      </c>
      <c r="Q539" s="134" t="n">
        <v>0</v>
      </c>
      <c r="R539" s="134" t="inlineStr">
        <is>
          <t>50 0.34%</t>
        </is>
      </c>
      <c r="S539" s="134" t="inlineStr">
        <is>
          <t>92 -0.01%</t>
        </is>
      </c>
      <c r="T539" s="134" t="inlineStr">
        <is>
          <t>41 0.50%</t>
        </is>
      </c>
      <c r="U539" s="134" t="inlineStr">
        <is>
          <t>40 3.35%</t>
        </is>
      </c>
    </row>
    <row customHeight="1" ht="17" r="540" s="155">
      <c r="A540" s="105" t="n">
        <v>43909</v>
      </c>
      <c r="B540" s="134" t="n">
        <v>1361.079</v>
      </c>
      <c r="C540" s="152" t="n">
        <v>17.798</v>
      </c>
      <c r="D540" s="153" t="n">
        <v>0.0133</v>
      </c>
      <c r="E540" s="134" t="n">
        <v>126.938</v>
      </c>
      <c r="F540" s="134" t="n">
        <v>116.1</v>
      </c>
      <c r="G540" s="134" t="n">
        <v>93.01000000000001</v>
      </c>
      <c r="H540" s="134" t="n">
        <v>160.76</v>
      </c>
      <c r="I540" s="104" t="n">
        <v>0.3382</v>
      </c>
      <c r="J540" s="104" t="n">
        <v>0.2895</v>
      </c>
      <c r="K540" s="104" t="n">
        <v>-0.0156</v>
      </c>
      <c r="L540" s="134" t="n">
        <v>765.9400000000001</v>
      </c>
      <c r="M540" s="134" t="n">
        <v>3756.58</v>
      </c>
      <c r="N540" s="104" t="n">
        <v>0.2039</v>
      </c>
      <c r="O540" s="134" t="n">
        <v>225</v>
      </c>
      <c r="P540" s="134" t="inlineStr">
        <is>
          <t>1 -0.32%</t>
        </is>
      </c>
      <c r="Q540" s="134" t="n">
        <v>0</v>
      </c>
      <c r="R540" s="134" t="inlineStr">
        <is>
          <t>53 -0.64%</t>
        </is>
      </c>
      <c r="S540" s="134" t="inlineStr">
        <is>
          <t>88 -0.43%</t>
        </is>
      </c>
      <c r="T540" s="134" t="inlineStr">
        <is>
          <t>34 0.64%</t>
        </is>
      </c>
      <c r="U540" s="134" t="inlineStr">
        <is>
          <t>49 7.11%</t>
        </is>
      </c>
    </row>
    <row customHeight="1" ht="17" r="541" s="155">
      <c r="A541" s="105" t="n">
        <v>43910</v>
      </c>
      <c r="B541" s="134" t="n">
        <v>1388.695</v>
      </c>
      <c r="C541" s="152" t="n">
        <v>27.616</v>
      </c>
      <c r="D541" s="153" t="n">
        <v>0.0203</v>
      </c>
      <c r="E541" s="134" t="n">
        <v>128.508</v>
      </c>
      <c r="F541" s="134" t="n">
        <v>118.635</v>
      </c>
      <c r="G541" s="134" t="n">
        <v>93.68000000000001</v>
      </c>
      <c r="H541" s="134" t="n">
        <v>163.16</v>
      </c>
      <c r="I541" s="104" t="n">
        <v>0.3465</v>
      </c>
      <c r="J541" s="104" t="n">
        <v>0.2998</v>
      </c>
      <c r="K541" s="104" t="n">
        <v>-0.02</v>
      </c>
      <c r="L541" s="134" t="n">
        <v>869.6</v>
      </c>
      <c r="M541" s="134" t="n">
        <v>3749.45</v>
      </c>
      <c r="N541" s="104" t="n">
        <v>0.2319</v>
      </c>
      <c r="O541" s="134" t="n">
        <v>224</v>
      </c>
      <c r="P541" s="134" t="n">
        <v>0</v>
      </c>
      <c r="Q541" s="134" t="inlineStr">
        <is>
          <t>1 1.72%</t>
        </is>
      </c>
      <c r="R541" s="134" t="inlineStr">
        <is>
          <t>38 1.19%</t>
        </is>
      </c>
      <c r="S541" s="134" t="inlineStr">
        <is>
          <t>85 2.19%</t>
        </is>
      </c>
      <c r="T541" s="134" t="inlineStr">
        <is>
          <t>41 2.32%</t>
        </is>
      </c>
      <c r="U541" s="134" t="inlineStr">
        <is>
          <t>59 2.32%</t>
        </is>
      </c>
    </row>
    <row customHeight="1" ht="17" r="542" s="155">
      <c r="A542" s="105" t="n">
        <v>43913</v>
      </c>
      <c r="B542" s="134" t="n">
        <v>1327.773</v>
      </c>
      <c r="C542" s="150" t="n">
        <v>-60.922</v>
      </c>
      <c r="D542" s="151" t="n">
        <v>-0.0439</v>
      </c>
      <c r="E542" s="134" t="n">
        <v>121.467</v>
      </c>
      <c r="F542" s="134" t="n">
        <v>115.504</v>
      </c>
      <c r="G542" s="134" t="n">
        <v>90.66</v>
      </c>
      <c r="H542" s="134" t="n">
        <v>155.94</v>
      </c>
      <c r="I542" s="104" t="n">
        <v>0.3448</v>
      </c>
      <c r="J542" s="104" t="n">
        <v>0.2957</v>
      </c>
      <c r="K542" s="104" t="n">
        <v>-0.0101</v>
      </c>
      <c r="L542" s="134" t="n">
        <v>561.76</v>
      </c>
      <c r="M542" s="134" t="n">
        <v>3764.18</v>
      </c>
      <c r="N542" s="104" t="n">
        <v>0.1492</v>
      </c>
      <c r="O542" s="134" t="n">
        <v>224</v>
      </c>
      <c r="P542" s="134" t="inlineStr">
        <is>
          <t>1 -1.46%</t>
        </is>
      </c>
      <c r="Q542" s="134" t="n">
        <v>0</v>
      </c>
      <c r="R542" s="134" t="inlineStr">
        <is>
          <t>51 -1.66%</t>
        </is>
      </c>
      <c r="S542" s="134" t="inlineStr">
        <is>
          <t>99 -3.05%</t>
        </is>
      </c>
      <c r="T542" s="134" t="inlineStr">
        <is>
          <t>36 -5.05%</t>
        </is>
      </c>
      <c r="U542" s="134" t="inlineStr">
        <is>
          <t>37 -11.14%</t>
        </is>
      </c>
    </row>
    <row customHeight="1" ht="17" r="543" s="155">
      <c r="A543" s="105" t="n">
        <v>43914</v>
      </c>
      <c r="B543" s="134" t="n">
        <v>1353.691</v>
      </c>
      <c r="C543" s="152" t="n">
        <v>25.918</v>
      </c>
      <c r="D543" s="153" t="n">
        <v>0.0195</v>
      </c>
      <c r="E543" s="134" t="n">
        <v>124.05</v>
      </c>
      <c r="F543" s="134" t="n">
        <v>117.415</v>
      </c>
      <c r="G543" s="134" t="n">
        <v>92.66</v>
      </c>
      <c r="H543" s="134" t="n">
        <v>158.57</v>
      </c>
      <c r="I543" s="104" t="n">
        <v>0.3452</v>
      </c>
      <c r="J543" s="104" t="n">
        <v>0.2968</v>
      </c>
      <c r="K543" s="104" t="n">
        <v>-0.0141</v>
      </c>
      <c r="L543" s="134" t="n">
        <v>605.52</v>
      </c>
      <c r="M543" s="134" t="n">
        <v>3760.15</v>
      </c>
      <c r="N543" s="104" t="n">
        <v>0.161</v>
      </c>
      <c r="O543" s="134" t="n">
        <v>224</v>
      </c>
      <c r="P543" s="134" t="inlineStr">
        <is>
          <t>1 -0.01%</t>
        </is>
      </c>
      <c r="Q543" s="134" t="n">
        <v>0</v>
      </c>
      <c r="R543" s="134" t="inlineStr">
        <is>
          <t>43 0.73%</t>
        </is>
      </c>
      <c r="S543" s="134" t="inlineStr">
        <is>
          <t>92 1.24%</t>
        </is>
      </c>
      <c r="T543" s="134" t="inlineStr">
        <is>
          <t>45 1.56%</t>
        </is>
      </c>
      <c r="U543" s="134" t="inlineStr">
        <is>
          <t>43 5.15%</t>
        </is>
      </c>
    </row>
    <row customHeight="1" ht="17" r="544" s="155">
      <c r="A544" s="105" t="n">
        <v>43915</v>
      </c>
      <c r="B544" s="134" t="n">
        <v>1390.877</v>
      </c>
      <c r="C544" s="152" t="n">
        <v>37.186</v>
      </c>
      <c r="D544" s="153" t="n">
        <v>0.0275</v>
      </c>
      <c r="E544" s="134" t="n">
        <v>128.019</v>
      </c>
      <c r="F544" s="134" t="n">
        <v>119.335</v>
      </c>
      <c r="G544" s="134" t="n">
        <v>93.7</v>
      </c>
      <c r="H544" s="134" t="n">
        <v>162.94</v>
      </c>
      <c r="I544" s="104" t="n">
        <v>0.3492</v>
      </c>
      <c r="J544" s="104" t="n">
        <v>0.2933</v>
      </c>
      <c r="K544" s="104" t="n">
        <v>-0.0197</v>
      </c>
      <c r="L544" s="134" t="n">
        <v>680.0700000000001</v>
      </c>
      <c r="M544" s="134" t="n">
        <v>3755.9</v>
      </c>
      <c r="N544" s="104" t="n">
        <v>0.1811</v>
      </c>
      <c r="O544" s="134" t="n">
        <v>222</v>
      </c>
      <c r="P544" s="134" t="n">
        <v>0</v>
      </c>
      <c r="Q544" s="134" t="inlineStr">
        <is>
          <t>1 1.00%</t>
        </is>
      </c>
      <c r="R544" s="134" t="inlineStr">
        <is>
          <t>29 0.98%</t>
        </is>
      </c>
      <c r="S544" s="134" t="inlineStr">
        <is>
          <t>84 1.67%</t>
        </is>
      </c>
      <c r="T544" s="134" t="inlineStr">
        <is>
          <t>55 2.00%</t>
        </is>
      </c>
      <c r="U544" s="134" t="inlineStr">
        <is>
          <t>53 6.22%</t>
        </is>
      </c>
    </row>
    <row customHeight="1" ht="17" r="545" s="155">
      <c r="A545" s="105" t="n">
        <v>43916</v>
      </c>
      <c r="B545" s="134" t="n">
        <v>1385.925</v>
      </c>
      <c r="C545" s="150" t="n">
        <v>-4.952</v>
      </c>
      <c r="D545" s="151" t="n">
        <v>-0.0036</v>
      </c>
      <c r="E545" s="134" t="n">
        <v>127.689</v>
      </c>
      <c r="F545" s="134" t="n">
        <v>118.6</v>
      </c>
      <c r="G545" s="134" t="n">
        <v>93.38</v>
      </c>
      <c r="H545" s="134" t="n">
        <v>163.76</v>
      </c>
      <c r="I545" s="104" t="n">
        <v>0.3608</v>
      </c>
      <c r="J545" s="104" t="n">
        <v>0.3018</v>
      </c>
      <c r="K545" s="104" t="n">
        <v>-0.019</v>
      </c>
      <c r="L545" s="134" t="n">
        <v>737.71</v>
      </c>
      <c r="M545" s="134" t="n">
        <v>3753.34</v>
      </c>
      <c r="N545" s="104" t="n">
        <v>0.1965</v>
      </c>
      <c r="O545" s="134" t="n">
        <v>221</v>
      </c>
      <c r="P545" s="134" t="n">
        <v>0</v>
      </c>
      <c r="Q545" s="134" t="inlineStr">
        <is>
          <t>1 0.23%</t>
        </is>
      </c>
      <c r="R545" s="134" t="inlineStr">
        <is>
          <t>28 -0.33%</t>
        </is>
      </c>
      <c r="S545" s="134" t="inlineStr">
        <is>
          <t>94 -0.60%</t>
        </is>
      </c>
      <c r="T545" s="134" t="inlineStr">
        <is>
          <t>53 -0.87%</t>
        </is>
      </c>
      <c r="U545" s="134" t="inlineStr">
        <is>
          <t>45 0.72%</t>
        </is>
      </c>
    </row>
    <row customHeight="1" ht="17" r="546" s="155">
      <c r="A546" s="105" t="n">
        <v>43917</v>
      </c>
      <c r="B546" s="134" t="n">
        <v>1376.418</v>
      </c>
      <c r="C546" s="150" t="n">
        <v>-9.507</v>
      </c>
      <c r="D546" s="151" t="n">
        <v>-0.0069</v>
      </c>
      <c r="E546" s="134" t="n">
        <v>126.745</v>
      </c>
      <c r="F546" s="134" t="n">
        <v>118</v>
      </c>
      <c r="G546" s="134" t="n">
        <v>93.28</v>
      </c>
      <c r="H546" s="134" t="n">
        <v>162.55</v>
      </c>
      <c r="I546" s="104" t="n">
        <v>0.358</v>
      </c>
      <c r="J546" s="104" t="n">
        <v>0.2999</v>
      </c>
      <c r="K546" s="104" t="n">
        <v>-0.0175</v>
      </c>
      <c r="L546" s="134" t="n">
        <v>774.95</v>
      </c>
      <c r="M546" s="134" t="n">
        <v>3751.56</v>
      </c>
      <c r="N546" s="104" t="n">
        <v>0.2066</v>
      </c>
      <c r="O546" s="134" t="n">
        <v>221</v>
      </c>
      <c r="P546" s="134" t="n">
        <v>0</v>
      </c>
      <c r="Q546" s="134" t="inlineStr">
        <is>
          <t>1 0.21%</t>
        </is>
      </c>
      <c r="R546" s="134" t="inlineStr">
        <is>
          <t>37 -0.67%</t>
        </is>
      </c>
      <c r="S546" s="134" t="inlineStr">
        <is>
          <t>90 -0.75%</t>
        </is>
      </c>
      <c r="T546" s="134" t="inlineStr">
        <is>
          <t>53 -0.85%</t>
        </is>
      </c>
      <c r="U546" s="134" t="inlineStr">
        <is>
          <t>40 -0.37%</t>
        </is>
      </c>
    </row>
    <row customHeight="1" ht="17" r="547" s="155">
      <c r="A547" s="105" t="n">
        <v>43920</v>
      </c>
      <c r="B547" s="134" t="n">
        <v>1376.156</v>
      </c>
      <c r="C547" s="150" t="n">
        <v>-0.262</v>
      </c>
      <c r="D547" s="151" t="n">
        <v>-0.0002</v>
      </c>
      <c r="E547" s="134" t="n">
        <v>127.208</v>
      </c>
      <c r="F547" s="134" t="n">
        <v>117.365</v>
      </c>
      <c r="G547" s="134" t="n">
        <v>91.38</v>
      </c>
      <c r="H547" s="134" t="n">
        <v>166.41</v>
      </c>
      <c r="I547" s="104" t="n">
        <v>0.3921</v>
      </c>
      <c r="J547" s="104" t="n">
        <v>0.3187</v>
      </c>
      <c r="K547" s="104" t="n">
        <v>-0.0169</v>
      </c>
      <c r="L547" s="134" t="n">
        <v>648.85</v>
      </c>
      <c r="M547" s="134" t="n">
        <v>3746.02</v>
      </c>
      <c r="N547" s="104" t="n">
        <v>0.1732</v>
      </c>
      <c r="O547" s="134" t="n">
        <v>220</v>
      </c>
      <c r="P547" s="134" t="n">
        <v>0</v>
      </c>
      <c r="Q547" s="134" t="inlineStr">
        <is>
          <t>1 -0.31%</t>
        </is>
      </c>
      <c r="R547" s="134" t="inlineStr">
        <is>
          <t>41 -0.60%</t>
        </is>
      </c>
      <c r="S547" s="134" t="inlineStr">
        <is>
          <t>97 -1.00%</t>
        </is>
      </c>
      <c r="T547" s="134" t="inlineStr">
        <is>
          <t>38 -0.68%</t>
        </is>
      </c>
      <c r="U547" s="134" t="inlineStr">
        <is>
          <t>43 3.34%</t>
        </is>
      </c>
    </row>
    <row customHeight="1" ht="17" r="548" s="155">
      <c r="A548" s="105" t="n">
        <v>43921</v>
      </c>
      <c r="B548" s="134" t="n">
        <v>1386.34</v>
      </c>
      <c r="C548" s="152" t="n">
        <v>10.184</v>
      </c>
      <c r="D548" s="153" t="n">
        <v>0.0074</v>
      </c>
      <c r="E548" s="134" t="n">
        <v>128.57</v>
      </c>
      <c r="F548" s="134" t="n">
        <v>117.51</v>
      </c>
      <c r="G548" s="134" t="n">
        <v>91.34</v>
      </c>
      <c r="H548" s="134" t="n">
        <v>169.14</v>
      </c>
      <c r="I548" s="104" t="n">
        <v>0.4057</v>
      </c>
      <c r="J548" s="104" t="n">
        <v>0.3189</v>
      </c>
      <c r="K548" s="104" t="n">
        <v>-0.0183</v>
      </c>
      <c r="L548" s="134" t="n">
        <v>722.3</v>
      </c>
      <c r="M548" s="134" t="n">
        <v>3743.81</v>
      </c>
      <c r="N548" s="104" t="n">
        <v>0.1929</v>
      </c>
      <c r="O548" s="134" t="n">
        <v>219</v>
      </c>
      <c r="P548" s="134" t="n">
        <v>0</v>
      </c>
      <c r="Q548" s="134" t="inlineStr">
        <is>
          <t>1 0.05%</t>
        </is>
      </c>
      <c r="R548" s="134" t="inlineStr">
        <is>
          <t>43 0.01%</t>
        </is>
      </c>
      <c r="S548" s="134" t="inlineStr">
        <is>
          <t>91 -0.12%</t>
        </is>
      </c>
      <c r="T548" s="134" t="inlineStr">
        <is>
          <t>41 1.12%</t>
        </is>
      </c>
      <c r="U548" s="134" t="inlineStr">
        <is>
          <t>43 5.26%</t>
        </is>
      </c>
    </row>
    <row customHeight="1" ht="17" r="549" s="155">
      <c r="A549" s="105" t="n">
        <v>43922</v>
      </c>
      <c r="B549" s="134" t="n">
        <v>1394.256</v>
      </c>
      <c r="C549" s="152" t="n">
        <v>7.916</v>
      </c>
      <c r="D549" s="153" t="n">
        <v>0.0057</v>
      </c>
      <c r="E549" s="134" t="n">
        <v>129.197</v>
      </c>
      <c r="F549" s="134" t="n">
        <v>117.71</v>
      </c>
      <c r="G549" s="134" t="n">
        <v>90.88</v>
      </c>
      <c r="H549" s="134" t="n">
        <v>170.82</v>
      </c>
      <c r="I549" s="104" t="n">
        <v>0.4162</v>
      </c>
      <c r="J549" s="104" t="n">
        <v>0.3276</v>
      </c>
      <c r="K549" s="104" t="n">
        <v>-0.0194</v>
      </c>
      <c r="L549" s="134" t="n">
        <v>778.41</v>
      </c>
      <c r="M549" s="134" t="n">
        <v>3786.95</v>
      </c>
      <c r="N549" s="104" t="n">
        <v>0.2056</v>
      </c>
      <c r="O549" s="134" t="n">
        <v>223</v>
      </c>
      <c r="P549" s="134" t="n">
        <v>0</v>
      </c>
      <c r="Q549" s="134" t="inlineStr">
        <is>
          <t>1 -0.18%</t>
        </is>
      </c>
      <c r="R549" s="134" t="inlineStr">
        <is>
          <t>43 0.10%</t>
        </is>
      </c>
      <c r="S549" s="134" t="inlineStr">
        <is>
          <t>89 0.15%</t>
        </is>
      </c>
      <c r="T549" s="134" t="inlineStr">
        <is>
          <t>40 0.68%</t>
        </is>
      </c>
      <c r="U549" s="134" t="inlineStr">
        <is>
          <t>50 2.22%</t>
        </is>
      </c>
    </row>
    <row customHeight="1" ht="17" r="550" s="155">
      <c r="A550" s="105" t="n">
        <v>43923</v>
      </c>
      <c r="B550" s="134" t="n">
        <v>1381.052</v>
      </c>
      <c r="C550" s="150" t="n">
        <v>-13.204</v>
      </c>
      <c r="D550" s="151" t="n">
        <v>-0.0095</v>
      </c>
      <c r="E550" s="134" t="n">
        <v>127.059</v>
      </c>
      <c r="F550" s="134" t="n">
        <v>117.695</v>
      </c>
      <c r="G550" s="134" t="n">
        <v>92.13</v>
      </c>
      <c r="H550" s="134" t="n">
        <v>163.96</v>
      </c>
      <c r="I550" s="104" t="n">
        <v>0.369</v>
      </c>
      <c r="J550" s="104" t="n">
        <v>0.2989</v>
      </c>
      <c r="K550" s="104" t="n">
        <v>-0.0172</v>
      </c>
      <c r="L550" s="134" t="n">
        <v>648.63</v>
      </c>
      <c r="M550" s="134" t="n">
        <v>3793.18</v>
      </c>
      <c r="N550" s="104" t="n">
        <v>0.171</v>
      </c>
      <c r="O550" s="134" t="n">
        <v>224</v>
      </c>
      <c r="P550" s="134" t="n">
        <v>0</v>
      </c>
      <c r="Q550" s="134" t="inlineStr">
        <is>
          <t>1 0.32%</t>
        </is>
      </c>
      <c r="R550" s="134" t="inlineStr">
        <is>
          <t>41 0.04%</t>
        </is>
      </c>
      <c r="S550" s="134" t="inlineStr">
        <is>
          <t>89 -0.11%</t>
        </is>
      </c>
      <c r="T550" s="134" t="inlineStr">
        <is>
          <t>47 -0.29%</t>
        </is>
      </c>
      <c r="U550" s="134" t="inlineStr">
        <is>
          <t>46 -3.83%</t>
        </is>
      </c>
    </row>
    <row customHeight="1" ht="17" r="551" s="155">
      <c r="A551" s="105" t="n">
        <v>43924</v>
      </c>
      <c r="B551" s="134" t="n">
        <v>1361.648</v>
      </c>
      <c r="C551" s="150" t="n">
        <v>-19.404</v>
      </c>
      <c r="D551" s="151" t="n">
        <v>-0.0141</v>
      </c>
      <c r="E551" s="134" t="n">
        <v>124.985</v>
      </c>
      <c r="F551" s="134" t="n">
        <v>116.53</v>
      </c>
      <c r="G551" s="134" t="n">
        <v>91.04000000000001</v>
      </c>
      <c r="H551" s="134" t="n">
        <v>160.85</v>
      </c>
      <c r="I551" s="104" t="n">
        <v>0.3587</v>
      </c>
      <c r="J551" s="104" t="n">
        <v>0.287</v>
      </c>
      <c r="K551" s="104" t="n">
        <v>-0.014</v>
      </c>
      <c r="L551" s="134" t="n">
        <v>489.82</v>
      </c>
      <c r="M551" s="134" t="n">
        <v>3794.45</v>
      </c>
      <c r="N551" s="104" t="n">
        <v>0.1291</v>
      </c>
      <c r="O551" s="134" t="n">
        <v>224</v>
      </c>
      <c r="P551" s="134" t="n">
        <v>0</v>
      </c>
      <c r="Q551" s="134" t="inlineStr">
        <is>
          <t>1 -0.39%</t>
        </is>
      </c>
      <c r="R551" s="134" t="inlineStr">
        <is>
          <t>48 -0.96%</t>
        </is>
      </c>
      <c r="S551" s="134" t="inlineStr">
        <is>
          <t>93 -1.00%</t>
        </is>
      </c>
      <c r="T551" s="134" t="inlineStr">
        <is>
          <t>41 -1.49%</t>
        </is>
      </c>
      <c r="U551" s="134" t="inlineStr">
        <is>
          <t>41 -2.32%</t>
        </is>
      </c>
    </row>
    <row customHeight="1" ht="17" r="552" s="155">
      <c r="A552" s="105" t="n">
        <v>43928</v>
      </c>
      <c r="B552" s="134" t="n">
        <v>1377.484</v>
      </c>
      <c r="C552" s="152" t="n">
        <v>15.836</v>
      </c>
      <c r="D552" s="153" t="n">
        <v>0.0116</v>
      </c>
      <c r="E552" s="134" t="n">
        <v>126.65</v>
      </c>
      <c r="F552" s="134" t="n">
        <v>117.3</v>
      </c>
      <c r="G552" s="134" t="n">
        <v>94.05</v>
      </c>
      <c r="H552" s="134" t="n">
        <v>160.02</v>
      </c>
      <c r="I552" s="104" t="n">
        <v>0.3337</v>
      </c>
      <c r="J552" s="104" t="n">
        <v>0.2688</v>
      </c>
      <c r="K552" s="104" t="n">
        <v>-0.0164</v>
      </c>
      <c r="L552" s="134" t="n">
        <v>385.53</v>
      </c>
      <c r="M552" s="134" t="n">
        <v>3796.01</v>
      </c>
      <c r="N552" s="104" t="n">
        <v>0.1016</v>
      </c>
      <c r="O552" s="134" t="n">
        <v>225</v>
      </c>
      <c r="P552" s="134" t="n">
        <v>0</v>
      </c>
      <c r="Q552" s="134" t="inlineStr">
        <is>
          <t>1 2.40%</t>
        </is>
      </c>
      <c r="R552" s="134" t="inlineStr">
        <is>
          <t>46 0.31%</t>
        </is>
      </c>
      <c r="S552" s="134" t="inlineStr">
        <is>
          <t>86 0.62%</t>
        </is>
      </c>
      <c r="T552" s="134" t="inlineStr">
        <is>
          <t>47 1.48%</t>
        </is>
      </c>
      <c r="U552" s="134" t="inlineStr">
        <is>
          <t>45 2.71%</t>
        </is>
      </c>
    </row>
    <row customHeight="1" ht="17" r="553" s="155">
      <c r="A553" s="105" t="n">
        <v>43929</v>
      </c>
      <c r="B553" s="134" t="n">
        <v>1370.321</v>
      </c>
      <c r="C553" s="150" t="n">
        <v>-7.163</v>
      </c>
      <c r="D553" s="151" t="n">
        <v>-0.0052</v>
      </c>
      <c r="E553" s="134" t="n">
        <v>125.776</v>
      </c>
      <c r="F553" s="134" t="n">
        <v>117.38</v>
      </c>
      <c r="G553" s="134" t="n">
        <v>94.76000000000001</v>
      </c>
      <c r="H553" s="134" t="n">
        <v>158.39</v>
      </c>
      <c r="I553" s="104" t="n">
        <v>0.3261</v>
      </c>
      <c r="J553" s="104" t="n">
        <v>0.2571</v>
      </c>
      <c r="K553" s="104" t="n">
        <v>-0.0153</v>
      </c>
      <c r="L553" s="134" t="n">
        <v>301.42</v>
      </c>
      <c r="M553" s="134" t="n">
        <v>3794.62</v>
      </c>
      <c r="N553" s="104" t="n">
        <v>0.0794</v>
      </c>
      <c r="O553" s="134" t="n">
        <v>225</v>
      </c>
      <c r="P553" s="134" t="n">
        <v>0</v>
      </c>
      <c r="Q553" s="134" t="inlineStr">
        <is>
          <t>1 -1.96%</t>
        </is>
      </c>
      <c r="R553" s="134" t="inlineStr">
        <is>
          <t>49 -0.20%</t>
        </is>
      </c>
      <c r="S553" s="134" t="inlineStr">
        <is>
          <t>84 0.04%</t>
        </is>
      </c>
      <c r="T553" s="134" t="inlineStr">
        <is>
          <t>47 -0.12%</t>
        </is>
      </c>
      <c r="U553" s="134" t="inlineStr">
        <is>
          <t>44 -1.69%</t>
        </is>
      </c>
    </row>
    <row customHeight="1" ht="17" r="554" s="155">
      <c r="A554" s="105" t="n">
        <v>43930</v>
      </c>
      <c r="B554" s="134" t="n">
        <v>1369.389</v>
      </c>
      <c r="C554" s="150" t="n">
        <v>-0.9320000000000001</v>
      </c>
      <c r="D554" s="151" t="n">
        <v>-0.0007</v>
      </c>
      <c r="E554" s="134" t="n">
        <v>125.437</v>
      </c>
      <c r="F554" s="134" t="n">
        <v>117.116</v>
      </c>
      <c r="G554" s="134" t="n">
        <v>94.56999999999999</v>
      </c>
      <c r="H554" s="134" t="n">
        <v>157.25</v>
      </c>
      <c r="I554" s="104" t="n">
        <v>0.3181</v>
      </c>
      <c r="J554" s="104" t="n">
        <v>0.248</v>
      </c>
      <c r="K554" s="104" t="n">
        <v>-0.015</v>
      </c>
      <c r="L554" s="134" t="n">
        <v>271.48</v>
      </c>
      <c r="M554" s="134" t="n">
        <v>3801.09</v>
      </c>
      <c r="N554" s="104" t="n">
        <v>0.07140000000000001</v>
      </c>
      <c r="O554" s="134" t="n">
        <v>226</v>
      </c>
      <c r="P554" s="134" t="n">
        <v>0</v>
      </c>
      <c r="Q554" s="134" t="inlineStr">
        <is>
          <t>1 -0.19%</t>
        </is>
      </c>
      <c r="R554" s="134" t="inlineStr">
        <is>
          <t>52 0.19%</t>
        </is>
      </c>
      <c r="S554" s="134" t="inlineStr">
        <is>
          <t>81 0.35%</t>
        </is>
      </c>
      <c r="T554" s="134" t="inlineStr">
        <is>
          <t>49 0.32%</t>
        </is>
      </c>
      <c r="U554" s="134" t="inlineStr">
        <is>
          <t>43 -0.80%</t>
        </is>
      </c>
    </row>
    <row customHeight="1" ht="17" r="555" s="155">
      <c r="A555" s="105" t="n">
        <v>43931</v>
      </c>
      <c r="B555" s="134" t="n">
        <v>1342.179</v>
      </c>
      <c r="C555" s="150" t="n">
        <v>-27.21</v>
      </c>
      <c r="D555" s="151" t="n">
        <v>-0.0199</v>
      </c>
      <c r="E555" s="134" t="n">
        <v>122.427</v>
      </c>
      <c r="F555" s="134" t="n">
        <v>115.2</v>
      </c>
      <c r="G555" s="134" t="n">
        <v>92.22</v>
      </c>
      <c r="H555" s="134" t="n">
        <v>154.9</v>
      </c>
      <c r="I555" s="104" t="n">
        <v>0.3247</v>
      </c>
      <c r="J555" s="104" t="n">
        <v>0.2546</v>
      </c>
      <c r="K555" s="104" t="n">
        <v>-0.0103</v>
      </c>
      <c r="L555" s="134" t="n">
        <v>251.95</v>
      </c>
      <c r="M555" s="134" t="n">
        <v>3838</v>
      </c>
      <c r="N555" s="104" t="n">
        <v>0.06560000000000001</v>
      </c>
      <c r="O555" s="134" t="n">
        <v>229</v>
      </c>
      <c r="P555" s="134" t="n">
        <v>0</v>
      </c>
      <c r="Q555" s="134" t="inlineStr">
        <is>
          <t>1 0.92%</t>
        </is>
      </c>
      <c r="R555" s="134" t="inlineStr">
        <is>
          <t>59 -0.99%</t>
        </is>
      </c>
      <c r="S555" s="134" t="inlineStr">
        <is>
          <t>90 -1.32%</t>
        </is>
      </c>
      <c r="T555" s="134" t="inlineStr">
        <is>
          <t>46 -2.41%</t>
        </is>
      </c>
      <c r="U555" s="134" t="inlineStr">
        <is>
          <t>33 -4.52%</t>
        </is>
      </c>
    </row>
    <row customHeight="1" ht="17" r="556" s="155">
      <c r="A556" s="105" t="n">
        <v>43934</v>
      </c>
      <c r="B556" s="134" t="n">
        <v>1323.295</v>
      </c>
      <c r="C556" s="150" t="n">
        <v>-18.884</v>
      </c>
      <c r="D556" s="151" t="n">
        <v>-0.0141</v>
      </c>
      <c r="E556" s="134" t="n">
        <v>120.708</v>
      </c>
      <c r="F556" s="134" t="n">
        <v>114</v>
      </c>
      <c r="G556" s="134" t="n">
        <v>91.38</v>
      </c>
      <c r="H556" s="134" t="n">
        <v>152.62</v>
      </c>
      <c r="I556" s="104" t="n">
        <v>0.3191</v>
      </c>
      <c r="J556" s="104" t="n">
        <v>0.2568</v>
      </c>
      <c r="K556" s="104" t="n">
        <v>-0.0072</v>
      </c>
      <c r="L556" s="134" t="n">
        <v>234.42</v>
      </c>
      <c r="M556" s="134" t="n">
        <v>3836.42</v>
      </c>
      <c r="N556" s="104" t="n">
        <v>0.0611</v>
      </c>
      <c r="O556" s="134" t="n">
        <v>229</v>
      </c>
      <c r="P556" s="134" t="n">
        <v>0</v>
      </c>
      <c r="Q556" s="134" t="inlineStr">
        <is>
          <t>1 -0.83%</t>
        </is>
      </c>
      <c r="R556" s="134" t="inlineStr">
        <is>
          <t>80 -1.05%</t>
        </is>
      </c>
      <c r="S556" s="134" t="inlineStr">
        <is>
          <t>84 -1.25%</t>
        </is>
      </c>
      <c r="T556" s="134" t="inlineStr">
        <is>
          <t>32 -1.45%</t>
        </is>
      </c>
      <c r="U556" s="134" t="inlineStr">
        <is>
          <t>32 -1.68%</t>
        </is>
      </c>
    </row>
    <row customHeight="1" ht="17" r="557" s="155">
      <c r="A557" s="105" t="n">
        <v>43935</v>
      </c>
      <c r="B557" s="134" t="n">
        <v>1347.988</v>
      </c>
      <c r="C557" s="152" t="n">
        <v>24.693</v>
      </c>
      <c r="D557" s="153" t="n">
        <v>0.0187</v>
      </c>
      <c r="E557" s="134" t="n">
        <v>122.942</v>
      </c>
      <c r="F557" s="134" t="n">
        <v>115.15</v>
      </c>
      <c r="G557" s="134" t="n">
        <v>92.84</v>
      </c>
      <c r="H557" s="134" t="n">
        <v>155.09</v>
      </c>
      <c r="I557" s="104" t="n">
        <v>0.3215</v>
      </c>
      <c r="J557" s="104" t="n">
        <v>0.245</v>
      </c>
      <c r="K557" s="104" t="n">
        <v>-0.0105</v>
      </c>
      <c r="L557" s="134" t="n">
        <v>353.77</v>
      </c>
      <c r="M557" s="134" t="n">
        <v>3847.87</v>
      </c>
      <c r="N557" s="104" t="n">
        <v>0.0919</v>
      </c>
      <c r="O557" s="134" t="n">
        <v>231</v>
      </c>
      <c r="P557" s="134" t="n">
        <v>0</v>
      </c>
      <c r="Q557" s="134" t="inlineStr">
        <is>
          <t>1 -0.32%</t>
        </is>
      </c>
      <c r="R557" s="134" t="inlineStr">
        <is>
          <t>71 0.60%</t>
        </is>
      </c>
      <c r="S557" s="134" t="inlineStr">
        <is>
          <t>85 0.69%</t>
        </is>
      </c>
      <c r="T557" s="134" t="inlineStr">
        <is>
          <t>36 1.38%</t>
        </is>
      </c>
      <c r="U557" s="134" t="inlineStr">
        <is>
          <t>38 7.39%</t>
        </is>
      </c>
    </row>
    <row customHeight="1" ht="17" r="558" s="155">
      <c r="A558" s="105" t="n">
        <v>43936</v>
      </c>
      <c r="B558" s="134" t="n">
        <v>1362.155</v>
      </c>
      <c r="C558" s="152" t="n">
        <v>14.167</v>
      </c>
      <c r="D558" s="153" t="n">
        <v>0.0105</v>
      </c>
      <c r="E558" s="134" t="n">
        <v>124.655</v>
      </c>
      <c r="F558" s="134" t="n">
        <v>116</v>
      </c>
      <c r="G558" s="134" t="n">
        <v>91.83</v>
      </c>
      <c r="H558" s="134" t="n">
        <v>159.05</v>
      </c>
      <c r="I558" s="104" t="n">
        <v>0.344</v>
      </c>
      <c r="J558" s="104" t="n">
        <v>0.2659</v>
      </c>
      <c r="K558" s="104" t="n">
        <v>-0.0125</v>
      </c>
      <c r="L558" s="134" t="n">
        <v>625.65</v>
      </c>
      <c r="M558" s="134" t="n">
        <v>3847.72</v>
      </c>
      <c r="N558" s="104" t="n">
        <v>0.1626</v>
      </c>
      <c r="O558" s="134" t="n">
        <v>231</v>
      </c>
      <c r="P558" s="134" t="n">
        <v>0</v>
      </c>
      <c r="Q558" s="134" t="inlineStr">
        <is>
          <t>2 -0.11%</t>
        </is>
      </c>
      <c r="R558" s="134" t="inlineStr">
        <is>
          <t>63 0.27%</t>
        </is>
      </c>
      <c r="S558" s="134" t="inlineStr">
        <is>
          <t>89 0.41%</t>
        </is>
      </c>
      <c r="T558" s="134" t="inlineStr">
        <is>
          <t>38 0.81%</t>
        </is>
      </c>
      <c r="U558" s="134" t="inlineStr">
        <is>
          <t>39 4.29%</t>
        </is>
      </c>
    </row>
    <row customHeight="1" ht="17" r="559" s="155">
      <c r="A559" s="105" t="n">
        <v>43937</v>
      </c>
      <c r="B559" s="134" t="n">
        <v>1375.368</v>
      </c>
      <c r="C559" s="152" t="n">
        <v>13.213</v>
      </c>
      <c r="D559" s="153" t="n">
        <v>0.0097</v>
      </c>
      <c r="E559" s="134" t="n">
        <v>125.766</v>
      </c>
      <c r="F559" s="134" t="n">
        <v>116.1</v>
      </c>
      <c r="G559" s="134" t="n">
        <v>92.17</v>
      </c>
      <c r="H559" s="134" t="n">
        <v>160.7</v>
      </c>
      <c r="I559" s="104" t="n">
        <v>0.3494</v>
      </c>
      <c r="J559" s="104" t="n">
        <v>0.2739</v>
      </c>
      <c r="K559" s="104" t="n">
        <v>-0.0143</v>
      </c>
      <c r="L559" s="134" t="n">
        <v>602.1900000000001</v>
      </c>
      <c r="M559" s="134" t="n">
        <v>3867.59</v>
      </c>
      <c r="N559" s="104" t="n">
        <v>0.1557</v>
      </c>
      <c r="O559" s="134" t="n">
        <v>232</v>
      </c>
      <c r="P559" s="134" t="n">
        <v>0</v>
      </c>
      <c r="Q559" s="134" t="inlineStr">
        <is>
          <t>1 0.07%</t>
        </is>
      </c>
      <c r="R559" s="134" t="inlineStr">
        <is>
          <t>52 0.42%</t>
        </is>
      </c>
      <c r="S559" s="134" t="inlineStr">
        <is>
          <t>95 0.98%</t>
        </is>
      </c>
      <c r="T559" s="134" t="inlineStr">
        <is>
          <t>42 0.97%</t>
        </is>
      </c>
      <c r="U559" s="134" t="inlineStr">
        <is>
          <t>42 2.44%</t>
        </is>
      </c>
    </row>
    <row customHeight="1" ht="17" r="560" s="155">
      <c r="A560" s="105" t="n">
        <v>43938</v>
      </c>
      <c r="B560" s="134" t="n">
        <v>1378.022</v>
      </c>
      <c r="C560" s="152" t="n">
        <v>2.654</v>
      </c>
      <c r="D560" s="153" t="n">
        <v>0.0019</v>
      </c>
      <c r="E560" s="134" t="n">
        <v>125.913</v>
      </c>
      <c r="F560" s="134" t="n">
        <v>116.56</v>
      </c>
      <c r="G560" s="134" t="n">
        <v>92.22</v>
      </c>
      <c r="H560" s="134" t="n">
        <v>161.12</v>
      </c>
      <c r="I560" s="104" t="n">
        <v>0.352</v>
      </c>
      <c r="J560" s="104" t="n">
        <v>0.276</v>
      </c>
      <c r="K560" s="104" t="n">
        <v>-0.0148</v>
      </c>
      <c r="L560" s="134" t="n">
        <v>586.74</v>
      </c>
      <c r="M560" s="134" t="n">
        <v>3895.81</v>
      </c>
      <c r="N560" s="104" t="n">
        <v>0.1506</v>
      </c>
      <c r="O560" s="134" t="n">
        <v>233</v>
      </c>
      <c r="P560" s="134" t="n">
        <v>0</v>
      </c>
      <c r="Q560" s="134" t="inlineStr">
        <is>
          <t>1 -0.11%</t>
        </is>
      </c>
      <c r="R560" s="134" t="inlineStr">
        <is>
          <t>53 0.19%</t>
        </is>
      </c>
      <c r="S560" s="134" t="inlineStr">
        <is>
          <t>94 0.42%</t>
        </is>
      </c>
      <c r="T560" s="134" t="inlineStr">
        <is>
          <t>45 -0.08%</t>
        </is>
      </c>
      <c r="U560" s="134" t="inlineStr">
        <is>
          <t>40 0.81%</t>
        </is>
      </c>
    </row>
    <row customHeight="1" ht="17" r="561" s="155">
      <c r="A561" s="105" t="n">
        <v>43941</v>
      </c>
      <c r="B561" s="134" t="n">
        <v>1397.19</v>
      </c>
      <c r="C561" s="152" t="n">
        <v>19.168</v>
      </c>
      <c r="D561" s="153" t="n">
        <v>0.0139</v>
      </c>
      <c r="E561" s="134" t="n">
        <v>127.957</v>
      </c>
      <c r="F561" s="134" t="n">
        <v>116.765</v>
      </c>
      <c r="G561" s="134" t="n">
        <v>92.66</v>
      </c>
      <c r="H561" s="134" t="n">
        <v>163.79</v>
      </c>
      <c r="I561" s="104" t="n">
        <v>0.3583</v>
      </c>
      <c r="J561" s="104" t="n">
        <v>0.269</v>
      </c>
      <c r="K561" s="104" t="n">
        <v>-0.0174</v>
      </c>
      <c r="L561" s="134" t="n">
        <v>527.22</v>
      </c>
      <c r="M561" s="134" t="n">
        <v>3910.56</v>
      </c>
      <c r="N561" s="104" t="n">
        <v>0.1348</v>
      </c>
      <c r="O561" s="134" t="n">
        <v>236</v>
      </c>
      <c r="P561" s="134" t="n">
        <v>0</v>
      </c>
      <c r="Q561" s="134" t="inlineStr">
        <is>
          <t>1 0.07%</t>
        </is>
      </c>
      <c r="R561" s="134" t="inlineStr">
        <is>
          <t>50 0.22%</t>
        </is>
      </c>
      <c r="S561" s="134" t="inlineStr">
        <is>
          <t>91 0.37%</t>
        </is>
      </c>
      <c r="T561" s="134" t="inlineStr">
        <is>
          <t>48 0.98%</t>
        </is>
      </c>
      <c r="U561" s="134" t="inlineStr">
        <is>
          <t>46 5.14%</t>
        </is>
      </c>
    </row>
    <row customHeight="1" ht="17" r="562" s="155">
      <c r="A562" s="105" t="n">
        <v>43942</v>
      </c>
      <c r="B562" s="134" t="n">
        <v>1398.853</v>
      </c>
      <c r="C562" s="152" t="n">
        <v>1.663</v>
      </c>
      <c r="D562" s="153" t="n">
        <v>0.0012</v>
      </c>
      <c r="E562" s="134" t="n">
        <v>127.643</v>
      </c>
      <c r="F562" s="134" t="n">
        <v>116.287</v>
      </c>
      <c r="G562" s="134" t="n">
        <v>92.56999999999999</v>
      </c>
      <c r="H562" s="134" t="n">
        <v>163.32</v>
      </c>
      <c r="I562" s="104" t="n">
        <v>0.3567</v>
      </c>
      <c r="J562" s="104" t="n">
        <v>0.2874</v>
      </c>
      <c r="K562" s="104" t="n">
        <v>-0.0169</v>
      </c>
      <c r="L562" s="134" t="n">
        <v>572.36</v>
      </c>
      <c r="M562" s="134" t="n">
        <v>3904.11</v>
      </c>
      <c r="N562" s="104" t="n">
        <v>0.1466</v>
      </c>
      <c r="O562" s="134" t="n">
        <v>234</v>
      </c>
      <c r="P562" s="134" t="n">
        <v>0</v>
      </c>
      <c r="Q562" s="134" t="inlineStr">
        <is>
          <t>1 1.56%</t>
        </is>
      </c>
      <c r="R562" s="134" t="inlineStr">
        <is>
          <t>53 -0.12%</t>
        </is>
      </c>
      <c r="S562" s="134" t="inlineStr">
        <is>
          <t>88 -0.18%</t>
        </is>
      </c>
      <c r="T562" s="134" t="inlineStr">
        <is>
          <t>44 -0.26%</t>
        </is>
      </c>
      <c r="U562" s="134" t="inlineStr">
        <is>
          <t>48 2.05%</t>
        </is>
      </c>
    </row>
    <row customHeight="1" ht="17" r="563" s="155">
      <c r="A563" s="105" t="n">
        <v>43943</v>
      </c>
      <c r="B563" s="134" t="n">
        <v>1413.107</v>
      </c>
      <c r="C563" s="152" t="n">
        <v>14.254</v>
      </c>
      <c r="D563" s="153" t="n">
        <v>0.0102</v>
      </c>
      <c r="E563" s="134" t="n">
        <v>129.931</v>
      </c>
      <c r="F563" s="134" t="n">
        <v>117.09</v>
      </c>
      <c r="G563" s="134" t="n">
        <v>93.18000000000001</v>
      </c>
      <c r="H563" s="134" t="n">
        <v>166.72</v>
      </c>
      <c r="I563" s="104" t="n">
        <v>0.3679</v>
      </c>
      <c r="J563" s="104" t="n">
        <v>0.2816</v>
      </c>
      <c r="K563" s="104" t="n">
        <v>-0.0195</v>
      </c>
      <c r="L563" s="134" t="n">
        <v>672.16</v>
      </c>
      <c r="M563" s="134" t="n">
        <v>3923.74</v>
      </c>
      <c r="N563" s="104" t="n">
        <v>0.1713</v>
      </c>
      <c r="O563" s="134" t="n">
        <v>237</v>
      </c>
      <c r="P563" s="134" t="n">
        <v>0</v>
      </c>
      <c r="Q563" s="134" t="inlineStr">
        <is>
          <t>1 -0.50%</t>
        </is>
      </c>
      <c r="R563" s="134" t="inlineStr">
        <is>
          <t>49 0.14%</t>
        </is>
      </c>
      <c r="S563" s="134" t="inlineStr">
        <is>
          <t>91 0.42%</t>
        </is>
      </c>
      <c r="T563" s="134" t="inlineStr">
        <is>
          <t>40 0.64%</t>
        </is>
      </c>
      <c r="U563" s="134" t="inlineStr">
        <is>
          <t>56 3.07%</t>
        </is>
      </c>
    </row>
    <row customHeight="1" ht="17" r="564" s="155">
      <c r="A564" s="105" t="n">
        <v>43944</v>
      </c>
      <c r="B564" s="134" t="n">
        <v>1417.318</v>
      </c>
      <c r="C564" s="152" t="n">
        <v>4.211</v>
      </c>
      <c r="D564" s="153" t="n">
        <v>0.003</v>
      </c>
      <c r="E564" s="134" t="n">
        <v>130.491</v>
      </c>
      <c r="F564" s="134" t="n">
        <v>117.22</v>
      </c>
      <c r="G564" s="134" t="n">
        <v>93.66</v>
      </c>
      <c r="H564" s="134" t="n">
        <v>168.61</v>
      </c>
      <c r="I564" s="104" t="n">
        <v>0.3812</v>
      </c>
      <c r="J564" s="104" t="n">
        <v>0.2928</v>
      </c>
      <c r="K564" s="104" t="n">
        <v>-0.0201</v>
      </c>
      <c r="L564" s="134" t="n">
        <v>637.27</v>
      </c>
      <c r="M564" s="134" t="n">
        <v>3923.67</v>
      </c>
      <c r="N564" s="104" t="n">
        <v>0.1624</v>
      </c>
      <c r="O564" s="134" t="n">
        <v>237</v>
      </c>
      <c r="P564" s="134" t="n">
        <v>0</v>
      </c>
      <c r="Q564" s="134" t="inlineStr">
        <is>
          <t>1 0.00%</t>
        </is>
      </c>
      <c r="R564" s="134" t="inlineStr">
        <is>
          <t>47 0.04%</t>
        </is>
      </c>
      <c r="S564" s="134" t="inlineStr">
        <is>
          <t>94 0.01%</t>
        </is>
      </c>
      <c r="T564" s="134" t="inlineStr">
        <is>
          <t>41 0.15%</t>
        </is>
      </c>
      <c r="U564" s="134" t="inlineStr">
        <is>
          <t>54 1.15%</t>
        </is>
      </c>
    </row>
    <row customHeight="1" ht="17" r="565" s="155">
      <c r="A565" s="105" t="n">
        <v>43945</v>
      </c>
      <c r="B565" s="134" t="n">
        <v>1397.787</v>
      </c>
      <c r="C565" s="150" t="n">
        <v>-19.531</v>
      </c>
      <c r="D565" s="151" t="n">
        <v>-0.0138</v>
      </c>
      <c r="E565" s="134" t="n">
        <v>128.209</v>
      </c>
      <c r="F565" s="134" t="n">
        <v>115.9</v>
      </c>
      <c r="G565" s="134" t="n">
        <v>91.84</v>
      </c>
      <c r="H565" s="134" t="n">
        <v>166.79</v>
      </c>
      <c r="I565" s="104" t="n">
        <v>0.3859</v>
      </c>
      <c r="J565" s="104" t="n">
        <v>0.2863</v>
      </c>
      <c r="K565" s="104" t="n">
        <v>-0.0172</v>
      </c>
      <c r="L565" s="134" t="n">
        <v>667.37</v>
      </c>
      <c r="M565" s="134" t="n">
        <v>3923.62</v>
      </c>
      <c r="N565" s="104" t="n">
        <v>0.1701</v>
      </c>
      <c r="O565" s="134" t="n">
        <v>237</v>
      </c>
      <c r="P565" s="134" t="n">
        <v>0</v>
      </c>
      <c r="Q565" s="134" t="inlineStr">
        <is>
          <t>1 -0.87%</t>
        </is>
      </c>
      <c r="R565" s="134" t="inlineStr">
        <is>
          <t>56 -0.57%</t>
        </is>
      </c>
      <c r="S565" s="134" t="inlineStr">
        <is>
          <t>86 -0.79%</t>
        </is>
      </c>
      <c r="T565" s="134" t="inlineStr">
        <is>
          <t>45 -1.40%</t>
        </is>
      </c>
      <c r="U565" s="134" t="inlineStr">
        <is>
          <t>49 -3.33%</t>
        </is>
      </c>
    </row>
    <row customHeight="1" ht="17" r="566" s="155">
      <c r="A566" s="105" t="n">
        <v>43948</v>
      </c>
      <c r="B566" s="134" t="n">
        <v>1408.606</v>
      </c>
      <c r="C566" s="152" t="n">
        <v>10.819</v>
      </c>
      <c r="D566" s="153" t="n">
        <v>0.0077</v>
      </c>
      <c r="E566" s="134" t="n">
        <v>129.737</v>
      </c>
      <c r="F566" s="134" t="n">
        <v>116.6</v>
      </c>
      <c r="G566" s="134" t="n">
        <v>92.16</v>
      </c>
      <c r="H566" s="134" t="n">
        <v>170.41</v>
      </c>
      <c r="I566" s="104" t="n">
        <v>0.4068</v>
      </c>
      <c r="J566" s="104" t="n">
        <v>0.2984</v>
      </c>
      <c r="K566" s="104" t="n">
        <v>-0.0187</v>
      </c>
      <c r="L566" s="134" t="n">
        <v>499.74</v>
      </c>
      <c r="M566" s="134" t="n">
        <v>3923.52</v>
      </c>
      <c r="N566" s="104" t="n">
        <v>0.1274</v>
      </c>
      <c r="O566" s="134" t="n">
        <v>237</v>
      </c>
      <c r="P566" s="134" t="n">
        <v>0</v>
      </c>
      <c r="Q566" s="134" t="inlineStr">
        <is>
          <t>1 1.52%</t>
        </is>
      </c>
      <c r="R566" s="134" t="inlineStr">
        <is>
          <t>60 -0.01%</t>
        </is>
      </c>
      <c r="S566" s="134" t="inlineStr">
        <is>
          <t>83 0.23%</t>
        </is>
      </c>
      <c r="T566" s="134" t="inlineStr">
        <is>
          <t>42 0.48%</t>
        </is>
      </c>
      <c r="U566" s="134" t="inlineStr">
        <is>
          <t>51 3.17%</t>
        </is>
      </c>
    </row>
    <row customHeight="1" ht="17" r="567" s="155">
      <c r="A567" s="105" t="n">
        <v>43949</v>
      </c>
      <c r="B567" s="134" t="n">
        <v>1407.817</v>
      </c>
      <c r="C567" s="150" t="n">
        <v>-0.789</v>
      </c>
      <c r="D567" s="151" t="n">
        <v>-0.0005999999999999999</v>
      </c>
      <c r="E567" s="134" t="n">
        <v>129.939</v>
      </c>
      <c r="F567" s="134" t="n">
        <v>116.18</v>
      </c>
      <c r="G567" s="134" t="n">
        <v>90.69</v>
      </c>
      <c r="H567" s="134" t="n">
        <v>173.51</v>
      </c>
      <c r="I567" s="104" t="n">
        <v>0.4357</v>
      </c>
      <c r="J567" s="104" t="n">
        <v>0.3199</v>
      </c>
      <c r="K567" s="104" t="n">
        <v>-0.0171</v>
      </c>
      <c r="L567" s="134" t="n">
        <v>634.52</v>
      </c>
      <c r="M567" s="134" t="n">
        <v>3931.2</v>
      </c>
      <c r="N567" s="104" t="n">
        <v>0.1614</v>
      </c>
      <c r="O567" s="134" t="n">
        <v>239</v>
      </c>
      <c r="P567" s="134" t="n">
        <v>0</v>
      </c>
      <c r="Q567" s="134" t="inlineStr">
        <is>
          <t>2 -0.72%</t>
        </is>
      </c>
      <c r="R567" s="134" t="inlineStr">
        <is>
          <t>64 -0.46%</t>
        </is>
      </c>
      <c r="S567" s="134" t="inlineStr">
        <is>
          <t>83 -0.30%</t>
        </is>
      </c>
      <c r="T567" s="134" t="inlineStr">
        <is>
          <t>41 -0.58%</t>
        </is>
      </c>
      <c r="U567" s="134" t="inlineStr">
        <is>
          <t>49 1.72%</t>
        </is>
      </c>
    </row>
    <row customHeight="1" ht="17" r="568" s="155">
      <c r="A568" s="105" t="n">
        <v>43950</v>
      </c>
      <c r="B568" s="134" t="n">
        <v>1401.116</v>
      </c>
      <c r="C568" s="150" t="n">
        <v>-6.701</v>
      </c>
      <c r="D568" s="151" t="n">
        <v>-0.0048</v>
      </c>
      <c r="E568" s="134" t="n">
        <v>128.921</v>
      </c>
      <c r="F568" s="134" t="n">
        <v>116.24</v>
      </c>
      <c r="G568" s="134" t="n">
        <v>90.12</v>
      </c>
      <c r="H568" s="134" t="n">
        <v>170.89</v>
      </c>
      <c r="I568" s="104" t="n">
        <v>0.4196</v>
      </c>
      <c r="J568" s="104" t="n">
        <v>0.3157</v>
      </c>
      <c r="K568" s="104" t="n">
        <v>-0.0174</v>
      </c>
      <c r="L568" s="134" t="n">
        <v>657.16</v>
      </c>
      <c r="M568" s="134" t="n">
        <v>3936.67</v>
      </c>
      <c r="N568" s="104" t="n">
        <v>0.1669</v>
      </c>
      <c r="O568" s="134" t="n">
        <v>239</v>
      </c>
      <c r="P568" s="134" t="n">
        <v>0</v>
      </c>
      <c r="Q568" s="134" t="inlineStr">
        <is>
          <t>1 -0.16%</t>
        </is>
      </c>
      <c r="R568" s="134" t="inlineStr">
        <is>
          <t>60 0.12%</t>
        </is>
      </c>
      <c r="S568" s="134" t="inlineStr">
        <is>
          <t>89 -0.23%</t>
        </is>
      </c>
      <c r="T568" s="134" t="inlineStr">
        <is>
          <t>41 0.16%</t>
        </is>
      </c>
      <c r="U568" s="134" t="inlineStr">
        <is>
          <t>48 -2.22%</t>
        </is>
      </c>
    </row>
    <row customHeight="1" ht="17" r="569" s="155">
      <c r="A569" s="105" t="n">
        <v>43951</v>
      </c>
      <c r="B569" s="134" t="n">
        <v>1408.332</v>
      </c>
      <c r="C569" s="152" t="n">
        <v>7.216</v>
      </c>
      <c r="D569" s="153" t="n">
        <v>0.0052</v>
      </c>
      <c r="E569" s="134" t="n">
        <v>129.416</v>
      </c>
      <c r="F569" s="134" t="n">
        <v>116.58</v>
      </c>
      <c r="G569" s="134" t="n">
        <v>91.81999999999999</v>
      </c>
      <c r="H569" s="134" t="n">
        <v>168.98</v>
      </c>
      <c r="I569" s="104" t="n">
        <v>0.3956</v>
      </c>
      <c r="J569" s="104" t="n">
        <v>0.2938</v>
      </c>
      <c r="K569" s="104" t="n">
        <v>-0.0184</v>
      </c>
      <c r="L569" s="134" t="n">
        <v>540.29</v>
      </c>
      <c r="M569" s="134" t="n">
        <v>3936.61</v>
      </c>
      <c r="N569" s="104" t="n">
        <v>0.1372</v>
      </c>
      <c r="O569" s="134" t="n">
        <v>239</v>
      </c>
      <c r="P569" s="134" t="n">
        <v>0</v>
      </c>
      <c r="Q569" s="134" t="inlineStr">
        <is>
          <t>1 0.00%</t>
        </is>
      </c>
      <c r="R569" s="134" t="inlineStr">
        <is>
          <t>55 0.32%</t>
        </is>
      </c>
      <c r="S569" s="134" t="inlineStr">
        <is>
          <t>88 0.86%</t>
        </is>
      </c>
      <c r="T569" s="134" t="inlineStr">
        <is>
          <t>46 0.99%</t>
        </is>
      </c>
      <c r="U569" s="134" t="inlineStr">
        <is>
          <t>49 0.21%</t>
        </is>
      </c>
    </row>
    <row customHeight="1" ht="17" r="570" s="155">
      <c r="A570" s="105" t="n">
        <v>43957</v>
      </c>
      <c r="B570" s="134" t="n">
        <v>1418.782</v>
      </c>
      <c r="C570" s="152" t="n">
        <v>10.45</v>
      </c>
      <c r="D570" s="153" t="n">
        <v>0.0074</v>
      </c>
      <c r="E570" s="134" t="n">
        <v>130.388</v>
      </c>
      <c r="F570" s="134" t="n">
        <v>117.01</v>
      </c>
      <c r="G570" s="134" t="n">
        <v>92.79000000000001</v>
      </c>
      <c r="H570" s="134" t="n">
        <v>168.65</v>
      </c>
      <c r="I570" s="104" t="n">
        <v>0.3826</v>
      </c>
      <c r="J570" s="104" t="n">
        <v>0.2774</v>
      </c>
      <c r="K570" s="104" t="n">
        <v>-0.0198</v>
      </c>
      <c r="L570" s="134" t="n">
        <v>367.26</v>
      </c>
      <c r="M570" s="134" t="n">
        <v>3964.88</v>
      </c>
      <c r="N570" s="104" t="n">
        <v>0.0926</v>
      </c>
      <c r="O570" s="134" t="n">
        <v>241</v>
      </c>
      <c r="P570" s="134" t="inlineStr">
        <is>
          <t>1 -0.34%</t>
        </is>
      </c>
      <c r="Q570" s="134" t="n">
        <v>0</v>
      </c>
      <c r="R570" s="134" t="inlineStr">
        <is>
          <t>52 0.09%</t>
        </is>
      </c>
      <c r="S570" s="134" t="inlineStr">
        <is>
          <t>89 0.34%</t>
        </is>
      </c>
      <c r="T570" s="134" t="inlineStr">
        <is>
          <t>44 1.18%</t>
        </is>
      </c>
      <c r="U570" s="134" t="inlineStr">
        <is>
          <t>55 1.69%</t>
        </is>
      </c>
    </row>
    <row customHeight="1" ht="17" r="571" s="155">
      <c r="A571" s="105" t="n">
        <v>43958</v>
      </c>
      <c r="B571" s="134" t="n">
        <v>1390.619</v>
      </c>
      <c r="C571" s="150" t="n">
        <v>-28.163</v>
      </c>
      <c r="D571" s="151" t="n">
        <v>-0.0199</v>
      </c>
      <c r="E571" s="134" t="n">
        <v>125.935</v>
      </c>
      <c r="F571" s="134" t="n">
        <v>115.979</v>
      </c>
      <c r="G571" s="134" t="n">
        <v>92.39</v>
      </c>
      <c r="H571" s="134" t="n">
        <v>160.82</v>
      </c>
      <c r="I571" s="104" t="n">
        <v>0.3489</v>
      </c>
      <c r="J571" s="104" t="n">
        <v>0.2825</v>
      </c>
      <c r="K571" s="104" t="n">
        <v>-0.0152</v>
      </c>
      <c r="L571" s="134" t="n">
        <v>324.89</v>
      </c>
      <c r="M571" s="134" t="n">
        <v>3964.79</v>
      </c>
      <c r="N571" s="104" t="n">
        <v>0.0819</v>
      </c>
      <c r="O571" s="134" t="n">
        <v>241</v>
      </c>
      <c r="P571" s="134" t="inlineStr">
        <is>
          <t>1 -0.47%</t>
        </is>
      </c>
      <c r="Q571" s="134" t="n">
        <v>0</v>
      </c>
      <c r="R571" s="134" t="inlineStr">
        <is>
          <t>59 -0.33%</t>
        </is>
      </c>
      <c r="S571" s="134" t="inlineStr">
        <is>
          <t>85 -0.77%</t>
        </is>
      </c>
      <c r="T571" s="134" t="inlineStr">
        <is>
          <t>45 -0.25%</t>
        </is>
      </c>
      <c r="U571" s="134" t="inlineStr">
        <is>
          <t>51 -6.88%</t>
        </is>
      </c>
    </row>
    <row customHeight="1" ht="17" r="572" s="155">
      <c r="A572" s="105" t="n">
        <v>43959</v>
      </c>
      <c r="B572" s="134" t="n">
        <v>1398.921</v>
      </c>
      <c r="C572" s="152" t="n">
        <v>8.302</v>
      </c>
      <c r="D572" s="153" t="n">
        <v>0.006</v>
      </c>
      <c r="E572" s="134" t="n">
        <v>126.738</v>
      </c>
      <c r="F572" s="134" t="n">
        <v>116.521</v>
      </c>
      <c r="G572" s="134" t="n">
        <v>93.47</v>
      </c>
      <c r="H572" s="134" t="n">
        <v>161.16</v>
      </c>
      <c r="I572" s="104" t="n">
        <v>0.3442</v>
      </c>
      <c r="J572" s="104" t="n">
        <v>0.2692</v>
      </c>
      <c r="K572" s="104" t="n">
        <v>-0.0162</v>
      </c>
      <c r="L572" s="134" t="n">
        <v>339.8</v>
      </c>
      <c r="M572" s="134" t="n">
        <v>3979.49</v>
      </c>
      <c r="N572" s="104" t="n">
        <v>0.0854</v>
      </c>
      <c r="O572" s="134" t="n">
        <v>243</v>
      </c>
      <c r="P572" s="134" t="inlineStr">
        <is>
          <t>1 0.16%</t>
        </is>
      </c>
      <c r="Q572" s="134" t="n">
        <v>0</v>
      </c>
      <c r="R572" s="134" t="inlineStr">
        <is>
          <t>55 0.01%</t>
        </is>
      </c>
      <c r="S572" s="134" t="inlineStr">
        <is>
          <t>89 0.36%</t>
        </is>
      </c>
      <c r="T572" s="134" t="inlineStr">
        <is>
          <t>41 1.17%</t>
        </is>
      </c>
      <c r="U572" s="134" t="inlineStr">
        <is>
          <t>57 1.56%</t>
        </is>
      </c>
    </row>
    <row customHeight="1" ht="17" r="573" s="155">
      <c r="A573" s="105" t="n">
        <v>43962</v>
      </c>
      <c r="B573" s="134" t="n">
        <v>1403.216</v>
      </c>
      <c r="C573" s="152" t="n">
        <v>4.295</v>
      </c>
      <c r="D573" s="153" t="n">
        <v>0.0031</v>
      </c>
      <c r="E573" s="134" t="n">
        <v>127.432</v>
      </c>
      <c r="F573" s="134" t="n">
        <v>116.319</v>
      </c>
      <c r="G573" s="134" t="n">
        <v>93.05</v>
      </c>
      <c r="H573" s="134" t="n">
        <v>162.3</v>
      </c>
      <c r="I573" s="104" t="n">
        <v>0.3486</v>
      </c>
      <c r="J573" s="104" t="n">
        <v>0.2739</v>
      </c>
      <c r="K573" s="104" t="n">
        <v>-0.0169</v>
      </c>
      <c r="L573" s="134" t="n">
        <v>319.94</v>
      </c>
      <c r="M573" s="134" t="n">
        <v>3984.71</v>
      </c>
      <c r="N573" s="104" t="n">
        <v>0.0803</v>
      </c>
      <c r="O573" s="134" t="n">
        <v>244</v>
      </c>
      <c r="P573" s="134" t="inlineStr">
        <is>
          <t>1 -0.31%</t>
        </is>
      </c>
      <c r="Q573" s="134" t="inlineStr">
        <is>
          <t>1 -0.16%</t>
        </is>
      </c>
      <c r="R573" s="134" t="inlineStr">
        <is>
          <t>56 -0.15%</t>
        </is>
      </c>
      <c r="S573" s="134" t="inlineStr">
        <is>
          <t>86 0.21%</t>
        </is>
      </c>
      <c r="T573" s="134" t="inlineStr">
        <is>
          <t>44 -0.28%</t>
        </is>
      </c>
      <c r="U573" s="134" t="inlineStr">
        <is>
          <t>56 1.68%</t>
        </is>
      </c>
    </row>
    <row customHeight="1" ht="17" r="574" s="155">
      <c r="A574" s="105" t="n">
        <v>43963</v>
      </c>
      <c r="B574" s="134" t="n">
        <v>1402.206</v>
      </c>
      <c r="C574" s="150" t="n">
        <v>-1.01</v>
      </c>
      <c r="D574" s="151" t="n">
        <v>-0.0007</v>
      </c>
      <c r="E574" s="134" t="n">
        <v>127.619</v>
      </c>
      <c r="F574" s="134" t="n">
        <v>115.98</v>
      </c>
      <c r="G574" s="134" t="n">
        <v>92.59</v>
      </c>
      <c r="H574" s="134" t="n">
        <v>162.64</v>
      </c>
      <c r="I574" s="104" t="n">
        <v>0.3502</v>
      </c>
      <c r="J574" s="104" t="n">
        <v>0.2723</v>
      </c>
      <c r="K574" s="104" t="n">
        <v>-0.0166</v>
      </c>
      <c r="L574" s="134" t="n">
        <v>311.13</v>
      </c>
      <c r="M574" s="134" t="n">
        <v>3992.45</v>
      </c>
      <c r="N574" s="104" t="n">
        <v>0.0779</v>
      </c>
      <c r="O574" s="134" t="n">
        <v>245</v>
      </c>
      <c r="P574" s="134" t="inlineStr">
        <is>
          <t>1 -0.37%</t>
        </is>
      </c>
      <c r="Q574" s="134" t="inlineStr">
        <is>
          <t>2 -0.61%</t>
        </is>
      </c>
      <c r="R574" s="134" t="inlineStr">
        <is>
          <t>62 -0.29%</t>
        </is>
      </c>
      <c r="S574" s="134" t="inlineStr">
        <is>
          <t>86 -0.34%</t>
        </is>
      </c>
      <c r="T574" s="134" t="inlineStr">
        <is>
          <t>42 -0.43%</t>
        </is>
      </c>
      <c r="U574" s="134" t="inlineStr">
        <is>
          <t>52 1.21%</t>
        </is>
      </c>
    </row>
    <row customHeight="1" ht="17" r="575" s="155">
      <c r="A575" s="105" t="n">
        <v>43964</v>
      </c>
      <c r="B575" s="134" t="n">
        <v>1400.187</v>
      </c>
      <c r="C575" s="150" t="n">
        <v>-2.019</v>
      </c>
      <c r="D575" s="151" t="n">
        <v>-0.0014</v>
      </c>
      <c r="E575" s="134" t="n">
        <v>127.376</v>
      </c>
      <c r="F575" s="134" t="n">
        <v>115.54</v>
      </c>
      <c r="G575" s="134" t="n">
        <v>92.72</v>
      </c>
      <c r="H575" s="134" t="n">
        <v>161.31</v>
      </c>
      <c r="I575" s="104" t="n">
        <v>0.3393</v>
      </c>
      <c r="J575" s="104" t="n">
        <v>0.2583</v>
      </c>
      <c r="K575" s="104" t="n">
        <v>-0.0161</v>
      </c>
      <c r="L575" s="134" t="n">
        <v>340.35</v>
      </c>
      <c r="M575" s="134" t="n">
        <v>4001.52</v>
      </c>
      <c r="N575" s="104" t="n">
        <v>0.0851</v>
      </c>
      <c r="O575" s="134" t="n">
        <v>246</v>
      </c>
      <c r="P575" s="134" t="inlineStr">
        <is>
          <t>1 -0.03%</t>
        </is>
      </c>
      <c r="Q575" s="134" t="inlineStr">
        <is>
          <t>2 -0.10%</t>
        </is>
      </c>
      <c r="R575" s="134" t="inlineStr">
        <is>
          <t>64 0.03%</t>
        </is>
      </c>
      <c r="S575" s="134" t="inlineStr">
        <is>
          <t>82 -0.21%</t>
        </is>
      </c>
      <c r="T575" s="134" t="inlineStr">
        <is>
          <t>44 1.06%</t>
        </is>
      </c>
      <c r="U575" s="134" t="inlineStr">
        <is>
          <t>53 -0.14%</t>
        </is>
      </c>
    </row>
    <row customHeight="1" ht="17" r="576" s="155">
      <c r="A576" s="105" t="n">
        <v>43965</v>
      </c>
      <c r="B576" s="134" t="n">
        <v>1386.871</v>
      </c>
      <c r="C576" s="150" t="n">
        <v>-13.316</v>
      </c>
      <c r="D576" s="151" t="n">
        <v>-0.0095</v>
      </c>
      <c r="E576" s="134" t="n">
        <v>125.901</v>
      </c>
      <c r="F576" s="134" t="n">
        <v>114.809</v>
      </c>
      <c r="G576" s="134" t="n">
        <v>91.38</v>
      </c>
      <c r="H576" s="134" t="n">
        <v>160.13</v>
      </c>
      <c r="I576" s="104" t="n">
        <v>0.3423</v>
      </c>
      <c r="J576" s="104" t="n">
        <v>0.2618</v>
      </c>
      <c r="K576" s="104" t="n">
        <v>-0.0137</v>
      </c>
      <c r="L576" s="134" t="n">
        <v>300</v>
      </c>
      <c r="M576" s="134" t="n">
        <v>4029.16</v>
      </c>
      <c r="N576" s="104" t="n">
        <v>0.0745</v>
      </c>
      <c r="O576" s="134" t="n">
        <v>250</v>
      </c>
      <c r="P576" s="134" t="inlineStr">
        <is>
          <t>1 -0.57%</t>
        </is>
      </c>
      <c r="Q576" s="134" t="inlineStr">
        <is>
          <t>2 -0.70%</t>
        </is>
      </c>
      <c r="R576" s="134" t="inlineStr">
        <is>
          <t>71 -0.66%</t>
        </is>
      </c>
      <c r="S576" s="134" t="inlineStr">
        <is>
          <t>86 -0.84%</t>
        </is>
      </c>
      <c r="T576" s="134" t="inlineStr">
        <is>
          <t>43 -1.07%</t>
        </is>
      </c>
      <c r="U576" s="134" t="inlineStr">
        <is>
          <t>47 -1.51%</t>
        </is>
      </c>
    </row>
    <row customHeight="1" ht="17" r="577" s="155">
      <c r="A577" s="105" t="n">
        <v>43966</v>
      </c>
      <c r="B577" s="134" t="n">
        <v>1380.949</v>
      </c>
      <c r="C577" s="150" t="n">
        <v>-5.922</v>
      </c>
      <c r="D577" s="151" t="n">
        <v>-0.0043</v>
      </c>
      <c r="E577" s="134" t="n">
        <v>125.375</v>
      </c>
      <c r="F577" s="134" t="n">
        <v>114.6</v>
      </c>
      <c r="G577" s="134" t="n">
        <v>91.28</v>
      </c>
      <c r="H577" s="134" t="n">
        <v>158.69</v>
      </c>
      <c r="I577" s="104" t="n">
        <v>0.3331</v>
      </c>
      <c r="J577" s="104" t="n">
        <v>0.263</v>
      </c>
      <c r="K577" s="104" t="n">
        <v>-0.0126</v>
      </c>
      <c r="L577" s="134" t="n">
        <v>288.25</v>
      </c>
      <c r="M577" s="134" t="n">
        <v>4028.98</v>
      </c>
      <c r="N577" s="104" t="n">
        <v>0.07149999999999999</v>
      </c>
      <c r="O577" s="134" t="n">
        <v>250</v>
      </c>
      <c r="P577" s="134" t="inlineStr">
        <is>
          <t>1 -0.25%</t>
        </is>
      </c>
      <c r="Q577" s="134" t="inlineStr">
        <is>
          <t>3 -1.04%</t>
        </is>
      </c>
      <c r="R577" s="134" t="inlineStr">
        <is>
          <t>77 -0.63%</t>
        </is>
      </c>
      <c r="S577" s="134" t="inlineStr">
        <is>
          <t>83 -0.49%</t>
        </is>
      </c>
      <c r="T577" s="134" t="inlineStr">
        <is>
          <t>39 0.02%</t>
        </is>
      </c>
      <c r="U577" s="134" t="inlineStr">
        <is>
          <t>47 0.15%</t>
        </is>
      </c>
    </row>
    <row customHeight="1" ht="17" r="578" s="155">
      <c r="A578" s="105" t="n">
        <v>43969</v>
      </c>
      <c r="B578" s="134" t="n">
        <v>1366.463</v>
      </c>
      <c r="C578" s="150" t="n">
        <v>-14.486</v>
      </c>
      <c r="D578" s="151" t="n">
        <v>-0.0105</v>
      </c>
      <c r="E578" s="134" t="n">
        <v>123.956</v>
      </c>
      <c r="F578" s="134" t="n">
        <v>112.89</v>
      </c>
      <c r="G578" s="134" t="n">
        <v>91.54000000000001</v>
      </c>
      <c r="H578" s="134" t="n">
        <v>156.07</v>
      </c>
      <c r="I578" s="104" t="n">
        <v>0.3211</v>
      </c>
      <c r="J578" s="104" t="n">
        <v>0.2562</v>
      </c>
      <c r="K578" s="104" t="n">
        <v>-0.0102</v>
      </c>
      <c r="L578" s="134" t="n">
        <v>275.2</v>
      </c>
      <c r="M578" s="134" t="n">
        <v>4035.79</v>
      </c>
      <c r="N578" s="104" t="n">
        <v>0.0682</v>
      </c>
      <c r="O578" s="134" t="n">
        <v>251</v>
      </c>
      <c r="P578" s="134" t="inlineStr">
        <is>
          <t>1 -1.59%</t>
        </is>
      </c>
      <c r="Q578" s="134" t="inlineStr">
        <is>
          <t>6 -1.15%</t>
        </is>
      </c>
      <c r="R578" s="134" t="inlineStr">
        <is>
          <t>84 -1.03%</t>
        </is>
      </c>
      <c r="S578" s="134" t="inlineStr">
        <is>
          <t>79 -1.14%</t>
        </is>
      </c>
      <c r="T578" s="134" t="inlineStr">
        <is>
          <t>34 -0.58%</t>
        </is>
      </c>
      <c r="U578" s="134" t="inlineStr">
        <is>
          <t>47 -1.25%</t>
        </is>
      </c>
    </row>
    <row customHeight="1" ht="17" r="579" s="155">
      <c r="A579" s="105" t="n">
        <v>43970</v>
      </c>
      <c r="B579" s="134" t="n">
        <v>1366.75</v>
      </c>
      <c r="C579" s="152" t="n">
        <v>0.287</v>
      </c>
      <c r="D579" s="153" t="n">
        <v>0.0002</v>
      </c>
      <c r="E579" s="134" t="n">
        <v>124.089</v>
      </c>
      <c r="F579" s="134" t="n">
        <v>113</v>
      </c>
      <c r="G579" s="134" t="n">
        <v>91.95</v>
      </c>
      <c r="H579" s="134" t="n">
        <v>154.83</v>
      </c>
      <c r="I579" s="104" t="n">
        <v>0.3074</v>
      </c>
      <c r="J579" s="104" t="n">
        <v>0.2373</v>
      </c>
      <c r="K579" s="104" t="n">
        <v>-0.0101</v>
      </c>
      <c r="L579" s="134" t="n">
        <v>269.19</v>
      </c>
      <c r="M579" s="134" t="n">
        <v>4035.09</v>
      </c>
      <c r="N579" s="104" t="n">
        <v>0.0667</v>
      </c>
      <c r="O579" s="134" t="n">
        <v>251</v>
      </c>
      <c r="P579" s="134" t="inlineStr">
        <is>
          <t>1 -2.06%</t>
        </is>
      </c>
      <c r="Q579" s="134" t="inlineStr">
        <is>
          <t>8 -0.73%</t>
        </is>
      </c>
      <c r="R579" s="134" t="inlineStr">
        <is>
          <t>86 -0.25%</t>
        </is>
      </c>
      <c r="S579" s="134" t="inlineStr">
        <is>
          <t>75 0.12%</t>
        </is>
      </c>
      <c r="T579" s="134" t="inlineStr">
        <is>
          <t>30 0.39%</t>
        </is>
      </c>
      <c r="U579" s="134" t="inlineStr">
        <is>
          <t>51 0.71%</t>
        </is>
      </c>
    </row>
    <row customHeight="1" ht="17" r="580" s="155">
      <c r="A580" s="105" t="n">
        <v>43971</v>
      </c>
      <c r="B580" s="134" t="n">
        <v>1355.679</v>
      </c>
      <c r="C580" s="150" t="n">
        <v>-11.071</v>
      </c>
      <c r="D580" s="151" t="n">
        <v>-0.0081</v>
      </c>
      <c r="E580" s="134" t="n">
        <v>122.919</v>
      </c>
      <c r="F580" s="134" t="n">
        <v>111.495</v>
      </c>
      <c r="G580" s="134" t="n">
        <v>91.68000000000001</v>
      </c>
      <c r="H580" s="134" t="n">
        <v>153.84</v>
      </c>
      <c r="I580" s="104" t="n">
        <v>0.3093</v>
      </c>
      <c r="J580" s="104" t="n">
        <v>0.2299</v>
      </c>
      <c r="K580" s="104" t="n">
        <v>-0.0076</v>
      </c>
      <c r="L580" s="134" t="n">
        <v>336.05</v>
      </c>
      <c r="M580" s="134" t="n">
        <v>4023.38</v>
      </c>
      <c r="N580" s="104" t="n">
        <v>0.0835</v>
      </c>
      <c r="O580" s="134" t="n">
        <v>252</v>
      </c>
      <c r="P580" s="134" t="inlineStr">
        <is>
          <t>1 -3.30%</t>
        </is>
      </c>
      <c r="Q580" s="134" t="inlineStr">
        <is>
          <t>9 -0.93%</t>
        </is>
      </c>
      <c r="R580" s="134" t="inlineStr">
        <is>
          <t>103 -0.92%</t>
        </is>
      </c>
      <c r="S580" s="134" t="inlineStr">
        <is>
          <t>63 -0.98%</t>
        </is>
      </c>
      <c r="T580" s="134" t="inlineStr">
        <is>
          <t>29 -1.25%</t>
        </is>
      </c>
      <c r="U580" s="134" t="inlineStr">
        <is>
          <t>47 0.21%</t>
        </is>
      </c>
    </row>
    <row customHeight="1" ht="17" r="581" s="155">
      <c r="A581" s="105" t="n">
        <v>43972</v>
      </c>
      <c r="B581" s="134" t="n">
        <v>1353.076</v>
      </c>
      <c r="C581" s="150" t="n">
        <v>-2.603</v>
      </c>
      <c r="D581" s="151" t="n">
        <v>-0.0019</v>
      </c>
      <c r="E581" s="134" t="n">
        <v>122.611</v>
      </c>
      <c r="F581" s="134" t="n">
        <v>110.96</v>
      </c>
      <c r="G581" s="134" t="n">
        <v>91.29000000000001</v>
      </c>
      <c r="H581" s="134" t="n">
        <v>154.24</v>
      </c>
      <c r="I581" s="104" t="n">
        <v>0.3162</v>
      </c>
      <c r="J581" s="104" t="n">
        <v>0.2309</v>
      </c>
      <c r="K581" s="104" t="n">
        <v>-0.007</v>
      </c>
      <c r="L581" s="134" t="n">
        <v>357.62</v>
      </c>
      <c r="M581" s="134" t="n">
        <v>4023.85</v>
      </c>
      <c r="N581" s="104" t="n">
        <v>0.08890000000000001</v>
      </c>
      <c r="O581" s="134" t="n">
        <v>252</v>
      </c>
      <c r="P581" s="134" t="inlineStr">
        <is>
          <t>1 0.10%</t>
        </is>
      </c>
      <c r="Q581" s="134" t="inlineStr">
        <is>
          <t>9 -0.10%</t>
        </is>
      </c>
      <c r="R581" s="134" t="inlineStr">
        <is>
          <t>105 0.04%</t>
        </is>
      </c>
      <c r="S581" s="134" t="inlineStr">
        <is>
          <t>64 -0.35%</t>
        </is>
      </c>
      <c r="T581" s="134" t="inlineStr">
        <is>
          <t>32 -0.74%</t>
        </is>
      </c>
      <c r="U581" s="134" t="inlineStr">
        <is>
          <t>41 -0.14%</t>
        </is>
      </c>
    </row>
    <row customHeight="1" ht="17" r="582" s="155">
      <c r="A582" s="105" t="n">
        <v>43973</v>
      </c>
      <c r="B582" s="134" t="n">
        <v>1338.219</v>
      </c>
      <c r="C582" s="150" t="n">
        <v>-14.857</v>
      </c>
      <c r="D582" s="151" t="n">
        <v>-0.011</v>
      </c>
      <c r="E582" s="134" t="n">
        <v>121.05</v>
      </c>
      <c r="F582" s="134" t="n">
        <v>110.095</v>
      </c>
      <c r="G582" s="134" t="n">
        <v>89.92</v>
      </c>
      <c r="H582" s="134" t="n">
        <v>153.16</v>
      </c>
      <c r="I582" s="104" t="n">
        <v>0.3211</v>
      </c>
      <c r="J582" s="104" t="n">
        <v>0.2471</v>
      </c>
      <c r="K582" s="104" t="n">
        <v>-0.0046</v>
      </c>
      <c r="L582" s="134" t="n">
        <v>297.79</v>
      </c>
      <c r="M582" s="134" t="n">
        <v>4022.59</v>
      </c>
      <c r="N582" s="104" t="n">
        <v>0.074</v>
      </c>
      <c r="O582" s="134" t="n">
        <v>252</v>
      </c>
      <c r="P582" s="134" t="inlineStr">
        <is>
          <t>1 -2.29%</t>
        </is>
      </c>
      <c r="Q582" s="134" t="inlineStr">
        <is>
          <t>11 -0.09%</t>
        </is>
      </c>
      <c r="R582" s="134" t="inlineStr">
        <is>
          <t>112 -0.43%</t>
        </is>
      </c>
      <c r="S582" s="134" t="inlineStr">
        <is>
          <t>62 -1.05%</t>
        </is>
      </c>
      <c r="T582" s="134" t="inlineStr">
        <is>
          <t>32 -0.71%</t>
        </is>
      </c>
      <c r="U582" s="134" t="inlineStr">
        <is>
          <t>34 -2.79%</t>
        </is>
      </c>
    </row>
    <row customHeight="1" ht="17" r="583" s="155">
      <c r="A583" s="105" t="n">
        <v>43976</v>
      </c>
      <c r="B583" s="134" t="n">
        <v>1329.079</v>
      </c>
      <c r="C583" s="150" t="n">
        <v>-9.140000000000001</v>
      </c>
      <c r="D583" s="151" t="n">
        <v>-0.0068</v>
      </c>
      <c r="E583" s="134" t="n">
        <v>120.232</v>
      </c>
      <c r="F583" s="134" t="n">
        <v>109.9</v>
      </c>
      <c r="G583" s="134" t="n">
        <v>89.8</v>
      </c>
      <c r="H583" s="134" t="n">
        <v>152.06</v>
      </c>
      <c r="I583" s="104" t="n">
        <v>0.3182</v>
      </c>
      <c r="J583" s="104" t="n">
        <v>0.2447</v>
      </c>
      <c r="K583" s="104" t="n">
        <v>-0.0029</v>
      </c>
      <c r="L583" s="134" t="n">
        <v>289.7</v>
      </c>
      <c r="M583" s="134" t="n">
        <v>4053.68</v>
      </c>
      <c r="N583" s="104" t="n">
        <v>0.07149999999999999</v>
      </c>
      <c r="O583" s="134" t="n">
        <v>255</v>
      </c>
      <c r="P583" s="134" t="inlineStr">
        <is>
          <t>1 -0.27%</t>
        </is>
      </c>
      <c r="Q583" s="134" t="inlineStr">
        <is>
          <t>15 -0.62%</t>
        </is>
      </c>
      <c r="R583" s="134" t="inlineStr">
        <is>
          <t>116 -0.69%</t>
        </is>
      </c>
      <c r="S583" s="134" t="inlineStr">
        <is>
          <t>60 -0.90%</t>
        </is>
      </c>
      <c r="T583" s="134" t="inlineStr">
        <is>
          <t>32 -0.68%</t>
        </is>
      </c>
      <c r="U583" s="134" t="inlineStr">
        <is>
          <t>31 -0.28%</t>
        </is>
      </c>
    </row>
    <row customHeight="1" ht="17" r="584" s="155">
      <c r="A584" s="105" t="n">
        <v>43977</v>
      </c>
      <c r="B584" s="134" t="n">
        <v>1345.56</v>
      </c>
      <c r="C584" s="152" t="n">
        <v>16.481</v>
      </c>
      <c r="D584" s="153" t="n">
        <v>0.0124</v>
      </c>
      <c r="E584" s="134" t="n">
        <v>121.951</v>
      </c>
      <c r="F584" s="134" t="n">
        <v>110.707</v>
      </c>
      <c r="G584" s="134" t="n">
        <v>90.95999999999999</v>
      </c>
      <c r="H584" s="134" t="n">
        <v>152.74</v>
      </c>
      <c r="I584" s="104" t="n">
        <v>0.3079</v>
      </c>
      <c r="J584" s="104" t="n">
        <v>0.2241</v>
      </c>
      <c r="K584" s="104" t="n">
        <v>-0.0055</v>
      </c>
      <c r="L584" s="134" t="n">
        <v>281.88</v>
      </c>
      <c r="M584" s="134" t="n">
        <v>4053.33</v>
      </c>
      <c r="N584" s="104" t="n">
        <v>0.06950000000000001</v>
      </c>
      <c r="O584" s="134" t="n">
        <v>255</v>
      </c>
      <c r="P584" s="134" t="inlineStr">
        <is>
          <t>1 0.46%</t>
        </is>
      </c>
      <c r="Q584" s="134" t="inlineStr">
        <is>
          <t>15 0.25%</t>
        </is>
      </c>
      <c r="R584" s="134" t="inlineStr">
        <is>
          <t>103 0.73%</t>
        </is>
      </c>
      <c r="S584" s="134" t="inlineStr">
        <is>
          <t>63 1.21%</t>
        </is>
      </c>
      <c r="T584" s="134" t="inlineStr">
        <is>
          <t>35 1.97%</t>
        </is>
      </c>
      <c r="U584" s="134" t="inlineStr">
        <is>
          <t>38 2.44%</t>
        </is>
      </c>
    </row>
    <row customHeight="1" ht="17" r="585" s="155">
      <c r="A585" s="105" t="n">
        <v>43978</v>
      </c>
      <c r="B585" s="134" t="n">
        <v>1346.462</v>
      </c>
      <c r="C585" s="152" t="n">
        <v>0.902</v>
      </c>
      <c r="D585" s="153" t="n">
        <v>0.0007</v>
      </c>
      <c r="E585" s="134" t="n">
        <v>122.022</v>
      </c>
      <c r="F585" s="134" t="n">
        <v>110.955</v>
      </c>
      <c r="G585" s="134" t="n">
        <v>91.98</v>
      </c>
      <c r="H585" s="134" t="n">
        <v>152.91</v>
      </c>
      <c r="I585" s="104" t="n">
        <v>0.3089</v>
      </c>
      <c r="J585" s="104" t="n">
        <v>0.2155</v>
      </c>
      <c r="K585" s="104" t="n">
        <v>-0.0056</v>
      </c>
      <c r="L585" s="134" t="n">
        <v>275.36</v>
      </c>
      <c r="M585" s="134" t="n">
        <v>4052.74</v>
      </c>
      <c r="N585" s="104" t="n">
        <v>0.0679</v>
      </c>
      <c r="O585" s="134" t="n">
        <v>254</v>
      </c>
      <c r="P585" s="134" t="inlineStr">
        <is>
          <t>1 0.72%</t>
        </is>
      </c>
      <c r="Q585" s="134" t="inlineStr">
        <is>
          <t>11 0.23%</t>
        </is>
      </c>
      <c r="R585" s="134" t="inlineStr">
        <is>
          <t>103 0.12%</t>
        </is>
      </c>
      <c r="S585" s="134" t="inlineStr">
        <is>
          <t>69 0.42%</t>
        </is>
      </c>
      <c r="T585" s="134" t="inlineStr">
        <is>
          <t>37 -0.13%</t>
        </is>
      </c>
      <c r="U585" s="134" t="inlineStr">
        <is>
          <t>33 -0.70%</t>
        </is>
      </c>
    </row>
    <row customHeight="1" ht="17" r="586" s="155">
      <c r="A586" s="105" t="n">
        <v>43979</v>
      </c>
      <c r="B586" s="134" t="n">
        <v>1341.722</v>
      </c>
      <c r="C586" s="150" t="n">
        <v>-4.74</v>
      </c>
      <c r="D586" s="151" t="n">
        <v>-0.0035</v>
      </c>
      <c r="E586" s="134" t="n">
        <v>121.355</v>
      </c>
      <c r="F586" s="134" t="n">
        <v>111.045</v>
      </c>
      <c r="G586" s="134" t="n">
        <v>91.45999999999999</v>
      </c>
      <c r="H586" s="134" t="n">
        <v>152.27</v>
      </c>
      <c r="I586" s="104" t="n">
        <v>0.3092</v>
      </c>
      <c r="J586" s="104" t="n">
        <v>0.2153</v>
      </c>
      <c r="K586" s="104" t="n">
        <v>-0.0049</v>
      </c>
      <c r="L586" s="134" t="n">
        <v>215.52</v>
      </c>
      <c r="M586" s="134" t="n">
        <v>4051.53</v>
      </c>
      <c r="N586" s="104" t="n">
        <v>0.0532</v>
      </c>
      <c r="O586" s="134" t="n">
        <v>254</v>
      </c>
      <c r="P586" s="134" t="inlineStr">
        <is>
          <t>1 0.10%</t>
        </is>
      </c>
      <c r="Q586" s="134" t="inlineStr">
        <is>
          <t>12 -0.10%</t>
        </is>
      </c>
      <c r="R586" s="134" t="inlineStr">
        <is>
          <t>102 -0.05%</t>
        </is>
      </c>
      <c r="S586" s="134" t="inlineStr">
        <is>
          <t>71 -0.14%</t>
        </is>
      </c>
      <c r="T586" s="134" t="inlineStr">
        <is>
          <t>36 -0.56%</t>
        </is>
      </c>
      <c r="U586" s="134" t="inlineStr">
        <is>
          <t>32 -1.66%</t>
        </is>
      </c>
    </row>
    <row customHeight="1" ht="17" r="587" s="155">
      <c r="A587" s="105" t="n">
        <v>43980</v>
      </c>
      <c r="B587" s="134" t="n">
        <v>1353.341</v>
      </c>
      <c r="C587" s="152" t="n">
        <v>11.619</v>
      </c>
      <c r="D587" s="153" t="n">
        <v>0.008699999999999999</v>
      </c>
      <c r="E587" s="134" t="n">
        <v>122.498</v>
      </c>
      <c r="F587" s="134" t="n">
        <v>111.9</v>
      </c>
      <c r="G587" s="134" t="n">
        <v>91.87</v>
      </c>
      <c r="H587" s="134" t="n">
        <v>153.29</v>
      </c>
      <c r="I587" s="104" t="n">
        <v>0.3079</v>
      </c>
      <c r="J587" s="104" t="n">
        <v>0.2248</v>
      </c>
      <c r="K587" s="104" t="n">
        <v>-0.0064</v>
      </c>
      <c r="L587" s="134" t="n">
        <v>270.74</v>
      </c>
      <c r="M587" s="134" t="n">
        <v>4069.65</v>
      </c>
      <c r="N587" s="104" t="n">
        <v>0.0665</v>
      </c>
      <c r="O587" s="134" t="n">
        <v>254</v>
      </c>
      <c r="P587" s="134" t="inlineStr">
        <is>
          <t>1 -0.19%</t>
        </is>
      </c>
      <c r="Q587" s="134" t="inlineStr">
        <is>
          <t>7 0.78%</t>
        </is>
      </c>
      <c r="R587" s="134" t="inlineStr">
        <is>
          <t>101 0.60%</t>
        </is>
      </c>
      <c r="S587" s="134" t="inlineStr">
        <is>
          <t>73 0.71%</t>
        </is>
      </c>
      <c r="T587" s="134" t="inlineStr">
        <is>
          <t>36 1.29%</t>
        </is>
      </c>
      <c r="U587" s="134" t="inlineStr">
        <is>
          <t>36 1.55%</t>
        </is>
      </c>
    </row>
    <row customHeight="1" ht="17" r="588" s="155">
      <c r="A588" s="105" t="n">
        <v>43983</v>
      </c>
      <c r="B588" s="134" t="n">
        <v>1375.143</v>
      </c>
      <c r="C588" s="152" t="n">
        <v>21.802</v>
      </c>
      <c r="D588" s="153" t="n">
        <v>0.0161</v>
      </c>
      <c r="E588" s="134" t="n">
        <v>124.528</v>
      </c>
      <c r="F588" s="134" t="n">
        <v>113.57</v>
      </c>
      <c r="G588" s="134" t="n">
        <v>93.98</v>
      </c>
      <c r="H588" s="134" t="n">
        <v>153.87</v>
      </c>
      <c r="I588" s="104" t="n">
        <v>0.2934</v>
      </c>
      <c r="J588" s="104" t="n">
        <v>0.2102</v>
      </c>
      <c r="K588" s="104" t="n">
        <v>-0.0098</v>
      </c>
      <c r="L588" s="134" t="n">
        <v>270.11</v>
      </c>
      <c r="M588" s="134" t="n">
        <v>4069.14</v>
      </c>
      <c r="N588" s="104" t="n">
        <v>0.0664</v>
      </c>
      <c r="O588" s="134" t="n">
        <v>254</v>
      </c>
      <c r="P588" s="134" t="inlineStr">
        <is>
          <t>1 0.17%</t>
        </is>
      </c>
      <c r="Q588" s="134" t="inlineStr">
        <is>
          <t>5 0.47%</t>
        </is>
      </c>
      <c r="R588" s="134" t="inlineStr">
        <is>
          <t>84 0.95%</t>
        </is>
      </c>
      <c r="S588" s="134" t="inlineStr">
        <is>
          <t>76 1.48%</t>
        </is>
      </c>
      <c r="T588" s="134" t="inlineStr">
        <is>
          <t>37 2.20%</t>
        </is>
      </c>
      <c r="U588" s="134" t="inlineStr">
        <is>
          <t>51 2.60%</t>
        </is>
      </c>
    </row>
    <row customHeight="1" ht="17" r="589" s="155">
      <c r="A589" s="105" t="n">
        <v>43984</v>
      </c>
      <c r="B589" s="134" t="n">
        <v>1377.151</v>
      </c>
      <c r="C589" s="152" t="n">
        <v>2.008</v>
      </c>
      <c r="D589" s="153" t="n">
        <v>0.0015</v>
      </c>
      <c r="E589" s="134" t="n">
        <v>124.411</v>
      </c>
      <c r="F589" s="134" t="n">
        <v>114.177</v>
      </c>
      <c r="G589" s="134" t="n">
        <v>94.39</v>
      </c>
      <c r="H589" s="134" t="n">
        <v>153.19</v>
      </c>
      <c r="I589" s="104" t="n">
        <v>0.2878</v>
      </c>
      <c r="J589" s="104" t="n">
        <v>0.2099</v>
      </c>
      <c r="K589" s="104" t="n">
        <v>-0.0101</v>
      </c>
      <c r="L589" s="134" t="n">
        <v>271.68</v>
      </c>
      <c r="M589" s="134" t="n">
        <v>4068.85</v>
      </c>
      <c r="N589" s="104" t="n">
        <v>0.0668</v>
      </c>
      <c r="O589" s="134" t="n">
        <v>254</v>
      </c>
      <c r="P589" s="134" t="inlineStr">
        <is>
          <t>1 -0.10%</t>
        </is>
      </c>
      <c r="Q589" s="134" t="inlineStr">
        <is>
          <t>5 0.18%</t>
        </is>
      </c>
      <c r="R589" s="134" t="inlineStr">
        <is>
          <t>84 0.23%</t>
        </is>
      </c>
      <c r="S589" s="134" t="inlineStr">
        <is>
          <t>75 0.39%</t>
        </is>
      </c>
      <c r="T589" s="134" t="inlineStr">
        <is>
          <t>41 0.21%</t>
        </is>
      </c>
      <c r="U589" s="134" t="inlineStr">
        <is>
          <t>48 -0.43%</t>
        </is>
      </c>
    </row>
    <row customHeight="1" ht="17" r="590" s="155">
      <c r="A590" s="105" t="n">
        <v>43985</v>
      </c>
      <c r="B590" s="134" t="n">
        <v>1376.476</v>
      </c>
      <c r="C590" s="150" t="n">
        <v>-0.675</v>
      </c>
      <c r="D590" s="151" t="n">
        <v>-0.0005</v>
      </c>
      <c r="E590" s="134" t="n">
        <v>124.439</v>
      </c>
      <c r="F590" s="134" t="n">
        <v>113.945</v>
      </c>
      <c r="G590" s="134" t="n">
        <v>94.39</v>
      </c>
      <c r="H590" s="134" t="n">
        <v>153.12</v>
      </c>
      <c r="I590" s="104" t="n">
        <v>0.2868</v>
      </c>
      <c r="J590" s="104" t="n">
        <v>0.2144</v>
      </c>
      <c r="K590" s="104" t="n">
        <v>-0.0098</v>
      </c>
      <c r="L590" s="134" t="n">
        <v>288.32</v>
      </c>
      <c r="M590" s="134" t="n">
        <v>4067.78</v>
      </c>
      <c r="N590" s="104" t="n">
        <v>0.0709</v>
      </c>
      <c r="O590" s="134" t="n">
        <v>254</v>
      </c>
      <c r="P590" s="134" t="inlineStr">
        <is>
          <t>1 0.00%</t>
        </is>
      </c>
      <c r="Q590" s="134" t="inlineStr">
        <is>
          <t>5 0.22%</t>
        </is>
      </c>
      <c r="R590" s="134" t="inlineStr">
        <is>
          <t>85 -0.28%</t>
        </is>
      </c>
      <c r="S590" s="134" t="inlineStr">
        <is>
          <t>76 -0.31%</t>
        </is>
      </c>
      <c r="T590" s="134" t="inlineStr">
        <is>
          <t>37 -0.13%</t>
        </is>
      </c>
      <c r="U590" s="134" t="inlineStr">
        <is>
          <t>50 0.77%</t>
        </is>
      </c>
    </row>
    <row customHeight="1" ht="17" r="591" s="155">
      <c r="A591" s="105" t="n">
        <v>43986</v>
      </c>
      <c r="B591" s="134" t="n">
        <v>1375.334</v>
      </c>
      <c r="C591" s="150" t="n">
        <v>-1.142</v>
      </c>
      <c r="D591" s="151" t="n">
        <v>-0.0008</v>
      </c>
      <c r="E591" s="134" t="n">
        <v>124.373</v>
      </c>
      <c r="F591" s="134" t="n">
        <v>113.358</v>
      </c>
      <c r="G591" s="134" t="n">
        <v>94.2</v>
      </c>
      <c r="H591" s="134" t="n">
        <v>152.85</v>
      </c>
      <c r="I591" s="104" t="n">
        <v>0.2848</v>
      </c>
      <c r="J591" s="104" t="n">
        <v>0.2135</v>
      </c>
      <c r="K591" s="104" t="n">
        <v>-0.0097</v>
      </c>
      <c r="L591" s="134" t="n">
        <v>295.69</v>
      </c>
      <c r="M591" s="134" t="n">
        <v>4067.4</v>
      </c>
      <c r="N591" s="104" t="n">
        <v>0.0727</v>
      </c>
      <c r="O591" s="134" t="n">
        <v>254</v>
      </c>
      <c r="P591" s="134" t="inlineStr">
        <is>
          <t>1 -0.70%</t>
        </is>
      </c>
      <c r="Q591" s="134" t="inlineStr">
        <is>
          <t>5 -0.43%</t>
        </is>
      </c>
      <c r="R591" s="134" t="inlineStr">
        <is>
          <t>87 -0.20%</t>
        </is>
      </c>
      <c r="S591" s="134" t="inlineStr">
        <is>
          <t>74 -0.26%</t>
        </is>
      </c>
      <c r="T591" s="134" t="inlineStr">
        <is>
          <t>38 -0.12%</t>
        </is>
      </c>
      <c r="U591" s="134" t="inlineStr">
        <is>
          <t>49 0.46%</t>
        </is>
      </c>
    </row>
    <row customHeight="1" ht="17" r="592" s="155">
      <c r="A592" s="105" t="n">
        <v>43987</v>
      </c>
      <c r="B592" s="134" t="n">
        <v>1372.006</v>
      </c>
      <c r="C592" s="150" t="n">
        <v>-3.328</v>
      </c>
      <c r="D592" s="151" t="n">
        <v>-0.0024</v>
      </c>
      <c r="E592" s="134" t="n">
        <v>124.09</v>
      </c>
      <c r="F592" s="134" t="n">
        <v>113.021</v>
      </c>
      <c r="G592" s="134" t="n">
        <v>93.64</v>
      </c>
      <c r="H592" s="134" t="n">
        <v>152.2</v>
      </c>
      <c r="I592" s="104" t="n">
        <v>0.2811</v>
      </c>
      <c r="J592" s="104" t="n">
        <v>0.2016</v>
      </c>
      <c r="K592" s="104" t="n">
        <v>-0.0092</v>
      </c>
      <c r="L592" s="134" t="n">
        <v>330.78</v>
      </c>
      <c r="M592" s="134" t="n">
        <v>4066.2</v>
      </c>
      <c r="N592" s="104" t="n">
        <v>0.0813</v>
      </c>
      <c r="O592" s="134" t="n">
        <v>254</v>
      </c>
      <c r="P592" s="134" t="inlineStr">
        <is>
          <t>1 0.10%</t>
        </is>
      </c>
      <c r="Q592" s="134" t="inlineStr">
        <is>
          <t>6 -0.49%</t>
        </is>
      </c>
      <c r="R592" s="134" t="inlineStr">
        <is>
          <t>93 -0.47%</t>
        </is>
      </c>
      <c r="S592" s="134" t="inlineStr">
        <is>
          <t>68 -0.31%</t>
        </is>
      </c>
      <c r="T592" s="134" t="inlineStr">
        <is>
          <t>39 -0.41%</t>
        </is>
      </c>
      <c r="U592" s="134" t="inlineStr">
        <is>
          <t>47 0.46%</t>
        </is>
      </c>
    </row>
    <row customHeight="1" ht="17" r="593" s="155">
      <c r="A593" s="105" t="n">
        <v>43990</v>
      </c>
      <c r="B593" s="134" t="n">
        <v>1372.569</v>
      </c>
      <c r="C593" s="152" t="n">
        <v>0.5629999999999999</v>
      </c>
      <c r="D593" s="153" t="n">
        <v>0.0004</v>
      </c>
      <c r="E593" s="134" t="n">
        <v>124.185</v>
      </c>
      <c r="F593" s="134" t="n">
        <v>112.903</v>
      </c>
      <c r="G593" s="134" t="n">
        <v>94.18000000000001</v>
      </c>
      <c r="H593" s="134" t="n">
        <v>152.16</v>
      </c>
      <c r="I593" s="104" t="n">
        <v>0.2797</v>
      </c>
      <c r="J593" s="104" t="n">
        <v>0.2018</v>
      </c>
      <c r="K593" s="104" t="n">
        <v>-0.0091</v>
      </c>
      <c r="L593" s="134" t="n">
        <v>252.54</v>
      </c>
      <c r="M593" s="134" t="n">
        <v>4064.15</v>
      </c>
      <c r="N593" s="104" t="n">
        <v>0.0621</v>
      </c>
      <c r="O593" s="134" t="n">
        <v>254</v>
      </c>
      <c r="P593" s="134" t="inlineStr">
        <is>
          <t>1 -0.18%</t>
        </is>
      </c>
      <c r="Q593" s="134" t="inlineStr">
        <is>
          <t>8 -0.59%</t>
        </is>
      </c>
      <c r="R593" s="134" t="inlineStr">
        <is>
          <t>90 -0.17%</t>
        </is>
      </c>
      <c r="S593" s="134" t="inlineStr">
        <is>
          <t>68 -0.03%</t>
        </is>
      </c>
      <c r="T593" s="134" t="inlineStr">
        <is>
          <t>39 0.33%</t>
        </is>
      </c>
      <c r="U593" s="134" t="inlineStr">
        <is>
          <t>48 0.41%</t>
        </is>
      </c>
    </row>
    <row customHeight="1" ht="17" r="594" s="155">
      <c r="A594" s="105" t="n">
        <v>43991</v>
      </c>
      <c r="B594" s="134" t="n">
        <v>1373.461</v>
      </c>
      <c r="C594" s="152" t="n">
        <v>0.892</v>
      </c>
      <c r="D594" s="153" t="n">
        <v>0.0007</v>
      </c>
      <c r="E594" s="134" t="n">
        <v>124.317</v>
      </c>
      <c r="F594" s="134" t="n">
        <v>113.01</v>
      </c>
      <c r="G594" s="134" t="n">
        <v>94.39</v>
      </c>
      <c r="H594" s="134" t="n">
        <v>152.02</v>
      </c>
      <c r="I594" s="104" t="n">
        <v>0.2771</v>
      </c>
      <c r="J594" s="104" t="n">
        <v>0.1967</v>
      </c>
      <c r="K594" s="104" t="n">
        <v>-0.0092</v>
      </c>
      <c r="L594" s="134" t="n">
        <v>245.13</v>
      </c>
      <c r="M594" s="134" t="n">
        <v>4062.42</v>
      </c>
      <c r="N594" s="104" t="n">
        <v>0.0603</v>
      </c>
      <c r="O594" s="134" t="n">
        <v>254</v>
      </c>
      <c r="P594" s="134" t="inlineStr">
        <is>
          <t>1 -0.18%</t>
        </is>
      </c>
      <c r="Q594" s="134" t="inlineStr">
        <is>
          <t>9 -0.12%</t>
        </is>
      </c>
      <c r="R594" s="134" t="inlineStr">
        <is>
          <t>86 -0.09%</t>
        </is>
      </c>
      <c r="S594" s="134" t="inlineStr">
        <is>
          <t>70 0.09%</t>
        </is>
      </c>
      <c r="T594" s="134" t="inlineStr">
        <is>
          <t>40 -0.07%</t>
        </is>
      </c>
      <c r="U594" s="134" t="inlineStr">
        <is>
          <t>48 0.46%</t>
        </is>
      </c>
    </row>
    <row customHeight="1" ht="17" r="595" s="155">
      <c r="A595" s="105" t="n">
        <v>43992</v>
      </c>
      <c r="B595" s="134" t="n">
        <v>1370.92</v>
      </c>
      <c r="C595" s="150" t="n">
        <v>-2.541</v>
      </c>
      <c r="D595" s="151" t="n">
        <v>-0.0019</v>
      </c>
      <c r="E595" s="134" t="n">
        <v>124.133</v>
      </c>
      <c r="F595" s="134" t="n">
        <v>112.578</v>
      </c>
      <c r="G595" s="134" t="n">
        <v>93.83</v>
      </c>
      <c r="H595" s="134" t="n">
        <v>152.03</v>
      </c>
      <c r="I595" s="104" t="n">
        <v>0.279</v>
      </c>
      <c r="J595" s="104" t="n">
        <v>0.2023</v>
      </c>
      <c r="K595" s="104" t="n">
        <v>-0.0086</v>
      </c>
      <c r="L595" s="134" t="n">
        <v>244.48</v>
      </c>
      <c r="M595" s="134" t="n">
        <v>4061.41</v>
      </c>
      <c r="N595" s="104" t="n">
        <v>0.0602</v>
      </c>
      <c r="O595" s="134" t="n">
        <v>254</v>
      </c>
      <c r="P595" s="134" t="inlineStr">
        <is>
          <t>1 0.02%</t>
        </is>
      </c>
      <c r="Q595" s="134" t="inlineStr">
        <is>
          <t>10 -0.19%</t>
        </is>
      </c>
      <c r="R595" s="134" t="inlineStr">
        <is>
          <t>89 -0.26%</t>
        </is>
      </c>
      <c r="S595" s="134" t="inlineStr">
        <is>
          <t>69 -0.42%</t>
        </is>
      </c>
      <c r="T595" s="134" t="inlineStr">
        <is>
          <t>37 -0.10%</t>
        </is>
      </c>
      <c r="U595" s="134" t="inlineStr">
        <is>
          <t>48 0.22%</t>
        </is>
      </c>
    </row>
    <row customHeight="1" ht="17" r="596" s="155">
      <c r="A596" s="105" t="n">
        <v>43993</v>
      </c>
      <c r="B596" s="134" t="n">
        <v>1368.411</v>
      </c>
      <c r="C596" s="150" t="n">
        <v>-2.509</v>
      </c>
      <c r="D596" s="151" t="n">
        <v>-0.0018</v>
      </c>
      <c r="E596" s="134" t="n">
        <v>123.972</v>
      </c>
      <c r="F596" s="134" t="n">
        <v>112.15</v>
      </c>
      <c r="G596" s="134" t="n">
        <v>94.12</v>
      </c>
      <c r="H596" s="134" t="n">
        <v>152.19</v>
      </c>
      <c r="I596" s="104" t="n">
        <v>0.2821</v>
      </c>
      <c r="J596" s="104" t="n">
        <v>0.211</v>
      </c>
      <c r="K596" s="104" t="n">
        <v>-0.008200000000000001</v>
      </c>
      <c r="L596" s="134" t="n">
        <v>264.54</v>
      </c>
      <c r="M596" s="134" t="n">
        <v>4058.4</v>
      </c>
      <c r="N596" s="104" t="n">
        <v>0.06519999999999999</v>
      </c>
      <c r="O596" s="134" t="n">
        <v>253</v>
      </c>
      <c r="P596" s="134" t="inlineStr">
        <is>
          <t>1 -0.04%</t>
        </is>
      </c>
      <c r="Q596" s="134" t="inlineStr">
        <is>
          <t>9 -0.12%</t>
        </is>
      </c>
      <c r="R596" s="134" t="inlineStr">
        <is>
          <t>95 -0.25%</t>
        </is>
      </c>
      <c r="S596" s="134" t="inlineStr">
        <is>
          <t>67 -0.28%</t>
        </is>
      </c>
      <c r="T596" s="134" t="inlineStr">
        <is>
          <t>34 -0.62%</t>
        </is>
      </c>
      <c r="U596" s="134" t="inlineStr">
        <is>
          <t>47 0.37%</t>
        </is>
      </c>
    </row>
    <row customHeight="1" ht="17" r="597" s="155">
      <c r="A597" s="105" t="n">
        <v>43994</v>
      </c>
      <c r="B597" s="134" t="n">
        <v>1368.589</v>
      </c>
      <c r="C597" s="152" t="n">
        <v>0.178</v>
      </c>
      <c r="D597" s="153" t="n">
        <v>0.0001</v>
      </c>
      <c r="E597" s="134" t="n">
        <v>123.999</v>
      </c>
      <c r="F597" s="134" t="n">
        <v>112.502</v>
      </c>
      <c r="G597" s="134" t="n">
        <v>93.75</v>
      </c>
      <c r="H597" s="134" t="n">
        <v>152.29</v>
      </c>
      <c r="I597" s="104" t="n">
        <v>0.2829</v>
      </c>
      <c r="J597" s="104" t="n">
        <v>0.1996</v>
      </c>
      <c r="K597" s="104" t="n">
        <v>-0.008200000000000001</v>
      </c>
      <c r="L597" s="134" t="n">
        <v>276.31</v>
      </c>
      <c r="M597" s="134" t="n">
        <v>4058.14</v>
      </c>
      <c r="N597" s="104" t="n">
        <v>0.06809999999999999</v>
      </c>
      <c r="O597" s="134" t="n">
        <v>254</v>
      </c>
      <c r="P597" s="134" t="inlineStr">
        <is>
          <t>1 -0.30%</t>
        </is>
      </c>
      <c r="Q597" s="134" t="inlineStr">
        <is>
          <t>12 -0.06%</t>
        </is>
      </c>
      <c r="R597" s="134" t="inlineStr">
        <is>
          <t>93 0.04%</t>
        </is>
      </c>
      <c r="S597" s="134" t="inlineStr">
        <is>
          <t>63 0.13%</t>
        </is>
      </c>
      <c r="T597" s="134" t="inlineStr">
        <is>
          <t>37 0.16%</t>
        </is>
      </c>
      <c r="U597" s="134" t="inlineStr">
        <is>
          <t>48 -0.29%</t>
        </is>
      </c>
    </row>
    <row customHeight="1" ht="17" r="598" s="155">
      <c r="A598" s="105" t="n">
        <v>43997</v>
      </c>
      <c r="B598" s="134" t="n">
        <v>1370.04</v>
      </c>
      <c r="C598" s="152" t="n">
        <v>1.451</v>
      </c>
      <c r="D598" s="153" t="n">
        <v>0.0011</v>
      </c>
      <c r="E598" s="134" t="n">
        <v>124.464</v>
      </c>
      <c r="F598" s="134" t="n">
        <v>112.775</v>
      </c>
      <c r="G598" s="134" t="n">
        <v>93.47</v>
      </c>
      <c r="H598" s="134" t="n">
        <v>153.06</v>
      </c>
      <c r="I598" s="104" t="n">
        <v>0.286</v>
      </c>
      <c r="J598" s="104" t="n">
        <v>0.2027</v>
      </c>
      <c r="K598" s="104" t="n">
        <v>-0.0074</v>
      </c>
      <c r="L598" s="134" t="n">
        <v>277.34</v>
      </c>
      <c r="M598" s="134" t="n">
        <v>4055.57</v>
      </c>
      <c r="N598" s="104" t="n">
        <v>0.0684</v>
      </c>
      <c r="O598" s="134" t="n">
        <v>254</v>
      </c>
      <c r="P598" s="134" t="inlineStr">
        <is>
          <t>1 0.24%</t>
        </is>
      </c>
      <c r="Q598" s="134" t="inlineStr">
        <is>
          <t>12 0.05%</t>
        </is>
      </c>
      <c r="R598" s="134" t="inlineStr">
        <is>
          <t>92 0.03%</t>
        </is>
      </c>
      <c r="S598" s="134" t="inlineStr">
        <is>
          <t>68 0.02%</t>
        </is>
      </c>
      <c r="T598" s="134" t="inlineStr">
        <is>
          <t>33 -0.19%</t>
        </is>
      </c>
      <c r="U598" s="134" t="inlineStr">
        <is>
          <t>48 0.60%</t>
        </is>
      </c>
    </row>
    <row customHeight="1" ht="17" r="599" s="155">
      <c r="A599" s="105" t="n">
        <v>43998</v>
      </c>
      <c r="B599" s="134" t="n">
        <v>1381.137</v>
      </c>
      <c r="C599" s="152" t="n">
        <v>11.097</v>
      </c>
      <c r="D599" s="153" t="n">
        <v>0.0081</v>
      </c>
      <c r="E599" s="134" t="n">
        <v>125.718</v>
      </c>
      <c r="F599" s="134" t="n">
        <v>113.253</v>
      </c>
      <c r="G599" s="134" t="n">
        <v>95.7</v>
      </c>
      <c r="H599" s="134" t="n">
        <v>153.11</v>
      </c>
      <c r="I599" s="104" t="n">
        <v>0.2739</v>
      </c>
      <c r="J599" s="104" t="n">
        <v>0.1877</v>
      </c>
      <c r="K599" s="104" t="n">
        <v>-0.008999999999999999</v>
      </c>
      <c r="L599" s="134" t="n">
        <v>251.64</v>
      </c>
      <c r="M599" s="134" t="n">
        <v>4052.81</v>
      </c>
      <c r="N599" s="104" t="n">
        <v>0.0621</v>
      </c>
      <c r="O599" s="134" t="n">
        <v>254</v>
      </c>
      <c r="P599" s="134" t="inlineStr">
        <is>
          <t>1 0.13%</t>
        </is>
      </c>
      <c r="Q599" s="134" t="inlineStr">
        <is>
          <t>10 -0.09%</t>
        </is>
      </c>
      <c r="R599" s="134" t="inlineStr">
        <is>
          <t>90 0.30%</t>
        </is>
      </c>
      <c r="S599" s="134" t="inlineStr">
        <is>
          <t>63 0.58%</t>
        </is>
      </c>
      <c r="T599" s="134" t="inlineStr">
        <is>
          <t>41 1.37%</t>
        </is>
      </c>
      <c r="U599" s="134" t="inlineStr">
        <is>
          <t>49 1.76%</t>
        </is>
      </c>
    </row>
    <row customHeight="1" ht="17" r="600" s="155">
      <c r="A600" s="105" t="n">
        <v>43999</v>
      </c>
      <c r="B600" s="134" t="n">
        <v>1383.471</v>
      </c>
      <c r="C600" s="152" t="n">
        <v>2.334</v>
      </c>
      <c r="D600" s="153" t="n">
        <v>0.0017</v>
      </c>
      <c r="E600" s="134" t="n">
        <v>125.884</v>
      </c>
      <c r="F600" s="134" t="n">
        <v>113.353</v>
      </c>
      <c r="G600" s="134" t="n">
        <v>96.51000000000001</v>
      </c>
      <c r="H600" s="134" t="n">
        <v>152.84</v>
      </c>
      <c r="I600" s="104" t="n">
        <v>0.2695</v>
      </c>
      <c r="J600" s="104" t="n">
        <v>0.1844</v>
      </c>
      <c r="K600" s="104" t="n">
        <v>-0.0105</v>
      </c>
      <c r="L600" s="134" t="n">
        <v>252.23</v>
      </c>
      <c r="M600" s="134" t="n">
        <v>4049.78</v>
      </c>
      <c r="N600" s="104" t="n">
        <v>0.0623</v>
      </c>
      <c r="O600" s="134" t="n">
        <v>254</v>
      </c>
      <c r="P600" s="134" t="inlineStr">
        <is>
          <t>1 0.54%</t>
        </is>
      </c>
      <c r="Q600" s="134" t="inlineStr">
        <is>
          <t>9 -0.08%</t>
        </is>
      </c>
      <c r="R600" s="134" t="inlineStr">
        <is>
          <t>86 0.03%</t>
        </is>
      </c>
      <c r="S600" s="134" t="inlineStr">
        <is>
          <t>68 0.19%</t>
        </is>
      </c>
      <c r="T600" s="134" t="inlineStr">
        <is>
          <t>37 0.14%</t>
        </is>
      </c>
      <c r="U600" s="134" t="inlineStr">
        <is>
          <t>53 0.98%</t>
        </is>
      </c>
    </row>
    <row customHeight="1" ht="17" r="601" s="155">
      <c r="A601" s="105" t="n">
        <v>44000</v>
      </c>
      <c r="B601" s="134" t="n">
        <v>1383.9</v>
      </c>
      <c r="C601" s="152" t="n">
        <v>0.429</v>
      </c>
      <c r="D601" s="153" t="n">
        <v>0.0003</v>
      </c>
      <c r="E601" s="134" t="n">
        <v>125.659</v>
      </c>
      <c r="F601" s="134" t="n">
        <v>113.26</v>
      </c>
      <c r="G601" s="134" t="n">
        <v>96.76000000000001</v>
      </c>
      <c r="H601" s="134" t="n">
        <v>152.65</v>
      </c>
      <c r="I601" s="104" t="n">
        <v>0.2699</v>
      </c>
      <c r="J601" s="104" t="n">
        <v>0.1888</v>
      </c>
      <c r="K601" s="104" t="n">
        <v>-0.0104</v>
      </c>
      <c r="L601" s="134" t="n">
        <v>242.57</v>
      </c>
      <c r="M601" s="134" t="n">
        <v>4061.37</v>
      </c>
      <c r="N601" s="104" t="n">
        <v>0.0597</v>
      </c>
      <c r="O601" s="134" t="n">
        <v>254</v>
      </c>
      <c r="P601" s="134" t="inlineStr">
        <is>
          <t>1 -0.41%</t>
        </is>
      </c>
      <c r="Q601" s="134" t="inlineStr">
        <is>
          <t>9 -0.01%</t>
        </is>
      </c>
      <c r="R601" s="134" t="inlineStr">
        <is>
          <t>87 0.13%</t>
        </is>
      </c>
      <c r="S601" s="134" t="inlineStr">
        <is>
          <t>70 -0.07%</t>
        </is>
      </c>
      <c r="T601" s="134" t="inlineStr">
        <is>
          <t>34 0.22%</t>
        </is>
      </c>
      <c r="U601" s="134" t="inlineStr">
        <is>
          <t>53 -0.10%</t>
        </is>
      </c>
    </row>
    <row customHeight="1" ht="17" r="602" s="155">
      <c r="A602" s="105" t="n">
        <v>44001</v>
      </c>
      <c r="B602" s="134" t="n">
        <v>1386.875</v>
      </c>
      <c r="C602" s="152" t="n">
        <v>2.975</v>
      </c>
      <c r="D602" s="153" t="n">
        <v>0.0022</v>
      </c>
      <c r="E602" s="134" t="n">
        <v>126.044</v>
      </c>
      <c r="F602" s="134" t="n">
        <v>113.545</v>
      </c>
      <c r="G602" s="134" t="n">
        <v>96.53</v>
      </c>
      <c r="H602" s="134" t="n">
        <v>152.66</v>
      </c>
      <c r="I602" s="104" t="n">
        <v>0.2661</v>
      </c>
      <c r="J602" s="104" t="n">
        <v>0.1814</v>
      </c>
      <c r="K602" s="104" t="n">
        <v>-0.0109</v>
      </c>
      <c r="L602" s="134" t="n">
        <v>247.03</v>
      </c>
      <c r="M602" s="134" t="n">
        <v>4059.56</v>
      </c>
      <c r="N602" s="104" t="n">
        <v>0.0609</v>
      </c>
      <c r="O602" s="134" t="n">
        <v>254</v>
      </c>
      <c r="P602" s="134" t="inlineStr">
        <is>
          <t>1 -0.20%</t>
        </is>
      </c>
      <c r="Q602" s="134" t="inlineStr">
        <is>
          <t>10 -0.21%</t>
        </is>
      </c>
      <c r="R602" s="134" t="inlineStr">
        <is>
          <t>84 -0.08%</t>
        </is>
      </c>
      <c r="S602" s="134" t="inlineStr">
        <is>
          <t>69 0.14%</t>
        </is>
      </c>
      <c r="T602" s="134" t="inlineStr">
        <is>
          <t>36 0.42%</t>
        </is>
      </c>
      <c r="U602" s="134" t="inlineStr">
        <is>
          <t>54 1.44%</t>
        </is>
      </c>
    </row>
    <row customHeight="1" ht="17" r="603" s="155">
      <c r="A603" s="105" t="n">
        <v>44004</v>
      </c>
      <c r="B603" s="134" t="n">
        <v>1384.351</v>
      </c>
      <c r="C603" s="150" t="n">
        <v>-2.524</v>
      </c>
      <c r="D603" s="151" t="n">
        <v>-0.0018</v>
      </c>
      <c r="E603" s="134" t="n">
        <v>125.979</v>
      </c>
      <c r="F603" s="134" t="n">
        <v>113.51</v>
      </c>
      <c r="G603" s="134" t="n">
        <v>97.19</v>
      </c>
      <c r="H603" s="134" t="n">
        <v>152.18</v>
      </c>
      <c r="I603" s="104" t="n">
        <v>0.262</v>
      </c>
      <c r="J603" s="104" t="n">
        <v>0.1837</v>
      </c>
      <c r="K603" s="104" t="n">
        <v>-0.0105</v>
      </c>
      <c r="L603" s="134" t="n">
        <v>226.92</v>
      </c>
      <c r="M603" s="134" t="n">
        <v>4089.39</v>
      </c>
      <c r="N603" s="104" t="n">
        <v>0.0555</v>
      </c>
      <c r="O603" s="134" t="n">
        <v>255</v>
      </c>
      <c r="P603" s="134" t="inlineStr">
        <is>
          <t>1 -0.07%</t>
        </is>
      </c>
      <c r="Q603" s="134" t="inlineStr">
        <is>
          <t>11 -0.26%</t>
        </is>
      </c>
      <c r="R603" s="134" t="inlineStr">
        <is>
          <t>86 -0.31%</t>
        </is>
      </c>
      <c r="S603" s="134" t="inlineStr">
        <is>
          <t>67 -0.03%</t>
        </is>
      </c>
      <c r="T603" s="134" t="inlineStr">
        <is>
          <t>37 -0.01%</t>
        </is>
      </c>
      <c r="U603" s="134" t="inlineStr">
        <is>
          <t>53 0.20%</t>
        </is>
      </c>
    </row>
    <row customHeight="1" ht="17" r="604" s="155">
      <c r="A604" s="105" t="n">
        <v>44005</v>
      </c>
      <c r="B604" s="134" t="n">
        <v>1375.92</v>
      </c>
      <c r="C604" s="150" t="n">
        <v>-8.430999999999999</v>
      </c>
      <c r="D604" s="151" t="n">
        <v>-0.0061</v>
      </c>
      <c r="E604" s="134" t="n">
        <v>125.18</v>
      </c>
      <c r="F604" s="134" t="n">
        <v>112.945</v>
      </c>
      <c r="G604" s="134" t="n">
        <v>96.62</v>
      </c>
      <c r="H604" s="134" t="n">
        <v>150.98</v>
      </c>
      <c r="I604" s="104" t="n">
        <v>0.258</v>
      </c>
      <c r="J604" s="104" t="n">
        <v>0.1687</v>
      </c>
      <c r="K604" s="104" t="n">
        <v>-0.008999999999999999</v>
      </c>
      <c r="L604" s="134" t="n">
        <v>210.68</v>
      </c>
      <c r="M604" s="134" t="n">
        <v>4103.67</v>
      </c>
      <c r="N604" s="104" t="n">
        <v>0.0513</v>
      </c>
      <c r="O604" s="134" t="n">
        <v>256</v>
      </c>
      <c r="P604" s="134" t="inlineStr">
        <is>
          <t>1 -0.33%</t>
        </is>
      </c>
      <c r="Q604" s="134" t="inlineStr">
        <is>
          <t>12 -0.32%</t>
        </is>
      </c>
      <c r="R604" s="134" t="inlineStr">
        <is>
          <t>90 -0.67%</t>
        </is>
      </c>
      <c r="S604" s="134" t="inlineStr">
        <is>
          <t>65 -0.53%</t>
        </is>
      </c>
      <c r="T604" s="134" t="inlineStr">
        <is>
          <t>36 0.01%</t>
        </is>
      </c>
      <c r="U604" s="134" t="inlineStr">
        <is>
          <t>52 -0.37%</t>
        </is>
      </c>
    </row>
    <row customHeight="1" ht="17" r="605" s="155">
      <c r="A605" s="105" t="n">
        <v>44006</v>
      </c>
      <c r="B605" s="134" t="n">
        <v>1373.76</v>
      </c>
      <c r="C605" s="150" t="n">
        <v>-2.16</v>
      </c>
      <c r="D605" s="151" t="n">
        <v>-0.0016</v>
      </c>
      <c r="E605" s="134" t="n">
        <v>124.901</v>
      </c>
      <c r="F605" s="134" t="n">
        <v>113.1</v>
      </c>
      <c r="G605" s="134" t="n">
        <v>96.75</v>
      </c>
      <c r="H605" s="134" t="n">
        <v>150.64</v>
      </c>
      <c r="I605" s="104" t="n">
        <v>0.2574</v>
      </c>
      <c r="J605" s="104" t="n">
        <v>0.1673</v>
      </c>
      <c r="K605" s="104" t="n">
        <v>-0.0086</v>
      </c>
      <c r="L605" s="134" t="n">
        <v>193.53</v>
      </c>
      <c r="M605" s="134" t="n">
        <v>4118.1</v>
      </c>
      <c r="N605" s="104" t="n">
        <v>0.047</v>
      </c>
      <c r="O605" s="134" t="n">
        <v>258</v>
      </c>
      <c r="P605" s="134" t="inlineStr">
        <is>
          <t>2 -0.59%</t>
        </is>
      </c>
      <c r="Q605" s="134" t="inlineStr">
        <is>
          <t>12 -0.31%</t>
        </is>
      </c>
      <c r="R605" s="134" t="inlineStr">
        <is>
          <t>94 -0.31%</t>
        </is>
      </c>
      <c r="S605" s="134" t="inlineStr">
        <is>
          <t>63 -0.08%</t>
        </is>
      </c>
      <c r="T605" s="134" t="inlineStr">
        <is>
          <t>34 1.02%</t>
        </is>
      </c>
      <c r="U605" s="134" t="inlineStr">
        <is>
          <t>53 -0.18%</t>
        </is>
      </c>
    </row>
    <row customHeight="1" ht="17" r="606" s="155">
      <c r="A606" s="105" t="n">
        <v>44011</v>
      </c>
      <c r="B606" s="134" t="n">
        <v>1367.248</v>
      </c>
      <c r="C606" s="150" t="n">
        <v>-6.512</v>
      </c>
      <c r="D606" s="151" t="n">
        <v>-0.0047</v>
      </c>
      <c r="E606" s="134" t="n">
        <v>124.569</v>
      </c>
      <c r="F606" s="134" t="n">
        <v>112.821</v>
      </c>
      <c r="G606" s="134" t="n">
        <v>96.11</v>
      </c>
      <c r="H606" s="134" t="n">
        <v>150.2</v>
      </c>
      <c r="I606" s="104" t="n">
        <v>0.2563</v>
      </c>
      <c r="J606" s="104" t="n">
        <v>0.1774</v>
      </c>
      <c r="K606" s="104" t="n">
        <v>-0.0073</v>
      </c>
      <c r="L606" s="134" t="n">
        <v>197.42</v>
      </c>
      <c r="M606" s="134" t="n">
        <v>4119.94</v>
      </c>
      <c r="N606" s="104" t="n">
        <v>0.0479</v>
      </c>
      <c r="O606" s="134" t="n">
        <v>259</v>
      </c>
      <c r="P606" s="134" t="inlineStr">
        <is>
          <t>2 -0.64%</t>
        </is>
      </c>
      <c r="Q606" s="134" t="inlineStr">
        <is>
          <t>18 -0.64%</t>
        </is>
      </c>
      <c r="R606" s="134" t="inlineStr">
        <is>
          <t>98 -0.67%</t>
        </is>
      </c>
      <c r="S606" s="134" t="inlineStr">
        <is>
          <t>56 -0.67%</t>
        </is>
      </c>
      <c r="T606" s="134" t="inlineStr">
        <is>
          <t>30 -0.30%</t>
        </is>
      </c>
      <c r="U606" s="134" t="inlineStr">
        <is>
          <t>55 0.04%</t>
        </is>
      </c>
    </row>
    <row customHeight="1" ht="17" r="607" s="155">
      <c r="A607" s="105" t="n">
        <v>44012</v>
      </c>
      <c r="B607" s="134" t="n">
        <v>1375.698</v>
      </c>
      <c r="C607" s="152" t="n">
        <v>8.449999999999999</v>
      </c>
      <c r="D607" s="153" t="n">
        <v>0.0062</v>
      </c>
      <c r="E607" s="134" t="n">
        <v>125.417</v>
      </c>
      <c r="F607" s="134" t="n">
        <v>112.76</v>
      </c>
      <c r="G607" s="134" t="n">
        <v>97.37</v>
      </c>
      <c r="H607" s="134" t="n">
        <v>149.33</v>
      </c>
      <c r="I607" s="104" t="n">
        <v>0.2392</v>
      </c>
      <c r="J607" s="104" t="n">
        <v>0.1662</v>
      </c>
      <c r="K607" s="104" t="n">
        <v>-0.0086</v>
      </c>
      <c r="L607" s="134" t="n">
        <v>226.37</v>
      </c>
      <c r="M607" s="134" t="n">
        <v>4113.98</v>
      </c>
      <c r="N607" s="104" t="n">
        <v>0.055</v>
      </c>
      <c r="O607" s="134" t="n">
        <v>259</v>
      </c>
      <c r="P607" s="134" t="inlineStr">
        <is>
          <t>2 -0.31%</t>
        </is>
      </c>
      <c r="Q607" s="134" t="inlineStr">
        <is>
          <t>18 -0.20%</t>
        </is>
      </c>
      <c r="R607" s="134" t="inlineStr">
        <is>
          <t>95 0.13%</t>
        </is>
      </c>
      <c r="S607" s="134" t="inlineStr">
        <is>
          <t>58 0.40%</t>
        </is>
      </c>
      <c r="T607" s="134" t="inlineStr">
        <is>
          <t>28 1.09%</t>
        </is>
      </c>
      <c r="U607" s="134" t="inlineStr">
        <is>
          <t>58 1.86%</t>
        </is>
      </c>
    </row>
    <row customHeight="1" ht="17" r="608" s="155">
      <c r="A608" s="105" t="n">
        <v>44013</v>
      </c>
      <c r="B608" s="134" t="n">
        <v>1379.825</v>
      </c>
      <c r="C608" s="152" t="n">
        <v>4.127</v>
      </c>
      <c r="D608" s="153" t="n">
        <v>0.003</v>
      </c>
      <c r="E608" s="134" t="n">
        <v>125.359</v>
      </c>
      <c r="F608" s="134" t="n">
        <v>113.44</v>
      </c>
      <c r="G608" s="134" t="n">
        <v>98.11</v>
      </c>
      <c r="H608" s="134" t="n">
        <v>148.73</v>
      </c>
      <c r="I608" s="104" t="n">
        <v>0.2337</v>
      </c>
      <c r="J608" s="104" t="n">
        <v>0.1598</v>
      </c>
      <c r="K608" s="104" t="n">
        <v>-0.008800000000000001</v>
      </c>
      <c r="L608" s="134" t="n">
        <v>229.06</v>
      </c>
      <c r="M608" s="134" t="n">
        <v>4110.59</v>
      </c>
      <c r="N608" s="104" t="n">
        <v>0.0557</v>
      </c>
      <c r="O608" s="134" t="n">
        <v>259</v>
      </c>
      <c r="P608" s="134" t="inlineStr">
        <is>
          <t>2 -0.80%</t>
        </is>
      </c>
      <c r="Q608" s="134" t="inlineStr">
        <is>
          <t>19 0.05%</t>
        </is>
      </c>
      <c r="R608" s="134" t="inlineStr">
        <is>
          <t>94 0.15%</t>
        </is>
      </c>
      <c r="S608" s="134" t="inlineStr">
        <is>
          <t>57 0.50%</t>
        </is>
      </c>
      <c r="T608" s="134" t="inlineStr">
        <is>
          <t>27 0.81%</t>
        </is>
      </c>
      <c r="U608" s="134" t="inlineStr">
        <is>
          <t>60 0.74%</t>
        </is>
      </c>
    </row>
    <row customHeight="1" ht="17" r="609" s="155">
      <c r="A609" s="105" t="n">
        <v>44014</v>
      </c>
      <c r="B609" s="134" t="n">
        <v>1396.935</v>
      </c>
      <c r="C609" s="152" t="n">
        <v>17.11</v>
      </c>
      <c r="D609" s="153" t="n">
        <v>0.0124</v>
      </c>
      <c r="E609" s="134" t="n">
        <v>126.889</v>
      </c>
      <c r="F609" s="134" t="n">
        <v>115.235</v>
      </c>
      <c r="G609" s="134" t="n">
        <v>99.31999999999999</v>
      </c>
      <c r="H609" s="134" t="n">
        <v>149.43</v>
      </c>
      <c r="I609" s="104" t="n">
        <v>0.2254</v>
      </c>
      <c r="J609" s="104" t="n">
        <v>0.1572</v>
      </c>
      <c r="K609" s="104" t="n">
        <v>-0.0118</v>
      </c>
      <c r="L609" s="134" t="n">
        <v>284.21</v>
      </c>
      <c r="M609" s="134" t="n">
        <v>4112.34</v>
      </c>
      <c r="N609" s="104" t="n">
        <v>0.06909999999999999</v>
      </c>
      <c r="O609" s="134" t="n">
        <v>260</v>
      </c>
      <c r="P609" s="134" t="inlineStr">
        <is>
          <t>2 0.20%</t>
        </is>
      </c>
      <c r="Q609" s="134" t="inlineStr">
        <is>
          <t>14 0.46%</t>
        </is>
      </c>
      <c r="R609" s="134" t="inlineStr">
        <is>
          <t>80 1.07%</t>
        </is>
      </c>
      <c r="S609" s="134" t="inlineStr">
        <is>
          <t>60 1.59%</t>
        </is>
      </c>
      <c r="T609" s="134" t="inlineStr">
        <is>
          <t>39 2.66%</t>
        </is>
      </c>
      <c r="U609" s="134" t="inlineStr">
        <is>
          <t>65 0.78%</t>
        </is>
      </c>
    </row>
    <row customHeight="1" ht="17" r="610" s="155">
      <c r="A610" s="105" t="n">
        <v>44015</v>
      </c>
      <c r="B610" s="134" t="n">
        <v>1413.056</v>
      </c>
      <c r="C610" s="152" t="n">
        <v>16.121</v>
      </c>
      <c r="D610" s="153" t="n">
        <v>0.0115</v>
      </c>
      <c r="E610" s="134" t="n">
        <v>128.336</v>
      </c>
      <c r="F610" s="134" t="n">
        <v>116.37</v>
      </c>
      <c r="G610" s="134" t="n">
        <v>101.69</v>
      </c>
      <c r="H610" s="134" t="n">
        <v>150.39</v>
      </c>
      <c r="I610" s="104" t="n">
        <v>0.2206</v>
      </c>
      <c r="J610" s="104" t="n">
        <v>0.164</v>
      </c>
      <c r="K610" s="104" t="n">
        <v>-0.0144</v>
      </c>
      <c r="L610" s="134" t="n">
        <v>339.83</v>
      </c>
      <c r="M610" s="134" t="n">
        <v>4119.88</v>
      </c>
      <c r="N610" s="104" t="n">
        <v>0.0825</v>
      </c>
      <c r="O610" s="134" t="n">
        <v>261</v>
      </c>
      <c r="P610" s="134" t="inlineStr">
        <is>
          <t>2 0.53%</t>
        </is>
      </c>
      <c r="Q610" s="134" t="inlineStr">
        <is>
          <t>8 0.76%</t>
        </is>
      </c>
      <c r="R610" s="134" t="inlineStr">
        <is>
          <t>73 1.25%</t>
        </is>
      </c>
      <c r="S610" s="134" t="inlineStr">
        <is>
          <t>66 1.35%</t>
        </is>
      </c>
      <c r="T610" s="134" t="inlineStr">
        <is>
          <t>42 1.49%</t>
        </is>
      </c>
      <c r="U610" s="134" t="inlineStr">
        <is>
          <t>70 0.86%</t>
        </is>
      </c>
    </row>
    <row customHeight="1" ht="17" r="611" s="155">
      <c r="A611" s="105" t="n">
        <v>44018</v>
      </c>
      <c r="B611" s="134" t="n">
        <v>1455.434</v>
      </c>
      <c r="C611" s="152" t="n">
        <v>42.378</v>
      </c>
      <c r="D611" s="153" t="n">
        <v>0.03</v>
      </c>
      <c r="E611" s="134" t="n">
        <v>132.277</v>
      </c>
      <c r="F611" s="134" t="n">
        <v>119.795</v>
      </c>
      <c r="G611" s="134" t="n">
        <v>105.87</v>
      </c>
      <c r="H611" s="134" t="n">
        <v>152.78</v>
      </c>
      <c r="I611" s="104" t="n">
        <v>0.205</v>
      </c>
      <c r="J611" s="104" t="n">
        <v>0.1468</v>
      </c>
      <c r="K611" s="104" t="n">
        <v>-0.021</v>
      </c>
      <c r="L611" s="134" t="n">
        <v>471.97</v>
      </c>
      <c r="M611" s="134" t="n">
        <v>4119.45</v>
      </c>
      <c r="N611" s="104" t="n">
        <v>0.1146</v>
      </c>
      <c r="O611" s="134" t="n">
        <v>262</v>
      </c>
      <c r="P611" s="134" t="inlineStr">
        <is>
          <t>1 0.39%</t>
        </is>
      </c>
      <c r="Q611" s="134" t="inlineStr">
        <is>
          <t>7 1.47%</t>
        </is>
      </c>
      <c r="R611" s="134" t="inlineStr">
        <is>
          <t>55 2.03%</t>
        </is>
      </c>
      <c r="S611" s="134" t="inlineStr">
        <is>
          <t>70 3.02%</t>
        </is>
      </c>
      <c r="T611" s="134" t="inlineStr">
        <is>
          <t>44 3.12%</t>
        </is>
      </c>
      <c r="U611" s="134" t="inlineStr">
        <is>
          <t>85 3.86%</t>
        </is>
      </c>
    </row>
    <row customHeight="1" ht="17" r="612" s="155">
      <c r="A612" s="105" t="n">
        <v>44019</v>
      </c>
      <c r="B612" s="134" t="n">
        <v>1465.302</v>
      </c>
      <c r="C612" s="152" t="n">
        <v>9.868</v>
      </c>
      <c r="D612" s="153" t="n">
        <v>0.0068</v>
      </c>
      <c r="E612" s="134" t="n">
        <v>133.61</v>
      </c>
      <c r="F612" s="134" t="n">
        <v>120.02</v>
      </c>
      <c r="G612" s="134" t="n">
        <v>107.33</v>
      </c>
      <c r="H612" s="134" t="n">
        <v>153.66</v>
      </c>
      <c r="I612" s="104" t="n">
        <v>0.2005</v>
      </c>
      <c r="J612" s="104" t="n">
        <v>0.1391</v>
      </c>
      <c r="K612" s="104" t="n">
        <v>-0.022</v>
      </c>
      <c r="L612" s="134" t="n">
        <v>454.61</v>
      </c>
      <c r="M612" s="134" t="n">
        <v>4120.76</v>
      </c>
      <c r="N612" s="104" t="n">
        <v>0.1103</v>
      </c>
      <c r="O612" s="134" t="n">
        <v>263</v>
      </c>
      <c r="P612" s="134" t="inlineStr">
        <is>
          <t>1 0.51%</t>
        </is>
      </c>
      <c r="Q612" s="134" t="inlineStr">
        <is>
          <t>7 -0.25%</t>
        </is>
      </c>
      <c r="R612" s="134" t="inlineStr">
        <is>
          <t>57 -0.11%</t>
        </is>
      </c>
      <c r="S612" s="134" t="inlineStr">
        <is>
          <t>67 -0.08%</t>
        </is>
      </c>
      <c r="T612" s="134" t="inlineStr">
        <is>
          <t>44 1.53%</t>
        </is>
      </c>
      <c r="U612" s="134" t="inlineStr">
        <is>
          <t>87 2.45%</t>
        </is>
      </c>
    </row>
    <row customHeight="1" ht="17" r="613" s="155">
      <c r="A613" s="105" t="n">
        <v>44020</v>
      </c>
      <c r="B613" s="134" t="n">
        <v>1478.651</v>
      </c>
      <c r="C613" s="152" t="n">
        <v>13.349</v>
      </c>
      <c r="D613" s="153" t="n">
        <v>0.0091</v>
      </c>
      <c r="E613" s="134" t="n">
        <v>135.356</v>
      </c>
      <c r="F613" s="134" t="n">
        <v>121.74</v>
      </c>
      <c r="G613" s="134" t="n">
        <v>109.17</v>
      </c>
      <c r="H613" s="134" t="n">
        <v>153.75</v>
      </c>
      <c r="I613" s="104" t="n">
        <v>0.1839</v>
      </c>
      <c r="J613" s="104" t="n">
        <v>0.1235</v>
      </c>
      <c r="K613" s="104" t="n">
        <v>-0.0239</v>
      </c>
      <c r="L613" s="134" t="n">
        <v>493.78</v>
      </c>
      <c r="M613" s="134" t="n">
        <v>4135.8</v>
      </c>
      <c r="N613" s="104" t="n">
        <v>0.1194</v>
      </c>
      <c r="O613" s="134" t="n">
        <v>266</v>
      </c>
      <c r="P613" s="134" t="inlineStr">
        <is>
          <t>1 -0.41%</t>
        </is>
      </c>
      <c r="Q613" s="134" t="inlineStr">
        <is>
          <t>7 0.05%</t>
        </is>
      </c>
      <c r="R613" s="134" t="inlineStr">
        <is>
          <t>56 0.05%</t>
        </is>
      </c>
      <c r="S613" s="134" t="inlineStr">
        <is>
          <t>61 0.58%</t>
        </is>
      </c>
      <c r="T613" s="134" t="inlineStr">
        <is>
          <t>53 1.08%</t>
        </is>
      </c>
      <c r="U613" s="134" t="inlineStr">
        <is>
          <t>88 1.92%</t>
        </is>
      </c>
    </row>
    <row customHeight="1" ht="17" r="614" s="155">
      <c r="A614" s="105" t="n">
        <v>44021</v>
      </c>
      <c r="B614" s="134" t="n">
        <v>1499.189</v>
      </c>
      <c r="C614" s="152" t="n">
        <v>20.538</v>
      </c>
      <c r="D614" s="153" t="n">
        <v>0.0139</v>
      </c>
      <c r="E614" s="134" t="n">
        <v>137.077</v>
      </c>
      <c r="F614" s="134" t="n">
        <v>123.17</v>
      </c>
      <c r="G614" s="134" t="n">
        <v>112.4</v>
      </c>
      <c r="H614" s="134" t="n">
        <v>154.05</v>
      </c>
      <c r="I614" s="104" t="n">
        <v>0.1697</v>
      </c>
      <c r="J614" s="104" t="n">
        <v>0.115</v>
      </c>
      <c r="K614" s="104" t="n">
        <v>-0.0268</v>
      </c>
      <c r="L614" s="134" t="n">
        <v>554.11</v>
      </c>
      <c r="M614" s="134" t="n">
        <v>4137.31</v>
      </c>
      <c r="N614" s="104" t="n">
        <v>0.1339</v>
      </c>
      <c r="O614" s="134" t="n">
        <v>267</v>
      </c>
      <c r="P614" s="134" t="inlineStr">
        <is>
          <t>1 1.84%</t>
        </is>
      </c>
      <c r="Q614" s="134" t="inlineStr">
        <is>
          <t>7 0.27%</t>
        </is>
      </c>
      <c r="R614" s="134" t="inlineStr">
        <is>
          <t>52 0.40%</t>
        </is>
      </c>
      <c r="S614" s="134" t="inlineStr">
        <is>
          <t>59 0.74%</t>
        </is>
      </c>
      <c r="T614" s="134" t="inlineStr">
        <is>
          <t>48 1.56%</t>
        </is>
      </c>
      <c r="U614" s="134" t="inlineStr">
        <is>
          <t>100 2.28%</t>
        </is>
      </c>
    </row>
    <row customHeight="1" ht="17" r="615" s="155">
      <c r="A615" s="105" t="n">
        <v>44022</v>
      </c>
      <c r="B615" s="134" t="n">
        <v>1484.737</v>
      </c>
      <c r="C615" s="150" t="n">
        <v>-14.452</v>
      </c>
      <c r="D615" s="151" t="n">
        <v>-0.009599999999999999</v>
      </c>
      <c r="E615" s="134" t="n">
        <v>135.769</v>
      </c>
      <c r="F615" s="134" t="n">
        <v>121.861</v>
      </c>
      <c r="G615" s="134" t="n">
        <v>110.87</v>
      </c>
      <c r="H615" s="134" t="n">
        <v>153.22</v>
      </c>
      <c r="I615" s="104" t="n">
        <v>0.1746</v>
      </c>
      <c r="J615" s="104" t="n">
        <v>0.1197</v>
      </c>
      <c r="K615" s="104" t="n">
        <v>-0.0246</v>
      </c>
      <c r="L615" s="134" t="n">
        <v>487.04</v>
      </c>
      <c r="M615" s="134" t="n">
        <v>4122.6</v>
      </c>
      <c r="N615" s="104" t="n">
        <v>0.1181</v>
      </c>
      <c r="O615" s="134" t="n">
        <v>266</v>
      </c>
      <c r="P615" s="134" t="inlineStr">
        <is>
          <t>2 -1.26%</t>
        </is>
      </c>
      <c r="Q615" s="134" t="inlineStr">
        <is>
          <t>7 -0.64%</t>
        </is>
      </c>
      <c r="R615" s="134" t="inlineStr">
        <is>
          <t>53 -0.78%</t>
        </is>
      </c>
      <c r="S615" s="134" t="inlineStr">
        <is>
          <t>63 -1.04%</t>
        </is>
      </c>
      <c r="T615" s="134" t="inlineStr">
        <is>
          <t>49 -1.45%</t>
        </is>
      </c>
      <c r="U615" s="134" t="inlineStr">
        <is>
          <t>92 -0.78%</t>
        </is>
      </c>
    </row>
    <row customHeight="1" ht="17" r="616" s="155">
      <c r="A616" s="105" t="n">
        <v>44025</v>
      </c>
      <c r="B616" s="134" t="n">
        <v>1521.365</v>
      </c>
      <c r="C616" s="152" t="n">
        <v>36.628</v>
      </c>
      <c r="D616" s="153" t="n">
        <v>0.0247</v>
      </c>
      <c r="E616" s="134" t="n">
        <v>140.242</v>
      </c>
      <c r="F616" s="134" t="n">
        <v>124.6</v>
      </c>
      <c r="G616" s="134" t="n">
        <v>115.2</v>
      </c>
      <c r="H616" s="134" t="n">
        <v>156.21</v>
      </c>
      <c r="I616" s="104" t="n">
        <v>0.1597</v>
      </c>
      <c r="J616" s="104" t="n">
        <v>0.1062</v>
      </c>
      <c r="K616" s="104" t="n">
        <v>-0.0282</v>
      </c>
      <c r="L616" s="134" t="n">
        <v>510.07</v>
      </c>
      <c r="M616" s="134" t="n">
        <v>4115.57</v>
      </c>
      <c r="N616" s="104" t="n">
        <v>0.1239</v>
      </c>
      <c r="O616" s="134" t="n">
        <v>266</v>
      </c>
      <c r="P616" s="134" t="inlineStr">
        <is>
          <t>1 0.65%</t>
        </is>
      </c>
      <c r="Q616" s="134" t="inlineStr">
        <is>
          <t>8 0.20%</t>
        </is>
      </c>
      <c r="R616" s="134" t="inlineStr">
        <is>
          <t>48 0.99%</t>
        </is>
      </c>
      <c r="S616" s="134" t="inlineStr">
        <is>
          <t>58 1.11%</t>
        </is>
      </c>
      <c r="T616" s="134" t="inlineStr">
        <is>
          <t>44 2.57%</t>
        </is>
      </c>
      <c r="U616" s="134" t="inlineStr">
        <is>
          <t>107 5.02%</t>
        </is>
      </c>
    </row>
    <row customHeight="1" ht="17" r="617" s="155">
      <c r="A617" s="105" t="n">
        <v>44026</v>
      </c>
      <c r="B617" s="134" t="n">
        <v>1508.89</v>
      </c>
      <c r="C617" s="150" t="n">
        <v>-12.475</v>
      </c>
      <c r="D617" s="151" t="n">
        <v>-0.008200000000000001</v>
      </c>
      <c r="E617" s="134" t="n">
        <v>138.628</v>
      </c>
      <c r="F617" s="134" t="n">
        <v>124.13</v>
      </c>
      <c r="G617" s="134" t="n">
        <v>115.3</v>
      </c>
      <c r="H617" s="134" t="n">
        <v>154.28</v>
      </c>
      <c r="I617" s="104" t="n">
        <v>0.1565</v>
      </c>
      <c r="J617" s="104" t="n">
        <v>0.1035</v>
      </c>
      <c r="K617" s="104" t="n">
        <v>-0.0264</v>
      </c>
      <c r="L617" s="134" t="n">
        <v>525.71</v>
      </c>
      <c r="M617" s="134" t="n">
        <v>4152.26</v>
      </c>
      <c r="N617" s="104" t="n">
        <v>0.1266</v>
      </c>
      <c r="O617" s="134" t="n">
        <v>268</v>
      </c>
      <c r="P617" s="134" t="inlineStr">
        <is>
          <t>1 0.23%</t>
        </is>
      </c>
      <c r="Q617" s="134" t="inlineStr">
        <is>
          <t>8 -0.11%</t>
        </is>
      </c>
      <c r="R617" s="134" t="inlineStr">
        <is>
          <t>47 -0.44%</t>
        </is>
      </c>
      <c r="S617" s="134" t="inlineStr">
        <is>
          <t>61 -0.70%</t>
        </is>
      </c>
      <c r="T617" s="134" t="inlineStr">
        <is>
          <t>46 -0.83%</t>
        </is>
      </c>
      <c r="U617" s="134" t="inlineStr">
        <is>
          <t>105 -0.65%</t>
        </is>
      </c>
    </row>
    <row customHeight="1" ht="17" r="618" s="155">
      <c r="A618" s="105" t="n">
        <v>44027</v>
      </c>
      <c r="B618" s="134" t="n">
        <v>1486.438</v>
      </c>
      <c r="C618" s="150" t="n">
        <v>-22.452</v>
      </c>
      <c r="D618" s="151" t="n">
        <v>-0.0149</v>
      </c>
      <c r="E618" s="134" t="n">
        <v>135.966</v>
      </c>
      <c r="F618" s="134" t="n">
        <v>122</v>
      </c>
      <c r="G618" s="134" t="n">
        <v>111.43</v>
      </c>
      <c r="H618" s="134" t="n">
        <v>152.65</v>
      </c>
      <c r="I618" s="104" t="n">
        <v>0.1668</v>
      </c>
      <c r="J618" s="104" t="n">
        <v>0.104</v>
      </c>
      <c r="K618" s="104" t="n">
        <v>-0.0242</v>
      </c>
      <c r="L618" s="134" t="n">
        <v>485.77</v>
      </c>
      <c r="M618" s="134" t="n">
        <v>4147.11</v>
      </c>
      <c r="N618" s="104" t="n">
        <v>0.1171</v>
      </c>
      <c r="O618" s="134" t="n">
        <v>268</v>
      </c>
      <c r="P618" s="134" t="inlineStr">
        <is>
          <t>2 -0.77%</t>
        </is>
      </c>
      <c r="Q618" s="134" t="inlineStr">
        <is>
          <t>8 -0.50%</t>
        </is>
      </c>
      <c r="R618" s="134" t="inlineStr">
        <is>
          <t>53 -0.66%</t>
        </is>
      </c>
      <c r="S618" s="134" t="inlineStr">
        <is>
          <t>59 -1.12%</t>
        </is>
      </c>
      <c r="T618" s="134" t="inlineStr">
        <is>
          <t>50 -1.56%</t>
        </is>
      </c>
      <c r="U618" s="134" t="inlineStr">
        <is>
          <t>96 -1.51%</t>
        </is>
      </c>
    </row>
    <row customHeight="1" ht="17" r="619" s="155">
      <c r="A619" s="105" t="n">
        <v>44028</v>
      </c>
      <c r="B619" s="134" t="n">
        <v>1434.755</v>
      </c>
      <c r="C619" s="150" t="n">
        <v>-51.683</v>
      </c>
      <c r="D619" s="151" t="n">
        <v>-0.0348</v>
      </c>
      <c r="E619" s="134" t="n">
        <v>130.298</v>
      </c>
      <c r="F619" s="134" t="n">
        <v>118</v>
      </c>
      <c r="G619" s="134" t="n">
        <v>106.2</v>
      </c>
      <c r="H619" s="134" t="n">
        <v>148.47</v>
      </c>
      <c r="I619" s="104" t="n">
        <v>0.1817</v>
      </c>
      <c r="J619" s="104" t="n">
        <v>0.1237</v>
      </c>
      <c r="K619" s="104" t="n">
        <v>-0.0163</v>
      </c>
      <c r="L619" s="134" t="n">
        <v>450.54</v>
      </c>
      <c r="M619" s="134" t="n">
        <v>4162.56</v>
      </c>
      <c r="N619" s="104" t="n">
        <v>0.1082</v>
      </c>
      <c r="O619" s="134" t="n">
        <v>269</v>
      </c>
      <c r="P619" s="134" t="inlineStr">
        <is>
          <t>2 -0.61%</t>
        </is>
      </c>
      <c r="Q619" s="134" t="inlineStr">
        <is>
          <t>10 -1.06%</t>
        </is>
      </c>
      <c r="R619" s="134" t="inlineStr">
        <is>
          <t>69 -1.95%</t>
        </is>
      </c>
      <c r="S619" s="134" t="inlineStr">
        <is>
          <t>63 -2.73%</t>
        </is>
      </c>
      <c r="T619" s="134" t="inlineStr">
        <is>
          <t>47 -3.47%</t>
        </is>
      </c>
      <c r="U619" s="134" t="inlineStr">
        <is>
          <t>78 -5.40%</t>
        </is>
      </c>
    </row>
    <row customHeight="1" ht="17" r="620" s="155">
      <c r="A620" s="105" t="n">
        <v>44029</v>
      </c>
      <c r="B620" s="134" t="n">
        <v>1438.069</v>
      </c>
      <c r="C620" s="152" t="n">
        <v>3.314</v>
      </c>
      <c r="D620" s="153" t="n">
        <v>0.0023</v>
      </c>
      <c r="E620" s="134" t="n">
        <v>130.632</v>
      </c>
      <c r="F620" s="134" t="n">
        <v>118.299</v>
      </c>
      <c r="G620" s="134" t="n">
        <v>107.72</v>
      </c>
      <c r="H620" s="134" t="n">
        <v>148.7</v>
      </c>
      <c r="I620" s="104" t="n">
        <v>0.1806</v>
      </c>
      <c r="J620" s="104" t="n">
        <v>0.1207</v>
      </c>
      <c r="K620" s="104" t="n">
        <v>-0.0166</v>
      </c>
      <c r="L620" s="134" t="n">
        <v>479.63</v>
      </c>
      <c r="M620" s="134" t="n">
        <v>4173.69</v>
      </c>
      <c r="N620" s="104" t="n">
        <v>0.1149</v>
      </c>
      <c r="O620" s="134" t="n">
        <v>271</v>
      </c>
      <c r="P620" s="134" t="inlineStr">
        <is>
          <t>1 0.26%</t>
        </is>
      </c>
      <c r="Q620" s="134" t="inlineStr">
        <is>
          <t>12 0.10%</t>
        </is>
      </c>
      <c r="R620" s="134" t="inlineStr">
        <is>
          <t>68 0.07%</t>
        </is>
      </c>
      <c r="S620" s="134" t="inlineStr">
        <is>
          <t>63 0.03%</t>
        </is>
      </c>
      <c r="T620" s="134" t="inlineStr">
        <is>
          <t>47 0.37%</t>
        </is>
      </c>
      <c r="U620" s="134" t="inlineStr">
        <is>
          <t>80 0.47%</t>
        </is>
      </c>
    </row>
    <row customHeight="1" ht="17" r="621" s="155">
      <c r="A621" s="105" t="n">
        <v>44032</v>
      </c>
      <c r="B621" s="134" t="n">
        <v>1469.707</v>
      </c>
      <c r="C621" s="152" t="n">
        <v>31.638</v>
      </c>
      <c r="D621" s="153" t="n">
        <v>0.022</v>
      </c>
      <c r="E621" s="134" t="n">
        <v>133.359</v>
      </c>
      <c r="F621" s="134" t="n">
        <v>122.07</v>
      </c>
      <c r="G621" s="134" t="n">
        <v>111.7</v>
      </c>
      <c r="H621" s="134" t="n">
        <v>150.19</v>
      </c>
      <c r="I621" s="104" t="n">
        <v>0.1683</v>
      </c>
      <c r="J621" s="104" t="n">
        <v>0.1101</v>
      </c>
      <c r="K621" s="104" t="n">
        <v>-0.0213</v>
      </c>
      <c r="L621" s="134" t="n">
        <v>386.68</v>
      </c>
      <c r="M621" s="134" t="n">
        <v>4159.6</v>
      </c>
      <c r="N621" s="104" t="n">
        <v>0.093</v>
      </c>
      <c r="O621" s="134" t="n">
        <v>271</v>
      </c>
      <c r="P621" s="134" t="inlineStr">
        <is>
          <t>1 0.57%</t>
        </is>
      </c>
      <c r="Q621" s="134" t="inlineStr">
        <is>
          <t>10 0.72%</t>
        </is>
      </c>
      <c r="R621" s="134" t="inlineStr">
        <is>
          <t>56 1.27%</t>
        </is>
      </c>
      <c r="S621" s="134" t="inlineStr">
        <is>
          <t>59 2.33%</t>
        </is>
      </c>
      <c r="T621" s="134" t="inlineStr">
        <is>
          <t>51 2.73%</t>
        </is>
      </c>
      <c r="U621" s="134" t="inlineStr">
        <is>
          <t>94 2.74%</t>
        </is>
      </c>
    </row>
    <row customHeight="1" ht="17" r="622" s="155">
      <c r="A622" s="105" t="n">
        <v>44033</v>
      </c>
      <c r="B622" s="134" t="n">
        <v>1474.983</v>
      </c>
      <c r="C622" s="152" t="n">
        <v>5.276</v>
      </c>
      <c r="D622" s="153" t="n">
        <v>0.0036</v>
      </c>
      <c r="E622" s="134" t="n">
        <v>134.015</v>
      </c>
      <c r="F622" s="134" t="n">
        <v>121.64</v>
      </c>
      <c r="G622" s="134" t="n">
        <v>111.58</v>
      </c>
      <c r="H622" s="134" t="n">
        <v>150.86</v>
      </c>
      <c r="I622" s="104" t="n">
        <v>0.1684</v>
      </c>
      <c r="J622" s="104" t="n">
        <v>0.1042</v>
      </c>
      <c r="K622" s="104" t="n">
        <v>-0.0218</v>
      </c>
      <c r="L622" s="134" t="n">
        <v>375.02</v>
      </c>
      <c r="M622" s="134" t="n">
        <v>4154.37</v>
      </c>
      <c r="N622" s="104" t="n">
        <v>0.09030000000000001</v>
      </c>
      <c r="O622" s="134" t="n">
        <v>273</v>
      </c>
      <c r="P622" s="134" t="inlineStr">
        <is>
          <t>1 0.28%</t>
        </is>
      </c>
      <c r="Q622" s="134" t="inlineStr">
        <is>
          <t>9 -0.09%</t>
        </is>
      </c>
      <c r="R622" s="134" t="inlineStr">
        <is>
          <t>54 0.14%</t>
        </is>
      </c>
      <c r="S622" s="134" t="inlineStr">
        <is>
          <t>60 0.30%</t>
        </is>
      </c>
      <c r="T622" s="134" t="inlineStr">
        <is>
          <t>51 -0.32%</t>
        </is>
      </c>
      <c r="U622" s="134" t="inlineStr">
        <is>
          <t>98 0.91%</t>
        </is>
      </c>
    </row>
    <row customHeight="1" ht="17" r="623" s="155">
      <c r="A623" s="105" t="n">
        <v>44034</v>
      </c>
      <c r="B623" s="134" t="n">
        <v>1485.809</v>
      </c>
      <c r="C623" s="152" t="n">
        <v>10.826</v>
      </c>
      <c r="D623" s="153" t="n">
        <v>0.0073</v>
      </c>
      <c r="E623" s="134" t="n">
        <v>134.894</v>
      </c>
      <c r="F623" s="134" t="n">
        <v>123.2</v>
      </c>
      <c r="G623" s="134" t="n">
        <v>111.96</v>
      </c>
      <c r="H623" s="134" t="n">
        <v>151.85</v>
      </c>
      <c r="I623" s="104" t="n">
        <v>0.1696</v>
      </c>
      <c r="J623" s="104" t="n">
        <v>0.1078</v>
      </c>
      <c r="K623" s="104" t="n">
        <v>-0.0233</v>
      </c>
      <c r="L623" s="134" t="n">
        <v>408.73</v>
      </c>
      <c r="M623" s="134" t="n">
        <v>4146.02</v>
      </c>
      <c r="N623" s="104" t="n">
        <v>0.09859999999999999</v>
      </c>
      <c r="O623" s="134" t="n">
        <v>273</v>
      </c>
      <c r="P623" s="134" t="inlineStr">
        <is>
          <t>1 -0.21%</t>
        </is>
      </c>
      <c r="Q623" s="134" t="inlineStr">
        <is>
          <t>9 0.18%</t>
        </is>
      </c>
      <c r="R623" s="134" t="inlineStr">
        <is>
          <t>52 0.16%</t>
        </is>
      </c>
      <c r="S623" s="134" t="inlineStr">
        <is>
          <t>59 0.50%</t>
        </is>
      </c>
      <c r="T623" s="134" t="inlineStr">
        <is>
          <t>45 0.72%</t>
        </is>
      </c>
      <c r="U623" s="134" t="inlineStr">
        <is>
          <t>107 1.21%</t>
        </is>
      </c>
    </row>
    <row customHeight="1" ht="17" r="624" s="155">
      <c r="A624" s="105" t="n">
        <v>44035</v>
      </c>
      <c r="B624" s="134" t="n">
        <v>1486.329</v>
      </c>
      <c r="C624" s="152" t="n">
        <v>0.52</v>
      </c>
      <c r="D624" s="153" t="n">
        <v>0.0004</v>
      </c>
      <c r="E624" s="134" t="n">
        <v>134.874</v>
      </c>
      <c r="F624" s="134" t="n">
        <v>122.605</v>
      </c>
      <c r="G624" s="134" t="n">
        <v>110.04</v>
      </c>
      <c r="H624" s="134" t="n">
        <v>152.12</v>
      </c>
      <c r="I624" s="104" t="n">
        <v>0.1724</v>
      </c>
      <c r="J624" s="104" t="n">
        <v>0.1116</v>
      </c>
      <c r="K624" s="104" t="n">
        <v>-0.0232</v>
      </c>
      <c r="L624" s="134" t="n">
        <v>407.48</v>
      </c>
      <c r="M624" s="134" t="n">
        <v>4144.99</v>
      </c>
      <c r="N624" s="104" t="n">
        <v>0.0983</v>
      </c>
      <c r="O624" s="134" t="n">
        <v>274</v>
      </c>
      <c r="P624" s="134" t="inlineStr">
        <is>
          <t>1 -0.38%</t>
        </is>
      </c>
      <c r="Q624" s="134" t="inlineStr">
        <is>
          <t>10 -0.14%</t>
        </is>
      </c>
      <c r="R624" s="134" t="inlineStr">
        <is>
          <t>53 0.13%</t>
        </is>
      </c>
      <c r="S624" s="134" t="inlineStr">
        <is>
          <t>65 -0.25%</t>
        </is>
      </c>
      <c r="T624" s="134" t="inlineStr">
        <is>
          <t>37 -0.18%</t>
        </is>
      </c>
      <c r="U624" s="134" t="inlineStr">
        <is>
          <t>108 0.34%</t>
        </is>
      </c>
    </row>
    <row customHeight="1" ht="17" r="625" s="155">
      <c r="A625" s="105" t="n">
        <v>44036</v>
      </c>
      <c r="B625" s="134" t="n">
        <v>1449.84</v>
      </c>
      <c r="C625" s="150" t="n">
        <v>-36.489</v>
      </c>
      <c r="D625" s="151" t="n">
        <v>-0.0246</v>
      </c>
      <c r="E625" s="134" t="n">
        <v>130.627</v>
      </c>
      <c r="F625" s="134" t="n">
        <v>119.84</v>
      </c>
      <c r="G625" s="134" t="n">
        <v>105.23</v>
      </c>
      <c r="H625" s="134" t="n">
        <v>150.43</v>
      </c>
      <c r="I625" s="104" t="n">
        <v>0.198</v>
      </c>
      <c r="J625" s="104" t="n">
        <v>0.1474</v>
      </c>
      <c r="K625" s="104" t="n">
        <v>-0.0177</v>
      </c>
      <c r="L625" s="134" t="n">
        <v>359.88</v>
      </c>
      <c r="M625" s="134" t="n">
        <v>4140.62</v>
      </c>
      <c r="N625" s="104" t="n">
        <v>0.08690000000000001</v>
      </c>
      <c r="O625" s="134" t="n">
        <v>275</v>
      </c>
      <c r="P625" s="134" t="inlineStr">
        <is>
          <t>1 -0.52%</t>
        </is>
      </c>
      <c r="Q625" s="134" t="inlineStr">
        <is>
          <t>10 -0.19%</t>
        </is>
      </c>
      <c r="R625" s="134" t="inlineStr">
        <is>
          <t>64 -0.83%</t>
        </is>
      </c>
      <c r="S625" s="134" t="inlineStr">
        <is>
          <t>66 -1.71%</t>
        </is>
      </c>
      <c r="T625" s="134" t="inlineStr">
        <is>
          <t>48 -2.98%</t>
        </is>
      </c>
      <c r="U625" s="134" t="inlineStr">
        <is>
          <t>86 -3.60%</t>
        </is>
      </c>
    </row>
    <row customHeight="1" ht="17" r="626" s="155">
      <c r="A626" s="105" t="n">
        <v>44039</v>
      </c>
      <c r="B626" s="134" t="n">
        <v>1445.345</v>
      </c>
      <c r="C626" s="150" t="n">
        <v>-4.495</v>
      </c>
      <c r="D626" s="151" t="n">
        <v>-0.0031</v>
      </c>
      <c r="E626" s="134" t="n">
        <v>130.188</v>
      </c>
      <c r="F626" s="134" t="n">
        <v>119.02</v>
      </c>
      <c r="G626" s="134" t="n">
        <v>104.91</v>
      </c>
      <c r="H626" s="134" t="n">
        <v>149.33</v>
      </c>
      <c r="I626" s="104" t="n">
        <v>0.1914</v>
      </c>
      <c r="J626" s="104" t="n">
        <v>0.1356</v>
      </c>
      <c r="K626" s="104" t="n">
        <v>-0.0168</v>
      </c>
      <c r="L626" s="134" t="n">
        <v>300.27</v>
      </c>
      <c r="M626" s="134" t="n">
        <v>4146.94</v>
      </c>
      <c r="N626" s="104" t="n">
        <v>0.07240000000000001</v>
      </c>
      <c r="O626" s="134" t="n">
        <v>277</v>
      </c>
      <c r="P626" s="134" t="inlineStr">
        <is>
          <t>1 -0.12%</t>
        </is>
      </c>
      <c r="Q626" s="134" t="inlineStr">
        <is>
          <t>10 0.11%</t>
        </is>
      </c>
      <c r="R626" s="134" t="inlineStr">
        <is>
          <t>63 -0.10%</t>
        </is>
      </c>
      <c r="S626" s="134" t="inlineStr">
        <is>
          <t>70 -0.32%</t>
        </is>
      </c>
      <c r="T626" s="134" t="inlineStr">
        <is>
          <t>44 -0.60%</t>
        </is>
      </c>
      <c r="U626" s="134" t="inlineStr">
        <is>
          <t>89 0.13%</t>
        </is>
      </c>
    </row>
    <row customHeight="1" ht="17" r="627" s="155">
      <c r="A627" s="105" t="n">
        <v>44040</v>
      </c>
      <c r="B627" s="134" t="n">
        <v>1459.697</v>
      </c>
      <c r="C627" s="152" t="n">
        <v>14.352</v>
      </c>
      <c r="D627" s="153" t="n">
        <v>0.009900000000000001</v>
      </c>
      <c r="E627" s="134" t="n">
        <v>132.029</v>
      </c>
      <c r="F627" s="134" t="n">
        <v>120</v>
      </c>
      <c r="G627" s="134" t="n">
        <v>106.89</v>
      </c>
      <c r="H627" s="134" t="n">
        <v>150.2</v>
      </c>
      <c r="I627" s="104" t="n">
        <v>0.1817</v>
      </c>
      <c r="J627" s="104" t="n">
        <v>0.1234</v>
      </c>
      <c r="K627" s="104" t="n">
        <v>-0.0188</v>
      </c>
      <c r="L627" s="134" t="n">
        <v>362.02</v>
      </c>
      <c r="M627" s="134" t="n">
        <v>4146.62</v>
      </c>
      <c r="N627" s="104" t="n">
        <v>0.0873</v>
      </c>
      <c r="O627" s="134" t="n">
        <v>279</v>
      </c>
      <c r="P627" s="134" t="inlineStr">
        <is>
          <t>1 0.25%</t>
        </is>
      </c>
      <c r="Q627" s="134" t="inlineStr">
        <is>
          <t>10 0.22%</t>
        </is>
      </c>
      <c r="R627" s="134" t="inlineStr">
        <is>
          <t>63 0.27%</t>
        </is>
      </c>
      <c r="S627" s="134" t="inlineStr">
        <is>
          <t>66 0.45%</t>
        </is>
      </c>
      <c r="T627" s="134" t="inlineStr">
        <is>
          <t>42 0.81%</t>
        </is>
      </c>
      <c r="U627" s="134" t="inlineStr">
        <is>
          <t>97 2.00%</t>
        </is>
      </c>
    </row>
    <row customHeight="1" ht="17" r="628" s="155">
      <c r="A628" s="105" t="n">
        <v>44041</v>
      </c>
      <c r="B628" s="134" t="n">
        <v>1480.498</v>
      </c>
      <c r="C628" s="152" t="n">
        <v>20.801</v>
      </c>
      <c r="D628" s="153" t="n">
        <v>0.0143</v>
      </c>
      <c r="E628" s="134" t="n">
        <v>133.994</v>
      </c>
      <c r="F628" s="134" t="n">
        <v>121</v>
      </c>
      <c r="G628" s="134" t="n">
        <v>109.26</v>
      </c>
      <c r="H628" s="134" t="n">
        <v>151.27</v>
      </c>
      <c r="I628" s="104" t="n">
        <v>0.1727</v>
      </c>
      <c r="J628" s="104" t="n">
        <v>0.1172</v>
      </c>
      <c r="K628" s="104" t="n">
        <v>-0.0217</v>
      </c>
      <c r="L628" s="134" t="n">
        <v>374.77</v>
      </c>
      <c r="M628" s="134" t="n">
        <v>4138.21</v>
      </c>
      <c r="N628" s="104" t="n">
        <v>0.0906</v>
      </c>
      <c r="O628" s="134" t="n">
        <v>279</v>
      </c>
      <c r="P628" s="134" t="inlineStr">
        <is>
          <t>1 0.19%</t>
        </is>
      </c>
      <c r="Q628" s="134" t="inlineStr">
        <is>
          <t>9 0.43%</t>
        </is>
      </c>
      <c r="R628" s="134" t="inlineStr">
        <is>
          <t>58 0.50%</t>
        </is>
      </c>
      <c r="S628" s="134" t="inlineStr">
        <is>
          <t>67 0.89%</t>
        </is>
      </c>
      <c r="T628" s="134" t="inlineStr">
        <is>
          <t>38 1.35%</t>
        </is>
      </c>
      <c r="U628" s="134" t="inlineStr">
        <is>
          <t>106 2.39%</t>
        </is>
      </c>
    </row>
    <row customHeight="1" ht="17" r="629" s="155">
      <c r="A629" s="105" t="n">
        <v>44042</v>
      </c>
      <c r="B629" s="134" t="n">
        <v>1482.722</v>
      </c>
      <c r="C629" s="152" t="n">
        <v>2.224</v>
      </c>
      <c r="D629" s="153" t="n">
        <v>0.0015</v>
      </c>
      <c r="E629" s="134" t="n">
        <v>134.11</v>
      </c>
      <c r="F629" s="134" t="n">
        <v>121.88</v>
      </c>
      <c r="G629" s="134" t="n">
        <v>108.13</v>
      </c>
      <c r="H629" s="134" t="n">
        <v>151.72</v>
      </c>
      <c r="I629" s="104" t="n">
        <v>0.1761</v>
      </c>
      <c r="J629" s="104" t="n">
        <v>0.1209</v>
      </c>
      <c r="K629" s="104" t="n">
        <v>-0.0222</v>
      </c>
      <c r="L629" s="134" t="n">
        <v>330.48</v>
      </c>
      <c r="M629" s="134" t="n">
        <v>4131.43</v>
      </c>
      <c r="N629" s="104" t="n">
        <v>0.08</v>
      </c>
      <c r="O629" s="134" t="n">
        <v>279</v>
      </c>
      <c r="P629" s="134" t="inlineStr">
        <is>
          <t>1 5.92%</t>
        </is>
      </c>
      <c r="Q629" s="134" t="inlineStr">
        <is>
          <t>9 0.42%</t>
        </is>
      </c>
      <c r="R629" s="134" t="inlineStr">
        <is>
          <t>53 0.37%</t>
        </is>
      </c>
      <c r="S629" s="134" t="inlineStr">
        <is>
          <t>68 0.30%</t>
        </is>
      </c>
      <c r="T629" s="134" t="inlineStr">
        <is>
          <t>37 0.15%</t>
        </is>
      </c>
      <c r="U629" s="134" t="inlineStr">
        <is>
          <t>111 0.03%</t>
        </is>
      </c>
    </row>
    <row customHeight="1" ht="17" r="630" s="155">
      <c r="A630" s="105" t="n">
        <v>44043</v>
      </c>
      <c r="B630" s="134" t="n">
        <v>1493.605</v>
      </c>
      <c r="C630" s="152" t="n">
        <v>10.883</v>
      </c>
      <c r="D630" s="153" t="n">
        <v>0.0073</v>
      </c>
      <c r="E630" s="134" t="n">
        <v>135.164</v>
      </c>
      <c r="F630" s="134" t="n">
        <v>122.01</v>
      </c>
      <c r="G630" s="134" t="n">
        <v>108.87</v>
      </c>
      <c r="H630" s="134" t="n">
        <v>152.32</v>
      </c>
      <c r="I630" s="104" t="n">
        <v>0.1716</v>
      </c>
      <c r="J630" s="104" t="n">
        <v>0.1197</v>
      </c>
      <c r="K630" s="104" t="n">
        <v>-0.0235</v>
      </c>
      <c r="L630" s="134" t="n">
        <v>370.5</v>
      </c>
      <c r="M630" s="134" t="n">
        <v>4126.94</v>
      </c>
      <c r="N630" s="104" t="n">
        <v>0.0898</v>
      </c>
      <c r="O630" s="134" t="n">
        <v>279</v>
      </c>
      <c r="P630" s="134" t="inlineStr">
        <is>
          <t>1 -2.42%</t>
        </is>
      </c>
      <c r="Q630" s="134" t="inlineStr">
        <is>
          <t>9 0.14%</t>
        </is>
      </c>
      <c r="R630" s="134" t="inlineStr">
        <is>
          <t>53 0.31%</t>
        </is>
      </c>
      <c r="S630" s="134" t="inlineStr">
        <is>
          <t>64 0.81%</t>
        </is>
      </c>
      <c r="T630" s="134" t="inlineStr">
        <is>
          <t>41 0.69%</t>
        </is>
      </c>
      <c r="U630" s="134" t="inlineStr">
        <is>
          <t>111 1.48%</t>
        </is>
      </c>
    </row>
    <row customHeight="1" ht="17" r="631" s="155">
      <c r="A631" s="105" t="n">
        <v>44046</v>
      </c>
      <c r="B631" s="134" t="n">
        <v>1520.296</v>
      </c>
      <c r="C631" s="152" t="n">
        <v>26.691</v>
      </c>
      <c r="D631" s="153" t="n">
        <v>0.0179</v>
      </c>
      <c r="E631" s="134" t="n">
        <v>137.891</v>
      </c>
      <c r="F631" s="134" t="n">
        <v>124.29</v>
      </c>
      <c r="G631" s="134" t="n">
        <v>113.02</v>
      </c>
      <c r="H631" s="134" t="n">
        <v>153.46</v>
      </c>
      <c r="I631" s="104" t="n">
        <v>0.1557</v>
      </c>
      <c r="J631" s="104" t="n">
        <v>0.09719999999999999</v>
      </c>
      <c r="K631" s="104" t="n">
        <v>-0.0274</v>
      </c>
      <c r="L631" s="134" t="n">
        <v>399.38</v>
      </c>
      <c r="M631" s="134" t="n">
        <v>4138.97</v>
      </c>
      <c r="N631" s="104" t="n">
        <v>0.0965</v>
      </c>
      <c r="O631" s="134" t="n">
        <v>281</v>
      </c>
      <c r="P631" s="134" t="inlineStr">
        <is>
          <t>1 0.43%</t>
        </is>
      </c>
      <c r="Q631" s="134" t="inlineStr">
        <is>
          <t>6 0.43%</t>
        </is>
      </c>
      <c r="R631" s="134" t="inlineStr">
        <is>
          <t>47 0.79%</t>
        </is>
      </c>
      <c r="S631" s="134" t="inlineStr">
        <is>
          <t>63 1.15%</t>
        </is>
      </c>
      <c r="T631" s="134" t="inlineStr">
        <is>
          <t>43 1.61%</t>
        </is>
      </c>
      <c r="U631" s="134" t="inlineStr">
        <is>
          <t>121 2.65%</t>
        </is>
      </c>
    </row>
    <row customHeight="1" ht="17" r="632" s="155">
      <c r="A632" s="105" t="n">
        <v>44047</v>
      </c>
      <c r="B632" s="134" t="n">
        <v>1515.735</v>
      </c>
      <c r="C632" s="150" t="n">
        <v>-4.561</v>
      </c>
      <c r="D632" s="151" t="n">
        <v>-0.003</v>
      </c>
      <c r="E632" s="134" t="n">
        <v>136.978</v>
      </c>
      <c r="F632" s="134" t="n">
        <v>123.215</v>
      </c>
      <c r="G632" s="134" t="n">
        <v>112.13</v>
      </c>
      <c r="H632" s="134" t="n">
        <v>152.64</v>
      </c>
      <c r="I632" s="104" t="n">
        <v>0.1566</v>
      </c>
      <c r="J632" s="104" t="n">
        <v>0.0956</v>
      </c>
      <c r="K632" s="104" t="n">
        <v>-0.0265</v>
      </c>
      <c r="L632" s="134" t="n">
        <v>371.6</v>
      </c>
      <c r="M632" s="134" t="n">
        <v>4132.56</v>
      </c>
      <c r="N632" s="104" t="n">
        <v>0.08989999999999999</v>
      </c>
      <c r="O632" s="134" t="n">
        <v>280</v>
      </c>
      <c r="P632" s="134" t="inlineStr">
        <is>
          <t>1 -0.72%</t>
        </is>
      </c>
      <c r="Q632" s="134" t="inlineStr">
        <is>
          <t>7 0.01%</t>
        </is>
      </c>
      <c r="R632" s="134" t="inlineStr">
        <is>
          <t>48 -0.05%</t>
        </is>
      </c>
      <c r="S632" s="134" t="inlineStr">
        <is>
          <t>63 -0.14%</t>
        </is>
      </c>
      <c r="T632" s="134" t="inlineStr">
        <is>
          <t>47 -0.64%</t>
        </is>
      </c>
      <c r="U632" s="134" t="inlineStr">
        <is>
          <t>114 -0.37%</t>
        </is>
      </c>
    </row>
    <row customHeight="1" ht="17" r="633" s="155">
      <c r="A633" s="105" t="n">
        <v>44048</v>
      </c>
      <c r="B633" s="134" t="n">
        <v>1528.77</v>
      </c>
      <c r="C633" s="152" t="n">
        <v>13.035</v>
      </c>
      <c r="D633" s="153" t="n">
        <v>0.0086</v>
      </c>
      <c r="E633" s="134" t="n">
        <v>138.305</v>
      </c>
      <c r="F633" s="134" t="n">
        <v>124</v>
      </c>
      <c r="G633" s="134" t="n">
        <v>112.85</v>
      </c>
      <c r="H633" s="134" t="n">
        <v>153.66</v>
      </c>
      <c r="I633" s="104" t="n">
        <v>0.1535</v>
      </c>
      <c r="J633" s="104" t="n">
        <v>0.09370000000000001</v>
      </c>
      <c r="K633" s="104" t="n">
        <v>-0.0278</v>
      </c>
      <c r="L633" s="134" t="n">
        <v>398.85</v>
      </c>
      <c r="M633" s="134" t="n">
        <v>4196.5</v>
      </c>
      <c r="N633" s="104" t="n">
        <v>0.095</v>
      </c>
      <c r="O633" s="134" t="n">
        <v>281</v>
      </c>
      <c r="P633" s="134" t="inlineStr">
        <is>
          <t>1 0.04%</t>
        </is>
      </c>
      <c r="Q633" s="134" t="inlineStr">
        <is>
          <t>7 0.25%</t>
        </is>
      </c>
      <c r="R633" s="134" t="inlineStr">
        <is>
          <t>44 0.10%</t>
        </is>
      </c>
      <c r="S633" s="134" t="inlineStr">
        <is>
          <t>69 0.27%</t>
        </is>
      </c>
      <c r="T633" s="134" t="inlineStr">
        <is>
          <t>42 0.87%</t>
        </is>
      </c>
      <c r="U633" s="134" t="inlineStr">
        <is>
          <t>118 1.70%</t>
        </is>
      </c>
    </row>
    <row customHeight="1" ht="17" r="634" s="155">
      <c r="A634" s="105" t="n">
        <v>44049</v>
      </c>
      <c r="B634" s="134" t="n">
        <v>1524.765</v>
      </c>
      <c r="C634" s="150" t="n">
        <v>-4.005</v>
      </c>
      <c r="D634" s="151" t="n">
        <v>-0.0026</v>
      </c>
      <c r="E634" s="134" t="n">
        <v>137.696</v>
      </c>
      <c r="F634" s="134" t="n">
        <v>124.29</v>
      </c>
      <c r="G634" s="134" t="n">
        <v>112.07</v>
      </c>
      <c r="H634" s="134" t="n">
        <v>153.02</v>
      </c>
      <c r="I634" s="104" t="n">
        <v>0.1532</v>
      </c>
      <c r="J634" s="104" t="n">
        <v>0.0973</v>
      </c>
      <c r="K634" s="104" t="n">
        <v>-0.027</v>
      </c>
      <c r="L634" s="134" t="n">
        <v>356.13</v>
      </c>
      <c r="M634" s="134" t="n">
        <v>4192.26</v>
      </c>
      <c r="N634" s="104" t="n">
        <v>0.0849</v>
      </c>
      <c r="O634" s="134" t="n">
        <v>282</v>
      </c>
      <c r="P634" s="134" t="inlineStr">
        <is>
          <t>1 -0.13%</t>
        </is>
      </c>
      <c r="Q634" s="134" t="inlineStr">
        <is>
          <t>9 -0.22%</t>
        </is>
      </c>
      <c r="R634" s="134" t="inlineStr">
        <is>
          <t>43 -0.29%</t>
        </is>
      </c>
      <c r="S634" s="134" t="inlineStr">
        <is>
          <t>74 -0.20%</t>
        </is>
      </c>
      <c r="T634" s="134" t="inlineStr">
        <is>
          <t>38 -0.18%</t>
        </is>
      </c>
      <c r="U634" s="134" t="inlineStr">
        <is>
          <t>117 -0.18%</t>
        </is>
      </c>
    </row>
    <row customHeight="1" ht="17" r="635" s="155">
      <c r="A635" s="105" t="n">
        <v>44050</v>
      </c>
      <c r="B635" s="134" t="n">
        <v>1523.073</v>
      </c>
      <c r="C635" s="150" t="n">
        <v>-1.692</v>
      </c>
      <c r="D635" s="151" t="n">
        <v>-0.0011</v>
      </c>
      <c r="E635" s="134" t="n">
        <v>137.103</v>
      </c>
      <c r="F635" s="134" t="n">
        <v>123.05</v>
      </c>
      <c r="G635" s="134" t="n">
        <v>111.09</v>
      </c>
      <c r="H635" s="134" t="n">
        <v>154.19</v>
      </c>
      <c r="I635" s="104" t="n">
        <v>0.1709</v>
      </c>
      <c r="J635" s="104" t="n">
        <v>0.0998</v>
      </c>
      <c r="K635" s="104" t="n">
        <v>-0.0262</v>
      </c>
      <c r="L635" s="134" t="n">
        <v>395.24</v>
      </c>
      <c r="M635" s="134" t="n">
        <v>4190.58</v>
      </c>
      <c r="N635" s="104" t="n">
        <v>0.09429999999999999</v>
      </c>
      <c r="O635" s="134" t="n">
        <v>282</v>
      </c>
      <c r="P635" s="134" t="inlineStr">
        <is>
          <t>1 0.00%</t>
        </is>
      </c>
      <c r="Q635" s="134" t="inlineStr">
        <is>
          <t>9 0.06%</t>
        </is>
      </c>
      <c r="R635" s="134" t="inlineStr">
        <is>
          <t>49 -0.35%</t>
        </is>
      </c>
      <c r="S635" s="134" t="inlineStr">
        <is>
          <t>69 -0.49%</t>
        </is>
      </c>
      <c r="T635" s="134" t="inlineStr">
        <is>
          <t>41 -0.32%</t>
        </is>
      </c>
      <c r="U635" s="134" t="inlineStr">
        <is>
          <t>113 1.40%</t>
        </is>
      </c>
    </row>
    <row customHeight="1" ht="17" r="636" s="155">
      <c r="A636" s="105" t="n">
        <v>44053</v>
      </c>
      <c r="B636" s="134" t="n">
        <v>1546.254</v>
      </c>
      <c r="C636" s="152" t="n">
        <v>23.181</v>
      </c>
      <c r="D636" s="153" t="n">
        <v>0.0152</v>
      </c>
      <c r="E636" s="134" t="n">
        <v>139.437</v>
      </c>
      <c r="F636" s="134" t="n">
        <v>124.65</v>
      </c>
      <c r="G636" s="134" t="n">
        <v>112.81</v>
      </c>
      <c r="H636" s="134" t="n">
        <v>157.41</v>
      </c>
      <c r="I636" s="104" t="n">
        <v>0.1797</v>
      </c>
      <c r="J636" s="104" t="n">
        <v>0.1068</v>
      </c>
      <c r="K636" s="104" t="n">
        <v>-0.0295</v>
      </c>
      <c r="L636" s="134" t="n">
        <v>521.96</v>
      </c>
      <c r="M636" s="134" t="n">
        <v>4207.34</v>
      </c>
      <c r="N636" s="104" t="n">
        <v>0.1241</v>
      </c>
      <c r="O636" s="134" t="n">
        <v>285</v>
      </c>
      <c r="P636" s="134" t="inlineStr">
        <is>
          <t>1 0.54%</t>
        </is>
      </c>
      <c r="Q636" s="134" t="inlineStr">
        <is>
          <t>6 0.23%</t>
        </is>
      </c>
      <c r="R636" s="134" t="inlineStr">
        <is>
          <t>45 0.68%</t>
        </is>
      </c>
      <c r="S636" s="134" t="inlineStr">
        <is>
          <t>67 0.92%</t>
        </is>
      </c>
      <c r="T636" s="134" t="inlineStr">
        <is>
          <t>46 0.89%</t>
        </is>
      </c>
      <c r="U636" s="134" t="inlineStr">
        <is>
          <t>120 2.82%</t>
        </is>
      </c>
    </row>
    <row customHeight="1" ht="17" r="637" s="155">
      <c r="A637" s="105" t="n">
        <v>44054</v>
      </c>
      <c r="B637" s="134" t="n">
        <v>1529.972</v>
      </c>
      <c r="C637" s="150" t="n">
        <v>-16.282</v>
      </c>
      <c r="D637" s="151" t="n">
        <v>-0.0105</v>
      </c>
      <c r="E637" s="134" t="n">
        <v>137.757</v>
      </c>
      <c r="F637" s="134" t="n">
        <v>123.7</v>
      </c>
      <c r="G637" s="134" t="n">
        <v>111</v>
      </c>
      <c r="H637" s="134" t="n">
        <v>156.92</v>
      </c>
      <c r="I637" s="104" t="n">
        <v>0.1916</v>
      </c>
      <c r="J637" s="104" t="n">
        <v>0.1212</v>
      </c>
      <c r="K637" s="104" t="n">
        <v>-0.0272</v>
      </c>
      <c r="L637" s="134" t="n">
        <v>626.63</v>
      </c>
      <c r="M637" s="134" t="n">
        <v>4208.92</v>
      </c>
      <c r="N637" s="104" t="n">
        <v>0.1489</v>
      </c>
      <c r="O637" s="134" t="n">
        <v>287</v>
      </c>
      <c r="P637" s="134" t="inlineStr">
        <is>
          <t>1 -0.15%</t>
        </is>
      </c>
      <c r="Q637" s="134" t="inlineStr">
        <is>
          <t>6 0.20%</t>
        </is>
      </c>
      <c r="R637" s="134" t="inlineStr">
        <is>
          <t>47 0.00%</t>
        </is>
      </c>
      <c r="S637" s="134" t="inlineStr">
        <is>
          <t>76 -0.63%</t>
        </is>
      </c>
      <c r="T637" s="134" t="inlineStr">
        <is>
          <t>45 -1.12%</t>
        </is>
      </c>
      <c r="U637" s="134" t="inlineStr">
        <is>
          <t>112 -1.83%</t>
        </is>
      </c>
    </row>
    <row customHeight="1" ht="17" r="638" s="155">
      <c r="A638" s="105" t="n">
        <v>44055</v>
      </c>
      <c r="B638" s="134" t="n">
        <v>1527.723</v>
      </c>
      <c r="C638" s="150" t="n">
        <v>-2.249</v>
      </c>
      <c r="D638" s="151" t="n">
        <v>-0.0015</v>
      </c>
      <c r="E638" s="134" t="n">
        <v>137.544</v>
      </c>
      <c r="F638" s="134" t="n">
        <v>122</v>
      </c>
      <c r="G638" s="134" t="n">
        <v>111.57</v>
      </c>
      <c r="H638" s="134" t="n">
        <v>157</v>
      </c>
      <c r="I638" s="104" t="n">
        <v>0.1946</v>
      </c>
      <c r="J638" s="104" t="n">
        <v>0.1196</v>
      </c>
      <c r="K638" s="104" t="n">
        <v>-0.027</v>
      </c>
      <c r="L638" s="134" t="n">
        <v>766.59</v>
      </c>
      <c r="M638" s="134" t="n">
        <v>4198.23</v>
      </c>
      <c r="N638" s="104" t="n">
        <v>0.1826</v>
      </c>
      <c r="O638" s="134" t="n">
        <v>287</v>
      </c>
      <c r="P638" s="134" t="inlineStr">
        <is>
          <t>1 -0.51%</t>
        </is>
      </c>
      <c r="Q638" s="134" t="inlineStr">
        <is>
          <t>5 0.01%</t>
        </is>
      </c>
      <c r="R638" s="134" t="inlineStr">
        <is>
          <t>48 -0.16%</t>
        </is>
      </c>
      <c r="S638" s="134" t="inlineStr">
        <is>
          <t>82 -0.11%</t>
        </is>
      </c>
      <c r="T638" s="134" t="inlineStr">
        <is>
          <t>46 -0.96%</t>
        </is>
      </c>
      <c r="U638" s="134" t="inlineStr">
        <is>
          <t>105 0.33%</t>
        </is>
      </c>
    </row>
    <row customHeight="1" ht="17" r="639" s="155">
      <c r="A639" s="105" t="n">
        <v>44056</v>
      </c>
      <c r="B639" s="134" t="n">
        <v>1538.86</v>
      </c>
      <c r="C639" s="152" t="n">
        <v>11.137</v>
      </c>
      <c r="D639" s="153" t="n">
        <v>0.0073</v>
      </c>
      <c r="E639" s="134" t="n">
        <v>138.919</v>
      </c>
      <c r="F639" s="134" t="n">
        <v>121.575</v>
      </c>
      <c r="G639" s="134" t="n">
        <v>110.49</v>
      </c>
      <c r="H639" s="134" t="n">
        <v>158.82</v>
      </c>
      <c r="I639" s="104" t="n">
        <v>0.199</v>
      </c>
      <c r="J639" s="104" t="n">
        <v>0.1286</v>
      </c>
      <c r="K639" s="104" t="n">
        <v>-0.0283</v>
      </c>
      <c r="L639" s="134" t="n">
        <v>764.61</v>
      </c>
      <c r="M639" s="134" t="n">
        <v>4186.04</v>
      </c>
      <c r="N639" s="104" t="n">
        <v>0.1827</v>
      </c>
      <c r="O639" s="134" t="n">
        <v>288</v>
      </c>
      <c r="P639" s="134" t="inlineStr">
        <is>
          <t>1 0.15%</t>
        </is>
      </c>
      <c r="Q639" s="134" t="inlineStr">
        <is>
          <t>6 -0.60%</t>
        </is>
      </c>
      <c r="R639" s="134" t="inlineStr">
        <is>
          <t>41 0.15%</t>
        </is>
      </c>
      <c r="S639" s="134" t="inlineStr">
        <is>
          <t>87 0.19%</t>
        </is>
      </c>
      <c r="T639" s="134" t="inlineStr">
        <is>
          <t>44 0.43%</t>
        </is>
      </c>
      <c r="U639" s="134" t="inlineStr">
        <is>
          <t>109 1.58%</t>
        </is>
      </c>
    </row>
    <row customHeight="1" ht="17" r="640" s="155">
      <c r="A640" s="105" t="n">
        <v>44057</v>
      </c>
      <c r="B640" s="134" t="n">
        <v>1534.013</v>
      </c>
      <c r="C640" s="150" t="n">
        <v>-4.847</v>
      </c>
      <c r="D640" s="151" t="n">
        <v>-0.0032</v>
      </c>
      <c r="E640" s="134" t="n">
        <v>137.852</v>
      </c>
      <c r="F640" s="134" t="n">
        <v>122.176</v>
      </c>
      <c r="G640" s="134" t="n">
        <v>111.06</v>
      </c>
      <c r="H640" s="134" t="n">
        <v>156.07</v>
      </c>
      <c r="I640" s="104" t="n">
        <v>0.1822</v>
      </c>
      <c r="J640" s="104" t="n">
        <v>0.1131</v>
      </c>
      <c r="K640" s="104" t="n">
        <v>-0.0274</v>
      </c>
      <c r="L640" s="134" t="n">
        <v>583.85</v>
      </c>
      <c r="M640" s="134" t="n">
        <v>4175.02</v>
      </c>
      <c r="N640" s="104" t="n">
        <v>0.1398</v>
      </c>
      <c r="O640" s="134" t="n">
        <v>288</v>
      </c>
      <c r="P640" s="134" t="inlineStr">
        <is>
          <t>1 0.27%</t>
        </is>
      </c>
      <c r="Q640" s="134" t="inlineStr">
        <is>
          <t>7 -0.43%</t>
        </is>
      </c>
      <c r="R640" s="134" t="inlineStr">
        <is>
          <t>41 0.18%</t>
        </is>
      </c>
      <c r="S640" s="134" t="inlineStr">
        <is>
          <t>81 0.32%</t>
        </is>
      </c>
      <c r="T640" s="134" t="inlineStr">
        <is>
          <t>48 0.43%</t>
        </is>
      </c>
      <c r="U640" s="134" t="inlineStr">
        <is>
          <t>110 -1.17%</t>
        </is>
      </c>
    </row>
    <row customHeight="1" ht="17" r="641" s="155">
      <c r="A641" s="105" t="n">
        <v>44060</v>
      </c>
      <c r="B641" s="134" t="n">
        <v>1552.16</v>
      </c>
      <c r="C641" s="152" t="n">
        <v>18.147</v>
      </c>
      <c r="D641" s="153" t="n">
        <v>0.0118</v>
      </c>
      <c r="E641" s="134" t="n">
        <v>139.564</v>
      </c>
      <c r="F641" s="134" t="n">
        <v>123.575</v>
      </c>
      <c r="G641" s="134" t="n">
        <v>112.5</v>
      </c>
      <c r="H641" s="134" t="n">
        <v>156.96</v>
      </c>
      <c r="I641" s="104" t="n">
        <v>0.1739</v>
      </c>
      <c r="J641" s="104" t="n">
        <v>0.11</v>
      </c>
      <c r="K641" s="104" t="n">
        <v>-0.0298</v>
      </c>
      <c r="L641" s="134" t="n">
        <v>515.08</v>
      </c>
      <c r="M641" s="134" t="n">
        <v>4198.99</v>
      </c>
      <c r="N641" s="104" t="n">
        <v>0.1227</v>
      </c>
      <c r="O641" s="134" t="n">
        <v>288</v>
      </c>
      <c r="P641" s="134" t="inlineStr">
        <is>
          <t>1 0.26%</t>
        </is>
      </c>
      <c r="Q641" s="134" t="inlineStr">
        <is>
          <t>6 0.22%</t>
        </is>
      </c>
      <c r="R641" s="134" t="inlineStr">
        <is>
          <t>39 0.46%</t>
        </is>
      </c>
      <c r="S641" s="134" t="inlineStr">
        <is>
          <t>78 0.98%</t>
        </is>
      </c>
      <c r="T641" s="134" t="inlineStr">
        <is>
          <t>50 1.62%</t>
        </is>
      </c>
      <c r="U641" s="134" t="inlineStr">
        <is>
          <t>114 2.31%</t>
        </is>
      </c>
    </row>
    <row customHeight="1" ht="17" r="642" s="155">
      <c r="A642" s="105" t="n">
        <v>44061</v>
      </c>
      <c r="B642" s="134" t="n">
        <v>1559.797</v>
      </c>
      <c r="C642" s="152" t="n">
        <v>7.637</v>
      </c>
      <c r="D642" s="153" t="n">
        <v>0.0049</v>
      </c>
      <c r="E642" s="134" t="n">
        <v>139.536</v>
      </c>
      <c r="F642" s="134" t="n">
        <v>124</v>
      </c>
      <c r="G642" s="134" t="n">
        <v>113.4</v>
      </c>
      <c r="H642" s="134" t="n">
        <v>156.65</v>
      </c>
      <c r="I642" s="104" t="n">
        <v>0.1711</v>
      </c>
      <c r="J642" s="104" t="n">
        <v>0.1108</v>
      </c>
      <c r="K642" s="104" t="n">
        <v>-0.0304</v>
      </c>
      <c r="L642" s="134" t="n">
        <v>496.52</v>
      </c>
      <c r="M642" s="134" t="n">
        <v>4242.54</v>
      </c>
      <c r="N642" s="104" t="n">
        <v>0.117</v>
      </c>
      <c r="O642" s="134" t="n">
        <v>293</v>
      </c>
      <c r="P642" s="134" t="inlineStr">
        <is>
          <t>1 1.70%</t>
        </is>
      </c>
      <c r="Q642" s="134" t="inlineStr">
        <is>
          <t>5 0.09%</t>
        </is>
      </c>
      <c r="R642" s="134" t="inlineStr">
        <is>
          <t>40 0.20%</t>
        </is>
      </c>
      <c r="S642" s="134" t="inlineStr">
        <is>
          <t>76 0.57%</t>
        </is>
      </c>
      <c r="T642" s="134" t="inlineStr">
        <is>
          <t>51 0.45%</t>
        </is>
      </c>
      <c r="U642" s="134" t="inlineStr">
        <is>
          <t>120 0.93%</t>
        </is>
      </c>
    </row>
    <row customHeight="1" ht="17" r="643" s="155">
      <c r="A643" s="105" t="n">
        <v>44062</v>
      </c>
      <c r="B643" s="134" t="n">
        <v>1551.951</v>
      </c>
      <c r="C643" s="150" t="n">
        <v>-7.846</v>
      </c>
      <c r="D643" s="151" t="n">
        <v>-0.005</v>
      </c>
      <c r="E643" s="134" t="n">
        <v>138.564</v>
      </c>
      <c r="F643" s="134" t="n">
        <v>123.39</v>
      </c>
      <c r="G643" s="134" t="n">
        <v>110.66</v>
      </c>
      <c r="H643" s="134" t="n">
        <v>157.16</v>
      </c>
      <c r="I643" s="104" t="n">
        <v>0.1859</v>
      </c>
      <c r="J643" s="104" t="n">
        <v>0.1273</v>
      </c>
      <c r="K643" s="104" t="n">
        <v>-0.029</v>
      </c>
      <c r="L643" s="134" t="n">
        <v>471.5</v>
      </c>
      <c r="M643" s="134" t="n">
        <v>4231.99</v>
      </c>
      <c r="N643" s="104" t="n">
        <v>0.1114</v>
      </c>
      <c r="O643" s="134" t="n">
        <v>293</v>
      </c>
      <c r="P643" s="134" t="inlineStr">
        <is>
          <t>1 -1.42%</t>
        </is>
      </c>
      <c r="Q643" s="134" t="inlineStr">
        <is>
          <t>4 -0.11%</t>
        </is>
      </c>
      <c r="R643" s="134" t="inlineStr">
        <is>
          <t>42 -0.10%</t>
        </is>
      </c>
      <c r="S643" s="134" t="inlineStr">
        <is>
          <t>82 -0.36%</t>
        </is>
      </c>
      <c r="T643" s="134" t="inlineStr">
        <is>
          <t>50 -0.27%</t>
        </is>
      </c>
      <c r="U643" s="134" t="inlineStr">
        <is>
          <t>114 -0.64%</t>
        </is>
      </c>
    </row>
    <row customHeight="1" ht="17" r="644" s="155">
      <c r="A644" s="105" t="n">
        <v>44063</v>
      </c>
      <c r="B644" s="134" t="n">
        <v>1543.322</v>
      </c>
      <c r="C644" s="150" t="n">
        <v>-8.629</v>
      </c>
      <c r="D644" s="151" t="n">
        <v>-0.0056</v>
      </c>
      <c r="E644" s="134" t="n">
        <v>138.042</v>
      </c>
      <c r="F644" s="134" t="n">
        <v>122.336</v>
      </c>
      <c r="G644" s="134" t="n">
        <v>109.74</v>
      </c>
      <c r="H644" s="134" t="n">
        <v>157.6</v>
      </c>
      <c r="I644" s="104" t="n">
        <v>0.1956</v>
      </c>
      <c r="J644" s="104" t="n">
        <v>0.1322</v>
      </c>
      <c r="K644" s="104" t="n">
        <v>-0.0277</v>
      </c>
      <c r="L644" s="134" t="n">
        <v>518.65</v>
      </c>
      <c r="M644" s="134" t="n">
        <v>4221.68</v>
      </c>
      <c r="N644" s="104" t="n">
        <v>0.1229</v>
      </c>
      <c r="O644" s="134" t="n">
        <v>292</v>
      </c>
      <c r="P644" s="134" t="inlineStr">
        <is>
          <t>1 2.28%</t>
        </is>
      </c>
      <c r="Q644" s="134" t="inlineStr">
        <is>
          <t>5 -0.22%</t>
        </is>
      </c>
      <c r="R644" s="134" t="inlineStr">
        <is>
          <t>44 -0.33%</t>
        </is>
      </c>
      <c r="S644" s="134" t="inlineStr">
        <is>
          <t>80 0.02%</t>
        </is>
      </c>
      <c r="T644" s="134" t="inlineStr">
        <is>
          <t>58 -0.52%</t>
        </is>
      </c>
      <c r="U644" s="134" t="inlineStr">
        <is>
          <t>104 -0.47%</t>
        </is>
      </c>
    </row>
    <row customHeight="1" ht="17" r="645" s="155">
      <c r="A645" s="105" t="n">
        <v>44064</v>
      </c>
      <c r="B645" s="134" t="n">
        <v>1545.143</v>
      </c>
      <c r="C645" s="152" t="n">
        <v>1.821</v>
      </c>
      <c r="D645" s="153" t="n">
        <v>0.0012</v>
      </c>
      <c r="E645" s="134" t="n">
        <v>137.981</v>
      </c>
      <c r="F645" s="134" t="n">
        <v>122.355</v>
      </c>
      <c r="G645" s="134" t="n">
        <v>110.96</v>
      </c>
      <c r="H645" s="134" t="n">
        <v>156.6</v>
      </c>
      <c r="I645" s="104" t="n">
        <v>0.1862</v>
      </c>
      <c r="J645" s="104" t="n">
        <v>0.1281</v>
      </c>
      <c r="K645" s="104" t="n">
        <v>-0.0276</v>
      </c>
      <c r="L645" s="134" t="n">
        <v>634.54</v>
      </c>
      <c r="M645" s="134" t="n">
        <v>4316.7</v>
      </c>
      <c r="N645" s="104" t="n">
        <v>0.147</v>
      </c>
      <c r="O645" s="134" t="n">
        <v>296</v>
      </c>
      <c r="P645" s="134" t="inlineStr">
        <is>
          <t>1 -1.45%</t>
        </is>
      </c>
      <c r="Q645" s="134" t="inlineStr">
        <is>
          <t>4 0.11%</t>
        </is>
      </c>
      <c r="R645" s="134" t="inlineStr">
        <is>
          <t>45 -0.03%</t>
        </is>
      </c>
      <c r="S645" s="134" t="inlineStr">
        <is>
          <t>86 0.34%</t>
        </is>
      </c>
      <c r="T645" s="134" t="inlineStr">
        <is>
          <t>55 0.54%</t>
        </is>
      </c>
      <c r="U645" s="134" t="inlineStr">
        <is>
          <t>105 0.19%</t>
        </is>
      </c>
    </row>
    <row customHeight="1" ht="17" r="646" s="155">
      <c r="A646" s="105" t="n">
        <v>44067</v>
      </c>
      <c r="B646" s="134" t="n">
        <v>1544.896</v>
      </c>
      <c r="C646" s="150" t="n">
        <v>-0.247</v>
      </c>
      <c r="D646" s="151" t="n">
        <v>-0.0002</v>
      </c>
      <c r="E646" s="134" t="n">
        <v>137.794</v>
      </c>
      <c r="F646" s="134" t="n">
        <v>122.553</v>
      </c>
      <c r="G646" s="134" t="n">
        <v>110.39</v>
      </c>
      <c r="H646" s="134" t="n">
        <v>155.45</v>
      </c>
      <c r="I646" s="104" t="n">
        <v>0.1766</v>
      </c>
      <c r="J646" s="104" t="n">
        <v>0.1221</v>
      </c>
      <c r="K646" s="104" t="n">
        <v>-0.0273</v>
      </c>
      <c r="L646" s="134" t="n">
        <v>406.32</v>
      </c>
      <c r="M646" s="134" t="n">
        <v>4311.18</v>
      </c>
      <c r="N646" s="104" t="n">
        <v>0.09420000000000001</v>
      </c>
      <c r="O646" s="134" t="n">
        <v>298</v>
      </c>
      <c r="P646" s="134" t="inlineStr">
        <is>
          <t>1 -0.31%</t>
        </is>
      </c>
      <c r="Q646" s="134" t="inlineStr">
        <is>
          <t>5 -0.25%</t>
        </is>
      </c>
      <c r="R646" s="134" t="inlineStr">
        <is>
          <t>43 -0.09%</t>
        </is>
      </c>
      <c r="S646" s="134" t="inlineStr">
        <is>
          <t>90 -0.13%</t>
        </is>
      </c>
      <c r="T646" s="134" t="inlineStr">
        <is>
          <t>51 0.07%</t>
        </is>
      </c>
      <c r="U646" s="134" t="inlineStr">
        <is>
          <t>108 0.08%</t>
        </is>
      </c>
    </row>
    <row customHeight="1" ht="17" r="647" s="155">
      <c r="A647" s="105" t="n">
        <v>44068</v>
      </c>
      <c r="B647" s="134" t="n">
        <v>1545.22</v>
      </c>
      <c r="C647" s="152" t="n">
        <v>0.324</v>
      </c>
      <c r="D647" s="153" t="n">
        <v>0.0002</v>
      </c>
      <c r="E647" s="134" t="n">
        <v>137.795</v>
      </c>
      <c r="F647" s="134" t="n">
        <v>122.475</v>
      </c>
      <c r="G647" s="134" t="n">
        <v>111.15</v>
      </c>
      <c r="H647" s="134" t="n">
        <v>155.57</v>
      </c>
      <c r="I647" s="104" t="n">
        <v>0.1778</v>
      </c>
      <c r="J647" s="104" t="n">
        <v>0.1176</v>
      </c>
      <c r="K647" s="104" t="n">
        <v>-0.0272</v>
      </c>
      <c r="L647" s="134" t="n">
        <v>390.39</v>
      </c>
      <c r="M647" s="134" t="n">
        <v>4294.32</v>
      </c>
      <c r="N647" s="104" t="n">
        <v>0.09089999999999999</v>
      </c>
      <c r="O647" s="134" t="n">
        <v>298</v>
      </c>
      <c r="P647" s="134" t="inlineStr">
        <is>
          <t>1 0.32%</t>
        </is>
      </c>
      <c r="Q647" s="134" t="inlineStr">
        <is>
          <t>5 -0.15%</t>
        </is>
      </c>
      <c r="R647" s="134" t="inlineStr">
        <is>
          <t>42 0.12%</t>
        </is>
      </c>
      <c r="S647" s="134" t="inlineStr">
        <is>
          <t>83 -0.10%</t>
        </is>
      </c>
      <c r="T647" s="134" t="inlineStr">
        <is>
          <t>61 0.36%</t>
        </is>
      </c>
      <c r="U647" s="134" t="inlineStr">
        <is>
          <t>106 0.13%</t>
        </is>
      </c>
    </row>
    <row customHeight="1" ht="17" r="648" s="155">
      <c r="A648" s="105" t="n">
        <v>44069</v>
      </c>
      <c r="B648" s="134" t="n">
        <v>1529.15</v>
      </c>
      <c r="C648" s="150" t="n">
        <v>-16.07</v>
      </c>
      <c r="D648" s="151" t="n">
        <v>-0.0104</v>
      </c>
      <c r="E648" s="134" t="n">
        <v>136.197</v>
      </c>
      <c r="F648" s="134" t="n">
        <v>120.495</v>
      </c>
      <c r="G648" s="134" t="n">
        <v>106.96</v>
      </c>
      <c r="H648" s="134" t="n">
        <v>155.29</v>
      </c>
      <c r="I648" s="104" t="n">
        <v>0.191</v>
      </c>
      <c r="J648" s="104" t="n">
        <v>0.1286</v>
      </c>
      <c r="K648" s="104" t="n">
        <v>-0.025</v>
      </c>
      <c r="L648" s="134" t="n">
        <v>372.84</v>
      </c>
      <c r="M648" s="134" t="n">
        <v>4271.97</v>
      </c>
      <c r="N648" s="104" t="n">
        <v>0.0873</v>
      </c>
      <c r="O648" s="134" t="n">
        <v>298</v>
      </c>
      <c r="P648" s="134" t="inlineStr">
        <is>
          <t>1 -0.58%</t>
        </is>
      </c>
      <c r="Q648" s="134" t="inlineStr">
        <is>
          <t>5 -0.13%</t>
        </is>
      </c>
      <c r="R648" s="134" t="inlineStr">
        <is>
          <t>50 -0.62%</t>
        </is>
      </c>
      <c r="S648" s="134" t="inlineStr">
        <is>
          <t>88 -0.88%</t>
        </is>
      </c>
      <c r="T648" s="134" t="inlineStr">
        <is>
          <t>55 -1.19%</t>
        </is>
      </c>
      <c r="U648" s="134" t="inlineStr">
        <is>
          <t>99 -1.36%</t>
        </is>
      </c>
    </row>
    <row customHeight="1" ht="17" r="649" s="155">
      <c r="A649" s="105" t="n">
        <v>44070</v>
      </c>
      <c r="B649" s="134" t="n">
        <v>1536.551</v>
      </c>
      <c r="C649" s="152" t="n">
        <v>7.401</v>
      </c>
      <c r="D649" s="153" t="n">
        <v>0.0048</v>
      </c>
      <c r="E649" s="134" t="n">
        <v>137.123</v>
      </c>
      <c r="F649" s="134" t="n">
        <v>120.705</v>
      </c>
      <c r="G649" s="134" t="n">
        <v>108.97</v>
      </c>
      <c r="H649" s="134" t="n">
        <v>155.58</v>
      </c>
      <c r="I649" s="104" t="n">
        <v>0.1846</v>
      </c>
      <c r="J649" s="104" t="n">
        <v>0.1172</v>
      </c>
      <c r="K649" s="104" t="n">
        <v>-0.0258</v>
      </c>
      <c r="L649" s="134" t="n">
        <v>373</v>
      </c>
      <c r="M649" s="134" t="n">
        <v>4262.11</v>
      </c>
      <c r="N649" s="104" t="n">
        <v>0.08749999999999999</v>
      </c>
      <c r="O649" s="134" t="n">
        <v>298</v>
      </c>
      <c r="P649" s="134" t="inlineStr">
        <is>
          <t>1 0.18%</t>
        </is>
      </c>
      <c r="Q649" s="134" t="inlineStr">
        <is>
          <t>6 0.02%</t>
        </is>
      </c>
      <c r="R649" s="134" t="inlineStr">
        <is>
          <t>46 -0.09%</t>
        </is>
      </c>
      <c r="S649" s="134" t="inlineStr">
        <is>
          <t>89 0.06%</t>
        </is>
      </c>
      <c r="T649" s="134" t="inlineStr">
        <is>
          <t>53 0.18%</t>
        </is>
      </c>
      <c r="U649" s="134" t="inlineStr">
        <is>
          <t>103 1.29%</t>
        </is>
      </c>
    </row>
    <row customHeight="1" ht="17" r="650" s="155">
      <c r="A650" s="105" t="n">
        <v>44071</v>
      </c>
      <c r="B650" s="134" t="n">
        <v>1543.189</v>
      </c>
      <c r="C650" s="152" t="n">
        <v>6.638</v>
      </c>
      <c r="D650" s="153" t="n">
        <v>0.0043</v>
      </c>
      <c r="E650" s="134" t="n">
        <v>136.758</v>
      </c>
      <c r="F650" s="134" t="n">
        <v>121.436</v>
      </c>
      <c r="G650" s="134" t="n">
        <v>110.18</v>
      </c>
      <c r="H650" s="134" t="n">
        <v>154.57</v>
      </c>
      <c r="I650" s="104" t="n">
        <v>0.1781</v>
      </c>
      <c r="J650" s="104" t="n">
        <v>0.1181</v>
      </c>
      <c r="K650" s="104" t="n">
        <v>-0.0259</v>
      </c>
      <c r="L650" s="134" t="n">
        <v>345.47</v>
      </c>
      <c r="M650" s="134" t="n">
        <v>4246.27</v>
      </c>
      <c r="N650" s="104" t="n">
        <v>0.0814</v>
      </c>
      <c r="O650" s="134" t="n">
        <v>294</v>
      </c>
      <c r="P650" s="134" t="inlineStr">
        <is>
          <t>1 0.49%</t>
        </is>
      </c>
      <c r="Q650" s="134" t="inlineStr">
        <is>
          <t>6 -0.16%</t>
        </is>
      </c>
      <c r="R650" s="134" t="inlineStr">
        <is>
          <t>43 0.09%</t>
        </is>
      </c>
      <c r="S650" s="134" t="inlineStr">
        <is>
          <t>86 0.18%</t>
        </is>
      </c>
      <c r="T650" s="134" t="inlineStr">
        <is>
          <t>54 1.24%</t>
        </is>
      </c>
      <c r="U650" s="134" t="inlineStr">
        <is>
          <t>104 0.58%</t>
        </is>
      </c>
    </row>
    <row customHeight="1" ht="17" r="651" s="155">
      <c r="A651" s="105" t="n">
        <v>44074</v>
      </c>
      <c r="B651" s="134" t="n">
        <v>1549.084</v>
      </c>
      <c r="C651" s="152" t="n">
        <v>5.895</v>
      </c>
      <c r="D651" s="153" t="n">
        <v>0.0038</v>
      </c>
      <c r="E651" s="134" t="n">
        <v>137.432</v>
      </c>
      <c r="F651" s="134" t="n">
        <v>122.252</v>
      </c>
      <c r="G651" s="134" t="n">
        <v>110.59</v>
      </c>
      <c r="H651" s="134" t="n">
        <v>155.88</v>
      </c>
      <c r="I651" s="104" t="n">
        <v>0.1845</v>
      </c>
      <c r="J651" s="104" t="n">
        <v>0.1256</v>
      </c>
      <c r="K651" s="104" t="n">
        <v>-0.0266</v>
      </c>
      <c r="L651" s="134" t="n">
        <v>289.59</v>
      </c>
      <c r="M651" s="134" t="n">
        <v>4242.47</v>
      </c>
      <c r="N651" s="104" t="n">
        <v>0.0683</v>
      </c>
      <c r="O651" s="134" t="n">
        <v>293</v>
      </c>
      <c r="P651" s="134" t="inlineStr">
        <is>
          <t>1 -0.27%</t>
        </is>
      </c>
      <c r="Q651" s="134" t="inlineStr">
        <is>
          <t>6 0.07%</t>
        </is>
      </c>
      <c r="R651" s="134" t="inlineStr">
        <is>
          <t>45 0.12%</t>
        </is>
      </c>
      <c r="S651" s="134" t="inlineStr">
        <is>
          <t>81 0.12%</t>
        </is>
      </c>
      <c r="T651" s="134" t="inlineStr">
        <is>
          <t>55 0.50%</t>
        </is>
      </c>
      <c r="U651" s="134" t="inlineStr">
        <is>
          <t>105 0.66%</t>
        </is>
      </c>
    </row>
    <row customHeight="1" ht="17" r="652" s="155">
      <c r="A652" s="105" t="n">
        <v>44075</v>
      </c>
      <c r="B652" s="134" t="n">
        <v>1555.668</v>
      </c>
      <c r="C652" s="152" t="n">
        <v>6.584</v>
      </c>
      <c r="D652" s="153" t="n">
        <v>0.0043</v>
      </c>
      <c r="E652" s="134" t="n">
        <v>137.878</v>
      </c>
      <c r="F652" s="134" t="n">
        <v>123.229</v>
      </c>
      <c r="G652" s="134" t="n">
        <v>110.6</v>
      </c>
      <c r="H652" s="134" t="n">
        <v>155.9</v>
      </c>
      <c r="I652" s="104" t="n">
        <v>0.1802</v>
      </c>
      <c r="J652" s="104" t="n">
        <v>0.1201</v>
      </c>
      <c r="K652" s="104" t="n">
        <v>-0.0276</v>
      </c>
      <c r="L652" s="134" t="n">
        <v>298.64</v>
      </c>
      <c r="M652" s="134" t="n">
        <v>4236.02</v>
      </c>
      <c r="N652" s="104" t="n">
        <v>0.07049999999999999</v>
      </c>
      <c r="O652" s="134" t="n">
        <v>292</v>
      </c>
      <c r="P652" s="134" t="inlineStr">
        <is>
          <t>1 0.35%</t>
        </is>
      </c>
      <c r="Q652" s="134" t="inlineStr">
        <is>
          <t>6 0.08%</t>
        </is>
      </c>
      <c r="R652" s="134" t="inlineStr">
        <is>
          <t>44 0.05%</t>
        </is>
      </c>
      <c r="S652" s="134" t="inlineStr">
        <is>
          <t>80 0.21%</t>
        </is>
      </c>
      <c r="T652" s="134" t="inlineStr">
        <is>
          <t>54 0.83%</t>
        </is>
      </c>
      <c r="U652" s="134" t="inlineStr">
        <is>
          <t>107 0.55%</t>
        </is>
      </c>
    </row>
    <row customHeight="1" ht="17" r="653" s="155">
      <c r="A653" s="105" t="n">
        <v>44076</v>
      </c>
      <c r="B653" s="134" t="n">
        <v>1562.357</v>
      </c>
      <c r="C653" s="152" t="n">
        <v>6.689</v>
      </c>
      <c r="D653" s="153" t="n">
        <v>0.0043</v>
      </c>
      <c r="E653" s="134" t="n">
        <v>138.171</v>
      </c>
      <c r="F653" s="134" t="n">
        <v>123.495</v>
      </c>
      <c r="G653" s="134" t="n">
        <v>111.09</v>
      </c>
      <c r="H653" s="134" t="n">
        <v>155.89</v>
      </c>
      <c r="I653" s="104" t="n">
        <v>0.1772</v>
      </c>
      <c r="J653" s="104" t="n">
        <v>0.1163</v>
      </c>
      <c r="K653" s="104" t="n">
        <v>-0.0285</v>
      </c>
      <c r="L653" s="134" t="n">
        <v>308.37</v>
      </c>
      <c r="M653" s="134" t="n">
        <v>4227.56</v>
      </c>
      <c r="N653" s="104" t="n">
        <v>0.07290000000000001</v>
      </c>
      <c r="O653" s="134" t="n">
        <v>292</v>
      </c>
      <c r="P653" s="134" t="inlineStr">
        <is>
          <t>1 0.00%</t>
        </is>
      </c>
      <c r="Q653" s="134" t="inlineStr">
        <is>
          <t>6 -0.02%</t>
        </is>
      </c>
      <c r="R653" s="134" t="inlineStr">
        <is>
          <t>41 0.38%</t>
        </is>
      </c>
      <c r="S653" s="134" t="inlineStr">
        <is>
          <t>81 0.33%</t>
        </is>
      </c>
      <c r="T653" s="134" t="inlineStr">
        <is>
          <t>54 0.62%</t>
        </is>
      </c>
      <c r="U653" s="134" t="inlineStr">
        <is>
          <t>109 0.46%</t>
        </is>
      </c>
    </row>
    <row customHeight="1" ht="17" r="654" s="155">
      <c r="A654" s="105" t="n">
        <v>44077</v>
      </c>
      <c r="B654" s="134" t="n">
        <v>1558.295</v>
      </c>
      <c r="C654" s="150" t="n">
        <v>-4.062</v>
      </c>
      <c r="D654" s="151" t="n">
        <v>-0.0026</v>
      </c>
      <c r="E654" s="134" t="n">
        <v>137.855</v>
      </c>
      <c r="F654" s="134" t="n">
        <v>123.08</v>
      </c>
      <c r="G654" s="134" t="n">
        <v>110.38</v>
      </c>
      <c r="H654" s="134" t="n">
        <v>156.39</v>
      </c>
      <c r="I654" s="104" t="n">
        <v>0.1853</v>
      </c>
      <c r="J654" s="104" t="n">
        <v>0.1222</v>
      </c>
      <c r="K654" s="104" t="n">
        <v>-0.028</v>
      </c>
      <c r="L654" s="134" t="n">
        <v>331.78</v>
      </c>
      <c r="M654" s="134" t="n">
        <v>4215.23</v>
      </c>
      <c r="N654" s="104" t="n">
        <v>0.07870000000000001</v>
      </c>
      <c r="O654" s="134" t="n">
        <v>292</v>
      </c>
      <c r="P654" s="134" t="inlineStr">
        <is>
          <t>1 -0.04%</t>
        </is>
      </c>
      <c r="Q654" s="134" t="inlineStr">
        <is>
          <t>6 -0.07%</t>
        </is>
      </c>
      <c r="R654" s="134" t="inlineStr">
        <is>
          <t>43 -0.05%</t>
        </is>
      </c>
      <c r="S654" s="134" t="inlineStr">
        <is>
          <t>78 -0.06%</t>
        </is>
      </c>
      <c r="T654" s="134" t="inlineStr">
        <is>
          <t>59 -0.73%</t>
        </is>
      </c>
      <c r="U654" s="134" t="inlineStr">
        <is>
          <t>105 -0.24%</t>
        </is>
      </c>
    </row>
    <row customHeight="1" ht="17" r="655" s="155">
      <c r="A655" s="105" t="n">
        <v>44078</v>
      </c>
      <c r="B655" s="134" t="n">
        <v>1554.368</v>
      </c>
      <c r="C655" s="150" t="n">
        <v>-3.927</v>
      </c>
      <c r="D655" s="151" t="n">
        <v>-0.0025</v>
      </c>
      <c r="E655" s="134" t="n">
        <v>137.087</v>
      </c>
      <c r="F655" s="134" t="n">
        <v>122.605</v>
      </c>
      <c r="G655" s="134" t="n">
        <v>111.3</v>
      </c>
      <c r="H655" s="134" t="n">
        <v>155.56</v>
      </c>
      <c r="I655" s="104" t="n">
        <v>0.1847</v>
      </c>
      <c r="J655" s="104" t="n">
        <v>0.1286</v>
      </c>
      <c r="K655" s="104" t="n">
        <v>-0.0269</v>
      </c>
      <c r="L655" s="134" t="n">
        <v>289.39</v>
      </c>
      <c r="M655" s="134" t="n">
        <v>4207.62</v>
      </c>
      <c r="N655" s="104" t="n">
        <v>0.0688</v>
      </c>
      <c r="O655" s="134" t="n">
        <v>290</v>
      </c>
      <c r="P655" s="134" t="inlineStr">
        <is>
          <t>1 -0.34%</t>
        </is>
      </c>
      <c r="Q655" s="134" t="inlineStr">
        <is>
          <t>6 -0.07%</t>
        </is>
      </c>
      <c r="R655" s="134" t="inlineStr">
        <is>
          <t>42 -0.07%</t>
        </is>
      </c>
      <c r="S655" s="134" t="inlineStr">
        <is>
          <t>79 -0.09%</t>
        </is>
      </c>
      <c r="T655" s="134" t="inlineStr">
        <is>
          <t>60 0.52%</t>
        </is>
      </c>
      <c r="U655" s="134" t="inlineStr">
        <is>
          <t>102 -0.73%</t>
        </is>
      </c>
    </row>
    <row customHeight="1" ht="17" r="656" s="155">
      <c r="A656" s="105" t="n">
        <v>44081</v>
      </c>
      <c r="B656" s="134" t="n">
        <v>1537.006</v>
      </c>
      <c r="C656" s="150" t="n">
        <v>-17.362</v>
      </c>
      <c r="D656" s="151" t="n">
        <v>-0.0112</v>
      </c>
      <c r="E656" s="134" t="n">
        <v>135.072</v>
      </c>
      <c r="F656" s="134" t="n">
        <v>121.3</v>
      </c>
      <c r="G656" s="134" t="n">
        <v>109.93</v>
      </c>
      <c r="H656" s="134" t="n">
        <v>153.97</v>
      </c>
      <c r="I656" s="104" t="n">
        <v>0.189</v>
      </c>
      <c r="J656" s="104" t="n">
        <v>0.1322</v>
      </c>
      <c r="K656" s="104" t="n">
        <v>-0.0246</v>
      </c>
      <c r="L656" s="134" t="n">
        <v>272.43</v>
      </c>
      <c r="M656" s="134" t="n">
        <v>4208.16</v>
      </c>
      <c r="N656" s="104" t="n">
        <v>0.06469999999999999</v>
      </c>
      <c r="O656" s="134" t="n">
        <v>291</v>
      </c>
      <c r="P656" s="134" t="inlineStr">
        <is>
          <t>1 -0.22%</t>
        </is>
      </c>
      <c r="Q656" s="134" t="inlineStr">
        <is>
          <t>6 -0.18%</t>
        </is>
      </c>
      <c r="R656" s="134" t="inlineStr">
        <is>
          <t>45 -0.19%</t>
        </is>
      </c>
      <c r="S656" s="134" t="inlineStr">
        <is>
          <t>84 -0.58%</t>
        </is>
      </c>
      <c r="T656" s="134" t="inlineStr">
        <is>
          <t>58 -0.76%</t>
        </is>
      </c>
      <c r="U656" s="134" t="inlineStr">
        <is>
          <t>97 -2.06%</t>
        </is>
      </c>
    </row>
    <row customHeight="1" ht="17" r="657" s="155">
      <c r="A657" s="105" t="n">
        <v>44082</v>
      </c>
      <c r="B657" s="134" t="n">
        <v>1531.796</v>
      </c>
      <c r="C657" s="150" t="n">
        <v>-5.21</v>
      </c>
      <c r="D657" s="151" t="n">
        <v>-0.0034</v>
      </c>
      <c r="E657" s="134" t="n">
        <v>134.389</v>
      </c>
      <c r="F657" s="134" t="n">
        <v>121.5</v>
      </c>
      <c r="G657" s="134" t="n">
        <v>111</v>
      </c>
      <c r="H657" s="134" t="n">
        <v>151.8</v>
      </c>
      <c r="I657" s="104" t="n">
        <v>0.1741</v>
      </c>
      <c r="J657" s="104" t="n">
        <v>0.1231</v>
      </c>
      <c r="K657" s="104" t="n">
        <v>-0.0239</v>
      </c>
      <c r="L657" s="134" t="n">
        <v>261.97</v>
      </c>
      <c r="M657" s="134" t="n">
        <v>4208.97</v>
      </c>
      <c r="N657" s="104" t="n">
        <v>0.0622</v>
      </c>
      <c r="O657" s="134" t="n">
        <v>291</v>
      </c>
      <c r="P657" s="134" t="inlineStr">
        <is>
          <t>1 0.38%</t>
        </is>
      </c>
      <c r="Q657" s="134" t="inlineStr">
        <is>
          <t>6 -0.01%</t>
        </is>
      </c>
      <c r="R657" s="134" t="inlineStr">
        <is>
          <t>42 0.09%</t>
        </is>
      </c>
      <c r="S657" s="134" t="inlineStr">
        <is>
          <t>81 0.38%</t>
        </is>
      </c>
      <c r="T657" s="134" t="inlineStr">
        <is>
          <t>66 0.09%</t>
        </is>
      </c>
      <c r="U657" s="134" t="inlineStr">
        <is>
          <t>95 -0.92%</t>
        </is>
      </c>
    </row>
    <row customHeight="1" ht="17" r="658" s="155">
      <c r="A658" s="105" t="n">
        <v>44083</v>
      </c>
      <c r="B658" s="134" t="n">
        <v>1504.944</v>
      </c>
      <c r="C658" s="150" t="n">
        <v>-26.852</v>
      </c>
      <c r="D658" s="151" t="n">
        <v>-0.0175</v>
      </c>
      <c r="E658" s="134" t="n">
        <v>131.573</v>
      </c>
      <c r="F658" s="134" t="n">
        <v>120.1</v>
      </c>
      <c r="G658" s="134" t="n">
        <v>108.55</v>
      </c>
      <c r="H658" s="134" t="n">
        <v>150.2</v>
      </c>
      <c r="I658" s="104" t="n">
        <v>0.1863</v>
      </c>
      <c r="J658" s="104" t="n">
        <v>0.1408</v>
      </c>
      <c r="K658" s="104" t="n">
        <v>-0.02</v>
      </c>
      <c r="L658" s="134" t="n">
        <v>295.28</v>
      </c>
      <c r="M658" s="134" t="n">
        <v>4270.15</v>
      </c>
      <c r="N658" s="104" t="n">
        <v>0.06909999999999999</v>
      </c>
      <c r="O658" s="134" t="n">
        <v>293</v>
      </c>
      <c r="P658" s="134" t="inlineStr">
        <is>
          <t>1 0.02%</t>
        </is>
      </c>
      <c r="Q658" s="134" t="inlineStr">
        <is>
          <t>6 -0.15%</t>
        </is>
      </c>
      <c r="R658" s="134" t="inlineStr">
        <is>
          <t>48 -0.45%</t>
        </is>
      </c>
      <c r="S658" s="134" t="inlineStr">
        <is>
          <t>92 -1.04%</t>
        </is>
      </c>
      <c r="T658" s="134" t="inlineStr">
        <is>
          <t>61 -1.67%</t>
        </is>
      </c>
      <c r="U658" s="134" t="inlineStr">
        <is>
          <t>85 -3.45%</t>
        </is>
      </c>
    </row>
    <row customHeight="1" ht="17" r="659" s="155">
      <c r="A659" s="105" t="n">
        <v>44084</v>
      </c>
      <c r="B659" s="134" t="n">
        <v>1483.875</v>
      </c>
      <c r="C659" s="150" t="n">
        <v>-21.069</v>
      </c>
      <c r="D659" s="151" t="n">
        <v>-0.014</v>
      </c>
      <c r="E659" s="134" t="n">
        <v>129.656</v>
      </c>
      <c r="F659" s="134" t="n">
        <v>118.35</v>
      </c>
      <c r="G659" s="134" t="n">
        <v>104.91</v>
      </c>
      <c r="H659" s="134" t="n">
        <v>150.42</v>
      </c>
      <c r="I659" s="104" t="n">
        <v>0.2076</v>
      </c>
      <c r="J659" s="104" t="n">
        <v>0.1613</v>
      </c>
      <c r="K659" s="104" t="n">
        <v>-0.0167</v>
      </c>
      <c r="L659" s="134" t="n">
        <v>248.64</v>
      </c>
      <c r="M659" s="134" t="n">
        <v>4261.57</v>
      </c>
      <c r="N659" s="104" t="n">
        <v>0.0583</v>
      </c>
      <c r="O659" s="134" t="n">
        <v>293</v>
      </c>
      <c r="P659" s="134" t="inlineStr">
        <is>
          <t>1 -0.40%</t>
        </is>
      </c>
      <c r="Q659" s="134" t="inlineStr">
        <is>
          <t>6 -0.42%</t>
        </is>
      </c>
      <c r="R659" s="134" t="inlineStr">
        <is>
          <t>57 -1.07%</t>
        </is>
      </c>
      <c r="S659" s="134" t="inlineStr">
        <is>
          <t>93 -1.39%</t>
        </is>
      </c>
      <c r="T659" s="134" t="inlineStr">
        <is>
          <t>60 -1.44%</t>
        </is>
      </c>
      <c r="U659" s="134" t="inlineStr">
        <is>
          <t>76 -1.72%</t>
        </is>
      </c>
    </row>
    <row customHeight="1" ht="17" r="660" s="155">
      <c r="A660" s="105" t="n">
        <v>44085</v>
      </c>
      <c r="B660" s="134" t="n">
        <v>1492.808</v>
      </c>
      <c r="C660" s="152" t="n">
        <v>8.933</v>
      </c>
      <c r="D660" s="153" t="n">
        <v>0.006</v>
      </c>
      <c r="E660" s="134" t="n">
        <v>130.344</v>
      </c>
      <c r="F660" s="134" t="n">
        <v>118.925</v>
      </c>
      <c r="G660" s="134" t="n">
        <v>105.46</v>
      </c>
      <c r="H660" s="134" t="n">
        <v>150.33</v>
      </c>
      <c r="I660" s="104" t="n">
        <v>0.1998</v>
      </c>
      <c r="J660" s="104" t="n">
        <v>0.1544</v>
      </c>
      <c r="K660" s="104" t="n">
        <v>-0.0177</v>
      </c>
      <c r="L660" s="134" t="n">
        <v>216.21</v>
      </c>
      <c r="M660" s="134" t="n">
        <v>4256.41</v>
      </c>
      <c r="N660" s="104" t="n">
        <v>0.0508</v>
      </c>
      <c r="O660" s="134" t="n">
        <v>290</v>
      </c>
      <c r="P660" s="134" t="inlineStr">
        <is>
          <t>1 0.28%</t>
        </is>
      </c>
      <c r="Q660" s="134" t="inlineStr">
        <is>
          <t>6 0.11%</t>
        </is>
      </c>
      <c r="R660" s="134" t="inlineStr">
        <is>
          <t>56 0.29%</t>
        </is>
      </c>
      <c r="S660" s="134" t="inlineStr">
        <is>
          <t>94 0.10%</t>
        </is>
      </c>
      <c r="T660" s="134" t="inlineStr">
        <is>
          <t>51 0.49%</t>
        </is>
      </c>
      <c r="U660" s="134" t="inlineStr">
        <is>
          <t>82 1.66%</t>
        </is>
      </c>
    </row>
    <row customHeight="1" ht="17" r="661" s="155">
      <c r="A661" s="105" t="n">
        <v>44088</v>
      </c>
      <c r="B661" s="134" t="n">
        <v>1501.153</v>
      </c>
      <c r="C661" s="152" t="n">
        <v>8.345000000000001</v>
      </c>
      <c r="D661" s="153" t="n">
        <v>0.0056</v>
      </c>
      <c r="E661" s="134" t="n">
        <v>130.898</v>
      </c>
      <c r="F661" s="134" t="n">
        <v>119.165</v>
      </c>
      <c r="G661" s="134" t="n">
        <v>106.75</v>
      </c>
      <c r="H661" s="134" t="n">
        <v>149.69</v>
      </c>
      <c r="I661" s="104" t="n">
        <v>0.1879</v>
      </c>
      <c r="J661" s="104" t="n">
        <v>0.1397</v>
      </c>
      <c r="K661" s="104" t="n">
        <v>-0.0176</v>
      </c>
      <c r="L661" s="134" t="n">
        <v>201.68</v>
      </c>
      <c r="M661" s="134" t="n">
        <v>4264.25</v>
      </c>
      <c r="N661" s="104" t="n">
        <v>0.0473</v>
      </c>
      <c r="O661" s="134" t="n">
        <v>292</v>
      </c>
      <c r="P661" s="134" t="inlineStr">
        <is>
          <t>1 0.27%</t>
        </is>
      </c>
      <c r="Q661" s="134" t="inlineStr">
        <is>
          <t>6 -0.16%</t>
        </is>
      </c>
      <c r="R661" s="134" t="inlineStr">
        <is>
          <t>56 0.06%</t>
        </is>
      </c>
      <c r="S661" s="134" t="inlineStr">
        <is>
          <t>94 0.36%</t>
        </is>
      </c>
      <c r="T661" s="134" t="inlineStr">
        <is>
          <t>51 0.47%</t>
        </is>
      </c>
      <c r="U661" s="134" t="inlineStr">
        <is>
          <t>84 1.23%</t>
        </is>
      </c>
    </row>
    <row customHeight="1" ht="17" r="662" s="155">
      <c r="A662" s="105" t="n">
        <v>44089</v>
      </c>
      <c r="B662" s="134" t="n">
        <v>1504.29</v>
      </c>
      <c r="C662" s="152" t="n">
        <v>3.137</v>
      </c>
      <c r="D662" s="153" t="n">
        <v>0.0021</v>
      </c>
      <c r="E662" s="134" t="n">
        <v>131.453</v>
      </c>
      <c r="F662" s="134" t="n">
        <v>119</v>
      </c>
      <c r="G662" s="134" t="n">
        <v>107.06</v>
      </c>
      <c r="H662" s="134" t="n">
        <v>150.18</v>
      </c>
      <c r="I662" s="104" t="n">
        <v>0.1873</v>
      </c>
      <c r="J662" s="104" t="n">
        <v>0.1354</v>
      </c>
      <c r="K662" s="104" t="n">
        <v>-0.0179</v>
      </c>
      <c r="L662" s="134" t="n">
        <v>211.9</v>
      </c>
      <c r="M662" s="134" t="n">
        <v>4261.56</v>
      </c>
      <c r="N662" s="104" t="n">
        <v>0.0497</v>
      </c>
      <c r="O662" s="134" t="n">
        <v>293</v>
      </c>
      <c r="P662" s="134" t="inlineStr">
        <is>
          <t>1 0.00%</t>
        </is>
      </c>
      <c r="Q662" s="134" t="inlineStr">
        <is>
          <t>6 -0.09%</t>
        </is>
      </c>
      <c r="R662" s="134" t="inlineStr">
        <is>
          <t>59 0.04%</t>
        </is>
      </c>
      <c r="S662" s="134" t="inlineStr">
        <is>
          <t>89 -0.34%</t>
        </is>
      </c>
      <c r="T662" s="134" t="inlineStr">
        <is>
          <t>52 0.08%</t>
        </is>
      </c>
      <c r="U662" s="134" t="inlineStr">
        <is>
          <t>86 1.27%</t>
        </is>
      </c>
    </row>
    <row customHeight="1" ht="17" r="663" s="155">
      <c r="A663" s="105" t="n">
        <v>44090</v>
      </c>
      <c r="B663" s="134" t="n">
        <v>1499.521</v>
      </c>
      <c r="C663" s="150" t="n">
        <v>-4.769</v>
      </c>
      <c r="D663" s="151" t="n">
        <v>-0.0032</v>
      </c>
      <c r="E663" s="134" t="n">
        <v>130.927</v>
      </c>
      <c r="F663" s="134" t="n">
        <v>118.02</v>
      </c>
      <c r="G663" s="134" t="n">
        <v>106.26</v>
      </c>
      <c r="H663" s="134" t="n">
        <v>150.19</v>
      </c>
      <c r="I663" s="104" t="n">
        <v>0.1927</v>
      </c>
      <c r="J663" s="104" t="n">
        <v>0.1368</v>
      </c>
      <c r="K663" s="104" t="n">
        <v>-0.0169</v>
      </c>
      <c r="L663" s="134" t="n">
        <v>290</v>
      </c>
      <c r="M663" s="134" t="n">
        <v>4325.99</v>
      </c>
      <c r="N663" s="104" t="n">
        <v>0.067</v>
      </c>
      <c r="O663" s="134" t="n">
        <v>295</v>
      </c>
      <c r="P663" s="134" t="inlineStr">
        <is>
          <t>1 -0.44%</t>
        </is>
      </c>
      <c r="Q663" s="134" t="inlineStr">
        <is>
          <t>6 -0.15%</t>
        </is>
      </c>
      <c r="R663" s="134" t="inlineStr">
        <is>
          <t>69 -0.61%</t>
        </is>
      </c>
      <c r="S663" s="134" t="inlineStr">
        <is>
          <t>89 -0.58%</t>
        </is>
      </c>
      <c r="T663" s="134" t="inlineStr">
        <is>
          <t>51 -0.84%</t>
        </is>
      </c>
      <c r="U663" s="134" t="inlineStr">
        <is>
          <t>79 0.56%</t>
        </is>
      </c>
    </row>
    <row customHeight="1" ht="17" r="664" s="155">
      <c r="A664" s="105" t="n">
        <v>44091</v>
      </c>
      <c r="B664" s="134" t="n">
        <v>1500.136</v>
      </c>
      <c r="C664" s="152" t="n">
        <v>0.615</v>
      </c>
      <c r="D664" s="153" t="n">
        <v>0.0004</v>
      </c>
      <c r="E664" s="134" t="n">
        <v>131.105</v>
      </c>
      <c r="F664" s="134" t="n">
        <v>118.5</v>
      </c>
      <c r="G664" s="134" t="n">
        <v>106.59</v>
      </c>
      <c r="H664" s="134" t="n">
        <v>149.95</v>
      </c>
      <c r="I664" s="104" t="n">
        <v>0.1885</v>
      </c>
      <c r="J664" s="104" t="n">
        <v>0.1326</v>
      </c>
      <c r="K664" s="104" t="n">
        <v>-0.017</v>
      </c>
      <c r="L664" s="134" t="n">
        <v>267.44</v>
      </c>
      <c r="M664" s="134" t="n">
        <v>4321.32</v>
      </c>
      <c r="N664" s="104" t="n">
        <v>0.0619</v>
      </c>
      <c r="O664" s="134" t="n">
        <v>295</v>
      </c>
      <c r="P664" s="134" t="inlineStr">
        <is>
          <t>1 -0.02%</t>
        </is>
      </c>
      <c r="Q664" s="134" t="inlineStr">
        <is>
          <t>6 -0.04%</t>
        </is>
      </c>
      <c r="R664" s="134" t="inlineStr">
        <is>
          <t>67 0.03%</t>
        </is>
      </c>
      <c r="S664" s="134" t="inlineStr">
        <is>
          <t>91 0.06%</t>
        </is>
      </c>
      <c r="T664" s="134" t="inlineStr">
        <is>
          <t>55 -0.02%</t>
        </is>
      </c>
      <c r="U664" s="134" t="inlineStr">
        <is>
          <t>75 0.14%</t>
        </is>
      </c>
    </row>
    <row customHeight="1" ht="17" r="665" s="155">
      <c r="A665" s="105" t="n">
        <v>44092</v>
      </c>
      <c r="B665" s="134" t="n">
        <v>1508.207</v>
      </c>
      <c r="C665" s="152" t="n">
        <v>8.071</v>
      </c>
      <c r="D665" s="153" t="n">
        <v>0.0054</v>
      </c>
      <c r="E665" s="134" t="n">
        <v>131.867</v>
      </c>
      <c r="F665" s="134" t="n">
        <v>119.17</v>
      </c>
      <c r="G665" s="134" t="n">
        <v>107.57</v>
      </c>
      <c r="H665" s="134" t="n">
        <v>149.93</v>
      </c>
      <c r="I665" s="104" t="n">
        <v>0.1806</v>
      </c>
      <c r="J665" s="104" t="n">
        <v>0.1282</v>
      </c>
      <c r="K665" s="104" t="n">
        <v>-0.0181</v>
      </c>
      <c r="L665" s="134" t="n">
        <v>255.75</v>
      </c>
      <c r="M665" s="134" t="n">
        <v>4329.74</v>
      </c>
      <c r="N665" s="104" t="n">
        <v>0.0591</v>
      </c>
      <c r="O665" s="134" t="n">
        <v>293</v>
      </c>
      <c r="P665" s="134" t="inlineStr">
        <is>
          <t>1 0.04%</t>
        </is>
      </c>
      <c r="Q665" s="134" t="inlineStr">
        <is>
          <t>6 0.08%</t>
        </is>
      </c>
      <c r="R665" s="134" t="inlineStr">
        <is>
          <t>62 0.60%</t>
        </is>
      </c>
      <c r="S665" s="134" t="inlineStr">
        <is>
          <t>91 0.44%</t>
        </is>
      </c>
      <c r="T665" s="134" t="inlineStr">
        <is>
          <t>54 0.57%</t>
        </is>
      </c>
      <c r="U665" s="134" t="inlineStr">
        <is>
          <t>79 0.85%</t>
        </is>
      </c>
    </row>
    <row customHeight="1" ht="17" r="666" s="155">
      <c r="A666" s="105" t="n">
        <v>44095</v>
      </c>
      <c r="B666" s="134" t="n">
        <v>1508.041</v>
      </c>
      <c r="C666" s="150" t="n">
        <v>-0.166</v>
      </c>
      <c r="D666" s="151" t="n">
        <v>-0.0001</v>
      </c>
      <c r="E666" s="134" t="n">
        <v>131.588</v>
      </c>
      <c r="F666" s="134" t="n">
        <v>118.93</v>
      </c>
      <c r="G666" s="134" t="n">
        <v>107.89</v>
      </c>
      <c r="H666" s="134" t="n">
        <v>149.69</v>
      </c>
      <c r="I666" s="104" t="n">
        <v>0.1811</v>
      </c>
      <c r="J666" s="104" t="n">
        <v>0.1337</v>
      </c>
      <c r="K666" s="104" t="n">
        <v>-0.0179</v>
      </c>
      <c r="L666" s="134" t="n">
        <v>236.65</v>
      </c>
      <c r="M666" s="134" t="n">
        <v>4390.85</v>
      </c>
      <c r="N666" s="104" t="n">
        <v>0.0539</v>
      </c>
      <c r="O666" s="134" t="n">
        <v>295</v>
      </c>
      <c r="P666" s="134" t="inlineStr">
        <is>
          <t>1 -0.03%</t>
        </is>
      </c>
      <c r="Q666" s="134" t="inlineStr">
        <is>
          <t>6 -0.09%</t>
        </is>
      </c>
      <c r="R666" s="134" t="inlineStr">
        <is>
          <t>67 -0.24%</t>
        </is>
      </c>
      <c r="S666" s="134" t="inlineStr">
        <is>
          <t>83 0.05%</t>
        </is>
      </c>
      <c r="T666" s="134" t="inlineStr">
        <is>
          <t>61 -0.03%</t>
        </is>
      </c>
      <c r="U666" s="134" t="inlineStr">
        <is>
          <t>77 0.31%</t>
        </is>
      </c>
    </row>
    <row customHeight="1" ht="17" r="667" s="155">
      <c r="A667" s="105" t="n">
        <v>44096</v>
      </c>
      <c r="B667" s="134" t="n">
        <v>1497.832</v>
      </c>
      <c r="C667" s="150" t="n">
        <v>-10.209</v>
      </c>
      <c r="D667" s="151" t="n">
        <v>-0.0068</v>
      </c>
      <c r="E667" s="134" t="n">
        <v>130.924</v>
      </c>
      <c r="F667" s="134" t="n">
        <v>118.365</v>
      </c>
      <c r="G667" s="134" t="n">
        <v>105.45</v>
      </c>
      <c r="H667" s="134" t="n">
        <v>150.14</v>
      </c>
      <c r="I667" s="104" t="n">
        <v>0.1922</v>
      </c>
      <c r="J667" s="104" t="n">
        <v>0.1333</v>
      </c>
      <c r="K667" s="104" t="n">
        <v>-0.0161</v>
      </c>
      <c r="L667" s="134" t="n">
        <v>284.28</v>
      </c>
      <c r="M667" s="134" t="n">
        <v>4396.22</v>
      </c>
      <c r="N667" s="104" t="n">
        <v>0.06469999999999999</v>
      </c>
      <c r="O667" s="134" t="n">
        <v>296</v>
      </c>
      <c r="P667" s="134" t="inlineStr">
        <is>
          <t>1 -0.56%</t>
        </is>
      </c>
      <c r="Q667" s="134" t="inlineStr">
        <is>
          <t>6 -0.18%</t>
        </is>
      </c>
      <c r="R667" s="134" t="inlineStr">
        <is>
          <t>67 -0.47%</t>
        </is>
      </c>
      <c r="S667" s="134" t="inlineStr">
        <is>
          <t>91 -0.63%</t>
        </is>
      </c>
      <c r="T667" s="134" t="inlineStr">
        <is>
          <t>59 -0.62%</t>
        </is>
      </c>
      <c r="U667" s="134" t="inlineStr">
        <is>
          <t>72 -0.73%</t>
        </is>
      </c>
    </row>
    <row customHeight="1" ht="17" r="668" s="155">
      <c r="A668" s="105" t="n">
        <v>44097</v>
      </c>
      <c r="B668" s="134" t="n">
        <v>1497.113</v>
      </c>
      <c r="C668" s="150" t="n">
        <v>-0.719</v>
      </c>
      <c r="D668" s="151" t="n">
        <v>-0.0005</v>
      </c>
      <c r="E668" s="134" t="n">
        <v>130.742</v>
      </c>
      <c r="F668" s="134" t="n">
        <v>118.6</v>
      </c>
      <c r="G668" s="134" t="n">
        <v>106.39</v>
      </c>
      <c r="H668" s="134" t="n">
        <v>149.31</v>
      </c>
      <c r="I668" s="104" t="n">
        <v>0.1856</v>
      </c>
      <c r="J668" s="104" t="n">
        <v>0.1384</v>
      </c>
      <c r="K668" s="104" t="n">
        <v>-0.0159</v>
      </c>
      <c r="L668" s="134" t="n">
        <v>240.15</v>
      </c>
      <c r="M668" s="134" t="n">
        <v>4413.25</v>
      </c>
      <c r="N668" s="104" t="n">
        <v>0.0544</v>
      </c>
      <c r="O668" s="134" t="n">
        <v>297</v>
      </c>
      <c r="P668" s="134" t="inlineStr">
        <is>
          <t>1 -0.12%</t>
        </is>
      </c>
      <c r="Q668" s="134" t="inlineStr">
        <is>
          <t>6 -0.12%</t>
        </is>
      </c>
      <c r="R668" s="134" t="inlineStr">
        <is>
          <t>69 -0.09%</t>
        </is>
      </c>
      <c r="S668" s="134" t="inlineStr">
        <is>
          <t>90 0.15%</t>
        </is>
      </c>
      <c r="T668" s="134" t="inlineStr">
        <is>
          <t>55 0.11%</t>
        </is>
      </c>
      <c r="U668" s="134" t="inlineStr">
        <is>
          <t>76 -0.14%</t>
        </is>
      </c>
    </row>
    <row customHeight="1" ht="17" r="669" s="155">
      <c r="A669" s="105" t="n">
        <v>44098</v>
      </c>
      <c r="B669" s="134" t="n">
        <v>1473.533</v>
      </c>
      <c r="C669" s="150" t="n">
        <v>-23.58</v>
      </c>
      <c r="D669" s="151" t="n">
        <v>-0.0158</v>
      </c>
      <c r="E669" s="134" t="n">
        <v>128.426</v>
      </c>
      <c r="F669" s="134" t="n">
        <v>116.856</v>
      </c>
      <c r="G669" s="134" t="n">
        <v>102.84</v>
      </c>
      <c r="H669" s="134" t="n">
        <v>148.47</v>
      </c>
      <c r="I669" s="104" t="n">
        <v>0.2005</v>
      </c>
      <c r="J669" s="104" t="n">
        <v>0.1497</v>
      </c>
      <c r="K669" s="104" t="n">
        <v>-0.0123</v>
      </c>
      <c r="L669" s="134" t="n">
        <v>189.45</v>
      </c>
      <c r="M669" s="134" t="n">
        <v>4418.27</v>
      </c>
      <c r="N669" s="104" t="n">
        <v>0.0429</v>
      </c>
      <c r="O669" s="134" t="n">
        <v>298</v>
      </c>
      <c r="P669" s="134" t="inlineStr">
        <is>
          <t>1 -1.25%</t>
        </is>
      </c>
      <c r="Q669" s="134" t="inlineStr">
        <is>
          <t>7 -0.33%</t>
        </is>
      </c>
      <c r="R669" s="134" t="inlineStr">
        <is>
          <t>81 -0.80%</t>
        </is>
      </c>
      <c r="S669" s="134" t="inlineStr">
        <is>
          <t>92 -1.34%</t>
        </is>
      </c>
      <c r="T669" s="134" t="inlineStr">
        <is>
          <t>51 -2.03%</t>
        </is>
      </c>
      <c r="U669" s="134" t="inlineStr">
        <is>
          <t>66 -2.51%</t>
        </is>
      </c>
    </row>
    <row customHeight="1" ht="17" r="670" s="155">
      <c r="A670" s="105" t="n">
        <v>44099</v>
      </c>
      <c r="B670" s="134" t="n">
        <v>1467.344</v>
      </c>
      <c r="C670" s="150" t="n">
        <v>-6.189</v>
      </c>
      <c r="D670" s="151" t="n">
        <v>-0.0042</v>
      </c>
      <c r="E670" s="134" t="n">
        <v>127.895</v>
      </c>
      <c r="F670" s="134" t="n">
        <v>116.05</v>
      </c>
      <c r="G670" s="134" t="n">
        <v>102.73</v>
      </c>
      <c r="H670" s="134" t="n">
        <v>147.8</v>
      </c>
      <c r="I670" s="104" t="n">
        <v>0.199</v>
      </c>
      <c r="J670" s="104" t="n">
        <v>0.1492</v>
      </c>
      <c r="K670" s="104" t="n">
        <v>-0.0113</v>
      </c>
      <c r="L670" s="134" t="n">
        <v>211.19</v>
      </c>
      <c r="M670" s="134" t="n">
        <v>4419.7</v>
      </c>
      <c r="N670" s="104" t="n">
        <v>0.0478</v>
      </c>
      <c r="O670" s="134" t="n">
        <v>299</v>
      </c>
      <c r="P670" s="134" t="inlineStr">
        <is>
          <t>1 -0.19%</t>
        </is>
      </c>
      <c r="Q670" s="134" t="inlineStr">
        <is>
          <t>7 -0.25%</t>
        </is>
      </c>
      <c r="R670" s="134" t="inlineStr">
        <is>
          <t>90 -0.41%</t>
        </is>
      </c>
      <c r="S670" s="134" t="inlineStr">
        <is>
          <t>88 -0.68%</t>
        </is>
      </c>
      <c r="T670" s="134" t="inlineStr">
        <is>
          <t>49 -0.39%</t>
        </is>
      </c>
      <c r="U670" s="134" t="inlineStr">
        <is>
          <t>64 -0.11%</t>
        </is>
      </c>
    </row>
    <row customHeight="1" ht="17" r="671" s="155">
      <c r="A671" s="105" t="n">
        <v>44102</v>
      </c>
      <c r="B671" s="134" t="n">
        <v>1454.916</v>
      </c>
      <c r="C671" s="150" t="n">
        <v>-12.428</v>
      </c>
      <c r="D671" s="151" t="n">
        <v>-0.008500000000000001</v>
      </c>
      <c r="E671" s="134" t="n">
        <v>126.822</v>
      </c>
      <c r="F671" s="134" t="n">
        <v>114.34</v>
      </c>
      <c r="G671" s="134" t="n">
        <v>100.61</v>
      </c>
      <c r="H671" s="134" t="n">
        <v>147.44</v>
      </c>
      <c r="I671" s="104" t="n">
        <v>0.2062</v>
      </c>
      <c r="J671" s="104" t="n">
        <v>0.1595</v>
      </c>
      <c r="K671" s="104" t="n">
        <v>-0.0095</v>
      </c>
      <c r="L671" s="134" t="n">
        <v>162.19</v>
      </c>
      <c r="M671" s="134" t="n">
        <v>4411.56</v>
      </c>
      <c r="N671" s="104" t="n">
        <v>0.0368</v>
      </c>
      <c r="O671" s="134" t="n">
        <v>299</v>
      </c>
      <c r="P671" s="134" t="inlineStr">
        <is>
          <t>1 -0.65%</t>
        </is>
      </c>
      <c r="Q671" s="134" t="inlineStr">
        <is>
          <t>8 -0.53%</t>
        </is>
      </c>
      <c r="R671" s="134" t="inlineStr">
        <is>
          <t>104 -0.89%</t>
        </is>
      </c>
      <c r="S671" s="134" t="inlineStr">
        <is>
          <t>77 -0.82%</t>
        </is>
      </c>
      <c r="T671" s="134" t="inlineStr">
        <is>
          <t>47 -0.74%</t>
        </is>
      </c>
      <c r="U671" s="134" t="inlineStr">
        <is>
          <t>62 -0.72%</t>
        </is>
      </c>
    </row>
    <row customHeight="1" ht="17" r="672" s="155">
      <c r="A672" s="105" t="n">
        <v>44103</v>
      </c>
      <c r="B672" s="134" t="n">
        <v>1467.472</v>
      </c>
      <c r="C672" s="152" t="n">
        <v>12.556</v>
      </c>
      <c r="D672" s="153" t="n">
        <v>0.0086</v>
      </c>
      <c r="E672" s="134" t="n">
        <v>127.712</v>
      </c>
      <c r="F672" s="134" t="n">
        <v>115.726</v>
      </c>
      <c r="G672" s="134" t="n">
        <v>100.96</v>
      </c>
      <c r="H672" s="134" t="n">
        <v>148.16</v>
      </c>
      <c r="I672" s="104" t="n">
        <v>0.2044</v>
      </c>
      <c r="J672" s="104" t="n">
        <v>0.1629</v>
      </c>
      <c r="K672" s="104" t="n">
        <v>-0.0112</v>
      </c>
      <c r="L672" s="134" t="n">
        <v>217.69</v>
      </c>
      <c r="M672" s="134" t="n">
        <v>4422.72</v>
      </c>
      <c r="N672" s="104" t="n">
        <v>0.0492</v>
      </c>
      <c r="O672" s="134" t="n">
        <v>300</v>
      </c>
      <c r="P672" s="134" t="inlineStr">
        <is>
          <t>1 0.13%</t>
        </is>
      </c>
      <c r="Q672" s="134" t="inlineStr">
        <is>
          <t>8 -0.79%</t>
        </is>
      </c>
      <c r="R672" s="134" t="inlineStr">
        <is>
          <t>94 0.42%</t>
        </is>
      </c>
      <c r="S672" s="134" t="inlineStr">
        <is>
          <t>79 1.03%</t>
        </is>
      </c>
      <c r="T672" s="134" t="inlineStr">
        <is>
          <t>51 1.38%</t>
        </is>
      </c>
      <c r="U672" s="134" t="inlineStr">
        <is>
          <t>67 1.10%</t>
        </is>
      </c>
    </row>
    <row customHeight="1" ht="17" r="673" s="155">
      <c r="A673" s="105" t="n">
        <v>44104</v>
      </c>
      <c r="B673" s="134" t="n">
        <v>1470.583</v>
      </c>
      <c r="C673" s="152" t="n">
        <v>3.111</v>
      </c>
      <c r="D673" s="153" t="n">
        <v>0.0021</v>
      </c>
      <c r="E673" s="134" t="n">
        <v>128.054</v>
      </c>
      <c r="F673" s="134" t="n">
        <v>115.949</v>
      </c>
      <c r="G673" s="134" t="n">
        <v>100.69</v>
      </c>
      <c r="H673" s="134" t="n">
        <v>149.24</v>
      </c>
      <c r="I673" s="104" t="n">
        <v>0.2118</v>
      </c>
      <c r="J673" s="104" t="n">
        <v>0.1721</v>
      </c>
      <c r="K673" s="104" t="n">
        <v>-0.0116</v>
      </c>
      <c r="L673" s="134" t="n">
        <v>227.4</v>
      </c>
      <c r="M673" s="134" t="n">
        <v>4420.25</v>
      </c>
      <c r="N673" s="104" t="n">
        <v>0.0514</v>
      </c>
      <c r="O673" s="134" t="n">
        <v>300</v>
      </c>
      <c r="P673" s="134" t="inlineStr">
        <is>
          <t>2 -0.15%</t>
        </is>
      </c>
      <c r="Q673" s="134" t="inlineStr">
        <is>
          <t>7 -0.54%</t>
        </is>
      </c>
      <c r="R673" s="134" t="inlineStr">
        <is>
          <t>94 0.21%</t>
        </is>
      </c>
      <c r="S673" s="134" t="inlineStr">
        <is>
          <t>79 0.19%</t>
        </is>
      </c>
      <c r="T673" s="134" t="inlineStr">
        <is>
          <t>48 0.71%</t>
        </is>
      </c>
      <c r="U673" s="134" t="inlineStr">
        <is>
          <t>70 -0.02%</t>
        </is>
      </c>
    </row>
    <row customHeight="1" ht="17" r="674" s="155">
      <c r="A674" s="105" t="n">
        <v>44113</v>
      </c>
      <c r="B674" s="134" t="n">
        <v>1492.524</v>
      </c>
      <c r="C674" s="152" t="n">
        <v>21.941</v>
      </c>
      <c r="D674" s="153" t="n">
        <v>0.0149</v>
      </c>
      <c r="E674" s="134" t="n">
        <v>130.289</v>
      </c>
      <c r="F674" s="134" t="n">
        <v>117.406</v>
      </c>
      <c r="G674" s="134" t="n">
        <v>102.44</v>
      </c>
      <c r="H674" s="134" t="n">
        <v>149.72</v>
      </c>
      <c r="I674" s="104" t="n">
        <v>0.1943</v>
      </c>
      <c r="J674" s="104" t="n">
        <v>0.1492</v>
      </c>
      <c r="K674" s="104" t="n">
        <v>-0.0148</v>
      </c>
      <c r="L674" s="134" t="n">
        <v>192.5</v>
      </c>
      <c r="M674" s="134" t="n">
        <v>4419.47</v>
      </c>
      <c r="N674" s="104" t="n">
        <v>0.0436</v>
      </c>
      <c r="O674" s="134" t="n">
        <v>300</v>
      </c>
      <c r="P674" s="134" t="inlineStr">
        <is>
          <t>1 0.41%</t>
        </is>
      </c>
      <c r="Q674" s="134" t="inlineStr">
        <is>
          <t>8 0.43%</t>
        </is>
      </c>
      <c r="R674" s="134" t="inlineStr">
        <is>
          <t>85 0.60%</t>
        </is>
      </c>
      <c r="S674" s="134" t="inlineStr">
        <is>
          <t>75 1.07%</t>
        </is>
      </c>
      <c r="T674" s="134" t="inlineStr">
        <is>
          <t>52 1.41%</t>
        </is>
      </c>
      <c r="U674" s="134" t="inlineStr">
        <is>
          <t>79 3.03%</t>
        </is>
      </c>
    </row>
    <row customHeight="1" ht="17" r="675" s="155">
      <c r="A675" s="105" t="n">
        <v>44116</v>
      </c>
      <c r="B675" s="134" t="n">
        <v>1517.061</v>
      </c>
      <c r="C675" s="152" t="n">
        <v>24.537</v>
      </c>
      <c r="D675" s="153" t="n">
        <v>0.0164</v>
      </c>
      <c r="E675" s="134" t="n">
        <v>132.677</v>
      </c>
      <c r="F675" s="134" t="n">
        <v>119.44</v>
      </c>
      <c r="G675" s="134" t="n">
        <v>105.69</v>
      </c>
      <c r="H675" s="134" t="n">
        <v>150.66</v>
      </c>
      <c r="I675" s="104" t="n">
        <v>0.1799</v>
      </c>
      <c r="J675" s="104" t="n">
        <v>0.1357</v>
      </c>
      <c r="K675" s="104" t="n">
        <v>-0.0182</v>
      </c>
      <c r="L675" s="134" t="n">
        <v>274.95</v>
      </c>
      <c r="M675" s="134" t="n">
        <v>4417.75</v>
      </c>
      <c r="N675" s="104" t="n">
        <v>0.0622</v>
      </c>
      <c r="O675" s="134" t="n">
        <v>300</v>
      </c>
      <c r="P675" s="134" t="inlineStr">
        <is>
          <t>1 0.36%</t>
        </is>
      </c>
      <c r="Q675" s="134" t="inlineStr">
        <is>
          <t>8 1.09%</t>
        </is>
      </c>
      <c r="R675" s="134" t="inlineStr">
        <is>
          <t>65 0.88%</t>
        </is>
      </c>
      <c r="S675" s="134" t="inlineStr">
        <is>
          <t>83 1.46%</t>
        </is>
      </c>
      <c r="T675" s="134" t="inlineStr">
        <is>
          <t>52 1.55%</t>
        </is>
      </c>
      <c r="U675" s="134" t="inlineStr">
        <is>
          <t>91 2.47%</t>
        </is>
      </c>
    </row>
    <row customHeight="1" ht="17" r="676" s="155">
      <c r="A676" s="105" t="n">
        <v>44117</v>
      </c>
      <c r="B676" s="134" t="n">
        <v>1524.722</v>
      </c>
      <c r="C676" s="152" t="n">
        <v>7.661</v>
      </c>
      <c r="D676" s="153" t="n">
        <v>0.0051</v>
      </c>
      <c r="E676" s="134" t="n">
        <v>133.533</v>
      </c>
      <c r="F676" s="134" t="n">
        <v>119.54</v>
      </c>
      <c r="G676" s="134" t="n">
        <v>106.11</v>
      </c>
      <c r="H676" s="134" t="n">
        <v>151.61</v>
      </c>
      <c r="I676" s="104" t="n">
        <v>0.1808</v>
      </c>
      <c r="J676" s="104" t="n">
        <v>0.1383</v>
      </c>
      <c r="K676" s="104" t="n">
        <v>-0.0193</v>
      </c>
      <c r="L676" s="134" t="n">
        <v>253.6</v>
      </c>
      <c r="M676" s="134" t="n">
        <v>4414.98</v>
      </c>
      <c r="N676" s="104" t="n">
        <v>0.0574</v>
      </c>
      <c r="O676" s="134" t="n">
        <v>300</v>
      </c>
      <c r="P676" s="134" t="inlineStr">
        <is>
          <t>1 -0.18%</t>
        </is>
      </c>
      <c r="Q676" s="134" t="inlineStr">
        <is>
          <t>8 -0.04%</t>
        </is>
      </c>
      <c r="R676" s="134" t="inlineStr">
        <is>
          <t>64 0.01%</t>
        </is>
      </c>
      <c r="S676" s="134" t="inlineStr">
        <is>
          <t>83 0.23%</t>
        </is>
      </c>
      <c r="T676" s="134" t="inlineStr">
        <is>
          <t>51 0.63%</t>
        </is>
      </c>
      <c r="U676" s="134" t="inlineStr">
        <is>
          <t>93 1.07%</t>
        </is>
      </c>
    </row>
    <row customHeight="1" ht="17" r="677" s="155">
      <c r="A677" s="105" t="n">
        <v>44118</v>
      </c>
      <c r="B677" s="134" t="n">
        <v>1522.923</v>
      </c>
      <c r="C677" s="150" t="n">
        <v>-1.799</v>
      </c>
      <c r="D677" s="151" t="n">
        <v>-0.0012</v>
      </c>
      <c r="E677" s="134" t="n">
        <v>133.463</v>
      </c>
      <c r="F677" s="134" t="n">
        <v>119.617</v>
      </c>
      <c r="G677" s="134" t="n">
        <v>105.79</v>
      </c>
      <c r="H677" s="134" t="n">
        <v>151.94</v>
      </c>
      <c r="I677" s="104" t="n">
        <v>0.1848</v>
      </c>
      <c r="J677" s="104" t="n">
        <v>0.1391</v>
      </c>
      <c r="K677" s="104" t="n">
        <v>-0.019</v>
      </c>
      <c r="L677" s="134" t="n">
        <v>242.26</v>
      </c>
      <c r="M677" s="134" t="n">
        <v>4409.95</v>
      </c>
      <c r="N677" s="104" t="n">
        <v>0.0549</v>
      </c>
      <c r="O677" s="134" t="n">
        <v>300</v>
      </c>
      <c r="P677" s="134" t="inlineStr">
        <is>
          <t>1 -0.15%</t>
        </is>
      </c>
      <c r="Q677" s="134" t="inlineStr">
        <is>
          <t>8 0.10%</t>
        </is>
      </c>
      <c r="R677" s="134" t="inlineStr">
        <is>
          <t>66 0.07%</t>
        </is>
      </c>
      <c r="S677" s="134" t="inlineStr">
        <is>
          <t>80 -0.23%</t>
        </is>
      </c>
      <c r="T677" s="134" t="inlineStr">
        <is>
          <t>54 -0.12%</t>
        </is>
      </c>
      <c r="U677" s="134" t="inlineStr">
        <is>
          <t>91 -0.17%</t>
        </is>
      </c>
    </row>
    <row customHeight="1" ht="17" r="678" s="155">
      <c r="A678" s="105" t="n">
        <v>44119</v>
      </c>
      <c r="B678" s="134" t="n">
        <v>1521.705</v>
      </c>
      <c r="C678" s="150" t="n">
        <v>-1.218</v>
      </c>
      <c r="D678" s="151" t="n">
        <v>-0.0008</v>
      </c>
      <c r="E678" s="134" t="n">
        <v>133.118</v>
      </c>
      <c r="F678" s="134" t="n">
        <v>119.375</v>
      </c>
      <c r="G678" s="134" t="n">
        <v>105.78</v>
      </c>
      <c r="H678" s="134" t="n">
        <v>152.13</v>
      </c>
      <c r="I678" s="104" t="n">
        <v>0.1901</v>
      </c>
      <c r="J678" s="104" t="n">
        <v>0.1457</v>
      </c>
      <c r="K678" s="104" t="n">
        <v>-0.0189</v>
      </c>
      <c r="L678" s="134" t="n">
        <v>208.7</v>
      </c>
      <c r="M678" s="134" t="n">
        <v>4404.85</v>
      </c>
      <c r="N678" s="104" t="n">
        <v>0.0474</v>
      </c>
      <c r="O678" s="134" t="n">
        <v>300</v>
      </c>
      <c r="P678" s="134" t="inlineStr">
        <is>
          <t>1 -0.18%</t>
        </is>
      </c>
      <c r="Q678" s="134" t="inlineStr">
        <is>
          <t>8 0.10%</t>
        </is>
      </c>
      <c r="R678" s="134" t="inlineStr">
        <is>
          <t>68 0.07%</t>
        </is>
      </c>
      <c r="S678" s="134" t="inlineStr">
        <is>
          <t>79 0.08%</t>
        </is>
      </c>
      <c r="T678" s="134" t="inlineStr">
        <is>
          <t>55 0.22%</t>
        </is>
      </c>
      <c r="U678" s="134" t="inlineStr">
        <is>
          <t>89 -0.19%</t>
        </is>
      </c>
    </row>
    <row customHeight="1" ht="17" r="679" s="155">
      <c r="A679" s="105" t="n">
        <v>44120</v>
      </c>
      <c r="B679" s="134" t="n">
        <v>1520.092</v>
      </c>
      <c r="C679" s="150" t="n">
        <v>-1.613</v>
      </c>
      <c r="D679" s="151" t="n">
        <v>-0.0011</v>
      </c>
      <c r="E679" s="134" t="n">
        <v>132.854</v>
      </c>
      <c r="F679" s="134" t="n">
        <v>119.805</v>
      </c>
      <c r="G679" s="134" t="n">
        <v>106.76</v>
      </c>
      <c r="H679" s="134" t="n">
        <v>151.71</v>
      </c>
      <c r="I679" s="104" t="n">
        <v>0.1885</v>
      </c>
      <c r="J679" s="104" t="n">
        <v>0.1419</v>
      </c>
      <c r="K679" s="104" t="n">
        <v>-0.0185</v>
      </c>
      <c r="L679" s="134" t="n">
        <v>256.68</v>
      </c>
      <c r="M679" s="134" t="n">
        <v>4348.61</v>
      </c>
      <c r="N679" s="104" t="n">
        <v>0.059</v>
      </c>
      <c r="O679" s="134" t="n">
        <v>302</v>
      </c>
      <c r="P679" s="134" t="inlineStr">
        <is>
          <t>1 0.13%</t>
        </is>
      </c>
      <c r="Q679" s="134" t="inlineStr">
        <is>
          <t>8 0.07%</t>
        </is>
      </c>
      <c r="R679" s="134" t="inlineStr">
        <is>
          <t>64 0.05%</t>
        </is>
      </c>
      <c r="S679" s="134" t="inlineStr">
        <is>
          <t>83 0.29%</t>
        </is>
      </c>
      <c r="T679" s="134" t="inlineStr">
        <is>
          <t>61 -0.20%</t>
        </is>
      </c>
      <c r="U679" s="134" t="inlineStr">
        <is>
          <t>85 -0.55%</t>
        </is>
      </c>
    </row>
    <row customHeight="1" ht="17" r="680" s="155">
      <c r="A680" s="105" t="n">
        <v>44123</v>
      </c>
      <c r="B680" s="134" t="n">
        <v>1524.348</v>
      </c>
      <c r="C680" s="152" t="n">
        <v>4.256</v>
      </c>
      <c r="D680" s="153" t="n">
        <v>0.0028</v>
      </c>
      <c r="E680" s="134" t="n">
        <v>133.256</v>
      </c>
      <c r="F680" s="134" t="n">
        <v>118.965</v>
      </c>
      <c r="G680" s="134" t="n">
        <v>106.12</v>
      </c>
      <c r="H680" s="134" t="n">
        <v>153.57</v>
      </c>
      <c r="I680" s="104" t="n">
        <v>0.2032</v>
      </c>
      <c r="J680" s="104" t="n">
        <v>0.1444</v>
      </c>
      <c r="K680" s="104" t="n">
        <v>-0.0184</v>
      </c>
      <c r="L680" s="134" t="n">
        <v>329.75</v>
      </c>
      <c r="M680" s="134" t="n">
        <v>4350.61</v>
      </c>
      <c r="N680" s="104" t="n">
        <v>0.07580000000000001</v>
      </c>
      <c r="O680" s="134" t="n">
        <v>302</v>
      </c>
      <c r="P680" s="134" t="inlineStr">
        <is>
          <t>1 -0.10%</t>
        </is>
      </c>
      <c r="Q680" s="134" t="inlineStr">
        <is>
          <t>8 -0.20%</t>
        </is>
      </c>
      <c r="R680" s="134" t="inlineStr">
        <is>
          <t>68 -0.09%</t>
        </is>
      </c>
      <c r="S680" s="134" t="inlineStr">
        <is>
          <t>80 -0.35%</t>
        </is>
      </c>
      <c r="T680" s="134" t="inlineStr">
        <is>
          <t>66 -0.29%</t>
        </is>
      </c>
      <c r="U680" s="134" t="inlineStr">
        <is>
          <t>79 1.77%</t>
        </is>
      </c>
    </row>
    <row customHeight="1" ht="17" r="681" s="155">
      <c r="A681" s="105" t="n">
        <v>44124</v>
      </c>
      <c r="B681" s="134" t="n">
        <v>1545.46</v>
      </c>
      <c r="C681" s="152" t="n">
        <v>21.112</v>
      </c>
      <c r="D681" s="153" t="n">
        <v>0.0139</v>
      </c>
      <c r="E681" s="134" t="n">
        <v>135.765</v>
      </c>
      <c r="F681" s="134" t="n">
        <v>119.75</v>
      </c>
      <c r="G681" s="134" t="n">
        <v>106.08</v>
      </c>
      <c r="H681" s="134" t="n">
        <v>156.94</v>
      </c>
      <c r="I681" s="104" t="n">
        <v>0.2118</v>
      </c>
      <c r="J681" s="104" t="n">
        <v>0.1473</v>
      </c>
      <c r="K681" s="104" t="n">
        <v>-0.0202</v>
      </c>
      <c r="L681" s="134" t="n">
        <v>713.11</v>
      </c>
      <c r="M681" s="134" t="n">
        <v>4343.34</v>
      </c>
      <c r="N681" s="104" t="n">
        <v>0.1642</v>
      </c>
      <c r="O681" s="134" t="n">
        <v>301</v>
      </c>
      <c r="P681" s="134" t="inlineStr">
        <is>
          <t>1 0.15%</t>
        </is>
      </c>
      <c r="Q681" s="134" t="inlineStr">
        <is>
          <t>8 0.20%</t>
        </is>
      </c>
      <c r="R681" s="134" t="inlineStr">
        <is>
          <t>63 0.24%</t>
        </is>
      </c>
      <c r="S681" s="134" t="inlineStr">
        <is>
          <t>82 0.45%</t>
        </is>
      </c>
      <c r="T681" s="134" t="inlineStr">
        <is>
          <t>58 0.63%</t>
        </is>
      </c>
      <c r="U681" s="134" t="inlineStr">
        <is>
          <t>89 3.67%</t>
        </is>
      </c>
    </row>
    <row customHeight="1" ht="17" r="682" s="155">
      <c r="A682" s="105" t="n">
        <v>44125</v>
      </c>
      <c r="B682" s="134" t="n">
        <v>1548.134</v>
      </c>
      <c r="C682" s="152" t="n">
        <v>2.674</v>
      </c>
      <c r="D682" s="153" t="n">
        <v>0.0017</v>
      </c>
      <c r="E682" s="134" t="n">
        <v>135.93</v>
      </c>
      <c r="F682" s="134" t="n">
        <v>119.499</v>
      </c>
      <c r="G682" s="134" t="n">
        <v>104.87</v>
      </c>
      <c r="H682" s="134" t="n">
        <v>158.49</v>
      </c>
      <c r="I682" s="104" t="n">
        <v>0.2256</v>
      </c>
      <c r="J682" s="104" t="n">
        <v>0.1613</v>
      </c>
      <c r="K682" s="104" t="n">
        <v>-0.0204</v>
      </c>
      <c r="L682" s="134" t="n">
        <v>835.04</v>
      </c>
      <c r="M682" s="134" t="n">
        <v>4337.64</v>
      </c>
      <c r="N682" s="104" t="n">
        <v>0.1925</v>
      </c>
      <c r="O682" s="134" t="n">
        <v>301</v>
      </c>
      <c r="P682" s="134" t="inlineStr">
        <is>
          <t>1 0.20%</t>
        </is>
      </c>
      <c r="Q682" s="134" t="inlineStr">
        <is>
          <t>7 -0.01%</t>
        </is>
      </c>
      <c r="R682" s="134" t="inlineStr">
        <is>
          <t>64 0.02%</t>
        </is>
      </c>
      <c r="S682" s="134" t="inlineStr">
        <is>
          <t>83 -0.27%</t>
        </is>
      </c>
      <c r="T682" s="134" t="inlineStr">
        <is>
          <t>63 -0.34%</t>
        </is>
      </c>
      <c r="U682" s="134" t="inlineStr">
        <is>
          <t>83 1.14%</t>
        </is>
      </c>
    </row>
    <row customHeight="1" ht="17" r="683" s="155">
      <c r="A683" s="105" t="n">
        <v>44126</v>
      </c>
      <c r="B683" s="134" t="n">
        <v>1582.549</v>
      </c>
      <c r="C683" s="152" t="n">
        <v>34.415</v>
      </c>
      <c r="D683" s="153" t="n">
        <v>0.0222</v>
      </c>
      <c r="E683" s="134" t="n">
        <v>138.557</v>
      </c>
      <c r="F683" s="134" t="n">
        <v>121.44</v>
      </c>
      <c r="G683" s="134" t="n">
        <v>104.5</v>
      </c>
      <c r="H683" s="134" t="n">
        <v>163.89</v>
      </c>
      <c r="I683" s="104" t="n">
        <v>0.2534</v>
      </c>
      <c r="J683" s="104" t="n">
        <v>0.1844</v>
      </c>
      <c r="K683" s="104" t="n">
        <v>-0.0243</v>
      </c>
      <c r="L683" s="134" t="n">
        <v>1187.13</v>
      </c>
      <c r="M683" s="134" t="n">
        <v>4333.29</v>
      </c>
      <c r="N683" s="104" t="n">
        <v>0.274</v>
      </c>
      <c r="O683" s="134" t="n">
        <v>301</v>
      </c>
      <c r="P683" s="134" t="inlineStr">
        <is>
          <t>1 1.11%</t>
        </is>
      </c>
      <c r="Q683" s="134" t="inlineStr">
        <is>
          <t>7 0.39%</t>
        </is>
      </c>
      <c r="R683" s="134" t="inlineStr">
        <is>
          <t>52 0.57%</t>
        </is>
      </c>
      <c r="S683" s="134" t="inlineStr">
        <is>
          <t>80 0.94%</t>
        </is>
      </c>
      <c r="T683" s="134" t="inlineStr">
        <is>
          <t>68 1.14%</t>
        </is>
      </c>
      <c r="U683" s="134" t="inlineStr">
        <is>
          <t>93 4.37%</t>
        </is>
      </c>
    </row>
    <row customHeight="1" ht="17" r="684" s="155">
      <c r="A684" s="105" t="n">
        <v>44127</v>
      </c>
      <c r="B684" s="134" t="n">
        <v>1551.12</v>
      </c>
      <c r="C684" s="150" t="n">
        <v>-31.429</v>
      </c>
      <c r="D684" s="151" t="n">
        <v>-0.0199</v>
      </c>
      <c r="E684" s="134" t="n">
        <v>133.648</v>
      </c>
      <c r="F684" s="134" t="n">
        <v>119.485</v>
      </c>
      <c r="G684" s="134" t="n">
        <v>103.05</v>
      </c>
      <c r="H684" s="134" t="n">
        <v>157.11</v>
      </c>
      <c r="I684" s="104" t="n">
        <v>0.2347</v>
      </c>
      <c r="J684" s="104" t="n">
        <v>0.1709</v>
      </c>
      <c r="K684" s="104" t="n">
        <v>-0.02</v>
      </c>
      <c r="L684" s="134" t="n">
        <v>1924.24</v>
      </c>
      <c r="M684" s="134" t="n">
        <v>4328.97</v>
      </c>
      <c r="N684" s="104" t="n">
        <v>0.4445</v>
      </c>
      <c r="O684" s="134" t="n">
        <v>300</v>
      </c>
      <c r="P684" s="134" t="inlineStr">
        <is>
          <t>1 2.95%</t>
        </is>
      </c>
      <c r="Q684" s="134" t="inlineStr">
        <is>
          <t>8 -0.50%</t>
        </is>
      </c>
      <c r="R684" s="134" t="inlineStr">
        <is>
          <t>59 -0.47%</t>
        </is>
      </c>
      <c r="S684" s="134" t="inlineStr">
        <is>
          <t>86 -0.86%</t>
        </is>
      </c>
      <c r="T684" s="134" t="inlineStr">
        <is>
          <t>62 -1.67%</t>
        </is>
      </c>
      <c r="U684" s="134" t="inlineStr">
        <is>
          <t>84 -4.64%</t>
        </is>
      </c>
    </row>
    <row customHeight="1" ht="17" r="685" s="155">
      <c r="A685" s="105" t="n">
        <v>44130</v>
      </c>
      <c r="B685" s="134" t="n">
        <v>1587.866</v>
      </c>
      <c r="C685" s="152" t="n">
        <v>36.746</v>
      </c>
      <c r="D685" s="153" t="n">
        <v>0.0237</v>
      </c>
      <c r="E685" s="134" t="n">
        <v>137.489</v>
      </c>
      <c r="F685" s="134" t="n">
        <v>120.165</v>
      </c>
      <c r="G685" s="134" t="n">
        <v>102.68</v>
      </c>
      <c r="H685" s="134" t="n">
        <v>163.48</v>
      </c>
      <c r="I685" s="104" t="n">
        <v>0.2599</v>
      </c>
      <c r="J685" s="104" t="n">
        <v>0.1939</v>
      </c>
      <c r="K685" s="104" t="n">
        <v>-0.0241</v>
      </c>
      <c r="L685" s="134" t="n">
        <v>1604.11</v>
      </c>
      <c r="M685" s="134" t="n">
        <v>4325.99</v>
      </c>
      <c r="N685" s="104" t="n">
        <v>0.3708</v>
      </c>
      <c r="O685" s="134" t="n">
        <v>300</v>
      </c>
      <c r="P685" s="134" t="inlineStr">
        <is>
          <t>1 -1.01%</t>
        </is>
      </c>
      <c r="Q685" s="134" t="inlineStr">
        <is>
          <t>8 -0.62%</t>
        </is>
      </c>
      <c r="R685" s="134" t="inlineStr">
        <is>
          <t>57 -0.28%</t>
        </is>
      </c>
      <c r="S685" s="134" t="inlineStr">
        <is>
          <t>84 0.13%</t>
        </is>
      </c>
      <c r="T685" s="134" t="inlineStr">
        <is>
          <t>57 0.61%</t>
        </is>
      </c>
      <c r="U685" s="134" t="inlineStr">
        <is>
          <t>93 7.39%</t>
        </is>
      </c>
    </row>
    <row customHeight="1" ht="17" r="686" s="155">
      <c r="A686" s="105" t="n">
        <v>44131</v>
      </c>
      <c r="B686" s="134" t="n">
        <v>1599.41</v>
      </c>
      <c r="C686" s="152" t="n">
        <v>11.544</v>
      </c>
      <c r="D686" s="153" t="n">
        <v>0.0073</v>
      </c>
      <c r="E686" s="134" t="n">
        <v>138.625</v>
      </c>
      <c r="F686" s="134" t="n">
        <v>121.255</v>
      </c>
      <c r="G686" s="134" t="n">
        <v>102.77</v>
      </c>
      <c r="H686" s="134" t="n">
        <v>165.49</v>
      </c>
      <c r="I686" s="104" t="n">
        <v>0.2686</v>
      </c>
      <c r="J686" s="104" t="n">
        <v>0.1993</v>
      </c>
      <c r="K686" s="104" t="n">
        <v>-0.0254</v>
      </c>
      <c r="L686" s="134" t="n">
        <v>1522.91</v>
      </c>
      <c r="M686" s="134" t="n">
        <v>4323.63</v>
      </c>
      <c r="N686" s="104" t="n">
        <v>0.3522</v>
      </c>
      <c r="O686" s="134" t="n">
        <v>300</v>
      </c>
      <c r="P686" s="134" t="inlineStr">
        <is>
          <t>1 -1.53%</t>
        </is>
      </c>
      <c r="Q686" s="134" t="inlineStr">
        <is>
          <t>7 -0.09%</t>
        </is>
      </c>
      <c r="R686" s="134" t="inlineStr">
        <is>
          <t>60 0.19%</t>
        </is>
      </c>
      <c r="S686" s="134" t="inlineStr">
        <is>
          <t>74 0.40%</t>
        </is>
      </c>
      <c r="T686" s="134" t="inlineStr">
        <is>
          <t>59 0.40%</t>
        </is>
      </c>
      <c r="U686" s="134" t="inlineStr">
        <is>
          <t>99 1.92%</t>
        </is>
      </c>
    </row>
    <row customHeight="1" ht="17" r="687" s="155">
      <c r="A687" s="105" t="n">
        <v>44132</v>
      </c>
      <c r="B687" s="134" t="n">
        <v>1588.214</v>
      </c>
      <c r="C687" s="150" t="n">
        <v>-11.196</v>
      </c>
      <c r="D687" s="151" t="n">
        <v>-0.007</v>
      </c>
      <c r="E687" s="134" t="n">
        <v>137.429</v>
      </c>
      <c r="F687" s="134" t="n">
        <v>121.15</v>
      </c>
      <c r="G687" s="134" t="n">
        <v>103.08</v>
      </c>
      <c r="H687" s="134" t="n">
        <v>163.14</v>
      </c>
      <c r="I687" s="104" t="n">
        <v>0.2571</v>
      </c>
      <c r="J687" s="104" t="n">
        <v>0.1997</v>
      </c>
      <c r="K687" s="104" t="n">
        <v>-0.0242</v>
      </c>
      <c r="L687" s="134" t="n">
        <v>1576.91</v>
      </c>
      <c r="M687" s="134" t="n">
        <v>4329.42</v>
      </c>
      <c r="N687" s="104" t="n">
        <v>0.3642</v>
      </c>
      <c r="O687" s="134" t="n">
        <v>302</v>
      </c>
      <c r="P687" s="134" t="inlineStr">
        <is>
          <t>1 -0.36%</t>
        </is>
      </c>
      <c r="Q687" s="134" t="inlineStr">
        <is>
          <t>9 -0.16%</t>
        </is>
      </c>
      <c r="R687" s="134" t="inlineStr">
        <is>
          <t>58 -0.41%</t>
        </is>
      </c>
      <c r="S687" s="134" t="inlineStr">
        <is>
          <t>74 -0.34%</t>
        </is>
      </c>
      <c r="T687" s="134" t="inlineStr">
        <is>
          <t>62 -0.01%</t>
        </is>
      </c>
      <c r="U687" s="134" t="inlineStr">
        <is>
          <t>98 -1.64%</t>
        </is>
      </c>
    </row>
    <row customHeight="1" ht="17" r="688" s="155">
      <c r="A688" s="105" t="n">
        <v>44133</v>
      </c>
      <c r="B688" s="134" t="n">
        <v>1587.944</v>
      </c>
      <c r="C688" s="150" t="n">
        <v>-0.27</v>
      </c>
      <c r="D688" s="151" t="n">
        <v>-0.0002</v>
      </c>
      <c r="E688" s="134" t="n">
        <v>137.845</v>
      </c>
      <c r="F688" s="134" t="n">
        <v>121.013</v>
      </c>
      <c r="G688" s="134" t="n">
        <v>102.87</v>
      </c>
      <c r="H688" s="134" t="n">
        <v>163.57</v>
      </c>
      <c r="I688" s="104" t="n">
        <v>0.2573</v>
      </c>
      <c r="J688" s="104" t="n">
        <v>0.1875</v>
      </c>
      <c r="K688" s="104" t="n">
        <v>-0.0241</v>
      </c>
      <c r="L688" s="134" t="n">
        <v>1293.86</v>
      </c>
      <c r="M688" s="134" t="n">
        <v>4324.55</v>
      </c>
      <c r="N688" s="104" t="n">
        <v>0.2992</v>
      </c>
      <c r="O688" s="134" t="n">
        <v>302</v>
      </c>
      <c r="P688" s="134" t="inlineStr">
        <is>
          <t>1 -1.27%</t>
        </is>
      </c>
      <c r="Q688" s="134" t="inlineStr">
        <is>
          <t>9 -0.18%</t>
        </is>
      </c>
      <c r="R688" s="134" t="inlineStr">
        <is>
          <t>53 -0.17%</t>
        </is>
      </c>
      <c r="S688" s="134" t="inlineStr">
        <is>
          <t>82 -0.05%</t>
        </is>
      </c>
      <c r="T688" s="134" t="inlineStr">
        <is>
          <t>63 -0.28%</t>
        </is>
      </c>
      <c r="U688" s="134" t="inlineStr">
        <is>
          <t>94 0.48%</t>
        </is>
      </c>
    </row>
    <row customHeight="1" ht="17" r="689" s="155">
      <c r="A689" s="105" t="n">
        <v>44134</v>
      </c>
      <c r="B689" s="134" t="n">
        <v>1560.044</v>
      </c>
      <c r="C689" s="150" t="n">
        <v>-27.9</v>
      </c>
      <c r="D689" s="151" t="n">
        <v>-0.0176</v>
      </c>
      <c r="E689" s="134" t="n">
        <v>135.302</v>
      </c>
      <c r="F689" s="134" t="n">
        <v>119.09</v>
      </c>
      <c r="G689" s="134" t="n">
        <v>100</v>
      </c>
      <c r="H689" s="134" t="n">
        <v>162.28</v>
      </c>
      <c r="I689" s="104" t="n">
        <v>0.2698</v>
      </c>
      <c r="J689" s="104" t="n">
        <v>0.1997</v>
      </c>
      <c r="K689" s="104" t="n">
        <v>-0.02</v>
      </c>
      <c r="L689" s="134" t="n">
        <v>948.53</v>
      </c>
      <c r="M689" s="134" t="n">
        <v>4329.6</v>
      </c>
      <c r="N689" s="104" t="n">
        <v>0.2191</v>
      </c>
      <c r="O689" s="134" t="n">
        <v>303</v>
      </c>
      <c r="P689" s="134" t="inlineStr">
        <is>
          <t>1 -1.38%</t>
        </is>
      </c>
      <c r="Q689" s="134" t="inlineStr">
        <is>
          <t>9 -0.67%</t>
        </is>
      </c>
      <c r="R689" s="134" t="inlineStr">
        <is>
          <t>73 -1.17%</t>
        </is>
      </c>
      <c r="S689" s="134" t="inlineStr">
        <is>
          <t>72 -1.76%</t>
        </is>
      </c>
      <c r="T689" s="134" t="inlineStr">
        <is>
          <t>62 -2.08%</t>
        </is>
      </c>
      <c r="U689" s="134" t="inlineStr">
        <is>
          <t>86 -2.14%</t>
        </is>
      </c>
    </row>
    <row customHeight="1" ht="17" r="690" s="155">
      <c r="A690" s="105" t="n">
        <v>44137</v>
      </c>
      <c r="B690" s="134" t="n">
        <v>1535.973</v>
      </c>
      <c r="C690" s="150" t="n">
        <v>-24.071</v>
      </c>
      <c r="D690" s="151" t="n">
        <v>-0.0154</v>
      </c>
      <c r="E690" s="134" t="n">
        <v>132.55</v>
      </c>
      <c r="F690" s="134" t="n">
        <v>117.3</v>
      </c>
      <c r="G690" s="134" t="n">
        <v>98.87</v>
      </c>
      <c r="H690" s="134" t="n">
        <v>156.86</v>
      </c>
      <c r="I690" s="104" t="n">
        <v>0.2431</v>
      </c>
      <c r="J690" s="104" t="n">
        <v>0.1906</v>
      </c>
      <c r="K690" s="104" t="n">
        <v>-0.0166</v>
      </c>
      <c r="L690" s="134" t="n">
        <v>568.8099999999999</v>
      </c>
      <c r="M690" s="134" t="n">
        <v>4325.57</v>
      </c>
      <c r="N690" s="104" t="n">
        <v>0.1315</v>
      </c>
      <c r="O690" s="134" t="n">
        <v>303</v>
      </c>
      <c r="P690" s="134" t="inlineStr">
        <is>
          <t>1 -2.48%</t>
        </is>
      </c>
      <c r="Q690" s="134" t="inlineStr">
        <is>
          <t>9 -0.12%</t>
        </is>
      </c>
      <c r="R690" s="134" t="inlineStr">
        <is>
          <t>83 -0.75%</t>
        </is>
      </c>
      <c r="S690" s="134" t="inlineStr">
        <is>
          <t>80 -0.94%</t>
        </is>
      </c>
      <c r="T690" s="134" t="inlineStr">
        <is>
          <t>54 -1.76%</t>
        </is>
      </c>
      <c r="U690" s="134" t="inlineStr">
        <is>
          <t>76 -2.86%</t>
        </is>
      </c>
    </row>
    <row customHeight="1" ht="17" r="691" s="155">
      <c r="A691" s="105" t="n">
        <v>44138</v>
      </c>
      <c r="B691" s="134" t="n">
        <v>1532.271</v>
      </c>
      <c r="C691" s="150" t="n">
        <v>-3.702</v>
      </c>
      <c r="D691" s="151" t="n">
        <v>-0.0024</v>
      </c>
      <c r="E691" s="134" t="n">
        <v>131.481</v>
      </c>
      <c r="F691" s="134" t="n">
        <v>117.404</v>
      </c>
      <c r="G691" s="134" t="n">
        <v>100.79</v>
      </c>
      <c r="H691" s="134" t="n">
        <v>153.39</v>
      </c>
      <c r="I691" s="104" t="n">
        <v>0.219</v>
      </c>
      <c r="J691" s="104" t="n">
        <v>0.1745</v>
      </c>
      <c r="K691" s="104" t="n">
        <v>-0.0162</v>
      </c>
      <c r="L691" s="134" t="n">
        <v>423.17</v>
      </c>
      <c r="M691" s="134" t="n">
        <v>4335.78</v>
      </c>
      <c r="N691" s="104" t="n">
        <v>0.09760000000000001</v>
      </c>
      <c r="O691" s="134" t="n">
        <v>303</v>
      </c>
      <c r="P691" s="134" t="inlineStr">
        <is>
          <t>1 0.30%</t>
        </is>
      </c>
      <c r="Q691" s="134" t="inlineStr">
        <is>
          <t>9 0.02%</t>
        </is>
      </c>
      <c r="R691" s="134" t="inlineStr">
        <is>
          <t>81 0.35%</t>
        </is>
      </c>
      <c r="S691" s="134" t="inlineStr">
        <is>
          <t>78 0.39%</t>
        </is>
      </c>
      <c r="T691" s="134" t="inlineStr">
        <is>
          <t>52 0.87%</t>
        </is>
      </c>
      <c r="U691" s="134" t="inlineStr">
        <is>
          <t>82 -1.95%</t>
        </is>
      </c>
    </row>
    <row customHeight="1" ht="17" r="692" s="155">
      <c r="A692" s="105" t="n">
        <v>44139</v>
      </c>
      <c r="B692" s="134" t="n">
        <v>1537.343</v>
      </c>
      <c r="C692" s="152" t="n">
        <v>5.072</v>
      </c>
      <c r="D692" s="153" t="n">
        <v>0.0033</v>
      </c>
      <c r="E692" s="134" t="n">
        <v>131.911</v>
      </c>
      <c r="F692" s="134" t="n">
        <v>117.443</v>
      </c>
      <c r="G692" s="134" t="n">
        <v>100.74</v>
      </c>
      <c r="H692" s="134" t="n">
        <v>154.77</v>
      </c>
      <c r="I692" s="104" t="n">
        <v>0.2286</v>
      </c>
      <c r="J692" s="104" t="n">
        <v>0.181</v>
      </c>
      <c r="K692" s="104" t="n">
        <v>-0.0169</v>
      </c>
      <c r="L692" s="134" t="n">
        <v>460.77</v>
      </c>
      <c r="M692" s="134" t="n">
        <v>4491.74</v>
      </c>
      <c r="N692" s="104" t="n">
        <v>0.1026</v>
      </c>
      <c r="O692" s="134" t="n">
        <v>304</v>
      </c>
      <c r="P692" s="134" t="inlineStr">
        <is>
          <t>1 0.13%</t>
        </is>
      </c>
      <c r="Q692" s="134" t="inlineStr">
        <is>
          <t>9 -0.08%</t>
        </is>
      </c>
      <c r="R692" s="134" t="inlineStr">
        <is>
          <t>79 0.01%</t>
        </is>
      </c>
      <c r="S692" s="134" t="inlineStr">
        <is>
          <t>81 0.32%</t>
        </is>
      </c>
      <c r="T692" s="134" t="inlineStr">
        <is>
          <t>48 0.12%</t>
        </is>
      </c>
      <c r="U692" s="134" t="inlineStr">
        <is>
          <t>86 0.98%</t>
        </is>
      </c>
    </row>
    <row customHeight="1" ht="17" r="693" s="155">
      <c r="A693" s="105" t="n">
        <v>44140</v>
      </c>
      <c r="B693" s="134" t="n">
        <v>1552.132</v>
      </c>
      <c r="C693" s="152" t="n">
        <v>14.789</v>
      </c>
      <c r="D693" s="153" t="n">
        <v>0.009599999999999999</v>
      </c>
      <c r="E693" s="134" t="n">
        <v>133.325</v>
      </c>
      <c r="F693" s="134" t="n">
        <v>117.859</v>
      </c>
      <c r="G693" s="134" t="n">
        <v>102.73</v>
      </c>
      <c r="H693" s="134" t="n">
        <v>154.84</v>
      </c>
      <c r="I693" s="104" t="n">
        <v>0.2152</v>
      </c>
      <c r="J693" s="104" t="n">
        <v>0.1614</v>
      </c>
      <c r="K693" s="104" t="n">
        <v>-0.019</v>
      </c>
      <c r="L693" s="134" t="n">
        <v>423.28</v>
      </c>
      <c r="M693" s="134" t="n">
        <v>4492.91</v>
      </c>
      <c r="N693" s="104" t="n">
        <v>0.09420000000000001</v>
      </c>
      <c r="O693" s="134" t="n">
        <v>305</v>
      </c>
      <c r="P693" s="134" t="inlineStr">
        <is>
          <t>1 0.24%</t>
        </is>
      </c>
      <c r="Q693" s="134" t="inlineStr">
        <is>
          <t>8 0.08%</t>
        </is>
      </c>
      <c r="R693" s="134" t="inlineStr">
        <is>
          <t>72 0.28%</t>
        </is>
      </c>
      <c r="S693" s="134" t="inlineStr">
        <is>
          <t>81 0.75%</t>
        </is>
      </c>
      <c r="T693" s="134" t="inlineStr">
        <is>
          <t>55 1.01%</t>
        </is>
      </c>
      <c r="U693" s="134" t="inlineStr">
        <is>
          <t>88 1.94%</t>
        </is>
      </c>
    </row>
    <row customHeight="1" ht="17" r="694" s="155">
      <c r="A694" s="105" t="n">
        <v>44141</v>
      </c>
      <c r="B694" s="134" t="n">
        <v>1540.6</v>
      </c>
      <c r="C694" s="150" t="n">
        <v>-11.532</v>
      </c>
      <c r="D694" s="151" t="n">
        <v>-0.0074</v>
      </c>
      <c r="E694" s="134" t="n">
        <v>132.218</v>
      </c>
      <c r="F694" s="134" t="n">
        <v>117.675</v>
      </c>
      <c r="G694" s="134" t="n">
        <v>101.41</v>
      </c>
      <c r="H694" s="134" t="n">
        <v>153.93</v>
      </c>
      <c r="I694" s="104" t="n">
        <v>0.2171</v>
      </c>
      <c r="J694" s="104" t="n">
        <v>0.1638</v>
      </c>
      <c r="K694" s="104" t="n">
        <v>-0.0172</v>
      </c>
      <c r="L694" s="134" t="n">
        <v>376.67</v>
      </c>
      <c r="M694" s="134" t="n">
        <v>4493.38</v>
      </c>
      <c r="N694" s="104" t="n">
        <v>0.0838</v>
      </c>
      <c r="O694" s="134" t="n">
        <v>306</v>
      </c>
      <c r="P694" s="134" t="inlineStr">
        <is>
          <t>1 -0.22%</t>
        </is>
      </c>
      <c r="Q694" s="134" t="inlineStr">
        <is>
          <t>9 0.07%</t>
        </is>
      </c>
      <c r="R694" s="134" t="inlineStr">
        <is>
          <t>72 -0.12%</t>
        </is>
      </c>
      <c r="S694" s="134" t="inlineStr">
        <is>
          <t>89 -0.51%</t>
        </is>
      </c>
      <c r="T694" s="134" t="inlineStr">
        <is>
          <t>49 -0.19%</t>
        </is>
      </c>
      <c r="U694" s="134" t="inlineStr">
        <is>
          <t>86 -1.68%</t>
        </is>
      </c>
    </row>
    <row customHeight="1" ht="17" r="695" s="155">
      <c r="A695" s="105" t="n">
        <v>44144</v>
      </c>
      <c r="B695" s="134" t="n">
        <v>1559.072</v>
      </c>
      <c r="C695" s="152" t="n">
        <v>18.472</v>
      </c>
      <c r="D695" s="153" t="n">
        <v>0.012</v>
      </c>
      <c r="E695" s="134" t="n">
        <v>134.586</v>
      </c>
      <c r="F695" s="134" t="n">
        <v>119</v>
      </c>
      <c r="G695" s="134" t="n">
        <v>102.84</v>
      </c>
      <c r="H695" s="134" t="n">
        <v>155.28</v>
      </c>
      <c r="I695" s="104" t="n">
        <v>0.2069</v>
      </c>
      <c r="J695" s="104" t="n">
        <v>0.1576</v>
      </c>
      <c r="K695" s="104" t="n">
        <v>-0.0198</v>
      </c>
      <c r="L695" s="134" t="n">
        <v>401.88</v>
      </c>
      <c r="M695" s="134" t="n">
        <v>4497.62</v>
      </c>
      <c r="N695" s="104" t="n">
        <v>0.08939999999999999</v>
      </c>
      <c r="O695" s="134" t="n">
        <v>307</v>
      </c>
      <c r="P695" s="134" t="inlineStr">
        <is>
          <t>1 0.56%</t>
        </is>
      </c>
      <c r="Q695" s="134" t="inlineStr">
        <is>
          <t>8 0.35%</t>
        </is>
      </c>
      <c r="R695" s="134" t="inlineStr">
        <is>
          <t>60 0.63%</t>
        </is>
      </c>
      <c r="S695" s="134" t="inlineStr">
        <is>
          <t>93 1.00%</t>
        </is>
      </c>
      <c r="T695" s="134" t="inlineStr">
        <is>
          <t>54 1.07%</t>
        </is>
      </c>
      <c r="U695" s="134" t="inlineStr">
        <is>
          <t>91 1.94%</t>
        </is>
      </c>
    </row>
    <row customHeight="1" ht="17" r="696" s="155">
      <c r="A696" s="105" t="n">
        <v>44145</v>
      </c>
      <c r="B696" s="134" t="n">
        <v>1551.791</v>
      </c>
      <c r="C696" s="150" t="n">
        <v>-7.281</v>
      </c>
      <c r="D696" s="151" t="n">
        <v>-0.0047</v>
      </c>
      <c r="E696" s="134" t="n">
        <v>132.973</v>
      </c>
      <c r="F696" s="134" t="n">
        <v>118.69</v>
      </c>
      <c r="G696" s="134" t="n">
        <v>102.95</v>
      </c>
      <c r="H696" s="134" t="n">
        <v>154.3</v>
      </c>
      <c r="I696" s="104" t="n">
        <v>0.2133</v>
      </c>
      <c r="J696" s="104" t="n">
        <v>0.1632</v>
      </c>
      <c r="K696" s="104" t="n">
        <v>-0.0188</v>
      </c>
      <c r="L696" s="134" t="n">
        <v>376.84</v>
      </c>
      <c r="M696" s="134" t="n">
        <v>4492.71</v>
      </c>
      <c r="N696" s="104" t="n">
        <v>0.0839</v>
      </c>
      <c r="O696" s="134" t="n">
        <v>307</v>
      </c>
      <c r="P696" s="134" t="inlineStr">
        <is>
          <t>1 -0.41%</t>
        </is>
      </c>
      <c r="Q696" s="134" t="inlineStr">
        <is>
          <t>8 0.00%</t>
        </is>
      </c>
      <c r="R696" s="134" t="inlineStr">
        <is>
          <t>68 -0.28%</t>
        </is>
      </c>
      <c r="S696" s="134" t="inlineStr">
        <is>
          <t>88 -0.48%</t>
        </is>
      </c>
      <c r="T696" s="134" t="inlineStr">
        <is>
          <t>53 0.21%</t>
        </is>
      </c>
      <c r="U696" s="134" t="inlineStr">
        <is>
          <t>89 -0.67%</t>
        </is>
      </c>
    </row>
    <row customHeight="1" ht="17" r="697" s="155">
      <c r="A697" s="105" t="n">
        <v>44146</v>
      </c>
      <c r="B697" s="134" t="n">
        <v>1543.567</v>
      </c>
      <c r="C697" s="150" t="n">
        <v>-8.224</v>
      </c>
      <c r="D697" s="151" t="n">
        <v>-0.0053</v>
      </c>
      <c r="E697" s="134" t="n">
        <v>132.032</v>
      </c>
      <c r="F697" s="134" t="n">
        <v>118.672</v>
      </c>
      <c r="G697" s="134" t="n">
        <v>101.35</v>
      </c>
      <c r="H697" s="134" t="n">
        <v>154.57</v>
      </c>
      <c r="I697" s="104" t="n">
        <v>0.2254</v>
      </c>
      <c r="J697" s="104" t="n">
        <v>0.1681</v>
      </c>
      <c r="K697" s="104" t="n">
        <v>-0.0176</v>
      </c>
      <c r="L697" s="134" t="n">
        <v>325.85</v>
      </c>
      <c r="M697" s="134" t="n">
        <v>4491.56</v>
      </c>
      <c r="N697" s="104" t="n">
        <v>0.0725</v>
      </c>
      <c r="O697" s="134" t="n">
        <v>308</v>
      </c>
      <c r="P697" s="134" t="inlineStr">
        <is>
          <t>1 -0.11%</t>
        </is>
      </c>
      <c r="Q697" s="134" t="inlineStr">
        <is>
          <t>8 -0.07%</t>
        </is>
      </c>
      <c r="R697" s="134" t="inlineStr">
        <is>
          <t>70 -0.43%</t>
        </is>
      </c>
      <c r="S697" s="134" t="inlineStr">
        <is>
          <t>91 -0.36%</t>
        </is>
      </c>
      <c r="T697" s="134" t="inlineStr">
        <is>
          <t>47 -0.74%</t>
        </is>
      </c>
      <c r="U697" s="134" t="inlineStr">
        <is>
          <t>91 -0.72%</t>
        </is>
      </c>
    </row>
    <row customHeight="1" ht="17" r="698" s="155">
      <c r="A698" s="105" t="n">
        <v>44147</v>
      </c>
      <c r="B698" s="134" t="n">
        <v>1553.585</v>
      </c>
      <c r="C698" s="152" t="n">
        <v>10.018</v>
      </c>
      <c r="D698" s="153" t="n">
        <v>0.0065</v>
      </c>
      <c r="E698" s="134" t="n">
        <v>133.067</v>
      </c>
      <c r="F698" s="134" t="n">
        <v>118.475</v>
      </c>
      <c r="G698" s="134" t="n">
        <v>100.96</v>
      </c>
      <c r="H698" s="134" t="n">
        <v>156.25</v>
      </c>
      <c r="I698" s="104" t="n">
        <v>0.2318</v>
      </c>
      <c r="J698" s="104" t="n">
        <v>0.165</v>
      </c>
      <c r="K698" s="104" t="n">
        <v>-0.0187</v>
      </c>
      <c r="L698" s="134" t="n">
        <v>405.07</v>
      </c>
      <c r="M698" s="134" t="n">
        <v>4482.56</v>
      </c>
      <c r="N698" s="104" t="n">
        <v>0.09039999999999999</v>
      </c>
      <c r="O698" s="134" t="n">
        <v>308</v>
      </c>
      <c r="P698" s="134" t="inlineStr">
        <is>
          <t>1 -0.11%</t>
        </is>
      </c>
      <c r="Q698" s="134" t="inlineStr">
        <is>
          <t>9 -0.24%</t>
        </is>
      </c>
      <c r="R698" s="134" t="inlineStr">
        <is>
          <t>68 -0.03%</t>
        </is>
      </c>
      <c r="S698" s="134" t="inlineStr">
        <is>
          <t>92 0.08%</t>
        </is>
      </c>
      <c r="T698" s="134" t="inlineStr">
        <is>
          <t>47 0.05%</t>
        </is>
      </c>
      <c r="U698" s="134" t="inlineStr">
        <is>
          <t>91 2.14%</t>
        </is>
      </c>
    </row>
    <row customHeight="1" ht="17" r="699" s="155">
      <c r="A699" s="105" t="n">
        <v>44148</v>
      </c>
      <c r="B699" s="134" t="n">
        <v>1568.329</v>
      </c>
      <c r="C699" s="152" t="n">
        <v>14.744</v>
      </c>
      <c r="D699" s="153" t="n">
        <v>0.0095</v>
      </c>
      <c r="E699" s="134" t="n">
        <v>134.498</v>
      </c>
      <c r="F699" s="134" t="n">
        <v>119</v>
      </c>
      <c r="G699" s="134" t="n">
        <v>101.03</v>
      </c>
      <c r="H699" s="134" t="n">
        <v>158.88</v>
      </c>
      <c r="I699" s="104" t="n">
        <v>0.2438</v>
      </c>
      <c r="J699" s="104" t="n">
        <v>0.1769</v>
      </c>
      <c r="K699" s="104" t="n">
        <v>-0.0205</v>
      </c>
      <c r="L699" s="134" t="n">
        <v>844.74</v>
      </c>
      <c r="M699" s="134" t="n">
        <v>4475.42</v>
      </c>
      <c r="N699" s="104" t="n">
        <v>0.1888</v>
      </c>
      <c r="O699" s="134" t="n">
        <v>308</v>
      </c>
      <c r="P699" s="134" t="inlineStr">
        <is>
          <t>2 -3.25%</t>
        </is>
      </c>
      <c r="Q699" s="134" t="inlineStr">
        <is>
          <t>10 -0.70%</t>
        </is>
      </c>
      <c r="R699" s="134" t="inlineStr">
        <is>
          <t>71 -0.32%</t>
        </is>
      </c>
      <c r="S699" s="134" t="inlineStr">
        <is>
          <t>86 0.04%</t>
        </is>
      </c>
      <c r="T699" s="134" t="inlineStr">
        <is>
          <t>41 0.61%</t>
        </is>
      </c>
      <c r="U699" s="134" t="inlineStr">
        <is>
          <t>98 3.44%</t>
        </is>
      </c>
    </row>
    <row customHeight="1" ht="17" r="700" s="155">
      <c r="A700" s="105" t="n">
        <v>44151</v>
      </c>
      <c r="B700" s="134" t="n">
        <v>1563.985</v>
      </c>
      <c r="C700" s="150" t="n">
        <v>-4.344</v>
      </c>
      <c r="D700" s="151" t="n">
        <v>-0.0028</v>
      </c>
      <c r="E700" s="134" t="n">
        <v>134.06</v>
      </c>
      <c r="F700" s="134" t="n">
        <v>119.008</v>
      </c>
      <c r="G700" s="134" t="n">
        <v>101.84</v>
      </c>
      <c r="H700" s="134" t="n">
        <v>156.81</v>
      </c>
      <c r="I700" s="104" t="n">
        <v>0.2275</v>
      </c>
      <c r="J700" s="104" t="n">
        <v>0.1671</v>
      </c>
      <c r="K700" s="104" t="n">
        <v>-0.0201</v>
      </c>
      <c r="L700" s="134" t="n">
        <v>594.88</v>
      </c>
      <c r="M700" s="134" t="n">
        <v>4477.89</v>
      </c>
      <c r="N700" s="104" t="n">
        <v>0.1328</v>
      </c>
      <c r="O700" s="134" t="n">
        <v>309</v>
      </c>
      <c r="P700" s="134" t="inlineStr">
        <is>
          <t>3 -2.15%</t>
        </is>
      </c>
      <c r="Q700" s="134" t="inlineStr">
        <is>
          <t>8 -0.01%</t>
        </is>
      </c>
      <c r="R700" s="134" t="inlineStr">
        <is>
          <t>73 -0.03%</t>
        </is>
      </c>
      <c r="S700" s="134" t="inlineStr">
        <is>
          <t>84 -0.10%</t>
        </is>
      </c>
      <c r="T700" s="134" t="inlineStr">
        <is>
          <t>41 1.55%</t>
        </is>
      </c>
      <c r="U700" s="134" t="inlineStr">
        <is>
          <t>100 -0.02%</t>
        </is>
      </c>
    </row>
    <row customHeight="1" ht="17" r="701" s="155">
      <c r="A701" s="105" t="n">
        <v>44152</v>
      </c>
      <c r="B701" s="134" t="n">
        <v>1548.893</v>
      </c>
      <c r="C701" s="150" t="n">
        <v>-15.092</v>
      </c>
      <c r="D701" s="151" t="n">
        <v>-0.0097</v>
      </c>
      <c r="E701" s="134" t="n">
        <v>132.385</v>
      </c>
      <c r="F701" s="134" t="n">
        <v>117.565</v>
      </c>
      <c r="G701" s="134" t="n">
        <v>101.1</v>
      </c>
      <c r="H701" s="134" t="n">
        <v>154.98</v>
      </c>
      <c r="I701" s="104" t="n">
        <v>0.226</v>
      </c>
      <c r="J701" s="104" t="n">
        <v>0.1667</v>
      </c>
      <c r="K701" s="104" t="n">
        <v>-0.0181</v>
      </c>
      <c r="L701" s="134" t="n">
        <v>584.52</v>
      </c>
      <c r="M701" s="134" t="n">
        <v>4511.61</v>
      </c>
      <c r="N701" s="104" t="n">
        <v>0.1296</v>
      </c>
      <c r="O701" s="134" t="n">
        <v>313</v>
      </c>
      <c r="P701" s="134" t="inlineStr">
        <is>
          <t>2 -0.92%</t>
        </is>
      </c>
      <c r="Q701" s="134" t="inlineStr">
        <is>
          <t>9 -0.13%</t>
        </is>
      </c>
      <c r="R701" s="134" t="inlineStr">
        <is>
          <t>79 -0.54%</t>
        </is>
      </c>
      <c r="S701" s="134" t="inlineStr">
        <is>
          <t>87 -0.94%</t>
        </is>
      </c>
      <c r="T701" s="134" t="inlineStr">
        <is>
          <t>39 -0.41%</t>
        </is>
      </c>
      <c r="U701" s="134" t="inlineStr">
        <is>
          <t>97 -1.40%</t>
        </is>
      </c>
    </row>
    <row customHeight="1" ht="17" r="702" s="155">
      <c r="A702" s="105" t="n">
        <v>44153</v>
      </c>
      <c r="B702" s="134" t="n">
        <v>1547.034</v>
      </c>
      <c r="C702" s="150" t="n">
        <v>-1.859</v>
      </c>
      <c r="D702" s="151" t="n">
        <v>-0.0012</v>
      </c>
      <c r="E702" s="134" t="n">
        <v>132.075</v>
      </c>
      <c r="F702" s="134" t="n">
        <v>118.04</v>
      </c>
      <c r="G702" s="134" t="n">
        <v>102.78</v>
      </c>
      <c r="H702" s="134" t="n">
        <v>153.93</v>
      </c>
      <c r="I702" s="104" t="n">
        <v>0.2186</v>
      </c>
      <c r="J702" s="104" t="n">
        <v>0.1599</v>
      </c>
      <c r="K702" s="104" t="n">
        <v>-0.0177</v>
      </c>
      <c r="L702" s="134" t="n">
        <v>471.05</v>
      </c>
      <c r="M702" s="134" t="n">
        <v>4505.82</v>
      </c>
      <c r="N702" s="104" t="n">
        <v>0.1045</v>
      </c>
      <c r="O702" s="134" t="n">
        <v>313</v>
      </c>
      <c r="P702" s="134" t="inlineStr">
        <is>
          <t>2 1.73%</t>
        </is>
      </c>
      <c r="Q702" s="134" t="inlineStr">
        <is>
          <t>9 0.10%</t>
        </is>
      </c>
      <c r="R702" s="134" t="inlineStr">
        <is>
          <t>79 0.02%</t>
        </is>
      </c>
      <c r="S702" s="134" t="inlineStr">
        <is>
          <t>85 0.36%</t>
        </is>
      </c>
      <c r="T702" s="134" t="inlineStr">
        <is>
          <t>44 0.50%</t>
        </is>
      </c>
      <c r="U702" s="134" t="inlineStr">
        <is>
          <t>94 -0.84%</t>
        </is>
      </c>
    </row>
    <row customHeight="1" ht="17" r="703" s="155">
      <c r="A703" s="105" t="n">
        <v>44154</v>
      </c>
      <c r="B703" s="134" t="n">
        <v>1542.687</v>
      </c>
      <c r="C703" s="150" t="n">
        <v>-4.347</v>
      </c>
      <c r="D703" s="151" t="n">
        <v>-0.0028</v>
      </c>
      <c r="E703" s="134" t="n">
        <v>131.772</v>
      </c>
      <c r="F703" s="134" t="n">
        <v>118.3</v>
      </c>
      <c r="G703" s="134" t="n">
        <v>102.71</v>
      </c>
      <c r="H703" s="134" t="n">
        <v>152.88</v>
      </c>
      <c r="I703" s="104" t="n">
        <v>0.211</v>
      </c>
      <c r="J703" s="104" t="n">
        <v>0.1506</v>
      </c>
      <c r="K703" s="104" t="n">
        <v>-0.017</v>
      </c>
      <c r="L703" s="134" t="n">
        <v>388.76</v>
      </c>
      <c r="M703" s="134" t="n">
        <v>4510.85</v>
      </c>
      <c r="N703" s="104" t="n">
        <v>0.0862</v>
      </c>
      <c r="O703" s="134" t="n">
        <v>313</v>
      </c>
      <c r="P703" s="134" t="inlineStr">
        <is>
          <t>2 -0.28%</t>
        </is>
      </c>
      <c r="Q703" s="134" t="inlineStr">
        <is>
          <t>10 -0.10%</t>
        </is>
      </c>
      <c r="R703" s="134" t="inlineStr">
        <is>
          <t>81 -0.31%</t>
        </is>
      </c>
      <c r="S703" s="134" t="inlineStr">
        <is>
          <t>78 0.02%</t>
        </is>
      </c>
      <c r="T703" s="134" t="inlineStr">
        <is>
          <t>51 -0.69%</t>
        </is>
      </c>
      <c r="U703" s="134" t="inlineStr">
        <is>
          <t>91 -0.18%</t>
        </is>
      </c>
    </row>
    <row customHeight="1" ht="17" r="704" s="155">
      <c r="A704" s="105" t="n">
        <v>44155</v>
      </c>
      <c r="B704" s="134" t="n">
        <v>1546.004</v>
      </c>
      <c r="C704" s="152" t="n">
        <v>3.317</v>
      </c>
      <c r="D704" s="153" t="n">
        <v>0.0022</v>
      </c>
      <c r="E704" s="134" t="n">
        <v>132</v>
      </c>
      <c r="F704" s="134" t="n">
        <v>118.035</v>
      </c>
      <c r="G704" s="134" t="n">
        <v>102.62</v>
      </c>
      <c r="H704" s="134" t="n">
        <v>152.6</v>
      </c>
      <c r="I704" s="104" t="n">
        <v>0.206</v>
      </c>
      <c r="J704" s="104" t="n">
        <v>0.1447</v>
      </c>
      <c r="K704" s="104" t="n">
        <v>-0.0176</v>
      </c>
      <c r="L704" s="134" t="n">
        <v>369.58</v>
      </c>
      <c r="M704" s="134" t="n">
        <v>4544.38</v>
      </c>
      <c r="N704" s="104" t="n">
        <v>0.0813</v>
      </c>
      <c r="O704" s="134" t="n">
        <v>314</v>
      </c>
      <c r="P704" s="134" t="inlineStr">
        <is>
          <t>2 -0.16%</t>
        </is>
      </c>
      <c r="Q704" s="134" t="inlineStr">
        <is>
          <t>10 -0.04%</t>
        </is>
      </c>
      <c r="R704" s="134" t="inlineStr">
        <is>
          <t>77 -0.11%</t>
        </is>
      </c>
      <c r="S704" s="134" t="inlineStr">
        <is>
          <t>85 0.25%</t>
        </is>
      </c>
      <c r="T704" s="134" t="inlineStr">
        <is>
          <t>47 0.51%</t>
        </is>
      </c>
      <c r="U704" s="134" t="inlineStr">
        <is>
          <t>93 0.50%</t>
        </is>
      </c>
    </row>
    <row customHeight="1" ht="17" r="705" s="155">
      <c r="A705" s="105" t="n">
        <v>44158</v>
      </c>
      <c r="B705" s="134" t="n">
        <v>1553.131</v>
      </c>
      <c r="C705" s="152" t="n">
        <v>7.127</v>
      </c>
      <c r="D705" s="153" t="n">
        <v>0.0046</v>
      </c>
      <c r="E705" s="134" t="n">
        <v>132.635</v>
      </c>
      <c r="F705" s="134" t="n">
        <v>118.47</v>
      </c>
      <c r="G705" s="134" t="n">
        <v>103.29</v>
      </c>
      <c r="H705" s="134" t="n">
        <v>153.01</v>
      </c>
      <c r="I705" s="104" t="n">
        <v>0.2038</v>
      </c>
      <c r="J705" s="104" t="n">
        <v>0.1413</v>
      </c>
      <c r="K705" s="104" t="n">
        <v>-0.0188</v>
      </c>
      <c r="L705" s="134" t="n">
        <v>363.36</v>
      </c>
      <c r="M705" s="134" t="n">
        <v>4543.87</v>
      </c>
      <c r="N705" s="104" t="n">
        <v>0.08</v>
      </c>
      <c r="O705" s="134" t="n">
        <v>315</v>
      </c>
      <c r="P705" s="134" t="inlineStr">
        <is>
          <t>2 1.04%</t>
        </is>
      </c>
      <c r="Q705" s="134" t="inlineStr">
        <is>
          <t>9 0.08%</t>
        </is>
      </c>
      <c r="R705" s="134" t="inlineStr">
        <is>
          <t>71 0.43%</t>
        </is>
      </c>
      <c r="S705" s="134" t="inlineStr">
        <is>
          <t>88 0.24%</t>
        </is>
      </c>
      <c r="T705" s="134" t="inlineStr">
        <is>
          <t>50 0.41%</t>
        </is>
      </c>
      <c r="U705" s="134" t="inlineStr">
        <is>
          <t>95 1.15%</t>
        </is>
      </c>
    </row>
    <row customHeight="1" ht="17" r="706" s="155">
      <c r="A706" s="105" t="n">
        <v>44159</v>
      </c>
      <c r="B706" s="134" t="n">
        <v>1559.375</v>
      </c>
      <c r="C706" s="152" t="n">
        <v>6.244</v>
      </c>
      <c r="D706" s="153" t="n">
        <v>0.004</v>
      </c>
      <c r="E706" s="134" t="n">
        <v>133.525</v>
      </c>
      <c r="F706" s="134" t="n">
        <v>119.2</v>
      </c>
      <c r="G706" s="134" t="n">
        <v>103.65</v>
      </c>
      <c r="H706" s="134" t="n">
        <v>154.09</v>
      </c>
      <c r="I706" s="104" t="n">
        <v>0.2056</v>
      </c>
      <c r="J706" s="104" t="n">
        <v>0.1505</v>
      </c>
      <c r="K706" s="104" t="n">
        <v>-0.0197</v>
      </c>
      <c r="L706" s="134" t="n">
        <v>373.71</v>
      </c>
      <c r="M706" s="134" t="n">
        <v>4538</v>
      </c>
      <c r="N706" s="104" t="n">
        <v>0.0824</v>
      </c>
      <c r="O706" s="134" t="n">
        <v>315</v>
      </c>
      <c r="P706" s="134" t="inlineStr">
        <is>
          <t>2 -0.37%</t>
        </is>
      </c>
      <c r="Q706" s="134" t="inlineStr">
        <is>
          <t>9 0.12%</t>
        </is>
      </c>
      <c r="R706" s="134" t="inlineStr">
        <is>
          <t>72 0.25%</t>
        </is>
      </c>
      <c r="S706" s="134" t="inlineStr">
        <is>
          <t>83 0.09%</t>
        </is>
      </c>
      <c r="T706" s="134" t="inlineStr">
        <is>
          <t>50 -0.01%</t>
        </is>
      </c>
      <c r="U706" s="134" t="inlineStr">
        <is>
          <t>99 1.02%</t>
        </is>
      </c>
    </row>
    <row customHeight="1" ht="17" r="707" s="155">
      <c r="A707" s="105" t="n">
        <v>44160</v>
      </c>
      <c r="B707" s="134" t="n">
        <v>1554.588</v>
      </c>
      <c r="C707" s="150" t="n">
        <v>-4.787</v>
      </c>
      <c r="D707" s="151" t="n">
        <v>-0.0031</v>
      </c>
      <c r="E707" s="134" t="n">
        <v>133.067</v>
      </c>
      <c r="F707" s="134" t="n">
        <v>119.01</v>
      </c>
      <c r="G707" s="134" t="n">
        <v>101.79</v>
      </c>
      <c r="H707" s="134" t="n">
        <v>155.22</v>
      </c>
      <c r="I707" s="104" t="n">
        <v>0.2216</v>
      </c>
      <c r="J707" s="104" t="n">
        <v>0.1602</v>
      </c>
      <c r="K707" s="104" t="n">
        <v>-0.019</v>
      </c>
      <c r="L707" s="134" t="n">
        <v>417.96</v>
      </c>
      <c r="M707" s="134" t="n">
        <v>4529.34</v>
      </c>
      <c r="N707" s="104" t="n">
        <v>0.09229999999999999</v>
      </c>
      <c r="O707" s="134" t="n">
        <v>315</v>
      </c>
      <c r="P707" s="134" t="inlineStr">
        <is>
          <t>2 -0.12%</t>
        </is>
      </c>
      <c r="Q707" s="134" t="inlineStr">
        <is>
          <t>9 0.00%</t>
        </is>
      </c>
      <c r="R707" s="134" t="inlineStr">
        <is>
          <t>75 0.04%</t>
        </is>
      </c>
      <c r="S707" s="134" t="inlineStr">
        <is>
          <t>79 0.01%</t>
        </is>
      </c>
      <c r="T707" s="134" t="inlineStr">
        <is>
          <t>50 -0.14%</t>
        </is>
      </c>
      <c r="U707" s="134" t="inlineStr">
        <is>
          <t>100 -0.66%</t>
        </is>
      </c>
    </row>
    <row customHeight="1" ht="17" r="708" s="155">
      <c r="A708" s="105" t="n">
        <v>44161</v>
      </c>
      <c r="B708" s="134" t="n">
        <v>1549.458</v>
      </c>
      <c r="C708" s="150" t="n">
        <v>-5.13</v>
      </c>
      <c r="D708" s="151" t="n">
        <v>-0.0033</v>
      </c>
      <c r="E708" s="134" t="n">
        <v>132.302</v>
      </c>
      <c r="F708" s="134" t="n">
        <v>117.998</v>
      </c>
      <c r="G708" s="134" t="n">
        <v>101.64</v>
      </c>
      <c r="H708" s="134" t="n">
        <v>154.77</v>
      </c>
      <c r="I708" s="104" t="n">
        <v>0.2246</v>
      </c>
      <c r="J708" s="104" t="n">
        <v>0.1701</v>
      </c>
      <c r="K708" s="104" t="n">
        <v>-0.018</v>
      </c>
      <c r="L708" s="134" t="n">
        <v>461.85</v>
      </c>
      <c r="M708" s="134" t="n">
        <v>4555.5</v>
      </c>
      <c r="N708" s="104" t="n">
        <v>0.1014</v>
      </c>
      <c r="O708" s="134" t="n">
        <v>317</v>
      </c>
      <c r="P708" s="134" t="inlineStr">
        <is>
          <t>2 -0.75%</t>
        </is>
      </c>
      <c r="Q708" s="134" t="inlineStr">
        <is>
          <t>8 0.30%</t>
        </is>
      </c>
      <c r="R708" s="134" t="inlineStr">
        <is>
          <t>75 -0.21%</t>
        </is>
      </c>
      <c r="S708" s="134" t="inlineStr">
        <is>
          <t>88 -0.60%</t>
        </is>
      </c>
      <c r="T708" s="134" t="inlineStr">
        <is>
          <t>51 -0.68%</t>
        </is>
      </c>
      <c r="U708" s="134" t="inlineStr">
        <is>
          <t>93 -0.03%</t>
        </is>
      </c>
    </row>
    <row customHeight="1" ht="17" r="709" s="155">
      <c r="A709" s="105" t="n">
        <v>44162</v>
      </c>
      <c r="B709" s="134" t="n">
        <v>1544.298</v>
      </c>
      <c r="C709" s="150" t="n">
        <v>-5.16</v>
      </c>
      <c r="D709" s="151" t="n">
        <v>-0.0033</v>
      </c>
      <c r="E709" s="134" t="n">
        <v>131.527</v>
      </c>
      <c r="F709" s="134" t="n">
        <v>117.99</v>
      </c>
      <c r="G709" s="134" t="n">
        <v>101.08</v>
      </c>
      <c r="H709" s="134" t="n">
        <v>153.71</v>
      </c>
      <c r="I709" s="104" t="n">
        <v>0.2218</v>
      </c>
      <c r="J709" s="104" t="n">
        <v>0.1698</v>
      </c>
      <c r="K709" s="104" t="n">
        <v>-0.0166</v>
      </c>
      <c r="L709" s="134" t="n">
        <v>415.84</v>
      </c>
      <c r="M709" s="134" t="n">
        <v>4549.23</v>
      </c>
      <c r="N709" s="104" t="n">
        <v>0.0914</v>
      </c>
      <c r="O709" s="134" t="n">
        <v>315</v>
      </c>
      <c r="P709" s="134" t="inlineStr">
        <is>
          <t>2 -0.27%</t>
        </is>
      </c>
      <c r="Q709" s="134" t="inlineStr">
        <is>
          <t>8 -0.25%</t>
        </is>
      </c>
      <c r="R709" s="134" t="inlineStr">
        <is>
          <t>78 -0.02%</t>
        </is>
      </c>
      <c r="S709" s="134" t="inlineStr">
        <is>
          <t>88 0.06%</t>
        </is>
      </c>
      <c r="T709" s="134" t="inlineStr">
        <is>
          <t>52 -0.52%</t>
        </is>
      </c>
      <c r="U709" s="134" t="inlineStr">
        <is>
          <t>87 -0.14%</t>
        </is>
      </c>
    </row>
    <row customHeight="1" ht="17" r="710" s="155">
      <c r="A710" s="105" t="n">
        <v>44165</v>
      </c>
      <c r="B710" s="134" t="n">
        <v>1544.391</v>
      </c>
      <c r="C710" s="152" t="n">
        <v>0.093</v>
      </c>
      <c r="D710" s="153" t="n">
        <v>0.0001</v>
      </c>
      <c r="E710" s="134" t="n">
        <v>131.388</v>
      </c>
      <c r="F710" s="134" t="n">
        <v>117.949</v>
      </c>
      <c r="G710" s="134" t="n">
        <v>100.42</v>
      </c>
      <c r="H710" s="134" t="n">
        <v>153.96</v>
      </c>
      <c r="I710" s="104" t="n">
        <v>0.2257</v>
      </c>
      <c r="J710" s="104" t="n">
        <v>0.1728</v>
      </c>
      <c r="K710" s="104" t="n">
        <v>-0.0166</v>
      </c>
      <c r="L710" s="134" t="n">
        <v>428.77</v>
      </c>
      <c r="M710" s="134" t="n">
        <v>4621.49</v>
      </c>
      <c r="N710" s="104" t="n">
        <v>0.09279999999999999</v>
      </c>
      <c r="O710" s="134" t="n">
        <v>318</v>
      </c>
      <c r="P710" s="134" t="inlineStr">
        <is>
          <t>2 -0.08%</t>
        </is>
      </c>
      <c r="Q710" s="134" t="inlineStr">
        <is>
          <t>8 -0.08%</t>
        </is>
      </c>
      <c r="R710" s="134" t="inlineStr">
        <is>
          <t>84 -0.05%</t>
        </is>
      </c>
      <c r="S710" s="134" t="inlineStr">
        <is>
          <t>85 -0.06%</t>
        </is>
      </c>
      <c r="T710" s="134" t="inlineStr">
        <is>
          <t>51 0.10%</t>
        </is>
      </c>
      <c r="U710" s="134" t="inlineStr">
        <is>
          <t>88 0.08%</t>
        </is>
      </c>
    </row>
    <row customHeight="1" ht="17" r="711" s="155">
      <c r="A711" s="105" t="n">
        <v>44166</v>
      </c>
      <c r="B711" s="134" t="n">
        <v>1552.267</v>
      </c>
      <c r="C711" s="152" t="n">
        <v>7.876</v>
      </c>
      <c r="D711" s="153" t="n">
        <v>0.0051</v>
      </c>
      <c r="E711" s="134" t="n">
        <v>132.089</v>
      </c>
      <c r="F711" s="134" t="n">
        <v>118.38</v>
      </c>
      <c r="G711" s="134" t="n">
        <v>101.61</v>
      </c>
      <c r="H711" s="134" t="n">
        <v>153.73</v>
      </c>
      <c r="I711" s="104" t="n">
        <v>0.2164</v>
      </c>
      <c r="J711" s="104" t="n">
        <v>0.1662</v>
      </c>
      <c r="K711" s="104" t="n">
        <v>-0.0179</v>
      </c>
      <c r="L711" s="134" t="n">
        <v>376.91</v>
      </c>
      <c r="M711" s="134" t="n">
        <v>4618.25</v>
      </c>
      <c r="N711" s="104" t="n">
        <v>0.08160000000000001</v>
      </c>
      <c r="O711" s="134" t="n">
        <v>317</v>
      </c>
      <c r="P711" s="134" t="inlineStr">
        <is>
          <t>2 -0.14%</t>
        </is>
      </c>
      <c r="Q711" s="134" t="inlineStr">
        <is>
          <t>8 0.01%</t>
        </is>
      </c>
      <c r="R711" s="134" t="inlineStr">
        <is>
          <t>77 0.16%</t>
        </is>
      </c>
      <c r="S711" s="134" t="inlineStr">
        <is>
          <t>86 0.66%</t>
        </is>
      </c>
      <c r="T711" s="134" t="inlineStr">
        <is>
          <t>55 0.44%</t>
        </is>
      </c>
      <c r="U711" s="134" t="inlineStr">
        <is>
          <t>89 0.93%</t>
        </is>
      </c>
    </row>
    <row customHeight="1" ht="17" r="712" s="155">
      <c r="A712" s="105" t="n">
        <v>44167</v>
      </c>
      <c r="B712" s="134" t="n">
        <v>1551.786</v>
      </c>
      <c r="C712" s="150" t="n">
        <v>-0.481</v>
      </c>
      <c r="D712" s="151" t="n">
        <v>-0.0003</v>
      </c>
      <c r="E712" s="134" t="n">
        <v>131.93</v>
      </c>
      <c r="F712" s="134" t="n">
        <v>118.05</v>
      </c>
      <c r="G712" s="134" t="n">
        <v>101.21</v>
      </c>
      <c r="H712" s="134" t="n">
        <v>153.21</v>
      </c>
      <c r="I712" s="104" t="n">
        <v>0.2128</v>
      </c>
      <c r="J712" s="104" t="n">
        <v>0.1636</v>
      </c>
      <c r="K712" s="104" t="n">
        <v>-0.0178</v>
      </c>
      <c r="L712" s="134" t="n">
        <v>364.69</v>
      </c>
      <c r="M712" s="134" t="n">
        <v>4620.95</v>
      </c>
      <c r="N712" s="104" t="n">
        <v>0.0789</v>
      </c>
      <c r="O712" s="134" t="n">
        <v>318</v>
      </c>
      <c r="P712" s="134" t="inlineStr">
        <is>
          <t>2 -0.07%</t>
        </is>
      </c>
      <c r="Q712" s="134" t="inlineStr">
        <is>
          <t>8 0.08%</t>
        </is>
      </c>
      <c r="R712" s="134" t="inlineStr">
        <is>
          <t>74 0.08%</t>
        </is>
      </c>
      <c r="S712" s="134" t="inlineStr">
        <is>
          <t>87 0.02%</t>
        </is>
      </c>
      <c r="T712" s="134" t="inlineStr">
        <is>
          <t>57 1.17%</t>
        </is>
      </c>
      <c r="U712" s="134" t="inlineStr">
        <is>
          <t>90 -0.25%</t>
        </is>
      </c>
    </row>
    <row customHeight="1" ht="17" r="713" s="155">
      <c r="A713" s="105" t="n">
        <v>44168</v>
      </c>
      <c r="B713" s="134" t="n">
        <v>1545.47</v>
      </c>
      <c r="C713" s="150" t="n">
        <v>-6.316</v>
      </c>
      <c r="D713" s="151" t="n">
        <v>-0.0041</v>
      </c>
      <c r="E713" s="134" t="n">
        <v>131.159</v>
      </c>
      <c r="F713" s="134" t="n">
        <v>118.9</v>
      </c>
      <c r="G713" s="134" t="n">
        <v>100.66</v>
      </c>
      <c r="H713" s="134" t="n">
        <v>152.35</v>
      </c>
      <c r="I713" s="104" t="n">
        <v>0.2119</v>
      </c>
      <c r="J713" s="104" t="n">
        <v>0.1632</v>
      </c>
      <c r="K713" s="104" t="n">
        <v>-0.0167</v>
      </c>
      <c r="L713" s="134" t="n">
        <v>373.76</v>
      </c>
      <c r="M713" s="134" t="n">
        <v>4689.35</v>
      </c>
      <c r="N713" s="104" t="n">
        <v>0.07969999999999999</v>
      </c>
      <c r="O713" s="134" t="n">
        <v>321</v>
      </c>
      <c r="P713" s="134" t="inlineStr">
        <is>
          <t>2 -0.06%</t>
        </is>
      </c>
      <c r="Q713" s="134" t="inlineStr">
        <is>
          <t>9 0.01%</t>
        </is>
      </c>
      <c r="R713" s="134" t="inlineStr">
        <is>
          <t>74 -0.12%</t>
        </is>
      </c>
      <c r="S713" s="134" t="inlineStr">
        <is>
          <t>88 -0.12%</t>
        </is>
      </c>
      <c r="T713" s="134" t="inlineStr">
        <is>
          <t>60 -0.72%</t>
        </is>
      </c>
      <c r="U713" s="134" t="inlineStr">
        <is>
          <t>88 -0.77%</t>
        </is>
      </c>
    </row>
    <row customHeight="1" ht="17" r="714" s="155">
      <c r="A714" s="105" t="n">
        <v>44169</v>
      </c>
      <c r="B714" s="134" t="n">
        <v>1548.824</v>
      </c>
      <c r="C714" s="152" t="n">
        <v>3.354</v>
      </c>
      <c r="D714" s="153" t="n">
        <v>0.0022</v>
      </c>
      <c r="E714" s="134" t="n">
        <v>130.783</v>
      </c>
      <c r="F714" s="134" t="n">
        <v>118.5</v>
      </c>
      <c r="G714" s="134" t="n">
        <v>100.47</v>
      </c>
      <c r="H714" s="134" t="n">
        <v>152.2</v>
      </c>
      <c r="I714" s="104" t="n">
        <v>0.2142</v>
      </c>
      <c r="J714" s="104" t="n">
        <v>0.166</v>
      </c>
      <c r="K714" s="104" t="n">
        <v>-0.0165</v>
      </c>
      <c r="L714" s="134" t="n">
        <v>379.18</v>
      </c>
      <c r="M714" s="134" t="n">
        <v>4684.9</v>
      </c>
      <c r="N714" s="104" t="n">
        <v>0.0809</v>
      </c>
      <c r="O714" s="134" t="n">
        <v>319</v>
      </c>
      <c r="P714" s="134" t="inlineStr">
        <is>
          <t>2 -0.33%</t>
        </is>
      </c>
      <c r="Q714" s="134" t="inlineStr">
        <is>
          <t>9 -0.14%</t>
        </is>
      </c>
      <c r="R714" s="134" t="inlineStr">
        <is>
          <t>77 -0.17%</t>
        </is>
      </c>
      <c r="S714" s="134" t="inlineStr">
        <is>
          <t>87 -0.12%</t>
        </is>
      </c>
      <c r="T714" s="134" t="inlineStr">
        <is>
          <t>55 -0.04%</t>
        </is>
      </c>
      <c r="U714" s="134" t="inlineStr">
        <is>
          <t>89 1.21%</t>
        </is>
      </c>
    </row>
    <row customHeight="1" ht="17" r="715" s="155">
      <c r="A715" s="105" t="n">
        <v>44172</v>
      </c>
      <c r="B715" s="134" t="n">
        <v>1549.753</v>
      </c>
      <c r="C715" s="152" t="n">
        <v>0.929</v>
      </c>
      <c r="D715" s="153" t="n">
        <v>0.0005999999999999999</v>
      </c>
      <c r="E715" s="134" t="n">
        <v>131.186</v>
      </c>
      <c r="F715" s="134" t="n">
        <v>118.225</v>
      </c>
      <c r="G715" s="134" t="n">
        <v>99.41</v>
      </c>
      <c r="H715" s="134" t="n">
        <v>153.06</v>
      </c>
      <c r="I715" s="104" t="n">
        <v>0.2187</v>
      </c>
      <c r="J715" s="104" t="n">
        <v>0.1654</v>
      </c>
      <c r="K715" s="104" t="n">
        <v>-0.0166</v>
      </c>
      <c r="L715" s="134" t="n">
        <v>326.32</v>
      </c>
      <c r="M715" s="134" t="n">
        <v>4686.47</v>
      </c>
      <c r="N715" s="104" t="n">
        <v>0.0696</v>
      </c>
      <c r="O715" s="134" t="n">
        <v>320</v>
      </c>
      <c r="P715" s="134" t="inlineStr">
        <is>
          <t>2 -0.07%</t>
        </is>
      </c>
      <c r="Q715" s="134" t="inlineStr">
        <is>
          <t>9 -0.22%</t>
        </is>
      </c>
      <c r="R715" s="134" t="inlineStr">
        <is>
          <t>81 -0.32%</t>
        </is>
      </c>
      <c r="S715" s="134" t="inlineStr">
        <is>
          <t>86 -0.25%</t>
        </is>
      </c>
      <c r="T715" s="134" t="inlineStr">
        <is>
          <t>52 0.18%</t>
        </is>
      </c>
      <c r="U715" s="134" t="inlineStr">
        <is>
          <t>90 0.66%</t>
        </is>
      </c>
    </row>
    <row customHeight="1" ht="17" r="716" s="155">
      <c r="A716" s="105" t="n">
        <v>44173</v>
      </c>
      <c r="B716" s="134" t="n">
        <v>1547.738</v>
      </c>
      <c r="C716" s="150" t="n">
        <v>-2.015</v>
      </c>
      <c r="D716" s="151" t="n">
        <v>-0.0013</v>
      </c>
      <c r="E716" s="134" t="n">
        <v>131.017</v>
      </c>
      <c r="F716" s="134" t="n">
        <v>117.86</v>
      </c>
      <c r="G716" s="134" t="n">
        <v>98.93000000000001</v>
      </c>
      <c r="H716" s="134" t="n">
        <v>152.75</v>
      </c>
      <c r="I716" s="104" t="n">
        <v>0.2173</v>
      </c>
      <c r="J716" s="104" t="n">
        <v>0.1629</v>
      </c>
      <c r="K716" s="104" t="n">
        <v>-0.0167</v>
      </c>
      <c r="L716" s="134" t="n">
        <v>327.28</v>
      </c>
      <c r="M716" s="134" t="n">
        <v>4682.95</v>
      </c>
      <c r="N716" s="104" t="n">
        <v>0.0699</v>
      </c>
      <c r="O716" s="134" t="n">
        <v>320</v>
      </c>
      <c r="P716" s="134" t="inlineStr">
        <is>
          <t>3 -0.04%</t>
        </is>
      </c>
      <c r="Q716" s="134" t="inlineStr">
        <is>
          <t>8 -0.39%</t>
        </is>
      </c>
      <c r="R716" s="134" t="inlineStr">
        <is>
          <t>84 -0.33%</t>
        </is>
      </c>
      <c r="S716" s="134" t="inlineStr">
        <is>
          <t>87 -0.07%</t>
        </is>
      </c>
      <c r="T716" s="134" t="inlineStr">
        <is>
          <t>48 -0.18%</t>
        </is>
      </c>
      <c r="U716" s="134" t="inlineStr">
        <is>
          <t>90 0.05%</t>
        </is>
      </c>
    </row>
    <row customHeight="1" ht="17" r="717" s="155">
      <c r="A717" s="105" t="n">
        <v>44174</v>
      </c>
      <c r="B717" s="134" t="n">
        <v>1543.157</v>
      </c>
      <c r="C717" s="150" t="n">
        <v>-4.581</v>
      </c>
      <c r="D717" s="151" t="n">
        <v>-0.003</v>
      </c>
      <c r="E717" s="134" t="n">
        <v>130.979</v>
      </c>
      <c r="F717" s="134" t="n">
        <v>117</v>
      </c>
      <c r="G717" s="134" t="n">
        <v>98.09</v>
      </c>
      <c r="H717" s="134" t="n">
        <v>155.26</v>
      </c>
      <c r="I717" s="104" t="n">
        <v>0.2428</v>
      </c>
      <c r="J717" s="104" t="n">
        <v>0.1785</v>
      </c>
      <c r="K717" s="104" t="n">
        <v>-0.0147</v>
      </c>
      <c r="L717" s="134" t="n">
        <v>338.97</v>
      </c>
      <c r="M717" s="134" t="n">
        <v>4479.15</v>
      </c>
      <c r="N717" s="104" t="n">
        <v>0.0757</v>
      </c>
      <c r="O717" s="134" t="n">
        <v>319</v>
      </c>
      <c r="P717" s="134" t="inlineStr">
        <is>
          <t>2 -0.68%</t>
        </is>
      </c>
      <c r="Q717" s="134" t="inlineStr">
        <is>
          <t>12 -0.35%</t>
        </is>
      </c>
      <c r="R717" s="134" t="inlineStr">
        <is>
          <t>84 -0.63%</t>
        </is>
      </c>
      <c r="S717" s="134" t="inlineStr">
        <is>
          <t>89 -0.85%</t>
        </is>
      </c>
      <c r="T717" s="134" t="inlineStr">
        <is>
          <t>48 -0.74%</t>
        </is>
      </c>
      <c r="U717" s="134" t="inlineStr">
        <is>
          <t>84 0.90%</t>
        </is>
      </c>
    </row>
    <row customHeight="1" ht="17" r="718" s="155">
      <c r="A718" s="105" t="n">
        <v>44175</v>
      </c>
      <c r="B718" s="134" t="n">
        <v>1545.04</v>
      </c>
      <c r="C718" s="152" t="n">
        <v>1.883</v>
      </c>
      <c r="D718" s="153" t="n">
        <v>0.0012</v>
      </c>
      <c r="E718" s="134" t="n">
        <v>131.244</v>
      </c>
      <c r="F718" s="134" t="n">
        <v>116.528</v>
      </c>
      <c r="G718" s="134" t="n">
        <v>97.19</v>
      </c>
      <c r="H718" s="134" t="n">
        <v>156.28</v>
      </c>
      <c r="I718" s="104" t="n">
        <v>0.2504</v>
      </c>
      <c r="J718" s="104" t="n">
        <v>0.1837</v>
      </c>
      <c r="K718" s="104" t="n">
        <v>-0.015</v>
      </c>
      <c r="L718" s="134" t="n">
        <v>659.27</v>
      </c>
      <c r="M718" s="134" t="n">
        <v>4476.05</v>
      </c>
      <c r="N718" s="104" t="n">
        <v>0.1473</v>
      </c>
      <c r="O718" s="134" t="n">
        <v>318</v>
      </c>
      <c r="P718" s="134" t="inlineStr">
        <is>
          <t>2 -0.13%</t>
        </is>
      </c>
      <c r="Q718" s="134" t="inlineStr">
        <is>
          <t>12 -0.21%</t>
        </is>
      </c>
      <c r="R718" s="134" t="inlineStr">
        <is>
          <t>90 -0.39%</t>
        </is>
      </c>
      <c r="S718" s="134" t="inlineStr">
        <is>
          <t>84 -0.33%</t>
        </is>
      </c>
      <c r="T718" s="134" t="inlineStr">
        <is>
          <t>45 -0.16%</t>
        </is>
      </c>
      <c r="U718" s="134" t="inlineStr">
        <is>
          <t>85 1.32%</t>
        </is>
      </c>
    </row>
    <row customHeight="1" ht="17" r="719" s="155">
      <c r="A719" s="105" t="n">
        <v>44176</v>
      </c>
      <c r="B719" s="134" t="n">
        <v>1525.202</v>
      </c>
      <c r="C719" s="150" t="n">
        <v>-19.838</v>
      </c>
      <c r="D719" s="151" t="n">
        <v>-0.0128</v>
      </c>
      <c r="E719" s="134" t="n">
        <v>129.118</v>
      </c>
      <c r="F719" s="134" t="n">
        <v>115.04</v>
      </c>
      <c r="G719" s="134" t="n">
        <v>96.06999999999999</v>
      </c>
      <c r="H719" s="134" t="n">
        <v>154.59</v>
      </c>
      <c r="I719" s="104" t="n">
        <v>0.2548</v>
      </c>
      <c r="J719" s="104" t="n">
        <v>0.1886</v>
      </c>
      <c r="K719" s="104" t="n">
        <v>-0.0121</v>
      </c>
      <c r="L719" s="134" t="n">
        <v>512.6</v>
      </c>
      <c r="M719" s="134" t="n">
        <v>4474.48</v>
      </c>
      <c r="N719" s="104" t="n">
        <v>0.1146</v>
      </c>
      <c r="O719" s="134" t="n">
        <v>317</v>
      </c>
      <c r="P719" s="134" t="inlineStr">
        <is>
          <t>3 -0.93%</t>
        </is>
      </c>
      <c r="Q719" s="134" t="inlineStr">
        <is>
          <t>16 -0.45%</t>
        </is>
      </c>
      <c r="R719" s="134" t="inlineStr">
        <is>
          <t>99 -0.93%</t>
        </is>
      </c>
      <c r="S719" s="134" t="inlineStr">
        <is>
          <t>79 -0.99%</t>
        </is>
      </c>
      <c r="T719" s="134" t="inlineStr">
        <is>
          <t>45 -1.86%</t>
        </is>
      </c>
      <c r="U719" s="134" t="inlineStr">
        <is>
          <t>75 -1.91%</t>
        </is>
      </c>
    </row>
    <row customHeight="1" ht="17" r="720" s="155">
      <c r="A720" s="105" t="n">
        <v>44179</v>
      </c>
      <c r="B720" s="134" t="n">
        <v>1524.394</v>
      </c>
      <c r="C720" s="150" t="n">
        <v>-0.8080000000000001</v>
      </c>
      <c r="D720" s="151" t="n">
        <v>-0.0005</v>
      </c>
      <c r="E720" s="134" t="n">
        <v>129.596</v>
      </c>
      <c r="F720" s="134" t="n">
        <v>115.21</v>
      </c>
      <c r="G720" s="134" t="n">
        <v>96.98</v>
      </c>
      <c r="H720" s="134" t="n">
        <v>153.71</v>
      </c>
      <c r="I720" s="104" t="n">
        <v>0.2412</v>
      </c>
      <c r="J720" s="104" t="n">
        <v>0.1766</v>
      </c>
      <c r="K720" s="104" t="n">
        <v>-0.0119</v>
      </c>
      <c r="L720" s="134" t="n">
        <v>338.33</v>
      </c>
      <c r="M720" s="134" t="n">
        <v>4469.37</v>
      </c>
      <c r="N720" s="104" t="n">
        <v>0.0757</v>
      </c>
      <c r="O720" s="134" t="n">
        <v>317</v>
      </c>
      <c r="P720" s="134" t="inlineStr">
        <is>
          <t>3 -0.43%</t>
        </is>
      </c>
      <c r="Q720" s="134" t="inlineStr">
        <is>
          <t>15 -0.13%</t>
        </is>
      </c>
      <c r="R720" s="134" t="inlineStr">
        <is>
          <t>104 -0.29%</t>
        </is>
      </c>
      <c r="S720" s="134" t="inlineStr">
        <is>
          <t>79 -0.22%</t>
        </is>
      </c>
      <c r="T720" s="134" t="inlineStr">
        <is>
          <t>41 -0.35%</t>
        </is>
      </c>
      <c r="U720" s="134" t="inlineStr">
        <is>
          <t>75 0.65%</t>
        </is>
      </c>
    </row>
    <row customHeight="1" ht="17" r="721" s="155">
      <c r="A721" s="105" t="n">
        <v>44180</v>
      </c>
      <c r="B721" s="134" t="n">
        <v>1512.687</v>
      </c>
      <c r="C721" s="150" t="n">
        <v>-11.707</v>
      </c>
      <c r="D721" s="151" t="n">
        <v>-0.0077</v>
      </c>
      <c r="E721" s="134" t="n">
        <v>129.249</v>
      </c>
      <c r="F721" s="134" t="n">
        <v>113.642</v>
      </c>
      <c r="G721" s="134" t="n">
        <v>96.34999999999999</v>
      </c>
      <c r="H721" s="134" t="n">
        <v>152.46</v>
      </c>
      <c r="I721" s="104" t="n">
        <v>0.2321</v>
      </c>
      <c r="J721" s="104" t="n">
        <v>0.1697</v>
      </c>
      <c r="K721" s="104" t="n">
        <v>-0.009900000000000001</v>
      </c>
      <c r="L721" s="134" t="n">
        <v>423.01</v>
      </c>
      <c r="M721" s="134" t="n">
        <v>4465.86</v>
      </c>
      <c r="N721" s="104" t="n">
        <v>0.09470000000000001</v>
      </c>
      <c r="O721" s="134" t="n">
        <v>316</v>
      </c>
      <c r="P721" s="134" t="inlineStr">
        <is>
          <t>5 -5.42%</t>
        </is>
      </c>
      <c r="Q721" s="134" t="inlineStr">
        <is>
          <t>20 -2.06%</t>
        </is>
      </c>
      <c r="R721" s="134" t="inlineStr">
        <is>
          <t>110 -1.27%</t>
        </is>
      </c>
      <c r="S721" s="134" t="inlineStr">
        <is>
          <t>66 -1.01%</t>
        </is>
      </c>
      <c r="T721" s="134" t="inlineStr">
        <is>
          <t>43 -0.18%</t>
        </is>
      </c>
      <c r="U721" s="134" t="inlineStr">
        <is>
          <t>72 0.62%</t>
        </is>
      </c>
    </row>
    <row customHeight="1" ht="17" r="722" s="155">
      <c r="A722" s="105" t="n">
        <v>44181</v>
      </c>
      <c r="B722" s="134" t="n">
        <v>1502.537</v>
      </c>
      <c r="C722" s="150" t="n">
        <v>-10.15</v>
      </c>
      <c r="D722" s="151" t="n">
        <v>-0.0067</v>
      </c>
      <c r="E722" s="134" t="n">
        <v>128.993</v>
      </c>
      <c r="F722" s="134" t="n">
        <v>113.002</v>
      </c>
      <c r="G722" s="134" t="n">
        <v>95.64</v>
      </c>
      <c r="H722" s="134" t="n">
        <v>152.65</v>
      </c>
      <c r="I722" s="104" t="n">
        <v>0.2366</v>
      </c>
      <c r="J722" s="104" t="n">
        <v>0.1738</v>
      </c>
      <c r="K722" s="104" t="n">
        <v>-0.008</v>
      </c>
      <c r="L722" s="134" t="n">
        <v>403.87</v>
      </c>
      <c r="M722" s="134" t="n">
        <v>4469.28</v>
      </c>
      <c r="N722" s="104" t="n">
        <v>0.09039999999999999</v>
      </c>
      <c r="O722" s="134" t="n">
        <v>317</v>
      </c>
      <c r="P722" s="134" t="inlineStr">
        <is>
          <t>6 -1.11%</t>
        </is>
      </c>
      <c r="Q722" s="134" t="inlineStr">
        <is>
          <t>23 -1.18%</t>
        </is>
      </c>
      <c r="R722" s="134" t="inlineStr">
        <is>
          <t>112 -0.71%</t>
        </is>
      </c>
      <c r="S722" s="134" t="inlineStr">
        <is>
          <t>71 -1.11%</t>
        </is>
      </c>
      <c r="T722" s="134" t="inlineStr">
        <is>
          <t>33 -0.58%</t>
        </is>
      </c>
      <c r="U722" s="134" t="inlineStr">
        <is>
          <t>72 0.04%</t>
        </is>
      </c>
    </row>
    <row customHeight="1" ht="17" r="723" s="155">
      <c r="A723" s="105" t="n">
        <v>44182</v>
      </c>
      <c r="B723" s="134" t="n">
        <v>1510.651</v>
      </c>
      <c r="C723" s="152" t="n">
        <v>8.114000000000001</v>
      </c>
      <c r="D723" s="153" t="n">
        <v>0.0054</v>
      </c>
      <c r="E723" s="134" t="n">
        <v>129.393</v>
      </c>
      <c r="F723" s="134" t="n">
        <v>112.672</v>
      </c>
      <c r="G723" s="134" t="n">
        <v>96.84</v>
      </c>
      <c r="H723" s="134" t="n">
        <v>152.7</v>
      </c>
      <c r="I723" s="104" t="n">
        <v>0.233</v>
      </c>
      <c r="J723" s="104" t="n">
        <v>0.1681</v>
      </c>
      <c r="K723" s="104" t="n">
        <v>-0.0089</v>
      </c>
      <c r="L723" s="134" t="n">
        <v>388.72</v>
      </c>
      <c r="M723" s="134" t="n">
        <v>4669.57</v>
      </c>
      <c r="N723" s="104" t="n">
        <v>0.0832</v>
      </c>
      <c r="O723" s="134" t="n">
        <v>319</v>
      </c>
      <c r="P723" s="134" t="inlineStr">
        <is>
          <t>7 -0.68%</t>
        </is>
      </c>
      <c r="Q723" s="134" t="inlineStr">
        <is>
          <t>19 0.23%</t>
        </is>
      </c>
      <c r="R723" s="134" t="inlineStr">
        <is>
          <t>114 0.60%</t>
        </is>
      </c>
      <c r="S723" s="134" t="inlineStr">
        <is>
          <t>71 0.39%</t>
        </is>
      </c>
      <c r="T723" s="134" t="inlineStr">
        <is>
          <t>34 0.51%</t>
        </is>
      </c>
      <c r="U723" s="134" t="inlineStr">
        <is>
          <t>74 0.92%</t>
        </is>
      </c>
    </row>
    <row customHeight="1" ht="17" r="724" s="155">
      <c r="A724" s="105" t="n">
        <v>44183</v>
      </c>
      <c r="B724" s="134" t="n">
        <v>1514.261</v>
      </c>
      <c r="C724" s="152" t="n">
        <v>3.61</v>
      </c>
      <c r="D724" s="153" t="n">
        <v>0.0024</v>
      </c>
      <c r="E724" s="134" t="n">
        <v>129.518</v>
      </c>
      <c r="F724" s="134" t="n">
        <v>112.43</v>
      </c>
      <c r="G724" s="134" t="n">
        <v>96.29000000000001</v>
      </c>
      <c r="H724" s="134" t="n">
        <v>153.62</v>
      </c>
      <c r="I724" s="104" t="n">
        <v>0.241</v>
      </c>
      <c r="J724" s="104" t="n">
        <v>0.1697</v>
      </c>
      <c r="K724" s="104" t="n">
        <v>-0.009599999999999999</v>
      </c>
      <c r="L724" s="134" t="n">
        <v>397.16</v>
      </c>
      <c r="M724" s="134" t="n">
        <v>4680.14</v>
      </c>
      <c r="N724" s="104" t="n">
        <v>0.0849</v>
      </c>
      <c r="O724" s="134" t="n">
        <v>320</v>
      </c>
      <c r="P724" s="134" t="inlineStr">
        <is>
          <t>7 0.26%</t>
        </is>
      </c>
      <c r="Q724" s="134" t="inlineStr">
        <is>
          <t>20 -0.54%</t>
        </is>
      </c>
      <c r="R724" s="134" t="inlineStr">
        <is>
          <t>109 0.03%</t>
        </is>
      </c>
      <c r="S724" s="134" t="inlineStr">
        <is>
          <t>74 0.21%</t>
        </is>
      </c>
      <c r="T724" s="134" t="inlineStr">
        <is>
          <t>35 0.29%</t>
        </is>
      </c>
      <c r="U724" s="134" t="inlineStr">
        <is>
          <t>75 0.75%</t>
        </is>
      </c>
    </row>
    <row customHeight="1" ht="17" r="725" s="155">
      <c r="A725" s="105" t="n">
        <v>44186</v>
      </c>
      <c r="B725" s="134" t="n">
        <v>1527.541</v>
      </c>
      <c r="C725" s="152" t="n">
        <v>13.28</v>
      </c>
      <c r="D725" s="153" t="n">
        <v>0.008800000000000001</v>
      </c>
      <c r="E725" s="134" t="n">
        <v>131.693</v>
      </c>
      <c r="F725" s="134" t="n">
        <v>113.105</v>
      </c>
      <c r="G725" s="134" t="n">
        <v>96.95</v>
      </c>
      <c r="H725" s="134" t="n">
        <v>155.52</v>
      </c>
      <c r="I725" s="104" t="n">
        <v>0.2383</v>
      </c>
      <c r="J725" s="104" t="n">
        <v>0.1603</v>
      </c>
      <c r="K725" s="104" t="n">
        <v>-0.0114</v>
      </c>
      <c r="L725" s="134" t="n">
        <v>382.52</v>
      </c>
      <c r="M725" s="134" t="n">
        <v>4668.83</v>
      </c>
      <c r="N725" s="104" t="n">
        <v>0.0819</v>
      </c>
      <c r="O725" s="134" t="n">
        <v>319</v>
      </c>
      <c r="P725" s="134" t="inlineStr">
        <is>
          <t>7 -0.31%</t>
        </is>
      </c>
      <c r="Q725" s="134" t="inlineStr">
        <is>
          <t>23 -0.14%</t>
        </is>
      </c>
      <c r="R725" s="134" t="inlineStr">
        <is>
          <t>105 0.13%</t>
        </is>
      </c>
      <c r="S725" s="134" t="inlineStr">
        <is>
          <t>67 0.72%</t>
        </is>
      </c>
      <c r="T725" s="134" t="inlineStr">
        <is>
          <t>43 0.73%</t>
        </is>
      </c>
      <c r="U725" s="134" t="inlineStr">
        <is>
          <t>74 2.60%</t>
        </is>
      </c>
    </row>
    <row customHeight="1" ht="17" r="726" s="155">
      <c r="A726" s="105" t="n">
        <v>44187</v>
      </c>
      <c r="B726" s="134" t="n">
        <v>1523.799</v>
      </c>
      <c r="C726" s="150" t="n">
        <v>-3.742</v>
      </c>
      <c r="D726" s="151" t="n">
        <v>-0.0025</v>
      </c>
      <c r="E726" s="134" t="n">
        <v>132.145</v>
      </c>
      <c r="F726" s="134" t="n">
        <v>112.27</v>
      </c>
      <c r="G726" s="134" t="n">
        <v>94.34999999999999</v>
      </c>
      <c r="H726" s="134" t="n">
        <v>158.94</v>
      </c>
      <c r="I726" s="104" t="n">
        <v>0.268</v>
      </c>
      <c r="J726" s="104" t="n">
        <v>0.1886</v>
      </c>
      <c r="K726" s="104" t="n">
        <v>-0.0095</v>
      </c>
      <c r="L726" s="134" t="n">
        <v>526.73</v>
      </c>
      <c r="M726" s="134" t="n">
        <v>4663.98</v>
      </c>
      <c r="N726" s="104" t="n">
        <v>0.1129</v>
      </c>
      <c r="O726" s="134" t="n">
        <v>319</v>
      </c>
      <c r="P726" s="134" t="inlineStr">
        <is>
          <t>7 -1.23%</t>
        </is>
      </c>
      <c r="Q726" s="134" t="inlineStr">
        <is>
          <t>27 -0.97%</t>
        </is>
      </c>
      <c r="R726" s="134" t="inlineStr">
        <is>
          <t>108 -0.93%</t>
        </is>
      </c>
      <c r="S726" s="134" t="inlineStr">
        <is>
          <t>64 -0.82%</t>
        </is>
      </c>
      <c r="T726" s="134" t="inlineStr">
        <is>
          <t>39 -0.54%</t>
        </is>
      </c>
      <c r="U726" s="134" t="inlineStr">
        <is>
          <t>74 2.40%</t>
        </is>
      </c>
    </row>
    <row customHeight="1" ht="17" r="727" s="155">
      <c r="A727" s="105" t="n">
        <v>44188</v>
      </c>
      <c r="B727" s="134" t="n">
        <v>1522.016</v>
      </c>
      <c r="C727" s="150" t="n">
        <v>-1.783</v>
      </c>
      <c r="D727" s="151" t="n">
        <v>-0.0012</v>
      </c>
      <c r="E727" s="134" t="n">
        <v>131.507</v>
      </c>
      <c r="F727" s="134" t="n">
        <v>111.744</v>
      </c>
      <c r="G727" s="134" t="n">
        <v>94.81</v>
      </c>
      <c r="H727" s="134" t="n">
        <v>157.66</v>
      </c>
      <c r="I727" s="104" t="n">
        <v>0.2616</v>
      </c>
      <c r="J727" s="104" t="n">
        <v>0.1744</v>
      </c>
      <c r="K727" s="104" t="n">
        <v>-0.008999999999999999</v>
      </c>
      <c r="L727" s="134" t="n">
        <v>697.97</v>
      </c>
      <c r="M727" s="134" t="n">
        <v>4689.32</v>
      </c>
      <c r="N727" s="104" t="n">
        <v>0.1488</v>
      </c>
      <c r="O727" s="134" t="n">
        <v>322</v>
      </c>
      <c r="P727" s="134" t="inlineStr">
        <is>
          <t>7 -0.57%</t>
        </is>
      </c>
      <c r="Q727" s="134" t="inlineStr">
        <is>
          <t>35 -0.75%</t>
        </is>
      </c>
      <c r="R727" s="134" t="inlineStr">
        <is>
          <t>104 -0.24%</t>
        </is>
      </c>
      <c r="S727" s="134" t="inlineStr">
        <is>
          <t>66 -0.36%</t>
        </is>
      </c>
      <c r="T727" s="134" t="inlineStr">
        <is>
          <t>35 -0.19%</t>
        </is>
      </c>
      <c r="U727" s="134" t="inlineStr">
        <is>
          <t>75 0.61%</t>
        </is>
      </c>
    </row>
    <row customHeight="1" ht="17" r="728" s="155">
      <c r="A728" s="105" t="n">
        <v>44189</v>
      </c>
      <c r="B728" s="134" t="n">
        <v>1498.912</v>
      </c>
      <c r="C728" s="150" t="n">
        <v>-23.104</v>
      </c>
      <c r="D728" s="151" t="n">
        <v>-0.0152</v>
      </c>
      <c r="E728" s="134" t="n">
        <v>129.686</v>
      </c>
      <c r="F728" s="134" t="n">
        <v>110.01</v>
      </c>
      <c r="G728" s="134" t="n">
        <v>93.22</v>
      </c>
      <c r="H728" s="134" t="n">
        <v>156.53</v>
      </c>
      <c r="I728" s="104" t="n">
        <v>0.2684</v>
      </c>
      <c r="J728" s="104" t="n">
        <v>0.187</v>
      </c>
      <c r="K728" s="104" t="n">
        <v>-0.0047</v>
      </c>
      <c r="L728" s="134" t="n">
        <v>636</v>
      </c>
      <c r="M728" s="134" t="n">
        <v>4694.58</v>
      </c>
      <c r="N728" s="104" t="n">
        <v>0.1355</v>
      </c>
      <c r="O728" s="134" t="n">
        <v>323</v>
      </c>
      <c r="P728" s="134" t="inlineStr">
        <is>
          <t>11 -3.18%</t>
        </is>
      </c>
      <c r="Q728" s="134" t="inlineStr">
        <is>
          <t>54 -2.60%</t>
        </is>
      </c>
      <c r="R728" s="134" t="inlineStr">
        <is>
          <t>97 -2.04%</t>
        </is>
      </c>
      <c r="S728" s="134" t="inlineStr">
        <is>
          <t>54 -0.95%</t>
        </is>
      </c>
      <c r="T728" s="134" t="inlineStr">
        <is>
          <t>36 -0.89%</t>
        </is>
      </c>
      <c r="U728" s="134" t="inlineStr">
        <is>
          <t>71 -0.45%</t>
        </is>
      </c>
    </row>
    <row customHeight="1" ht="17" r="729" s="155">
      <c r="A729" s="105" t="n">
        <v>44190</v>
      </c>
      <c r="B729" s="134" t="n">
        <v>1507.561</v>
      </c>
      <c r="C729" s="152" t="n">
        <v>8.648999999999999</v>
      </c>
      <c r="D729" s="153" t="n">
        <v>0.0058</v>
      </c>
      <c r="E729" s="134" t="n">
        <v>130.115</v>
      </c>
      <c r="F729" s="134" t="n">
        <v>110.05</v>
      </c>
      <c r="G729" s="134" t="n">
        <v>94.20999999999999</v>
      </c>
      <c r="H729" s="134" t="n">
        <v>156.23</v>
      </c>
      <c r="I729" s="104" t="n">
        <v>0.2612</v>
      </c>
      <c r="J729" s="104" t="n">
        <v>0.1809</v>
      </c>
      <c r="K729" s="104" t="n">
        <v>-0.0061</v>
      </c>
      <c r="L729" s="134" t="n">
        <v>586.67</v>
      </c>
      <c r="M729" s="134" t="n">
        <v>4701.42</v>
      </c>
      <c r="N729" s="104" t="n">
        <v>0.1248</v>
      </c>
      <c r="O729" s="134" t="n">
        <v>325</v>
      </c>
      <c r="P729" s="134" t="inlineStr">
        <is>
          <t>10 0.87%</t>
        </is>
      </c>
      <c r="Q729" s="134" t="inlineStr">
        <is>
          <t>47 0.59%</t>
        </is>
      </c>
      <c r="R729" s="134" t="inlineStr">
        <is>
          <t>106 0.57%</t>
        </is>
      </c>
      <c r="S729" s="134" t="inlineStr">
        <is>
          <t>57 0.42%</t>
        </is>
      </c>
      <c r="T729" s="134" t="inlineStr">
        <is>
          <t>33 0.29%</t>
        </is>
      </c>
      <c r="U729" s="134" t="inlineStr">
        <is>
          <t>72 0.97%</t>
        </is>
      </c>
    </row>
    <row customHeight="1" ht="17" r="730" s="155">
      <c r="A730" s="105" t="n">
        <v>44193</v>
      </c>
      <c r="B730" s="134" t="n">
        <v>1499.888</v>
      </c>
      <c r="C730" s="150" t="n">
        <v>-7.673</v>
      </c>
      <c r="D730" s="151" t="n">
        <v>-0.0051</v>
      </c>
      <c r="E730" s="134" t="n">
        <v>129.998</v>
      </c>
      <c r="F730" s="134" t="n">
        <v>109.354</v>
      </c>
      <c r="G730" s="134" t="n">
        <v>92.66</v>
      </c>
      <c r="H730" s="134" t="n">
        <v>157.19</v>
      </c>
      <c r="I730" s="104" t="n">
        <v>0.2719</v>
      </c>
      <c r="J730" s="104" t="n">
        <v>0.1917</v>
      </c>
      <c r="K730" s="104" t="n">
        <v>-0.0046</v>
      </c>
      <c r="L730" s="134" t="n">
        <v>465.27</v>
      </c>
      <c r="M730" s="134" t="n">
        <v>4703.68</v>
      </c>
      <c r="N730" s="104" t="n">
        <v>0.0989</v>
      </c>
      <c r="O730" s="134" t="n">
        <v>326</v>
      </c>
      <c r="P730" s="134" t="inlineStr">
        <is>
          <t>11 -0.72%</t>
        </is>
      </c>
      <c r="Q730" s="134" t="inlineStr">
        <is>
          <t>60 -1.51%</t>
        </is>
      </c>
      <c r="R730" s="134" t="inlineStr">
        <is>
          <t>102 -0.91%</t>
        </is>
      </c>
      <c r="S730" s="134" t="inlineStr">
        <is>
          <t>49 -0.36%</t>
        </is>
      </c>
      <c r="T730" s="134" t="inlineStr">
        <is>
          <t>32 -0.65%</t>
        </is>
      </c>
      <c r="U730" s="134" t="inlineStr">
        <is>
          <t>72 0.95%</t>
        </is>
      </c>
    </row>
    <row customHeight="1" ht="17" r="731" s="155">
      <c r="A731" s="105" t="n">
        <v>44194</v>
      </c>
      <c r="B731" s="134" t="n">
        <v>1499.168</v>
      </c>
      <c r="C731" s="150" t="n">
        <v>-0.72</v>
      </c>
      <c r="D731" s="151" t="n">
        <v>-0.0005</v>
      </c>
      <c r="E731" s="134" t="n">
        <v>129.355</v>
      </c>
      <c r="F731" s="134" t="n">
        <v>109.811</v>
      </c>
      <c r="G731" s="134" t="n">
        <v>91.97</v>
      </c>
      <c r="H731" s="134" t="n">
        <v>157.11</v>
      </c>
      <c r="I731" s="104" t="n">
        <v>0.2775</v>
      </c>
      <c r="J731" s="104" t="n">
        <v>0.1977</v>
      </c>
      <c r="K731" s="104" t="n">
        <v>-0.004</v>
      </c>
      <c r="L731" s="134" t="n">
        <v>543.95</v>
      </c>
      <c r="M731" s="134" t="n">
        <v>4747.22</v>
      </c>
      <c r="N731" s="104" t="n">
        <v>0.1146</v>
      </c>
      <c r="O731" s="134" t="n">
        <v>328</v>
      </c>
      <c r="P731" s="134" t="inlineStr">
        <is>
          <t>11 0.44%</t>
        </is>
      </c>
      <c r="Q731" s="134" t="inlineStr">
        <is>
          <t>59 0.41%</t>
        </is>
      </c>
      <c r="R731" s="134" t="inlineStr">
        <is>
          <t>96 0.33%</t>
        </is>
      </c>
      <c r="S731" s="134" t="inlineStr">
        <is>
          <t>59 0.53%</t>
        </is>
      </c>
      <c r="T731" s="134" t="inlineStr">
        <is>
          <t>31 -0.03%</t>
        </is>
      </c>
      <c r="U731" s="134" t="inlineStr">
        <is>
          <t>72 -1.52%</t>
        </is>
      </c>
    </row>
    <row customHeight="1" ht="17" r="732" s="155">
      <c r="A732" s="105" t="n">
        <v>44195</v>
      </c>
      <c r="B732" s="134" t="n">
        <v>1513.59</v>
      </c>
      <c r="C732" s="152" t="n">
        <v>14.422</v>
      </c>
      <c r="D732" s="153" t="n">
        <v>0.009599999999999999</v>
      </c>
      <c r="E732" s="134" t="n">
        <v>130.563</v>
      </c>
      <c r="F732" s="134" t="n">
        <v>110.199</v>
      </c>
      <c r="G732" s="134" t="n">
        <v>92.31</v>
      </c>
      <c r="H732" s="134" t="n">
        <v>158.7</v>
      </c>
      <c r="I732" s="104" t="n">
        <v>0.2814</v>
      </c>
      <c r="J732" s="104" t="n">
        <v>0.2029</v>
      </c>
      <c r="K732" s="104" t="n">
        <v>-0.006</v>
      </c>
      <c r="L732" s="134" t="n">
        <v>508.21</v>
      </c>
      <c r="M732" s="134" t="n">
        <v>4754.17</v>
      </c>
      <c r="N732" s="104" t="n">
        <v>0.1069</v>
      </c>
      <c r="O732" s="134" t="n">
        <v>329</v>
      </c>
      <c r="P732" s="134" t="inlineStr">
        <is>
          <t>9 1.09%</t>
        </is>
      </c>
      <c r="Q732" s="134" t="inlineStr">
        <is>
          <t>49 0.88%</t>
        </is>
      </c>
      <c r="R732" s="134" t="inlineStr">
        <is>
          <t>106 0.65%</t>
        </is>
      </c>
      <c r="S732" s="134" t="inlineStr">
        <is>
          <t>57 0.87%</t>
        </is>
      </c>
      <c r="T732" s="134" t="inlineStr">
        <is>
          <t>32 0.86%</t>
        </is>
      </c>
      <c r="U732" s="134" t="inlineStr">
        <is>
          <t>76 1.54%</t>
        </is>
      </c>
    </row>
    <row customHeight="1" ht="17" r="733" s="155">
      <c r="A733" s="105" t="n">
        <v>44196</v>
      </c>
      <c r="B733" s="134" t="n">
        <v>1528.862</v>
      </c>
      <c r="C733" s="152" t="n">
        <v>15.272</v>
      </c>
      <c r="D733" s="153" t="n">
        <v>0.0101</v>
      </c>
      <c r="E733" s="134" t="n">
        <v>131.798</v>
      </c>
      <c r="F733" s="134" t="n">
        <v>111.535</v>
      </c>
      <c r="G733" s="134" t="n">
        <v>93.44</v>
      </c>
      <c r="H733" s="134" t="n">
        <v>159.3</v>
      </c>
      <c r="I733" s="104" t="n">
        <v>0.275</v>
      </c>
      <c r="J733" s="104" t="n">
        <v>0.2004</v>
      </c>
      <c r="K733" s="104" t="n">
        <v>-0.008200000000000001</v>
      </c>
      <c r="L733" s="134" t="n">
        <v>486.23</v>
      </c>
      <c r="M733" s="134" t="n">
        <v>4750.91</v>
      </c>
      <c r="N733" s="104" t="n">
        <v>0.1023</v>
      </c>
      <c r="O733" s="134" t="n">
        <v>329</v>
      </c>
      <c r="P733" s="134" t="inlineStr">
        <is>
          <t>9 1.17%</t>
        </is>
      </c>
      <c r="Q733" s="134" t="inlineStr">
        <is>
          <t>42 0.76%</t>
        </is>
      </c>
      <c r="R733" s="134" t="inlineStr">
        <is>
          <t>100 0.92%</t>
        </is>
      </c>
      <c r="S733" s="134" t="inlineStr">
        <is>
          <t>67 1.38%</t>
        </is>
      </c>
      <c r="T733" s="134" t="inlineStr">
        <is>
          <t>34 0.84%</t>
        </is>
      </c>
      <c r="U733" s="134" t="inlineStr">
        <is>
          <t>77 1.00%</t>
        </is>
      </c>
    </row>
    <row customHeight="1" ht="17" r="734" s="155">
      <c r="A734" s="105" t="n">
        <v>44200</v>
      </c>
      <c r="B734" s="134" t="n">
        <v>1552.85</v>
      </c>
      <c r="C734" s="152" t="n">
        <v>23.988</v>
      </c>
      <c r="D734" s="153" t="n">
        <v>0.0157</v>
      </c>
      <c r="E734" s="134" t="n">
        <v>133.839</v>
      </c>
      <c r="F734" s="134" t="n">
        <v>112.465</v>
      </c>
      <c r="G734" s="134" t="n">
        <v>94.58</v>
      </c>
      <c r="H734" s="134" t="n">
        <v>161.33</v>
      </c>
      <c r="I734" s="104" t="n">
        <v>0.2749</v>
      </c>
      <c r="J734" s="104" t="n">
        <v>0.1899</v>
      </c>
      <c r="K734" s="104" t="n">
        <v>-0.0122</v>
      </c>
      <c r="L734" s="134" t="n">
        <v>498.94</v>
      </c>
      <c r="M734" s="134" t="n">
        <v>4752.87</v>
      </c>
      <c r="N734" s="104" t="n">
        <v>0.105</v>
      </c>
      <c r="O734" s="134" t="n">
        <v>330</v>
      </c>
      <c r="P734" s="134" t="inlineStr">
        <is>
          <t>8 0.09%</t>
        </is>
      </c>
      <c r="Q734" s="134" t="inlineStr">
        <is>
          <t>32 0.18%</t>
        </is>
      </c>
      <c r="R734" s="134" t="inlineStr">
        <is>
          <t>106 0.47%</t>
        </is>
      </c>
      <c r="S734" s="134" t="inlineStr">
        <is>
          <t>68 0.89%</t>
        </is>
      </c>
      <c r="T734" s="134" t="inlineStr">
        <is>
          <t>33 1.18%</t>
        </is>
      </c>
      <c r="U734" s="134" t="inlineStr">
        <is>
          <t>83 4.37%</t>
        </is>
      </c>
    </row>
    <row customHeight="1" ht="17" r="735" s="155">
      <c r="A735" s="105" t="n">
        <v>44201</v>
      </c>
      <c r="B735" s="134" t="n">
        <v>1563.875</v>
      </c>
      <c r="C735" s="152" t="n">
        <v>11.025</v>
      </c>
      <c r="D735" s="153" t="n">
        <v>0.0071</v>
      </c>
      <c r="E735" s="134" t="n">
        <v>135.258</v>
      </c>
      <c r="F735" s="134" t="n">
        <v>112</v>
      </c>
      <c r="G735" s="134" t="n">
        <v>94.12</v>
      </c>
      <c r="H735" s="134" t="n">
        <v>163.7</v>
      </c>
      <c r="I735" s="104" t="n">
        <v>0.2844</v>
      </c>
      <c r="J735" s="104" t="n">
        <v>0.1957</v>
      </c>
      <c r="K735" s="104" t="n">
        <v>-0.0131</v>
      </c>
      <c r="L735" s="134" t="n">
        <v>646.27</v>
      </c>
      <c r="M735" s="134" t="n">
        <v>4748.55</v>
      </c>
      <c r="N735" s="104" t="n">
        <v>0.1361</v>
      </c>
      <c r="O735" s="134" t="n">
        <v>329</v>
      </c>
      <c r="P735" s="134" t="inlineStr">
        <is>
          <t>7 -0.52%</t>
        </is>
      </c>
      <c r="Q735" s="134" t="inlineStr">
        <is>
          <t>37 -0.37%</t>
        </is>
      </c>
      <c r="R735" s="134" t="inlineStr">
        <is>
          <t>106 -0.31%</t>
        </is>
      </c>
      <c r="S735" s="134" t="inlineStr">
        <is>
          <t>60 0.17%</t>
        </is>
      </c>
      <c r="T735" s="134" t="inlineStr">
        <is>
          <t>33 0.51%</t>
        </is>
      </c>
      <c r="U735" s="134" t="inlineStr">
        <is>
          <t>86 2.98%</t>
        </is>
      </c>
    </row>
    <row customHeight="1" ht="17" r="736" s="155">
      <c r="A736" s="105" t="n">
        <v>44202</v>
      </c>
      <c r="B736" s="134" t="n">
        <v>1558.355</v>
      </c>
      <c r="C736" s="150" t="n">
        <v>-5.52</v>
      </c>
      <c r="D736" s="151" t="n">
        <v>-0.0035</v>
      </c>
      <c r="E736" s="134" t="n">
        <v>135.217</v>
      </c>
      <c r="F736" s="134" t="n">
        <v>111.605</v>
      </c>
      <c r="G736" s="134" t="n">
        <v>93.34</v>
      </c>
      <c r="H736" s="134" t="n">
        <v>164.74</v>
      </c>
      <c r="I736" s="104" t="n">
        <v>0.2952</v>
      </c>
      <c r="J736" s="104" t="n">
        <v>0.203</v>
      </c>
      <c r="K736" s="104" t="n">
        <v>-0.012</v>
      </c>
      <c r="L736" s="134" t="n">
        <v>693.51</v>
      </c>
      <c r="M736" s="134" t="n">
        <v>4750.97</v>
      </c>
      <c r="N736" s="104" t="n">
        <v>0.146</v>
      </c>
      <c r="O736" s="134" t="n">
        <v>330</v>
      </c>
      <c r="P736" s="134" t="inlineStr">
        <is>
          <t>7 -0.20%</t>
        </is>
      </c>
      <c r="Q736" s="134" t="inlineStr">
        <is>
          <t>53 -0.59%</t>
        </is>
      </c>
      <c r="R736" s="134" t="inlineStr">
        <is>
          <t>90 -0.23%</t>
        </is>
      </c>
      <c r="S736" s="134" t="inlineStr">
        <is>
          <t>62 -0.04%</t>
        </is>
      </c>
      <c r="T736" s="134" t="inlineStr">
        <is>
          <t>32 0.13%</t>
        </is>
      </c>
      <c r="U736" s="134" t="inlineStr">
        <is>
          <t>86 -0.68%</t>
        </is>
      </c>
    </row>
    <row customHeight="1" ht="17" r="737" s="155">
      <c r="A737" s="105" t="n">
        <v>44203</v>
      </c>
      <c r="B737" s="134" t="n">
        <v>1543.971</v>
      </c>
      <c r="C737" s="150" t="n">
        <v>-14.384</v>
      </c>
      <c r="D737" s="151" t="n">
        <v>-0.0092</v>
      </c>
      <c r="E737" s="134" t="n">
        <v>133.903</v>
      </c>
      <c r="F737" s="134" t="n">
        <v>109.16</v>
      </c>
      <c r="G737" s="134" t="n">
        <v>91.62</v>
      </c>
      <c r="H737" s="134" t="n">
        <v>165.63</v>
      </c>
      <c r="I737" s="104" t="n">
        <v>0.3173</v>
      </c>
      <c r="J737" s="104" t="n">
        <v>0.2157</v>
      </c>
      <c r="K737" s="104" t="n">
        <v>-0.008500000000000001</v>
      </c>
      <c r="L737" s="134" t="n">
        <v>780.89</v>
      </c>
      <c r="M737" s="134" t="n">
        <v>4759.06</v>
      </c>
      <c r="N737" s="104" t="n">
        <v>0.1641</v>
      </c>
      <c r="O737" s="134" t="n">
        <v>330</v>
      </c>
      <c r="P737" s="134" t="inlineStr">
        <is>
          <t>8 -2.02%</t>
        </is>
      </c>
      <c r="Q737" s="134" t="inlineStr">
        <is>
          <t>69 -2.01%</t>
        </is>
      </c>
      <c r="R737" s="134" t="inlineStr">
        <is>
          <t>92 -1.42%</t>
        </is>
      </c>
      <c r="S737" s="134" t="inlineStr">
        <is>
          <t>48 -1.04%</t>
        </is>
      </c>
      <c r="T737" s="134" t="inlineStr">
        <is>
          <t>31 -0.73%</t>
        </is>
      </c>
      <c r="U737" s="134" t="inlineStr">
        <is>
          <t>82 0.75%</t>
        </is>
      </c>
    </row>
    <row customHeight="1" ht="17" r="738" s="155">
      <c r="A738" s="105" t="n">
        <v>44204</v>
      </c>
      <c r="B738" s="134" t="n">
        <v>1535.942</v>
      </c>
      <c r="C738" s="150" t="n">
        <v>-8.029</v>
      </c>
      <c r="D738" s="151" t="n">
        <v>-0.0052</v>
      </c>
      <c r="E738" s="134" t="n">
        <v>133.116</v>
      </c>
      <c r="F738" s="134" t="n">
        <v>109.43</v>
      </c>
      <c r="G738" s="134" t="n">
        <v>91.47</v>
      </c>
      <c r="H738" s="134" t="n">
        <v>163.98</v>
      </c>
      <c r="I738" s="104" t="n">
        <v>0.3087</v>
      </c>
      <c r="J738" s="104" t="n">
        <v>0.2094</v>
      </c>
      <c r="K738" s="104" t="n">
        <v>-0.0107</v>
      </c>
      <c r="L738" s="134" t="n">
        <v>730.67</v>
      </c>
      <c r="M738" s="134" t="n">
        <v>4762.17</v>
      </c>
      <c r="N738" s="104" t="n">
        <v>0.1534</v>
      </c>
      <c r="O738" s="134" t="n">
        <v>331</v>
      </c>
      <c r="P738" s="134" t="inlineStr">
        <is>
          <t>8 -0.19%</t>
        </is>
      </c>
      <c r="Q738" s="134" t="inlineStr">
        <is>
          <t>69 -0.49%</t>
        </is>
      </c>
      <c r="R738" s="134" t="inlineStr">
        <is>
          <t>95 -0.30%</t>
        </is>
      </c>
      <c r="S738" s="134" t="inlineStr">
        <is>
          <t>48 -0.18%</t>
        </is>
      </c>
      <c r="T738" s="134" t="inlineStr">
        <is>
          <t>34 -0.35%</t>
        </is>
      </c>
      <c r="U738" s="134" t="inlineStr">
        <is>
          <t>77 -1.26%</t>
        </is>
      </c>
    </row>
    <row customHeight="1" ht="17" r="739" s="155">
      <c r="A739" s="105" t="n">
        <v>44207</v>
      </c>
      <c r="B739" s="134" t="n">
        <v>1526.404</v>
      </c>
      <c r="C739" s="150" t="n">
        <v>-9.538</v>
      </c>
      <c r="D739" s="151" t="n">
        <v>-0.0062</v>
      </c>
      <c r="E739" s="134" t="n">
        <v>133.134</v>
      </c>
      <c r="F739" s="134" t="n">
        <v>108.405</v>
      </c>
      <c r="G739" s="134" t="n">
        <v>89.97</v>
      </c>
      <c r="H739" s="134" t="n">
        <v>165.94</v>
      </c>
      <c r="I739" s="104" t="n">
        <v>0.3281</v>
      </c>
      <c r="J739" s="104" t="n">
        <v>0.22</v>
      </c>
      <c r="K739" s="104" t="n">
        <v>-0.0059</v>
      </c>
      <c r="L739" s="134" t="n">
        <v>574.77</v>
      </c>
      <c r="M739" s="134" t="n">
        <v>4764.81</v>
      </c>
      <c r="N739" s="104" t="n">
        <v>0.1206</v>
      </c>
      <c r="O739" s="134" t="n">
        <v>332</v>
      </c>
      <c r="P739" s="134" t="inlineStr">
        <is>
          <t>11 -1.08%</t>
        </is>
      </c>
      <c r="Q739" s="134" t="inlineStr">
        <is>
          <t>78 -0.81%</t>
        </is>
      </c>
      <c r="R739" s="134" t="inlineStr">
        <is>
          <t>90 -0.77%</t>
        </is>
      </c>
      <c r="S739" s="134" t="inlineStr">
        <is>
          <t>43 -0.29%</t>
        </is>
      </c>
      <c r="T739" s="134" t="inlineStr">
        <is>
          <t>34 -0.69%</t>
        </is>
      </c>
      <c r="U739" s="134" t="inlineStr">
        <is>
          <t>76 -0.35%</t>
        </is>
      </c>
    </row>
    <row customHeight="1" ht="17" r="740" s="155">
      <c r="A740" s="105" t="n">
        <v>44208</v>
      </c>
      <c r="B740" s="134" t="n">
        <v>1532.555</v>
      </c>
      <c r="C740" s="152" t="n">
        <v>6.151</v>
      </c>
      <c r="D740" s="153" t="n">
        <v>0.004</v>
      </c>
      <c r="E740" s="134" t="n">
        <v>134.22</v>
      </c>
      <c r="F740" s="134" t="n">
        <v>108.905</v>
      </c>
      <c r="G740" s="134" t="n">
        <v>89.98999999999999</v>
      </c>
      <c r="H740" s="134" t="n">
        <v>166.47</v>
      </c>
      <c r="I740" s="104" t="n">
        <v>0.3225</v>
      </c>
      <c r="J740" s="104" t="n">
        <v>0.2199</v>
      </c>
      <c r="K740" s="104" t="n">
        <v>-0.006</v>
      </c>
      <c r="L740" s="134" t="n">
        <v>539.37</v>
      </c>
      <c r="M740" s="134" t="n">
        <v>4745.14</v>
      </c>
      <c r="N740" s="104" t="n">
        <v>0.1137</v>
      </c>
      <c r="O740" s="134" t="n">
        <v>332</v>
      </c>
      <c r="P740" s="134" t="inlineStr">
        <is>
          <t>13 -0.88%</t>
        </is>
      </c>
      <c r="Q740" s="134" t="inlineStr">
        <is>
          <t>80 -0.39%</t>
        </is>
      </c>
      <c r="R740" s="134" t="inlineStr">
        <is>
          <t>84 -0.07%</t>
        </is>
      </c>
      <c r="S740" s="134" t="inlineStr">
        <is>
          <t>46 0.02%</t>
        </is>
      </c>
      <c r="T740" s="134" t="inlineStr">
        <is>
          <t>32 1.33%</t>
        </is>
      </c>
      <c r="U740" s="134" t="inlineStr">
        <is>
          <t>77 2.22%</t>
        </is>
      </c>
    </row>
    <row customHeight="1" ht="17" r="741" s="155">
      <c r="A741" s="105" t="n">
        <v>44209</v>
      </c>
      <c r="B741" s="134" t="n">
        <v>1516.433</v>
      </c>
      <c r="C741" s="150" t="n">
        <v>-16.122</v>
      </c>
      <c r="D741" s="151" t="n">
        <v>-0.0105</v>
      </c>
      <c r="E741" s="134" t="n">
        <v>133.591</v>
      </c>
      <c r="F741" s="134" t="n">
        <v>107.987</v>
      </c>
      <c r="G741" s="134" t="n">
        <v>89.59</v>
      </c>
      <c r="H741" s="134" t="n">
        <v>166.65</v>
      </c>
      <c r="I741" s="104" t="n">
        <v>0.3306</v>
      </c>
      <c r="J741" s="104" t="n">
        <v>0.226</v>
      </c>
      <c r="K741" s="104" t="n">
        <v>-0.0037</v>
      </c>
      <c r="L741" s="134" t="n">
        <v>593.02</v>
      </c>
      <c r="M741" s="134" t="n">
        <v>4742.94</v>
      </c>
      <c r="N741" s="104" t="n">
        <v>0.125</v>
      </c>
      <c r="O741" s="134" t="n">
        <v>333</v>
      </c>
      <c r="P741" s="134" t="inlineStr">
        <is>
          <t>17 -1.89%</t>
        </is>
      </c>
      <c r="Q741" s="134" t="inlineStr">
        <is>
          <t>87 -1.68%</t>
        </is>
      </c>
      <c r="R741" s="134" t="inlineStr">
        <is>
          <t>81 -0.87%</t>
        </is>
      </c>
      <c r="S741" s="134" t="inlineStr">
        <is>
          <t>43 -1.22%</t>
        </is>
      </c>
      <c r="T741" s="134" t="inlineStr">
        <is>
          <t>29 -1.03%</t>
        </is>
      </c>
      <c r="U741" s="134" t="inlineStr">
        <is>
          <t>76 -0.25%</t>
        </is>
      </c>
    </row>
    <row customHeight="1" ht="17" r="742" s="155">
      <c r="A742" s="105" t="n">
        <v>44210</v>
      </c>
      <c r="B742" s="134" t="n">
        <v>1521.013</v>
      </c>
      <c r="C742" s="152" t="n">
        <v>4.58</v>
      </c>
      <c r="D742" s="153" t="n">
        <v>0.003</v>
      </c>
      <c r="E742" s="134" t="n">
        <v>133.206</v>
      </c>
      <c r="F742" s="134" t="n">
        <v>108.634</v>
      </c>
      <c r="G742" s="134" t="n">
        <v>88.88</v>
      </c>
      <c r="H742" s="134" t="n">
        <v>166.16</v>
      </c>
      <c r="I742" s="104" t="n">
        <v>0.3296</v>
      </c>
      <c r="J742" s="104" t="n">
        <v>0.2302</v>
      </c>
      <c r="K742" s="104" t="n">
        <v>-0.0041</v>
      </c>
      <c r="L742" s="134" t="n">
        <v>578.64</v>
      </c>
      <c r="M742" s="134" t="n">
        <v>4740</v>
      </c>
      <c r="N742" s="104" t="n">
        <v>0.1221</v>
      </c>
      <c r="O742" s="134" t="n">
        <v>332</v>
      </c>
      <c r="P742" s="134" t="inlineStr">
        <is>
          <t>14 2.93%</t>
        </is>
      </c>
      <c r="Q742" s="134" t="inlineStr">
        <is>
          <t>83 0.77%</t>
        </is>
      </c>
      <c r="R742" s="134" t="inlineStr">
        <is>
          <t>81 0.89%</t>
        </is>
      </c>
      <c r="S742" s="134" t="inlineStr">
        <is>
          <t>47 0.58%</t>
        </is>
      </c>
      <c r="T742" s="134" t="inlineStr">
        <is>
          <t>34 0.19%</t>
        </is>
      </c>
      <c r="U742" s="134" t="inlineStr">
        <is>
          <t>73 -1.37%</t>
        </is>
      </c>
    </row>
    <row customHeight="1" ht="17" r="743" s="155">
      <c r="A743" s="105" t="n">
        <v>44211</v>
      </c>
      <c r="B743" s="134" t="n">
        <v>1528.937</v>
      </c>
      <c r="C743" s="152" t="n">
        <v>7.924</v>
      </c>
      <c r="D743" s="153" t="n">
        <v>0.0052</v>
      </c>
      <c r="E743" s="134" t="n">
        <v>133.236</v>
      </c>
      <c r="F743" s="134" t="n">
        <v>109.235</v>
      </c>
      <c r="G743" s="134" t="n">
        <v>89.87</v>
      </c>
      <c r="H743" s="134" t="n">
        <v>165.04</v>
      </c>
      <c r="I743" s="104" t="n">
        <v>0.3181</v>
      </c>
      <c r="J743" s="104" t="n">
        <v>0.2287</v>
      </c>
      <c r="K743" s="104" t="n">
        <v>-0.0052</v>
      </c>
      <c r="L743" s="134" t="n">
        <v>535.23</v>
      </c>
      <c r="M743" s="134" t="n">
        <v>4753.91</v>
      </c>
      <c r="N743" s="104" t="n">
        <v>0.1126</v>
      </c>
      <c r="O743" s="134" t="n">
        <v>334</v>
      </c>
      <c r="P743" s="134" t="inlineStr">
        <is>
          <t>12 1.36%</t>
        </is>
      </c>
      <c r="Q743" s="134" t="inlineStr">
        <is>
          <t>77 1.03%</t>
        </is>
      </c>
      <c r="R743" s="134" t="inlineStr">
        <is>
          <t>90 0.68%</t>
        </is>
      </c>
      <c r="S743" s="134" t="inlineStr">
        <is>
          <t>49 0.18%</t>
        </is>
      </c>
      <c r="T743" s="134" t="inlineStr">
        <is>
          <t>32 0.98%</t>
        </is>
      </c>
      <c r="U743" s="134" t="inlineStr">
        <is>
          <t>74 -0.03%</t>
        </is>
      </c>
    </row>
    <row customHeight="1" ht="17" r="744" s="155">
      <c r="A744" s="105" t="n">
        <v>44214</v>
      </c>
      <c r="B744" s="134" t="n">
        <v>1542.774</v>
      </c>
      <c r="C744" s="152" t="n">
        <v>13.837</v>
      </c>
      <c r="D744" s="153" t="n">
        <v>0.0091</v>
      </c>
      <c r="E744" s="134" t="n">
        <v>134.689</v>
      </c>
      <c r="F744" s="134" t="n">
        <v>110.31</v>
      </c>
      <c r="G744" s="134" t="n">
        <v>91.04000000000001</v>
      </c>
      <c r="H744" s="134" t="n">
        <v>165.35</v>
      </c>
      <c r="I744" s="104" t="n">
        <v>0.3066</v>
      </c>
      <c r="J744" s="104" t="n">
        <v>0.2087</v>
      </c>
      <c r="K744" s="104" t="n">
        <v>-0.0066</v>
      </c>
      <c r="L744" s="134" t="n">
        <v>478.92</v>
      </c>
      <c r="M744" s="134" t="n">
        <v>5081.96</v>
      </c>
      <c r="N744" s="104" t="n">
        <v>0.09420000000000001</v>
      </c>
      <c r="O744" s="134" t="n">
        <v>338</v>
      </c>
      <c r="P744" s="134" t="inlineStr">
        <is>
          <t>9 -0.47%</t>
        </is>
      </c>
      <c r="Q744" s="134" t="inlineStr">
        <is>
          <t>74 0.73%</t>
        </is>
      </c>
      <c r="R744" s="134" t="inlineStr">
        <is>
          <t>84 0.70%</t>
        </is>
      </c>
      <c r="S744" s="134" t="inlineStr">
        <is>
          <t>59 1.29%</t>
        </is>
      </c>
      <c r="T744" s="134" t="inlineStr">
        <is>
          <t>33 0.92%</t>
        </is>
      </c>
      <c r="U744" s="134" t="inlineStr">
        <is>
          <t>79 1.44%</t>
        </is>
      </c>
    </row>
    <row customHeight="1" ht="17" r="745" s="155">
      <c r="A745" s="105" t="n">
        <v>44215</v>
      </c>
      <c r="B745" s="134" t="n">
        <v>1542.666</v>
      </c>
      <c r="C745" s="150" t="n">
        <v>-0.108</v>
      </c>
      <c r="D745" s="151" t="n">
        <v>-0.0001</v>
      </c>
      <c r="E745" s="134" t="n">
        <v>133.769</v>
      </c>
      <c r="F745" s="134" t="n">
        <v>110.3</v>
      </c>
      <c r="G745" s="134" t="n">
        <v>90.87</v>
      </c>
      <c r="H745" s="134" t="n">
        <v>164.49</v>
      </c>
      <c r="I745" s="104" t="n">
        <v>0.3072</v>
      </c>
      <c r="J745" s="104" t="n">
        <v>0.2156</v>
      </c>
      <c r="K745" s="104" t="n">
        <v>-0.0067</v>
      </c>
      <c r="L745" s="134" t="n">
        <v>483.04</v>
      </c>
      <c r="M745" s="134" t="n">
        <v>5077.51</v>
      </c>
      <c r="N745" s="104" t="n">
        <v>0.0951</v>
      </c>
      <c r="O745" s="134" t="n">
        <v>339</v>
      </c>
      <c r="P745" s="134" t="inlineStr">
        <is>
          <t>7 0.33%</t>
        </is>
      </c>
      <c r="Q745" s="134" t="inlineStr">
        <is>
          <t>73 0.30%</t>
        </is>
      </c>
      <c r="R745" s="134" t="inlineStr">
        <is>
          <t>90 0.06%</t>
        </is>
      </c>
      <c r="S745" s="134" t="inlineStr">
        <is>
          <t>54 0.52%</t>
        </is>
      </c>
      <c r="T745" s="134" t="inlineStr">
        <is>
          <t>37 0.75%</t>
        </is>
      </c>
      <c r="U745" s="134" t="inlineStr">
        <is>
          <t>78 -0.75%</t>
        </is>
      </c>
    </row>
    <row customHeight="1" ht="17" r="746" s="155">
      <c r="A746" s="105" t="n">
        <v>44216</v>
      </c>
      <c r="B746" s="134" t="n">
        <v>1545.52</v>
      </c>
      <c r="C746" s="152" t="n">
        <v>2.854</v>
      </c>
      <c r="D746" s="153" t="n">
        <v>0.0019</v>
      </c>
      <c r="E746" s="134" t="n">
        <v>133.728</v>
      </c>
      <c r="F746" s="134" t="n">
        <v>110.127</v>
      </c>
      <c r="G746" s="134" t="n">
        <v>91.09999999999999</v>
      </c>
      <c r="H746" s="134" t="n">
        <v>164.32</v>
      </c>
      <c r="I746" s="104" t="n">
        <v>0.3059</v>
      </c>
      <c r="J746" s="104" t="n">
        <v>0.2201</v>
      </c>
      <c r="K746" s="104" t="n">
        <v>-0.0064</v>
      </c>
      <c r="L746" s="134" t="n">
        <v>429.25</v>
      </c>
      <c r="M746" s="134" t="n">
        <v>5082.71</v>
      </c>
      <c r="N746" s="104" t="n">
        <v>0.08450000000000001</v>
      </c>
      <c r="O746" s="134" t="n">
        <v>339</v>
      </c>
      <c r="P746" s="134" t="inlineStr">
        <is>
          <t>11 -0.72%</t>
        </is>
      </c>
      <c r="Q746" s="134" t="inlineStr">
        <is>
          <t>66 -0.14%</t>
        </is>
      </c>
      <c r="R746" s="134" t="inlineStr">
        <is>
          <t>86 -0.11%</t>
        </is>
      </c>
      <c r="S746" s="134" t="inlineStr">
        <is>
          <t>61 0.22%</t>
        </is>
      </c>
      <c r="T746" s="134" t="inlineStr">
        <is>
          <t>39 0.23%</t>
        </is>
      </c>
      <c r="U746" s="134" t="inlineStr">
        <is>
          <t>76 0.87%</t>
        </is>
      </c>
    </row>
    <row customHeight="1" ht="17" r="747" s="155">
      <c r="A747" s="105" t="n">
        <v>44217</v>
      </c>
      <c r="B747" s="134" t="n">
        <v>1552.738</v>
      </c>
      <c r="C747" s="152" t="n">
        <v>7.218</v>
      </c>
      <c r="D747" s="153" t="n">
        <v>0.0047</v>
      </c>
      <c r="E747" s="134" t="n">
        <v>134.703</v>
      </c>
      <c r="F747" s="134" t="n">
        <v>110.75</v>
      </c>
      <c r="G747" s="134" t="n">
        <v>91.38</v>
      </c>
      <c r="H747" s="134" t="n">
        <v>164.73</v>
      </c>
      <c r="I747" s="104" t="n">
        <v>0.3003</v>
      </c>
      <c r="J747" s="104" t="n">
        <v>0.2105</v>
      </c>
      <c r="K747" s="104" t="n">
        <v>-0.0073</v>
      </c>
      <c r="L747" s="134" t="n">
        <v>448.39</v>
      </c>
      <c r="M747" s="134" t="n">
        <v>5080.84</v>
      </c>
      <c r="N747" s="104" t="n">
        <v>0.0883</v>
      </c>
      <c r="O747" s="134" t="n">
        <v>339</v>
      </c>
      <c r="P747" s="134" t="inlineStr">
        <is>
          <t>10 0.05%</t>
        </is>
      </c>
      <c r="Q747" s="134" t="inlineStr">
        <is>
          <t>66 -0.09%</t>
        </is>
      </c>
      <c r="R747" s="134" t="inlineStr">
        <is>
          <t>83 0.19%</t>
        </is>
      </c>
      <c r="S747" s="134" t="inlineStr">
        <is>
          <t>66 0.08%</t>
        </is>
      </c>
      <c r="T747" s="134" t="inlineStr">
        <is>
          <t>30 0.48%</t>
        </is>
      </c>
      <c r="U747" s="134" t="inlineStr">
        <is>
          <t>84 1.52%</t>
        </is>
      </c>
    </row>
    <row customHeight="1" ht="17" r="748" s="155">
      <c r="A748" s="105" t="n">
        <v>44218</v>
      </c>
      <c r="B748" s="134" t="n">
        <v>1548.561</v>
      </c>
      <c r="C748" s="150" t="n">
        <v>-4.177</v>
      </c>
      <c r="D748" s="151" t="n">
        <v>-0.0027</v>
      </c>
      <c r="E748" s="134" t="n">
        <v>135.538</v>
      </c>
      <c r="F748" s="134" t="n">
        <v>110.14</v>
      </c>
      <c r="G748" s="134" t="n">
        <v>90.16</v>
      </c>
      <c r="H748" s="134" t="n">
        <v>166.3</v>
      </c>
      <c r="I748" s="104" t="n">
        <v>0.3077</v>
      </c>
      <c r="J748" s="104" t="n">
        <v>0.2194</v>
      </c>
      <c r="K748" s="104" t="n">
        <v>-0.0066</v>
      </c>
      <c r="L748" s="134" t="n">
        <v>463.64</v>
      </c>
      <c r="M748" s="134" t="n">
        <v>5079.33</v>
      </c>
      <c r="N748" s="104" t="n">
        <v>0.09130000000000001</v>
      </c>
      <c r="O748" s="134" t="n">
        <v>339</v>
      </c>
      <c r="P748" s="134" t="inlineStr">
        <is>
          <t>12 -1.57%</t>
        </is>
      </c>
      <c r="Q748" s="134" t="inlineStr">
        <is>
          <t>74 -1.06%</t>
        </is>
      </c>
      <c r="R748" s="134" t="inlineStr">
        <is>
          <t>83 -0.42%</t>
        </is>
      </c>
      <c r="S748" s="134" t="inlineStr">
        <is>
          <t>57 -0.59%</t>
        </is>
      </c>
      <c r="T748" s="134" t="inlineStr">
        <is>
          <t>31 -0.36%</t>
        </is>
      </c>
      <c r="U748" s="134" t="inlineStr">
        <is>
          <t>82 1.83%</t>
        </is>
      </c>
    </row>
    <row customHeight="1" ht="17" r="749" s="155">
      <c r="A749" s="105" t="n">
        <v>44221</v>
      </c>
      <c r="B749" s="134" t="n">
        <v>1542.645</v>
      </c>
      <c r="C749" s="150" t="n">
        <v>-5.916</v>
      </c>
      <c r="D749" s="151" t="n">
        <v>-0.0038</v>
      </c>
      <c r="E749" s="134" t="n">
        <v>135.107</v>
      </c>
      <c r="F749" s="134" t="n">
        <v>109.075</v>
      </c>
      <c r="G749" s="134" t="n">
        <v>89.04000000000001</v>
      </c>
      <c r="H749" s="134" t="n">
        <v>167.28</v>
      </c>
      <c r="I749" s="104" t="n">
        <v>0.3217</v>
      </c>
      <c r="J749" s="104" t="n">
        <v>0.2243</v>
      </c>
      <c r="K749" s="104" t="n">
        <v>-0.0057</v>
      </c>
      <c r="L749" s="134" t="n">
        <v>534.86</v>
      </c>
      <c r="M749" s="134" t="n">
        <v>5110.36</v>
      </c>
      <c r="N749" s="104" t="n">
        <v>0.1047</v>
      </c>
      <c r="O749" s="134" t="n">
        <v>340</v>
      </c>
      <c r="P749" s="134" t="inlineStr">
        <is>
          <t>15 -1.05%</t>
        </is>
      </c>
      <c r="Q749" s="134" t="inlineStr">
        <is>
          <t>80 -1.08%</t>
        </is>
      </c>
      <c r="R749" s="134" t="inlineStr">
        <is>
          <t>82 -0.71%</t>
        </is>
      </c>
      <c r="S749" s="134" t="inlineStr">
        <is>
          <t>51 -0.79%</t>
        </is>
      </c>
      <c r="T749" s="134" t="inlineStr">
        <is>
          <t>28 0.19%</t>
        </is>
      </c>
      <c r="U749" s="134" t="inlineStr">
        <is>
          <t>84 0.78%</t>
        </is>
      </c>
    </row>
    <row customHeight="1" ht="17" r="750" s="155">
      <c r="A750" s="105" t="n">
        <v>44222</v>
      </c>
      <c r="B750" s="134" t="n">
        <v>1528.607</v>
      </c>
      <c r="C750" s="150" t="n">
        <v>-14.038</v>
      </c>
      <c r="D750" s="151" t="n">
        <v>-0.0091</v>
      </c>
      <c r="E750" s="134" t="n">
        <v>133.631</v>
      </c>
      <c r="F750" s="134" t="n">
        <v>108.1</v>
      </c>
      <c r="G750" s="134" t="n">
        <v>87.41</v>
      </c>
      <c r="H750" s="134" t="n">
        <v>166.05</v>
      </c>
      <c r="I750" s="104" t="n">
        <v>0.3242</v>
      </c>
      <c r="J750" s="104" t="n">
        <v>0.2336</v>
      </c>
      <c r="K750" s="104" t="n">
        <v>-0.0035</v>
      </c>
      <c r="L750" s="134" t="n">
        <v>435.47</v>
      </c>
      <c r="M750" s="134" t="n">
        <v>5106.6</v>
      </c>
      <c r="N750" s="104" t="n">
        <v>0.0853</v>
      </c>
      <c r="O750" s="134" t="n">
        <v>339</v>
      </c>
      <c r="P750" s="134" t="inlineStr">
        <is>
          <t>16 -1.16%</t>
        </is>
      </c>
      <c r="Q750" s="134" t="inlineStr">
        <is>
          <t>81 -0.48%</t>
        </is>
      </c>
      <c r="R750" s="134" t="inlineStr">
        <is>
          <t>87 -0.99%</t>
        </is>
      </c>
      <c r="S750" s="134" t="inlineStr">
        <is>
          <t>47 -1.05%</t>
        </is>
      </c>
      <c r="T750" s="134" t="inlineStr">
        <is>
          <t>29 -1.08%</t>
        </is>
      </c>
      <c r="U750" s="134" t="inlineStr">
        <is>
          <t>79 -1.07%</t>
        </is>
      </c>
    </row>
    <row customHeight="1" ht="17" r="751" s="155">
      <c r="A751" s="105" t="n">
        <v>44223</v>
      </c>
      <c r="B751" s="134" t="n">
        <v>1511.211</v>
      </c>
      <c r="C751" s="150" t="n">
        <v>-17.396</v>
      </c>
      <c r="D751" s="151" t="n">
        <v>-0.0114</v>
      </c>
      <c r="E751" s="134" t="n">
        <v>131.297</v>
      </c>
      <c r="F751" s="134" t="n">
        <v>107.01</v>
      </c>
      <c r="G751" s="134" t="n">
        <v>87.36</v>
      </c>
      <c r="H751" s="134" t="n">
        <v>161.4</v>
      </c>
      <c r="I751" s="104" t="n">
        <v>0.301</v>
      </c>
      <c r="J751" s="104" t="n">
        <v>0.2199</v>
      </c>
      <c r="K751" s="104" t="n">
        <v>-0.0012</v>
      </c>
      <c r="L751" s="134" t="n">
        <v>487.69</v>
      </c>
      <c r="M751" s="134" t="n">
        <v>5103.05</v>
      </c>
      <c r="N751" s="104" t="n">
        <v>0.0956</v>
      </c>
      <c r="O751" s="134" t="n">
        <v>339</v>
      </c>
      <c r="P751" s="134" t="inlineStr">
        <is>
          <t>16 -0.49%</t>
        </is>
      </c>
      <c r="Q751" s="134" t="inlineStr">
        <is>
          <t>86 -0.48%</t>
        </is>
      </c>
      <c r="R751" s="134" t="inlineStr">
        <is>
          <t>85 -0.73%</t>
        </is>
      </c>
      <c r="S751" s="134" t="inlineStr">
        <is>
          <t>50 -0.67%</t>
        </is>
      </c>
      <c r="T751" s="134" t="inlineStr">
        <is>
          <t>28 -0.51%</t>
        </is>
      </c>
      <c r="U751" s="134" t="inlineStr">
        <is>
          <t>74 -3.07%</t>
        </is>
      </c>
    </row>
    <row customHeight="1" ht="17" r="752" s="155">
      <c r="A752" s="105" t="n">
        <v>44224</v>
      </c>
      <c r="B752" s="134" t="n">
        <v>1492.185</v>
      </c>
      <c r="C752" s="150" t="n">
        <v>-19.026</v>
      </c>
      <c r="D752" s="151" t="n">
        <v>-0.0126</v>
      </c>
      <c r="E752" s="134" t="n">
        <v>128.388</v>
      </c>
      <c r="F752" s="134" t="n">
        <v>106.32</v>
      </c>
      <c r="G752" s="134" t="n">
        <v>86.81</v>
      </c>
      <c r="H752" s="134" t="n">
        <v>158.82</v>
      </c>
      <c r="I752" s="104" t="n">
        <v>0.3043</v>
      </c>
      <c r="J752" s="104" t="n">
        <v>0.2178</v>
      </c>
      <c r="K752" s="104" t="n">
        <v>0.0016</v>
      </c>
      <c r="L752" s="134" t="n">
        <v>492.62</v>
      </c>
      <c r="M752" s="134" t="n">
        <v>5098.99</v>
      </c>
      <c r="N752" s="104" t="n">
        <v>0.09660000000000001</v>
      </c>
      <c r="O752" s="134" t="n">
        <v>339</v>
      </c>
      <c r="P752" s="134" t="inlineStr">
        <is>
          <t>18 -0.68%</t>
        </is>
      </c>
      <c r="Q752" s="134" t="inlineStr">
        <is>
          <t>89 -0.69%</t>
        </is>
      </c>
      <c r="R752" s="134" t="inlineStr">
        <is>
          <t>89 -0.67%</t>
        </is>
      </c>
      <c r="S752" s="134" t="inlineStr">
        <is>
          <t>47 -1.30%</t>
        </is>
      </c>
      <c r="T752" s="134" t="inlineStr">
        <is>
          <t>27 -1.68%</t>
        </is>
      </c>
      <c r="U752" s="134" t="inlineStr">
        <is>
          <t>69 -2.72%</t>
        </is>
      </c>
    </row>
    <row customHeight="1" ht="17" r="753" s="155">
      <c r="A753" s="105" t="n">
        <v>44225</v>
      </c>
      <c r="B753" s="134" t="n">
        <v>1460.297</v>
      </c>
      <c r="C753" s="150" t="n">
        <v>-31.888</v>
      </c>
      <c r="D753" s="151" t="n">
        <v>-0.0214</v>
      </c>
      <c r="E753" s="134" t="n">
        <v>124.917</v>
      </c>
      <c r="F753" s="134" t="n">
        <v>104.521</v>
      </c>
      <c r="G753" s="134" t="n">
        <v>85.95</v>
      </c>
      <c r="H753" s="134" t="n">
        <v>154.54</v>
      </c>
      <c r="I753" s="104" t="n">
        <v>0.2963</v>
      </c>
      <c r="J753" s="104" t="n">
        <v>0.2196</v>
      </c>
      <c r="K753" s="104" t="n">
        <v>0.0059</v>
      </c>
      <c r="L753" s="134" t="n">
        <v>431.1</v>
      </c>
      <c r="M753" s="134" t="n">
        <v>5095.39</v>
      </c>
      <c r="N753" s="104" t="n">
        <v>0.08459999999999999</v>
      </c>
      <c r="O753" s="134" t="n">
        <v>339</v>
      </c>
      <c r="P753" s="134" t="inlineStr">
        <is>
          <t>26 -1.75%</t>
        </is>
      </c>
      <c r="Q753" s="134" t="inlineStr">
        <is>
          <t>92 -1.49%</t>
        </is>
      </c>
      <c r="R753" s="134" t="inlineStr">
        <is>
          <t>91 -1.63%</t>
        </is>
      </c>
      <c r="S753" s="134" t="inlineStr">
        <is>
          <t>41 -2.14%</t>
        </is>
      </c>
      <c r="T753" s="134" t="inlineStr">
        <is>
          <t>30 -2.88%</t>
        </is>
      </c>
      <c r="U753" s="134" t="inlineStr">
        <is>
          <t>59 -3.83%</t>
        </is>
      </c>
    </row>
    <row customHeight="1" ht="17" r="754" s="155">
      <c r="A754" s="105" t="n">
        <v>44228</v>
      </c>
      <c r="B754" s="134" t="n">
        <v>1463.393</v>
      </c>
      <c r="C754" s="152" t="n">
        <v>3.096</v>
      </c>
      <c r="D754" s="153" t="n">
        <v>0.0021</v>
      </c>
      <c r="E754" s="134" t="n">
        <v>124.985</v>
      </c>
      <c r="F754" s="134" t="n">
        <v>104.04</v>
      </c>
      <c r="G754" s="134" t="n">
        <v>85.38</v>
      </c>
      <c r="H754" s="134" t="n">
        <v>154.21</v>
      </c>
      <c r="I754" s="104" t="n">
        <v>0.2922</v>
      </c>
      <c r="J754" s="104" t="n">
        <v>0.2043</v>
      </c>
      <c r="K754" s="104" t="n">
        <v>0.0063</v>
      </c>
      <c r="L754" s="134" t="n">
        <v>355.23</v>
      </c>
      <c r="M754" s="134" t="n">
        <v>5109.54</v>
      </c>
      <c r="N754" s="104" t="n">
        <v>0.06950000000000001</v>
      </c>
      <c r="O754" s="134" t="n">
        <v>340</v>
      </c>
      <c r="P754" s="134" t="inlineStr">
        <is>
          <t>26 -0.08%</t>
        </is>
      </c>
      <c r="Q754" s="134" t="inlineStr">
        <is>
          <t>95 -0.11%</t>
        </is>
      </c>
      <c r="R754" s="134" t="inlineStr">
        <is>
          <t>95 -0.30%</t>
        </is>
      </c>
      <c r="S754" s="134" t="inlineStr">
        <is>
          <t>34 -0.21%</t>
        </is>
      </c>
      <c r="T754" s="134" t="inlineStr">
        <is>
          <t>28 0.98%</t>
        </is>
      </c>
      <c r="U754" s="134" t="inlineStr">
        <is>
          <t>62 1.49%</t>
        </is>
      </c>
    </row>
    <row customHeight="1" ht="17" r="755" s="155">
      <c r="A755" s="105" t="n">
        <v>44229</v>
      </c>
      <c r="B755" s="134" t="n">
        <v>1467.198</v>
      </c>
      <c r="C755" s="152" t="n">
        <v>3.805</v>
      </c>
      <c r="D755" s="153" t="n">
        <v>0.0026</v>
      </c>
      <c r="E755" s="134" t="n">
        <v>125.545</v>
      </c>
      <c r="F755" s="134" t="n">
        <v>103.995</v>
      </c>
      <c r="G755" s="134" t="n">
        <v>85.12</v>
      </c>
      <c r="H755" s="134" t="n">
        <v>155.2</v>
      </c>
      <c r="I755" s="104" t="n">
        <v>0.2965</v>
      </c>
      <c r="J755" s="104" t="n">
        <v>0.1993</v>
      </c>
      <c r="K755" s="104" t="n">
        <v>0.0068</v>
      </c>
      <c r="L755" s="134" t="n">
        <v>443.1</v>
      </c>
      <c r="M755" s="134" t="n">
        <v>5102.75</v>
      </c>
      <c r="N755" s="104" t="n">
        <v>0.0868</v>
      </c>
      <c r="O755" s="134" t="n">
        <v>340</v>
      </c>
      <c r="P755" s="134" t="inlineStr">
        <is>
          <t>27 -1.37%</t>
        </is>
      </c>
      <c r="Q755" s="134" t="inlineStr">
        <is>
          <t>98 -0.48%</t>
        </is>
      </c>
      <c r="R755" s="134" t="inlineStr">
        <is>
          <t>91 0.09%</t>
        </is>
      </c>
      <c r="S755" s="134" t="inlineStr">
        <is>
          <t>32 -0.18%</t>
        </is>
      </c>
      <c r="T755" s="134" t="inlineStr">
        <is>
          <t>30 -0.02%</t>
        </is>
      </c>
      <c r="U755" s="134" t="inlineStr">
        <is>
          <t>62 2.75%</t>
        </is>
      </c>
    </row>
    <row customHeight="1" ht="17" r="756" s="155">
      <c r="A756" s="105" t="n">
        <v>44230</v>
      </c>
      <c r="B756" s="134" t="n">
        <v>1456.209</v>
      </c>
      <c r="C756" s="150" t="n">
        <v>-10.989</v>
      </c>
      <c r="D756" s="151" t="n">
        <v>-0.0075</v>
      </c>
      <c r="E756" s="134" t="n">
        <v>124.825</v>
      </c>
      <c r="F756" s="134" t="n">
        <v>103</v>
      </c>
      <c r="G756" s="134" t="n">
        <v>84.52</v>
      </c>
      <c r="H756" s="134" t="n">
        <v>155.54</v>
      </c>
      <c r="I756" s="104" t="n">
        <v>0.3071</v>
      </c>
      <c r="J756" s="104" t="n">
        <v>0.2069</v>
      </c>
      <c r="K756" s="104" t="n">
        <v>0.008500000000000001</v>
      </c>
      <c r="L756" s="134" t="n">
        <v>401.52</v>
      </c>
      <c r="M756" s="134" t="n">
        <v>5094.46</v>
      </c>
      <c r="N756" s="104" t="n">
        <v>0.0788</v>
      </c>
      <c r="O756" s="134" t="n">
        <v>340</v>
      </c>
      <c r="P756" s="134" t="inlineStr">
        <is>
          <t>31 -1.13%</t>
        </is>
      </c>
      <c r="Q756" s="134" t="inlineStr">
        <is>
          <t>102 -0.54%</t>
        </is>
      </c>
      <c r="R756" s="134" t="inlineStr">
        <is>
          <t>86 -0.57%</t>
        </is>
      </c>
      <c r="S756" s="134" t="inlineStr">
        <is>
          <t>35 -1.17%</t>
        </is>
      </c>
      <c r="T756" s="134" t="inlineStr">
        <is>
          <t>25 -1.09%</t>
        </is>
      </c>
      <c r="U756" s="134" t="inlineStr">
        <is>
          <t>61 -0.78%</t>
        </is>
      </c>
    </row>
    <row customHeight="1" ht="17" r="757" s="155">
      <c r="A757" s="105" t="n">
        <v>44231</v>
      </c>
      <c r="B757" s="134" t="n">
        <v>1430.23</v>
      </c>
      <c r="C757" s="150" t="n">
        <v>-25.979</v>
      </c>
      <c r="D757" s="151" t="n">
        <v>-0.0178</v>
      </c>
      <c r="E757" s="134" t="n">
        <v>122.019</v>
      </c>
      <c r="F757" s="134" t="n">
        <v>101.585</v>
      </c>
      <c r="G757" s="134" t="n">
        <v>83.04000000000001</v>
      </c>
      <c r="H757" s="134" t="n">
        <v>153.15</v>
      </c>
      <c r="I757" s="104" t="n">
        <v>0.3113</v>
      </c>
      <c r="J757" s="104" t="n">
        <v>0.2129</v>
      </c>
      <c r="K757" s="104" t="n">
        <v>0.0127</v>
      </c>
      <c r="L757" s="134" t="n">
        <v>395.87</v>
      </c>
      <c r="M757" s="134" t="n">
        <v>5089.73</v>
      </c>
      <c r="N757" s="104" t="n">
        <v>0.07779999999999999</v>
      </c>
      <c r="O757" s="134" t="n">
        <v>340</v>
      </c>
      <c r="P757" s="134" t="inlineStr">
        <is>
          <t>43 -1.69%</t>
        </is>
      </c>
      <c r="Q757" s="134" t="inlineStr">
        <is>
          <t>107 -1.53%</t>
        </is>
      </c>
      <c r="R757" s="134" t="inlineStr">
        <is>
          <t>81 -1.43%</t>
        </is>
      </c>
      <c r="S757" s="134" t="inlineStr">
        <is>
          <t>33 -1.87%</t>
        </is>
      </c>
      <c r="T757" s="134" t="inlineStr">
        <is>
          <t>21 -2.12%</t>
        </is>
      </c>
      <c r="U757" s="134" t="inlineStr">
        <is>
          <t>55 -2.64%</t>
        </is>
      </c>
    </row>
    <row customHeight="1" ht="17" r="758" s="155">
      <c r="A758" s="105" t="n">
        <v>44232</v>
      </c>
      <c r="B758" s="134" t="n">
        <v>1407.261</v>
      </c>
      <c r="C758" s="150" t="n">
        <v>-22.969</v>
      </c>
      <c r="D758" s="151" t="n">
        <v>-0.0161</v>
      </c>
      <c r="E758" s="134" t="n">
        <v>119.388</v>
      </c>
      <c r="F758" s="134" t="n">
        <v>100.69</v>
      </c>
      <c r="G758" s="134" t="n">
        <v>82.83</v>
      </c>
      <c r="H758" s="134" t="n">
        <v>149.69</v>
      </c>
      <c r="I758" s="104" t="n">
        <v>0.303</v>
      </c>
      <c r="J758" s="104" t="n">
        <v>0.2061</v>
      </c>
      <c r="K758" s="104" t="n">
        <v>0.0154</v>
      </c>
      <c r="L758" s="134" t="n">
        <v>410.64</v>
      </c>
      <c r="M758" s="134" t="n">
        <v>5092.24</v>
      </c>
      <c r="N758" s="104" t="n">
        <v>0.0806</v>
      </c>
      <c r="O758" s="134" t="n">
        <v>341</v>
      </c>
      <c r="P758" s="134" t="inlineStr">
        <is>
          <t>52 -0.87%</t>
        </is>
      </c>
      <c r="Q758" s="134" t="inlineStr">
        <is>
          <t>111 -1.36%</t>
        </is>
      </c>
      <c r="R758" s="134" t="inlineStr">
        <is>
          <t>78 -0.98%</t>
        </is>
      </c>
      <c r="S758" s="134" t="inlineStr">
        <is>
          <t>29 -1.61%</t>
        </is>
      </c>
      <c r="T758" s="134" t="inlineStr">
        <is>
          <t>17 -0.69%</t>
        </is>
      </c>
      <c r="U758" s="134" t="inlineStr">
        <is>
          <t>54 -4.02%</t>
        </is>
      </c>
    </row>
    <row customHeight="1" ht="17" r="759" s="155">
      <c r="A759" s="105" t="n">
        <v>44235</v>
      </c>
      <c r="B759" s="134" t="n">
        <v>1408.471</v>
      </c>
      <c r="C759" s="152" t="n">
        <v>1.21</v>
      </c>
      <c r="D759" s="153" t="n">
        <v>0.0009</v>
      </c>
      <c r="E759" s="134" t="n">
        <v>119.954</v>
      </c>
      <c r="F759" s="134" t="n">
        <v>100.56</v>
      </c>
      <c r="G759" s="134" t="n">
        <v>82.55</v>
      </c>
      <c r="H759" s="134" t="n">
        <v>150.19</v>
      </c>
      <c r="I759" s="104" t="n">
        <v>0.3023</v>
      </c>
      <c r="J759" s="104" t="n">
        <v>0.2045</v>
      </c>
      <c r="K759" s="104" t="n">
        <v>0.0154</v>
      </c>
      <c r="L759" s="134" t="n">
        <v>352.49</v>
      </c>
      <c r="M759" s="134" t="n">
        <v>5088.95</v>
      </c>
      <c r="N759" s="104" t="n">
        <v>0.0693</v>
      </c>
      <c r="O759" s="134" t="n">
        <v>341</v>
      </c>
      <c r="P759" s="134" t="inlineStr">
        <is>
          <t>60 -0.88%</t>
        </is>
      </c>
      <c r="Q759" s="134" t="inlineStr">
        <is>
          <t>104 -0.62%</t>
        </is>
      </c>
      <c r="R759" s="134" t="inlineStr">
        <is>
          <t>72 -0.01%</t>
        </is>
      </c>
      <c r="S759" s="134" t="inlineStr">
        <is>
          <t>30 -0.13%</t>
        </is>
      </c>
      <c r="T759" s="134" t="inlineStr">
        <is>
          <t>18 0.51%</t>
        </is>
      </c>
      <c r="U759" s="134" t="inlineStr">
        <is>
          <t>57 2.31%</t>
        </is>
      </c>
    </row>
    <row customHeight="1" ht="17" r="760" s="155">
      <c r="A760" s="105" t="n">
        <v>44236</v>
      </c>
      <c r="B760" s="134" t="n">
        <v>1434.725</v>
      </c>
      <c r="C760" s="152" t="n">
        <v>26.254</v>
      </c>
      <c r="D760" s="153" t="n">
        <v>0.0186</v>
      </c>
      <c r="E760" s="134" t="n">
        <v>122.4</v>
      </c>
      <c r="F760" s="134" t="n">
        <v>101.985</v>
      </c>
      <c r="G760" s="134" t="n">
        <v>83.8</v>
      </c>
      <c r="H760" s="134" t="n">
        <v>152.34</v>
      </c>
      <c r="I760" s="104" t="n">
        <v>0.2994</v>
      </c>
      <c r="J760" s="104" t="n">
        <v>0.2154</v>
      </c>
      <c r="K760" s="104" t="n">
        <v>0.0114</v>
      </c>
      <c r="L760" s="134" t="n">
        <v>354.09</v>
      </c>
      <c r="M760" s="134" t="n">
        <v>5092.85</v>
      </c>
      <c r="N760" s="104" t="n">
        <v>0.06950000000000001</v>
      </c>
      <c r="O760" s="134" t="n">
        <v>342</v>
      </c>
      <c r="P760" s="134" t="inlineStr">
        <is>
          <t>43 0.72%</t>
        </is>
      </c>
      <c r="Q760" s="134" t="inlineStr">
        <is>
          <t>107 1.41%</t>
        </is>
      </c>
      <c r="R760" s="134" t="inlineStr">
        <is>
          <t>78 1.70%</t>
        </is>
      </c>
      <c r="S760" s="134" t="inlineStr">
        <is>
          <t>35 2.83%</t>
        </is>
      </c>
      <c r="T760" s="134" t="inlineStr">
        <is>
          <t>21 1.64%</t>
        </is>
      </c>
      <c r="U760" s="134" t="inlineStr">
        <is>
          <t>58 3.28%</t>
        </is>
      </c>
    </row>
    <row customHeight="1" ht="17" r="761" s="155">
      <c r="A761" s="105" t="n">
        <v>44237</v>
      </c>
      <c r="B761" s="134" t="n">
        <v>1445.672</v>
      </c>
      <c r="C761" s="152" t="n">
        <v>10.947</v>
      </c>
      <c r="D761" s="153" t="n">
        <v>0.0076</v>
      </c>
      <c r="E761" s="134" t="n">
        <v>123.08</v>
      </c>
      <c r="F761" s="134" t="n">
        <v>103.07</v>
      </c>
      <c r="G761" s="134" t="n">
        <v>84.28</v>
      </c>
      <c r="H761" s="134" t="n">
        <v>153.13</v>
      </c>
      <c r="I761" s="104" t="n">
        <v>0.3005</v>
      </c>
      <c r="J761" s="104" t="n">
        <v>0.2134</v>
      </c>
      <c r="K761" s="104" t="n">
        <v>0.0097</v>
      </c>
      <c r="L761" s="134" t="n">
        <v>314.29</v>
      </c>
      <c r="M761" s="134" t="n">
        <v>5081.32</v>
      </c>
      <c r="N761" s="104" t="n">
        <v>0.0619</v>
      </c>
      <c r="O761" s="134" t="n">
        <v>342</v>
      </c>
      <c r="P761" s="134" t="inlineStr">
        <is>
          <t>38 1.17%</t>
        </is>
      </c>
      <c r="Q761" s="134" t="inlineStr">
        <is>
          <t>103 1.08%</t>
        </is>
      </c>
      <c r="R761" s="134" t="inlineStr">
        <is>
          <t>82 0.83%</t>
        </is>
      </c>
      <c r="S761" s="134" t="inlineStr">
        <is>
          <t>38 0.03%</t>
        </is>
      </c>
      <c r="T761" s="134" t="inlineStr">
        <is>
          <t>22 1.06%</t>
        </is>
      </c>
      <c r="U761" s="134" t="inlineStr">
        <is>
          <t>59 0.20%</t>
        </is>
      </c>
    </row>
    <row customHeight="1" ht="17" r="762" s="155">
      <c r="A762" s="105" t="n">
        <v>44245</v>
      </c>
      <c r="B762" s="134" t="n">
        <v>1465.434</v>
      </c>
      <c r="C762" s="152" t="n">
        <v>19.762</v>
      </c>
      <c r="D762" s="153" t="n">
        <v>0.0137</v>
      </c>
      <c r="E762" s="134" t="n">
        <v>123.848</v>
      </c>
      <c r="F762" s="134" t="n">
        <v>104.517</v>
      </c>
      <c r="G762" s="134" t="n">
        <v>86</v>
      </c>
      <c r="H762" s="134" t="n">
        <v>152.5</v>
      </c>
      <c r="I762" s="104" t="n">
        <v>0.2865</v>
      </c>
      <c r="J762" s="104" t="n">
        <v>0.2015</v>
      </c>
      <c r="K762" s="104" t="n">
        <v>0.0074</v>
      </c>
      <c r="L762" s="134" t="n">
        <v>318.05</v>
      </c>
      <c r="M762" s="134" t="n">
        <v>5278.55</v>
      </c>
      <c r="N762" s="104" t="n">
        <v>0.0603</v>
      </c>
      <c r="O762" s="134" t="n">
        <v>343</v>
      </c>
      <c r="P762" s="134" t="inlineStr">
        <is>
          <t>28 1.79%</t>
        </is>
      </c>
      <c r="Q762" s="134" t="inlineStr">
        <is>
          <t>102 1.44%</t>
        </is>
      </c>
      <c r="R762" s="134" t="inlineStr">
        <is>
          <t>86 1.04%</t>
        </is>
      </c>
      <c r="S762" s="134" t="inlineStr">
        <is>
          <t>41 1.29%</t>
        </is>
      </c>
      <c r="T762" s="134" t="inlineStr">
        <is>
          <t>27 0.79%</t>
        </is>
      </c>
      <c r="U762" s="134" t="inlineStr">
        <is>
          <t>59 1.84%</t>
        </is>
      </c>
    </row>
    <row customHeight="1" ht="17" r="763" s="155">
      <c r="A763" s="105" t="n">
        <v>44246</v>
      </c>
      <c r="B763" s="134" t="n">
        <v>1487.591</v>
      </c>
      <c r="C763" s="152" t="n">
        <v>22.157</v>
      </c>
      <c r="D763" s="153" t="n">
        <v>0.0151</v>
      </c>
      <c r="E763" s="134" t="n">
        <v>125.422</v>
      </c>
      <c r="F763" s="134" t="n">
        <v>106.103</v>
      </c>
      <c r="G763" s="134" t="n">
        <v>88.45</v>
      </c>
      <c r="H763" s="134" t="n">
        <v>152.2</v>
      </c>
      <c r="I763" s="104" t="n">
        <v>0.2678</v>
      </c>
      <c r="J763" s="104" t="n">
        <v>0.1873</v>
      </c>
      <c r="K763" s="104" t="n">
        <v>0.0031</v>
      </c>
      <c r="L763" s="134" t="n">
        <v>333.08</v>
      </c>
      <c r="M763" s="134" t="n">
        <v>5274.61</v>
      </c>
      <c r="N763" s="104" t="n">
        <v>0.0631</v>
      </c>
      <c r="O763" s="134" t="n">
        <v>344</v>
      </c>
      <c r="P763" s="134" t="inlineStr">
        <is>
          <t>18 2.90%</t>
        </is>
      </c>
      <c r="Q763" s="134" t="inlineStr">
        <is>
          <t>99 1.99%</t>
        </is>
      </c>
      <c r="R763" s="134" t="inlineStr">
        <is>
          <t>90 1.72%</t>
        </is>
      </c>
      <c r="S763" s="134" t="inlineStr">
        <is>
          <t>46 2.01%</t>
        </is>
      </c>
      <c r="T763" s="134" t="inlineStr">
        <is>
          <t>27 1.32%</t>
        </is>
      </c>
      <c r="U763" s="134" t="inlineStr">
        <is>
          <t>64 -0.09%</t>
        </is>
      </c>
    </row>
    <row customHeight="1" ht="17" r="764" s="155">
      <c r="A764" s="105" t="n">
        <v>44249</v>
      </c>
      <c r="B764" s="134" t="n">
        <v>1505.74</v>
      </c>
      <c r="C764" s="152" t="n">
        <v>18.149</v>
      </c>
      <c r="D764" s="153" t="n">
        <v>0.0122</v>
      </c>
      <c r="E764" s="134" t="n">
        <v>126.736</v>
      </c>
      <c r="F764" s="134" t="n">
        <v>106.77</v>
      </c>
      <c r="G764" s="134" t="n">
        <v>89.86</v>
      </c>
      <c r="H764" s="134" t="n">
        <v>153.35</v>
      </c>
      <c r="I764" s="104" t="n">
        <v>0.2661</v>
      </c>
      <c r="J764" s="104" t="n">
        <v>0.1889</v>
      </c>
      <c r="K764" s="104" t="n">
        <v>0.0013</v>
      </c>
      <c r="L764" s="134" t="n">
        <v>426.99</v>
      </c>
      <c r="M764" s="134" t="n">
        <v>5278.66</v>
      </c>
      <c r="N764" s="104" t="n">
        <v>0.0809</v>
      </c>
      <c r="O764" s="134" t="n">
        <v>345</v>
      </c>
      <c r="P764" s="134" t="inlineStr">
        <is>
          <t>13 1.20%</t>
        </is>
      </c>
      <c r="Q764" s="134" t="inlineStr">
        <is>
          <t>93 1.06%</t>
        </is>
      </c>
      <c r="R764" s="134" t="inlineStr">
        <is>
          <t>90 1.07%</t>
        </is>
      </c>
      <c r="S764" s="134" t="inlineStr">
        <is>
          <t>52 1.68%</t>
        </is>
      </c>
      <c r="T764" s="134" t="inlineStr">
        <is>
          <t>31 1.80%</t>
        </is>
      </c>
      <c r="U764" s="134" t="inlineStr">
        <is>
          <t>66 1.02%</t>
        </is>
      </c>
    </row>
    <row customHeight="1" ht="17" r="765" s="155">
      <c r="A765" s="105" t="n">
        <v>44250</v>
      </c>
      <c r="B765" s="134" t="n">
        <v>1495.155</v>
      </c>
      <c r="C765" s="150" t="n">
        <v>-10.585</v>
      </c>
      <c r="D765" s="151" t="n">
        <v>-0.007</v>
      </c>
      <c r="E765" s="134" t="n">
        <v>125.336</v>
      </c>
      <c r="F765" s="134" t="n">
        <v>106.635</v>
      </c>
      <c r="G765" s="134" t="n">
        <v>89.47</v>
      </c>
      <c r="H765" s="134" t="n">
        <v>152.23</v>
      </c>
      <c r="I765" s="104" t="n">
        <v>0.2689</v>
      </c>
      <c r="J765" s="104" t="n">
        <v>0.1922</v>
      </c>
      <c r="K765" s="104" t="n">
        <v>0.0035</v>
      </c>
      <c r="L765" s="134" t="n">
        <v>336.89</v>
      </c>
      <c r="M765" s="134" t="n">
        <v>5279.11</v>
      </c>
      <c r="N765" s="104" t="n">
        <v>0.0638</v>
      </c>
      <c r="O765" s="134" t="n">
        <v>344</v>
      </c>
      <c r="P765" s="134" t="inlineStr">
        <is>
          <t>14 -0.74%</t>
        </is>
      </c>
      <c r="Q765" s="134" t="inlineStr">
        <is>
          <t>95 -0.76%</t>
        </is>
      </c>
      <c r="R765" s="134" t="inlineStr">
        <is>
          <t>93 -0.68%</t>
        </is>
      </c>
      <c r="S765" s="134" t="inlineStr">
        <is>
          <t>49 -0.25%</t>
        </is>
      </c>
      <c r="T765" s="134" t="inlineStr">
        <is>
          <t>32 -0.65%</t>
        </is>
      </c>
      <c r="U765" s="134" t="inlineStr">
        <is>
          <t>61 -1.03%</t>
        </is>
      </c>
    </row>
    <row customHeight="1" ht="17" r="766" s="155">
      <c r="A766" s="105" t="n">
        <v>44251</v>
      </c>
      <c r="B766" s="134" t="n">
        <v>1483.627</v>
      </c>
      <c r="C766" s="150" t="n">
        <v>-11.528</v>
      </c>
      <c r="D766" s="151" t="n">
        <v>-0.0077</v>
      </c>
      <c r="E766" s="134" t="n">
        <v>123.274</v>
      </c>
      <c r="F766" s="134" t="n">
        <v>106.32</v>
      </c>
      <c r="G766" s="134" t="n">
        <v>89.81</v>
      </c>
      <c r="H766" s="134" t="n">
        <v>149.39</v>
      </c>
      <c r="I766" s="104" t="n">
        <v>0.2612</v>
      </c>
      <c r="J766" s="104" t="n">
        <v>0.1786</v>
      </c>
      <c r="K766" s="104" t="n">
        <v>0.0061</v>
      </c>
      <c r="L766" s="134" t="n">
        <v>355.32</v>
      </c>
      <c r="M766" s="134" t="n">
        <v>5275.58</v>
      </c>
      <c r="N766" s="104" t="n">
        <v>0.0674</v>
      </c>
      <c r="O766" s="134" t="n">
        <v>343</v>
      </c>
      <c r="P766" s="134" t="inlineStr">
        <is>
          <t>16 -0.38%</t>
        </is>
      </c>
      <c r="Q766" s="134" t="inlineStr">
        <is>
          <t>96 -0.54%</t>
        </is>
      </c>
      <c r="R766" s="134" t="inlineStr">
        <is>
          <t>96 -0.39%</t>
        </is>
      </c>
      <c r="S766" s="134" t="inlineStr">
        <is>
          <t>45 -0.34%</t>
        </is>
      </c>
      <c r="T766" s="134" t="inlineStr">
        <is>
          <t>35 -1.39%</t>
        </is>
      </c>
      <c r="U766" s="134" t="inlineStr">
        <is>
          <t>55 -1.91%</t>
        </is>
      </c>
    </row>
    <row customHeight="1" ht="17" r="767" s="155">
      <c r="A767" s="105" t="n">
        <v>44252</v>
      </c>
      <c r="B767" s="134" t="n">
        <v>1474.25</v>
      </c>
      <c r="C767" s="150" t="n">
        <v>-9.377000000000001</v>
      </c>
      <c r="D767" s="151" t="n">
        <v>-0.0063</v>
      </c>
      <c r="E767" s="134" t="n">
        <v>122.511</v>
      </c>
      <c r="F767" s="134" t="n">
        <v>105.5</v>
      </c>
      <c r="G767" s="134" t="n">
        <v>88.84999999999999</v>
      </c>
      <c r="H767" s="134" t="n">
        <v>149.11</v>
      </c>
      <c r="I767" s="104" t="n">
        <v>0.266</v>
      </c>
      <c r="J767" s="104" t="n">
        <v>0.1824</v>
      </c>
      <c r="K767" s="104" t="n">
        <v>0.0078</v>
      </c>
      <c r="L767" s="134" t="n">
        <v>310.7</v>
      </c>
      <c r="M767" s="134" t="n">
        <v>5273.38</v>
      </c>
      <c r="N767" s="104" t="n">
        <v>0.0589</v>
      </c>
      <c r="O767" s="134" t="n">
        <v>343</v>
      </c>
      <c r="P767" s="134" t="inlineStr">
        <is>
          <t>16 -0.56%</t>
        </is>
      </c>
      <c r="Q767" s="134" t="inlineStr">
        <is>
          <t>102 -0.42%</t>
        </is>
      </c>
      <c r="R767" s="134" t="inlineStr">
        <is>
          <t>96 -0.43%</t>
        </is>
      </c>
      <c r="S767" s="134" t="inlineStr">
        <is>
          <t>45 -0.70%</t>
        </is>
      </c>
      <c r="T767" s="134" t="inlineStr">
        <is>
          <t>33 -0.60%</t>
        </is>
      </c>
      <c r="U767" s="134" t="inlineStr">
        <is>
          <t>51 -1.43%</t>
        </is>
      </c>
    </row>
    <row customHeight="1" ht="17" r="768" s="155">
      <c r="A768" s="105" t="n">
        <v>44253</v>
      </c>
      <c r="B768" s="134" t="n">
        <v>1470.535</v>
      </c>
      <c r="C768" s="150" t="n">
        <v>-3.715</v>
      </c>
      <c r="D768" s="151" t="n">
        <v>-0.0025</v>
      </c>
      <c r="E768" s="134" t="n">
        <v>122.215</v>
      </c>
      <c r="F768" s="134" t="n">
        <v>105.371</v>
      </c>
      <c r="G768" s="134" t="n">
        <v>88.54000000000001</v>
      </c>
      <c r="H768" s="134" t="n">
        <v>149</v>
      </c>
      <c r="I768" s="104" t="n">
        <v>0.2679</v>
      </c>
      <c r="J768" s="104" t="n">
        <v>0.194</v>
      </c>
      <c r="K768" s="104" t="n">
        <v>0.008500000000000001</v>
      </c>
      <c r="L768" s="134" t="n">
        <v>326.78</v>
      </c>
      <c r="M768" s="134" t="n">
        <v>5266.85</v>
      </c>
      <c r="N768" s="104" t="n">
        <v>0.062</v>
      </c>
      <c r="O768" s="134" t="n">
        <v>343</v>
      </c>
      <c r="P768" s="134" t="inlineStr">
        <is>
          <t>15 0.08%</t>
        </is>
      </c>
      <c r="Q768" s="134" t="inlineStr">
        <is>
          <t>103 0.17%</t>
        </is>
      </c>
      <c r="R768" s="134" t="inlineStr">
        <is>
          <t>91 -0.09%</t>
        </is>
      </c>
      <c r="S768" s="134" t="inlineStr">
        <is>
          <t>53 0.03%</t>
        </is>
      </c>
      <c r="T768" s="134" t="inlineStr">
        <is>
          <t>32 -0.70%</t>
        </is>
      </c>
      <c r="U768" s="134" t="inlineStr">
        <is>
          <t>49 -1.57%</t>
        </is>
      </c>
    </row>
    <row customHeight="1" ht="17" r="769" s="155">
      <c r="A769" s="105" t="n">
        <v>44256</v>
      </c>
      <c r="B769" s="134" t="n">
        <v>1488.461</v>
      </c>
      <c r="C769" s="152" t="n">
        <v>17.926</v>
      </c>
      <c r="D769" s="153" t="n">
        <v>0.0122</v>
      </c>
      <c r="E769" s="134" t="n">
        <v>124.135</v>
      </c>
      <c r="F769" s="134" t="n">
        <v>106.24</v>
      </c>
      <c r="G769" s="134" t="n">
        <v>90.29000000000001</v>
      </c>
      <c r="H769" s="134" t="n">
        <v>149.59</v>
      </c>
      <c r="I769" s="104" t="n">
        <v>0.2545</v>
      </c>
      <c r="J769" s="104" t="n">
        <v>0.181</v>
      </c>
      <c r="K769" s="104" t="n">
        <v>0.0058</v>
      </c>
      <c r="L769" s="134" t="n">
        <v>314.09</v>
      </c>
      <c r="M769" s="134" t="n">
        <v>5250.97</v>
      </c>
      <c r="N769" s="104" t="n">
        <v>0.0598</v>
      </c>
      <c r="O769" s="134" t="n">
        <v>341</v>
      </c>
      <c r="P769" s="134" t="inlineStr">
        <is>
          <t>14 1.29%</t>
        </is>
      </c>
      <c r="Q769" s="134" t="inlineStr">
        <is>
          <t>99 0.78%</t>
        </is>
      </c>
      <c r="R769" s="134" t="inlineStr">
        <is>
          <t>88 0.70%</t>
        </is>
      </c>
      <c r="S769" s="134" t="inlineStr">
        <is>
          <t>47 1.44%</t>
        </is>
      </c>
      <c r="T769" s="134" t="inlineStr">
        <is>
          <t>39 1.56%</t>
        </is>
      </c>
      <c r="U769" s="134" t="inlineStr">
        <is>
          <t>54 2.41%</t>
        </is>
      </c>
    </row>
    <row customHeight="1" ht="17" r="770" s="155">
      <c r="A770" s="105" t="n">
        <v>44257</v>
      </c>
      <c r="B770" s="134" t="n">
        <v>1488.089</v>
      </c>
      <c r="C770" s="150" t="n">
        <v>-0.372</v>
      </c>
      <c r="D770" s="151" t="n">
        <v>-0.0003</v>
      </c>
      <c r="E770" s="134" t="n">
        <v>124.242</v>
      </c>
      <c r="F770" s="134" t="n">
        <v>105.394</v>
      </c>
      <c r="G770" s="134" t="n">
        <v>89.79000000000001</v>
      </c>
      <c r="H770" s="134" t="n">
        <v>150.27</v>
      </c>
      <c r="I770" s="104" t="n">
        <v>0.2603</v>
      </c>
      <c r="J770" s="104" t="n">
        <v>0.1763</v>
      </c>
      <c r="K770" s="104" t="n">
        <v>0.0065</v>
      </c>
      <c r="L770" s="134" t="n">
        <v>335.56</v>
      </c>
      <c r="M770" s="134" t="n">
        <v>5246.94</v>
      </c>
      <c r="N770" s="104" t="n">
        <v>0.064</v>
      </c>
      <c r="O770" s="134" t="n">
        <v>341</v>
      </c>
      <c r="P770" s="134" t="inlineStr">
        <is>
          <t>15 -0.70%</t>
        </is>
      </c>
      <c r="Q770" s="134" t="inlineStr">
        <is>
          <t>96 0.02%</t>
        </is>
      </c>
      <c r="R770" s="134" t="inlineStr">
        <is>
          <t>93 -0.09%</t>
        </is>
      </c>
      <c r="S770" s="134" t="inlineStr">
        <is>
          <t>51 -0.50%</t>
        </is>
      </c>
      <c r="T770" s="134" t="inlineStr">
        <is>
          <t>34 -0.26%</t>
        </is>
      </c>
      <c r="U770" s="134" t="inlineStr">
        <is>
          <t>52 0.83%</t>
        </is>
      </c>
    </row>
    <row customHeight="1" ht="17" r="771" s="155">
      <c r="A771" s="105" t="n">
        <v>44258</v>
      </c>
      <c r="B771" s="134" t="n">
        <v>1502.36</v>
      </c>
      <c r="C771" s="152" t="n">
        <v>14.271</v>
      </c>
      <c r="D771" s="153" t="n">
        <v>0.009599999999999999</v>
      </c>
      <c r="E771" s="134" t="n">
        <v>125.372</v>
      </c>
      <c r="F771" s="134" t="n">
        <v>106.5</v>
      </c>
      <c r="G771" s="134" t="n">
        <v>91.3</v>
      </c>
      <c r="H771" s="134" t="n">
        <v>150.95</v>
      </c>
      <c r="I771" s="104" t="n">
        <v>0.2558</v>
      </c>
      <c r="J771" s="104" t="n">
        <v>0.1716</v>
      </c>
      <c r="K771" s="104" t="n">
        <v>0.0045</v>
      </c>
      <c r="L771" s="134" t="n">
        <v>325.82</v>
      </c>
      <c r="M771" s="134" t="n">
        <v>5238.59</v>
      </c>
      <c r="N771" s="104" t="n">
        <v>0.0622</v>
      </c>
      <c r="O771" s="134" t="n">
        <v>340</v>
      </c>
      <c r="P771" s="134" t="inlineStr">
        <is>
          <t>14 0.87%</t>
        </is>
      </c>
      <c r="Q771" s="134" t="inlineStr">
        <is>
          <t>86 0.67%</t>
        </is>
      </c>
      <c r="R771" s="134" t="inlineStr">
        <is>
          <t>99 0.81%</t>
        </is>
      </c>
      <c r="S771" s="134" t="inlineStr">
        <is>
          <t>46 1.30%</t>
        </is>
      </c>
      <c r="T771" s="134" t="inlineStr">
        <is>
          <t>38 1.21%</t>
        </is>
      </c>
      <c r="U771" s="134" t="inlineStr">
        <is>
          <t>57 1.24%</t>
        </is>
      </c>
    </row>
    <row customHeight="1" ht="17" r="772" s="155">
      <c r="A772" s="105" t="n">
        <v>44259</v>
      </c>
      <c r="B772" s="134" t="n">
        <v>1491.678</v>
      </c>
      <c r="C772" s="150" t="n">
        <v>-10.682</v>
      </c>
      <c r="D772" s="151" t="n">
        <v>-0.0071</v>
      </c>
      <c r="E772" s="134" t="n">
        <v>123.772</v>
      </c>
      <c r="F772" s="134" t="n">
        <v>105.955</v>
      </c>
      <c r="G772" s="134" t="n">
        <v>90.69</v>
      </c>
      <c r="H772" s="134" t="n">
        <v>149.71</v>
      </c>
      <c r="I772" s="104" t="n">
        <v>0.2594</v>
      </c>
      <c r="J772" s="104" t="n">
        <v>0.1769</v>
      </c>
      <c r="K772" s="104" t="n">
        <v>0.006</v>
      </c>
      <c r="L772" s="134" t="n">
        <v>316.53</v>
      </c>
      <c r="M772" s="134" t="n">
        <v>5228.29</v>
      </c>
      <c r="N772" s="104" t="n">
        <v>0.0605</v>
      </c>
      <c r="O772" s="134" t="n">
        <v>340</v>
      </c>
      <c r="P772" s="134" t="inlineStr">
        <is>
          <t>13 0.07%</t>
        </is>
      </c>
      <c r="Q772" s="134" t="inlineStr">
        <is>
          <t>93 -0.27%</t>
        </is>
      </c>
      <c r="R772" s="134" t="inlineStr">
        <is>
          <t>96 -0.35%</t>
        </is>
      </c>
      <c r="S772" s="134" t="inlineStr">
        <is>
          <t>50 -0.98%</t>
        </is>
      </c>
      <c r="T772" s="134" t="inlineStr">
        <is>
          <t>35 -0.85%</t>
        </is>
      </c>
      <c r="U772" s="134" t="inlineStr">
        <is>
          <t>53 -1.98%</t>
        </is>
      </c>
    </row>
    <row customHeight="1" ht="17" r="773" s="155">
      <c r="A773" s="105" t="n">
        <v>44260</v>
      </c>
      <c r="B773" s="134" t="n">
        <v>1496.586</v>
      </c>
      <c r="C773" s="152" t="n">
        <v>4.908</v>
      </c>
      <c r="D773" s="153" t="n">
        <v>0.0033</v>
      </c>
      <c r="E773" s="134" t="n">
        <v>123.927</v>
      </c>
      <c r="F773" s="134" t="n">
        <v>106.33</v>
      </c>
      <c r="G773" s="134" t="n">
        <v>92.09</v>
      </c>
      <c r="H773" s="134" t="n">
        <v>149.26</v>
      </c>
      <c r="I773" s="104" t="n">
        <v>0.2534</v>
      </c>
      <c r="J773" s="104" t="n">
        <v>0.1734</v>
      </c>
      <c r="K773" s="104" t="n">
        <v>0.0055</v>
      </c>
      <c r="L773" s="134" t="n">
        <v>318.95</v>
      </c>
      <c r="M773" s="134" t="n">
        <v>5230.56</v>
      </c>
      <c r="N773" s="104" t="n">
        <v>0.061</v>
      </c>
      <c r="O773" s="134" t="n">
        <v>339</v>
      </c>
      <c r="P773" s="134" t="inlineStr">
        <is>
          <t>11 0.67%</t>
        </is>
      </c>
      <c r="Q773" s="134" t="inlineStr">
        <is>
          <t>87 0.40%</t>
        </is>
      </c>
      <c r="R773" s="134" t="inlineStr">
        <is>
          <t>102 0.52%</t>
        </is>
      </c>
      <c r="S773" s="134" t="inlineStr">
        <is>
          <t>53 -0.16%</t>
        </is>
      </c>
      <c r="T773" s="134" t="inlineStr">
        <is>
          <t>32 0.06%</t>
        </is>
      </c>
      <c r="U773" s="134" t="inlineStr">
        <is>
          <t>54 0.43%</t>
        </is>
      </c>
    </row>
    <row customHeight="1" ht="17" r="774" s="155">
      <c r="A774" s="105" t="n">
        <v>44263</v>
      </c>
      <c r="B774" s="134" t="n">
        <v>1488.774</v>
      </c>
      <c r="C774" s="150" t="n">
        <v>-7.812</v>
      </c>
      <c r="D774" s="151" t="n">
        <v>-0.0052</v>
      </c>
      <c r="E774" s="134" t="n">
        <v>122.488</v>
      </c>
      <c r="F774" s="134" t="n">
        <v>106.028</v>
      </c>
      <c r="G774" s="134" t="n">
        <v>90.95</v>
      </c>
      <c r="H774" s="134" t="n">
        <v>148.75</v>
      </c>
      <c r="I774" s="104" t="n">
        <v>0.2627</v>
      </c>
      <c r="J774" s="104" t="n">
        <v>0.1819</v>
      </c>
      <c r="K774" s="104" t="n">
        <v>0.0078</v>
      </c>
      <c r="L774" s="134" t="n">
        <v>316.28</v>
      </c>
      <c r="M774" s="134" t="n">
        <v>5227.91</v>
      </c>
      <c r="N774" s="104" t="n">
        <v>0.0605</v>
      </c>
      <c r="O774" s="134" t="n">
        <v>336</v>
      </c>
      <c r="P774" s="134" t="inlineStr">
        <is>
          <t>12 0.58%</t>
        </is>
      </c>
      <c r="Q774" s="134" t="inlineStr">
        <is>
          <t>86 0.09%</t>
        </is>
      </c>
      <c r="R774" s="134" t="inlineStr">
        <is>
          <t>103 -0.18%</t>
        </is>
      </c>
      <c r="S774" s="134" t="inlineStr">
        <is>
          <t>58 -0.51%</t>
        </is>
      </c>
      <c r="T774" s="134" t="inlineStr">
        <is>
          <t>33 -1.78%</t>
        </is>
      </c>
      <c r="U774" s="134" t="inlineStr">
        <is>
          <t>44 -1.91%</t>
        </is>
      </c>
    </row>
    <row customHeight="1" ht="17" r="775" s="155">
      <c r="A775" s="105" t="n">
        <v>44264</v>
      </c>
      <c r="B775" s="134" t="n">
        <v>1481.553</v>
      </c>
      <c r="C775" s="150" t="n">
        <v>-7.221</v>
      </c>
      <c r="D775" s="151" t="n">
        <v>-0.0049</v>
      </c>
      <c r="E775" s="134" t="n">
        <v>122.019</v>
      </c>
      <c r="F775" s="134" t="n">
        <v>105.322</v>
      </c>
      <c r="G775" s="134" t="n">
        <v>89.09999999999999</v>
      </c>
      <c r="H775" s="134" t="n">
        <v>150.91</v>
      </c>
      <c r="I775" s="104" t="n">
        <v>0.2889</v>
      </c>
      <c r="J775" s="104" t="n">
        <v>0.2013</v>
      </c>
      <c r="K775" s="104" t="n">
        <v>0.0092</v>
      </c>
      <c r="L775" s="134" t="n">
        <v>395.9</v>
      </c>
      <c r="M775" s="134" t="n">
        <v>5234.54</v>
      </c>
      <c r="N775" s="104" t="n">
        <v>0.0756</v>
      </c>
      <c r="O775" s="134" t="n">
        <v>337</v>
      </c>
      <c r="P775" s="134" t="inlineStr">
        <is>
          <t>12 -1.05%</t>
        </is>
      </c>
      <c r="Q775" s="134" t="inlineStr">
        <is>
          <t>89 -0.59%</t>
        </is>
      </c>
      <c r="R775" s="134" t="inlineStr">
        <is>
          <t>102 -0.49%</t>
        </is>
      </c>
      <c r="S775" s="134" t="inlineStr">
        <is>
          <t>58 -1.20%</t>
        </is>
      </c>
      <c r="T775" s="134" t="inlineStr">
        <is>
          <t>35 -0.98%</t>
        </is>
      </c>
      <c r="U775" s="134" t="inlineStr">
        <is>
          <t>41 1.35%</t>
        </is>
      </c>
    </row>
    <row customHeight="1" ht="17" r="776" s="155">
      <c r="A776" s="105" t="n">
        <v>44265</v>
      </c>
      <c r="B776" s="134" t="n">
        <v>1495.835</v>
      </c>
      <c r="C776" s="152" t="n">
        <v>14.282</v>
      </c>
      <c r="D776" s="153" t="n">
        <v>0.009599999999999999</v>
      </c>
      <c r="E776" s="134" t="n">
        <v>123.755</v>
      </c>
      <c r="F776" s="134" t="n">
        <v>105.88</v>
      </c>
      <c r="G776" s="134" t="n">
        <v>88.11</v>
      </c>
      <c r="H776" s="134" t="n">
        <v>155.72</v>
      </c>
      <c r="I776" s="104" t="n">
        <v>0.3196</v>
      </c>
      <c r="J776" s="104" t="n">
        <v>0.2147</v>
      </c>
      <c r="K776" s="104" t="n">
        <v>0.0072</v>
      </c>
      <c r="L776" s="134" t="n">
        <v>514.04</v>
      </c>
      <c r="M776" s="134" t="n">
        <v>5230.78</v>
      </c>
      <c r="N776" s="104" t="n">
        <v>0.0983</v>
      </c>
      <c r="O776" s="134" t="n">
        <v>337</v>
      </c>
      <c r="P776" s="134" t="inlineStr">
        <is>
          <t>15 -0.17%</t>
        </is>
      </c>
      <c r="Q776" s="134" t="inlineStr">
        <is>
          <t>83 0.01%</t>
        </is>
      </c>
      <c r="R776" s="134" t="inlineStr">
        <is>
          <t>100 0.15%</t>
        </is>
      </c>
      <c r="S776" s="134" t="inlineStr">
        <is>
          <t>60 1.28%</t>
        </is>
      </c>
      <c r="T776" s="134" t="inlineStr">
        <is>
          <t>30 0.43%</t>
        </is>
      </c>
      <c r="U776" s="134" t="inlineStr">
        <is>
          <t>49 4.55%</t>
        </is>
      </c>
    </row>
    <row customHeight="1" ht="17" r="777" s="155">
      <c r="A777" s="105" t="n">
        <v>44266</v>
      </c>
      <c r="B777" s="134" t="n">
        <v>1507.727</v>
      </c>
      <c r="C777" s="152" t="n">
        <v>11.892</v>
      </c>
      <c r="D777" s="153" t="n">
        <v>0.008</v>
      </c>
      <c r="E777" s="134" t="n">
        <v>124.113</v>
      </c>
      <c r="F777" s="134" t="n">
        <v>106.557</v>
      </c>
      <c r="G777" s="134" t="n">
        <v>90.09</v>
      </c>
      <c r="H777" s="134" t="n">
        <v>154.07</v>
      </c>
      <c r="I777" s="104" t="n">
        <v>0.2996</v>
      </c>
      <c r="J777" s="104" t="n">
        <v>0.2075</v>
      </c>
      <c r="K777" s="104" t="n">
        <v>0.0055</v>
      </c>
      <c r="L777" s="134" t="n">
        <v>569.66</v>
      </c>
      <c r="M777" s="134" t="n">
        <v>5233.26</v>
      </c>
      <c r="N777" s="104" t="n">
        <v>0.1089</v>
      </c>
      <c r="O777" s="134" t="n">
        <v>338</v>
      </c>
      <c r="P777" s="134" t="inlineStr">
        <is>
          <t>12 0.51%</t>
        </is>
      </c>
      <c r="Q777" s="134" t="inlineStr">
        <is>
          <t>81 0.66%</t>
        </is>
      </c>
      <c r="R777" s="134" t="inlineStr">
        <is>
          <t>105 0.36%</t>
        </is>
      </c>
      <c r="S777" s="134" t="inlineStr">
        <is>
          <t>54 0.74%</t>
        </is>
      </c>
      <c r="T777" s="134" t="inlineStr">
        <is>
          <t>33 1.52%</t>
        </is>
      </c>
      <c r="U777" s="134" t="inlineStr">
        <is>
          <t>53 1.54%</t>
        </is>
      </c>
    </row>
    <row customHeight="1" ht="17" r="778" s="155">
      <c r="A778" s="105" t="n">
        <v>44267</v>
      </c>
      <c r="B778" s="134" t="n">
        <v>1512.446</v>
      </c>
      <c r="C778" s="152" t="n">
        <v>4.719</v>
      </c>
      <c r="D778" s="153" t="n">
        <v>0.0031</v>
      </c>
      <c r="E778" s="134" t="n">
        <v>124.365</v>
      </c>
      <c r="F778" s="134" t="n">
        <v>107</v>
      </c>
      <c r="G778" s="134" t="n">
        <v>90.28</v>
      </c>
      <c r="H778" s="134" t="n">
        <v>154.59</v>
      </c>
      <c r="I778" s="104" t="n">
        <v>0.3023</v>
      </c>
      <c r="J778" s="104" t="n">
        <v>0.2044</v>
      </c>
      <c r="K778" s="104" t="n">
        <v>0.0047</v>
      </c>
      <c r="L778" s="134" t="n">
        <v>459.58</v>
      </c>
      <c r="M778" s="134" t="n">
        <v>5228.74</v>
      </c>
      <c r="N778" s="104" t="n">
        <v>0.08790000000000001</v>
      </c>
      <c r="O778" s="134" t="n">
        <v>338</v>
      </c>
      <c r="P778" s="134" t="inlineStr">
        <is>
          <t>11 0.26%</t>
        </is>
      </c>
      <c r="Q778" s="134" t="inlineStr">
        <is>
          <t>81 0.30%</t>
        </is>
      </c>
      <c r="R778" s="134" t="inlineStr">
        <is>
          <t>102 0.42%</t>
        </is>
      </c>
      <c r="S778" s="134" t="inlineStr">
        <is>
          <t>61 0.48%</t>
        </is>
      </c>
      <c r="T778" s="134" t="inlineStr">
        <is>
          <t>32 -0.34%</t>
        </is>
      </c>
      <c r="U778" s="134" t="inlineStr">
        <is>
          <t>51 0.33%</t>
        </is>
      </c>
    </row>
    <row customHeight="1" ht="17" r="779" s="155">
      <c r="A779" s="105" t="n">
        <v>44270</v>
      </c>
      <c r="B779" s="134" t="n">
        <v>1516.106</v>
      </c>
      <c r="C779" s="152" t="n">
        <v>3.66</v>
      </c>
      <c r="D779" s="153" t="n">
        <v>0.0024</v>
      </c>
      <c r="E779" s="134" t="n">
        <v>123.983</v>
      </c>
      <c r="F779" s="134" t="n">
        <v>107.425</v>
      </c>
      <c r="G779" s="134" t="n">
        <v>89.98</v>
      </c>
      <c r="H779" s="134" t="n">
        <v>155.03</v>
      </c>
      <c r="I779" s="104" t="n">
        <v>0.3105</v>
      </c>
      <c r="J779" s="104" t="n">
        <v>0.2095</v>
      </c>
      <c r="K779" s="104" t="n">
        <v>0.004</v>
      </c>
      <c r="L779" s="134" t="n">
        <v>399.34</v>
      </c>
      <c r="M779" s="134" t="n">
        <v>5225.06</v>
      </c>
      <c r="N779" s="104" t="n">
        <v>0.0764</v>
      </c>
      <c r="O779" s="134" t="n">
        <v>338</v>
      </c>
      <c r="P779" s="134" t="inlineStr">
        <is>
          <t>11 0.99%</t>
        </is>
      </c>
      <c r="Q779" s="134" t="inlineStr">
        <is>
          <t>74 0.58%</t>
        </is>
      </c>
      <c r="R779" s="134" t="inlineStr">
        <is>
          <t>107 0.31%</t>
        </is>
      </c>
      <c r="S779" s="134" t="inlineStr">
        <is>
          <t>61 -0.25%</t>
        </is>
      </c>
      <c r="T779" s="134" t="inlineStr">
        <is>
          <t>37 -0.07%</t>
        </is>
      </c>
      <c r="U779" s="134" t="inlineStr">
        <is>
          <t>48 0.25%</t>
        </is>
      </c>
    </row>
    <row customHeight="1" ht="17" r="780" s="155">
      <c r="A780" s="105" t="n">
        <v>44271</v>
      </c>
      <c r="B780" s="134" t="n">
        <v>1520.639</v>
      </c>
      <c r="C780" s="152" t="n">
        <v>4.533</v>
      </c>
      <c r="D780" s="153" t="n">
        <v>0.003</v>
      </c>
      <c r="E780" s="134" t="n">
        <v>122.663</v>
      </c>
      <c r="F780" s="134" t="n">
        <v>107.763</v>
      </c>
      <c r="G780" s="134" t="n">
        <v>90.7</v>
      </c>
      <c r="H780" s="134" t="n">
        <v>152.01</v>
      </c>
      <c r="I780" s="104" t="n">
        <v>0.2934</v>
      </c>
      <c r="J780" s="104" t="n">
        <v>0.1966</v>
      </c>
      <c r="K780" s="104" t="n">
        <v>0.004</v>
      </c>
      <c r="L780" s="134" t="n">
        <v>383.47</v>
      </c>
      <c r="M780" s="134" t="n">
        <v>5230.88</v>
      </c>
      <c r="N780" s="104" t="n">
        <v>0.0733</v>
      </c>
      <c r="O780" s="134" t="n">
        <v>338</v>
      </c>
      <c r="P780" s="134" t="inlineStr">
        <is>
          <t>9 1.03%</t>
        </is>
      </c>
      <c r="Q780" s="134" t="inlineStr">
        <is>
          <t>68 0.70%</t>
        </is>
      </c>
      <c r="R780" s="134" t="inlineStr">
        <is>
          <t>115 0.34%</t>
        </is>
      </c>
      <c r="S780" s="134" t="inlineStr">
        <is>
          <t>65 0.20%</t>
        </is>
      </c>
      <c r="T780" s="134" t="inlineStr">
        <is>
          <t>34 -0.08%</t>
        </is>
      </c>
      <c r="U780" s="134" t="inlineStr">
        <is>
          <t>47 -0.09%</t>
        </is>
      </c>
    </row>
    <row customHeight="1" ht="17" r="781" s="155">
      <c r="A781" s="105" t="n">
        <v>44272</v>
      </c>
      <c r="B781" s="134" t="n">
        <v>1524.653</v>
      </c>
      <c r="C781" s="152" t="n">
        <v>4.014</v>
      </c>
      <c r="D781" s="153" t="n">
        <v>0.0026</v>
      </c>
      <c r="E781" s="134" t="n">
        <v>123.03</v>
      </c>
      <c r="F781" s="134" t="n">
        <v>107.71</v>
      </c>
      <c r="G781" s="134" t="n">
        <v>91.19</v>
      </c>
      <c r="H781" s="134" t="n">
        <v>152.05</v>
      </c>
      <c r="I781" s="104" t="n">
        <v>0.2902</v>
      </c>
      <c r="J781" s="104" t="n">
        <v>0.199</v>
      </c>
      <c r="K781" s="104" t="n">
        <v>0.0037</v>
      </c>
      <c r="L781" s="134" t="n">
        <v>393.76</v>
      </c>
      <c r="M781" s="134" t="n">
        <v>5231.72</v>
      </c>
      <c r="N781" s="104" t="n">
        <v>0.07530000000000001</v>
      </c>
      <c r="O781" s="134" t="n">
        <v>339</v>
      </c>
      <c r="P781" s="134" t="inlineStr">
        <is>
          <t>9 0.79%</t>
        </is>
      </c>
      <c r="Q781" s="134" t="inlineStr">
        <is>
          <t>66 0.25%</t>
        </is>
      </c>
      <c r="R781" s="134" t="inlineStr">
        <is>
          <t>117 0.09%</t>
        </is>
      </c>
      <c r="S781" s="134" t="inlineStr">
        <is>
          <t>61 0.07%</t>
        </is>
      </c>
      <c r="T781" s="134" t="inlineStr">
        <is>
          <t>36 0.40%</t>
        </is>
      </c>
      <c r="U781" s="134" t="inlineStr">
        <is>
          <t>50 0.74%</t>
        </is>
      </c>
    </row>
    <row customHeight="1" ht="17" r="782" s="155">
      <c r="A782" s="105" t="n">
        <v>44273</v>
      </c>
      <c r="B782" s="134" t="n">
        <v>1523.921</v>
      </c>
      <c r="C782" s="150" t="n">
        <v>-0.732</v>
      </c>
      <c r="D782" s="151" t="n">
        <v>-0.0005</v>
      </c>
      <c r="E782" s="134" t="n">
        <v>122.78</v>
      </c>
      <c r="F782" s="134" t="n">
        <v>107.43</v>
      </c>
      <c r="G782" s="134" t="n">
        <v>91.09999999999999</v>
      </c>
      <c r="H782" s="134" t="n">
        <v>151.79</v>
      </c>
      <c r="I782" s="104" t="n">
        <v>0.2901</v>
      </c>
      <c r="J782" s="104" t="n">
        <v>0.1973</v>
      </c>
      <c r="K782" s="104" t="n">
        <v>0.0038</v>
      </c>
      <c r="L782" s="134" t="n">
        <v>339.04</v>
      </c>
      <c r="M782" s="134" t="n">
        <v>5201.03</v>
      </c>
      <c r="N782" s="104" t="n">
        <v>0.06519999999999999</v>
      </c>
      <c r="O782" s="134" t="n">
        <v>338</v>
      </c>
      <c r="P782" s="134" t="inlineStr">
        <is>
          <t>9 1.11%</t>
        </is>
      </c>
      <c r="Q782" s="134" t="inlineStr">
        <is>
          <t>67 -0.10%</t>
        </is>
      </c>
      <c r="R782" s="134" t="inlineStr">
        <is>
          <t>116 -0.08%</t>
        </is>
      </c>
      <c r="S782" s="134" t="inlineStr">
        <is>
          <t>61 -0.13%</t>
        </is>
      </c>
      <c r="T782" s="134" t="inlineStr">
        <is>
          <t>34 0.18%</t>
        </is>
      </c>
      <c r="U782" s="134" t="inlineStr">
        <is>
          <t>51 -0.17%</t>
        </is>
      </c>
    </row>
    <row customHeight="1" ht="17" r="783" s="155">
      <c r="A783" s="105" t="n">
        <v>44274</v>
      </c>
      <c r="B783" s="134" t="n">
        <v>1520.401</v>
      </c>
      <c r="C783" s="150" t="n">
        <v>-3.52</v>
      </c>
      <c r="D783" s="151" t="n">
        <v>-0.0023</v>
      </c>
      <c r="E783" s="134" t="n">
        <v>122.904</v>
      </c>
      <c r="F783" s="134" t="n">
        <v>107.5</v>
      </c>
      <c r="G783" s="134" t="n">
        <v>91.31999999999999</v>
      </c>
      <c r="H783" s="134" t="n">
        <v>152.71</v>
      </c>
      <c r="I783" s="104" t="n">
        <v>0.2981</v>
      </c>
      <c r="J783" s="104" t="n">
        <v>0.1982</v>
      </c>
      <c r="K783" s="104" t="n">
        <v>0.0037</v>
      </c>
      <c r="L783" s="134" t="n">
        <v>358.67</v>
      </c>
      <c r="M783" s="134" t="n">
        <v>5199.81</v>
      </c>
      <c r="N783" s="104" t="n">
        <v>0.06900000000000001</v>
      </c>
      <c r="O783" s="134" t="n">
        <v>338</v>
      </c>
      <c r="P783" s="134" t="inlineStr">
        <is>
          <t>9 0.00%</t>
        </is>
      </c>
      <c r="Q783" s="134" t="inlineStr">
        <is>
          <t>58 0.32%</t>
        </is>
      </c>
      <c r="R783" s="134" t="inlineStr">
        <is>
          <t>126 0.07%</t>
        </is>
      </c>
      <c r="S783" s="134" t="inlineStr">
        <is>
          <t>65 -0.41%</t>
        </is>
      </c>
      <c r="T783" s="134" t="inlineStr">
        <is>
          <t>31 -0.42%</t>
        </is>
      </c>
      <c r="U783" s="134" t="inlineStr">
        <is>
          <t>49 -1.35%</t>
        </is>
      </c>
    </row>
    <row customHeight="1" ht="17" r="784" s="155">
      <c r="A784" s="105" t="n">
        <v>44277</v>
      </c>
      <c r="B784" s="134" t="n">
        <v>1534.13</v>
      </c>
      <c r="C784" s="152" t="n">
        <v>13.729</v>
      </c>
      <c r="D784" s="153" t="n">
        <v>0.008999999999999999</v>
      </c>
      <c r="E784" s="134" t="n">
        <v>123.836</v>
      </c>
      <c r="F784" s="134" t="n">
        <v>108.44</v>
      </c>
      <c r="G784" s="134" t="n">
        <v>92.53</v>
      </c>
      <c r="H784" s="134" t="n">
        <v>152.66</v>
      </c>
      <c r="I784" s="104" t="n">
        <v>0.2883</v>
      </c>
      <c r="J784" s="104" t="n">
        <v>0.1983</v>
      </c>
      <c r="K784" s="104" t="n">
        <v>0.0016</v>
      </c>
      <c r="L784" s="134" t="n">
        <v>344.02</v>
      </c>
      <c r="M784" s="134" t="n">
        <v>5197.55</v>
      </c>
      <c r="N784" s="104" t="n">
        <v>0.06619999999999999</v>
      </c>
      <c r="O784" s="134" t="n">
        <v>338</v>
      </c>
      <c r="P784" s="134" t="inlineStr">
        <is>
          <t>8 1.21%</t>
        </is>
      </c>
      <c r="Q784" s="134" t="inlineStr">
        <is>
          <t>49 0.74%</t>
        </is>
      </c>
      <c r="R784" s="134" t="inlineStr">
        <is>
          <t>128 0.75%</t>
        </is>
      </c>
      <c r="S784" s="134" t="inlineStr">
        <is>
          <t>66 0.94%</t>
        </is>
      </c>
      <c r="T784" s="134" t="inlineStr">
        <is>
          <t>35 1.22%</t>
        </is>
      </c>
      <c r="U784" s="134" t="inlineStr">
        <is>
          <t>52 1.13%</t>
        </is>
      </c>
    </row>
    <row customHeight="1" ht="17" r="785" s="155">
      <c r="A785" s="105" t="n">
        <v>44278</v>
      </c>
      <c r="B785" s="134" t="n">
        <v>1525.646</v>
      </c>
      <c r="C785" s="150" t="n">
        <v>-8.484</v>
      </c>
      <c r="D785" s="151" t="n">
        <v>-0.0055</v>
      </c>
      <c r="E785" s="134" t="n">
        <v>122.997</v>
      </c>
      <c r="F785" s="134" t="n">
        <v>107.63</v>
      </c>
      <c r="G785" s="134" t="n">
        <v>91.53</v>
      </c>
      <c r="H785" s="134" t="n">
        <v>152.77</v>
      </c>
      <c r="I785" s="104" t="n">
        <v>0.2977</v>
      </c>
      <c r="J785" s="104" t="n">
        <v>0.1982</v>
      </c>
      <c r="K785" s="104" t="n">
        <v>0.003</v>
      </c>
      <c r="L785" s="134" t="n">
        <v>384.64</v>
      </c>
      <c r="M785" s="134" t="n">
        <v>5195.06</v>
      </c>
      <c r="N785" s="104" t="n">
        <v>0.074</v>
      </c>
      <c r="O785" s="134" t="n">
        <v>338</v>
      </c>
      <c r="P785" s="134" t="inlineStr">
        <is>
          <t>9 -0.57%</t>
        </is>
      </c>
      <c r="Q785" s="134" t="inlineStr">
        <is>
          <t>59 -0.62%</t>
        </is>
      </c>
      <c r="R785" s="134" t="inlineStr">
        <is>
          <t>122 -0.56%</t>
        </is>
      </c>
      <c r="S785" s="134" t="inlineStr">
        <is>
          <t>64 -0.67%</t>
        </is>
      </c>
      <c r="T785" s="134" t="inlineStr">
        <is>
          <t>34 -0.85%</t>
        </is>
      </c>
      <c r="U785" s="134" t="inlineStr">
        <is>
          <t>50 -0.10%</t>
        </is>
      </c>
    </row>
    <row customHeight="1" ht="17" r="786" s="155">
      <c r="A786" s="105" t="n">
        <v>44279</v>
      </c>
      <c r="B786" s="134" t="n">
        <v>1509.795</v>
      </c>
      <c r="C786" s="150" t="n">
        <v>-15.851</v>
      </c>
      <c r="D786" s="151" t="n">
        <v>-0.0104</v>
      </c>
      <c r="E786" s="134" t="n">
        <v>121.262</v>
      </c>
      <c r="F786" s="134" t="n">
        <v>107.01</v>
      </c>
      <c r="G786" s="134" t="n">
        <v>91.45999999999999</v>
      </c>
      <c r="H786" s="134" t="n">
        <v>151.02</v>
      </c>
      <c r="I786" s="104" t="n">
        <v>0.2975</v>
      </c>
      <c r="J786" s="104" t="n">
        <v>0.2056</v>
      </c>
      <c r="K786" s="104" t="n">
        <v>0.0055</v>
      </c>
      <c r="L786" s="134" t="n">
        <v>382.47</v>
      </c>
      <c r="M786" s="134" t="n">
        <v>5191.74</v>
      </c>
      <c r="N786" s="104" t="n">
        <v>0.0737</v>
      </c>
      <c r="O786" s="134" t="n">
        <v>337</v>
      </c>
      <c r="P786" s="134" t="inlineStr">
        <is>
          <t>9 -1.22%</t>
        </is>
      </c>
      <c r="Q786" s="134" t="inlineStr">
        <is>
          <t>67 -0.71%</t>
        </is>
      </c>
      <c r="R786" s="134" t="inlineStr">
        <is>
          <t>118 -0.48%</t>
        </is>
      </c>
      <c r="S786" s="134" t="inlineStr">
        <is>
          <t>70 -0.96%</t>
        </is>
      </c>
      <c r="T786" s="134" t="inlineStr">
        <is>
          <t>29 -1.43%</t>
        </is>
      </c>
      <c r="U786" s="134" t="inlineStr">
        <is>
          <t>44 -2.89%</t>
        </is>
      </c>
    </row>
    <row customHeight="1" ht="17" r="787" s="155">
      <c r="A787" s="105" t="n">
        <v>44280</v>
      </c>
      <c r="B787" s="134" t="n">
        <v>1505.115</v>
      </c>
      <c r="C787" s="150" t="n">
        <v>-4.68</v>
      </c>
      <c r="D787" s="151" t="n">
        <v>-0.0031</v>
      </c>
      <c r="E787" s="134" t="n">
        <v>120.572</v>
      </c>
      <c r="F787" s="134" t="n">
        <v>106.655</v>
      </c>
      <c r="G787" s="134" t="n">
        <v>90.93000000000001</v>
      </c>
      <c r="H787" s="134" t="n">
        <v>150.31</v>
      </c>
      <c r="I787" s="104" t="n">
        <v>0.2973</v>
      </c>
      <c r="J787" s="104" t="n">
        <v>0.198</v>
      </c>
      <c r="K787" s="104" t="n">
        <v>0.0064</v>
      </c>
      <c r="L787" s="134" t="n">
        <v>317.8</v>
      </c>
      <c r="M787" s="134" t="n">
        <v>5197.53</v>
      </c>
      <c r="N787" s="104" t="n">
        <v>0.0611</v>
      </c>
      <c r="O787" s="134" t="n">
        <v>338</v>
      </c>
      <c r="P787" s="134" t="inlineStr">
        <is>
          <t>9 -0.35%</t>
        </is>
      </c>
      <c r="Q787" s="134" t="inlineStr">
        <is>
          <t>70 -0.37%</t>
        </is>
      </c>
      <c r="R787" s="134" t="inlineStr">
        <is>
          <t>119 -0.40%</t>
        </is>
      </c>
      <c r="S787" s="134" t="inlineStr">
        <is>
          <t>66 -0.14%</t>
        </is>
      </c>
      <c r="T787" s="134" t="inlineStr">
        <is>
          <t>31 -0.39%</t>
        </is>
      </c>
      <c r="U787" s="134" t="inlineStr">
        <is>
          <t>43 -0.18%</t>
        </is>
      </c>
    </row>
    <row customHeight="1" ht="17" r="788" s="155">
      <c r="A788" s="105" t="n">
        <v>44281</v>
      </c>
      <c r="B788" s="134" t="n">
        <v>1515.786</v>
      </c>
      <c r="C788" s="152" t="n">
        <v>10.671</v>
      </c>
      <c r="D788" s="153" t="n">
        <v>0.0071</v>
      </c>
      <c r="E788" s="134" t="n">
        <v>121.608</v>
      </c>
      <c r="F788" s="134" t="n">
        <v>107.05</v>
      </c>
      <c r="G788" s="134" t="n">
        <v>91.92</v>
      </c>
      <c r="H788" s="134" t="n">
        <v>150.42</v>
      </c>
      <c r="I788" s="104" t="n">
        <v>0.2881</v>
      </c>
      <c r="J788" s="104" t="n">
        <v>0.193</v>
      </c>
      <c r="K788" s="104" t="n">
        <v>0.0048</v>
      </c>
      <c r="L788" s="134" t="n">
        <v>323.67</v>
      </c>
      <c r="M788" s="134" t="n">
        <v>5193.44</v>
      </c>
      <c r="N788" s="104" t="n">
        <v>0.0623</v>
      </c>
      <c r="O788" s="134" t="n">
        <v>338</v>
      </c>
      <c r="P788" s="134" t="inlineStr">
        <is>
          <t>9 0.63%</t>
        </is>
      </c>
      <c r="Q788" s="134" t="inlineStr">
        <is>
          <t>65 0.19%</t>
        </is>
      </c>
      <c r="R788" s="134" t="inlineStr">
        <is>
          <t>118 0.35%</t>
        </is>
      </c>
      <c r="S788" s="134" t="inlineStr">
        <is>
          <t>67 0.76%</t>
        </is>
      </c>
      <c r="T788" s="134" t="inlineStr">
        <is>
          <t>29 1.00%</t>
        </is>
      </c>
      <c r="U788" s="134" t="inlineStr">
        <is>
          <t>50 2.02%</t>
        </is>
      </c>
    </row>
    <row customHeight="1" ht="17" r="789" s="155">
      <c r="A789" s="105" t="n">
        <v>44284</v>
      </c>
      <c r="B789" s="134" t="n">
        <v>1521</v>
      </c>
      <c r="C789" s="152" t="n">
        <v>5.214</v>
      </c>
      <c r="D789" s="153" t="n">
        <v>0.0034</v>
      </c>
      <c r="E789" s="134" t="n">
        <v>122.155</v>
      </c>
      <c r="F789" s="134" t="n">
        <v>107.025</v>
      </c>
      <c r="G789" s="134" t="n">
        <v>91.31</v>
      </c>
      <c r="H789" s="134" t="n">
        <v>151.36</v>
      </c>
      <c r="I789" s="104" t="n">
        <v>0.2921</v>
      </c>
      <c r="J789" s="104" t="n">
        <v>0.1891</v>
      </c>
      <c r="K789" s="104" t="n">
        <v>0.004</v>
      </c>
      <c r="L789" s="134" t="n">
        <v>303.06</v>
      </c>
      <c r="M789" s="134" t="n">
        <v>5189.28</v>
      </c>
      <c r="N789" s="104" t="n">
        <v>0.0584</v>
      </c>
      <c r="O789" s="134" t="n">
        <v>338</v>
      </c>
      <c r="P789" s="134" t="inlineStr">
        <is>
          <t>9 0.19%</t>
        </is>
      </c>
      <c r="Q789" s="134" t="inlineStr">
        <is>
          <t>65 0.20%</t>
        </is>
      </c>
      <c r="R789" s="134" t="inlineStr">
        <is>
          <t>120 0.03%</t>
        </is>
      </c>
      <c r="S789" s="134" t="inlineStr">
        <is>
          <t>64 0.31%</t>
        </is>
      </c>
      <c r="T789" s="134" t="inlineStr">
        <is>
          <t>29 0.18%</t>
        </is>
      </c>
      <c r="U789" s="134" t="inlineStr">
        <is>
          <t>51 1.42%</t>
        </is>
      </c>
    </row>
    <row customHeight="1" ht="17" r="790" s="155">
      <c r="A790" s="105" t="n">
        <v>44285</v>
      </c>
      <c r="B790" s="134" t="n">
        <v>1516.65</v>
      </c>
      <c r="C790" s="150" t="n">
        <v>-4.35</v>
      </c>
      <c r="D790" s="151" t="n">
        <v>-0.0029</v>
      </c>
      <c r="E790" s="134" t="n">
        <v>121.724</v>
      </c>
      <c r="F790" s="134" t="n">
        <v>106.502</v>
      </c>
      <c r="G790" s="134" t="n">
        <v>89.95</v>
      </c>
      <c r="H790" s="134" t="n">
        <v>151.74</v>
      </c>
      <c r="I790" s="104" t="n">
        <v>0.3002</v>
      </c>
      <c r="J790" s="104" t="n">
        <v>0.1969</v>
      </c>
      <c r="K790" s="104" t="n">
        <v>0.0038</v>
      </c>
      <c r="L790" s="134" t="n">
        <v>335.1</v>
      </c>
      <c r="M790" s="134" t="n">
        <v>5189.69</v>
      </c>
      <c r="N790" s="104" t="n">
        <v>0.0646</v>
      </c>
      <c r="O790" s="134" t="n">
        <v>339</v>
      </c>
      <c r="P790" s="134" t="inlineStr">
        <is>
          <t>9 -0.45%</t>
        </is>
      </c>
      <c r="Q790" s="134" t="inlineStr">
        <is>
          <t>68 -0.60%</t>
        </is>
      </c>
      <c r="R790" s="134" t="inlineStr">
        <is>
          <t>124 -0.47%</t>
        </is>
      </c>
      <c r="S790" s="134" t="inlineStr">
        <is>
          <t>59 -0.39%</t>
        </is>
      </c>
      <c r="T790" s="134" t="inlineStr">
        <is>
          <t>30 0.69%</t>
        </is>
      </c>
      <c r="U790" s="134" t="inlineStr">
        <is>
          <t>49 0.17%</t>
        </is>
      </c>
    </row>
    <row customHeight="1" ht="17" r="791" s="155">
      <c r="A791" s="105" t="n">
        <v>44286</v>
      </c>
      <c r="B791" s="134" t="n">
        <v>1513.586</v>
      </c>
      <c r="C791" s="150" t="n">
        <v>-3.064</v>
      </c>
      <c r="D791" s="151" t="n">
        <v>-0.002</v>
      </c>
      <c r="E791" s="134" t="n">
        <v>121.4</v>
      </c>
      <c r="F791" s="134" t="n">
        <v>106.77</v>
      </c>
      <c r="G791" s="134" t="n">
        <v>89.61</v>
      </c>
      <c r="H791" s="134" t="n">
        <v>150.74</v>
      </c>
      <c r="I791" s="104" t="n">
        <v>0.2934</v>
      </c>
      <c r="J791" s="104" t="n">
        <v>0.1913</v>
      </c>
      <c r="K791" s="104" t="n">
        <v>0.0044</v>
      </c>
      <c r="L791" s="134" t="n">
        <v>318.7</v>
      </c>
      <c r="M791" s="134" t="n">
        <v>5184.33</v>
      </c>
      <c r="N791" s="104" t="n">
        <v>0.0615</v>
      </c>
      <c r="O791" s="134" t="n">
        <v>338</v>
      </c>
      <c r="P791" s="134" t="inlineStr">
        <is>
          <t>9 -0.52%</t>
        </is>
      </c>
      <c r="Q791" s="134" t="inlineStr">
        <is>
          <t>69 -0.25%</t>
        </is>
      </c>
      <c r="R791" s="134" t="inlineStr">
        <is>
          <t>121 -0.09%</t>
        </is>
      </c>
      <c r="S791" s="134" t="inlineStr">
        <is>
          <t>66 -0.30%</t>
        </is>
      </c>
      <c r="T791" s="134" t="inlineStr">
        <is>
          <t>25 -0.50%</t>
        </is>
      </c>
      <c r="U791" s="134" t="inlineStr">
        <is>
          <t>48 -0.08%</t>
        </is>
      </c>
    </row>
    <row customHeight="1" ht="17" r="792" s="155">
      <c r="A792" s="105" t="n">
        <v>44287</v>
      </c>
      <c r="B792" s="134" t="n">
        <v>1515.614</v>
      </c>
      <c r="C792" s="152" t="n">
        <v>2.028</v>
      </c>
      <c r="D792" s="153" t="n">
        <v>0.0013</v>
      </c>
      <c r="E792" s="134" t="n">
        <v>121.676</v>
      </c>
      <c r="F792" s="134" t="n">
        <v>107.475</v>
      </c>
      <c r="G792" s="134" t="n">
        <v>90.02</v>
      </c>
      <c r="H792" s="134" t="n">
        <v>150.66</v>
      </c>
      <c r="I792" s="104" t="n">
        <v>0.2899</v>
      </c>
      <c r="J792" s="104" t="n">
        <v>0.1944</v>
      </c>
      <c r="K792" s="104" t="n">
        <v>0.0043</v>
      </c>
      <c r="L792" s="134" t="n">
        <v>324.21</v>
      </c>
      <c r="M792" s="134" t="n">
        <v>5232.76</v>
      </c>
      <c r="N792" s="104" t="n">
        <v>0.062</v>
      </c>
      <c r="O792" s="134" t="n">
        <v>342</v>
      </c>
      <c r="P792" s="134" t="inlineStr">
        <is>
          <t>8 1.82%</t>
        </is>
      </c>
      <c r="Q792" s="134" t="inlineStr">
        <is>
          <t>68 0.10%</t>
        </is>
      </c>
      <c r="R792" s="134" t="inlineStr">
        <is>
          <t>122 0.19%</t>
        </is>
      </c>
      <c r="S792" s="134" t="inlineStr">
        <is>
          <t>69 0.10%</t>
        </is>
      </c>
      <c r="T792" s="134" t="inlineStr">
        <is>
          <t>28 0.33%</t>
        </is>
      </c>
      <c r="U792" s="134" t="inlineStr">
        <is>
          <t>47 -0.32%</t>
        </is>
      </c>
    </row>
    <row customHeight="1" ht="17" r="793" s="155">
      <c r="A793" s="105" t="n">
        <v>44288</v>
      </c>
      <c r="B793" s="134" t="n">
        <v>1517.342</v>
      </c>
      <c r="C793" s="152" t="n">
        <v>1.728</v>
      </c>
      <c r="D793" s="153" t="n">
        <v>0.0011</v>
      </c>
      <c r="E793" s="134" t="n">
        <v>121.774</v>
      </c>
      <c r="F793" s="134" t="n">
        <v>107</v>
      </c>
      <c r="G793" s="134" t="n">
        <v>90.72</v>
      </c>
      <c r="H793" s="134" t="n">
        <v>150.74</v>
      </c>
      <c r="I793" s="104" t="n">
        <v>0.2896</v>
      </c>
      <c r="J793" s="104" t="n">
        <v>0.1974</v>
      </c>
      <c r="K793" s="104" t="n">
        <v>0.0042</v>
      </c>
      <c r="L793" s="134" t="n">
        <v>283.87</v>
      </c>
      <c r="M793" s="134" t="n">
        <v>5238.14</v>
      </c>
      <c r="N793" s="104" t="n">
        <v>0.0542</v>
      </c>
      <c r="O793" s="134" t="n">
        <v>343</v>
      </c>
      <c r="P793" s="134" t="inlineStr">
        <is>
          <t>8 0.12%</t>
        </is>
      </c>
      <c r="Q793" s="134" t="inlineStr">
        <is>
          <t>71 -0.13%</t>
        </is>
      </c>
      <c r="R793" s="134" t="inlineStr">
        <is>
          <t>115 -0.05%</t>
        </is>
      </c>
      <c r="S793" s="134" t="inlineStr">
        <is>
          <t>72 0.31%</t>
        </is>
      </c>
      <c r="T793" s="134" t="inlineStr">
        <is>
          <t>28 0.18%</t>
        </is>
      </c>
      <c r="U793" s="134" t="inlineStr">
        <is>
          <t>49 0.52%</t>
        </is>
      </c>
    </row>
    <row customHeight="1" ht="17" r="794" s="155">
      <c r="A794" s="105" t="n">
        <v>44292</v>
      </c>
      <c r="B794" s="134" t="n">
        <v>1522.865</v>
      </c>
      <c r="C794" s="152" t="n">
        <v>5.523</v>
      </c>
      <c r="D794" s="153" t="n">
        <v>0.0036</v>
      </c>
      <c r="E794" s="134" t="n">
        <v>122.175</v>
      </c>
      <c r="F794" s="134" t="n">
        <v>107.75</v>
      </c>
      <c r="G794" s="134" t="n">
        <v>91.98999999999999</v>
      </c>
      <c r="H794" s="134" t="n">
        <v>150.21</v>
      </c>
      <c r="I794" s="104" t="n">
        <v>0.2804</v>
      </c>
      <c r="J794" s="104" t="n">
        <v>0.1864</v>
      </c>
      <c r="K794" s="104" t="n">
        <v>0.0034</v>
      </c>
      <c r="L794" s="134" t="n">
        <v>252.89</v>
      </c>
      <c r="M794" s="134" t="n">
        <v>5278.67</v>
      </c>
      <c r="N794" s="104" t="n">
        <v>0.0479</v>
      </c>
      <c r="O794" s="134" t="n">
        <v>345</v>
      </c>
      <c r="P794" s="134" t="inlineStr">
        <is>
          <t>8 0.57%</t>
        </is>
      </c>
      <c r="Q794" s="134" t="inlineStr">
        <is>
          <t>71 0.26%</t>
        </is>
      </c>
      <c r="R794" s="134" t="inlineStr">
        <is>
          <t>117 0.46%</t>
        </is>
      </c>
      <c r="S794" s="134" t="inlineStr">
        <is>
          <t>71 0.41%</t>
        </is>
      </c>
      <c r="T794" s="134" t="inlineStr">
        <is>
          <t>29 -0.15%</t>
        </is>
      </c>
      <c r="U794" s="134" t="inlineStr">
        <is>
          <t>49 0.50%</t>
        </is>
      </c>
    </row>
    <row customHeight="1" ht="17" r="795" s="155">
      <c r="A795" s="105" t="n">
        <v>44293</v>
      </c>
      <c r="B795" s="134" t="n">
        <v>1524.144</v>
      </c>
      <c r="C795" s="152" t="n">
        <v>1.279</v>
      </c>
      <c r="D795" s="153" t="n">
        <v>0.0008</v>
      </c>
      <c r="E795" s="134" t="n">
        <v>122.246</v>
      </c>
      <c r="F795" s="134" t="n">
        <v>108.02</v>
      </c>
      <c r="G795" s="134" t="n">
        <v>92.15000000000001</v>
      </c>
      <c r="H795" s="134" t="n">
        <v>149.84</v>
      </c>
      <c r="I795" s="104" t="n">
        <v>0.2759</v>
      </c>
      <c r="J795" s="104" t="n">
        <v>0.1832</v>
      </c>
      <c r="K795" s="104" t="n">
        <v>0.0032</v>
      </c>
      <c r="L795" s="134" t="n">
        <v>265.09</v>
      </c>
      <c r="M795" s="134" t="n">
        <v>5275.89</v>
      </c>
      <c r="N795" s="104" t="n">
        <v>0.0502</v>
      </c>
      <c r="O795" s="134" t="n">
        <v>345</v>
      </c>
      <c r="P795" s="134" t="inlineStr">
        <is>
          <t>7 1.15%</t>
        </is>
      </c>
      <c r="Q795" s="134" t="inlineStr">
        <is>
          <t>67 0.25%</t>
        </is>
      </c>
      <c r="R795" s="134" t="inlineStr">
        <is>
          <t>119 0.11%</t>
        </is>
      </c>
      <c r="S795" s="134" t="inlineStr">
        <is>
          <t>72 -0.03%</t>
        </is>
      </c>
      <c r="T795" s="134" t="inlineStr">
        <is>
          <t>30 -0.09%</t>
        </is>
      </c>
      <c r="U795" s="134" t="inlineStr">
        <is>
          <t>50 -0.07%</t>
        </is>
      </c>
    </row>
    <row customHeight="1" ht="17" r="796" s="155">
      <c r="A796" s="105" t="n">
        <v>44294</v>
      </c>
      <c r="B796" s="134" t="n">
        <v>1526.339</v>
      </c>
      <c r="C796" s="152" t="n">
        <v>2.195</v>
      </c>
      <c r="D796" s="153" t="n">
        <v>0.0014</v>
      </c>
      <c r="E796" s="134" t="n">
        <v>122.527</v>
      </c>
      <c r="F796" s="134" t="n">
        <v>107.851</v>
      </c>
      <c r="G796" s="134" t="n">
        <v>91.3</v>
      </c>
      <c r="H796" s="134" t="n">
        <v>151.28</v>
      </c>
      <c r="I796" s="104" t="n">
        <v>0.2876</v>
      </c>
      <c r="J796" s="104" t="n">
        <v>0.189</v>
      </c>
      <c r="K796" s="104" t="n">
        <v>0.0028</v>
      </c>
      <c r="L796" s="134" t="n">
        <v>286.76</v>
      </c>
      <c r="M796" s="134" t="n">
        <v>5273.92</v>
      </c>
      <c r="N796" s="104" t="n">
        <v>0.0544</v>
      </c>
      <c r="O796" s="134" t="n">
        <v>345</v>
      </c>
      <c r="P796" s="134" t="inlineStr">
        <is>
          <t>7 0.63%</t>
        </is>
      </c>
      <c r="Q796" s="134" t="inlineStr">
        <is>
          <t>67 0.06%</t>
        </is>
      </c>
      <c r="R796" s="134" t="inlineStr">
        <is>
          <t>117 0.04%</t>
        </is>
      </c>
      <c r="S796" s="134" t="inlineStr">
        <is>
          <t>76 -0.09%</t>
        </is>
      </c>
      <c r="T796" s="134" t="inlineStr">
        <is>
          <t>29 0.56%</t>
        </is>
      </c>
      <c r="U796" s="134" t="inlineStr">
        <is>
          <t>49 0.56%</t>
        </is>
      </c>
    </row>
    <row customHeight="1" ht="17" r="797" s="155">
      <c r="A797" s="105" t="n">
        <v>44295</v>
      </c>
      <c r="B797" s="134" t="n">
        <v>1526.705</v>
      </c>
      <c r="C797" s="152" t="n">
        <v>0.366</v>
      </c>
      <c r="D797" s="153" t="n">
        <v>0.0002</v>
      </c>
      <c r="E797" s="134" t="n">
        <v>122.512</v>
      </c>
      <c r="F797" s="134" t="n">
        <v>107.82</v>
      </c>
      <c r="G797" s="134" t="n">
        <v>92.06</v>
      </c>
      <c r="H797" s="134" t="n">
        <v>151.14</v>
      </c>
      <c r="I797" s="104" t="n">
        <v>0.2863</v>
      </c>
      <c r="J797" s="104" t="n">
        <v>0.1904</v>
      </c>
      <c r="K797" s="104" t="n">
        <v>0.0028</v>
      </c>
      <c r="L797" s="134" t="n">
        <v>255.14</v>
      </c>
      <c r="M797" s="134" t="n">
        <v>5272.42</v>
      </c>
      <c r="N797" s="104" t="n">
        <v>0.0484</v>
      </c>
      <c r="O797" s="134" t="n">
        <v>345</v>
      </c>
      <c r="P797" s="134" t="inlineStr">
        <is>
          <t>7 0.87%</t>
        </is>
      </c>
      <c r="Q797" s="134" t="inlineStr">
        <is>
          <t>59 0.29%</t>
        </is>
      </c>
      <c r="R797" s="134" t="inlineStr">
        <is>
          <t>126 0.18%</t>
        </is>
      </c>
      <c r="S797" s="134" t="inlineStr">
        <is>
          <t>74 0.02%</t>
        </is>
      </c>
      <c r="T797" s="134" t="inlineStr">
        <is>
          <t>32 -0.06%</t>
        </is>
      </c>
      <c r="U797" s="134" t="inlineStr">
        <is>
          <t>47 -0.78%</t>
        </is>
      </c>
    </row>
    <row customHeight="1" ht="17" r="798" s="155">
      <c r="A798" s="105" t="n">
        <v>44298</v>
      </c>
      <c r="B798" s="134" t="n">
        <v>1514.69</v>
      </c>
      <c r="C798" s="150" t="n">
        <v>-12.015</v>
      </c>
      <c r="D798" s="151" t="n">
        <v>-0.007900000000000001</v>
      </c>
      <c r="E798" s="134" t="n">
        <v>120.635</v>
      </c>
      <c r="F798" s="134" t="n">
        <v>107.206</v>
      </c>
      <c r="G798" s="134" t="n">
        <v>91.70999999999999</v>
      </c>
      <c r="H798" s="134" t="n">
        <v>149.94</v>
      </c>
      <c r="I798" s="104" t="n">
        <v>0.293</v>
      </c>
      <c r="J798" s="104" t="n">
        <v>0.1947</v>
      </c>
      <c r="K798" s="104" t="n">
        <v>0.0046</v>
      </c>
      <c r="L798" s="134" t="n">
        <v>231.31</v>
      </c>
      <c r="M798" s="134" t="n">
        <v>5266</v>
      </c>
      <c r="N798" s="104" t="n">
        <v>0.0439</v>
      </c>
      <c r="O798" s="134" t="n">
        <v>345</v>
      </c>
      <c r="P798" s="134" t="inlineStr">
        <is>
          <t>7 -0.30%</t>
        </is>
      </c>
      <c r="Q798" s="134" t="inlineStr">
        <is>
          <t>65 -0.18%</t>
        </is>
      </c>
      <c r="R798" s="134" t="inlineStr">
        <is>
          <t>127 -0.41%</t>
        </is>
      </c>
      <c r="S798" s="134" t="inlineStr">
        <is>
          <t>72 -0.99%</t>
        </is>
      </c>
      <c r="T798" s="134" t="inlineStr">
        <is>
          <t>34 -0.93%</t>
        </is>
      </c>
      <c r="U798" s="134" t="inlineStr">
        <is>
          <t>40 -2.58%</t>
        </is>
      </c>
    </row>
    <row customHeight="1" ht="17" r="799" s="155">
      <c r="A799" s="105" t="n">
        <v>44299</v>
      </c>
      <c r="B799" s="134" t="n">
        <v>1513.069</v>
      </c>
      <c r="C799" s="150" t="n">
        <v>-1.621</v>
      </c>
      <c r="D799" s="151" t="n">
        <v>-0.0011</v>
      </c>
      <c r="E799" s="134" t="n">
        <v>120.588</v>
      </c>
      <c r="F799" s="134" t="n">
        <v>106.858</v>
      </c>
      <c r="G799" s="134" t="n">
        <v>90.75</v>
      </c>
      <c r="H799" s="134" t="n">
        <v>150.66</v>
      </c>
      <c r="I799" s="104" t="n">
        <v>0.3007</v>
      </c>
      <c r="J799" s="104" t="n">
        <v>0.2045</v>
      </c>
      <c r="K799" s="104" t="n">
        <v>0.0049</v>
      </c>
      <c r="L799" s="134" t="n">
        <v>252.15</v>
      </c>
      <c r="M799" s="134" t="n">
        <v>5279.46</v>
      </c>
      <c r="N799" s="104" t="n">
        <v>0.0478</v>
      </c>
      <c r="O799" s="134" t="n">
        <v>346</v>
      </c>
      <c r="P799" s="134" t="inlineStr">
        <is>
          <t>7 -0.59%</t>
        </is>
      </c>
      <c r="Q799" s="134" t="inlineStr">
        <is>
          <t>70 -0.28%</t>
        </is>
      </c>
      <c r="R799" s="134" t="inlineStr">
        <is>
          <t>126 -0.36%</t>
        </is>
      </c>
      <c r="S799" s="134" t="inlineStr">
        <is>
          <t>69 -0.24%</t>
        </is>
      </c>
      <c r="T799" s="134" t="inlineStr">
        <is>
          <t>35 -0.27%</t>
        </is>
      </c>
      <c r="U799" s="134" t="inlineStr">
        <is>
          <t>39 1.51%</t>
        </is>
      </c>
    </row>
    <row customHeight="1" ht="17" r="800" s="155">
      <c r="A800" s="105" t="n">
        <v>44300</v>
      </c>
      <c r="B800" s="134" t="n">
        <v>1519.621</v>
      </c>
      <c r="C800" s="152" t="n">
        <v>6.552</v>
      </c>
      <c r="D800" s="153" t="n">
        <v>0.0043</v>
      </c>
      <c r="E800" s="134" t="n">
        <v>121.008</v>
      </c>
      <c r="F800" s="134" t="n">
        <v>107.035</v>
      </c>
      <c r="G800" s="134" t="n">
        <v>91.89</v>
      </c>
      <c r="H800" s="134" t="n">
        <v>149.94</v>
      </c>
      <c r="I800" s="104" t="n">
        <v>0.2894</v>
      </c>
      <c r="J800" s="104" t="n">
        <v>0.1893</v>
      </c>
      <c r="K800" s="104" t="n">
        <v>0.0039</v>
      </c>
      <c r="L800" s="134" t="n">
        <v>320.74</v>
      </c>
      <c r="M800" s="134" t="n">
        <v>5277.31</v>
      </c>
      <c r="N800" s="104" t="n">
        <v>0.0608</v>
      </c>
      <c r="O800" s="134" t="n">
        <v>346</v>
      </c>
      <c r="P800" s="134" t="inlineStr">
        <is>
          <t>7 0.19%</t>
        </is>
      </c>
      <c r="Q800" s="134" t="inlineStr">
        <is>
          <t>65 0.09%</t>
        </is>
      </c>
      <c r="R800" s="134" t="inlineStr">
        <is>
          <t>131 0.21%</t>
        </is>
      </c>
      <c r="S800" s="134" t="inlineStr">
        <is>
          <t>67 0.64%</t>
        </is>
      </c>
      <c r="T800" s="134" t="inlineStr">
        <is>
          <t>36 0.86%</t>
        </is>
      </c>
      <c r="U800" s="134" t="inlineStr">
        <is>
          <t>40 1.03%</t>
        </is>
      </c>
    </row>
    <row customHeight="1" ht="17" r="801" s="155">
      <c r="A801" s="105" t="n">
        <v>44301</v>
      </c>
      <c r="B801" s="134" t="n">
        <v>1515.047</v>
      </c>
      <c r="C801" s="150" t="n">
        <v>-4.574</v>
      </c>
      <c r="D801" s="151" t="n">
        <v>-0.003</v>
      </c>
      <c r="E801" s="134" t="n">
        <v>120.867</v>
      </c>
      <c r="F801" s="134" t="n">
        <v>107.125</v>
      </c>
      <c r="G801" s="134" t="n">
        <v>91.95999999999999</v>
      </c>
      <c r="H801" s="134" t="n">
        <v>149.96</v>
      </c>
      <c r="I801" s="104" t="n">
        <v>0.2909</v>
      </c>
      <c r="J801" s="104" t="n">
        <v>0.1864</v>
      </c>
      <c r="K801" s="104" t="n">
        <v>0.0045</v>
      </c>
      <c r="L801" s="134" t="n">
        <v>272.59</v>
      </c>
      <c r="M801" s="134" t="n">
        <v>5217.09</v>
      </c>
      <c r="N801" s="104" t="n">
        <v>0.0522</v>
      </c>
      <c r="O801" s="134" t="n">
        <v>346</v>
      </c>
      <c r="P801" s="134" t="inlineStr">
        <is>
          <t>8 -0.97%</t>
        </is>
      </c>
      <c r="Q801" s="134" t="inlineStr">
        <is>
          <t>73 -0.32%</t>
        </is>
      </c>
      <c r="R801" s="134" t="inlineStr">
        <is>
          <t>121 -0.25%</t>
        </is>
      </c>
      <c r="S801" s="134" t="inlineStr">
        <is>
          <t>70 -0.18%</t>
        </is>
      </c>
      <c r="T801" s="134" t="inlineStr">
        <is>
          <t>34 -0.11%</t>
        </is>
      </c>
      <c r="U801" s="134" t="inlineStr">
        <is>
          <t>40 -0.66%</t>
        </is>
      </c>
    </row>
    <row customHeight="1" ht="17" r="802" s="155">
      <c r="A802" s="105" t="n">
        <v>44302</v>
      </c>
      <c r="B802" s="134" t="n">
        <v>1523.153</v>
      </c>
      <c r="C802" s="152" t="n">
        <v>8.106</v>
      </c>
      <c r="D802" s="153" t="n">
        <v>0.0054</v>
      </c>
      <c r="E802" s="134" t="n">
        <v>121.219</v>
      </c>
      <c r="F802" s="134" t="n">
        <v>107.45</v>
      </c>
      <c r="G802" s="134" t="n">
        <v>92.81999999999999</v>
      </c>
      <c r="H802" s="134" t="n">
        <v>148.86</v>
      </c>
      <c r="I802" s="104" t="n">
        <v>0.2764</v>
      </c>
      <c r="J802" s="104" t="n">
        <v>0.174</v>
      </c>
      <c r="K802" s="104" t="n">
        <v>0.0034</v>
      </c>
      <c r="L802" s="134" t="n">
        <v>247.07</v>
      </c>
      <c r="M802" s="134" t="n">
        <v>5282.13</v>
      </c>
      <c r="N802" s="104" t="n">
        <v>0.0468</v>
      </c>
      <c r="O802" s="134" t="n">
        <v>347</v>
      </c>
      <c r="P802" s="134" t="inlineStr">
        <is>
          <t>6 1.10%</t>
        </is>
      </c>
      <c r="Q802" s="134" t="inlineStr">
        <is>
          <t>72 0.53%</t>
        </is>
      </c>
      <c r="R802" s="134" t="inlineStr">
        <is>
          <t>121 0.46%</t>
        </is>
      </c>
      <c r="S802" s="134" t="inlineStr">
        <is>
          <t>68 0.65%</t>
        </is>
      </c>
      <c r="T802" s="134" t="inlineStr">
        <is>
          <t>39 0.73%</t>
        </is>
      </c>
      <c r="U802" s="134" t="inlineStr">
        <is>
          <t>41 0.32%</t>
        </is>
      </c>
    </row>
    <row customHeight="1" ht="17" r="803" s="155">
      <c r="A803" s="105" t="n">
        <v>44305</v>
      </c>
      <c r="B803" s="134" t="n">
        <v>1543.411</v>
      </c>
      <c r="C803" s="152" t="n">
        <v>20.258</v>
      </c>
      <c r="D803" s="153" t="n">
        <v>0.0133</v>
      </c>
      <c r="E803" s="134" t="n">
        <v>123.055</v>
      </c>
      <c r="F803" s="134" t="n">
        <v>108.413</v>
      </c>
      <c r="G803" s="134" t="n">
        <v>93.72</v>
      </c>
      <c r="H803" s="134" t="n">
        <v>150.2</v>
      </c>
      <c r="I803" s="104" t="n">
        <v>0.2715</v>
      </c>
      <c r="J803" s="104" t="n">
        <v>0.1762</v>
      </c>
      <c r="K803" s="104" t="n">
        <v>0.0004</v>
      </c>
      <c r="L803" s="134" t="n">
        <v>319.31</v>
      </c>
      <c r="M803" s="134" t="n">
        <v>5284.65</v>
      </c>
      <c r="N803" s="104" t="n">
        <v>0.0604</v>
      </c>
      <c r="O803" s="134" t="n">
        <v>348</v>
      </c>
      <c r="P803" s="134" t="inlineStr">
        <is>
          <t>6 1.18%</t>
        </is>
      </c>
      <c r="Q803" s="134" t="inlineStr">
        <is>
          <t>59 0.54%</t>
        </is>
      </c>
      <c r="R803" s="134" t="inlineStr">
        <is>
          <t>131 0.65%</t>
        </is>
      </c>
      <c r="S803" s="134" t="inlineStr">
        <is>
          <t>63 1.24%</t>
        </is>
      </c>
      <c r="T803" s="134" t="inlineStr">
        <is>
          <t>38 1.13%</t>
        </is>
      </c>
      <c r="U803" s="134" t="inlineStr">
        <is>
          <t>51 4.28%</t>
        </is>
      </c>
    </row>
    <row customHeight="1" ht="17" r="804" s="155">
      <c r="A804" s="105" t="n">
        <v>44306</v>
      </c>
      <c r="B804" s="134" t="n">
        <v>1547.208</v>
      </c>
      <c r="C804" s="152" t="n">
        <v>3.797</v>
      </c>
      <c r="D804" s="153" t="n">
        <v>0.0025</v>
      </c>
      <c r="E804" s="134" t="n">
        <v>123.367</v>
      </c>
      <c r="F804" s="134" t="n">
        <v>108.607</v>
      </c>
      <c r="G804" s="134" t="n">
        <v>93.02</v>
      </c>
      <c r="H804" s="134" t="n">
        <v>151.09</v>
      </c>
      <c r="I804" s="104" t="n">
        <v>0.2772</v>
      </c>
      <c r="J804" s="104" t="n">
        <v>0.1819</v>
      </c>
      <c r="K804" s="104" t="n">
        <v>-0.0001</v>
      </c>
      <c r="L804" s="134" t="n">
        <v>386.24</v>
      </c>
      <c r="M804" s="134" t="n">
        <v>5303.48</v>
      </c>
      <c r="N804" s="104" t="n">
        <v>0.0728</v>
      </c>
      <c r="O804" s="134" t="n">
        <v>350</v>
      </c>
      <c r="P804" s="134" t="inlineStr">
        <is>
          <t>3 0.81%</t>
        </is>
      </c>
      <c r="Q804" s="134" t="inlineStr">
        <is>
          <t>55 0.32%</t>
        </is>
      </c>
      <c r="R804" s="134" t="inlineStr">
        <is>
          <t>131 0.15%</t>
        </is>
      </c>
      <c r="S804" s="134" t="inlineStr">
        <is>
          <t>73 0.38%</t>
        </is>
      </c>
      <c r="T804" s="134" t="inlineStr">
        <is>
          <t>36 0.13%</t>
        </is>
      </c>
      <c r="U804" s="134" t="inlineStr">
        <is>
          <t>52 0.27%</t>
        </is>
      </c>
    </row>
    <row customHeight="1" ht="17" r="805" s="155">
      <c r="A805" s="105" t="n">
        <v>44307</v>
      </c>
      <c r="B805" s="134" t="n">
        <v>1544.423</v>
      </c>
      <c r="C805" s="150" t="n">
        <v>-2.785</v>
      </c>
      <c r="D805" s="151" t="n">
        <v>-0.0018</v>
      </c>
      <c r="E805" s="134" t="n">
        <v>123.274</v>
      </c>
      <c r="F805" s="134" t="n">
        <v>108.51</v>
      </c>
      <c r="G805" s="134" t="n">
        <v>93.56</v>
      </c>
      <c r="H805" s="134" t="n">
        <v>151.06</v>
      </c>
      <c r="I805" s="104" t="n">
        <v>0.2779</v>
      </c>
      <c r="J805" s="104" t="n">
        <v>0.1831</v>
      </c>
      <c r="K805" s="104" t="n">
        <v>0.0005999999999999999</v>
      </c>
      <c r="L805" s="134" t="n">
        <v>359.64</v>
      </c>
      <c r="M805" s="134" t="n">
        <v>5305.39</v>
      </c>
      <c r="N805" s="104" t="n">
        <v>0.0678</v>
      </c>
      <c r="O805" s="134" t="n">
        <v>351</v>
      </c>
      <c r="P805" s="134" t="inlineStr">
        <is>
          <t>5 -0.06%</t>
        </is>
      </c>
      <c r="Q805" s="134" t="inlineStr">
        <is>
          <t>53 -0.14%</t>
        </is>
      </c>
      <c r="R805" s="134" t="inlineStr">
        <is>
          <t>136 -0.09%</t>
        </is>
      </c>
      <c r="S805" s="134" t="inlineStr">
        <is>
          <t>70 -0.19%</t>
        </is>
      </c>
      <c r="T805" s="134" t="inlineStr">
        <is>
          <t>39 -0.38%</t>
        </is>
      </c>
      <c r="U805" s="134" t="inlineStr">
        <is>
          <t>48 -0.31%</t>
        </is>
      </c>
    </row>
    <row customHeight="1" ht="17" r="806" s="155">
      <c r="A806" s="105" t="n">
        <v>44308</v>
      </c>
      <c r="B806" s="134" t="n">
        <v>1546.678</v>
      </c>
      <c r="C806" s="152" t="n">
        <v>2.255</v>
      </c>
      <c r="D806" s="153" t="n">
        <v>0.0015</v>
      </c>
      <c r="E806" s="134" t="n">
        <v>123.3</v>
      </c>
      <c r="F806" s="134" t="n">
        <v>108.49</v>
      </c>
      <c r="G806" s="134" t="n">
        <v>93.88</v>
      </c>
      <c r="H806" s="134" t="n">
        <v>150.7</v>
      </c>
      <c r="I806" s="104" t="n">
        <v>0.274</v>
      </c>
      <c r="J806" s="104" t="n">
        <v>0.182</v>
      </c>
      <c r="K806" s="104" t="n">
        <v>0.0003</v>
      </c>
      <c r="L806" s="134" t="n">
        <v>411.3</v>
      </c>
      <c r="M806" s="134" t="n">
        <v>5446.95</v>
      </c>
      <c r="N806" s="104" t="n">
        <v>0.0755</v>
      </c>
      <c r="O806" s="134" t="n">
        <v>353</v>
      </c>
      <c r="P806" s="134" t="inlineStr">
        <is>
          <t>2 0.39%</t>
        </is>
      </c>
      <c r="Q806" s="134" t="inlineStr">
        <is>
          <t>53 0.18%</t>
        </is>
      </c>
      <c r="R806" s="134" t="inlineStr">
        <is>
          <t>136 -0.01%</t>
        </is>
      </c>
      <c r="S806" s="134" t="inlineStr">
        <is>
          <t>72 0.16%</t>
        </is>
      </c>
      <c r="T806" s="134" t="inlineStr">
        <is>
          <t>43 0.47%</t>
        </is>
      </c>
      <c r="U806" s="134" t="inlineStr">
        <is>
          <t>47 0.23%</t>
        </is>
      </c>
    </row>
    <row customHeight="1" ht="17" r="807" s="155">
      <c r="A807" s="105" t="n">
        <v>44309</v>
      </c>
      <c r="B807" s="134" t="n">
        <v>1543.832</v>
      </c>
      <c r="C807" s="150" t="n">
        <v>-2.846</v>
      </c>
      <c r="D807" s="151" t="n">
        <v>-0.0018</v>
      </c>
      <c r="E807" s="134" t="n">
        <v>123.642</v>
      </c>
      <c r="F807" s="134" t="n">
        <v>108.199</v>
      </c>
      <c r="G807" s="134" t="n">
        <v>93.26000000000001</v>
      </c>
      <c r="H807" s="134" t="n">
        <v>151.51</v>
      </c>
      <c r="I807" s="104" t="n">
        <v>0.2787</v>
      </c>
      <c r="J807" s="104" t="n">
        <v>0.1879</v>
      </c>
      <c r="K807" s="104" t="n">
        <v>0.0008</v>
      </c>
      <c r="L807" s="134" t="n">
        <v>419.61</v>
      </c>
      <c r="M807" s="134" t="n">
        <v>5444.86</v>
      </c>
      <c r="N807" s="104" t="n">
        <v>0.0771</v>
      </c>
      <c r="O807" s="134" t="n">
        <v>353</v>
      </c>
      <c r="P807" s="134" t="inlineStr">
        <is>
          <t>2 -0.20%</t>
        </is>
      </c>
      <c r="Q807" s="134" t="inlineStr">
        <is>
          <t>64 -0.29%</t>
        </is>
      </c>
      <c r="R807" s="134" t="inlineStr">
        <is>
          <t>131 -0.23%</t>
        </is>
      </c>
      <c r="S807" s="134" t="inlineStr">
        <is>
          <t>70 -0.53%</t>
        </is>
      </c>
      <c r="T807" s="134" t="inlineStr">
        <is>
          <t>38 -0.16%</t>
        </is>
      </c>
      <c r="U807" s="134" t="inlineStr">
        <is>
          <t>48 0.59%</t>
        </is>
      </c>
    </row>
    <row customHeight="1" ht="17" r="808" s="155">
      <c r="A808" s="105" t="n">
        <v>44312</v>
      </c>
      <c r="B808" s="134" t="n">
        <v>1542.829</v>
      </c>
      <c r="C808" s="150" t="n">
        <v>-1.003</v>
      </c>
      <c r="D808" s="151" t="n">
        <v>-0.0007</v>
      </c>
      <c r="E808" s="134" t="n">
        <v>123.611</v>
      </c>
      <c r="F808" s="134" t="n">
        <v>108.238</v>
      </c>
      <c r="G808" s="134" t="n">
        <v>92.08</v>
      </c>
      <c r="H808" s="134" t="n">
        <v>151.61</v>
      </c>
      <c r="I808" s="104" t="n">
        <v>0.2799</v>
      </c>
      <c r="J808" s="104" t="n">
        <v>0.1854</v>
      </c>
      <c r="K808" s="104" t="n">
        <v>0.0011</v>
      </c>
      <c r="L808" s="134" t="n">
        <v>630.87</v>
      </c>
      <c r="M808" s="134" t="n">
        <v>5725.58</v>
      </c>
      <c r="N808" s="104" t="n">
        <v>0.1102</v>
      </c>
      <c r="O808" s="134" t="n">
        <v>358</v>
      </c>
      <c r="P808" s="134" t="inlineStr">
        <is>
          <t>4 1.39%</t>
        </is>
      </c>
      <c r="Q808" s="134" t="inlineStr">
        <is>
          <t>65 -0.28%</t>
        </is>
      </c>
      <c r="R808" s="134" t="inlineStr">
        <is>
          <t>126 -0.20%</t>
        </is>
      </c>
      <c r="S808" s="134" t="inlineStr">
        <is>
          <t>71 -0.26%</t>
        </is>
      </c>
      <c r="T808" s="134" t="inlineStr">
        <is>
          <t>42 0.55%</t>
        </is>
      </c>
      <c r="U808" s="134" t="inlineStr">
        <is>
          <t>50 0.20%</t>
        </is>
      </c>
    </row>
    <row customHeight="1" ht="17" r="809" s="155">
      <c r="A809" s="105" t="n">
        <v>44313</v>
      </c>
      <c r="B809" s="134" t="n">
        <v>1539.558</v>
      </c>
      <c r="C809" s="150" t="n">
        <v>-3.271</v>
      </c>
      <c r="D809" s="151" t="n">
        <v>-0.0021</v>
      </c>
      <c r="E809" s="134" t="n">
        <v>123.083</v>
      </c>
      <c r="F809" s="134" t="n">
        <v>107.865</v>
      </c>
      <c r="G809" s="134" t="n">
        <v>91.98999999999999</v>
      </c>
      <c r="H809" s="134" t="n">
        <v>151.41</v>
      </c>
      <c r="I809" s="104" t="n">
        <v>0.2833</v>
      </c>
      <c r="J809" s="104" t="n">
        <v>0.1803</v>
      </c>
      <c r="K809" s="104" t="n">
        <v>0.0016</v>
      </c>
      <c r="L809" s="134" t="n">
        <v>687.96</v>
      </c>
      <c r="M809" s="134" t="n">
        <v>5723.74</v>
      </c>
      <c r="N809" s="104" t="n">
        <v>0.1202</v>
      </c>
      <c r="O809" s="134" t="n">
        <v>358</v>
      </c>
      <c r="P809" s="134" t="inlineStr">
        <is>
          <t>5 -1.15%</t>
        </is>
      </c>
      <c r="Q809" s="134" t="inlineStr">
        <is>
          <t>65 -0.40%</t>
        </is>
      </c>
      <c r="R809" s="134" t="inlineStr">
        <is>
          <t>130 -0.41%</t>
        </is>
      </c>
      <c r="S809" s="134" t="inlineStr">
        <is>
          <t>67 -0.27%</t>
        </is>
      </c>
      <c r="T809" s="134" t="inlineStr">
        <is>
          <t>45 -0.27%</t>
        </is>
      </c>
      <c r="U809" s="134" t="inlineStr">
        <is>
          <t>46 0.87%</t>
        </is>
      </c>
    </row>
    <row customHeight="1" ht="17" r="810" s="155">
      <c r="A810" s="105" t="n">
        <v>44314</v>
      </c>
      <c r="B810" s="134" t="n">
        <v>1543.515</v>
      </c>
      <c r="C810" s="152" t="n">
        <v>3.957</v>
      </c>
      <c r="D810" s="153" t="n">
        <v>0.0026</v>
      </c>
      <c r="E810" s="134" t="n">
        <v>123.126</v>
      </c>
      <c r="F810" s="134" t="n">
        <v>108.05</v>
      </c>
      <c r="G810" s="134" t="n">
        <v>91.61</v>
      </c>
      <c r="H810" s="134" t="n">
        <v>151.37</v>
      </c>
      <c r="I810" s="104" t="n">
        <v>0.2824</v>
      </c>
      <c r="J810" s="104" t="n">
        <v>0.1849</v>
      </c>
      <c r="K810" s="104" t="n">
        <v>0.0011</v>
      </c>
      <c r="L810" s="134" t="n">
        <v>655.36</v>
      </c>
      <c r="M810" s="134" t="n">
        <v>5729.78</v>
      </c>
      <c r="N810" s="104" t="n">
        <v>0.1144</v>
      </c>
      <c r="O810" s="134" t="n">
        <v>358</v>
      </c>
      <c r="P810" s="134" t="inlineStr">
        <is>
          <t>3 -0.39%</t>
        </is>
      </c>
      <c r="Q810" s="134" t="inlineStr">
        <is>
          <t>71 0.14%</t>
        </is>
      </c>
      <c r="R810" s="134" t="inlineStr">
        <is>
          <t>122 -0.01%</t>
        </is>
      </c>
      <c r="S810" s="134" t="inlineStr">
        <is>
          <t>75 0.36%</t>
        </is>
      </c>
      <c r="T810" s="134" t="inlineStr">
        <is>
          <t>37 -0.02%</t>
        </is>
      </c>
      <c r="U810" s="134" t="inlineStr">
        <is>
          <t>50 1.17%</t>
        </is>
      </c>
    </row>
    <row customHeight="1" ht="17" r="811" s="155">
      <c r="A811" s="105" t="n">
        <v>44315</v>
      </c>
      <c r="B811" s="134" t="n">
        <v>1545.537</v>
      </c>
      <c r="C811" s="152" t="n">
        <v>2.022</v>
      </c>
      <c r="D811" s="153" t="n">
        <v>0.0013</v>
      </c>
      <c r="E811" s="134" t="n">
        <v>123.318</v>
      </c>
      <c r="F811" s="134" t="n">
        <v>107.655</v>
      </c>
      <c r="G811" s="134" t="n">
        <v>91.03</v>
      </c>
      <c r="H811" s="134" t="n">
        <v>151.86</v>
      </c>
      <c r="I811" s="104" t="n">
        <v>0.2854</v>
      </c>
      <c r="J811" s="104" t="n">
        <v>0.1911</v>
      </c>
      <c r="K811" s="104" t="n">
        <v>0.0008</v>
      </c>
      <c r="L811" s="134" t="n">
        <v>707.16</v>
      </c>
      <c r="M811" s="134" t="n">
        <v>5727.69</v>
      </c>
      <c r="N811" s="104" t="n">
        <v>0.1235</v>
      </c>
      <c r="O811" s="134" t="n">
        <v>358</v>
      </c>
      <c r="P811" s="134" t="inlineStr">
        <is>
          <t>4 -0.30%</t>
        </is>
      </c>
      <c r="Q811" s="134" t="inlineStr">
        <is>
          <t>66 0.02%</t>
        </is>
      </c>
      <c r="R811" s="134" t="inlineStr">
        <is>
          <t>129 0.11%</t>
        </is>
      </c>
      <c r="S811" s="134" t="inlineStr">
        <is>
          <t>73 -0.04%</t>
        </is>
      </c>
      <c r="T811" s="134" t="inlineStr">
        <is>
          <t>34 0.05%</t>
        </is>
      </c>
      <c r="U811" s="134" t="inlineStr">
        <is>
          <t>52 0.66%</t>
        </is>
      </c>
    </row>
    <row customHeight="1" ht="17" r="812" s="155">
      <c r="A812" s="105" t="n">
        <v>44316</v>
      </c>
      <c r="B812" s="134" t="n">
        <v>1543.76</v>
      </c>
      <c r="C812" s="150" t="n">
        <v>-1.777</v>
      </c>
      <c r="D812" s="151" t="n">
        <v>-0.0012</v>
      </c>
      <c r="E812" s="134" t="n">
        <v>123.223</v>
      </c>
      <c r="F812" s="134" t="n">
        <v>107.896</v>
      </c>
      <c r="G812" s="134" t="n">
        <v>89.75</v>
      </c>
      <c r="H812" s="134" t="n">
        <v>152.51</v>
      </c>
      <c r="I812" s="104" t="n">
        <v>0.2928</v>
      </c>
      <c r="J812" s="104" t="n">
        <v>0.1924</v>
      </c>
      <c r="K812" s="104" t="n">
        <v>0.0016</v>
      </c>
      <c r="L812" s="134" t="n">
        <v>702.58</v>
      </c>
      <c r="M812" s="134" t="n">
        <v>5716.56</v>
      </c>
      <c r="N812" s="104" t="n">
        <v>0.1229</v>
      </c>
      <c r="O812" s="134" t="n">
        <v>357</v>
      </c>
      <c r="P812" s="134" t="inlineStr">
        <is>
          <t>5 -0.19%</t>
        </is>
      </c>
      <c r="Q812" s="134" t="inlineStr">
        <is>
          <t>73 -0.59%</t>
        </is>
      </c>
      <c r="R812" s="134" t="inlineStr">
        <is>
          <t>123 -0.25%</t>
        </is>
      </c>
      <c r="S812" s="134" t="inlineStr">
        <is>
          <t>69 -0.22%</t>
        </is>
      </c>
      <c r="T812" s="134" t="inlineStr">
        <is>
          <t>37 0.11%</t>
        </is>
      </c>
      <c r="U812" s="134" t="inlineStr">
        <is>
          <t>50 0.90%</t>
        </is>
      </c>
    </row>
    <row customHeight="1" ht="17" r="813" s="155">
      <c r="A813" s="105" t="n">
        <v>44322</v>
      </c>
      <c r="B813" s="134" t="n">
        <v>1553.733</v>
      </c>
      <c r="C813" s="152" t="n">
        <v>9.973000000000001</v>
      </c>
      <c r="D813" s="153" t="n">
        <v>0.0065</v>
      </c>
      <c r="E813" s="134" t="n">
        <v>123.876</v>
      </c>
      <c r="F813" s="134" t="n">
        <v>108.131</v>
      </c>
      <c r="G813" s="134" t="n">
        <v>90.08</v>
      </c>
      <c r="H813" s="134" t="n">
        <v>153.62</v>
      </c>
      <c r="I813" s="104" t="n">
        <v>0.2975</v>
      </c>
      <c r="J813" s="104" t="n">
        <v>0.1957</v>
      </c>
      <c r="K813" s="104" t="n">
        <v>0.0001</v>
      </c>
      <c r="L813" s="134" t="n">
        <v>618.13</v>
      </c>
      <c r="M813" s="134" t="n">
        <v>5711.34</v>
      </c>
      <c r="N813" s="104" t="n">
        <v>0.1082</v>
      </c>
      <c r="O813" s="134" t="n">
        <v>357</v>
      </c>
      <c r="P813" s="134" t="inlineStr">
        <is>
          <t>4 -1.04%</t>
        </is>
      </c>
      <c r="Q813" s="134" t="inlineStr">
        <is>
          <t>66 0.15%</t>
        </is>
      </c>
      <c r="R813" s="134" t="inlineStr">
        <is>
          <t>130 0.19%</t>
        </is>
      </c>
      <c r="S813" s="134" t="inlineStr">
        <is>
          <t>66 0.24%</t>
        </is>
      </c>
      <c r="T813" s="134" t="inlineStr">
        <is>
          <t>37 1.05%</t>
        </is>
      </c>
      <c r="U813" s="134" t="inlineStr">
        <is>
          <t>54 2.71%</t>
        </is>
      </c>
    </row>
    <row customHeight="1" ht="17" r="814" s="155">
      <c r="A814" s="105" t="n">
        <v>44323</v>
      </c>
      <c r="B814" s="134" t="n">
        <v>1554.821</v>
      </c>
      <c r="C814" s="152" t="n">
        <v>1.088</v>
      </c>
      <c r="D814" s="153" t="n">
        <v>0.0007</v>
      </c>
      <c r="E814" s="134" t="n">
        <v>123.461</v>
      </c>
      <c r="F814" s="134" t="n">
        <v>107.759</v>
      </c>
      <c r="G814" s="134" t="n">
        <v>90.53</v>
      </c>
      <c r="H814" s="134" t="n">
        <v>154.32</v>
      </c>
      <c r="I814" s="104" t="n">
        <v>0.3086</v>
      </c>
      <c r="J814" s="104" t="n">
        <v>0.2048</v>
      </c>
      <c r="K814" s="104" t="n">
        <v>0.0001</v>
      </c>
      <c r="L814" s="134" t="n">
        <v>804.42</v>
      </c>
      <c r="M814" s="134" t="n">
        <v>5697.41</v>
      </c>
      <c r="N814" s="104" t="n">
        <v>0.1412</v>
      </c>
      <c r="O814" s="134" t="n">
        <v>356</v>
      </c>
      <c r="P814" s="134" t="inlineStr">
        <is>
          <t>5 0.11%</t>
        </is>
      </c>
      <c r="Q814" s="134" t="inlineStr">
        <is>
          <t>61 0.16%</t>
        </is>
      </c>
      <c r="R814" s="134" t="inlineStr">
        <is>
          <t>134 0.06%</t>
        </is>
      </c>
      <c r="S814" s="134" t="inlineStr">
        <is>
          <t>67 -0.09%</t>
        </is>
      </c>
      <c r="T814" s="134" t="inlineStr">
        <is>
          <t>37 -0.19%</t>
        </is>
      </c>
      <c r="U814" s="134" t="inlineStr">
        <is>
          <t>52 0.39%</t>
        </is>
      </c>
    </row>
    <row customHeight="1" ht="17" r="815" s="155">
      <c r="A815" s="105" t="n">
        <v>44326</v>
      </c>
      <c r="B815" s="134" t="n">
        <v>1578.174</v>
      </c>
      <c r="C815" s="152" t="n">
        <v>23.353</v>
      </c>
      <c r="D815" s="153" t="n">
        <v>0.015</v>
      </c>
      <c r="E815" s="134" t="n">
        <v>125.667</v>
      </c>
      <c r="F815" s="134" t="n">
        <v>108.189</v>
      </c>
      <c r="G815" s="134" t="n">
        <v>90.34</v>
      </c>
      <c r="H815" s="134" t="n">
        <v>158.57</v>
      </c>
      <c r="I815" s="104" t="n">
        <v>0.329</v>
      </c>
      <c r="J815" s="104" t="n">
        <v>0.2175</v>
      </c>
      <c r="K815" s="104" t="n">
        <v>-0.0033</v>
      </c>
      <c r="L815" s="134" t="n">
        <v>860.62</v>
      </c>
      <c r="M815" s="134" t="n">
        <v>5731.45</v>
      </c>
      <c r="N815" s="104" t="n">
        <v>0.1502</v>
      </c>
      <c r="O815" s="134" t="n">
        <v>358</v>
      </c>
      <c r="P815" s="134" t="inlineStr">
        <is>
          <t>4 0.36%</t>
        </is>
      </c>
      <c r="Q815" s="134" t="inlineStr">
        <is>
          <t>56 0.28%</t>
        </is>
      </c>
      <c r="R815" s="134" t="inlineStr">
        <is>
          <t>136 0.42%</t>
        </is>
      </c>
      <c r="S815" s="134" t="inlineStr">
        <is>
          <t>65 0.83%</t>
        </is>
      </c>
      <c r="T815" s="134" t="inlineStr">
        <is>
          <t>34 0.79%</t>
        </is>
      </c>
      <c r="U815" s="134" t="inlineStr">
        <is>
          <t>63 6.07%</t>
        </is>
      </c>
    </row>
    <row customHeight="1" ht="17" r="816" s="155">
      <c r="A816" s="105" t="n">
        <v>44327</v>
      </c>
      <c r="B816" s="134" t="n">
        <v>1587.58</v>
      </c>
      <c r="C816" s="152" t="n">
        <v>9.406000000000001</v>
      </c>
      <c r="D816" s="153" t="n">
        <v>0.006</v>
      </c>
      <c r="E816" s="134" t="n">
        <v>125.97</v>
      </c>
      <c r="F816" s="134" t="n">
        <v>109.442</v>
      </c>
      <c r="G816" s="134" t="n">
        <v>90.39</v>
      </c>
      <c r="H816" s="134" t="n">
        <v>159.5</v>
      </c>
      <c r="I816" s="104" t="n">
        <v>0.3353</v>
      </c>
      <c r="J816" s="104" t="n">
        <v>0.2176</v>
      </c>
      <c r="K816" s="104" t="n">
        <v>-0.0047</v>
      </c>
      <c r="L816" s="134" t="n">
        <v>1120.57</v>
      </c>
      <c r="M816" s="134" t="n">
        <v>5720.19</v>
      </c>
      <c r="N816" s="104" t="n">
        <v>0.1959</v>
      </c>
      <c r="O816" s="134" t="n">
        <v>358</v>
      </c>
      <c r="P816" s="134" t="inlineStr">
        <is>
          <t>4 0.35%</t>
        </is>
      </c>
      <c r="Q816" s="134" t="inlineStr">
        <is>
          <t>51 0.27%</t>
        </is>
      </c>
      <c r="R816" s="134" t="inlineStr">
        <is>
          <t>130 0.53%</t>
        </is>
      </c>
      <c r="S816" s="134" t="inlineStr">
        <is>
          <t>68 0.91%</t>
        </is>
      </c>
      <c r="T816" s="134" t="inlineStr">
        <is>
          <t>39 1.35%</t>
        </is>
      </c>
      <c r="U816" s="134" t="inlineStr">
        <is>
          <t>66 0.23%</t>
        </is>
      </c>
    </row>
    <row customHeight="1" ht="17" r="817" s="155">
      <c r="A817" s="105" t="n">
        <v>44328</v>
      </c>
      <c r="B817" s="134" t="n">
        <v>1590.485</v>
      </c>
      <c r="C817" s="152" t="n">
        <v>2.905</v>
      </c>
      <c r="D817" s="153" t="n">
        <v>0.0018</v>
      </c>
      <c r="E817" s="134" t="n">
        <v>126.319</v>
      </c>
      <c r="F817" s="134" t="n">
        <v>109.34</v>
      </c>
      <c r="G817" s="134" t="n">
        <v>91.3</v>
      </c>
      <c r="H817" s="134" t="n">
        <v>158.73</v>
      </c>
      <c r="I817" s="104" t="n">
        <v>0.3241</v>
      </c>
      <c r="J817" s="104" t="n">
        <v>0.209</v>
      </c>
      <c r="K817" s="104" t="n">
        <v>-0.0049</v>
      </c>
      <c r="L817" s="134" t="n">
        <v>877.79</v>
      </c>
      <c r="M817" s="134" t="n">
        <v>5707.4</v>
      </c>
      <c r="N817" s="104" t="n">
        <v>0.1538</v>
      </c>
      <c r="O817" s="134" t="n">
        <v>358</v>
      </c>
      <c r="P817" s="134" t="inlineStr">
        <is>
          <t>3 0.97%</t>
        </is>
      </c>
      <c r="Q817" s="134" t="inlineStr">
        <is>
          <t>43 0.78%</t>
        </is>
      </c>
      <c r="R817" s="134" t="inlineStr">
        <is>
          <t>143 -0.19%</t>
        </is>
      </c>
      <c r="S817" s="134" t="inlineStr">
        <is>
          <t>66 0.16%</t>
        </is>
      </c>
      <c r="T817" s="134" t="inlineStr">
        <is>
          <t>37 -0.29%</t>
        </is>
      </c>
      <c r="U817" s="134" t="inlineStr">
        <is>
          <t>66 0.86%</t>
        </is>
      </c>
    </row>
    <row customHeight="1" ht="17" r="818" s="155">
      <c r="A818" s="105" t="n">
        <v>44329</v>
      </c>
      <c r="B818" s="134" t="n">
        <v>1585.284</v>
      </c>
      <c r="C818" s="150" t="n">
        <v>-5.201</v>
      </c>
      <c r="D818" s="151" t="n">
        <v>-0.0033</v>
      </c>
      <c r="E818" s="134" t="n">
        <v>125.506</v>
      </c>
      <c r="F818" s="134" t="n">
        <v>109.3</v>
      </c>
      <c r="G818" s="134" t="n">
        <v>91.44</v>
      </c>
      <c r="H818" s="134" t="n">
        <v>158.14</v>
      </c>
      <c r="I818" s="104" t="n">
        <v>0.3263</v>
      </c>
      <c r="J818" s="104" t="n">
        <v>0.2171</v>
      </c>
      <c r="K818" s="104" t="n">
        <v>-0.004</v>
      </c>
      <c r="L818" s="134" t="n">
        <v>835.5700000000001</v>
      </c>
      <c r="M818" s="134" t="n">
        <v>5820.6</v>
      </c>
      <c r="N818" s="104" t="n">
        <v>0.1436</v>
      </c>
      <c r="O818" s="134" t="n">
        <v>361</v>
      </c>
      <c r="P818" s="134" t="inlineStr">
        <is>
          <t>3 -0.14%</t>
        </is>
      </c>
      <c r="Q818" s="134" t="inlineStr">
        <is>
          <t>45 -0.04%</t>
        </is>
      </c>
      <c r="R818" s="134" t="inlineStr">
        <is>
          <t>143 -0.10%</t>
        </is>
      </c>
      <c r="S818" s="134" t="inlineStr">
        <is>
          <t>70 -0.02%</t>
        </is>
      </c>
      <c r="T818" s="134" t="inlineStr">
        <is>
          <t>43 -0.88%</t>
        </is>
      </c>
      <c r="U818" s="134" t="inlineStr">
        <is>
          <t>57 -1.11%</t>
        </is>
      </c>
    </row>
    <row customHeight="1" ht="17" r="819" s="155">
      <c r="A819" s="105" t="n">
        <v>44330</v>
      </c>
      <c r="B819" s="134" t="n">
        <v>1591.356</v>
      </c>
      <c r="C819" s="152" t="n">
        <v>6.072</v>
      </c>
      <c r="D819" s="153" t="n">
        <v>0.0038</v>
      </c>
      <c r="E819" s="134" t="n">
        <v>125.913</v>
      </c>
      <c r="F819" s="134" t="n">
        <v>109.328</v>
      </c>
      <c r="G819" s="134" t="n">
        <v>92.16</v>
      </c>
      <c r="H819" s="134" t="n">
        <v>157.19</v>
      </c>
      <c r="I819" s="104" t="n">
        <v>0.3127</v>
      </c>
      <c r="J819" s="104" t="n">
        <v>0.2026</v>
      </c>
      <c r="K819" s="104" t="n">
        <v>-0.0048</v>
      </c>
      <c r="L819" s="134" t="n">
        <v>831.29</v>
      </c>
      <c r="M819" s="134" t="n">
        <v>5818</v>
      </c>
      <c r="N819" s="104" t="n">
        <v>0.1429</v>
      </c>
      <c r="O819" s="134" t="n">
        <v>361</v>
      </c>
      <c r="P819" s="134" t="inlineStr">
        <is>
          <t>3 0.12%</t>
        </is>
      </c>
      <c r="Q819" s="134" t="inlineStr">
        <is>
          <t>36 0.51%</t>
        </is>
      </c>
      <c r="R819" s="134" t="inlineStr">
        <is>
          <t>150 0.20%</t>
        </is>
      </c>
      <c r="S819" s="134" t="inlineStr">
        <is>
          <t>67 0.30%</t>
        </is>
      </c>
      <c r="T819" s="134" t="inlineStr">
        <is>
          <t>46 1.04%</t>
        </is>
      </c>
      <c r="U819" s="134" t="inlineStr">
        <is>
          <t>59 0.36%</t>
        </is>
      </c>
    </row>
    <row customHeight="1" ht="17" r="820" s="155">
      <c r="A820" s="105" t="n">
        <v>44333</v>
      </c>
      <c r="B820" s="134" t="n">
        <v>1586.232</v>
      </c>
      <c r="C820" s="150" t="n">
        <v>-5.124</v>
      </c>
      <c r="D820" s="151" t="n">
        <v>-0.0032</v>
      </c>
      <c r="E820" s="134" t="n">
        <v>125.695</v>
      </c>
      <c r="F820" s="134" t="n">
        <v>109.289</v>
      </c>
      <c r="G820" s="134" t="n">
        <v>91.13</v>
      </c>
      <c r="H820" s="134" t="n">
        <v>157.7</v>
      </c>
      <c r="I820" s="104" t="n">
        <v>0.32</v>
      </c>
      <c r="J820" s="104" t="n">
        <v>0.2076</v>
      </c>
      <c r="K820" s="104" t="n">
        <v>-0.0038</v>
      </c>
      <c r="L820" s="134" t="n">
        <v>717.97</v>
      </c>
      <c r="M820" s="134" t="n">
        <v>5826.26</v>
      </c>
      <c r="N820" s="104" t="n">
        <v>0.1232</v>
      </c>
      <c r="O820" s="134" t="n">
        <v>362</v>
      </c>
      <c r="P820" s="134" t="inlineStr">
        <is>
          <t>5 -1.96%</t>
        </is>
      </c>
      <c r="Q820" s="134" t="inlineStr">
        <is>
          <t>43 -0.78%</t>
        </is>
      </c>
      <c r="R820" s="134" t="inlineStr">
        <is>
          <t>143 -0.52%</t>
        </is>
      </c>
      <c r="S820" s="134" t="inlineStr">
        <is>
          <t>68 -0.51%</t>
        </is>
      </c>
      <c r="T820" s="134" t="inlineStr">
        <is>
          <t>44 0.03%</t>
        </is>
      </c>
      <c r="U820" s="134" t="inlineStr">
        <is>
          <t>59 0.58%</t>
        </is>
      </c>
    </row>
    <row customHeight="1" ht="17" r="821" s="155">
      <c r="A821" s="105" t="n">
        <v>44334</v>
      </c>
      <c r="B821" s="134" t="n">
        <v>1593.846</v>
      </c>
      <c r="C821" s="152" t="n">
        <v>7.614</v>
      </c>
      <c r="D821" s="153" t="n">
        <v>0.0048</v>
      </c>
      <c r="E821" s="134" t="n">
        <v>126.19</v>
      </c>
      <c r="F821" s="134" t="n">
        <v>109.595</v>
      </c>
      <c r="G821" s="134" t="n">
        <v>90.98999999999999</v>
      </c>
      <c r="H821" s="134" t="n">
        <v>158.59</v>
      </c>
      <c r="I821" s="104" t="n">
        <v>0.324</v>
      </c>
      <c r="J821" s="104" t="n">
        <v>0.2159</v>
      </c>
      <c r="K821" s="104" t="n">
        <v>-0.0038</v>
      </c>
      <c r="L821" s="134" t="n">
        <v>803.28</v>
      </c>
      <c r="M821" s="134" t="n">
        <v>5825.72</v>
      </c>
      <c r="N821" s="104" t="n">
        <v>0.1379</v>
      </c>
      <c r="O821" s="134" t="n">
        <v>362</v>
      </c>
      <c r="P821" s="134" t="inlineStr">
        <is>
          <t>5 -0.13%</t>
        </is>
      </c>
      <c r="Q821" s="134" t="inlineStr">
        <is>
          <t>36 0.16%</t>
        </is>
      </c>
      <c r="R821" s="134" t="inlineStr">
        <is>
          <t>147 0.21%</t>
        </is>
      </c>
      <c r="S821" s="134" t="inlineStr">
        <is>
          <t>71 0.56%</t>
        </is>
      </c>
      <c r="T821" s="134" t="inlineStr">
        <is>
          <t>42 -0.12%</t>
        </is>
      </c>
      <c r="U821" s="134" t="inlineStr">
        <is>
          <t>61 1.69%</t>
        </is>
      </c>
    </row>
    <row customHeight="1" ht="17" r="822" s="155">
      <c r="A822" s="105" t="n">
        <v>44335</v>
      </c>
      <c r="B822" s="134" t="n">
        <v>1596.492</v>
      </c>
      <c r="C822" s="152" t="n">
        <v>2.646</v>
      </c>
      <c r="D822" s="153" t="n">
        <v>0.0017</v>
      </c>
      <c r="E822" s="134" t="n">
        <v>126.367</v>
      </c>
      <c r="F822" s="134" t="n">
        <v>109.66</v>
      </c>
      <c r="G822" s="134" t="n">
        <v>90.88</v>
      </c>
      <c r="H822" s="134" t="n">
        <v>159.02</v>
      </c>
      <c r="I822" s="104" t="n">
        <v>0.3266</v>
      </c>
      <c r="J822" s="104" t="n">
        <v>0.222</v>
      </c>
      <c r="K822" s="104" t="n">
        <v>-0.0056</v>
      </c>
      <c r="L822" s="134" t="n">
        <v>816.26</v>
      </c>
      <c r="M822" s="134" t="n">
        <v>5822.52</v>
      </c>
      <c r="N822" s="104" t="n">
        <v>0.1402</v>
      </c>
      <c r="O822" s="134" t="n">
        <v>361</v>
      </c>
      <c r="P822" s="134" t="inlineStr">
        <is>
          <t>4 0.71%</t>
        </is>
      </c>
      <c r="Q822" s="134" t="inlineStr">
        <is>
          <t>36 0.29%</t>
        </is>
      </c>
      <c r="R822" s="134" t="inlineStr">
        <is>
          <t>144 0.16%</t>
        </is>
      </c>
      <c r="S822" s="134" t="inlineStr">
        <is>
          <t>79 -0.34%</t>
        </is>
      </c>
      <c r="T822" s="134" t="inlineStr">
        <is>
          <t>33 -0.22%</t>
        </is>
      </c>
      <c r="U822" s="134" t="inlineStr">
        <is>
          <t>65 0.89%</t>
        </is>
      </c>
    </row>
    <row customHeight="1" ht="17" r="823" s="155">
      <c r="A823" s="105" t="n">
        <v>44336</v>
      </c>
      <c r="B823" s="134" t="n">
        <v>1591.814</v>
      </c>
      <c r="C823" s="150" t="n">
        <v>-4.678</v>
      </c>
      <c r="D823" s="151" t="n">
        <v>-0.0029</v>
      </c>
      <c r="E823" s="134" t="n">
        <v>125.707</v>
      </c>
      <c r="F823" s="134" t="n">
        <v>109.88</v>
      </c>
      <c r="G823" s="134" t="n">
        <v>91.29000000000001</v>
      </c>
      <c r="H823" s="134" t="n">
        <v>158.08</v>
      </c>
      <c r="I823" s="104" t="n">
        <v>0.3237</v>
      </c>
      <c r="J823" s="104" t="n">
        <v>0.22</v>
      </c>
      <c r="K823" s="104" t="n">
        <v>-0.0048</v>
      </c>
      <c r="L823" s="134" t="n">
        <v>784.79</v>
      </c>
      <c r="M823" s="134" t="n">
        <v>5821.52</v>
      </c>
      <c r="N823" s="104" t="n">
        <v>0.1348</v>
      </c>
      <c r="O823" s="134" t="n">
        <v>361</v>
      </c>
      <c r="P823" s="134" t="inlineStr">
        <is>
          <t>5 -0.28%</t>
        </is>
      </c>
      <c r="Q823" s="134" t="inlineStr">
        <is>
          <t>37 -0.23%</t>
        </is>
      </c>
      <c r="R823" s="134" t="inlineStr">
        <is>
          <t>140 0.09%</t>
        </is>
      </c>
      <c r="S823" s="134" t="inlineStr">
        <is>
          <t>78 0.14%</t>
        </is>
      </c>
      <c r="T823" s="134" t="inlineStr">
        <is>
          <t>40 -0.27%</t>
        </is>
      </c>
      <c r="U823" s="134" t="inlineStr">
        <is>
          <t>61 -1.79%</t>
        </is>
      </c>
    </row>
    <row customHeight="1" ht="17" r="824" s="155">
      <c r="A824" s="105" t="n">
        <v>44337</v>
      </c>
      <c r="B824" s="134" t="n">
        <v>1595.937</v>
      </c>
      <c r="C824" s="152" t="n">
        <v>4.123</v>
      </c>
      <c r="D824" s="153" t="n">
        <v>0.0026</v>
      </c>
      <c r="E824" s="134" t="n">
        <v>125.945</v>
      </c>
      <c r="F824" s="134" t="n">
        <v>109.86</v>
      </c>
      <c r="G824" s="134" t="n">
        <v>90.48999999999999</v>
      </c>
      <c r="H824" s="134" t="n">
        <v>158.62</v>
      </c>
      <c r="I824" s="104" t="n">
        <v>0.3268</v>
      </c>
      <c r="J824" s="104" t="n">
        <v>0.2231</v>
      </c>
      <c r="K824" s="104" t="n">
        <v>-0.0053</v>
      </c>
      <c r="L824" s="134" t="n">
        <v>738.45</v>
      </c>
      <c r="M824" s="134" t="n">
        <v>5820.83</v>
      </c>
      <c r="N824" s="104" t="n">
        <v>0.1269</v>
      </c>
      <c r="O824" s="134" t="n">
        <v>361</v>
      </c>
      <c r="P824" s="134" t="inlineStr">
        <is>
          <t>3 0.46%</t>
        </is>
      </c>
      <c r="Q824" s="134" t="inlineStr">
        <is>
          <t>33 0.38%</t>
        </is>
      </c>
      <c r="R824" s="134" t="inlineStr">
        <is>
          <t>148 0.14%</t>
        </is>
      </c>
      <c r="S824" s="134" t="inlineStr">
        <is>
          <t>76 -0.09%</t>
        </is>
      </c>
      <c r="T824" s="134" t="inlineStr">
        <is>
          <t>40 0.09%</t>
        </is>
      </c>
      <c r="U824" s="134" t="inlineStr">
        <is>
          <t>61 1.02%</t>
        </is>
      </c>
    </row>
    <row customHeight="1" ht="17" r="825" s="155">
      <c r="A825" s="105" t="n">
        <v>44340</v>
      </c>
      <c r="B825" s="134" t="n">
        <v>1602.975</v>
      </c>
      <c r="C825" s="152" t="n">
        <v>7.038</v>
      </c>
      <c r="D825" s="153" t="n">
        <v>0.0044</v>
      </c>
      <c r="E825" s="134" t="n">
        <v>126.373</v>
      </c>
      <c r="F825" s="134" t="n">
        <v>110.332</v>
      </c>
      <c r="G825" s="134" t="n">
        <v>90.89</v>
      </c>
      <c r="H825" s="134" t="n">
        <v>158.62</v>
      </c>
      <c r="I825" s="104" t="n">
        <v>0.3225</v>
      </c>
      <c r="J825" s="104" t="n">
        <v>0.2238</v>
      </c>
      <c r="K825" s="104" t="n">
        <v>-0.0063</v>
      </c>
      <c r="L825" s="134" t="n">
        <v>611</v>
      </c>
      <c r="M825" s="134" t="n">
        <v>5820.54</v>
      </c>
      <c r="N825" s="104" t="n">
        <v>0.105</v>
      </c>
      <c r="O825" s="134" t="n">
        <v>361</v>
      </c>
      <c r="P825" s="134" t="inlineStr">
        <is>
          <t>4 0.24%</t>
        </is>
      </c>
      <c r="Q825" s="134" t="inlineStr">
        <is>
          <t>31 0.17%</t>
        </is>
      </c>
      <c r="R825" s="134" t="inlineStr">
        <is>
          <t>139 0.31%</t>
        </is>
      </c>
      <c r="S825" s="134" t="inlineStr">
        <is>
          <t>82 0.60%</t>
        </is>
      </c>
      <c r="T825" s="134" t="inlineStr">
        <is>
          <t>43 0.23%</t>
        </is>
      </c>
      <c r="U825" s="134" t="inlineStr">
        <is>
          <t>62 0.82%</t>
        </is>
      </c>
    </row>
    <row customHeight="1" ht="17" r="826" s="155">
      <c r="A826" s="105" t="n">
        <v>44341</v>
      </c>
      <c r="B826" s="134" t="n">
        <v>1608.233</v>
      </c>
      <c r="C826" s="152" t="n">
        <v>5.258</v>
      </c>
      <c r="D826" s="153" t="n">
        <v>0.0033</v>
      </c>
      <c r="E826" s="134" t="n">
        <v>126.693</v>
      </c>
      <c r="F826" s="134" t="n">
        <v>110.79</v>
      </c>
      <c r="G826" s="134" t="n">
        <v>92.22</v>
      </c>
      <c r="H826" s="134" t="n">
        <v>158.29</v>
      </c>
      <c r="I826" s="104" t="n">
        <v>0.3159</v>
      </c>
      <c r="J826" s="104" t="n">
        <v>0.214</v>
      </c>
      <c r="K826" s="104" t="n">
        <v>-0.007</v>
      </c>
      <c r="L826" s="134" t="n">
        <v>684.67</v>
      </c>
      <c r="M826" s="134" t="n">
        <v>5826.21</v>
      </c>
      <c r="N826" s="104" t="n">
        <v>0.1175</v>
      </c>
      <c r="O826" s="134" t="n">
        <v>361</v>
      </c>
      <c r="P826" s="134" t="inlineStr">
        <is>
          <t>3 -0.67%</t>
        </is>
      </c>
      <c r="Q826" s="134" t="inlineStr">
        <is>
          <t>28 0.06%</t>
        </is>
      </c>
      <c r="R826" s="134" t="inlineStr">
        <is>
          <t>140 0.25%</t>
        </is>
      </c>
      <c r="S826" s="134" t="inlineStr">
        <is>
          <t>78 0.45%</t>
        </is>
      </c>
      <c r="T826" s="134" t="inlineStr">
        <is>
          <t>49 0.42%</t>
        </is>
      </c>
      <c r="U826" s="134" t="inlineStr">
        <is>
          <t>63 0.46%</t>
        </is>
      </c>
    </row>
    <row customHeight="1" ht="17" r="827" s="155">
      <c r="A827" s="105" t="n">
        <v>44342</v>
      </c>
      <c r="B827" s="134" t="n">
        <v>1615.84</v>
      </c>
      <c r="C827" s="152" t="n">
        <v>7.607</v>
      </c>
      <c r="D827" s="153" t="n">
        <v>0.0047</v>
      </c>
      <c r="E827" s="134" t="n">
        <v>127.408</v>
      </c>
      <c r="F827" s="134" t="n">
        <v>111.3</v>
      </c>
      <c r="G827" s="134" t="n">
        <v>92.44</v>
      </c>
      <c r="H827" s="134" t="n">
        <v>158.65</v>
      </c>
      <c r="I827" s="104" t="n">
        <v>0.3124</v>
      </c>
      <c r="J827" s="104" t="n">
        <v>0.2137</v>
      </c>
      <c r="K827" s="104" t="n">
        <v>-0.0081</v>
      </c>
      <c r="L827" s="134" t="n">
        <v>697.9</v>
      </c>
      <c r="M827" s="134" t="n">
        <v>5825.75</v>
      </c>
      <c r="N827" s="104" t="n">
        <v>0.1198</v>
      </c>
      <c r="O827" s="134" t="n">
        <v>361</v>
      </c>
      <c r="P827" s="134" t="inlineStr">
        <is>
          <t>3 -0.15%</t>
        </is>
      </c>
      <c r="Q827" s="134" t="inlineStr">
        <is>
          <t>27 -0.01%</t>
        </is>
      </c>
      <c r="R827" s="134" t="inlineStr">
        <is>
          <t>136 0.40%</t>
        </is>
      </c>
      <c r="S827" s="134" t="inlineStr">
        <is>
          <t>81 0.40%</t>
        </is>
      </c>
      <c r="T827" s="134" t="inlineStr">
        <is>
          <t>48 0.71%</t>
        </is>
      </c>
      <c r="U827" s="134" t="inlineStr">
        <is>
          <t>66 0.78%</t>
        </is>
      </c>
    </row>
    <row customHeight="1" ht="17" r="828" s="155">
      <c r="A828" s="105" t="n">
        <v>44343</v>
      </c>
      <c r="B828" s="134" t="n">
        <v>1623.984</v>
      </c>
      <c r="C828" s="152" t="n">
        <v>8.144</v>
      </c>
      <c r="D828" s="153" t="n">
        <v>0.005</v>
      </c>
      <c r="E828" s="134" t="n">
        <v>128.082</v>
      </c>
      <c r="F828" s="134" t="n">
        <v>111.721</v>
      </c>
      <c r="G828" s="134" t="n">
        <v>92.62</v>
      </c>
      <c r="H828" s="134" t="n">
        <v>159.1</v>
      </c>
      <c r="I828" s="104" t="n">
        <v>0.3102</v>
      </c>
      <c r="J828" s="104" t="n">
        <v>0.2192</v>
      </c>
      <c r="K828" s="104" t="n">
        <v>-0.0092</v>
      </c>
      <c r="L828" s="134" t="n">
        <v>625.63</v>
      </c>
      <c r="M828" s="134" t="n">
        <v>5824.09</v>
      </c>
      <c r="N828" s="104" t="n">
        <v>0.1074</v>
      </c>
      <c r="O828" s="134" t="n">
        <v>361</v>
      </c>
      <c r="P828" s="134" t="inlineStr">
        <is>
          <t>3 0.90%</t>
        </is>
      </c>
      <c r="Q828" s="134" t="inlineStr">
        <is>
          <t>23 0.36%</t>
        </is>
      </c>
      <c r="R828" s="134" t="inlineStr">
        <is>
          <t>132 0.30%</t>
        </is>
      </c>
      <c r="S828" s="134" t="inlineStr">
        <is>
          <t>82 0.45%</t>
        </is>
      </c>
      <c r="T828" s="134" t="inlineStr">
        <is>
          <t>49 0.61%</t>
        </is>
      </c>
      <c r="U828" s="134" t="inlineStr">
        <is>
          <t>72 0.89%</t>
        </is>
      </c>
    </row>
    <row customHeight="1" ht="17" r="829" s="155">
      <c r="A829" s="105" t="n">
        <v>44344</v>
      </c>
      <c r="B829" s="134" t="n">
        <v>1622.084</v>
      </c>
      <c r="C829" s="150" t="n">
        <v>-1.9</v>
      </c>
      <c r="D829" s="151" t="n">
        <v>-0.0012</v>
      </c>
      <c r="E829" s="134" t="n">
        <v>127.859</v>
      </c>
      <c r="F829" s="134" t="n">
        <v>111.11</v>
      </c>
      <c r="G829" s="134" t="n">
        <v>92.59</v>
      </c>
      <c r="H829" s="134" t="n">
        <v>159.08</v>
      </c>
      <c r="I829" s="104" t="n">
        <v>0.3122</v>
      </c>
      <c r="J829" s="104" t="n">
        <v>0.2186</v>
      </c>
      <c r="K829" s="104" t="n">
        <v>-0.008800000000000001</v>
      </c>
      <c r="L829" s="134" t="n">
        <v>572.8</v>
      </c>
      <c r="M829" s="134" t="n">
        <v>5822.6</v>
      </c>
      <c r="N829" s="104" t="n">
        <v>0.0984</v>
      </c>
      <c r="O829" s="134" t="n">
        <v>361</v>
      </c>
      <c r="P829" s="134" t="inlineStr">
        <is>
          <t>3 -0.29%</t>
        </is>
      </c>
      <c r="Q829" s="134" t="inlineStr">
        <is>
          <t>24 0.08%</t>
        </is>
      </c>
      <c r="R829" s="134" t="inlineStr">
        <is>
          <t>141 -0.22%</t>
        </is>
      </c>
      <c r="S829" s="134" t="inlineStr">
        <is>
          <t>74 -0.24%</t>
        </is>
      </c>
      <c r="T829" s="134" t="inlineStr">
        <is>
          <t>50 -0.19%</t>
        </is>
      </c>
      <c r="U829" s="134" t="inlineStr">
        <is>
          <t>69 0.21%</t>
        </is>
      </c>
    </row>
    <row customHeight="1" ht="17" r="830" s="155">
      <c r="A830" s="105" t="n">
        <v>44347</v>
      </c>
      <c r="B830" s="134" t="n">
        <v>1631.2</v>
      </c>
      <c r="C830" s="152" t="n">
        <v>9.116</v>
      </c>
      <c r="D830" s="153" t="n">
        <v>0.0056</v>
      </c>
      <c r="E830" s="134" t="n">
        <v>128.78</v>
      </c>
      <c r="F830" s="134" t="n">
        <v>111.7</v>
      </c>
      <c r="G830" s="134" t="n">
        <v>93.98</v>
      </c>
      <c r="H830" s="134" t="n">
        <v>159.17</v>
      </c>
      <c r="I830" s="104" t="n">
        <v>0.3039</v>
      </c>
      <c r="J830" s="104" t="n">
        <v>0.2131</v>
      </c>
      <c r="K830" s="104" t="n">
        <v>-0.0101</v>
      </c>
      <c r="L830" s="134" t="n">
        <v>525</v>
      </c>
      <c r="M830" s="134" t="n">
        <v>5804.68</v>
      </c>
      <c r="N830" s="104" t="n">
        <v>0.09039999999999999</v>
      </c>
      <c r="O830" s="134" t="n">
        <v>361</v>
      </c>
      <c r="P830" s="134" t="inlineStr">
        <is>
          <t>3 -0.29%</t>
        </is>
      </c>
      <c r="Q830" s="134" t="inlineStr">
        <is>
          <t>24 -0.29%</t>
        </is>
      </c>
      <c r="R830" s="134" t="inlineStr">
        <is>
          <t>129 0.06%</t>
        </is>
      </c>
      <c r="S830" s="134" t="inlineStr">
        <is>
          <t>82 0.41%</t>
        </is>
      </c>
      <c r="T830" s="134" t="inlineStr">
        <is>
          <t>51 0.97%</t>
        </is>
      </c>
      <c r="U830" s="134" t="inlineStr">
        <is>
          <t>72 1.67%</t>
        </is>
      </c>
    </row>
    <row customHeight="1" ht="17" r="831" s="155">
      <c r="A831" s="105" t="n">
        <v>44348</v>
      </c>
      <c r="B831" s="134" t="n">
        <v>1633.924</v>
      </c>
      <c r="C831" s="152" t="n">
        <v>2.724</v>
      </c>
      <c r="D831" s="153" t="n">
        <v>0.0017</v>
      </c>
      <c r="E831" s="134" t="n">
        <v>128.984</v>
      </c>
      <c r="F831" s="134" t="n">
        <v>111.586</v>
      </c>
      <c r="G831" s="134" t="n">
        <v>93.90000000000001</v>
      </c>
      <c r="H831" s="134" t="n">
        <v>158.78</v>
      </c>
      <c r="I831" s="104" t="n">
        <v>0.298</v>
      </c>
      <c r="J831" s="104" t="n">
        <v>0.2099</v>
      </c>
      <c r="K831" s="104" t="n">
        <v>-0.0103</v>
      </c>
      <c r="L831" s="134" t="n">
        <v>549.45</v>
      </c>
      <c r="M831" s="134" t="n">
        <v>5833.38</v>
      </c>
      <c r="N831" s="104" t="n">
        <v>0.09420000000000001</v>
      </c>
      <c r="O831" s="134" t="n">
        <v>362</v>
      </c>
      <c r="P831" s="134" t="inlineStr">
        <is>
          <t>4 -0.06%</t>
        </is>
      </c>
      <c r="Q831" s="134" t="inlineStr">
        <is>
          <t>23 0.26%</t>
        </is>
      </c>
      <c r="R831" s="134" t="inlineStr">
        <is>
          <t>132 0.03%</t>
        </is>
      </c>
      <c r="S831" s="134" t="inlineStr">
        <is>
          <t>79 0.00%</t>
        </is>
      </c>
      <c r="T831" s="134" t="inlineStr">
        <is>
          <t>52 0.27%</t>
        </is>
      </c>
      <c r="U831" s="134" t="inlineStr">
        <is>
          <t>72 0.53%</t>
        </is>
      </c>
    </row>
    <row customHeight="1" ht="17" r="832" s="155">
      <c r="A832" s="105" t="n">
        <v>44349</v>
      </c>
      <c r="B832" s="134" t="n">
        <v>1628.679</v>
      </c>
      <c r="C832" s="150" t="n">
        <v>-5.245</v>
      </c>
      <c r="D832" s="151" t="n">
        <v>-0.0032</v>
      </c>
      <c r="E832" s="134" t="n">
        <v>127.465</v>
      </c>
      <c r="F832" s="134" t="n">
        <v>112.071</v>
      </c>
      <c r="G832" s="134" t="n">
        <v>92.42</v>
      </c>
      <c r="H832" s="134" t="n">
        <v>157.66</v>
      </c>
      <c r="I832" s="104" t="n">
        <v>0.3019</v>
      </c>
      <c r="J832" s="104" t="n">
        <v>0.2131</v>
      </c>
      <c r="K832" s="104" t="n">
        <v>-0.0097</v>
      </c>
      <c r="L832" s="134" t="n">
        <v>482.59</v>
      </c>
      <c r="M832" s="134" t="n">
        <v>5805.87</v>
      </c>
      <c r="N832" s="104" t="n">
        <v>0.08309999999999999</v>
      </c>
      <c r="O832" s="134" t="n">
        <v>362</v>
      </c>
      <c r="P832" s="134" t="inlineStr">
        <is>
          <t>4 -0.37%</t>
        </is>
      </c>
      <c r="Q832" s="134" t="inlineStr">
        <is>
          <t>25 -0.18%</t>
        </is>
      </c>
      <c r="R832" s="134" t="inlineStr">
        <is>
          <t>132 -0.07%</t>
        </is>
      </c>
      <c r="S832" s="134" t="inlineStr">
        <is>
          <t>78 -0.15%</t>
        </is>
      </c>
      <c r="T832" s="134" t="inlineStr">
        <is>
          <t>51 -0.20%</t>
        </is>
      </c>
      <c r="U832" s="134" t="inlineStr">
        <is>
          <t>72 -1.10%</t>
        </is>
      </c>
    </row>
    <row customHeight="1" ht="17" r="833" s="155">
      <c r="A833" s="105" t="n">
        <v>44350</v>
      </c>
      <c r="B833" s="134" t="n">
        <v>1630.015</v>
      </c>
      <c r="C833" s="152" t="n">
        <v>1.336</v>
      </c>
      <c r="D833" s="153" t="n">
        <v>0.0008</v>
      </c>
      <c r="E833" s="134" t="n">
        <v>127.318</v>
      </c>
      <c r="F833" s="134" t="n">
        <v>112.48</v>
      </c>
      <c r="G833" s="134" t="n">
        <v>93.88</v>
      </c>
      <c r="H833" s="134" t="n">
        <v>157.75</v>
      </c>
      <c r="I833" s="104" t="n">
        <v>0.3043</v>
      </c>
      <c r="J833" s="104" t="n">
        <v>0.2172</v>
      </c>
      <c r="K833" s="104" t="n">
        <v>-0.0098</v>
      </c>
      <c r="L833" s="134" t="n">
        <v>444.91</v>
      </c>
      <c r="M833" s="134" t="n">
        <v>5810</v>
      </c>
      <c r="N833" s="104" t="n">
        <v>0.0766</v>
      </c>
      <c r="O833" s="134" t="n">
        <v>363</v>
      </c>
      <c r="P833" s="134" t="inlineStr">
        <is>
          <t>4 -0.19%</t>
        </is>
      </c>
      <c r="Q833" s="134" t="inlineStr">
        <is>
          <t>22 0.01%</t>
        </is>
      </c>
      <c r="R833" s="134" t="inlineStr">
        <is>
          <t>134 0.09%</t>
        </is>
      </c>
      <c r="S833" s="134" t="inlineStr">
        <is>
          <t>78 0.34%</t>
        </is>
      </c>
      <c r="T833" s="134" t="inlineStr">
        <is>
          <t>56 0.38%</t>
        </is>
      </c>
      <c r="U833" s="134" t="inlineStr">
        <is>
          <t>69 -0.42%</t>
        </is>
      </c>
    </row>
    <row customHeight="1" ht="17" r="834" s="155">
      <c r="A834" s="105" t="n">
        <v>44351</v>
      </c>
      <c r="B834" s="134" t="n">
        <v>1630.586</v>
      </c>
      <c r="C834" s="152" t="n">
        <v>0.571</v>
      </c>
      <c r="D834" s="153" t="n">
        <v>0.0004</v>
      </c>
      <c r="E834" s="134" t="n">
        <v>127.27</v>
      </c>
      <c r="F834" s="134" t="n">
        <v>112.49</v>
      </c>
      <c r="G834" s="134" t="n">
        <v>93.69</v>
      </c>
      <c r="H834" s="134" t="n">
        <v>157.23</v>
      </c>
      <c r="I834" s="104" t="n">
        <v>0.2996</v>
      </c>
      <c r="J834" s="104" t="n">
        <v>0.2107</v>
      </c>
      <c r="K834" s="104" t="n">
        <v>-0.0098</v>
      </c>
      <c r="L834" s="134" t="n">
        <v>500.84</v>
      </c>
      <c r="M834" s="134" t="n">
        <v>5809.56</v>
      </c>
      <c r="N834" s="104" t="n">
        <v>0.0862</v>
      </c>
      <c r="O834" s="134" t="n">
        <v>363</v>
      </c>
      <c r="P834" s="134" t="inlineStr">
        <is>
          <t>3 -0.40%</t>
        </is>
      </c>
      <c r="Q834" s="134" t="inlineStr">
        <is>
          <t>24 0.18%</t>
        </is>
      </c>
      <c r="R834" s="134" t="inlineStr">
        <is>
          <t>134 0.02%</t>
        </is>
      </c>
      <c r="S834" s="134" t="inlineStr">
        <is>
          <t>77 -0.06%</t>
        </is>
      </c>
      <c r="T834" s="134" t="inlineStr">
        <is>
          <t>51 0.47%</t>
        </is>
      </c>
      <c r="U834" s="134" t="inlineStr">
        <is>
          <t>74 -0.17%</t>
        </is>
      </c>
    </row>
    <row customHeight="1" ht="17" r="835" s="155">
      <c r="A835" s="105" t="n">
        <v>44354</v>
      </c>
      <c r="B835" s="134" t="n">
        <v>1631.988</v>
      </c>
      <c r="C835" s="152" t="n">
        <v>1.402</v>
      </c>
      <c r="D835" s="153" t="n">
        <v>0.0009</v>
      </c>
      <c r="E835" s="134" t="n">
        <v>127.402</v>
      </c>
      <c r="F835" s="134" t="n">
        <v>112.13</v>
      </c>
      <c r="G835" s="134" t="n">
        <v>93.79000000000001</v>
      </c>
      <c r="H835" s="134" t="n">
        <v>156.55</v>
      </c>
      <c r="I835" s="104" t="n">
        <v>0.2915</v>
      </c>
      <c r="J835" s="104" t="n">
        <v>0.2032</v>
      </c>
      <c r="K835" s="104" t="n">
        <v>-0.0101</v>
      </c>
      <c r="L835" s="134" t="n">
        <v>414.57</v>
      </c>
      <c r="M835" s="134" t="n">
        <v>5806.93</v>
      </c>
      <c r="N835" s="104" t="n">
        <v>0.07140000000000001</v>
      </c>
      <c r="O835" s="134" t="n">
        <v>363</v>
      </c>
      <c r="P835" s="134" t="inlineStr">
        <is>
          <t>3 -0.69%</t>
        </is>
      </c>
      <c r="Q835" s="134" t="inlineStr">
        <is>
          <t>23 -0.08%</t>
        </is>
      </c>
      <c r="R835" s="134" t="inlineStr">
        <is>
          <t>135 0.03%</t>
        </is>
      </c>
      <c r="S835" s="134" t="inlineStr">
        <is>
          <t>74 -0.14%</t>
        </is>
      </c>
      <c r="T835" s="134" t="inlineStr">
        <is>
          <t>53 0.05%</t>
        </is>
      </c>
      <c r="U835" s="134" t="inlineStr">
        <is>
          <t>75 0.51%</t>
        </is>
      </c>
    </row>
    <row customHeight="1" ht="17" r="836" s="155">
      <c r="A836" s="105" t="n">
        <v>44355</v>
      </c>
      <c r="B836" s="134" t="n">
        <v>1629.507</v>
      </c>
      <c r="C836" s="150" t="n">
        <v>-2.481</v>
      </c>
      <c r="D836" s="151" t="n">
        <v>-0.0015</v>
      </c>
      <c r="E836" s="134" t="n">
        <v>126.99</v>
      </c>
      <c r="F836" s="134" t="n">
        <v>112.5</v>
      </c>
      <c r="G836" s="134" t="n">
        <v>93.28</v>
      </c>
      <c r="H836" s="134" t="n">
        <v>156.14</v>
      </c>
      <c r="I836" s="104" t="n">
        <v>0.2915</v>
      </c>
      <c r="J836" s="104" t="n">
        <v>0.1991</v>
      </c>
      <c r="K836" s="104" t="n">
        <v>-0.0097</v>
      </c>
      <c r="L836" s="134" t="n">
        <v>418.36</v>
      </c>
      <c r="M836" s="134" t="n">
        <v>5803.81</v>
      </c>
      <c r="N836" s="104" t="n">
        <v>0.0721</v>
      </c>
      <c r="O836" s="134" t="n">
        <v>363</v>
      </c>
      <c r="P836" s="134" t="inlineStr">
        <is>
          <t>3 0.26%</t>
        </is>
      </c>
      <c r="Q836" s="134" t="inlineStr">
        <is>
          <t>27 0.13%</t>
        </is>
      </c>
      <c r="R836" s="134" t="inlineStr">
        <is>
          <t>134 -0.15%</t>
        </is>
      </c>
      <c r="S836" s="134" t="inlineStr">
        <is>
          <t>76 -0.26%</t>
        </is>
      </c>
      <c r="T836" s="134" t="inlineStr">
        <is>
          <t>52 -0.06%</t>
        </is>
      </c>
      <c r="U836" s="134" t="inlineStr">
        <is>
          <t>71 -0.24%</t>
        </is>
      </c>
    </row>
    <row customHeight="1" ht="17" r="837" s="155">
      <c r="A837" s="105" t="n">
        <v>44356</v>
      </c>
      <c r="B837" s="134" t="n">
        <v>1629.263</v>
      </c>
      <c r="C837" s="150" t="n">
        <v>-0.244</v>
      </c>
      <c r="D837" s="151" t="n">
        <v>-0.0002</v>
      </c>
      <c r="E837" s="134" t="n">
        <v>126.849</v>
      </c>
      <c r="F837" s="134" t="n">
        <v>112.61</v>
      </c>
      <c r="G837" s="134" t="n">
        <v>94.18000000000001</v>
      </c>
      <c r="H837" s="134" t="n">
        <v>155.42</v>
      </c>
      <c r="I837" s="104" t="n">
        <v>0.2857</v>
      </c>
      <c r="J837" s="104" t="n">
        <v>0.1958</v>
      </c>
      <c r="K837" s="104" t="n">
        <v>-0.009599999999999999</v>
      </c>
      <c r="L837" s="134" t="n">
        <v>405.46</v>
      </c>
      <c r="M837" s="134" t="n">
        <v>5799.61</v>
      </c>
      <c r="N837" s="104" t="n">
        <v>0.0699</v>
      </c>
      <c r="O837" s="134" t="n">
        <v>363</v>
      </c>
      <c r="P837" s="134" t="inlineStr">
        <is>
          <t>3 0.53%</t>
        </is>
      </c>
      <c r="Q837" s="134" t="inlineStr">
        <is>
          <t>24 -0.06%</t>
        </is>
      </c>
      <c r="R837" s="134" t="inlineStr">
        <is>
          <t>137 0.13%</t>
        </is>
      </c>
      <c r="S837" s="134" t="inlineStr">
        <is>
          <t>76 0.17%</t>
        </is>
      </c>
      <c r="T837" s="134" t="inlineStr">
        <is>
          <t>50 -0.22%</t>
        </is>
      </c>
      <c r="U837" s="134" t="inlineStr">
        <is>
          <t>73 -0.34%</t>
        </is>
      </c>
    </row>
    <row customHeight="1" ht="17" r="838" s="155">
      <c r="A838" s="105" t="n">
        <v>44357</v>
      </c>
      <c r="B838" s="134" t="n">
        <v>1637.198</v>
      </c>
      <c r="C838" s="152" t="n">
        <v>7.935</v>
      </c>
      <c r="D838" s="153" t="n">
        <v>0.0049</v>
      </c>
      <c r="E838" s="134" t="n">
        <v>127.403</v>
      </c>
      <c r="F838" s="134" t="n">
        <v>112.771</v>
      </c>
      <c r="G838" s="134" t="n">
        <v>93.73</v>
      </c>
      <c r="H838" s="134" t="n">
        <v>155.73</v>
      </c>
      <c r="I838" s="104" t="n">
        <v>0.2833</v>
      </c>
      <c r="J838" s="104" t="n">
        <v>0.1984</v>
      </c>
      <c r="K838" s="104" t="n">
        <v>-0.0105</v>
      </c>
      <c r="L838" s="134" t="n">
        <v>419.29</v>
      </c>
      <c r="M838" s="134" t="n">
        <v>5821.88</v>
      </c>
      <c r="N838" s="104" t="n">
        <v>0.07199999999999999</v>
      </c>
      <c r="O838" s="134" t="n">
        <v>364</v>
      </c>
      <c r="P838" s="134" t="inlineStr">
        <is>
          <t>3 -0.52%</t>
        </is>
      </c>
      <c r="Q838" s="134" t="inlineStr">
        <is>
          <t>21 0.10%</t>
        </is>
      </c>
      <c r="R838" s="134" t="inlineStr">
        <is>
          <t>138 0.19%</t>
        </is>
      </c>
      <c r="S838" s="134" t="inlineStr">
        <is>
          <t>77 0.19%</t>
        </is>
      </c>
      <c r="T838" s="134" t="inlineStr">
        <is>
          <t>51 0.38%</t>
        </is>
      </c>
      <c r="U838" s="134" t="inlineStr">
        <is>
          <t>74 1.58%</t>
        </is>
      </c>
    </row>
    <row customHeight="1" ht="17" r="839" s="155">
      <c r="A839" s="105" t="n">
        <v>44358</v>
      </c>
      <c r="B839" s="134" t="n">
        <v>1636.199</v>
      </c>
      <c r="C839" s="150" t="n">
        <v>-0.999</v>
      </c>
      <c r="D839" s="151" t="n">
        <v>-0.0005999999999999999</v>
      </c>
      <c r="E839" s="134" t="n">
        <v>127.397</v>
      </c>
      <c r="F839" s="134" t="n">
        <v>113.032</v>
      </c>
      <c r="G839" s="134" t="n">
        <v>93.3</v>
      </c>
      <c r="H839" s="134" t="n">
        <v>156.59</v>
      </c>
      <c r="I839" s="104" t="n">
        <v>0.292</v>
      </c>
      <c r="J839" s="104" t="n">
        <v>0.2073</v>
      </c>
      <c r="K839" s="104" t="n">
        <v>-0.0094</v>
      </c>
      <c r="L839" s="134" t="n">
        <v>562.15</v>
      </c>
      <c r="M839" s="134" t="n">
        <v>5815.4</v>
      </c>
      <c r="N839" s="104" t="n">
        <v>0.09669999999999999</v>
      </c>
      <c r="O839" s="134" t="n">
        <v>364</v>
      </c>
      <c r="P839" s="134" t="inlineStr">
        <is>
          <t>3 -0.21%</t>
        </is>
      </c>
      <c r="Q839" s="134" t="inlineStr">
        <is>
          <t>20 0.05%</t>
        </is>
      </c>
      <c r="R839" s="134" t="inlineStr">
        <is>
          <t>145 -0.02%</t>
        </is>
      </c>
      <c r="S839" s="134" t="inlineStr">
        <is>
          <t>72 -0.32%</t>
        </is>
      </c>
      <c r="T839" s="134" t="inlineStr">
        <is>
          <t>53 -0.20%</t>
        </is>
      </c>
      <c r="U839" s="134" t="inlineStr">
        <is>
          <t>71 0.20%</t>
        </is>
      </c>
    </row>
    <row customHeight="1" ht="17" r="840" s="155">
      <c r="A840" s="105" t="n">
        <v>44362</v>
      </c>
      <c r="B840" s="134" t="n">
        <v>1624.369</v>
      </c>
      <c r="C840" s="150" t="n">
        <v>-11.83</v>
      </c>
      <c r="D840" s="151" t="n">
        <v>-0.0072</v>
      </c>
      <c r="E840" s="134" t="n">
        <v>126.455</v>
      </c>
      <c r="F840" s="134" t="n">
        <v>111.902</v>
      </c>
      <c r="G840" s="134" t="n">
        <v>94.06</v>
      </c>
      <c r="H840" s="134" t="n">
        <v>155.94</v>
      </c>
      <c r="I840" s="104" t="n">
        <v>0.2948</v>
      </c>
      <c r="J840" s="104" t="n">
        <v>0.1965</v>
      </c>
      <c r="K840" s="104" t="n">
        <v>-0.007900000000000001</v>
      </c>
      <c r="L840" s="134" t="n">
        <v>476.19</v>
      </c>
      <c r="M840" s="134" t="n">
        <v>5815.92</v>
      </c>
      <c r="N840" s="104" t="n">
        <v>0.0819</v>
      </c>
      <c r="O840" s="134" t="n">
        <v>364</v>
      </c>
      <c r="P840" s="134" t="inlineStr">
        <is>
          <t>3 -0.53%</t>
        </is>
      </c>
      <c r="Q840" s="134" t="inlineStr">
        <is>
          <t>25 -0.49%</t>
        </is>
      </c>
      <c r="R840" s="134" t="inlineStr">
        <is>
          <t>145 -0.68%</t>
        </is>
      </c>
      <c r="S840" s="134" t="inlineStr">
        <is>
          <t>74 -0.90%</t>
        </is>
      </c>
      <c r="T840" s="134" t="inlineStr">
        <is>
          <t>45 -0.73%</t>
        </is>
      </c>
      <c r="U840" s="134" t="inlineStr">
        <is>
          <t>72 -0.70%</t>
        </is>
      </c>
    </row>
    <row customHeight="1" ht="17" r="841" s="155">
      <c r="A841" s="105" t="n">
        <v>44363</v>
      </c>
      <c r="B841" s="134" t="n">
        <v>1605.721</v>
      </c>
      <c r="C841" s="150" t="n">
        <v>-18.648</v>
      </c>
      <c r="D841" s="151" t="n">
        <v>-0.0115</v>
      </c>
      <c r="E841" s="134" t="n">
        <v>124.35</v>
      </c>
      <c r="F841" s="134" t="n">
        <v>111.6</v>
      </c>
      <c r="G841" s="134" t="n">
        <v>92.77</v>
      </c>
      <c r="H841" s="134" t="n">
        <v>154.14</v>
      </c>
      <c r="I841" s="104" t="n">
        <v>0.2979</v>
      </c>
      <c r="J841" s="104" t="n">
        <v>0.202</v>
      </c>
      <c r="K841" s="104" t="n">
        <v>-0.0058</v>
      </c>
      <c r="L841" s="134" t="n">
        <v>498.86</v>
      </c>
      <c r="M841" s="134" t="n">
        <v>5802.25</v>
      </c>
      <c r="N841" s="104" t="n">
        <v>0.08599999999999999</v>
      </c>
      <c r="O841" s="134" t="n">
        <v>363</v>
      </c>
      <c r="P841" s="134" t="inlineStr">
        <is>
          <t>5 -1.19%</t>
        </is>
      </c>
      <c r="Q841" s="134" t="inlineStr">
        <is>
          <t>32 -0.82%</t>
        </is>
      </c>
      <c r="R841" s="134" t="inlineStr">
        <is>
          <t>140 -0.80%</t>
        </is>
      </c>
      <c r="S841" s="134" t="inlineStr">
        <is>
          <t>83 -0.96%</t>
        </is>
      </c>
      <c r="T841" s="134" t="inlineStr">
        <is>
          <t>36 -0.76%</t>
        </is>
      </c>
      <c r="U841" s="134" t="inlineStr">
        <is>
          <t>67 -2.47%</t>
        </is>
      </c>
    </row>
    <row customHeight="1" ht="17" r="842" s="155">
      <c r="A842" s="105" t="n">
        <v>44364</v>
      </c>
      <c r="B842" s="134" t="n">
        <v>1604.436</v>
      </c>
      <c r="C842" s="150" t="n">
        <v>-1.285</v>
      </c>
      <c r="D842" s="151" t="n">
        <v>-0.0008</v>
      </c>
      <c r="E842" s="134" t="n">
        <v>124.278</v>
      </c>
      <c r="F842" s="134" t="n">
        <v>110.79</v>
      </c>
      <c r="G842" s="134" t="n">
        <v>93.29000000000001</v>
      </c>
      <c r="H842" s="134" t="n">
        <v>153.31</v>
      </c>
      <c r="I842" s="104" t="n">
        <v>0.2903</v>
      </c>
      <c r="J842" s="104" t="n">
        <v>0.1974</v>
      </c>
      <c r="K842" s="104" t="n">
        <v>-0.0055</v>
      </c>
      <c r="L842" s="134" t="n">
        <v>506.49</v>
      </c>
      <c r="M842" s="134" t="n">
        <v>5795</v>
      </c>
      <c r="N842" s="104" t="n">
        <v>0.08740000000000001</v>
      </c>
      <c r="O842" s="134" t="n">
        <v>363</v>
      </c>
      <c r="P842" s="134" t="inlineStr">
        <is>
          <t>5 -0.26%</t>
        </is>
      </c>
      <c r="Q842" s="134" t="inlineStr">
        <is>
          <t>31 -0.05%</t>
        </is>
      </c>
      <c r="R842" s="134" t="inlineStr">
        <is>
          <t>142 -0.25%</t>
        </is>
      </c>
      <c r="S842" s="134" t="inlineStr">
        <is>
          <t>81 -0.19%</t>
        </is>
      </c>
      <c r="T842" s="134" t="inlineStr">
        <is>
          <t>35 0.11%</t>
        </is>
      </c>
      <c r="U842" s="134" t="inlineStr">
        <is>
          <t>69 0.29%</t>
        </is>
      </c>
    </row>
    <row customHeight="1" ht="17" r="843" s="155">
      <c r="A843" s="105" t="n">
        <v>44365</v>
      </c>
      <c r="B843" s="134" t="n">
        <v>1611.496</v>
      </c>
      <c r="C843" s="152" t="n">
        <v>7.06</v>
      </c>
      <c r="D843" s="153" t="n">
        <v>0.0044</v>
      </c>
      <c r="E843" s="134" t="n">
        <v>124.962</v>
      </c>
      <c r="F843" s="134" t="n">
        <v>110.775</v>
      </c>
      <c r="G843" s="134" t="n">
        <v>93.61</v>
      </c>
      <c r="H843" s="134" t="n">
        <v>153.28</v>
      </c>
      <c r="I843" s="104" t="n">
        <v>0.2832</v>
      </c>
      <c r="J843" s="104" t="n">
        <v>0.1913</v>
      </c>
      <c r="K843" s="104" t="n">
        <v>-0.005</v>
      </c>
      <c r="L843" s="134" t="n">
        <v>510.51</v>
      </c>
      <c r="M843" s="134" t="n">
        <v>5797.85</v>
      </c>
      <c r="N843" s="104" t="n">
        <v>0.0881</v>
      </c>
      <c r="O843" s="134" t="n">
        <v>364</v>
      </c>
      <c r="P843" s="134" t="inlineStr">
        <is>
          <t>5 0.07%</t>
        </is>
      </c>
      <c r="Q843" s="134" t="inlineStr">
        <is>
          <t>29 -0.01%</t>
        </is>
      </c>
      <c r="R843" s="134" t="inlineStr">
        <is>
          <t>144 0.26%</t>
        </is>
      </c>
      <c r="S843" s="134" t="inlineStr">
        <is>
          <t>79 0.36%</t>
        </is>
      </c>
      <c r="T843" s="134" t="inlineStr">
        <is>
          <t>38 0.65%</t>
        </is>
      </c>
      <c r="U843" s="134" t="inlineStr">
        <is>
          <t>69 1.00%</t>
        </is>
      </c>
    </row>
    <row customHeight="1" ht="17" r="844" s="155">
      <c r="A844" s="105" t="n">
        <v>44368</v>
      </c>
      <c r="B844" s="134" t="n">
        <v>1624.614</v>
      </c>
      <c r="C844" s="152" t="n">
        <v>13.118</v>
      </c>
      <c r="D844" s="153" t="n">
        <v>0.0081</v>
      </c>
      <c r="E844" s="134" t="n">
        <v>126.087</v>
      </c>
      <c r="F844" s="134" t="n">
        <v>111.38</v>
      </c>
      <c r="G844" s="134" t="n">
        <v>94.89</v>
      </c>
      <c r="H844" s="134" t="n">
        <v>154.06</v>
      </c>
      <c r="I844" s="104" t="n">
        <v>0.2798</v>
      </c>
      <c r="J844" s="104" t="n">
        <v>0.1857</v>
      </c>
      <c r="K844" s="104" t="n">
        <v>-0.0069</v>
      </c>
      <c r="L844" s="134" t="n">
        <v>526.9299999999999</v>
      </c>
      <c r="M844" s="134" t="n">
        <v>5796.36</v>
      </c>
      <c r="N844" s="104" t="n">
        <v>0.09089999999999999</v>
      </c>
      <c r="O844" s="134" t="n">
        <v>365</v>
      </c>
      <c r="P844" s="134" t="inlineStr">
        <is>
          <t>4 0.25%</t>
        </is>
      </c>
      <c r="Q844" s="134" t="inlineStr">
        <is>
          <t>25 0.27%</t>
        </is>
      </c>
      <c r="R844" s="134" t="inlineStr">
        <is>
          <t>146 0.38%</t>
        </is>
      </c>
      <c r="S844" s="134" t="inlineStr">
        <is>
          <t>75 0.55%</t>
        </is>
      </c>
      <c r="T844" s="134" t="inlineStr">
        <is>
          <t>41 0.87%</t>
        </is>
      </c>
      <c r="U844" s="134" t="inlineStr">
        <is>
          <t>74 2.11%</t>
        </is>
      </c>
    </row>
    <row customHeight="1" ht="17" r="845" s="155">
      <c r="A845" s="105" t="n">
        <v>44369</v>
      </c>
      <c r="B845" s="134" t="n">
        <v>1636.587</v>
      </c>
      <c r="C845" s="152" t="n">
        <v>11.973</v>
      </c>
      <c r="D845" s="153" t="n">
        <v>0.0074</v>
      </c>
      <c r="E845" s="134" t="n">
        <v>126.935</v>
      </c>
      <c r="F845" s="134" t="n">
        <v>112.81</v>
      </c>
      <c r="G845" s="134" t="n">
        <v>94.89</v>
      </c>
      <c r="H845" s="134" t="n">
        <v>154.75</v>
      </c>
      <c r="I845" s="104" t="n">
        <v>0.2782</v>
      </c>
      <c r="J845" s="104" t="n">
        <v>0.1864</v>
      </c>
      <c r="K845" s="104" t="n">
        <v>-0.008699999999999999</v>
      </c>
      <c r="L845" s="134" t="n">
        <v>573.4</v>
      </c>
      <c r="M845" s="134" t="n">
        <v>5687.97</v>
      </c>
      <c r="N845" s="104" t="n">
        <v>0.1008</v>
      </c>
      <c r="O845" s="134" t="n">
        <v>365</v>
      </c>
      <c r="P845" s="134" t="inlineStr">
        <is>
          <t>3 0.58%</t>
        </is>
      </c>
      <c r="Q845" s="134" t="inlineStr">
        <is>
          <t>20 0.63%</t>
        </is>
      </c>
      <c r="R845" s="134" t="inlineStr">
        <is>
          <t>143 0.56%</t>
        </is>
      </c>
      <c r="S845" s="134" t="inlineStr">
        <is>
          <t>78 0.90%</t>
        </is>
      </c>
      <c r="T845" s="134" t="inlineStr">
        <is>
          <t>46 0.47%</t>
        </is>
      </c>
      <c r="U845" s="134" t="inlineStr">
        <is>
          <t>75 1.12%</t>
        </is>
      </c>
    </row>
    <row customHeight="1" ht="17" r="846" s="155">
      <c r="A846" s="105" t="n">
        <v>44370</v>
      </c>
      <c r="B846" s="134" t="n">
        <v>1648.027</v>
      </c>
      <c r="C846" s="152" t="n">
        <v>11.44</v>
      </c>
      <c r="D846" s="153" t="n">
        <v>0.007</v>
      </c>
      <c r="E846" s="134" t="n">
        <v>128.369</v>
      </c>
      <c r="F846" s="134" t="n">
        <v>113.078</v>
      </c>
      <c r="G846" s="134" t="n">
        <v>95.79000000000001</v>
      </c>
      <c r="H846" s="134" t="n">
        <v>156.01</v>
      </c>
      <c r="I846" s="104" t="n">
        <v>0.2765</v>
      </c>
      <c r="J846" s="104" t="n">
        <v>0.1819</v>
      </c>
      <c r="K846" s="104" t="n">
        <v>-0.0106</v>
      </c>
      <c r="L846" s="134" t="n">
        <v>607.23</v>
      </c>
      <c r="M846" s="134" t="n">
        <v>5686.03</v>
      </c>
      <c r="N846" s="104" t="n">
        <v>0.1068</v>
      </c>
      <c r="O846" s="134" t="n">
        <v>366</v>
      </c>
      <c r="P846" s="134" t="inlineStr">
        <is>
          <t>3 0.34%</t>
        </is>
      </c>
      <c r="Q846" s="134" t="inlineStr">
        <is>
          <t>17 0.31%</t>
        </is>
      </c>
      <c r="R846" s="134" t="inlineStr">
        <is>
          <t>141 0.42%</t>
        </is>
      </c>
      <c r="S846" s="134" t="inlineStr">
        <is>
          <t>83 0.32%</t>
        </is>
      </c>
      <c r="T846" s="134" t="inlineStr">
        <is>
          <t>44 0.51%</t>
        </is>
      </c>
      <c r="U846" s="134" t="inlineStr">
        <is>
          <t>78 1.81%</t>
        </is>
      </c>
    </row>
    <row customHeight="1" ht="17" r="847" s="155">
      <c r="A847" s="105" t="n">
        <v>44371</v>
      </c>
      <c r="B847" s="134" t="n">
        <v>1650.647</v>
      </c>
      <c r="C847" s="152" t="n">
        <v>2.62</v>
      </c>
      <c r="D847" s="153" t="n">
        <v>0.0016</v>
      </c>
      <c r="E847" s="134" t="n">
        <v>128.559</v>
      </c>
      <c r="F847" s="134" t="n">
        <v>112.771</v>
      </c>
      <c r="G847" s="134" t="n">
        <v>95.73</v>
      </c>
      <c r="H847" s="134" t="n">
        <v>156.47</v>
      </c>
      <c r="I847" s="104" t="n">
        <v>0.2791</v>
      </c>
      <c r="J847" s="104" t="n">
        <v>0.1861</v>
      </c>
      <c r="K847" s="104" t="n">
        <v>-0.0113</v>
      </c>
      <c r="L847" s="134" t="n">
        <v>578.9400000000001</v>
      </c>
      <c r="M847" s="134" t="n">
        <v>5673.29</v>
      </c>
      <c r="N847" s="104" t="n">
        <v>0.102</v>
      </c>
      <c r="O847" s="134" t="n">
        <v>366</v>
      </c>
      <c r="P847" s="134" t="inlineStr">
        <is>
          <t>3 0.33%</t>
        </is>
      </c>
      <c r="Q847" s="134" t="inlineStr">
        <is>
          <t>14 0.28%</t>
        </is>
      </c>
      <c r="R847" s="134" t="inlineStr">
        <is>
          <t>138 0.25%</t>
        </is>
      </c>
      <c r="S847" s="134" t="inlineStr">
        <is>
          <t>88 0.12%</t>
        </is>
      </c>
      <c r="T847" s="134" t="inlineStr">
        <is>
          <t>44 0.21%</t>
        </is>
      </c>
      <c r="U847" s="134" t="inlineStr">
        <is>
          <t>79 -0.01%</t>
        </is>
      </c>
    </row>
    <row customHeight="1" ht="17" r="848" s="155">
      <c r="A848" s="105" t="n">
        <v>44372</v>
      </c>
      <c r="B848" s="134" t="n">
        <v>1654.757</v>
      </c>
      <c r="C848" s="152" t="n">
        <v>4.11</v>
      </c>
      <c r="D848" s="153" t="n">
        <v>0.0025</v>
      </c>
      <c r="E848" s="134" t="n">
        <v>128.859</v>
      </c>
      <c r="F848" s="134" t="n">
        <v>112.825</v>
      </c>
      <c r="G848" s="134" t="n">
        <v>95.52</v>
      </c>
      <c r="H848" s="134" t="n">
        <v>156.98</v>
      </c>
      <c r="I848" s="104" t="n">
        <v>0.2812</v>
      </c>
      <c r="J848" s="104" t="n">
        <v>0.1822</v>
      </c>
      <c r="K848" s="104" t="n">
        <v>-0.0118</v>
      </c>
      <c r="L848" s="134" t="n">
        <v>534.75</v>
      </c>
      <c r="M848" s="134" t="n">
        <v>5660.52</v>
      </c>
      <c r="N848" s="104" t="n">
        <v>0.0945</v>
      </c>
      <c r="O848" s="134" t="n">
        <v>366</v>
      </c>
      <c r="P848" s="134" t="inlineStr">
        <is>
          <t>3 0.47%</t>
        </is>
      </c>
      <c r="Q848" s="134" t="inlineStr">
        <is>
          <t>13 0.50%</t>
        </is>
      </c>
      <c r="R848" s="134" t="inlineStr">
        <is>
          <t>139 0.13%</t>
        </is>
      </c>
      <c r="S848" s="134" t="inlineStr">
        <is>
          <t>86 0.09%</t>
        </is>
      </c>
      <c r="T848" s="134" t="inlineStr">
        <is>
          <t>42 0.46%</t>
        </is>
      </c>
      <c r="U848" s="134" t="inlineStr">
        <is>
          <t>83 0.46%</t>
        </is>
      </c>
    </row>
    <row customHeight="1" ht="17" r="849" s="155">
      <c r="A849" s="105" t="n">
        <v>44375</v>
      </c>
      <c r="B849" s="134" t="n">
        <v>1663.312</v>
      </c>
      <c r="C849" s="152" t="n">
        <v>8.555</v>
      </c>
      <c r="D849" s="153" t="n">
        <v>0.0052</v>
      </c>
      <c r="E849" s="134" t="n">
        <v>129.8</v>
      </c>
      <c r="F849" s="134" t="n">
        <v>112.795</v>
      </c>
      <c r="G849" s="134" t="n">
        <v>95.8</v>
      </c>
      <c r="H849" s="134" t="n">
        <v>157.31</v>
      </c>
      <c r="I849" s="104" t="n">
        <v>0.2751</v>
      </c>
      <c r="J849" s="104" t="n">
        <v>0.1767</v>
      </c>
      <c r="K849" s="104" t="n">
        <v>-0.0127</v>
      </c>
      <c r="L849" s="134" t="n">
        <v>491.8</v>
      </c>
      <c r="M849" s="134" t="n">
        <v>5647.12</v>
      </c>
      <c r="N849" s="104" t="n">
        <v>0.0871</v>
      </c>
      <c r="O849" s="134" t="n">
        <v>364</v>
      </c>
      <c r="P849" s="134" t="inlineStr">
        <is>
          <t>3 -0.47%</t>
        </is>
      </c>
      <c r="Q849" s="134" t="inlineStr">
        <is>
          <t>15 0.03%</t>
        </is>
      </c>
      <c r="R849" s="134" t="inlineStr">
        <is>
          <t>138 0.12%</t>
        </is>
      </c>
      <c r="S849" s="134" t="inlineStr">
        <is>
          <t>83 0.20%</t>
        </is>
      </c>
      <c r="T849" s="134" t="inlineStr">
        <is>
          <t>41 0.36%</t>
        </is>
      </c>
      <c r="U849" s="134" t="inlineStr">
        <is>
          <t>84 1.69%</t>
        </is>
      </c>
    </row>
    <row customHeight="1" ht="17" r="850" s="155">
      <c r="A850" s="105" t="n">
        <v>44376</v>
      </c>
      <c r="B850" s="134" t="n">
        <v>1655.777</v>
      </c>
      <c r="C850" s="150" t="n">
        <v>-7.535</v>
      </c>
      <c r="D850" s="151" t="n">
        <v>-0.0045</v>
      </c>
      <c r="E850" s="134" t="n">
        <v>125.725</v>
      </c>
      <c r="F850" s="134" t="n">
        <v>112.1</v>
      </c>
      <c r="G850" s="134" t="n">
        <v>94.78</v>
      </c>
      <c r="H850" s="134" t="n">
        <v>153.65</v>
      </c>
      <c r="I850" s="104" t="n">
        <v>0.2793</v>
      </c>
      <c r="J850" s="104" t="n">
        <v>0.1849</v>
      </c>
      <c r="K850" s="104" t="n">
        <v>-0.0115</v>
      </c>
      <c r="L850" s="134" t="n">
        <v>483.54</v>
      </c>
      <c r="M850" s="134" t="n">
        <v>5646.84</v>
      </c>
      <c r="N850" s="104" t="n">
        <v>0.0856</v>
      </c>
      <c r="O850" s="134" t="n">
        <v>364</v>
      </c>
      <c r="P850" s="134" t="inlineStr">
        <is>
          <t>3 -0.62%</t>
        </is>
      </c>
      <c r="Q850" s="134" t="inlineStr">
        <is>
          <t>16 -0.90%</t>
        </is>
      </c>
      <c r="R850" s="134" t="inlineStr">
        <is>
          <t>140 -0.61%</t>
        </is>
      </c>
      <c r="S850" s="134" t="inlineStr">
        <is>
          <t>81 -0.66%</t>
        </is>
      </c>
      <c r="T850" s="134" t="inlineStr">
        <is>
          <t>41 -0.07%</t>
        </is>
      </c>
      <c r="U850" s="134" t="inlineStr">
        <is>
          <t>83 -0.08%</t>
        </is>
      </c>
    </row>
    <row customHeight="1" ht="17" r="851" s="155">
      <c r="A851" s="105" t="n">
        <v>44377</v>
      </c>
      <c r="B851" s="134" t="n">
        <v>1657.731</v>
      </c>
      <c r="C851" s="152" t="n">
        <v>1.954</v>
      </c>
      <c r="D851" s="153" t="n">
        <v>0.0012</v>
      </c>
      <c r="E851" s="134" t="n">
        <v>125.98</v>
      </c>
      <c r="F851" s="134" t="n">
        <v>112.41</v>
      </c>
      <c r="G851" s="134" t="n">
        <v>95.91</v>
      </c>
      <c r="H851" s="134" t="n">
        <v>153.13</v>
      </c>
      <c r="I851" s="104" t="n">
        <v>0.2715</v>
      </c>
      <c r="J851" s="104" t="n">
        <v>0.1736</v>
      </c>
      <c r="K851" s="104" t="n">
        <v>-0.0116</v>
      </c>
      <c r="L851" s="134" t="n">
        <v>496.19</v>
      </c>
      <c r="M851" s="134" t="n">
        <v>5653.49</v>
      </c>
      <c r="N851" s="104" t="n">
        <v>0.0878</v>
      </c>
      <c r="O851" s="134" t="n">
        <v>365</v>
      </c>
      <c r="P851" s="134" t="inlineStr">
        <is>
          <t>3 -0.31%</t>
        </is>
      </c>
      <c r="Q851" s="134" t="inlineStr">
        <is>
          <t>15 -0.07%</t>
        </is>
      </c>
      <c r="R851" s="134" t="inlineStr">
        <is>
          <t>138 -0.08%</t>
        </is>
      </c>
      <c r="S851" s="134" t="inlineStr">
        <is>
          <t>89 0.06%</t>
        </is>
      </c>
      <c r="T851" s="134" t="inlineStr">
        <is>
          <t>35 -0.13%</t>
        </is>
      </c>
      <c r="U851" s="134" t="inlineStr">
        <is>
          <t>85 0.64%</t>
        </is>
      </c>
    </row>
    <row customHeight="1" ht="17" r="852" s="155">
      <c r="A852" s="105" t="n">
        <v>44378</v>
      </c>
      <c r="B852" s="134" t="n">
        <v>1650.686</v>
      </c>
      <c r="C852" s="150" t="n">
        <v>-7.045</v>
      </c>
      <c r="D852" s="151" t="n">
        <v>-0.0043</v>
      </c>
      <c r="E852" s="134" t="n">
        <v>125.449</v>
      </c>
      <c r="F852" s="134" t="n">
        <v>112.419</v>
      </c>
      <c r="G852" s="134" t="n">
        <v>94.55</v>
      </c>
      <c r="H852" s="134" t="n">
        <v>153.88</v>
      </c>
      <c r="I852" s="104" t="n">
        <v>0.2843</v>
      </c>
      <c r="J852" s="104" t="n">
        <v>0.1907</v>
      </c>
      <c r="K852" s="104" t="n">
        <v>-0.0106</v>
      </c>
      <c r="L852" s="134" t="n">
        <v>505.54</v>
      </c>
      <c r="M852" s="134" t="n">
        <v>5679.22</v>
      </c>
      <c r="N852" s="104" t="n">
        <v>0.089</v>
      </c>
      <c r="O852" s="134" t="n">
        <v>366</v>
      </c>
      <c r="P852" s="134" t="inlineStr">
        <is>
          <t>3 -0.52%</t>
        </is>
      </c>
      <c r="Q852" s="134" t="inlineStr">
        <is>
          <t>19 -0.22%</t>
        </is>
      </c>
      <c r="R852" s="134" t="inlineStr">
        <is>
          <t>146 -0.43%</t>
        </is>
      </c>
      <c r="S852" s="134" t="inlineStr">
        <is>
          <t>79 -0.48%</t>
        </is>
      </c>
      <c r="T852" s="134" t="inlineStr">
        <is>
          <t>35 -0.45%</t>
        </is>
      </c>
      <c r="U852" s="134" t="inlineStr">
        <is>
          <t>84 -0.40%</t>
        </is>
      </c>
    </row>
    <row customHeight="1" ht="17" r="853" s="155">
      <c r="A853" s="105" t="n">
        <v>44379</v>
      </c>
      <c r="B853" s="134" t="n">
        <v>1644.876</v>
      </c>
      <c r="C853" s="150" t="n">
        <v>-5.81</v>
      </c>
      <c r="D853" s="151" t="n">
        <v>-0.0035</v>
      </c>
      <c r="E853" s="134" t="n">
        <v>124.877</v>
      </c>
      <c r="F853" s="134" t="n">
        <v>112.026</v>
      </c>
      <c r="G853" s="134" t="n">
        <v>93.93000000000001</v>
      </c>
      <c r="H853" s="134" t="n">
        <v>153.48</v>
      </c>
      <c r="I853" s="104" t="n">
        <v>0.286</v>
      </c>
      <c r="J853" s="104" t="n">
        <v>0.1886</v>
      </c>
      <c r="K853" s="104" t="n">
        <v>-0.009599999999999999</v>
      </c>
      <c r="L853" s="134" t="n">
        <v>567.62</v>
      </c>
      <c r="M853" s="134" t="n">
        <v>5881.97</v>
      </c>
      <c r="N853" s="104" t="n">
        <v>0.0965</v>
      </c>
      <c r="O853" s="134" t="n">
        <v>368</v>
      </c>
      <c r="P853" s="134" t="inlineStr">
        <is>
          <t>3 -0.44%</t>
        </is>
      </c>
      <c r="Q853" s="134" t="inlineStr">
        <is>
          <t>20 -0.46%</t>
        </is>
      </c>
      <c r="R853" s="134" t="inlineStr">
        <is>
          <t>148 -0.35%</t>
        </is>
      </c>
      <c r="S853" s="134" t="inlineStr">
        <is>
          <t>83 -0.50%</t>
        </is>
      </c>
      <c r="T853" s="134" t="inlineStr">
        <is>
          <t>32 -0.55%</t>
        </is>
      </c>
      <c r="U853" s="134" t="inlineStr">
        <is>
          <t>82 -0.10%</t>
        </is>
      </c>
    </row>
    <row customHeight="1" ht="17" r="854" s="155">
      <c r="A854" s="105" t="n">
        <v>44382</v>
      </c>
      <c r="B854" s="134" t="n">
        <v>1654.992</v>
      </c>
      <c r="C854" s="152" t="n">
        <v>10.116</v>
      </c>
      <c r="D854" s="153" t="n">
        <v>0.0062</v>
      </c>
      <c r="E854" s="134" t="n">
        <v>125.781</v>
      </c>
      <c r="F854" s="134" t="n">
        <v>111.976</v>
      </c>
      <c r="G854" s="134" t="n">
        <v>95.04000000000001</v>
      </c>
      <c r="H854" s="134" t="n">
        <v>153.51</v>
      </c>
      <c r="I854" s="104" t="n">
        <v>0.2773</v>
      </c>
      <c r="J854" s="104" t="n">
        <v>0.1863</v>
      </c>
      <c r="K854" s="104" t="n">
        <v>-0.011</v>
      </c>
      <c r="L854" s="134" t="n">
        <v>573.0599999999999</v>
      </c>
      <c r="M854" s="134" t="n">
        <v>5877.94</v>
      </c>
      <c r="N854" s="104" t="n">
        <v>0.0975</v>
      </c>
      <c r="O854" s="134" t="n">
        <v>368</v>
      </c>
      <c r="P854" s="134" t="inlineStr">
        <is>
          <t>4 -0.79%</t>
        </is>
      </c>
      <c r="Q854" s="134" t="inlineStr">
        <is>
          <t>17 0.09%</t>
        </is>
      </c>
      <c r="R854" s="134" t="inlineStr">
        <is>
          <t>142 0.28%</t>
        </is>
      </c>
      <c r="S854" s="134" t="inlineStr">
        <is>
          <t>88 0.39%</t>
        </is>
      </c>
      <c r="T854" s="134" t="inlineStr">
        <is>
          <t>35 0.95%</t>
        </is>
      </c>
      <c r="U854" s="134" t="inlineStr">
        <is>
          <t>82 1.48%</t>
        </is>
      </c>
    </row>
    <row customHeight="1" ht="17" r="855" s="155">
      <c r="A855" s="105" t="n">
        <v>44383</v>
      </c>
      <c r="B855" s="134" t="n">
        <v>1656.117</v>
      </c>
      <c r="C855" s="152" t="n">
        <v>1.125</v>
      </c>
      <c r="D855" s="153" t="n">
        <v>0.0007</v>
      </c>
      <c r="E855" s="134" t="n">
        <v>125.752</v>
      </c>
      <c r="F855" s="134" t="n">
        <v>112.3</v>
      </c>
      <c r="G855" s="134" t="n">
        <v>94.89</v>
      </c>
      <c r="H855" s="134" t="n">
        <v>153.36</v>
      </c>
      <c r="I855" s="104" t="n">
        <v>0.2761</v>
      </c>
      <c r="J855" s="104" t="n">
        <v>0.1874</v>
      </c>
      <c r="K855" s="104" t="n">
        <v>-0.0111</v>
      </c>
      <c r="L855" s="134" t="n">
        <v>598.0700000000001</v>
      </c>
      <c r="M855" s="134" t="n">
        <v>5873.36</v>
      </c>
      <c r="N855" s="104" t="n">
        <v>0.1018</v>
      </c>
      <c r="O855" s="134" t="n">
        <v>367</v>
      </c>
      <c r="P855" s="134" t="inlineStr">
        <is>
          <t>4 -0.08%</t>
        </is>
      </c>
      <c r="Q855" s="134" t="inlineStr">
        <is>
          <t>17 -0.02%</t>
        </is>
      </c>
      <c r="R855" s="134" t="inlineStr">
        <is>
          <t>144 0.03%</t>
        </is>
      </c>
      <c r="S855" s="134" t="inlineStr">
        <is>
          <t>85 0.08%</t>
        </is>
      </c>
      <c r="T855" s="134" t="inlineStr">
        <is>
          <t>35 0.30%</t>
        </is>
      </c>
      <c r="U855" s="134" t="inlineStr">
        <is>
          <t>82 0.06%</t>
        </is>
      </c>
    </row>
    <row customHeight="1" ht="17" r="856" s="155">
      <c r="A856" s="105" t="n">
        <v>44384</v>
      </c>
      <c r="B856" s="134" t="n">
        <v>1673.904</v>
      </c>
      <c r="C856" s="152" t="n">
        <v>17.787</v>
      </c>
      <c r="D856" s="153" t="n">
        <v>0.0107</v>
      </c>
      <c r="E856" s="134" t="n">
        <v>127.418</v>
      </c>
      <c r="F856" s="134" t="n">
        <v>113.578</v>
      </c>
      <c r="G856" s="134" t="n">
        <v>95.48</v>
      </c>
      <c r="H856" s="134" t="n">
        <v>154.98</v>
      </c>
      <c r="I856" s="104" t="n">
        <v>0.2756</v>
      </c>
      <c r="J856" s="104" t="n">
        <v>0.1763</v>
      </c>
      <c r="K856" s="104" t="n">
        <v>-0.0136</v>
      </c>
      <c r="L856" s="134" t="n">
        <v>649.88</v>
      </c>
      <c r="M856" s="134" t="n">
        <v>5868.86</v>
      </c>
      <c r="N856" s="104" t="n">
        <v>0.1107</v>
      </c>
      <c r="O856" s="134" t="n">
        <v>367</v>
      </c>
      <c r="P856" s="134" t="inlineStr">
        <is>
          <t>3 0.27%</t>
        </is>
      </c>
      <c r="Q856" s="134" t="inlineStr">
        <is>
          <t>15 0.13%</t>
        </is>
      </c>
      <c r="R856" s="134" t="inlineStr">
        <is>
          <t>141 0.30%</t>
        </is>
      </c>
      <c r="S856" s="134" t="inlineStr">
        <is>
          <t>82 0.73%</t>
        </is>
      </c>
      <c r="T856" s="134" t="inlineStr">
        <is>
          <t>35 1.48%</t>
        </is>
      </c>
      <c r="U856" s="134" t="inlineStr">
        <is>
          <t>91 2.61%</t>
        </is>
      </c>
    </row>
    <row customHeight="1" ht="17" r="857" s="155">
      <c r="A857" s="105" t="n">
        <v>44385</v>
      </c>
      <c r="B857" s="134" t="n">
        <v>1680.231</v>
      </c>
      <c r="C857" s="152" t="n">
        <v>6.327</v>
      </c>
      <c r="D857" s="153" t="n">
        <v>0.0038</v>
      </c>
      <c r="E857" s="134" t="n">
        <v>127.921</v>
      </c>
      <c r="F857" s="134" t="n">
        <v>113.17</v>
      </c>
      <c r="G857" s="134" t="n">
        <v>94.45999999999999</v>
      </c>
      <c r="H857" s="134" t="n">
        <v>156.47</v>
      </c>
      <c r="I857" s="104" t="n">
        <v>0.2855</v>
      </c>
      <c r="J857" s="104" t="n">
        <v>0.191</v>
      </c>
      <c r="K857" s="104" t="n">
        <v>-0.0143</v>
      </c>
      <c r="L857" s="134" t="n">
        <v>683.34</v>
      </c>
      <c r="M857" s="134" t="n">
        <v>5865.1</v>
      </c>
      <c r="N857" s="104" t="n">
        <v>0.1165</v>
      </c>
      <c r="O857" s="134" t="n">
        <v>367</v>
      </c>
      <c r="P857" s="134" t="inlineStr">
        <is>
          <t>3 -0.40%</t>
        </is>
      </c>
      <c r="Q857" s="134" t="inlineStr">
        <is>
          <t>17 0.11%</t>
        </is>
      </c>
      <c r="R857" s="134" t="inlineStr">
        <is>
          <t>133 0.16%</t>
        </is>
      </c>
      <c r="S857" s="134" t="inlineStr">
        <is>
          <t>85 0.32%</t>
        </is>
      </c>
      <c r="T857" s="134" t="inlineStr">
        <is>
          <t>36 0.49%</t>
        </is>
      </c>
      <c r="U857" s="134" t="inlineStr">
        <is>
          <t>93 0.78%</t>
        </is>
      </c>
    </row>
    <row customHeight="1" ht="17" r="858" s="155">
      <c r="A858" s="105" t="n">
        <v>44386</v>
      </c>
      <c r="B858" s="134" t="n">
        <v>1690.464</v>
      </c>
      <c r="C858" s="152" t="n">
        <v>10.233</v>
      </c>
      <c r="D858" s="153" t="n">
        <v>0.0061</v>
      </c>
      <c r="E858" s="134" t="n">
        <v>128.905</v>
      </c>
      <c r="F858" s="134" t="n">
        <v>114.278</v>
      </c>
      <c r="G858" s="134" t="n">
        <v>95.34999999999999</v>
      </c>
      <c r="H858" s="134" t="n">
        <v>157.19</v>
      </c>
      <c r="I858" s="104" t="n">
        <v>0.2829</v>
      </c>
      <c r="J858" s="104" t="n">
        <v>0.1883</v>
      </c>
      <c r="K858" s="104" t="n">
        <v>-0.0159</v>
      </c>
      <c r="L858" s="134" t="n">
        <v>706.0700000000001</v>
      </c>
      <c r="M858" s="134" t="n">
        <v>5896.73</v>
      </c>
      <c r="N858" s="104" t="n">
        <v>0.1197</v>
      </c>
      <c r="O858" s="134" t="n">
        <v>368</v>
      </c>
      <c r="P858" s="134" t="inlineStr">
        <is>
          <t>3 -0.01%</t>
        </is>
      </c>
      <c r="Q858" s="134" t="inlineStr">
        <is>
          <t>12 0.06%</t>
        </is>
      </c>
      <c r="R858" s="134" t="inlineStr">
        <is>
          <t>134 0.39%</t>
        </is>
      </c>
      <c r="S858" s="134" t="inlineStr">
        <is>
          <t>82 0.46%</t>
        </is>
      </c>
      <c r="T858" s="134" t="inlineStr">
        <is>
          <t>41 0.56%</t>
        </is>
      </c>
      <c r="U858" s="134" t="inlineStr">
        <is>
          <t>96 1.15%</t>
        </is>
      </c>
    </row>
    <row customHeight="1" ht="17" r="859" s="155">
      <c r="A859" s="105" t="n">
        <v>44389</v>
      </c>
      <c r="B859" s="134" t="n">
        <v>1712.119</v>
      </c>
      <c r="C859" s="152" t="n">
        <v>21.655</v>
      </c>
      <c r="D859" s="153" t="n">
        <v>0.0128</v>
      </c>
      <c r="E859" s="134" t="n">
        <v>130.749</v>
      </c>
      <c r="F859" s="134" t="n">
        <v>114.87</v>
      </c>
      <c r="G859" s="134" t="n">
        <v>95.73999999999999</v>
      </c>
      <c r="H859" s="134" t="n">
        <v>159.22</v>
      </c>
      <c r="I859" s="104" t="n">
        <v>0.2848</v>
      </c>
      <c r="J859" s="104" t="n">
        <v>0.1923</v>
      </c>
      <c r="K859" s="104" t="n">
        <v>-0.0185</v>
      </c>
      <c r="L859" s="134" t="n">
        <v>706.01</v>
      </c>
      <c r="M859" s="134" t="n">
        <v>5897.71</v>
      </c>
      <c r="N859" s="104" t="n">
        <v>0.1197</v>
      </c>
      <c r="O859" s="134" t="n">
        <v>368</v>
      </c>
      <c r="P859" s="134" t="inlineStr">
        <is>
          <t>3 0.23%</t>
        </is>
      </c>
      <c r="Q859" s="134" t="inlineStr">
        <is>
          <t>12 0.12%</t>
        </is>
      </c>
      <c r="R859" s="134" t="inlineStr">
        <is>
          <t>124 0.61%</t>
        </is>
      </c>
      <c r="S859" s="134" t="inlineStr">
        <is>
          <t>87 0.85%</t>
        </is>
      </c>
      <c r="T859" s="134" t="inlineStr">
        <is>
          <t>45 1.28%</t>
        </is>
      </c>
      <c r="U859" s="134" t="inlineStr">
        <is>
          <t>97 2.70%</t>
        </is>
      </c>
    </row>
    <row customHeight="1" ht="17" r="860" s="155">
      <c r="A860" s="105" t="n">
        <v>44390</v>
      </c>
      <c r="B860" s="134" t="n">
        <v>1729.514</v>
      </c>
      <c r="C860" s="152" t="n">
        <v>17.395</v>
      </c>
      <c r="D860" s="153" t="n">
        <v>0.0102</v>
      </c>
      <c r="E860" s="134" t="n">
        <v>132.07</v>
      </c>
      <c r="F860" s="134" t="n">
        <v>115.639</v>
      </c>
      <c r="G860" s="134" t="n">
        <v>97.06999999999999</v>
      </c>
      <c r="H860" s="134" t="n">
        <v>160.72</v>
      </c>
      <c r="I860" s="104" t="n">
        <v>0.2865</v>
      </c>
      <c r="J860" s="104" t="n">
        <v>0.1905</v>
      </c>
      <c r="K860" s="104" t="n">
        <v>-0.0209</v>
      </c>
      <c r="L860" s="134" t="n">
        <v>796.77</v>
      </c>
      <c r="M860" s="134" t="n">
        <v>5902.49</v>
      </c>
      <c r="N860" s="104" t="n">
        <v>0.135</v>
      </c>
      <c r="O860" s="134" t="n">
        <v>369</v>
      </c>
      <c r="P860" s="134" t="inlineStr">
        <is>
          <t>3 0.09%</t>
        </is>
      </c>
      <c r="Q860" s="134" t="inlineStr">
        <is>
          <t>12 0.49%</t>
        </is>
      </c>
      <c r="R860" s="134" t="inlineStr">
        <is>
          <t>111 0.46%</t>
        </is>
      </c>
      <c r="S860" s="134" t="inlineStr">
        <is>
          <t>92 0.70%</t>
        </is>
      </c>
      <c r="T860" s="134" t="inlineStr">
        <is>
          <t>51 1.22%</t>
        </is>
      </c>
      <c r="U860" s="134" t="inlineStr">
        <is>
          <t>100 1.91%</t>
        </is>
      </c>
    </row>
    <row customHeight="1" ht="17" r="861" s="155">
      <c r="A861" s="105" t="n">
        <v>44391</v>
      </c>
      <c r="B861" s="134" t="n">
        <v>1730.24</v>
      </c>
      <c r="C861" s="152" t="n">
        <v>0.726</v>
      </c>
      <c r="D861" s="153" t="n">
        <v>0.0004</v>
      </c>
      <c r="E861" s="134" t="n">
        <v>132.282</v>
      </c>
      <c r="F861" s="134" t="n">
        <v>115.95</v>
      </c>
      <c r="G861" s="134" t="n">
        <v>96.69</v>
      </c>
      <c r="H861" s="134" t="n">
        <v>162.77</v>
      </c>
      <c r="I861" s="104" t="n">
        <v>0.3049</v>
      </c>
      <c r="J861" s="104" t="n">
        <v>0.1999</v>
      </c>
      <c r="K861" s="104" t="n">
        <v>-0.021</v>
      </c>
      <c r="L861" s="134" t="n">
        <v>860.75</v>
      </c>
      <c r="M861" s="134" t="n">
        <v>5896.84</v>
      </c>
      <c r="N861" s="104" t="n">
        <v>0.146</v>
      </c>
      <c r="O861" s="134" t="n">
        <v>369</v>
      </c>
      <c r="P861" s="134" t="inlineStr">
        <is>
          <t>3 0.10%</t>
        </is>
      </c>
      <c r="Q861" s="134" t="inlineStr">
        <is>
          <t>12 0.04%</t>
        </is>
      </c>
      <c r="R861" s="134" t="inlineStr">
        <is>
          <t>114 -0.32%</t>
        </is>
      </c>
      <c r="S861" s="134" t="inlineStr">
        <is>
          <t>90 -0.34%</t>
        </is>
      </c>
      <c r="T861" s="134" t="inlineStr">
        <is>
          <t>45 0.39%</t>
        </is>
      </c>
      <c r="U861" s="134" t="inlineStr">
        <is>
          <t>105 0.62%</t>
        </is>
      </c>
    </row>
    <row customHeight="1" ht="17" r="862" s="155">
      <c r="A862" s="105" t="n">
        <v>44392</v>
      </c>
      <c r="B862" s="134" t="n">
        <v>1723.042</v>
      </c>
      <c r="C862" s="150" t="n">
        <v>-7.198</v>
      </c>
      <c r="D862" s="151" t="n">
        <v>-0.0042</v>
      </c>
      <c r="E862" s="134" t="n">
        <v>131.414</v>
      </c>
      <c r="F862" s="134" t="n">
        <v>115.411</v>
      </c>
      <c r="G862" s="134" t="n">
        <v>96.09999999999999</v>
      </c>
      <c r="H862" s="134" t="n">
        <v>161.54</v>
      </c>
      <c r="I862" s="104" t="n">
        <v>0.3013</v>
      </c>
      <c r="J862" s="104" t="n">
        <v>0.1972</v>
      </c>
      <c r="K862" s="104" t="n">
        <v>-0.02</v>
      </c>
      <c r="L862" s="134" t="n">
        <v>922.97</v>
      </c>
      <c r="M862" s="134" t="n">
        <v>5906.73</v>
      </c>
      <c r="N862" s="104" t="n">
        <v>0.1563</v>
      </c>
      <c r="O862" s="134" t="n">
        <v>370</v>
      </c>
      <c r="P862" s="134" t="inlineStr">
        <is>
          <t>3 -1.11%</t>
        </is>
      </c>
      <c r="Q862" s="134" t="inlineStr">
        <is>
          <t>12 -0.17%</t>
        </is>
      </c>
      <c r="R862" s="134" t="inlineStr">
        <is>
          <t>120 -0.40%</t>
        </is>
      </c>
      <c r="S862" s="134" t="inlineStr">
        <is>
          <t>86 -0.45%</t>
        </is>
      </c>
      <c r="T862" s="134" t="inlineStr">
        <is>
          <t>48 -0.28%</t>
        </is>
      </c>
      <c r="U862" s="134" t="inlineStr">
        <is>
          <t>101 -0.48%</t>
        </is>
      </c>
    </row>
    <row customHeight="1" ht="17" r="863" s="155">
      <c r="A863" s="105" t="n">
        <v>44393</v>
      </c>
      <c r="B863" s="134" t="n">
        <v>1725.299</v>
      </c>
      <c r="C863" s="152" t="n">
        <v>2.257</v>
      </c>
      <c r="D863" s="153" t="n">
        <v>0.0013</v>
      </c>
      <c r="E863" s="134" t="n">
        <v>131.384</v>
      </c>
      <c r="F863" s="134" t="n">
        <v>115.735</v>
      </c>
      <c r="G863" s="134" t="n">
        <v>95.76000000000001</v>
      </c>
      <c r="H863" s="134" t="n">
        <v>162.05</v>
      </c>
      <c r="I863" s="104" t="n">
        <v>0.3066</v>
      </c>
      <c r="J863" s="104" t="n">
        <v>0.2111</v>
      </c>
      <c r="K863" s="104" t="n">
        <v>-0.0204</v>
      </c>
      <c r="L863" s="134" t="n">
        <v>756.64</v>
      </c>
      <c r="M863" s="134" t="n">
        <v>5900.96</v>
      </c>
      <c r="N863" s="104" t="n">
        <v>0.1282</v>
      </c>
      <c r="O863" s="134" t="n">
        <v>369</v>
      </c>
      <c r="P863" s="134" t="inlineStr">
        <is>
          <t>3 0.30%</t>
        </is>
      </c>
      <c r="Q863" s="134" t="inlineStr">
        <is>
          <t>12 0.28%</t>
        </is>
      </c>
      <c r="R863" s="134" t="inlineStr">
        <is>
          <t>117 0.26%</t>
        </is>
      </c>
      <c r="S863" s="134" t="inlineStr">
        <is>
          <t>90 0.05%</t>
        </is>
      </c>
      <c r="T863" s="134" t="inlineStr">
        <is>
          <t>45 0.35%</t>
        </is>
      </c>
      <c r="U863" s="134" t="inlineStr">
        <is>
          <t>102 -0.06%</t>
        </is>
      </c>
    </row>
    <row customHeight="1" ht="17" r="864" s="155">
      <c r="A864" s="105" t="n">
        <v>44396</v>
      </c>
      <c r="B864" s="134" t="n">
        <v>1722.159</v>
      </c>
      <c r="C864" s="150" t="n">
        <v>-3.14</v>
      </c>
      <c r="D864" s="151" t="n">
        <v>-0.0018</v>
      </c>
      <c r="E864" s="134" t="n">
        <v>131.037</v>
      </c>
      <c r="F864" s="134" t="n">
        <v>115.237</v>
      </c>
      <c r="G864" s="134" t="n">
        <v>96.95</v>
      </c>
      <c r="H864" s="134" t="n">
        <v>161.99</v>
      </c>
      <c r="I864" s="104" t="n">
        <v>0.3095</v>
      </c>
      <c r="J864" s="104" t="n">
        <v>0.2022</v>
      </c>
      <c r="K864" s="104" t="n">
        <v>-0.021</v>
      </c>
      <c r="L864" s="134" t="n">
        <v>620.98</v>
      </c>
      <c r="M864" s="134" t="n">
        <v>5896.53</v>
      </c>
      <c r="N864" s="104" t="n">
        <v>0.1053</v>
      </c>
      <c r="O864" s="134" t="n">
        <v>369</v>
      </c>
      <c r="P864" s="134" t="inlineStr">
        <is>
          <t>3 -0.13%</t>
        </is>
      </c>
      <c r="Q864" s="134" t="inlineStr">
        <is>
          <t>12 -0.06%</t>
        </is>
      </c>
      <c r="R864" s="134" t="inlineStr">
        <is>
          <t>119 0.00%</t>
        </is>
      </c>
      <c r="S864" s="134" t="inlineStr">
        <is>
          <t>87 0.10%</t>
        </is>
      </c>
      <c r="T864" s="134" t="inlineStr">
        <is>
          <t>47 -0.40%</t>
        </is>
      </c>
      <c r="U864" s="134" t="inlineStr">
        <is>
          <t>101 -0.56%</t>
        </is>
      </c>
    </row>
    <row customHeight="1" ht="17" r="865" s="155">
      <c r="A865" s="105" t="n">
        <v>44397</v>
      </c>
      <c r="B865" s="134" t="n">
        <v>1722.796</v>
      </c>
      <c r="C865" s="152" t="n">
        <v>0.637</v>
      </c>
      <c r="D865" s="153" t="n">
        <v>0.0004</v>
      </c>
      <c r="E865" s="134" t="n">
        <v>131.101</v>
      </c>
      <c r="F865" s="134" t="n">
        <v>115.375</v>
      </c>
      <c r="G865" s="134" t="n">
        <v>97.04000000000001</v>
      </c>
      <c r="H865" s="134" t="n">
        <v>161.59</v>
      </c>
      <c r="I865" s="104" t="n">
        <v>0.3049</v>
      </c>
      <c r="J865" s="104" t="n">
        <v>0.2081</v>
      </c>
      <c r="K865" s="104" t="n">
        <v>-0.0199</v>
      </c>
      <c r="L865" s="134" t="n">
        <v>649.34</v>
      </c>
      <c r="M865" s="134" t="n">
        <v>5884.35</v>
      </c>
      <c r="N865" s="104" t="n">
        <v>0.1104</v>
      </c>
      <c r="O865" s="134" t="n">
        <v>368</v>
      </c>
      <c r="P865" s="134" t="inlineStr">
        <is>
          <t>3 -0.17%</t>
        </is>
      </c>
      <c r="Q865" s="134" t="inlineStr">
        <is>
          <t>11 -0.20%</t>
        </is>
      </c>
      <c r="R865" s="134" t="inlineStr">
        <is>
          <t>116 -0.12%</t>
        </is>
      </c>
      <c r="S865" s="134" t="inlineStr">
        <is>
          <t>90 -0.13%</t>
        </is>
      </c>
      <c r="T865" s="134" t="inlineStr">
        <is>
          <t>46 0.38%</t>
        </is>
      </c>
      <c r="U865" s="134" t="inlineStr">
        <is>
          <t>102 0.23%</t>
        </is>
      </c>
    </row>
    <row customHeight="1" ht="17" r="866" s="155">
      <c r="A866" s="105" t="n">
        <v>44398</v>
      </c>
      <c r="B866" s="134" t="n">
        <v>1747.087</v>
      </c>
      <c r="C866" s="152" t="n">
        <v>24.291</v>
      </c>
      <c r="D866" s="153" t="n">
        <v>0.0141</v>
      </c>
      <c r="E866" s="134" t="n">
        <v>133.522</v>
      </c>
      <c r="F866" s="134" t="n">
        <v>116.45</v>
      </c>
      <c r="G866" s="134" t="n">
        <v>97.13</v>
      </c>
      <c r="H866" s="134" t="n">
        <v>163.87</v>
      </c>
      <c r="I866" s="104" t="n">
        <v>0.3035</v>
      </c>
      <c r="J866" s="104" t="n">
        <v>0.2036</v>
      </c>
      <c r="K866" s="104" t="n">
        <v>-0.0228</v>
      </c>
      <c r="L866" s="134" t="n">
        <v>760.49</v>
      </c>
      <c r="M866" s="134" t="n">
        <v>5881.85</v>
      </c>
      <c r="N866" s="104" t="n">
        <v>0.1293</v>
      </c>
      <c r="O866" s="134" t="n">
        <v>368</v>
      </c>
      <c r="P866" s="134" t="inlineStr">
        <is>
          <t>3 0.01%</t>
        </is>
      </c>
      <c r="Q866" s="134" t="inlineStr">
        <is>
          <t>11 0.19%</t>
        </is>
      </c>
      <c r="R866" s="134" t="inlineStr">
        <is>
          <t>109 0.42%</t>
        </is>
      </c>
      <c r="S866" s="134" t="inlineStr">
        <is>
          <t>92 0.59%</t>
        </is>
      </c>
      <c r="T866" s="134" t="inlineStr">
        <is>
          <t>45 0.84%</t>
        </is>
      </c>
      <c r="U866" s="134" t="inlineStr">
        <is>
          <t>108 3.51%</t>
        </is>
      </c>
    </row>
    <row customHeight="1" ht="17" r="867" s="155">
      <c r="A867" s="105" t="n">
        <v>44399</v>
      </c>
      <c r="B867" s="134" t="n">
        <v>1760.854</v>
      </c>
      <c r="C867" s="152" t="n">
        <v>13.767</v>
      </c>
      <c r="D867" s="153" t="n">
        <v>0.007900000000000001</v>
      </c>
      <c r="E867" s="134" t="n">
        <v>134.69</v>
      </c>
      <c r="F867" s="134" t="n">
        <v>116.899</v>
      </c>
      <c r="G867" s="134" t="n">
        <v>97.8</v>
      </c>
      <c r="H867" s="134" t="n">
        <v>165.11</v>
      </c>
      <c r="I867" s="104" t="n">
        <v>0.3042</v>
      </c>
      <c r="J867" s="104" t="n">
        <v>0.2057</v>
      </c>
      <c r="K867" s="104" t="n">
        <v>-0.0258</v>
      </c>
      <c r="L867" s="134" t="n">
        <v>947.84</v>
      </c>
      <c r="M867" s="134" t="n">
        <v>5886.42</v>
      </c>
      <c r="N867" s="104" t="n">
        <v>0.161</v>
      </c>
      <c r="O867" s="134" t="n">
        <v>369</v>
      </c>
      <c r="P867" s="134" t="inlineStr">
        <is>
          <t>3 0.03%</t>
        </is>
      </c>
      <c r="Q867" s="134" t="inlineStr">
        <is>
          <t>11 0.14%</t>
        </is>
      </c>
      <c r="R867" s="134" t="inlineStr">
        <is>
          <t>104 0.16%</t>
        </is>
      </c>
      <c r="S867" s="134" t="inlineStr">
        <is>
          <t>91 0.54%</t>
        </is>
      </c>
      <c r="T867" s="134" t="inlineStr">
        <is>
          <t>48 0.76%</t>
        </is>
      </c>
      <c r="U867" s="134" t="inlineStr">
        <is>
          <t>112 1.67%</t>
        </is>
      </c>
    </row>
    <row customHeight="1" ht="17" r="868" s="155">
      <c r="A868" s="105" t="n">
        <v>44400</v>
      </c>
      <c r="B868" s="134" t="n">
        <v>1759.111</v>
      </c>
      <c r="C868" s="150" t="n">
        <v>-1.743</v>
      </c>
      <c r="D868" s="151" t="n">
        <v>-0.001</v>
      </c>
      <c r="E868" s="134" t="n">
        <v>134.253</v>
      </c>
      <c r="F868" s="134" t="n">
        <v>117.215</v>
      </c>
      <c r="G868" s="134" t="n">
        <v>96.69</v>
      </c>
      <c r="H868" s="134" t="n">
        <v>165.91</v>
      </c>
      <c r="I868" s="104" t="n">
        <v>0.3165</v>
      </c>
      <c r="J868" s="104" t="n">
        <v>0.2108</v>
      </c>
      <c r="K868" s="104" t="n">
        <v>-0.0255</v>
      </c>
      <c r="L868" s="134" t="n">
        <v>794.3200000000001</v>
      </c>
      <c r="M868" s="134" t="n">
        <v>5911.74</v>
      </c>
      <c r="N868" s="104" t="n">
        <v>0.1344</v>
      </c>
      <c r="O868" s="134" t="n">
        <v>370</v>
      </c>
      <c r="P868" s="134" t="inlineStr">
        <is>
          <t>3 0.69%</t>
        </is>
      </c>
      <c r="Q868" s="134" t="inlineStr">
        <is>
          <t>11 0.18%</t>
        </is>
      </c>
      <c r="R868" s="134" t="inlineStr">
        <is>
          <t>108 -0.06%</t>
        </is>
      </c>
      <c r="S868" s="134" t="inlineStr">
        <is>
          <t>84 -0.34%</t>
        </is>
      </c>
      <c r="T868" s="134" t="inlineStr">
        <is>
          <t>52 0.30%</t>
        </is>
      </c>
      <c r="U868" s="134" t="inlineStr">
        <is>
          <t>112 -0.19%</t>
        </is>
      </c>
    </row>
    <row customHeight="1" ht="17" r="869" s="155">
      <c r="A869" s="105" t="n">
        <v>44403</v>
      </c>
      <c r="B869" s="134" t="n">
        <v>1747.712</v>
      </c>
      <c r="C869" s="150" t="n">
        <v>-11.399</v>
      </c>
      <c r="D869" s="151" t="n">
        <v>-0.0065</v>
      </c>
      <c r="E869" s="134" t="n">
        <v>133.375</v>
      </c>
      <c r="F869" s="134" t="n">
        <v>116.08</v>
      </c>
      <c r="G869" s="134" t="n">
        <v>95.16</v>
      </c>
      <c r="H869" s="134" t="n">
        <v>166.3</v>
      </c>
      <c r="I869" s="104" t="n">
        <v>0.3292</v>
      </c>
      <c r="J869" s="104" t="n">
        <v>0.2265</v>
      </c>
      <c r="K869" s="104" t="n">
        <v>-0.0234</v>
      </c>
      <c r="L869" s="134" t="n">
        <v>768.25</v>
      </c>
      <c r="M869" s="134" t="n">
        <v>5947.28</v>
      </c>
      <c r="N869" s="104" t="n">
        <v>0.1292</v>
      </c>
      <c r="O869" s="134" t="n">
        <v>372</v>
      </c>
      <c r="P869" s="134" t="inlineStr">
        <is>
          <t>3 1.14%</t>
        </is>
      </c>
      <c r="Q869" s="134" t="inlineStr">
        <is>
          <t>12 -0.30%</t>
        </is>
      </c>
      <c r="R869" s="134" t="inlineStr">
        <is>
          <t>122 -0.85%</t>
        </is>
      </c>
      <c r="S869" s="134" t="inlineStr">
        <is>
          <t>80 -1.28%</t>
        </is>
      </c>
      <c r="T869" s="134" t="inlineStr">
        <is>
          <t>47 -0.55%</t>
        </is>
      </c>
      <c r="U869" s="134" t="inlineStr">
        <is>
          <t>108 -0.09%</t>
        </is>
      </c>
    </row>
    <row customHeight="1" ht="17" r="870" s="155">
      <c r="A870" s="105" t="n">
        <v>44404</v>
      </c>
      <c r="B870" s="134" t="n">
        <v>1726.198</v>
      </c>
      <c r="C870" s="150" t="n">
        <v>-21.514</v>
      </c>
      <c r="D870" s="151" t="n">
        <v>-0.0123</v>
      </c>
      <c r="E870" s="134" t="n">
        <v>131.424</v>
      </c>
      <c r="F870" s="134" t="n">
        <v>114.7</v>
      </c>
      <c r="G870" s="134" t="n">
        <v>92.98</v>
      </c>
      <c r="H870" s="134" t="n">
        <v>165.44</v>
      </c>
      <c r="I870" s="104" t="n">
        <v>0.3401</v>
      </c>
      <c r="J870" s="104" t="n">
        <v>0.2341</v>
      </c>
      <c r="K870" s="104" t="n">
        <v>-0.0202</v>
      </c>
      <c r="L870" s="134" t="n">
        <v>818.46</v>
      </c>
      <c r="M870" s="134" t="n">
        <v>5946.63</v>
      </c>
      <c r="N870" s="104" t="n">
        <v>0.1376</v>
      </c>
      <c r="O870" s="134" t="n">
        <v>373</v>
      </c>
      <c r="P870" s="134" t="inlineStr">
        <is>
          <t>3 -1.72%</t>
        </is>
      </c>
      <c r="Q870" s="134" t="inlineStr">
        <is>
          <t>12 -0.55%</t>
        </is>
      </c>
      <c r="R870" s="134" t="inlineStr">
        <is>
          <t>131 -0.77%</t>
        </is>
      </c>
      <c r="S870" s="134" t="inlineStr">
        <is>
          <t>85 -1.07%</t>
        </is>
      </c>
      <c r="T870" s="134" t="inlineStr">
        <is>
          <t>38 -0.77%</t>
        </is>
      </c>
      <c r="U870" s="134" t="inlineStr">
        <is>
          <t>104 -2.17%</t>
        </is>
      </c>
    </row>
    <row customHeight="1" ht="17" r="871" s="155">
      <c r="A871" s="105" t="n">
        <v>44405</v>
      </c>
      <c r="B871" s="134" t="n">
        <v>1706.071</v>
      </c>
      <c r="C871" s="150" t="n">
        <v>-20.127</v>
      </c>
      <c r="D871" s="151" t="n">
        <v>-0.0117</v>
      </c>
      <c r="E871" s="134" t="n">
        <v>129.676</v>
      </c>
      <c r="F871" s="134" t="n">
        <v>113.446</v>
      </c>
      <c r="G871" s="134" t="n">
        <v>90.92</v>
      </c>
      <c r="H871" s="134" t="n">
        <v>165.17</v>
      </c>
      <c r="I871" s="104" t="n">
        <v>0.3549</v>
      </c>
      <c r="J871" s="104" t="n">
        <v>0.2499</v>
      </c>
      <c r="K871" s="104" t="n">
        <v>-0.0168</v>
      </c>
      <c r="L871" s="134" t="n">
        <v>887.9400000000001</v>
      </c>
      <c r="M871" s="134" t="n">
        <v>5941.05</v>
      </c>
      <c r="N871" s="104" t="n">
        <v>0.1495</v>
      </c>
      <c r="O871" s="134" t="n">
        <v>372</v>
      </c>
      <c r="P871" s="134" t="inlineStr">
        <is>
          <t>5 -0.83%</t>
        </is>
      </c>
      <c r="Q871" s="134" t="inlineStr">
        <is>
          <t>16 -0.55%</t>
        </is>
      </c>
      <c r="R871" s="134" t="inlineStr">
        <is>
          <t>137 -0.83%</t>
        </is>
      </c>
      <c r="S871" s="134" t="inlineStr">
        <is>
          <t>81 -1.25%</t>
        </is>
      </c>
      <c r="T871" s="134" t="inlineStr">
        <is>
          <t>38 -1.20%</t>
        </is>
      </c>
      <c r="U871" s="134" t="inlineStr">
        <is>
          <t>95 -1.69%</t>
        </is>
      </c>
    </row>
    <row customHeight="1" ht="17" r="872" s="155">
      <c r="A872" s="105" t="n">
        <v>44406</v>
      </c>
      <c r="B872" s="134" t="n">
        <v>1741.165</v>
      </c>
      <c r="C872" s="152" t="n">
        <v>35.094</v>
      </c>
      <c r="D872" s="153" t="n">
        <v>0.0206</v>
      </c>
      <c r="E872" s="134" t="n">
        <v>132.82</v>
      </c>
      <c r="F872" s="134" t="n">
        <v>114.59</v>
      </c>
      <c r="G872" s="134" t="n">
        <v>92.69</v>
      </c>
      <c r="H872" s="134" t="n">
        <v>167.68</v>
      </c>
      <c r="I872" s="104" t="n">
        <v>0.3486</v>
      </c>
      <c r="J872" s="104" t="n">
        <v>0.2508</v>
      </c>
      <c r="K872" s="104" t="n">
        <v>-0.021</v>
      </c>
      <c r="L872" s="134" t="n">
        <v>931.71</v>
      </c>
      <c r="M872" s="134" t="n">
        <v>5935.49</v>
      </c>
      <c r="N872" s="104" t="n">
        <v>0.157</v>
      </c>
      <c r="O872" s="134" t="n">
        <v>371</v>
      </c>
      <c r="P872" s="134" t="inlineStr">
        <is>
          <t>3 0.24%</t>
        </is>
      </c>
      <c r="Q872" s="134" t="inlineStr">
        <is>
          <t>12 0.46%</t>
        </is>
      </c>
      <c r="R872" s="134" t="inlineStr">
        <is>
          <t>130 0.75%</t>
        </is>
      </c>
      <c r="S872" s="134" t="inlineStr">
        <is>
          <t>82 1.16%</t>
        </is>
      </c>
      <c r="T872" s="134" t="inlineStr">
        <is>
          <t>42 2.34%</t>
        </is>
      </c>
      <c r="U872" s="134" t="inlineStr">
        <is>
          <t>102 4.57%</t>
        </is>
      </c>
    </row>
    <row customHeight="1" ht="17" r="873" s="155">
      <c r="A873" s="105" t="n">
        <v>44407</v>
      </c>
      <c r="B873" s="134" t="n">
        <v>1752.831</v>
      </c>
      <c r="C873" s="152" t="n">
        <v>11.666</v>
      </c>
      <c r="D873" s="153" t="n">
        <v>0.0067</v>
      </c>
      <c r="E873" s="134" t="n">
        <v>133.782</v>
      </c>
      <c r="F873" s="134" t="n">
        <v>114.82</v>
      </c>
      <c r="G873" s="134" t="n">
        <v>93.14</v>
      </c>
      <c r="H873" s="134" t="n">
        <v>168.11</v>
      </c>
      <c r="I873" s="104" t="n">
        <v>0.3433</v>
      </c>
      <c r="J873" s="104" t="n">
        <v>0.2424</v>
      </c>
      <c r="K873" s="104" t="n">
        <v>-0.0225</v>
      </c>
      <c r="L873" s="134" t="n">
        <v>909.3200000000001</v>
      </c>
      <c r="M873" s="134" t="n">
        <v>5930.18</v>
      </c>
      <c r="N873" s="104" t="n">
        <v>0.1533</v>
      </c>
      <c r="O873" s="134" t="n">
        <v>371</v>
      </c>
      <c r="P873" s="134" t="inlineStr">
        <is>
          <t>3 -0.27%</t>
        </is>
      </c>
      <c r="Q873" s="134" t="inlineStr">
        <is>
          <t>12 0.25%</t>
        </is>
      </c>
      <c r="R873" s="134" t="inlineStr">
        <is>
          <t>126 0.34%</t>
        </is>
      </c>
      <c r="S873" s="134" t="inlineStr">
        <is>
          <t>82 0.44%</t>
        </is>
      </c>
      <c r="T873" s="134" t="inlineStr">
        <is>
          <t>39 1.46%</t>
        </is>
      </c>
      <c r="U873" s="134" t="inlineStr">
        <is>
          <t>109 1.02%</t>
        </is>
      </c>
    </row>
    <row customHeight="1" ht="17" r="874" s="155">
      <c r="A874" s="105" t="n">
        <v>44410</v>
      </c>
      <c r="B874" s="134" t="n">
        <v>1776.915</v>
      </c>
      <c r="C874" s="152" t="n">
        <v>24.084</v>
      </c>
      <c r="D874" s="153" t="n">
        <v>0.0137</v>
      </c>
      <c r="E874" s="134" t="n">
        <v>135.561</v>
      </c>
      <c r="F874" s="134" t="n">
        <v>116.7</v>
      </c>
      <c r="G874" s="134" t="n">
        <v>94.88</v>
      </c>
      <c r="H874" s="134" t="n">
        <v>168.81</v>
      </c>
      <c r="I874" s="104" t="n">
        <v>0.3325</v>
      </c>
      <c r="J874" s="104" t="n">
        <v>0.2282</v>
      </c>
      <c r="K874" s="104" t="n">
        <v>-0.0257</v>
      </c>
      <c r="L874" s="134" t="n">
        <v>858.0599999999999</v>
      </c>
      <c r="M874" s="134" t="n">
        <v>5926.46</v>
      </c>
      <c r="N874" s="104" t="n">
        <v>0.1448</v>
      </c>
      <c r="O874" s="134" t="n">
        <v>371</v>
      </c>
      <c r="P874" s="134" t="inlineStr">
        <is>
          <t>3 5.74%</t>
        </is>
      </c>
      <c r="Q874" s="134" t="inlineStr">
        <is>
          <t>11 0.62%</t>
        </is>
      </c>
      <c r="R874" s="134" t="inlineStr">
        <is>
          <t>108 0.84%</t>
        </is>
      </c>
      <c r="S874" s="134" t="inlineStr">
        <is>
          <t>91 1.25%</t>
        </is>
      </c>
      <c r="T874" s="134" t="inlineStr">
        <is>
          <t>40 1.09%</t>
        </is>
      </c>
      <c r="U874" s="134" t="inlineStr">
        <is>
          <t>118 2.01%</t>
        </is>
      </c>
    </row>
    <row customHeight="1" ht="17" r="875" s="155">
      <c r="A875" s="105" t="n">
        <v>44411</v>
      </c>
      <c r="B875" s="134" t="n">
        <v>1767.711</v>
      </c>
      <c r="C875" s="150" t="n">
        <v>-9.204000000000001</v>
      </c>
      <c r="D875" s="151" t="n">
        <v>-0.0052</v>
      </c>
      <c r="E875" s="134" t="n">
        <v>134.228</v>
      </c>
      <c r="F875" s="134" t="n">
        <v>116.45</v>
      </c>
      <c r="G875" s="134" t="n">
        <v>94.23</v>
      </c>
      <c r="H875" s="134" t="n">
        <v>167.64</v>
      </c>
      <c r="I875" s="104" t="n">
        <v>0.3342</v>
      </c>
      <c r="J875" s="104" t="n">
        <v>0.2255</v>
      </c>
      <c r="K875" s="104" t="n">
        <v>-0.0244</v>
      </c>
      <c r="L875" s="134" t="n">
        <v>770.86</v>
      </c>
      <c r="M875" s="134" t="n">
        <v>5920.99</v>
      </c>
      <c r="N875" s="104" t="n">
        <v>0.1302</v>
      </c>
      <c r="O875" s="134" t="n">
        <v>370</v>
      </c>
      <c r="P875" s="134" t="inlineStr">
        <is>
          <t>2 0.67%</t>
        </is>
      </c>
      <c r="Q875" s="134" t="inlineStr">
        <is>
          <t>12 0.48%</t>
        </is>
      </c>
      <c r="R875" s="134" t="inlineStr">
        <is>
          <t>109 0.12%</t>
        </is>
      </c>
      <c r="S875" s="134" t="inlineStr">
        <is>
          <t>88 0.01%</t>
        </is>
      </c>
      <c r="T875" s="134" t="inlineStr">
        <is>
          <t>50 -0.29%</t>
        </is>
      </c>
      <c r="U875" s="134" t="inlineStr">
        <is>
          <t>109 -1.81%</t>
        </is>
      </c>
    </row>
    <row customHeight="1" ht="17" r="876" s="155">
      <c r="A876" s="105" t="n">
        <v>44412</v>
      </c>
      <c r="B876" s="134" t="n">
        <v>1791.54</v>
      </c>
      <c r="C876" s="152" t="n">
        <v>23.829</v>
      </c>
      <c r="D876" s="153" t="n">
        <v>0.0135</v>
      </c>
      <c r="E876" s="134" t="n">
        <v>136.657</v>
      </c>
      <c r="F876" s="134" t="n">
        <v>117.616</v>
      </c>
      <c r="G876" s="134" t="n">
        <v>95.09</v>
      </c>
      <c r="H876" s="134" t="n">
        <v>170.23</v>
      </c>
      <c r="I876" s="104" t="n">
        <v>0.3357</v>
      </c>
      <c r="J876" s="104" t="n">
        <v>0.2232</v>
      </c>
      <c r="K876" s="104" t="n">
        <v>-0.0274</v>
      </c>
      <c r="L876" s="134" t="n">
        <v>852.89</v>
      </c>
      <c r="M876" s="134" t="n">
        <v>5917.69</v>
      </c>
      <c r="N876" s="104" t="n">
        <v>0.1441</v>
      </c>
      <c r="O876" s="134" t="n">
        <v>370</v>
      </c>
      <c r="P876" s="134" t="inlineStr">
        <is>
          <t>2 0.17%</t>
        </is>
      </c>
      <c r="Q876" s="134" t="inlineStr">
        <is>
          <t>11 0.19%</t>
        </is>
      </c>
      <c r="R876" s="134" t="inlineStr">
        <is>
          <t>103 0.26%</t>
        </is>
      </c>
      <c r="S876" s="134" t="inlineStr">
        <is>
          <t>90 0.60%</t>
        </is>
      </c>
      <c r="T876" s="134" t="inlineStr">
        <is>
          <t>46 0.99%</t>
        </is>
      </c>
      <c r="U876" s="134" t="inlineStr">
        <is>
          <t>118 3.14%</t>
        </is>
      </c>
    </row>
    <row customHeight="1" ht="17" r="877" s="155">
      <c r="A877" s="105" t="n">
        <v>44413</v>
      </c>
      <c r="B877" s="134" t="n">
        <v>1787.473</v>
      </c>
      <c r="C877" s="150" t="n">
        <v>-4.067</v>
      </c>
      <c r="D877" s="151" t="n">
        <v>-0.0023</v>
      </c>
      <c r="E877" s="134" t="n">
        <v>136.234</v>
      </c>
      <c r="F877" s="134" t="n">
        <v>118</v>
      </c>
      <c r="G877" s="134" t="n">
        <v>95.02</v>
      </c>
      <c r="H877" s="134" t="n">
        <v>170.87</v>
      </c>
      <c r="I877" s="104" t="n">
        <v>0.3463</v>
      </c>
      <c r="J877" s="104" t="n">
        <v>0.2422</v>
      </c>
      <c r="K877" s="104" t="n">
        <v>-0.0269</v>
      </c>
      <c r="L877" s="134" t="n">
        <v>819.05</v>
      </c>
      <c r="M877" s="134" t="n">
        <v>5896.67</v>
      </c>
      <c r="N877" s="104" t="n">
        <v>0.1389</v>
      </c>
      <c r="O877" s="134" t="n">
        <v>369</v>
      </c>
      <c r="P877" s="134" t="inlineStr">
        <is>
          <t>2 -0.01%</t>
        </is>
      </c>
      <c r="Q877" s="134" t="inlineStr">
        <is>
          <t>11 -0.09%</t>
        </is>
      </c>
      <c r="R877" s="134" t="inlineStr">
        <is>
          <t>103 -0.09%</t>
        </is>
      </c>
      <c r="S877" s="134" t="inlineStr">
        <is>
          <t>89 0.08%</t>
        </is>
      </c>
      <c r="T877" s="134" t="inlineStr">
        <is>
          <t>49 -0.26%</t>
        </is>
      </c>
      <c r="U877" s="134" t="inlineStr">
        <is>
          <t>115 -0.60%</t>
        </is>
      </c>
    </row>
    <row customHeight="1" ht="17" r="878" s="155">
      <c r="A878" s="105" t="n">
        <v>44414</v>
      </c>
      <c r="B878" s="134" t="n">
        <v>1794.48</v>
      </c>
      <c r="C878" s="152" t="n">
        <v>7.007</v>
      </c>
      <c r="D878" s="153" t="n">
        <v>0.0039</v>
      </c>
      <c r="E878" s="134" t="n">
        <v>136.778</v>
      </c>
      <c r="F878" s="134" t="n">
        <v>118.125</v>
      </c>
      <c r="G878" s="134" t="n">
        <v>94.17</v>
      </c>
      <c r="H878" s="134" t="n">
        <v>171.75</v>
      </c>
      <c r="I878" s="104" t="n">
        <v>0.3497</v>
      </c>
      <c r="J878" s="104" t="n">
        <v>0.2576</v>
      </c>
      <c r="K878" s="104" t="n">
        <v>-0.0278</v>
      </c>
      <c r="L878" s="134" t="n">
        <v>821.27</v>
      </c>
      <c r="M878" s="134" t="n">
        <v>5913.12</v>
      </c>
      <c r="N878" s="104" t="n">
        <v>0.1389</v>
      </c>
      <c r="O878" s="134" t="n">
        <v>370</v>
      </c>
      <c r="P878" s="134" t="inlineStr">
        <is>
          <t>2 -0.06%</t>
        </is>
      </c>
      <c r="Q878" s="134" t="inlineStr">
        <is>
          <t>12 0.10%</t>
        </is>
      </c>
      <c r="R878" s="134" t="inlineStr">
        <is>
          <t>99 0.13%</t>
        </is>
      </c>
      <c r="S878" s="134" t="inlineStr">
        <is>
          <t>86 0.20%</t>
        </is>
      </c>
      <c r="T878" s="134" t="inlineStr">
        <is>
          <t>52 0.40%</t>
        </is>
      </c>
      <c r="U878" s="134" t="inlineStr">
        <is>
          <t>119 0.78%</t>
        </is>
      </c>
    </row>
    <row customHeight="1" ht="17" r="879" s="155">
      <c r="A879" s="105" t="n">
        <v>44417</v>
      </c>
      <c r="B879" s="134" t="n">
        <v>1794.875</v>
      </c>
      <c r="C879" s="152" t="n">
        <v>0.395</v>
      </c>
      <c r="D879" s="153" t="n">
        <v>0.0002</v>
      </c>
      <c r="E879" s="134" t="n">
        <v>136.636</v>
      </c>
      <c r="F879" s="134" t="n">
        <v>118.666</v>
      </c>
      <c r="G879" s="134" t="n">
        <v>96.18000000000001</v>
      </c>
      <c r="H879" s="134" t="n">
        <v>170.54</v>
      </c>
      <c r="I879" s="104" t="n">
        <v>0.339</v>
      </c>
      <c r="J879" s="104" t="n">
        <v>0.2469</v>
      </c>
      <c r="K879" s="104" t="n">
        <v>-0.0281</v>
      </c>
      <c r="L879" s="134" t="n">
        <v>785.61</v>
      </c>
      <c r="M879" s="134" t="n">
        <v>5918.99</v>
      </c>
      <c r="N879" s="104" t="n">
        <v>0.1327</v>
      </c>
      <c r="O879" s="134" t="n">
        <v>371</v>
      </c>
      <c r="P879" s="134" t="inlineStr">
        <is>
          <t>2 0.47%</t>
        </is>
      </c>
      <c r="Q879" s="134" t="inlineStr">
        <is>
          <t>11 0.19%</t>
        </is>
      </c>
      <c r="R879" s="134" t="inlineStr">
        <is>
          <t>92 0.24%</t>
        </is>
      </c>
      <c r="S879" s="134" t="inlineStr">
        <is>
          <t>92 0.37%</t>
        </is>
      </c>
      <c r="T879" s="134" t="inlineStr">
        <is>
          <t>54 0.24%</t>
        </is>
      </c>
      <c r="U879" s="134" t="inlineStr">
        <is>
          <t>120 -0.53%</t>
        </is>
      </c>
    </row>
    <row customHeight="1" ht="17" r="880" s="155">
      <c r="A880" s="105" t="n">
        <v>44418</v>
      </c>
      <c r="B880" s="134" t="n">
        <v>1800.493</v>
      </c>
      <c r="C880" s="152" t="n">
        <v>5.618</v>
      </c>
      <c r="D880" s="153" t="n">
        <v>0.0031</v>
      </c>
      <c r="E880" s="134" t="n">
        <v>137.042</v>
      </c>
      <c r="F880" s="134" t="n">
        <v>119.243</v>
      </c>
      <c r="G880" s="134" t="n">
        <v>96.8</v>
      </c>
      <c r="H880" s="134" t="n">
        <v>170.07</v>
      </c>
      <c r="I880" s="104" t="n">
        <v>0.3303</v>
      </c>
      <c r="J880" s="104" t="n">
        <v>0.2399</v>
      </c>
      <c r="K880" s="104" t="n">
        <v>-0.0289</v>
      </c>
      <c r="L880" s="134" t="n">
        <v>854.77</v>
      </c>
      <c r="M880" s="134" t="n">
        <v>5917.09</v>
      </c>
      <c r="N880" s="104" t="n">
        <v>0.1445</v>
      </c>
      <c r="O880" s="134" t="n">
        <v>371</v>
      </c>
      <c r="P880" s="134" t="inlineStr">
        <is>
          <t>2 0.05%</t>
        </is>
      </c>
      <c r="Q880" s="134" t="inlineStr">
        <is>
          <t>11 -0.09%</t>
        </is>
      </c>
      <c r="R880" s="134" t="inlineStr">
        <is>
          <t>91 0.07%</t>
        </is>
      </c>
      <c r="S880" s="134" t="inlineStr">
        <is>
          <t>89 0.24%</t>
        </is>
      </c>
      <c r="T880" s="134" t="inlineStr">
        <is>
          <t>53 -0.04%</t>
        </is>
      </c>
      <c r="U880" s="134" t="inlineStr">
        <is>
          <t>125 0.73%</t>
        </is>
      </c>
    </row>
    <row customHeight="1" ht="17" r="881" s="155">
      <c r="A881" s="105" t="n">
        <v>44419</v>
      </c>
      <c r="B881" s="134" t="n">
        <v>1812.772</v>
      </c>
      <c r="C881" s="152" t="n">
        <v>12.279</v>
      </c>
      <c r="D881" s="153" t="n">
        <v>0.0068</v>
      </c>
      <c r="E881" s="134" t="n">
        <v>138.205</v>
      </c>
      <c r="F881" s="134" t="n">
        <v>119.35</v>
      </c>
      <c r="G881" s="134" t="n">
        <v>96.69</v>
      </c>
      <c r="H881" s="134" t="n">
        <v>170.88</v>
      </c>
      <c r="I881" s="104" t="n">
        <v>0.3268</v>
      </c>
      <c r="J881" s="104" t="n">
        <v>0.242</v>
      </c>
      <c r="K881" s="104" t="n">
        <v>-0.0304</v>
      </c>
      <c r="L881" s="134" t="n">
        <v>882.75</v>
      </c>
      <c r="M881" s="134" t="n">
        <v>5966.57</v>
      </c>
      <c r="N881" s="104" t="n">
        <v>0.1479</v>
      </c>
      <c r="O881" s="134" t="n">
        <v>373</v>
      </c>
      <c r="P881" s="134" t="inlineStr">
        <is>
          <t>2 0.18%</t>
        </is>
      </c>
      <c r="Q881" s="134" t="inlineStr">
        <is>
          <t>11 0.26%</t>
        </is>
      </c>
      <c r="R881" s="134" t="inlineStr">
        <is>
          <t>88 0.02%</t>
        </is>
      </c>
      <c r="S881" s="134" t="inlineStr">
        <is>
          <t>92 0.16%</t>
        </is>
      </c>
      <c r="T881" s="134" t="inlineStr">
        <is>
          <t>49 0.27%</t>
        </is>
      </c>
      <c r="U881" s="134" t="inlineStr">
        <is>
          <t>131 1.69%</t>
        </is>
      </c>
    </row>
    <row customHeight="1" ht="17" r="882" s="155">
      <c r="A882" s="105" t="n">
        <v>44420</v>
      </c>
      <c r="B882" s="134" t="n">
        <v>1820.204</v>
      </c>
      <c r="C882" s="152" t="n">
        <v>7.432</v>
      </c>
      <c r="D882" s="153" t="n">
        <v>0.0041</v>
      </c>
      <c r="E882" s="134" t="n">
        <v>138.992</v>
      </c>
      <c r="F882" s="134" t="n">
        <v>119.531</v>
      </c>
      <c r="G882" s="134" t="n">
        <v>96.37</v>
      </c>
      <c r="H882" s="134" t="n">
        <v>171.68</v>
      </c>
      <c r="I882" s="104" t="n">
        <v>0.3269</v>
      </c>
      <c r="J882" s="104" t="n">
        <v>0.2377</v>
      </c>
      <c r="K882" s="104" t="n">
        <v>-0.0315</v>
      </c>
      <c r="L882" s="134" t="n">
        <v>868.87</v>
      </c>
      <c r="M882" s="134" t="n">
        <v>5982.68</v>
      </c>
      <c r="N882" s="104" t="n">
        <v>0.1452</v>
      </c>
      <c r="O882" s="134" t="n">
        <v>374</v>
      </c>
      <c r="P882" s="134" t="inlineStr">
        <is>
          <t>2 0.66%</t>
        </is>
      </c>
      <c r="Q882" s="134" t="inlineStr">
        <is>
          <t>11 0.55%</t>
        </is>
      </c>
      <c r="R882" s="134" t="inlineStr">
        <is>
          <t>88 0.05%</t>
        </is>
      </c>
      <c r="S882" s="134" t="inlineStr">
        <is>
          <t>95 0.08%</t>
        </is>
      </c>
      <c r="T882" s="134" t="inlineStr">
        <is>
          <t>52 0.09%</t>
        </is>
      </c>
      <c r="U882" s="134" t="inlineStr">
        <is>
          <t>126 1.02%</t>
        </is>
      </c>
    </row>
    <row customHeight="1" ht="17" r="883" s="155">
      <c r="A883" s="105" t="n">
        <v>44421</v>
      </c>
      <c r="B883" s="134" t="n">
        <v>1824.281</v>
      </c>
      <c r="C883" s="152" t="n">
        <v>4.077</v>
      </c>
      <c r="D883" s="153" t="n">
        <v>0.0022</v>
      </c>
      <c r="E883" s="134" t="n">
        <v>139.085</v>
      </c>
      <c r="F883" s="134" t="n">
        <v>119.3</v>
      </c>
      <c r="G883" s="134" t="n">
        <v>97.02</v>
      </c>
      <c r="H883" s="134" t="n">
        <v>172.18</v>
      </c>
      <c r="I883" s="104" t="n">
        <v>0.3309</v>
      </c>
      <c r="J883" s="104" t="n">
        <v>0.2366</v>
      </c>
      <c r="K883" s="104" t="n">
        <v>-0.0314</v>
      </c>
      <c r="L883" s="134" t="n">
        <v>858.0700000000001</v>
      </c>
      <c r="M883" s="134" t="n">
        <v>5979.26</v>
      </c>
      <c r="N883" s="104" t="n">
        <v>0.1435</v>
      </c>
      <c r="O883" s="134" t="n">
        <v>373</v>
      </c>
      <c r="P883" s="134" t="inlineStr">
        <is>
          <t>2 0.33%</t>
        </is>
      </c>
      <c r="Q883" s="134" t="inlineStr">
        <is>
          <t>11 0.26%</t>
        </is>
      </c>
      <c r="R883" s="134" t="inlineStr">
        <is>
          <t>90 -0.04%</t>
        </is>
      </c>
      <c r="S883" s="134" t="inlineStr">
        <is>
          <t>90 0.13%</t>
        </is>
      </c>
      <c r="T883" s="134" t="inlineStr">
        <is>
          <t>53 0.42%</t>
        </is>
      </c>
      <c r="U883" s="134" t="inlineStr">
        <is>
          <t>127 0.39%</t>
        </is>
      </c>
    </row>
    <row customHeight="1" ht="17" r="884" s="155">
      <c r="A884" s="105" t="n">
        <v>44424</v>
      </c>
      <c r="B884" s="134" t="n">
        <v>1823.223</v>
      </c>
      <c r="C884" s="150" t="n">
        <v>-1.058</v>
      </c>
      <c r="D884" s="151" t="n">
        <v>-0.0005999999999999999</v>
      </c>
      <c r="E884" s="134" t="n">
        <v>138.494</v>
      </c>
      <c r="F884" s="134" t="n">
        <v>119.37</v>
      </c>
      <c r="G884" s="134" t="n">
        <v>97.04000000000001</v>
      </c>
      <c r="H884" s="134" t="n">
        <v>171.72</v>
      </c>
      <c r="I884" s="104" t="n">
        <v>0.3323</v>
      </c>
      <c r="J884" s="104" t="n">
        <v>0.2338</v>
      </c>
      <c r="K884" s="104" t="n">
        <v>-0.0314</v>
      </c>
      <c r="L884" s="134" t="n">
        <v>731.83</v>
      </c>
      <c r="M884" s="134" t="n">
        <v>5976.98</v>
      </c>
      <c r="N884" s="104" t="n">
        <v>0.1224</v>
      </c>
      <c r="O884" s="134" t="n">
        <v>372</v>
      </c>
      <c r="P884" s="134" t="inlineStr">
        <is>
          <t>2 1.14%</t>
        </is>
      </c>
      <c r="Q884" s="134" t="inlineStr">
        <is>
          <t>10 0.30%</t>
        </is>
      </c>
      <c r="R884" s="134" t="inlineStr">
        <is>
          <t>88 0.33%</t>
        </is>
      </c>
      <c r="S884" s="134" t="inlineStr">
        <is>
          <t>92 0.19%</t>
        </is>
      </c>
      <c r="T884" s="134" t="inlineStr">
        <is>
          <t>52 -0.22%</t>
        </is>
      </c>
      <c r="U884" s="134" t="inlineStr">
        <is>
          <t>128 -0.48%</t>
        </is>
      </c>
    </row>
    <row customHeight="1" ht="17" r="885" s="155">
      <c r="A885" s="105" t="n">
        <v>44425</v>
      </c>
      <c r="B885" s="134" t="n">
        <v>1795.145</v>
      </c>
      <c r="C885" s="150" t="n">
        <v>-28.078</v>
      </c>
      <c r="D885" s="151" t="n">
        <v>-0.0154</v>
      </c>
      <c r="E885" s="134" t="n">
        <v>135.947</v>
      </c>
      <c r="F885" s="134" t="n">
        <v>118.455</v>
      </c>
      <c r="G885" s="134" t="n">
        <v>94.95</v>
      </c>
      <c r="H885" s="134" t="n">
        <v>170.15</v>
      </c>
      <c r="I885" s="104" t="n">
        <v>0.342</v>
      </c>
      <c r="J885" s="104" t="n">
        <v>0.2435</v>
      </c>
      <c r="K885" s="104" t="n">
        <v>-0.0276</v>
      </c>
      <c r="L885" s="134" t="n">
        <v>769.45</v>
      </c>
      <c r="M885" s="134" t="n">
        <v>5975.31</v>
      </c>
      <c r="N885" s="104" t="n">
        <v>0.1288</v>
      </c>
      <c r="O885" s="134" t="n">
        <v>372</v>
      </c>
      <c r="P885" s="134" t="inlineStr">
        <is>
          <t>2 0.37%</t>
        </is>
      </c>
      <c r="Q885" s="134" t="inlineStr">
        <is>
          <t>10 0.00%</t>
        </is>
      </c>
      <c r="R885" s="134" t="inlineStr">
        <is>
          <t>100 -0.68%</t>
        </is>
      </c>
      <c r="S885" s="134" t="inlineStr">
        <is>
          <t>90 -1.18%</t>
        </is>
      </c>
      <c r="T885" s="134" t="inlineStr">
        <is>
          <t>49 -1.96%</t>
        </is>
      </c>
      <c r="U885" s="134" t="inlineStr">
        <is>
          <t>121 -2.51%</t>
        </is>
      </c>
    </row>
    <row customHeight="1" ht="17" r="886" s="155">
      <c r="A886" s="105" t="n">
        <v>44426</v>
      </c>
      <c r="B886" s="134" t="n">
        <v>1799.256</v>
      </c>
      <c r="C886" s="152" t="n">
        <v>4.111</v>
      </c>
      <c r="D886" s="153" t="n">
        <v>0.0023</v>
      </c>
      <c r="E886" s="134" t="n">
        <v>135.802</v>
      </c>
      <c r="F886" s="134" t="n">
        <v>118.68</v>
      </c>
      <c r="G886" s="134" t="n">
        <v>95.06</v>
      </c>
      <c r="H886" s="134" t="n">
        <v>169.41</v>
      </c>
      <c r="I886" s="104" t="n">
        <v>0.3361</v>
      </c>
      <c r="J886" s="104" t="n">
        <v>0.2397</v>
      </c>
      <c r="K886" s="104" t="n">
        <v>-0.0275</v>
      </c>
      <c r="L886" s="134" t="n">
        <v>770.55</v>
      </c>
      <c r="M886" s="134" t="n">
        <v>5973.23</v>
      </c>
      <c r="N886" s="104" t="n">
        <v>0.129</v>
      </c>
      <c r="O886" s="134" t="n">
        <v>371</v>
      </c>
      <c r="P886" s="134" t="inlineStr">
        <is>
          <t>2 1.43%</t>
        </is>
      </c>
      <c r="Q886" s="134" t="inlineStr">
        <is>
          <t>9 0.39%</t>
        </is>
      </c>
      <c r="R886" s="134" t="inlineStr">
        <is>
          <t>94 0.55%</t>
        </is>
      </c>
      <c r="S886" s="134" t="inlineStr">
        <is>
          <t>96 0.55%</t>
        </is>
      </c>
      <c r="T886" s="134" t="inlineStr">
        <is>
          <t>54 -0.18%</t>
        </is>
      </c>
      <c r="U886" s="134" t="inlineStr">
        <is>
          <t>116 -0.14%</t>
        </is>
      </c>
    </row>
    <row customHeight="1" ht="17" r="887" s="155">
      <c r="A887" s="105" t="n">
        <v>44427</v>
      </c>
      <c r="B887" s="134" t="n">
        <v>1800.821</v>
      </c>
      <c r="C887" s="152" t="n">
        <v>1.565</v>
      </c>
      <c r="D887" s="153" t="n">
        <v>0.0009</v>
      </c>
      <c r="E887" s="134" t="n">
        <v>136.171</v>
      </c>
      <c r="F887" s="134" t="n">
        <v>118.221</v>
      </c>
      <c r="G887" s="134" t="n">
        <v>94.69</v>
      </c>
      <c r="H887" s="134" t="n">
        <v>170.36</v>
      </c>
      <c r="I887" s="104" t="n">
        <v>0.3419</v>
      </c>
      <c r="J887" s="104" t="n">
        <v>0.2437</v>
      </c>
      <c r="K887" s="104" t="n">
        <v>-0.0276</v>
      </c>
      <c r="L887" s="134" t="n">
        <v>756.95</v>
      </c>
      <c r="M887" s="134" t="n">
        <v>5976.15</v>
      </c>
      <c r="N887" s="104" t="n">
        <v>0.1267</v>
      </c>
      <c r="O887" s="134" t="n">
        <v>372</v>
      </c>
      <c r="P887" s="134" t="inlineStr">
        <is>
          <t>1 2.96%</t>
        </is>
      </c>
      <c r="Q887" s="134" t="inlineStr">
        <is>
          <t>10 0.51%</t>
        </is>
      </c>
      <c r="R887" s="134" t="inlineStr">
        <is>
          <t>95 -0.20%</t>
        </is>
      </c>
      <c r="S887" s="134" t="inlineStr">
        <is>
          <t>95 -0.39%</t>
        </is>
      </c>
      <c r="T887" s="134" t="inlineStr">
        <is>
          <t>51 -0.38%</t>
        </is>
      </c>
      <c r="U887" s="134" t="inlineStr">
        <is>
          <t>120 0.83%</t>
        </is>
      </c>
    </row>
    <row customHeight="1" ht="17" r="888" s="155">
      <c r="A888" s="105" t="n">
        <v>44428</v>
      </c>
      <c r="B888" s="134" t="n">
        <v>1794.986</v>
      </c>
      <c r="C888" s="150" t="n">
        <v>-5.835</v>
      </c>
      <c r="D888" s="151" t="n">
        <v>-0.0032</v>
      </c>
      <c r="E888" s="134" t="n">
        <v>135.774</v>
      </c>
      <c r="F888" s="134" t="n">
        <v>117.258</v>
      </c>
      <c r="G888" s="134" t="n">
        <v>93.97</v>
      </c>
      <c r="H888" s="134" t="n">
        <v>170.17</v>
      </c>
      <c r="I888" s="104" t="n">
        <v>0.344</v>
      </c>
      <c r="J888" s="104" t="n">
        <v>0.2379</v>
      </c>
      <c r="K888" s="104" t="n">
        <v>-0.0268</v>
      </c>
      <c r="L888" s="134" t="n">
        <v>712.8099999999999</v>
      </c>
      <c r="M888" s="134" t="n">
        <v>5973.76</v>
      </c>
      <c r="N888" s="104" t="n">
        <v>0.1193</v>
      </c>
      <c r="O888" s="134" t="n">
        <v>372</v>
      </c>
      <c r="P888" s="134" t="inlineStr">
        <is>
          <t>2 -0.83%</t>
        </is>
      </c>
      <c r="Q888" s="134" t="inlineStr">
        <is>
          <t>9 0.49%</t>
        </is>
      </c>
      <c r="R888" s="134" t="inlineStr">
        <is>
          <t>103 -0.28%</t>
        </is>
      </c>
      <c r="S888" s="134" t="inlineStr">
        <is>
          <t>96 -0.60%</t>
        </is>
      </c>
      <c r="T888" s="134" t="inlineStr">
        <is>
          <t>44 -0.33%</t>
        </is>
      </c>
      <c r="U888" s="134" t="inlineStr">
        <is>
          <t>118 -0.19%</t>
        </is>
      </c>
    </row>
    <row customHeight="1" ht="17" r="889" s="155">
      <c r="A889" s="105" t="n">
        <v>44431</v>
      </c>
      <c r="B889" s="134" t="n">
        <v>1822.503</v>
      </c>
      <c r="C889" s="152" t="n">
        <v>27.517</v>
      </c>
      <c r="D889" s="153" t="n">
        <v>0.0153</v>
      </c>
      <c r="E889" s="134" t="n">
        <v>138.196</v>
      </c>
      <c r="F889" s="134" t="n">
        <v>118.83</v>
      </c>
      <c r="G889" s="134" t="n">
        <v>95.69</v>
      </c>
      <c r="H889" s="134" t="n">
        <v>171.42</v>
      </c>
      <c r="I889" s="104" t="n">
        <v>0.3323</v>
      </c>
      <c r="J889" s="104" t="n">
        <v>0.235</v>
      </c>
      <c r="K889" s="104" t="n">
        <v>-0.0303</v>
      </c>
      <c r="L889" s="134" t="n">
        <v>748.83</v>
      </c>
      <c r="M889" s="134" t="n">
        <v>6057.89</v>
      </c>
      <c r="N889" s="104" t="n">
        <v>0.1236</v>
      </c>
      <c r="O889" s="134" t="n">
        <v>373</v>
      </c>
      <c r="P889" s="134" t="inlineStr">
        <is>
          <t>2 0.33%</t>
        </is>
      </c>
      <c r="Q889" s="134" t="inlineStr">
        <is>
          <t>9 -0.05%</t>
        </is>
      </c>
      <c r="R889" s="134" t="inlineStr">
        <is>
          <t>91 0.42%</t>
        </is>
      </c>
      <c r="S889" s="134" t="inlineStr">
        <is>
          <t>97 0.94%</t>
        </is>
      </c>
      <c r="T889" s="134" t="inlineStr">
        <is>
          <t>50 1.58%</t>
        </is>
      </c>
      <c r="U889" s="134" t="inlineStr">
        <is>
          <t>124 2.93%</t>
        </is>
      </c>
    </row>
    <row customHeight="1" ht="17" r="890" s="155">
      <c r="A890" s="105" t="n">
        <v>44432</v>
      </c>
      <c r="B890" s="134" t="n">
        <v>1835.352</v>
      </c>
      <c r="C890" s="152" t="n">
        <v>12.849</v>
      </c>
      <c r="D890" s="153" t="n">
        <v>0.0071</v>
      </c>
      <c r="E890" s="134" t="n">
        <v>139.251</v>
      </c>
      <c r="F890" s="134" t="n">
        <v>119.674</v>
      </c>
      <c r="G890" s="134" t="n">
        <v>96.83</v>
      </c>
      <c r="H890" s="134" t="n">
        <v>172.51</v>
      </c>
      <c r="I890" s="104" t="n">
        <v>0.3326</v>
      </c>
      <c r="J890" s="104" t="n">
        <v>0.2258</v>
      </c>
      <c r="K890" s="104" t="n">
        <v>-0.032</v>
      </c>
      <c r="L890" s="134" t="n">
        <v>707.3</v>
      </c>
      <c r="M890" s="134" t="n">
        <v>6063.7</v>
      </c>
      <c r="N890" s="104" t="n">
        <v>0.1166</v>
      </c>
      <c r="O890" s="134" t="n">
        <v>374</v>
      </c>
      <c r="P890" s="134" t="inlineStr">
        <is>
          <t>2 -0.92%</t>
        </is>
      </c>
      <c r="Q890" s="134" t="inlineStr">
        <is>
          <t>10 0.15%</t>
        </is>
      </c>
      <c r="R890" s="134" t="inlineStr">
        <is>
          <t>82 0.12%</t>
        </is>
      </c>
      <c r="S890" s="134" t="inlineStr">
        <is>
          <t>97 0.45%</t>
        </is>
      </c>
      <c r="T890" s="134" t="inlineStr">
        <is>
          <t>56 0.80%</t>
        </is>
      </c>
      <c r="U890" s="134" t="inlineStr">
        <is>
          <t>127 1.31%</t>
        </is>
      </c>
    </row>
    <row customHeight="1" ht="17" r="891" s="155">
      <c r="A891" s="105" t="n">
        <v>44433</v>
      </c>
      <c r="B891" s="134" t="n">
        <v>1849.154</v>
      </c>
      <c r="C891" s="152" t="n">
        <v>13.802</v>
      </c>
      <c r="D891" s="153" t="n">
        <v>0.0075</v>
      </c>
      <c r="E891" s="134" t="n">
        <v>140.429</v>
      </c>
      <c r="F891" s="134" t="n">
        <v>120.397</v>
      </c>
      <c r="G891" s="134" t="n">
        <v>97.22</v>
      </c>
      <c r="H891" s="134" t="n">
        <v>173.76</v>
      </c>
      <c r="I891" s="104" t="n">
        <v>0.3333</v>
      </c>
      <c r="J891" s="104" t="n">
        <v>0.2373</v>
      </c>
      <c r="K891" s="104" t="n">
        <v>-0.0327</v>
      </c>
      <c r="L891" s="134" t="n">
        <v>724.77</v>
      </c>
      <c r="M891" s="134" t="n">
        <v>6067.74</v>
      </c>
      <c r="N891" s="104" t="n">
        <v>0.1194</v>
      </c>
      <c r="O891" s="134" t="n">
        <v>374</v>
      </c>
      <c r="P891" s="134" t="inlineStr">
        <is>
          <t>2 0.40%</t>
        </is>
      </c>
      <c r="Q891" s="134" t="inlineStr">
        <is>
          <t>8 0.55%</t>
        </is>
      </c>
      <c r="R891" s="134" t="inlineStr">
        <is>
          <t>80 0.37%</t>
        </is>
      </c>
      <c r="S891" s="134" t="inlineStr">
        <is>
          <t>96 0.44%</t>
        </is>
      </c>
      <c r="T891" s="134" t="inlineStr">
        <is>
          <t>58 0.71%</t>
        </is>
      </c>
      <c r="U891" s="134" t="inlineStr">
        <is>
          <t>130 1.26%</t>
        </is>
      </c>
    </row>
    <row customHeight="1" ht="17" r="892" s="155">
      <c r="A892" s="105" t="n">
        <v>44434</v>
      </c>
      <c r="B892" s="134" t="n">
        <v>1847.749</v>
      </c>
      <c r="C892" s="150" t="n">
        <v>-1.405</v>
      </c>
      <c r="D892" s="151" t="n">
        <v>-0.0008</v>
      </c>
      <c r="E892" s="134" t="n">
        <v>140.185</v>
      </c>
      <c r="F892" s="134" t="n">
        <v>120.05</v>
      </c>
      <c r="G892" s="134" t="n">
        <v>98.06</v>
      </c>
      <c r="H892" s="134" t="n">
        <v>174.26</v>
      </c>
      <c r="I892" s="104" t="n">
        <v>0.3408</v>
      </c>
      <c r="J892" s="104" t="n">
        <v>0.2422</v>
      </c>
      <c r="K892" s="104" t="n">
        <v>-0.0326</v>
      </c>
      <c r="L892" s="134" t="n">
        <v>686</v>
      </c>
      <c r="M892" s="134" t="n">
        <v>6065.58</v>
      </c>
      <c r="N892" s="104" t="n">
        <v>0.1131</v>
      </c>
      <c r="O892" s="134" t="n">
        <v>374</v>
      </c>
      <c r="P892" s="134" t="inlineStr">
        <is>
          <t>2 0.08%</t>
        </is>
      </c>
      <c r="Q892" s="134" t="inlineStr">
        <is>
          <t>8 0.30%</t>
        </is>
      </c>
      <c r="R892" s="134" t="inlineStr">
        <is>
          <t>82 -0.01%</t>
        </is>
      </c>
      <c r="S892" s="134" t="inlineStr">
        <is>
          <t>95 -0.06%</t>
        </is>
      </c>
      <c r="T892" s="134" t="inlineStr">
        <is>
          <t>58 -0.12%</t>
        </is>
      </c>
      <c r="U892" s="134" t="inlineStr">
        <is>
          <t>129 -0.14%</t>
        </is>
      </c>
    </row>
    <row customHeight="1" ht="17" r="893" s="155">
      <c r="A893" s="105" t="n">
        <v>44435</v>
      </c>
      <c r="B893" s="134" t="n">
        <v>1851.389</v>
      </c>
      <c r="C893" s="152" t="n">
        <v>3.64</v>
      </c>
      <c r="D893" s="153" t="n">
        <v>0.002</v>
      </c>
      <c r="E893" s="134" t="n">
        <v>140.547</v>
      </c>
      <c r="F893" s="134" t="n">
        <v>119.18</v>
      </c>
      <c r="G893" s="134" t="n">
        <v>97.40000000000001</v>
      </c>
      <c r="H893" s="134" t="n">
        <v>174.87</v>
      </c>
      <c r="I893" s="104" t="n">
        <v>0.3433</v>
      </c>
      <c r="J893" s="104" t="n">
        <v>0.23</v>
      </c>
      <c r="K893" s="104" t="n">
        <v>-0.0331</v>
      </c>
      <c r="L893" s="134" t="n">
        <v>743.63</v>
      </c>
      <c r="M893" s="134" t="n">
        <v>6062.77</v>
      </c>
      <c r="N893" s="104" t="n">
        <v>0.1227</v>
      </c>
      <c r="O893" s="134" t="n">
        <v>374</v>
      </c>
      <c r="P893" s="134" t="inlineStr">
        <is>
          <t>2 -0.51%</t>
        </is>
      </c>
      <c r="Q893" s="134" t="inlineStr">
        <is>
          <t>8 -0.31%</t>
        </is>
      </c>
      <c r="R893" s="134" t="inlineStr">
        <is>
          <t>83 -0.06%</t>
        </is>
      </c>
      <c r="S893" s="134" t="inlineStr">
        <is>
          <t>100 -0.26%</t>
        </is>
      </c>
      <c r="T893" s="134" t="inlineStr">
        <is>
          <t>54 0.12%</t>
        </is>
      </c>
      <c r="U893" s="134" t="inlineStr">
        <is>
          <t>127 0.80%</t>
        </is>
      </c>
    </row>
    <row customHeight="1" ht="17" r="894" s="155">
      <c r="A894" s="105" t="n">
        <v>44438</v>
      </c>
      <c r="B894" s="134" t="n">
        <v>1865.163</v>
      </c>
      <c r="C894" s="152" t="n">
        <v>13.774</v>
      </c>
      <c r="D894" s="153" t="n">
        <v>0.0074</v>
      </c>
      <c r="E894" s="134" t="n">
        <v>141.796</v>
      </c>
      <c r="F894" s="134" t="n">
        <v>119.9</v>
      </c>
      <c r="G894" s="134" t="n">
        <v>96.81999999999999</v>
      </c>
      <c r="H894" s="134" t="n">
        <v>176.68</v>
      </c>
      <c r="I894" s="104" t="n">
        <v>0.3488</v>
      </c>
      <c r="J894" s="104" t="n">
        <v>0.2341</v>
      </c>
      <c r="K894" s="104" t="n">
        <v>-0.0351</v>
      </c>
      <c r="L894" s="134" t="n">
        <v>754.9400000000001</v>
      </c>
      <c r="M894" s="134" t="n">
        <v>6068.14</v>
      </c>
      <c r="N894" s="104" t="n">
        <v>0.1244</v>
      </c>
      <c r="O894" s="134" t="n">
        <v>375</v>
      </c>
      <c r="P894" s="134" t="inlineStr">
        <is>
          <t>2 0.73%</t>
        </is>
      </c>
      <c r="Q894" s="134" t="inlineStr">
        <is>
          <t>7 0.21%</t>
        </is>
      </c>
      <c r="R894" s="134" t="inlineStr">
        <is>
          <t>81 0.04%</t>
        </is>
      </c>
      <c r="S894" s="134" t="inlineStr">
        <is>
          <t>99 0.19%</t>
        </is>
      </c>
      <c r="T894" s="134" t="inlineStr">
        <is>
          <t>53 0.57%</t>
        </is>
      </c>
      <c r="U894" s="134" t="inlineStr">
        <is>
          <t>133 1.68%</t>
        </is>
      </c>
    </row>
    <row customHeight="1" ht="17" r="895" s="155">
      <c r="A895" s="105" t="n">
        <v>44439</v>
      </c>
      <c r="B895" s="134" t="n">
        <v>1863.466</v>
      </c>
      <c r="C895" s="150" t="n">
        <v>-1.697</v>
      </c>
      <c r="D895" s="151" t="n">
        <v>-0.0009</v>
      </c>
      <c r="E895" s="134" t="n">
        <v>141.567</v>
      </c>
      <c r="F895" s="134" t="n">
        <v>120.131</v>
      </c>
      <c r="G895" s="134" t="n">
        <v>97.64</v>
      </c>
      <c r="H895" s="134" t="n">
        <v>176.39</v>
      </c>
      <c r="I895" s="104" t="n">
        <v>0.3482</v>
      </c>
      <c r="J895" s="104" t="n">
        <v>0.2298</v>
      </c>
      <c r="K895" s="104" t="n">
        <v>-0.0352</v>
      </c>
      <c r="L895" s="134" t="n">
        <v>757.02</v>
      </c>
      <c r="M895" s="134" t="n">
        <v>6064.51</v>
      </c>
      <c r="N895" s="104" t="n">
        <v>0.1248</v>
      </c>
      <c r="O895" s="134" t="n">
        <v>374</v>
      </c>
      <c r="P895" s="134" t="inlineStr">
        <is>
          <t>2 0.38%</t>
        </is>
      </c>
      <c r="Q895" s="134" t="inlineStr">
        <is>
          <t>7 0.09%</t>
        </is>
      </c>
      <c r="R895" s="134" t="inlineStr">
        <is>
          <t>80 0.15%</t>
        </is>
      </c>
      <c r="S895" s="134" t="inlineStr">
        <is>
          <t>98 0.13%</t>
        </is>
      </c>
      <c r="T895" s="134" t="inlineStr">
        <is>
          <t>53 -0.27%</t>
        </is>
      </c>
      <c r="U895" s="134" t="inlineStr">
        <is>
          <t>134 -0.34%</t>
        </is>
      </c>
    </row>
    <row customHeight="1" ht="17" r="896" s="155">
      <c r="A896" s="105" t="n">
        <v>44440</v>
      </c>
      <c r="B896" s="134" t="n">
        <v>1857.112</v>
      </c>
      <c r="C896" s="150" t="n">
        <v>-6.354</v>
      </c>
      <c r="D896" s="151" t="n">
        <v>-0.0034</v>
      </c>
      <c r="E896" s="134" t="n">
        <v>140.569</v>
      </c>
      <c r="F896" s="134" t="n">
        <v>120.3</v>
      </c>
      <c r="G896" s="134" t="n">
        <v>98</v>
      </c>
      <c r="H896" s="134" t="n">
        <v>175.5</v>
      </c>
      <c r="I896" s="104" t="n">
        <v>0.3493</v>
      </c>
      <c r="J896" s="104" t="n">
        <v>0.2393</v>
      </c>
      <c r="K896" s="104" t="n">
        <v>-0.0345</v>
      </c>
      <c r="L896" s="134" t="n">
        <v>736.0700000000001</v>
      </c>
      <c r="M896" s="134" t="n">
        <v>6059.92</v>
      </c>
      <c r="N896" s="104" t="n">
        <v>0.1215</v>
      </c>
      <c r="O896" s="134" t="n">
        <v>373</v>
      </c>
      <c r="P896" s="134" t="inlineStr">
        <is>
          <t>1 1.59%</t>
        </is>
      </c>
      <c r="Q896" s="134" t="inlineStr">
        <is>
          <t>7 0.73%</t>
        </is>
      </c>
      <c r="R896" s="134" t="inlineStr">
        <is>
          <t>76 0.23%</t>
        </is>
      </c>
      <c r="S896" s="134" t="inlineStr">
        <is>
          <t>98 0.32%</t>
        </is>
      </c>
      <c r="T896" s="134" t="inlineStr">
        <is>
          <t>65 -0.18%</t>
        </is>
      </c>
      <c r="U896" s="134" t="inlineStr">
        <is>
          <t>126 -1.36%</t>
        </is>
      </c>
    </row>
    <row customHeight="1" ht="17" r="897" s="155">
      <c r="A897" s="105" t="n">
        <v>44441</v>
      </c>
      <c r="B897" s="134" t="n">
        <v>1884.672</v>
      </c>
      <c r="C897" s="152" t="n">
        <v>27.56</v>
      </c>
      <c r="D897" s="153" t="n">
        <v>0.0148</v>
      </c>
      <c r="E897" s="134" t="n">
        <v>142.9</v>
      </c>
      <c r="F897" s="134" t="n">
        <v>121.31</v>
      </c>
      <c r="G897" s="134" t="n">
        <v>99.37</v>
      </c>
      <c r="H897" s="134" t="n">
        <v>178.02</v>
      </c>
      <c r="I897" s="104" t="n">
        <v>0.3512</v>
      </c>
      <c r="J897" s="104" t="n">
        <v>0.2369</v>
      </c>
      <c r="K897" s="104" t="n">
        <v>-0.0384</v>
      </c>
      <c r="L897" s="134" t="n">
        <v>875.62</v>
      </c>
      <c r="M897" s="134" t="n">
        <v>6115.25</v>
      </c>
      <c r="N897" s="104" t="n">
        <v>0.1432</v>
      </c>
      <c r="O897" s="134" t="n">
        <v>375</v>
      </c>
      <c r="P897" s="134" t="inlineStr">
        <is>
          <t>1 1.50%</t>
        </is>
      </c>
      <c r="Q897" s="134" t="inlineStr">
        <is>
          <t>5 1.05%</t>
        </is>
      </c>
      <c r="R897" s="134" t="inlineStr">
        <is>
          <t>68 0.36%</t>
        </is>
      </c>
      <c r="S897" s="134" t="inlineStr">
        <is>
          <t>96 0.83%</t>
        </is>
      </c>
      <c r="T897" s="134" t="inlineStr">
        <is>
          <t>65 0.89%</t>
        </is>
      </c>
      <c r="U897" s="134" t="inlineStr">
        <is>
          <t>140 2.77%</t>
        </is>
      </c>
    </row>
    <row customHeight="1" ht="17" r="898" s="155">
      <c r="A898" s="105" t="n">
        <v>44442</v>
      </c>
      <c r="B898" s="134" t="n">
        <v>1883.862</v>
      </c>
      <c r="C898" s="150" t="n">
        <v>-0.8100000000000001</v>
      </c>
      <c r="D898" s="151" t="n">
        <v>-0.0004</v>
      </c>
      <c r="E898" s="134" t="n">
        <v>142.487</v>
      </c>
      <c r="F898" s="134" t="n">
        <v>121.997</v>
      </c>
      <c r="G898" s="134" t="n">
        <v>99.15000000000001</v>
      </c>
      <c r="H898" s="134" t="n">
        <v>177.17</v>
      </c>
      <c r="I898" s="104" t="n">
        <v>0.3469</v>
      </c>
      <c r="J898" s="104" t="n">
        <v>0.24</v>
      </c>
      <c r="K898" s="104" t="n">
        <v>-0.0378</v>
      </c>
      <c r="L898" s="134" t="n">
        <v>890.55</v>
      </c>
      <c r="M898" s="134" t="n">
        <v>6112.32</v>
      </c>
      <c r="N898" s="104" t="n">
        <v>0.1457</v>
      </c>
      <c r="O898" s="134" t="n">
        <v>374</v>
      </c>
      <c r="P898" s="134" t="n">
        <v>0</v>
      </c>
      <c r="Q898" s="134" t="inlineStr">
        <is>
          <t>5 0.78%</t>
        </is>
      </c>
      <c r="R898" s="134" t="inlineStr">
        <is>
          <t>63 0.39%</t>
        </is>
      </c>
      <c r="S898" s="134" t="inlineStr">
        <is>
          <t>99 0.25%</t>
        </is>
      </c>
      <c r="T898" s="134" t="inlineStr">
        <is>
          <t>64 0.35%</t>
        </is>
      </c>
      <c r="U898" s="134" t="inlineStr">
        <is>
          <t>143 -0.64%</t>
        </is>
      </c>
    </row>
    <row customHeight="1" ht="17" r="899" s="155">
      <c r="A899" s="105" t="n">
        <v>44445</v>
      </c>
      <c r="B899" s="134" t="n">
        <v>1897.237</v>
      </c>
      <c r="C899" s="152" t="n">
        <v>13.375</v>
      </c>
      <c r="D899" s="153" t="n">
        <v>0.0071</v>
      </c>
      <c r="E899" s="134" t="n">
        <v>143.478</v>
      </c>
      <c r="F899" s="134" t="n">
        <v>122.79</v>
      </c>
      <c r="G899" s="134" t="n">
        <v>100.83</v>
      </c>
      <c r="H899" s="134" t="n">
        <v>177.38</v>
      </c>
      <c r="I899" s="104" t="n">
        <v>0.339</v>
      </c>
      <c r="J899" s="104" t="n">
        <v>0.2316</v>
      </c>
      <c r="K899" s="104" t="n">
        <v>-0.0398</v>
      </c>
      <c r="L899" s="134" t="n">
        <v>758.5</v>
      </c>
      <c r="M899" s="134" t="n">
        <v>6109.16</v>
      </c>
      <c r="N899" s="104" t="n">
        <v>0.1242</v>
      </c>
      <c r="O899" s="134" t="n">
        <v>374</v>
      </c>
      <c r="P899" s="134" t="n">
        <v>0</v>
      </c>
      <c r="Q899" s="134" t="inlineStr">
        <is>
          <t>5 0.45%</t>
        </is>
      </c>
      <c r="R899" s="134" t="inlineStr">
        <is>
          <t>60 0.51%</t>
        </is>
      </c>
      <c r="S899" s="134" t="inlineStr">
        <is>
          <t>96 0.64%</t>
        </is>
      </c>
      <c r="T899" s="134" t="inlineStr">
        <is>
          <t>69 0.65%</t>
        </is>
      </c>
      <c r="U899" s="134" t="inlineStr">
        <is>
          <t>144 0.88%</t>
        </is>
      </c>
    </row>
    <row customHeight="1" ht="17" r="900" s="155">
      <c r="A900" s="105" t="n">
        <v>44446</v>
      </c>
      <c r="B900" s="134" t="n">
        <v>1919.359</v>
      </c>
      <c r="C900" s="152" t="n">
        <v>22.122</v>
      </c>
      <c r="D900" s="153" t="n">
        <v>0.0117</v>
      </c>
      <c r="E900" s="134" t="n">
        <v>145.096</v>
      </c>
      <c r="F900" s="134" t="n">
        <v>123.99</v>
      </c>
      <c r="G900" s="134" t="n">
        <v>101.68</v>
      </c>
      <c r="H900" s="134" t="n">
        <v>178.78</v>
      </c>
      <c r="I900" s="104" t="n">
        <v>0.3368</v>
      </c>
      <c r="J900" s="104" t="n">
        <v>0.2301</v>
      </c>
      <c r="K900" s="104" t="n">
        <v>-0.0423</v>
      </c>
      <c r="L900" s="134" t="n">
        <v>841.4400000000001</v>
      </c>
      <c r="M900" s="134" t="n">
        <v>6103.6</v>
      </c>
      <c r="N900" s="104" t="n">
        <v>0.1379</v>
      </c>
      <c r="O900" s="134" t="n">
        <v>373</v>
      </c>
      <c r="P900" s="134" t="n">
        <v>0</v>
      </c>
      <c r="Q900" s="134" t="inlineStr">
        <is>
          <t>5 0.87%</t>
        </is>
      </c>
      <c r="R900" s="134" t="inlineStr">
        <is>
          <t>54 0.60%</t>
        </is>
      </c>
      <c r="S900" s="134" t="inlineStr">
        <is>
          <t>90 0.59%</t>
        </is>
      </c>
      <c r="T900" s="134" t="inlineStr">
        <is>
          <t>75 0.91%</t>
        </is>
      </c>
      <c r="U900" s="134" t="inlineStr">
        <is>
          <t>149 1.86%</t>
        </is>
      </c>
    </row>
    <row customHeight="1" ht="17" r="901" s="155">
      <c r="A901" s="105" t="n">
        <v>44447</v>
      </c>
      <c r="B901" s="134" t="n">
        <v>1927.401</v>
      </c>
      <c r="C901" s="152" t="n">
        <v>8.042</v>
      </c>
      <c r="D901" s="153" t="n">
        <v>0.0042</v>
      </c>
      <c r="E901" s="134" t="n">
        <v>145.398</v>
      </c>
      <c r="F901" s="134" t="n">
        <v>124.27</v>
      </c>
      <c r="G901" s="134" t="n">
        <v>102.53</v>
      </c>
      <c r="H901" s="134" t="n">
        <v>178.79</v>
      </c>
      <c r="I901" s="104" t="n">
        <v>0.3339</v>
      </c>
      <c r="J901" s="104" t="n">
        <v>0.2332</v>
      </c>
      <c r="K901" s="104" t="n">
        <v>-0.0431</v>
      </c>
      <c r="L901" s="134" t="n">
        <v>847.41</v>
      </c>
      <c r="M901" s="134" t="n">
        <v>6100.4</v>
      </c>
      <c r="N901" s="104" t="n">
        <v>0.1389</v>
      </c>
      <c r="O901" s="134" t="n">
        <v>373</v>
      </c>
      <c r="P901" s="134" t="n">
        <v>0</v>
      </c>
      <c r="Q901" s="134" t="inlineStr">
        <is>
          <t>5 1.84%</t>
        </is>
      </c>
      <c r="R901" s="134" t="inlineStr">
        <is>
          <t>48 0.50%</t>
        </is>
      </c>
      <c r="S901" s="134" t="inlineStr">
        <is>
          <t>93 0.48%</t>
        </is>
      </c>
      <c r="T901" s="134" t="inlineStr">
        <is>
          <t>77 0.47%</t>
        </is>
      </c>
      <c r="U901" s="134" t="inlineStr">
        <is>
          <t>150 0.28%</t>
        </is>
      </c>
    </row>
    <row customHeight="1" ht="17" r="902" s="155">
      <c r="A902" s="105" t="n">
        <v>44448</v>
      </c>
      <c r="B902" s="134" t="n">
        <v>1925.57</v>
      </c>
      <c r="C902" s="150" t="n">
        <v>-1.831</v>
      </c>
      <c r="D902" s="151" t="n">
        <v>-0.001</v>
      </c>
      <c r="E902" s="134" t="n">
        <v>144.81</v>
      </c>
      <c r="F902" s="134" t="n">
        <v>124.201</v>
      </c>
      <c r="G902" s="134" t="n">
        <v>102.42</v>
      </c>
      <c r="H902" s="134" t="n">
        <v>178.43</v>
      </c>
      <c r="I902" s="104" t="n">
        <v>0.3362</v>
      </c>
      <c r="J902" s="104" t="n">
        <v>0.2306</v>
      </c>
      <c r="K902" s="104" t="n">
        <v>-0.0427</v>
      </c>
      <c r="L902" s="134" t="n">
        <v>797.6799999999999</v>
      </c>
      <c r="M902" s="134" t="n">
        <v>6104.91</v>
      </c>
      <c r="N902" s="104" t="n">
        <v>0.1307</v>
      </c>
      <c r="O902" s="134" t="n">
        <v>373</v>
      </c>
      <c r="P902" s="134" t="n">
        <v>0</v>
      </c>
      <c r="Q902" s="134" t="inlineStr">
        <is>
          <t>5 -0.82%</t>
        </is>
      </c>
      <c r="R902" s="134" t="inlineStr">
        <is>
          <t>47 -0.01%</t>
        </is>
      </c>
      <c r="S902" s="134" t="inlineStr">
        <is>
          <t>96 -0.07%</t>
        </is>
      </c>
      <c r="T902" s="134" t="inlineStr">
        <is>
          <t>76 -0.25%</t>
        </is>
      </c>
      <c r="U902" s="134" t="inlineStr">
        <is>
          <t>149 -0.03%</t>
        </is>
      </c>
    </row>
    <row customHeight="1" ht="17" r="903" s="155">
      <c r="A903" s="105" t="n">
        <v>44449</v>
      </c>
      <c r="B903" s="134" t="n">
        <v>1919.774</v>
      </c>
      <c r="C903" s="150" t="n">
        <v>-5.796</v>
      </c>
      <c r="D903" s="151" t="n">
        <v>-0.003</v>
      </c>
      <c r="E903" s="134" t="n">
        <v>144.496</v>
      </c>
      <c r="F903" s="134" t="n">
        <v>123.296</v>
      </c>
      <c r="G903" s="134" t="n">
        <v>102.61</v>
      </c>
      <c r="H903" s="134" t="n">
        <v>178.37</v>
      </c>
      <c r="I903" s="104" t="n">
        <v>0.3387</v>
      </c>
      <c r="J903" s="104" t="n">
        <v>0.227</v>
      </c>
      <c r="K903" s="104" t="n">
        <v>-0.0417</v>
      </c>
      <c r="L903" s="134" t="n">
        <v>964.75</v>
      </c>
      <c r="M903" s="134" t="n">
        <v>6100.59</v>
      </c>
      <c r="N903" s="104" t="n">
        <v>0.1581</v>
      </c>
      <c r="O903" s="134" t="n">
        <v>372</v>
      </c>
      <c r="P903" s="134" t="n">
        <v>0</v>
      </c>
      <c r="Q903" s="134" t="inlineStr">
        <is>
          <t>5 -0.71%</t>
        </is>
      </c>
      <c r="R903" s="134" t="inlineStr">
        <is>
          <t>52 -0.44%</t>
        </is>
      </c>
      <c r="S903" s="134" t="inlineStr">
        <is>
          <t>97 -0.51%</t>
        </is>
      </c>
      <c r="T903" s="134" t="inlineStr">
        <is>
          <t>75 -0.64%</t>
        </is>
      </c>
      <c r="U903" s="134" t="inlineStr">
        <is>
          <t>143 0.08%</t>
        </is>
      </c>
    </row>
    <row customHeight="1" ht="17" r="904" s="155">
      <c r="A904" s="105" t="n">
        <v>44452</v>
      </c>
      <c r="B904" s="134" t="n">
        <v>1927.76</v>
      </c>
      <c r="C904" s="152" t="n">
        <v>7.986</v>
      </c>
      <c r="D904" s="153" t="n">
        <v>0.0042</v>
      </c>
      <c r="E904" s="134" t="n">
        <v>145.171</v>
      </c>
      <c r="F904" s="134" t="n">
        <v>123.8</v>
      </c>
      <c r="G904" s="134" t="n">
        <v>103.14</v>
      </c>
      <c r="H904" s="134" t="n">
        <v>178.67</v>
      </c>
      <c r="I904" s="104" t="n">
        <v>0.335</v>
      </c>
      <c r="J904" s="104" t="n">
        <v>0.2224</v>
      </c>
      <c r="K904" s="104" t="n">
        <v>-0.043</v>
      </c>
      <c r="L904" s="134" t="n">
        <v>937.1799999999999</v>
      </c>
      <c r="M904" s="134" t="n">
        <v>6194.48</v>
      </c>
      <c r="N904" s="104" t="n">
        <v>0.1513</v>
      </c>
      <c r="O904" s="134" t="n">
        <v>373</v>
      </c>
      <c r="P904" s="134" t="n">
        <v>0</v>
      </c>
      <c r="Q904" s="134" t="inlineStr">
        <is>
          <t>5 -0.06%</t>
        </is>
      </c>
      <c r="R904" s="134" t="inlineStr">
        <is>
          <t>49 0.19%</t>
        </is>
      </c>
      <c r="S904" s="134" t="inlineStr">
        <is>
          <t>97 0.24%</t>
        </is>
      </c>
      <c r="T904" s="134" t="inlineStr">
        <is>
          <t>76 0.26%</t>
        </is>
      </c>
      <c r="U904" s="134" t="inlineStr">
        <is>
          <t>146 0.71%</t>
        </is>
      </c>
    </row>
    <row customHeight="1" ht="17" r="905" s="155">
      <c r="A905" s="105" t="n">
        <v>44453</v>
      </c>
      <c r="B905" s="134" t="n">
        <v>1916.039</v>
      </c>
      <c r="C905" s="150" t="n">
        <v>-11.721</v>
      </c>
      <c r="D905" s="151" t="n">
        <v>-0.0061</v>
      </c>
      <c r="E905" s="134" t="n">
        <v>144.871</v>
      </c>
      <c r="F905" s="134" t="n">
        <v>122.65</v>
      </c>
      <c r="G905" s="134" t="n">
        <v>101.83</v>
      </c>
      <c r="H905" s="134" t="n">
        <v>179.23</v>
      </c>
      <c r="I905" s="104" t="n">
        <v>0.3436</v>
      </c>
      <c r="J905" s="104" t="n">
        <v>0.2345</v>
      </c>
      <c r="K905" s="104" t="n">
        <v>-0.0408</v>
      </c>
      <c r="L905" s="134" t="n">
        <v>1055.6</v>
      </c>
      <c r="M905" s="134" t="n">
        <v>6191.07</v>
      </c>
      <c r="N905" s="104" t="n">
        <v>0.1705</v>
      </c>
      <c r="O905" s="134" t="n">
        <v>373</v>
      </c>
      <c r="P905" s="134" t="n">
        <v>0</v>
      </c>
      <c r="Q905" s="134" t="inlineStr">
        <is>
          <t>5 -1.93%</t>
        </is>
      </c>
      <c r="R905" s="134" t="inlineStr">
        <is>
          <t>61 -1.35%</t>
        </is>
      </c>
      <c r="S905" s="134" t="inlineStr">
        <is>
          <t>98 -1.19%</t>
        </is>
      </c>
      <c r="T905" s="134" t="inlineStr">
        <is>
          <t>68 -1.09%</t>
        </is>
      </c>
      <c r="U905" s="134" t="inlineStr">
        <is>
          <t>141 0.40%</t>
        </is>
      </c>
    </row>
    <row customHeight="1" ht="17" r="906" s="155">
      <c r="A906" s="105" t="n">
        <v>44454</v>
      </c>
      <c r="B906" s="134" t="n">
        <v>1917.246</v>
      </c>
      <c r="C906" s="152" t="n">
        <v>1.207</v>
      </c>
      <c r="D906" s="153" t="n">
        <v>0.0005999999999999999</v>
      </c>
      <c r="E906" s="134" t="n">
        <v>144.935</v>
      </c>
      <c r="F906" s="134" t="n">
        <v>121.993</v>
      </c>
      <c r="G906" s="134" t="n">
        <v>102.14</v>
      </c>
      <c r="H906" s="134" t="n">
        <v>178.23</v>
      </c>
      <c r="I906" s="104" t="n">
        <v>0.3329</v>
      </c>
      <c r="J906" s="104" t="n">
        <v>0.225</v>
      </c>
      <c r="K906" s="104" t="n">
        <v>-0.0405</v>
      </c>
      <c r="L906" s="134" t="n">
        <v>1075.97</v>
      </c>
      <c r="M906" s="134" t="n">
        <v>6187.58</v>
      </c>
      <c r="N906" s="104" t="n">
        <v>0.1739</v>
      </c>
      <c r="O906" s="134" t="n">
        <v>372</v>
      </c>
      <c r="P906" s="134" t="n">
        <v>0</v>
      </c>
      <c r="Q906" s="134" t="inlineStr">
        <is>
          <t>5 -0.45%</t>
        </is>
      </c>
      <c r="R906" s="134" t="inlineStr">
        <is>
          <t>65 -0.44%</t>
        </is>
      </c>
      <c r="S906" s="134" t="inlineStr">
        <is>
          <t>99 -0.58%</t>
        </is>
      </c>
      <c r="T906" s="134" t="inlineStr">
        <is>
          <t>63 -0.15%</t>
        </is>
      </c>
      <c r="U906" s="134" t="inlineStr">
        <is>
          <t>140 0.87%</t>
        </is>
      </c>
    </row>
    <row customHeight="1" ht="17" r="907" s="155">
      <c r="A907" s="105" t="n">
        <v>44455</v>
      </c>
      <c r="B907" s="134" t="n">
        <v>1879.227</v>
      </c>
      <c r="C907" s="150" t="n">
        <v>-38.019</v>
      </c>
      <c r="D907" s="151" t="n">
        <v>-0.0198</v>
      </c>
      <c r="E907" s="134" t="n">
        <v>141.298</v>
      </c>
      <c r="F907" s="134" t="n">
        <v>120.47</v>
      </c>
      <c r="G907" s="134" t="n">
        <v>99.86</v>
      </c>
      <c r="H907" s="134" t="n">
        <v>174.22</v>
      </c>
      <c r="I907" s="104" t="n">
        <v>0.3292</v>
      </c>
      <c r="J907" s="104" t="n">
        <v>0.2218</v>
      </c>
      <c r="K907" s="104" t="n">
        <v>-0.0355</v>
      </c>
      <c r="L907" s="134" t="n">
        <v>908.7</v>
      </c>
      <c r="M907" s="134" t="n">
        <v>6182.37</v>
      </c>
      <c r="N907" s="104" t="n">
        <v>0.147</v>
      </c>
      <c r="O907" s="134" t="n">
        <v>372</v>
      </c>
      <c r="P907" s="134" t="n">
        <v>0</v>
      </c>
      <c r="Q907" s="134" t="inlineStr">
        <is>
          <t>7 -1.35%</t>
        </is>
      </c>
      <c r="R907" s="134" t="inlineStr">
        <is>
          <t>78 -1.06%</t>
        </is>
      </c>
      <c r="S907" s="134" t="inlineStr">
        <is>
          <t>95 -1.34%</t>
        </is>
      </c>
      <c r="T907" s="134" t="inlineStr">
        <is>
          <t>60 -1.33%</t>
        </is>
      </c>
      <c r="U907" s="134" t="inlineStr">
        <is>
          <t>132 -3.32%</t>
        </is>
      </c>
    </row>
    <row customHeight="1" ht="17" r="908" s="155">
      <c r="A908" s="105" t="n">
        <v>44456</v>
      </c>
      <c r="B908" s="134" t="n">
        <v>1869.286</v>
      </c>
      <c r="C908" s="150" t="n">
        <v>-9.941000000000001</v>
      </c>
      <c r="D908" s="151" t="n">
        <v>-0.0053</v>
      </c>
      <c r="E908" s="134" t="n">
        <v>140.307</v>
      </c>
      <c r="F908" s="134" t="n">
        <v>120.05</v>
      </c>
      <c r="G908" s="134" t="n">
        <v>100</v>
      </c>
      <c r="H908" s="134" t="n">
        <v>172.76</v>
      </c>
      <c r="I908" s="104" t="n">
        <v>0.3245</v>
      </c>
      <c r="J908" s="104" t="n">
        <v>0.2134</v>
      </c>
      <c r="K908" s="104" t="n">
        <v>-0.0339</v>
      </c>
      <c r="L908" s="134" t="n">
        <v>1003.78</v>
      </c>
      <c r="M908" s="134" t="n">
        <v>6187.97</v>
      </c>
      <c r="N908" s="104" t="n">
        <v>0.1622</v>
      </c>
      <c r="O908" s="134" t="n">
        <v>373</v>
      </c>
      <c r="P908" s="134" t="inlineStr">
        <is>
          <t>2 -1.13%</t>
        </is>
      </c>
      <c r="Q908" s="134" t="inlineStr">
        <is>
          <t>6 -1.00%</t>
        </is>
      </c>
      <c r="R908" s="134" t="inlineStr">
        <is>
          <t>80 -0.52%</t>
        </is>
      </c>
      <c r="S908" s="134" t="inlineStr">
        <is>
          <t>97 -0.33%</t>
        </is>
      </c>
      <c r="T908" s="134" t="inlineStr">
        <is>
          <t>62 -0.63%</t>
        </is>
      </c>
      <c r="U908" s="134" t="inlineStr">
        <is>
          <t>126 -0.61%</t>
        </is>
      </c>
    </row>
    <row customHeight="1" ht="17" r="909" s="155">
      <c r="A909" s="105" t="n">
        <v>44461</v>
      </c>
      <c r="B909" s="134" t="n">
        <v>1877.137</v>
      </c>
      <c r="C909" s="152" t="n">
        <v>7.851</v>
      </c>
      <c r="D909" s="153" t="n">
        <v>0.0042</v>
      </c>
      <c r="E909" s="134" t="n">
        <v>140.794</v>
      </c>
      <c r="F909" s="134" t="n">
        <v>120.5</v>
      </c>
      <c r="G909" s="134" t="n">
        <v>99.65000000000001</v>
      </c>
      <c r="H909" s="134" t="n">
        <v>173.46</v>
      </c>
      <c r="I909" s="104" t="n">
        <v>0.3267</v>
      </c>
      <c r="J909" s="104" t="n">
        <v>0.2081</v>
      </c>
      <c r="K909" s="104" t="n">
        <v>-0.0346</v>
      </c>
      <c r="L909" s="134" t="n">
        <v>749.88</v>
      </c>
      <c r="M909" s="134" t="n">
        <v>6184.36</v>
      </c>
      <c r="N909" s="104" t="n">
        <v>0.1213</v>
      </c>
      <c r="O909" s="134" t="n">
        <v>373</v>
      </c>
      <c r="P909" s="134" t="n">
        <v>0</v>
      </c>
      <c r="Q909" s="134" t="inlineStr">
        <is>
          <t>10 -0.16%</t>
        </is>
      </c>
      <c r="R909" s="134" t="inlineStr">
        <is>
          <t>80 -0.14%</t>
        </is>
      </c>
      <c r="S909" s="134" t="inlineStr">
        <is>
          <t>92 -0.25%</t>
        </is>
      </c>
      <c r="T909" s="134" t="inlineStr">
        <is>
          <t>69 0.12%</t>
        </is>
      </c>
      <c r="U909" s="134" t="inlineStr">
        <is>
          <t>122 1.51%</t>
        </is>
      </c>
    </row>
    <row customHeight="1" ht="17" r="910" s="155">
      <c r="A910" s="105" t="n">
        <v>44462</v>
      </c>
      <c r="B910" s="134" t="n">
        <v>1891.14</v>
      </c>
      <c r="C910" s="152" t="n">
        <v>14.003</v>
      </c>
      <c r="D910" s="153" t="n">
        <v>0.0075</v>
      </c>
      <c r="E910" s="134" t="n">
        <v>141.345</v>
      </c>
      <c r="F910" s="134" t="n">
        <v>121.38</v>
      </c>
      <c r="G910" s="134" t="n">
        <v>101.14</v>
      </c>
      <c r="H910" s="134" t="n">
        <v>173.67</v>
      </c>
      <c r="I910" s="104" t="n">
        <v>0.3233</v>
      </c>
      <c r="J910" s="104" t="n">
        <v>0.2156</v>
      </c>
      <c r="K910" s="104" t="n">
        <v>-0.037</v>
      </c>
      <c r="L910" s="134" t="n">
        <v>776.9400000000001</v>
      </c>
      <c r="M910" s="134" t="n">
        <v>6177.37</v>
      </c>
      <c r="N910" s="104" t="n">
        <v>0.1258</v>
      </c>
      <c r="O910" s="134" t="n">
        <v>373</v>
      </c>
      <c r="P910" s="134" t="n">
        <v>0</v>
      </c>
      <c r="Q910" s="134" t="inlineStr">
        <is>
          <t>9 1.26%</t>
        </is>
      </c>
      <c r="R910" s="134" t="inlineStr">
        <is>
          <t>73 0.83%</t>
        </is>
      </c>
      <c r="S910" s="134" t="inlineStr">
        <is>
          <t>95 1.07%</t>
        </is>
      </c>
      <c r="T910" s="134" t="inlineStr">
        <is>
          <t>64 1.09%</t>
        </is>
      </c>
      <c r="U910" s="134" t="inlineStr">
        <is>
          <t>132 0.27%</t>
        </is>
      </c>
    </row>
    <row customHeight="1" ht="17" r="911" s="155">
      <c r="A911" s="105" t="n">
        <v>44463</v>
      </c>
      <c r="B911" s="134" t="n">
        <v>1877.581</v>
      </c>
      <c r="C911" s="150" t="n">
        <v>-13.559</v>
      </c>
      <c r="D911" s="151" t="n">
        <v>-0.0072</v>
      </c>
      <c r="E911" s="134" t="n">
        <v>139.966</v>
      </c>
      <c r="F911" s="134" t="n">
        <v>120.89</v>
      </c>
      <c r="G911" s="134" t="n">
        <v>98.77</v>
      </c>
      <c r="H911" s="134" t="n">
        <v>173.75</v>
      </c>
      <c r="I911" s="104" t="n">
        <v>0.3379</v>
      </c>
      <c r="J911" s="104" t="n">
        <v>0.2312</v>
      </c>
      <c r="K911" s="104" t="n">
        <v>-0.0349</v>
      </c>
      <c r="L911" s="134" t="n">
        <v>799.96</v>
      </c>
      <c r="M911" s="134" t="n">
        <v>6182.57</v>
      </c>
      <c r="N911" s="104" t="n">
        <v>0.1294</v>
      </c>
      <c r="O911" s="134" t="n">
        <v>373</v>
      </c>
      <c r="P911" s="134" t="n">
        <v>0</v>
      </c>
      <c r="Q911" s="134" t="inlineStr">
        <is>
          <t>8 -0.25%</t>
        </is>
      </c>
      <c r="R911" s="134" t="inlineStr">
        <is>
          <t>76 -0.02%</t>
        </is>
      </c>
      <c r="S911" s="134" t="inlineStr">
        <is>
          <t>98 -0.38%</t>
        </is>
      </c>
      <c r="T911" s="134" t="inlineStr">
        <is>
          <t>64 -0.84%</t>
        </is>
      </c>
      <c r="U911" s="134" t="inlineStr">
        <is>
          <t>127 -1.37%</t>
        </is>
      </c>
    </row>
    <row customHeight="1" ht="17" r="912" s="155">
      <c r="A912" s="105" t="n">
        <v>44466</v>
      </c>
      <c r="B912" s="134" t="n">
        <v>1835.861</v>
      </c>
      <c r="C912" s="150" t="n">
        <v>-41.72</v>
      </c>
      <c r="D912" s="151" t="n">
        <v>-0.0222</v>
      </c>
      <c r="E912" s="134" t="n">
        <v>136.222</v>
      </c>
      <c r="F912" s="134" t="n">
        <v>118.87</v>
      </c>
      <c r="G912" s="134" t="n">
        <v>96</v>
      </c>
      <c r="H912" s="134" t="n">
        <v>170.99</v>
      </c>
      <c r="I912" s="104" t="n">
        <v>0.3477</v>
      </c>
      <c r="J912" s="104" t="n">
        <v>0.2436</v>
      </c>
      <c r="K912" s="104" t="n">
        <v>-0.0298</v>
      </c>
      <c r="L912" s="134" t="n">
        <v>763.0700000000001</v>
      </c>
      <c r="M912" s="134" t="n">
        <v>6175.43</v>
      </c>
      <c r="N912" s="104" t="n">
        <v>0.1236</v>
      </c>
      <c r="O912" s="134" t="n">
        <v>373</v>
      </c>
      <c r="P912" s="134" t="n">
        <v>0</v>
      </c>
      <c r="Q912" s="134" t="inlineStr">
        <is>
          <t>10 -1.09%</t>
        </is>
      </c>
      <c r="R912" s="134" t="inlineStr">
        <is>
          <t>88 -0.99%</t>
        </is>
      </c>
      <c r="S912" s="134" t="inlineStr">
        <is>
          <t>101 -1.62%</t>
        </is>
      </c>
      <c r="T912" s="134" t="inlineStr">
        <is>
          <t>61 -2.23%</t>
        </is>
      </c>
      <c r="U912" s="134" t="inlineStr">
        <is>
          <t>113 -3.82%</t>
        </is>
      </c>
    </row>
    <row customHeight="1" ht="17" r="913" s="155">
      <c r="A913" s="105" t="n">
        <v>44467</v>
      </c>
      <c r="B913" s="134" t="n">
        <v>1842.14</v>
      </c>
      <c r="C913" s="152" t="n">
        <v>6.279</v>
      </c>
      <c r="D913" s="153" t="n">
        <v>0.0034</v>
      </c>
      <c r="E913" s="134" t="n">
        <v>136.511</v>
      </c>
      <c r="F913" s="134" t="n">
        <v>119.308</v>
      </c>
      <c r="G913" s="134" t="n">
        <v>97.13</v>
      </c>
      <c r="H913" s="134" t="n">
        <v>171.12</v>
      </c>
      <c r="I913" s="104" t="n">
        <v>0.3461</v>
      </c>
      <c r="J913" s="104" t="n">
        <v>0.2422</v>
      </c>
      <c r="K913" s="104" t="n">
        <v>-0.031</v>
      </c>
      <c r="L913" s="134" t="n">
        <v>711.95</v>
      </c>
      <c r="M913" s="134" t="n">
        <v>6169.54</v>
      </c>
      <c r="N913" s="104" t="n">
        <v>0.1154</v>
      </c>
      <c r="O913" s="134" t="n">
        <v>373</v>
      </c>
      <c r="P913" s="134" t="n">
        <v>0</v>
      </c>
      <c r="Q913" s="134" t="inlineStr">
        <is>
          <t>10 0.34%</t>
        </is>
      </c>
      <c r="R913" s="134" t="inlineStr">
        <is>
          <t>88 0.17%</t>
        </is>
      </c>
      <c r="S913" s="134" t="inlineStr">
        <is>
          <t>99 0.25%</t>
        </is>
      </c>
      <c r="T913" s="134" t="inlineStr">
        <is>
          <t>63 0.38%</t>
        </is>
      </c>
      <c r="U913" s="134" t="inlineStr">
        <is>
          <t>113 0.54%</t>
        </is>
      </c>
    </row>
    <row customHeight="1" ht="17" r="914" s="155">
      <c r="A914" s="105" t="n">
        <v>44468</v>
      </c>
      <c r="B914" s="134" t="n">
        <v>1808.908</v>
      </c>
      <c r="C914" s="150" t="n">
        <v>-33.232</v>
      </c>
      <c r="D914" s="151" t="n">
        <v>-0.018</v>
      </c>
      <c r="E914" s="134" t="n">
        <v>133.519</v>
      </c>
      <c r="F914" s="134" t="n">
        <v>117.04</v>
      </c>
      <c r="G914" s="134" t="n">
        <v>95</v>
      </c>
      <c r="H914" s="134" t="n">
        <v>169.7</v>
      </c>
      <c r="I914" s="104" t="n">
        <v>0.3618</v>
      </c>
      <c r="J914" s="104" t="n">
        <v>0.2534</v>
      </c>
      <c r="K914" s="104" t="n">
        <v>-0.0262</v>
      </c>
      <c r="L914" s="134" t="n">
        <v>730.51</v>
      </c>
      <c r="M914" s="134" t="n">
        <v>6165.94</v>
      </c>
      <c r="N914" s="104" t="n">
        <v>0.1185</v>
      </c>
      <c r="O914" s="134" t="n">
        <v>373</v>
      </c>
      <c r="P914" s="134" t="inlineStr">
        <is>
          <t>2 -0.59%</t>
        </is>
      </c>
      <c r="Q914" s="134" t="inlineStr">
        <is>
          <t>8 -0.27%</t>
        </is>
      </c>
      <c r="R914" s="134" t="inlineStr">
        <is>
          <t>93 -0.34%</t>
        </is>
      </c>
      <c r="S914" s="134" t="inlineStr">
        <is>
          <t>117 -1.29%</t>
        </is>
      </c>
      <c r="T914" s="134" t="inlineStr">
        <is>
          <t>47 -1.73%</t>
        </is>
      </c>
      <c r="U914" s="134" t="inlineStr">
        <is>
          <t>106 -3.82%</t>
        </is>
      </c>
    </row>
    <row customHeight="1" ht="17" r="915" s="155">
      <c r="A915" s="105" t="n">
        <v>44469</v>
      </c>
      <c r="B915" s="134" t="n">
        <v>1837.254</v>
      </c>
      <c r="C915" s="152" t="n">
        <v>28.346</v>
      </c>
      <c r="D915" s="153" t="n">
        <v>0.0157</v>
      </c>
      <c r="E915" s="134" t="n">
        <v>136.032</v>
      </c>
      <c r="F915" s="134" t="n">
        <v>118.85</v>
      </c>
      <c r="G915" s="134" t="n">
        <v>96.17</v>
      </c>
      <c r="H915" s="134" t="n">
        <v>171.19</v>
      </c>
      <c r="I915" s="104" t="n">
        <v>0.3516</v>
      </c>
      <c r="J915" s="104" t="n">
        <v>0.2398</v>
      </c>
      <c r="K915" s="104" t="n">
        <v>-0.0297</v>
      </c>
      <c r="L915" s="134" t="n">
        <v>832.4</v>
      </c>
      <c r="M915" s="134" t="n">
        <v>6162.65</v>
      </c>
      <c r="N915" s="104" t="n">
        <v>0.1351</v>
      </c>
      <c r="O915" s="134" t="n">
        <v>373</v>
      </c>
      <c r="P915" s="134" t="n">
        <v>0</v>
      </c>
      <c r="Q915" s="134" t="inlineStr">
        <is>
          <t>9 0.60%</t>
        </is>
      </c>
      <c r="R915" s="134" t="inlineStr">
        <is>
          <t>87 0.45%</t>
        </is>
      </c>
      <c r="S915" s="134" t="inlineStr">
        <is>
          <t>108 0.84%</t>
        </is>
      </c>
      <c r="T915" s="134" t="inlineStr">
        <is>
          <t>58 1.73%</t>
        </is>
      </c>
      <c r="U915" s="134" t="inlineStr">
        <is>
          <t>111 3.14%</t>
        </is>
      </c>
    </row>
    <row customHeight="1" ht="17" r="916" s="155">
      <c r="A916" s="105" t="n">
        <v>44477</v>
      </c>
      <c r="B916" s="134" t="n">
        <v>1845.301</v>
      </c>
      <c r="C916" s="152" t="n">
        <v>8.047000000000001</v>
      </c>
      <c r="D916" s="153" t="n">
        <v>0.0044</v>
      </c>
      <c r="E916" s="134" t="n">
        <v>136.232</v>
      </c>
      <c r="F916" s="134" t="n">
        <v>119.545</v>
      </c>
      <c r="G916" s="134" t="n">
        <v>98.41</v>
      </c>
      <c r="H916" s="134" t="n">
        <v>169.82</v>
      </c>
      <c r="I916" s="104" t="n">
        <v>0.3359</v>
      </c>
      <c r="J916" s="104" t="n">
        <v>0.2325</v>
      </c>
      <c r="K916" s="104" t="n">
        <v>-0.0314</v>
      </c>
      <c r="L916" s="134" t="n">
        <v>572.64</v>
      </c>
      <c r="M916" s="134" t="n">
        <v>6169.37</v>
      </c>
      <c r="N916" s="104" t="n">
        <v>0.09279999999999999</v>
      </c>
      <c r="O916" s="134" t="n">
        <v>374</v>
      </c>
      <c r="P916" s="134" t="n">
        <v>0</v>
      </c>
      <c r="Q916" s="134" t="inlineStr">
        <is>
          <t>8 0.66%</t>
        </is>
      </c>
      <c r="R916" s="134" t="inlineStr">
        <is>
          <t>74 0.45%</t>
        </is>
      </c>
      <c r="S916" s="134" t="inlineStr">
        <is>
          <t>113 0.60%</t>
        </is>
      </c>
      <c r="T916" s="134" t="inlineStr">
        <is>
          <t>66 0.78%</t>
        </is>
      </c>
      <c r="U916" s="134" t="inlineStr">
        <is>
          <t>113 0.05%</t>
        </is>
      </c>
    </row>
    <row customHeight="1" ht="17" r="917" s="155">
      <c r="A917" s="105" t="n">
        <v>44480</v>
      </c>
      <c r="B917" s="134" t="n">
        <v>1842.422</v>
      </c>
      <c r="C917" s="150" t="n">
        <v>-2.879</v>
      </c>
      <c r="D917" s="151" t="n">
        <v>-0.0016</v>
      </c>
      <c r="E917" s="134" t="n">
        <v>136.017</v>
      </c>
      <c r="F917" s="134" t="n">
        <v>119.7</v>
      </c>
      <c r="G917" s="134" t="n">
        <v>99.04000000000001</v>
      </c>
      <c r="H917" s="134" t="n">
        <v>169.32</v>
      </c>
      <c r="I917" s="104" t="n">
        <v>0.333</v>
      </c>
      <c r="J917" s="104" t="n">
        <v>0.227</v>
      </c>
      <c r="K917" s="104" t="n">
        <v>-0.0312</v>
      </c>
      <c r="L917" s="134" t="n">
        <v>616.3</v>
      </c>
      <c r="M917" s="134" t="n">
        <v>6165.45</v>
      </c>
      <c r="N917" s="104" t="n">
        <v>0.1</v>
      </c>
      <c r="O917" s="134" t="n">
        <v>374</v>
      </c>
      <c r="P917" s="134" t="n">
        <v>0</v>
      </c>
      <c r="Q917" s="134" t="inlineStr">
        <is>
          <t>9 -0.15%</t>
        </is>
      </c>
      <c r="R917" s="134" t="inlineStr">
        <is>
          <t>76 -0.19%</t>
        </is>
      </c>
      <c r="S917" s="134" t="inlineStr">
        <is>
          <t>106 -0.14%</t>
        </is>
      </c>
      <c r="T917" s="134" t="inlineStr">
        <is>
          <t>73 0.15%</t>
        </is>
      </c>
      <c r="U917" s="134" t="inlineStr">
        <is>
          <t>110 -0.35%</t>
        </is>
      </c>
    </row>
    <row customHeight="1" ht="17" r="918" s="155">
      <c r="A918" s="105" t="n">
        <v>44481</v>
      </c>
      <c r="B918" s="134" t="n">
        <v>1811.709</v>
      </c>
      <c r="C918" s="150" t="n">
        <v>-30.713</v>
      </c>
      <c r="D918" s="151" t="n">
        <v>-0.0167</v>
      </c>
      <c r="E918" s="134" t="n">
        <v>133.341</v>
      </c>
      <c r="F918" s="134" t="n">
        <v>117.96</v>
      </c>
      <c r="G918" s="134" t="n">
        <v>97.15000000000001</v>
      </c>
      <c r="H918" s="134" t="n">
        <v>166.93</v>
      </c>
      <c r="I918" s="104" t="n">
        <v>0.3359</v>
      </c>
      <c r="J918" s="104" t="n">
        <v>0.2269</v>
      </c>
      <c r="K918" s="104" t="n">
        <v>-0.0271</v>
      </c>
      <c r="L918" s="134" t="n">
        <v>662.77</v>
      </c>
      <c r="M918" s="134" t="n">
        <v>6161.79</v>
      </c>
      <c r="N918" s="104" t="n">
        <v>0.1076</v>
      </c>
      <c r="O918" s="134" t="n">
        <v>373</v>
      </c>
      <c r="P918" s="134" t="n">
        <v>0</v>
      </c>
      <c r="Q918" s="134" t="inlineStr">
        <is>
          <t>9 -0.51%</t>
        </is>
      </c>
      <c r="R918" s="134" t="inlineStr">
        <is>
          <t>87 -0.76%</t>
        </is>
      </c>
      <c r="S918" s="134" t="inlineStr">
        <is>
          <t>113 -1.07%</t>
        </is>
      </c>
      <c r="T918" s="134" t="inlineStr">
        <is>
          <t>59 -1.70%</t>
        </is>
      </c>
      <c r="U918" s="134" t="inlineStr">
        <is>
          <t>105 -3.14%</t>
        </is>
      </c>
    </row>
    <row customHeight="1" ht="17" r="919" s="155">
      <c r="A919" s="105" t="n">
        <v>44482</v>
      </c>
      <c r="B919" s="134" t="n">
        <v>1807.977</v>
      </c>
      <c r="C919" s="150" t="n">
        <v>-3.732</v>
      </c>
      <c r="D919" s="151" t="n">
        <v>-0.0021</v>
      </c>
      <c r="E919" s="134" t="n">
        <v>133.304</v>
      </c>
      <c r="F919" s="134" t="n">
        <v>117.72</v>
      </c>
      <c r="G919" s="134" t="n">
        <v>97.02</v>
      </c>
      <c r="H919" s="134" t="n">
        <v>166.3</v>
      </c>
      <c r="I919" s="104" t="n">
        <v>0.33</v>
      </c>
      <c r="J919" s="104" t="n">
        <v>0.2158</v>
      </c>
      <c r="K919" s="104" t="n">
        <v>-0.0267</v>
      </c>
      <c r="L919" s="134" t="n">
        <v>578.17</v>
      </c>
      <c r="M919" s="134" t="n">
        <v>6155.42</v>
      </c>
      <c r="N919" s="104" t="n">
        <v>0.0939</v>
      </c>
      <c r="O919" s="134" t="n">
        <v>373</v>
      </c>
      <c r="P919" s="134" t="inlineStr">
        <is>
          <t>1 -1.13%</t>
        </is>
      </c>
      <c r="Q919" s="134" t="inlineStr">
        <is>
          <t>8 -0.47%</t>
        </is>
      </c>
      <c r="R919" s="134" t="inlineStr">
        <is>
          <t>92 -0.58%</t>
        </is>
      </c>
      <c r="S919" s="134" t="inlineStr">
        <is>
          <t>119 -0.47%</t>
        </is>
      </c>
      <c r="T919" s="134" t="inlineStr">
        <is>
          <t>51 -0.45%</t>
        </is>
      </c>
      <c r="U919" s="134" t="inlineStr">
        <is>
          <t>102 0.59%</t>
        </is>
      </c>
    </row>
    <row customHeight="1" ht="17" r="920" s="155">
      <c r="A920" s="105" t="n">
        <v>44483</v>
      </c>
      <c r="B920" s="134" t="n">
        <v>1819.53</v>
      </c>
      <c r="C920" s="152" t="n">
        <v>11.553</v>
      </c>
      <c r="D920" s="153" t="n">
        <v>0.0064</v>
      </c>
      <c r="E920" s="134" t="n">
        <v>134.342</v>
      </c>
      <c r="F920" s="134" t="n">
        <v>117.66</v>
      </c>
      <c r="G920" s="134" t="n">
        <v>96.92</v>
      </c>
      <c r="H920" s="134" t="n">
        <v>167.31</v>
      </c>
      <c r="I920" s="104" t="n">
        <v>0.3296</v>
      </c>
      <c r="J920" s="104" t="n">
        <v>0.2169</v>
      </c>
      <c r="K920" s="104" t="n">
        <v>-0.0281</v>
      </c>
      <c r="L920" s="134" t="n">
        <v>617.58</v>
      </c>
      <c r="M920" s="134" t="n">
        <v>6152.99</v>
      </c>
      <c r="N920" s="104" t="n">
        <v>0.1004</v>
      </c>
      <c r="O920" s="134" t="n">
        <v>373</v>
      </c>
      <c r="P920" s="134" t="inlineStr">
        <is>
          <t>1 0.00%</t>
        </is>
      </c>
      <c r="Q920" s="134" t="inlineStr">
        <is>
          <t>9 -0.21%</t>
        </is>
      </c>
      <c r="R920" s="134" t="inlineStr">
        <is>
          <t>90 0.06%</t>
        </is>
      </c>
      <c r="S920" s="134" t="inlineStr">
        <is>
          <t>108 0.17%</t>
        </is>
      </c>
      <c r="T920" s="134" t="inlineStr">
        <is>
          <t>60 0.67%</t>
        </is>
      </c>
      <c r="U920" s="134" t="inlineStr">
        <is>
          <t>105 1.68%</t>
        </is>
      </c>
    </row>
    <row customHeight="1" ht="17" r="921" s="155">
      <c r="A921" s="105" t="n">
        <v>44484</v>
      </c>
      <c r="B921" s="134" t="n">
        <v>1824.188</v>
      </c>
      <c r="C921" s="152" t="n">
        <v>4.658</v>
      </c>
      <c r="D921" s="153" t="n">
        <v>0.0026</v>
      </c>
      <c r="E921" s="134" t="n">
        <v>134.89</v>
      </c>
      <c r="F921" s="134" t="n">
        <v>117.989</v>
      </c>
      <c r="G921" s="134" t="n">
        <v>96.13</v>
      </c>
      <c r="H921" s="134" t="n">
        <v>169.31</v>
      </c>
      <c r="I921" s="104" t="n">
        <v>0.3442</v>
      </c>
      <c r="J921" s="104" t="n">
        <v>0.2222</v>
      </c>
      <c r="K921" s="104" t="n">
        <v>-0.0287</v>
      </c>
      <c r="L921" s="134" t="n">
        <v>630.98</v>
      </c>
      <c r="M921" s="134" t="n">
        <v>6150.15</v>
      </c>
      <c r="N921" s="104" t="n">
        <v>0.1026</v>
      </c>
      <c r="O921" s="134" t="n">
        <v>372</v>
      </c>
      <c r="P921" s="134" t="inlineStr">
        <is>
          <t>1 -0.67%</t>
        </is>
      </c>
      <c r="Q921" s="134" t="inlineStr">
        <is>
          <t>10 -0.50%</t>
        </is>
      </c>
      <c r="R921" s="134" t="inlineStr">
        <is>
          <t>90 -0.05%</t>
        </is>
      </c>
      <c r="S921" s="134" t="inlineStr">
        <is>
          <t>103 0.04%</t>
        </is>
      </c>
      <c r="T921" s="134" t="inlineStr">
        <is>
          <t>58 0.35%</t>
        </is>
      </c>
      <c r="U921" s="134" t="inlineStr">
        <is>
          <t>110 0.74%</t>
        </is>
      </c>
    </row>
    <row customHeight="1" ht="17" r="922" s="155">
      <c r="A922" s="105" t="n">
        <v>44487</v>
      </c>
      <c r="B922" s="134" t="n">
        <v>1837.833</v>
      </c>
      <c r="C922" s="152" t="n">
        <v>13.645</v>
      </c>
      <c r="D922" s="153" t="n">
        <v>0.0075</v>
      </c>
      <c r="E922" s="134" t="n">
        <v>136.298</v>
      </c>
      <c r="F922" s="134" t="n">
        <v>118.014</v>
      </c>
      <c r="G922" s="134" t="n">
        <v>96.83</v>
      </c>
      <c r="H922" s="134" t="n">
        <v>170.31</v>
      </c>
      <c r="I922" s="104" t="n">
        <v>0.3401</v>
      </c>
      <c r="J922" s="104" t="n">
        <v>0.2282</v>
      </c>
      <c r="K922" s="104" t="n">
        <v>-0.0292</v>
      </c>
      <c r="L922" s="134" t="n">
        <v>591.34</v>
      </c>
      <c r="M922" s="134" t="n">
        <v>6149.22</v>
      </c>
      <c r="N922" s="104" t="n">
        <v>0.09619999999999999</v>
      </c>
      <c r="O922" s="134" t="n">
        <v>372</v>
      </c>
      <c r="P922" s="134" t="inlineStr">
        <is>
          <t>2 -0.54%</t>
        </is>
      </c>
      <c r="Q922" s="134" t="inlineStr">
        <is>
          <t>8 0.19%</t>
        </is>
      </c>
      <c r="R922" s="134" t="inlineStr">
        <is>
          <t>88 -0.03%</t>
        </is>
      </c>
      <c r="S922" s="134" t="inlineStr">
        <is>
          <t>103 0.18%</t>
        </is>
      </c>
      <c r="T922" s="134" t="inlineStr">
        <is>
          <t>61 0.56%</t>
        </is>
      </c>
      <c r="U922" s="134" t="inlineStr">
        <is>
          <t>110 2.07%</t>
        </is>
      </c>
    </row>
    <row customHeight="1" ht="17" r="923" s="155">
      <c r="A923" s="105" t="n">
        <v>44488</v>
      </c>
      <c r="B923" s="134" t="n">
        <v>1852.995</v>
      </c>
      <c r="C923" s="152" t="n">
        <v>15.162</v>
      </c>
      <c r="D923" s="153" t="n">
        <v>0.0083</v>
      </c>
      <c r="E923" s="134" t="n">
        <v>137.579</v>
      </c>
      <c r="F923" s="134" t="n">
        <v>118.84</v>
      </c>
      <c r="G923" s="134" t="n">
        <v>97.15000000000001</v>
      </c>
      <c r="H923" s="134" t="n">
        <v>171.69</v>
      </c>
      <c r="I923" s="104" t="n">
        <v>0.3411</v>
      </c>
      <c r="J923" s="104" t="n">
        <v>0.2291</v>
      </c>
      <c r="K923" s="104" t="n">
        <v>-0.031</v>
      </c>
      <c r="L923" s="134" t="n">
        <v>635.01</v>
      </c>
      <c r="M923" s="134" t="n">
        <v>6151.1</v>
      </c>
      <c r="N923" s="104" t="n">
        <v>0.1032</v>
      </c>
      <c r="O923" s="134" t="n">
        <v>373</v>
      </c>
      <c r="P923" s="134" t="inlineStr">
        <is>
          <t>2 0.29%</t>
        </is>
      </c>
      <c r="Q923" s="134" t="inlineStr">
        <is>
          <t>7 0.22%</t>
        </is>
      </c>
      <c r="R923" s="134" t="inlineStr">
        <is>
          <t>84 0.18%</t>
        </is>
      </c>
      <c r="S923" s="134" t="inlineStr">
        <is>
          <t>106 0.43%</t>
        </is>
      </c>
      <c r="T923" s="134" t="inlineStr">
        <is>
          <t>62 0.92%</t>
        </is>
      </c>
      <c r="U923" s="134" t="inlineStr">
        <is>
          <t>112 1.69%</t>
        </is>
      </c>
    </row>
    <row customHeight="1" ht="17" r="924" s="155">
      <c r="A924" s="105" t="n">
        <v>44489</v>
      </c>
      <c r="B924" s="134" t="n">
        <v>1858.072</v>
      </c>
      <c r="C924" s="152" t="n">
        <v>5.077</v>
      </c>
      <c r="D924" s="153" t="n">
        <v>0.0027</v>
      </c>
      <c r="E924" s="134" t="n">
        <v>138.246</v>
      </c>
      <c r="F924" s="134" t="n">
        <v>119.051</v>
      </c>
      <c r="G924" s="134" t="n">
        <v>96.48999999999999</v>
      </c>
      <c r="H924" s="134" t="n">
        <v>173.02</v>
      </c>
      <c r="I924" s="104" t="n">
        <v>0.3477</v>
      </c>
      <c r="J924" s="104" t="n">
        <v>0.2354</v>
      </c>
      <c r="K924" s="104" t="n">
        <v>-0.0316</v>
      </c>
      <c r="L924" s="134" t="n">
        <v>670.52</v>
      </c>
      <c r="M924" s="134" t="n">
        <v>6130.86</v>
      </c>
      <c r="N924" s="104" t="n">
        <v>0.1094</v>
      </c>
      <c r="O924" s="134" t="n">
        <v>372</v>
      </c>
      <c r="P924" s="134" t="inlineStr">
        <is>
          <t>2 -0.14%</t>
        </is>
      </c>
      <c r="Q924" s="134" t="inlineStr">
        <is>
          <t>8 -0.02%</t>
        </is>
      </c>
      <c r="R924" s="134" t="inlineStr">
        <is>
          <t>84 0.02%</t>
        </is>
      </c>
      <c r="S924" s="134" t="inlineStr">
        <is>
          <t>104 -0.13%</t>
        </is>
      </c>
      <c r="T924" s="134" t="inlineStr">
        <is>
          <t>59 0.22%</t>
        </is>
      </c>
      <c r="U924" s="134" t="inlineStr">
        <is>
          <t>115 0.88%</t>
        </is>
      </c>
    </row>
    <row customHeight="1" ht="17" r="925" s="155">
      <c r="A925" s="105" t="n">
        <v>44490</v>
      </c>
      <c r="B925" s="134" t="n">
        <v>1857.273</v>
      </c>
      <c r="C925" s="150" t="n">
        <v>-0.799</v>
      </c>
      <c r="D925" s="151" t="n">
        <v>-0.0004</v>
      </c>
      <c r="E925" s="134" t="n">
        <v>137.894</v>
      </c>
      <c r="F925" s="134" t="n">
        <v>118.809</v>
      </c>
      <c r="G925" s="134" t="n">
        <v>95.8</v>
      </c>
      <c r="H925" s="134" t="n">
        <v>173.76</v>
      </c>
      <c r="I925" s="104" t="n">
        <v>0.3587</v>
      </c>
      <c r="J925" s="104" t="n">
        <v>0.2413</v>
      </c>
      <c r="K925" s="104" t="n">
        <v>-0.0312</v>
      </c>
      <c r="L925" s="134" t="n">
        <v>641.02</v>
      </c>
      <c r="M925" s="134" t="n">
        <v>6145.86</v>
      </c>
      <c r="N925" s="104" t="n">
        <v>0.1043</v>
      </c>
      <c r="O925" s="134" t="n">
        <v>372</v>
      </c>
      <c r="P925" s="134" t="inlineStr">
        <is>
          <t>2 -0.13%</t>
        </is>
      </c>
      <c r="Q925" s="134" t="inlineStr">
        <is>
          <t>7 0.11%</t>
        </is>
      </c>
      <c r="R925" s="134" t="inlineStr">
        <is>
          <t>86 -0.02%</t>
        </is>
      </c>
      <c r="S925" s="134" t="inlineStr">
        <is>
          <t>106 -0.13%</t>
        </is>
      </c>
      <c r="T925" s="134" t="inlineStr">
        <is>
          <t>58 -0.23%</t>
        </is>
      </c>
      <c r="U925" s="134" t="inlineStr">
        <is>
          <t>113 0.11%</t>
        </is>
      </c>
    </row>
    <row customHeight="1" ht="17" r="926" s="155">
      <c r="A926" s="105" t="n">
        <v>44491</v>
      </c>
      <c r="B926" s="134" t="n">
        <v>1848.525</v>
      </c>
      <c r="C926" s="150" t="n">
        <v>-8.747999999999999</v>
      </c>
      <c r="D926" s="151" t="n">
        <v>-0.0047</v>
      </c>
      <c r="E926" s="134" t="n">
        <v>136.915</v>
      </c>
      <c r="F926" s="134" t="n">
        <v>118.994</v>
      </c>
      <c r="G926" s="134" t="n">
        <v>95.56999999999999</v>
      </c>
      <c r="H926" s="134" t="n">
        <v>172.98</v>
      </c>
      <c r="I926" s="104" t="n">
        <v>0.3607</v>
      </c>
      <c r="J926" s="104" t="n">
        <v>0.2486</v>
      </c>
      <c r="K926" s="104" t="n">
        <v>-0.0297</v>
      </c>
      <c r="L926" s="134" t="n">
        <v>708.04</v>
      </c>
      <c r="M926" s="134" t="n">
        <v>6142.56</v>
      </c>
      <c r="N926" s="104" t="n">
        <v>0.1153</v>
      </c>
      <c r="O926" s="134" t="n">
        <v>372</v>
      </c>
      <c r="P926" s="134" t="inlineStr">
        <is>
          <t>2 -0.09%</t>
        </is>
      </c>
      <c r="Q926" s="134" t="inlineStr">
        <is>
          <t>8 -0.05%</t>
        </is>
      </c>
      <c r="R926" s="134" t="inlineStr">
        <is>
          <t>88 -0.13%</t>
        </is>
      </c>
      <c r="S926" s="134" t="inlineStr">
        <is>
          <t>101 -0.10%</t>
        </is>
      </c>
      <c r="T926" s="134" t="inlineStr">
        <is>
          <t>61 -0.39%</t>
        </is>
      </c>
      <c r="U926" s="134" t="inlineStr">
        <is>
          <t>112 -1.15%</t>
        </is>
      </c>
    </row>
    <row customHeight="1" ht="17" r="927" s="155">
      <c r="A927" s="105" t="n">
        <v>44494</v>
      </c>
      <c r="B927" s="134" t="n">
        <v>1862.518</v>
      </c>
      <c r="C927" s="152" t="n">
        <v>13.993</v>
      </c>
      <c r="D927" s="153" t="n">
        <v>0.0076</v>
      </c>
      <c r="E927" s="134" t="n">
        <v>138.188</v>
      </c>
      <c r="F927" s="134" t="n">
        <v>119.23</v>
      </c>
      <c r="G927" s="134" t="n">
        <v>95.41</v>
      </c>
      <c r="H927" s="134" t="n">
        <v>174.02</v>
      </c>
      <c r="I927" s="104" t="n">
        <v>0.3584</v>
      </c>
      <c r="J927" s="104" t="n">
        <v>0.2467</v>
      </c>
      <c r="K927" s="104" t="n">
        <v>-0.0316</v>
      </c>
      <c r="L927" s="134" t="n">
        <v>770.39</v>
      </c>
      <c r="M927" s="134" t="n">
        <v>6141.66</v>
      </c>
      <c r="N927" s="104" t="n">
        <v>0.1254</v>
      </c>
      <c r="O927" s="134" t="n">
        <v>372</v>
      </c>
      <c r="P927" s="134" t="inlineStr">
        <is>
          <t>1 0.48%</t>
        </is>
      </c>
      <c r="Q927" s="134" t="inlineStr">
        <is>
          <t>7 0.30%</t>
        </is>
      </c>
      <c r="R927" s="134" t="inlineStr">
        <is>
          <t>90 -0.04%</t>
        </is>
      </c>
      <c r="S927" s="134" t="inlineStr">
        <is>
          <t>98 0.02%</t>
        </is>
      </c>
      <c r="T927" s="134" t="inlineStr">
        <is>
          <t>56 0.87%</t>
        </is>
      </c>
      <c r="U927" s="134" t="inlineStr">
        <is>
          <t>120 1.93%</t>
        </is>
      </c>
    </row>
    <row customHeight="1" ht="17" r="928" s="155">
      <c r="A928" s="105" t="n">
        <v>44495</v>
      </c>
      <c r="B928" s="134" t="n">
        <v>1869.707</v>
      </c>
      <c r="C928" s="152" t="n">
        <v>7.189</v>
      </c>
      <c r="D928" s="153" t="n">
        <v>0.0039</v>
      </c>
      <c r="E928" s="134" t="n">
        <v>138.647</v>
      </c>
      <c r="F928" s="134" t="n">
        <v>119.85</v>
      </c>
      <c r="G928" s="134" t="n">
        <v>95.51000000000001</v>
      </c>
      <c r="H928" s="134" t="n">
        <v>175.2</v>
      </c>
      <c r="I928" s="104" t="n">
        <v>0.3655</v>
      </c>
      <c r="J928" s="104" t="n">
        <v>0.2575</v>
      </c>
      <c r="K928" s="104" t="n">
        <v>-0.0321</v>
      </c>
      <c r="L928" s="134" t="n">
        <v>834.5599999999999</v>
      </c>
      <c r="M928" s="134" t="n">
        <v>6136.09</v>
      </c>
      <c r="N928" s="104" t="n">
        <v>0.136</v>
      </c>
      <c r="O928" s="134" t="n">
        <v>372</v>
      </c>
      <c r="P928" s="134" t="inlineStr">
        <is>
          <t>1 0.34%</t>
        </is>
      </c>
      <c r="Q928" s="134" t="inlineStr">
        <is>
          <t>8 0.04%</t>
        </is>
      </c>
      <c r="R928" s="134" t="inlineStr">
        <is>
          <t>87 0.05%</t>
        </is>
      </c>
      <c r="S928" s="134" t="inlineStr">
        <is>
          <t>93 0.09%</t>
        </is>
      </c>
      <c r="T928" s="134" t="inlineStr">
        <is>
          <t>61 0.42%</t>
        </is>
      </c>
      <c r="U928" s="134" t="inlineStr">
        <is>
          <t>122 0.86%</t>
        </is>
      </c>
    </row>
    <row customHeight="1" ht="17" r="929" s="155">
      <c r="A929" s="105" t="n">
        <v>44496</v>
      </c>
      <c r="B929" s="134" t="n">
        <v>1862.808</v>
      </c>
      <c r="C929" s="150" t="n">
        <v>-6.899</v>
      </c>
      <c r="D929" s="151" t="n">
        <v>-0.0037</v>
      </c>
      <c r="E929" s="134" t="n">
        <v>138.311</v>
      </c>
      <c r="F929" s="134" t="n">
        <v>118.8</v>
      </c>
      <c r="G929" s="134" t="n">
        <v>93.19</v>
      </c>
      <c r="H929" s="134" t="n">
        <v>176.4</v>
      </c>
      <c r="I929" s="104" t="n">
        <v>0.3809</v>
      </c>
      <c r="J929" s="104" t="n">
        <v>0.2583</v>
      </c>
      <c r="K929" s="104" t="n">
        <v>-0.0308</v>
      </c>
      <c r="L929" s="134" t="n">
        <v>922.5</v>
      </c>
      <c r="M929" s="134" t="n">
        <v>6133.41</v>
      </c>
      <c r="N929" s="104" t="n">
        <v>0.1504</v>
      </c>
      <c r="O929" s="134" t="n">
        <v>372</v>
      </c>
      <c r="P929" s="134" t="inlineStr">
        <is>
          <t>1 0.18%</t>
        </is>
      </c>
      <c r="Q929" s="134" t="inlineStr">
        <is>
          <t>10 -0.36%</t>
        </is>
      </c>
      <c r="R929" s="134" t="inlineStr">
        <is>
          <t>95 -0.51%</t>
        </is>
      </c>
      <c r="S929" s="134" t="inlineStr">
        <is>
          <t>97 -0.85%</t>
        </is>
      </c>
      <c r="T929" s="134" t="inlineStr">
        <is>
          <t>49 -0.69%</t>
        </is>
      </c>
      <c r="U929" s="134" t="inlineStr">
        <is>
          <t>120 0.25%</t>
        </is>
      </c>
    </row>
    <row customHeight="1" ht="17" r="930" s="155">
      <c r="A930" s="105" t="n">
        <v>44497</v>
      </c>
      <c r="B930" s="134" t="n">
        <v>1847.57</v>
      </c>
      <c r="C930" s="150" t="n">
        <v>-15.238</v>
      </c>
      <c r="D930" s="151" t="n">
        <v>-0.008200000000000001</v>
      </c>
      <c r="E930" s="134" t="n">
        <v>136.673</v>
      </c>
      <c r="F930" s="134" t="n">
        <v>118.269</v>
      </c>
      <c r="G930" s="134" t="n">
        <v>90.05</v>
      </c>
      <c r="H930" s="134" t="n">
        <v>176.35</v>
      </c>
      <c r="I930" s="104" t="n">
        <v>0.3968</v>
      </c>
      <c r="J930" s="104" t="n">
        <v>0.284</v>
      </c>
      <c r="K930" s="104" t="n">
        <v>-0.0288</v>
      </c>
      <c r="L930" s="134" t="n">
        <v>946.6900000000001</v>
      </c>
      <c r="M930" s="134" t="n">
        <v>6137.24</v>
      </c>
      <c r="N930" s="104" t="n">
        <v>0.1543</v>
      </c>
      <c r="O930" s="134" t="n">
        <v>372</v>
      </c>
      <c r="P930" s="134" t="n">
        <v>0</v>
      </c>
      <c r="Q930" s="134" t="inlineStr">
        <is>
          <t>9 -0.25%</t>
        </is>
      </c>
      <c r="R930" s="134" t="inlineStr">
        <is>
          <t>96 -0.44%</t>
        </is>
      </c>
      <c r="S930" s="134" t="inlineStr">
        <is>
          <t>102 -0.25%</t>
        </is>
      </c>
      <c r="T930" s="134" t="inlineStr">
        <is>
          <t>48 -0.95%</t>
        </is>
      </c>
      <c r="U930" s="134" t="inlineStr">
        <is>
          <t>117 -1.61%</t>
        </is>
      </c>
    </row>
    <row customHeight="1" ht="17" r="931" s="155">
      <c r="A931" s="105" t="n">
        <v>44498</v>
      </c>
      <c r="B931" s="134" t="n">
        <v>1857.861</v>
      </c>
      <c r="C931" s="152" t="n">
        <v>10.291</v>
      </c>
      <c r="D931" s="153" t="n">
        <v>0.0056</v>
      </c>
      <c r="E931" s="134" t="n">
        <v>137.565</v>
      </c>
      <c r="F931" s="134" t="n">
        <v>118.17</v>
      </c>
      <c r="G931" s="134" t="n">
        <v>92.61</v>
      </c>
      <c r="H931" s="134" t="n">
        <v>175.64</v>
      </c>
      <c r="I931" s="104" t="n">
        <v>0.3808</v>
      </c>
      <c r="J931" s="104" t="n">
        <v>0.2735</v>
      </c>
      <c r="K931" s="104" t="n">
        <v>-0.0295</v>
      </c>
      <c r="L931" s="134" t="n">
        <v>954.4</v>
      </c>
      <c r="M931" s="134" t="n">
        <v>6133.4</v>
      </c>
      <c r="N931" s="104" t="n">
        <v>0.1556</v>
      </c>
      <c r="O931" s="134" t="n">
        <v>372</v>
      </c>
      <c r="P931" s="134" t="n">
        <v>0</v>
      </c>
      <c r="Q931" s="134" t="inlineStr">
        <is>
          <t>9 -1.48%</t>
        </is>
      </c>
      <c r="R931" s="134" t="inlineStr">
        <is>
          <t>94 0.14%</t>
        </is>
      </c>
      <c r="S931" s="134" t="inlineStr">
        <is>
          <t>102 0.29%</t>
        </is>
      </c>
      <c r="T931" s="134" t="inlineStr">
        <is>
          <t>48 -0.24%</t>
        </is>
      </c>
      <c r="U931" s="134" t="inlineStr">
        <is>
          <t>119 1.59%</t>
        </is>
      </c>
    </row>
    <row customHeight="1" ht="17" r="932" s="155">
      <c r="A932" s="105" t="n">
        <v>44501</v>
      </c>
      <c r="B932" s="134" t="n">
        <v>1879.505</v>
      </c>
      <c r="C932" s="152" t="n">
        <v>21.644</v>
      </c>
      <c r="D932" s="153" t="n">
        <v>0.0117</v>
      </c>
      <c r="E932" s="134" t="n">
        <v>139.253</v>
      </c>
      <c r="F932" s="134" t="n">
        <v>119.6</v>
      </c>
      <c r="G932" s="134" t="n">
        <v>93.72</v>
      </c>
      <c r="H932" s="134" t="n">
        <v>176.65</v>
      </c>
      <c r="I932" s="104" t="n">
        <v>0.374</v>
      </c>
      <c r="J932" s="104" t="n">
        <v>0.2566</v>
      </c>
      <c r="K932" s="104" t="n">
        <v>-0.032</v>
      </c>
      <c r="L932" s="134" t="n">
        <v>902.78</v>
      </c>
      <c r="M932" s="134" t="n">
        <v>6121.57</v>
      </c>
      <c r="N932" s="104" t="n">
        <v>0.1475</v>
      </c>
      <c r="O932" s="134" t="n">
        <v>372</v>
      </c>
      <c r="P932" s="134" t="n">
        <v>0</v>
      </c>
      <c r="Q932" s="134" t="inlineStr">
        <is>
          <t>9 0.00%</t>
        </is>
      </c>
      <c r="R932" s="134" t="inlineStr">
        <is>
          <t>86 0.29%</t>
        </is>
      </c>
      <c r="S932" s="134" t="inlineStr">
        <is>
          <t>97 0.74%</t>
        </is>
      </c>
      <c r="T932" s="134" t="inlineStr">
        <is>
          <t>55 1.32%</t>
        </is>
      </c>
      <c r="U932" s="134" t="inlineStr">
        <is>
          <t>125 2.12%</t>
        </is>
      </c>
    </row>
    <row customHeight="1" ht="17" r="933" s="155">
      <c r="A933" s="105" t="n">
        <v>44502</v>
      </c>
      <c r="B933" s="134" t="n">
        <v>1871.968</v>
      </c>
      <c r="C933" s="150" t="n">
        <v>-7.537</v>
      </c>
      <c r="D933" s="151" t="n">
        <v>-0.004</v>
      </c>
      <c r="E933" s="134" t="n">
        <v>138.426</v>
      </c>
      <c r="F933" s="134" t="n">
        <v>118.875</v>
      </c>
      <c r="G933" s="134" t="n">
        <v>93.5</v>
      </c>
      <c r="H933" s="134" t="n">
        <v>177.24</v>
      </c>
      <c r="I933" s="104" t="n">
        <v>0.3881</v>
      </c>
      <c r="J933" s="104" t="n">
        <v>0.2674</v>
      </c>
      <c r="K933" s="104" t="n">
        <v>-0.0308</v>
      </c>
      <c r="L933" s="134" t="n">
        <v>866.27</v>
      </c>
      <c r="M933" s="134" t="n">
        <v>6117.23</v>
      </c>
      <c r="N933" s="104" t="n">
        <v>0.1416</v>
      </c>
      <c r="O933" s="134" t="n">
        <v>372</v>
      </c>
      <c r="P933" s="134" t="n">
        <v>0</v>
      </c>
      <c r="Q933" s="134" t="inlineStr">
        <is>
          <t>10 -0.39%</t>
        </is>
      </c>
      <c r="R933" s="134" t="inlineStr">
        <is>
          <t>89 -0.15%</t>
        </is>
      </c>
      <c r="S933" s="134" t="inlineStr">
        <is>
          <t>98 -0.32%</t>
        </is>
      </c>
      <c r="T933" s="134" t="inlineStr">
        <is>
          <t>50 0.22%</t>
        </is>
      </c>
      <c r="U933" s="134" t="inlineStr">
        <is>
          <t>125 -0.89%</t>
        </is>
      </c>
    </row>
    <row customHeight="1" ht="17" r="934" s="155">
      <c r="A934" s="105" t="n">
        <v>44503</v>
      </c>
      <c r="B934" s="134" t="n">
        <v>1877.022</v>
      </c>
      <c r="C934" s="152" t="n">
        <v>5.054</v>
      </c>
      <c r="D934" s="153" t="n">
        <v>0.0027</v>
      </c>
      <c r="E934" s="134" t="n">
        <v>138.627</v>
      </c>
      <c r="F934" s="134" t="n">
        <v>119.295</v>
      </c>
      <c r="G934" s="134" t="n">
        <v>94.47</v>
      </c>
      <c r="H934" s="134" t="n">
        <v>176.65</v>
      </c>
      <c r="I934" s="104" t="n">
        <v>0.3802</v>
      </c>
      <c r="J934" s="104" t="n">
        <v>0.2592</v>
      </c>
      <c r="K934" s="104" t="n">
        <v>-0.0315</v>
      </c>
      <c r="L934" s="134" t="n">
        <v>932.52</v>
      </c>
      <c r="M934" s="134" t="n">
        <v>6114.64</v>
      </c>
      <c r="N934" s="104" t="n">
        <v>0.1525</v>
      </c>
      <c r="O934" s="134" t="n">
        <v>372</v>
      </c>
      <c r="P934" s="134" t="n">
        <v>0</v>
      </c>
      <c r="Q934" s="134" t="inlineStr">
        <is>
          <t>9 0.15%</t>
        </is>
      </c>
      <c r="R934" s="134" t="inlineStr">
        <is>
          <t>80 0.41%</t>
        </is>
      </c>
      <c r="S934" s="134" t="inlineStr">
        <is>
          <t>104 0.50%</t>
        </is>
      </c>
      <c r="T934" s="134" t="inlineStr">
        <is>
          <t>49 0.21%</t>
        </is>
      </c>
      <c r="U934" s="134" t="inlineStr">
        <is>
          <t>130 0.03%</t>
        </is>
      </c>
    </row>
    <row customHeight="1" ht="17" r="935" s="155">
      <c r="A935" s="105" t="n">
        <v>44504</v>
      </c>
      <c r="B935" s="134" t="n">
        <v>1901.724</v>
      </c>
      <c r="C935" s="152" t="n">
        <v>24.702</v>
      </c>
      <c r="D935" s="153" t="n">
        <v>0.0132</v>
      </c>
      <c r="E935" s="134" t="n">
        <v>140.794</v>
      </c>
      <c r="F935" s="134" t="n">
        <v>120.987</v>
      </c>
      <c r="G935" s="134" t="n">
        <v>94.88</v>
      </c>
      <c r="H935" s="134" t="n">
        <v>178.65</v>
      </c>
      <c r="I935" s="104" t="n">
        <v>0.3786</v>
      </c>
      <c r="J935" s="104" t="n">
        <v>0.2614</v>
      </c>
      <c r="K935" s="104" t="n">
        <v>-0.0351</v>
      </c>
      <c r="L935" s="134" t="n">
        <v>1000.36</v>
      </c>
      <c r="M935" s="134" t="n">
        <v>6123.99</v>
      </c>
      <c r="N935" s="104" t="n">
        <v>0.1634</v>
      </c>
      <c r="O935" s="134" t="n">
        <v>373</v>
      </c>
      <c r="P935" s="134" t="n">
        <v>0</v>
      </c>
      <c r="Q935" s="134" t="inlineStr">
        <is>
          <t>8 -0.15%</t>
        </is>
      </c>
      <c r="R935" s="134" t="inlineStr">
        <is>
          <t>76 0.26%</t>
        </is>
      </c>
      <c r="S935" s="134" t="inlineStr">
        <is>
          <t>96 0.50%</t>
        </is>
      </c>
      <c r="T935" s="134" t="inlineStr">
        <is>
          <t>59 1.29%</t>
        </is>
      </c>
      <c r="U935" s="134" t="inlineStr">
        <is>
          <t>134 2.59%</t>
        </is>
      </c>
    </row>
    <row customHeight="1" ht="17" r="936" s="155">
      <c r="A936" s="105" t="n">
        <v>44505</v>
      </c>
      <c r="B936" s="134" t="n">
        <v>1892.101</v>
      </c>
      <c r="C936" s="150" t="n">
        <v>-9.622999999999999</v>
      </c>
      <c r="D936" s="151" t="n">
        <v>-0.0051</v>
      </c>
      <c r="E936" s="134" t="n">
        <v>139.864</v>
      </c>
      <c r="F936" s="134" t="n">
        <v>120.859</v>
      </c>
      <c r="G936" s="134" t="n">
        <v>93.83</v>
      </c>
      <c r="H936" s="134" t="n">
        <v>178.14</v>
      </c>
      <c r="I936" s="104" t="n">
        <v>0.3828</v>
      </c>
      <c r="J936" s="104" t="n">
        <v>0.2688</v>
      </c>
      <c r="K936" s="104" t="n">
        <v>-0.035</v>
      </c>
      <c r="L936" s="134" t="n">
        <v>1083.6</v>
      </c>
      <c r="M936" s="134" t="n">
        <v>6121.46</v>
      </c>
      <c r="N936" s="104" t="n">
        <v>0.177</v>
      </c>
      <c r="O936" s="134" t="n">
        <v>371</v>
      </c>
      <c r="P936" s="134" t="n">
        <v>0</v>
      </c>
      <c r="Q936" s="134" t="inlineStr">
        <is>
          <t>9 -0.21%</t>
        </is>
      </c>
      <c r="R936" s="134" t="inlineStr">
        <is>
          <t>72 -0.10%</t>
        </is>
      </c>
      <c r="S936" s="134" t="inlineStr">
        <is>
          <t>98 -0.06%</t>
        </is>
      </c>
      <c r="T936" s="134" t="inlineStr">
        <is>
          <t>57 -0.01%</t>
        </is>
      </c>
      <c r="U936" s="134" t="inlineStr">
        <is>
          <t>135 -1.28%</t>
        </is>
      </c>
    </row>
    <row customHeight="1" ht="17" r="937" s="155">
      <c r="A937" s="105" t="n">
        <v>44508</v>
      </c>
      <c r="B937" s="134" t="n">
        <v>1904.059</v>
      </c>
      <c r="C937" s="152" t="n">
        <v>11.958</v>
      </c>
      <c r="D937" s="153" t="n">
        <v>0.0063</v>
      </c>
      <c r="E937" s="134" t="n">
        <v>140.738</v>
      </c>
      <c r="F937" s="134" t="n">
        <v>121.39</v>
      </c>
      <c r="G937" s="134" t="n">
        <v>94.31999999999999</v>
      </c>
      <c r="H937" s="134" t="n">
        <v>179.34</v>
      </c>
      <c r="I937" s="104" t="n">
        <v>0.386</v>
      </c>
      <c r="J937" s="104" t="n">
        <v>0.2697</v>
      </c>
      <c r="K937" s="104" t="n">
        <v>-0.0366</v>
      </c>
      <c r="L937" s="134" t="n">
        <v>955.55</v>
      </c>
      <c r="M937" s="134" t="n">
        <v>6119.65</v>
      </c>
      <c r="N937" s="104" t="n">
        <v>0.1561</v>
      </c>
      <c r="O937" s="134" t="n">
        <v>370</v>
      </c>
      <c r="P937" s="134" t="n">
        <v>0</v>
      </c>
      <c r="Q937" s="134" t="inlineStr">
        <is>
          <t>7 0.20%</t>
        </is>
      </c>
      <c r="R937" s="134" t="inlineStr">
        <is>
          <t>67 0.35%</t>
        </is>
      </c>
      <c r="S937" s="134" t="inlineStr">
        <is>
          <t>102 0.39%</t>
        </is>
      </c>
      <c r="T937" s="134" t="inlineStr">
        <is>
          <t>57 0.21%</t>
        </is>
      </c>
      <c r="U937" s="134" t="inlineStr">
        <is>
          <t>137 1.15%</t>
        </is>
      </c>
    </row>
    <row customHeight="1" ht="17" r="938" s="155">
      <c r="A938" s="105" t="n">
        <v>44509</v>
      </c>
      <c r="B938" s="134" t="n">
        <v>1921.196</v>
      </c>
      <c r="C938" s="152" t="n">
        <v>17.137</v>
      </c>
      <c r="D938" s="153" t="n">
        <v>0.008999999999999999</v>
      </c>
      <c r="E938" s="134" t="n">
        <v>142.126</v>
      </c>
      <c r="F938" s="134" t="n">
        <v>122.098</v>
      </c>
      <c r="G938" s="134" t="n">
        <v>94.92</v>
      </c>
      <c r="H938" s="134" t="n">
        <v>180.6</v>
      </c>
      <c r="I938" s="104" t="n">
        <v>0.3847</v>
      </c>
      <c r="J938" s="104" t="n">
        <v>0.2676</v>
      </c>
      <c r="K938" s="104" t="n">
        <v>-0.0385</v>
      </c>
      <c r="L938" s="134" t="n">
        <v>986.04</v>
      </c>
      <c r="M938" s="134" t="n">
        <v>6118.23</v>
      </c>
      <c r="N938" s="104" t="n">
        <v>0.1612</v>
      </c>
      <c r="O938" s="134" t="n">
        <v>370</v>
      </c>
      <c r="P938" s="134" t="n">
        <v>0</v>
      </c>
      <c r="Q938" s="134" t="inlineStr">
        <is>
          <t>6 0.48%</t>
        </is>
      </c>
      <c r="R938" s="134" t="inlineStr">
        <is>
          <t>64 0.37%</t>
        </is>
      </c>
      <c r="S938" s="134" t="inlineStr">
        <is>
          <t>100 0.51%</t>
        </is>
      </c>
      <c r="T938" s="134" t="inlineStr">
        <is>
          <t>61 0.43%</t>
        </is>
      </c>
      <c r="U938" s="134" t="inlineStr">
        <is>
          <t>139 1.66%</t>
        </is>
      </c>
    </row>
    <row customHeight="1" ht="17" r="939" s="155">
      <c r="A939" s="105" t="n">
        <v>44510</v>
      </c>
      <c r="B939" s="134" t="n">
        <v>1926.864</v>
      </c>
      <c r="C939" s="152" t="n">
        <v>5.668</v>
      </c>
      <c r="D939" s="153" t="n">
        <v>0.003</v>
      </c>
      <c r="E939" s="134" t="n">
        <v>142.482</v>
      </c>
      <c r="F939" s="134" t="n">
        <v>122.245</v>
      </c>
      <c r="G939" s="134" t="n">
        <v>94.53</v>
      </c>
      <c r="H939" s="134" t="n">
        <v>180.54</v>
      </c>
      <c r="I939" s="104" t="n">
        <v>0.3806</v>
      </c>
      <c r="J939" s="104" t="n">
        <v>0.2667</v>
      </c>
      <c r="K939" s="104" t="n">
        <v>-0.0393</v>
      </c>
      <c r="L939" s="134" t="n">
        <v>1114.9</v>
      </c>
      <c r="M939" s="134" t="n">
        <v>6116.27</v>
      </c>
      <c r="N939" s="104" t="n">
        <v>0.1823</v>
      </c>
      <c r="O939" s="134" t="n">
        <v>370</v>
      </c>
      <c r="P939" s="134" t="n">
        <v>0</v>
      </c>
      <c r="Q939" s="134" t="inlineStr">
        <is>
          <t>5 0.40%</t>
        </is>
      </c>
      <c r="R939" s="134" t="inlineStr">
        <is>
          <t>62 0.32%</t>
        </is>
      </c>
      <c r="S939" s="134" t="inlineStr">
        <is>
          <t>101 0.28%</t>
        </is>
      </c>
      <c r="T939" s="134" t="inlineStr">
        <is>
          <t>66 0.52%</t>
        </is>
      </c>
      <c r="U939" s="134" t="inlineStr">
        <is>
          <t>136 0.19%</t>
        </is>
      </c>
    </row>
    <row customHeight="1" ht="17" r="940" s="155">
      <c r="A940" s="105" t="n">
        <v>44511</v>
      </c>
      <c r="B940" s="134" t="n">
        <v>1946.364</v>
      </c>
      <c r="C940" s="152" t="n">
        <v>19.5</v>
      </c>
      <c r="D940" s="153" t="n">
        <v>0.0101</v>
      </c>
      <c r="E940" s="134" t="n">
        <v>143.851</v>
      </c>
      <c r="F940" s="134" t="n">
        <v>123.87</v>
      </c>
      <c r="G940" s="134" t="n">
        <v>95.13</v>
      </c>
      <c r="H940" s="134" t="n">
        <v>181.9</v>
      </c>
      <c r="I940" s="104" t="n">
        <v>0.3805</v>
      </c>
      <c r="J940" s="104" t="n">
        <v>0.2659</v>
      </c>
      <c r="K940" s="104" t="n">
        <v>-0.0424</v>
      </c>
      <c r="L940" s="134" t="n">
        <v>1120.5</v>
      </c>
      <c r="M940" s="134" t="n">
        <v>6115.35</v>
      </c>
      <c r="N940" s="104" t="n">
        <v>0.1832</v>
      </c>
      <c r="O940" s="134" t="n">
        <v>370</v>
      </c>
      <c r="P940" s="134" t="n">
        <v>0</v>
      </c>
      <c r="Q940" s="134" t="inlineStr">
        <is>
          <t>5 0.97%</t>
        </is>
      </c>
      <c r="R940" s="134" t="inlineStr">
        <is>
          <t>58 0.66%</t>
        </is>
      </c>
      <c r="S940" s="134" t="inlineStr">
        <is>
          <t>96 1.01%</t>
        </is>
      </c>
      <c r="T940" s="134" t="inlineStr">
        <is>
          <t>68 0.81%</t>
        </is>
      </c>
      <c r="U940" s="134" t="inlineStr">
        <is>
          <t>143 1.25%</t>
        </is>
      </c>
    </row>
    <row customHeight="1" ht="17" r="941" s="155">
      <c r="A941" s="105" t="n">
        <v>44512</v>
      </c>
      <c r="B941" s="134" t="n">
        <v>1963.453</v>
      </c>
      <c r="C941" s="152" t="n">
        <v>17.089</v>
      </c>
      <c r="D941" s="153" t="n">
        <v>0.008800000000000001</v>
      </c>
      <c r="E941" s="134" t="n">
        <v>145.285</v>
      </c>
      <c r="F941" s="134" t="n">
        <v>124.374</v>
      </c>
      <c r="G941" s="134" t="n">
        <v>96.51000000000001</v>
      </c>
      <c r="H941" s="134" t="n">
        <v>182.88</v>
      </c>
      <c r="I941" s="104" t="n">
        <v>0.3759</v>
      </c>
      <c r="J941" s="104" t="n">
        <v>0.2617</v>
      </c>
      <c r="K941" s="104" t="n">
        <v>-0.0444</v>
      </c>
      <c r="L941" s="134" t="n">
        <v>1095.64</v>
      </c>
      <c r="M941" s="134" t="n">
        <v>6114.54</v>
      </c>
      <c r="N941" s="104" t="n">
        <v>0.1792</v>
      </c>
      <c r="O941" s="134" t="n">
        <v>370</v>
      </c>
      <c r="P941" s="134" t="n">
        <v>0</v>
      </c>
      <c r="Q941" s="134" t="inlineStr">
        <is>
          <t>5 0.32%</t>
        </is>
      </c>
      <c r="R941" s="134" t="inlineStr">
        <is>
          <t>57 0.21%</t>
        </is>
      </c>
      <c r="S941" s="134" t="inlineStr">
        <is>
          <t>90 0.33%</t>
        </is>
      </c>
      <c r="T941" s="134" t="inlineStr">
        <is>
          <t>68 0.61%</t>
        </is>
      </c>
      <c r="U941" s="134" t="inlineStr">
        <is>
          <t>150 1.60%</t>
        </is>
      </c>
    </row>
    <row customHeight="1" ht="17" r="942" s="155">
      <c r="A942" s="105" t="n">
        <v>44515</v>
      </c>
      <c r="B942" s="134" t="n">
        <v>1973.604</v>
      </c>
      <c r="C942" s="152" t="n">
        <v>10.151</v>
      </c>
      <c r="D942" s="153" t="n">
        <v>0.0052</v>
      </c>
      <c r="E942" s="134" t="n">
        <v>145.73</v>
      </c>
      <c r="F942" s="134" t="n">
        <v>125.075</v>
      </c>
      <c r="G942" s="134" t="n">
        <v>97.61</v>
      </c>
      <c r="H942" s="134" t="n">
        <v>182.89</v>
      </c>
      <c r="I942" s="104" t="n">
        <v>0.3716</v>
      </c>
      <c r="J942" s="104" t="n">
        <v>0.2631</v>
      </c>
      <c r="K942" s="104" t="n">
        <v>-0.0455</v>
      </c>
      <c r="L942" s="134" t="n">
        <v>955.16</v>
      </c>
      <c r="M942" s="134" t="n">
        <v>6112.8</v>
      </c>
      <c r="N942" s="104" t="n">
        <v>0.1563</v>
      </c>
      <c r="O942" s="134" t="n">
        <v>370</v>
      </c>
      <c r="P942" s="134" t="n">
        <v>0</v>
      </c>
      <c r="Q942" s="134" t="inlineStr">
        <is>
          <t>5 0.93%</t>
        </is>
      </c>
      <c r="R942" s="134" t="inlineStr">
        <is>
          <t>48 0.44%</t>
        </is>
      </c>
      <c r="S942" s="134" t="inlineStr">
        <is>
          <t>91 0.83%</t>
        </is>
      </c>
      <c r="T942" s="134" t="inlineStr">
        <is>
          <t>70 0.35%</t>
        </is>
      </c>
      <c r="U942" s="134" t="inlineStr">
        <is>
          <t>156 0.42%</t>
        </is>
      </c>
    </row>
    <row customHeight="1" ht="17" r="943" s="155">
      <c r="A943" s="105" t="n">
        <v>44516</v>
      </c>
      <c r="B943" s="134" t="n">
        <v>1958.19</v>
      </c>
      <c r="C943" s="150" t="n">
        <v>-15.414</v>
      </c>
      <c r="D943" s="151" t="n">
        <v>-0.0078</v>
      </c>
      <c r="E943" s="134" t="n">
        <v>144.469</v>
      </c>
      <c r="F943" s="134" t="n">
        <v>124.399</v>
      </c>
      <c r="G943" s="134" t="n">
        <v>97.22</v>
      </c>
      <c r="H943" s="134" t="n">
        <v>181.54</v>
      </c>
      <c r="I943" s="104" t="n">
        <v>0.3707</v>
      </c>
      <c r="J943" s="104" t="n">
        <v>0.2657</v>
      </c>
      <c r="K943" s="104" t="n">
        <v>-0.0436</v>
      </c>
      <c r="L943" s="134" t="n">
        <v>947.84</v>
      </c>
      <c r="M943" s="134" t="n">
        <v>6112.1</v>
      </c>
      <c r="N943" s="104" t="n">
        <v>0.1551</v>
      </c>
      <c r="O943" s="134" t="n">
        <v>370</v>
      </c>
      <c r="P943" s="134" t="n">
        <v>0</v>
      </c>
      <c r="Q943" s="134" t="inlineStr">
        <is>
          <t>5 -0.78%</t>
        </is>
      </c>
      <c r="R943" s="134" t="inlineStr">
        <is>
          <t>54 -0.47%</t>
        </is>
      </c>
      <c r="S943" s="134" t="inlineStr">
        <is>
          <t>91 -0.85%</t>
        </is>
      </c>
      <c r="T943" s="134" t="inlineStr">
        <is>
          <t>74 -0.87%</t>
        </is>
      </c>
      <c r="U943" s="134" t="inlineStr">
        <is>
          <t>146 -0.81%</t>
        </is>
      </c>
    </row>
    <row customHeight="1" ht="17" r="944" s="155">
      <c r="A944" s="105" t="n">
        <v>44517</v>
      </c>
      <c r="B944" s="134" t="n">
        <v>1972.328</v>
      </c>
      <c r="C944" s="152" t="n">
        <v>14.138</v>
      </c>
      <c r="D944" s="153" t="n">
        <v>0.0072</v>
      </c>
      <c r="E944" s="134" t="n">
        <v>145.85</v>
      </c>
      <c r="F944" s="134" t="n">
        <v>124.443</v>
      </c>
      <c r="G944" s="134" t="n">
        <v>97.56</v>
      </c>
      <c r="H944" s="134" t="n">
        <v>182.1</v>
      </c>
      <c r="I944" s="104" t="n">
        <v>0.3625</v>
      </c>
      <c r="J944" s="104" t="n">
        <v>0.2567</v>
      </c>
      <c r="K944" s="104" t="n">
        <v>-0.0452</v>
      </c>
      <c r="L944" s="134" t="n">
        <v>1087.07</v>
      </c>
      <c r="M944" s="134" t="n">
        <v>6110.14</v>
      </c>
      <c r="N944" s="104" t="n">
        <v>0.1779</v>
      </c>
      <c r="O944" s="134" t="n">
        <v>370</v>
      </c>
      <c r="P944" s="134" t="n">
        <v>0</v>
      </c>
      <c r="Q944" s="134" t="inlineStr">
        <is>
          <t>5 0.65%</t>
        </is>
      </c>
      <c r="R944" s="134" t="inlineStr">
        <is>
          <t>51 0.20%</t>
        </is>
      </c>
      <c r="S944" s="134" t="inlineStr">
        <is>
          <t>94 0.19%</t>
        </is>
      </c>
      <c r="T944" s="134" t="inlineStr">
        <is>
          <t>67 0.36%</t>
        </is>
      </c>
      <c r="U944" s="134" t="inlineStr">
        <is>
          <t>153 1.38%</t>
        </is>
      </c>
    </row>
    <row customHeight="1" ht="17" r="945" s="155">
      <c r="A945" s="105" t="n">
        <v>44518</v>
      </c>
      <c r="B945" s="134" t="n">
        <v>1970.119</v>
      </c>
      <c r="C945" s="150" t="n">
        <v>-2.209</v>
      </c>
      <c r="D945" s="151" t="n">
        <v>-0.0011</v>
      </c>
      <c r="E945" s="134" t="n">
        <v>145.879</v>
      </c>
      <c r="F945" s="134" t="n">
        <v>124.524</v>
      </c>
      <c r="G945" s="134" t="n">
        <v>97.40000000000001</v>
      </c>
      <c r="H945" s="134" t="n">
        <v>182.74</v>
      </c>
      <c r="I945" s="104" t="n">
        <v>0.3686</v>
      </c>
      <c r="J945" s="104" t="n">
        <v>0.2595</v>
      </c>
      <c r="K945" s="104" t="n">
        <v>-0.0445</v>
      </c>
      <c r="L945" s="134" t="n">
        <v>1098.17</v>
      </c>
      <c r="M945" s="134" t="n">
        <v>6107.31</v>
      </c>
      <c r="N945" s="104" t="n">
        <v>0.1798</v>
      </c>
      <c r="O945" s="134" t="n">
        <v>370</v>
      </c>
      <c r="P945" s="134" t="n">
        <v>0</v>
      </c>
      <c r="Q945" s="134" t="inlineStr">
        <is>
          <t>5 -0.35%</t>
        </is>
      </c>
      <c r="R945" s="134" t="inlineStr">
        <is>
          <t>54 -0.29%</t>
        </is>
      </c>
      <c r="S945" s="134" t="inlineStr">
        <is>
          <t>94 -0.22%</t>
        </is>
      </c>
      <c r="T945" s="134" t="inlineStr">
        <is>
          <t>74 -0.55%</t>
        </is>
      </c>
      <c r="U945" s="134" t="inlineStr">
        <is>
          <t>143 0.26%</t>
        </is>
      </c>
    </row>
    <row customHeight="1" ht="17" r="946" s="155">
      <c r="A946" s="105" t="n">
        <v>44519</v>
      </c>
      <c r="B946" s="134" t="n">
        <v>1991.948</v>
      </c>
      <c r="C946" s="152" t="n">
        <v>21.829</v>
      </c>
      <c r="D946" s="153" t="n">
        <v>0.0111</v>
      </c>
      <c r="E946" s="134" t="n">
        <v>147.169</v>
      </c>
      <c r="F946" s="134" t="n">
        <v>125.169</v>
      </c>
      <c r="G946" s="134" t="n">
        <v>98.73999999999999</v>
      </c>
      <c r="H946" s="134" t="n">
        <v>183.79</v>
      </c>
      <c r="I946" s="104" t="n">
        <v>0.3662</v>
      </c>
      <c r="J946" s="104" t="n">
        <v>0.2602</v>
      </c>
      <c r="K946" s="104" t="n">
        <v>-0.0471</v>
      </c>
      <c r="L946" s="134" t="n">
        <v>1090.71</v>
      </c>
      <c r="M946" s="134" t="n">
        <v>6117.68</v>
      </c>
      <c r="N946" s="104" t="n">
        <v>0.1783</v>
      </c>
      <c r="O946" s="134" t="n">
        <v>369</v>
      </c>
      <c r="P946" s="134" t="n">
        <v>0</v>
      </c>
      <c r="Q946" s="134" t="inlineStr">
        <is>
          <t>4 0.67%</t>
        </is>
      </c>
      <c r="R946" s="134" t="inlineStr">
        <is>
          <t>48 0.68%</t>
        </is>
      </c>
      <c r="S946" s="134" t="inlineStr">
        <is>
          <t>96 0.85%</t>
        </is>
      </c>
      <c r="T946" s="134" t="inlineStr">
        <is>
          <t>73 0.84%</t>
        </is>
      </c>
      <c r="U946" s="134" t="inlineStr">
        <is>
          <t>148 1.57%</t>
        </is>
      </c>
    </row>
    <row customHeight="1" ht="17" r="947" s="155">
      <c r="A947" s="105" t="n">
        <v>44522</v>
      </c>
      <c r="B947" s="134" t="n">
        <v>2016.867</v>
      </c>
      <c r="C947" s="152" t="n">
        <v>24.919</v>
      </c>
      <c r="D947" s="153" t="n">
        <v>0.0125</v>
      </c>
      <c r="E947" s="134" t="n">
        <v>149.422</v>
      </c>
      <c r="F947" s="134" t="n">
        <v>125.499</v>
      </c>
      <c r="G947" s="134" t="n">
        <v>98.04000000000001</v>
      </c>
      <c r="H947" s="134" t="n">
        <v>186.36</v>
      </c>
      <c r="I947" s="104" t="n">
        <v>0.3694</v>
      </c>
      <c r="J947" s="104" t="n">
        <v>0.2596</v>
      </c>
      <c r="K947" s="104" t="n">
        <v>-0.0501</v>
      </c>
      <c r="L947" s="134" t="n">
        <v>946.84</v>
      </c>
      <c r="M947" s="134" t="n">
        <v>6120.13</v>
      </c>
      <c r="N947" s="104" t="n">
        <v>0.1547</v>
      </c>
      <c r="O947" s="134" t="n">
        <v>370</v>
      </c>
      <c r="P947" s="134" t="n">
        <v>0</v>
      </c>
      <c r="Q947" s="134" t="inlineStr">
        <is>
          <t>4 0.27%</t>
        </is>
      </c>
      <c r="R947" s="134" t="inlineStr">
        <is>
          <t>46 0.23%</t>
        </is>
      </c>
      <c r="S947" s="134" t="inlineStr">
        <is>
          <t>91 0.41%</t>
        </is>
      </c>
      <c r="T947" s="134" t="inlineStr">
        <is>
          <t>71 0.64%</t>
        </is>
      </c>
      <c r="U947" s="134" t="inlineStr">
        <is>
          <t>158 2.33%</t>
        </is>
      </c>
    </row>
    <row customHeight="1" ht="17" r="948" s="155">
      <c r="A948" s="105" t="n">
        <v>44523</v>
      </c>
      <c r="B948" s="134" t="n">
        <v>2018.42</v>
      </c>
      <c r="C948" s="152" t="n">
        <v>1.553</v>
      </c>
      <c r="D948" s="153" t="n">
        <v>0.0008</v>
      </c>
      <c r="E948" s="134" t="n">
        <v>149.418</v>
      </c>
      <c r="F948" s="134" t="n">
        <v>125.664</v>
      </c>
      <c r="G948" s="134" t="n">
        <v>99.25</v>
      </c>
      <c r="H948" s="134" t="n">
        <v>186.27</v>
      </c>
      <c r="I948" s="104" t="n">
        <v>0.3685</v>
      </c>
      <c r="J948" s="104" t="n">
        <v>0.259</v>
      </c>
      <c r="K948" s="104" t="n">
        <v>-0.0503</v>
      </c>
      <c r="L948" s="134" t="n">
        <v>897.9400000000001</v>
      </c>
      <c r="M948" s="134" t="n">
        <v>6119.41</v>
      </c>
      <c r="N948" s="104" t="n">
        <v>0.1467</v>
      </c>
      <c r="O948" s="134" t="n">
        <v>370</v>
      </c>
      <c r="P948" s="134" t="n">
        <v>0</v>
      </c>
      <c r="Q948" s="134" t="inlineStr">
        <is>
          <t>4 0.02%</t>
        </is>
      </c>
      <c r="R948" s="134" t="inlineStr">
        <is>
          <t>44 0.14%</t>
        </is>
      </c>
      <c r="S948" s="134" t="inlineStr">
        <is>
          <t>89 0.20%</t>
        </is>
      </c>
      <c r="T948" s="134" t="inlineStr">
        <is>
          <t>73 0.25%</t>
        </is>
      </c>
      <c r="U948" s="134" t="inlineStr">
        <is>
          <t>160 -0.09%</t>
        </is>
      </c>
    </row>
    <row customHeight="1" ht="17" r="949" s="155">
      <c r="A949" s="105" t="n">
        <v>44524</v>
      </c>
      <c r="B949" s="134" t="n">
        <v>2021.569</v>
      </c>
      <c r="C949" s="152" t="n">
        <v>3.149</v>
      </c>
      <c r="D949" s="153" t="n">
        <v>0.0016</v>
      </c>
      <c r="E949" s="134" t="n">
        <v>149.524</v>
      </c>
      <c r="F949" s="134" t="n">
        <v>126.2</v>
      </c>
      <c r="G949" s="134" t="n">
        <v>99.39</v>
      </c>
      <c r="H949" s="134" t="n">
        <v>186.54</v>
      </c>
      <c r="I949" s="104" t="n">
        <v>0.3701</v>
      </c>
      <c r="J949" s="104" t="n">
        <v>0.2654</v>
      </c>
      <c r="K949" s="104" t="n">
        <v>-0.0506</v>
      </c>
      <c r="L949" s="134" t="n">
        <v>955.96</v>
      </c>
      <c r="M949" s="134" t="n">
        <v>6136.3</v>
      </c>
      <c r="N949" s="104" t="n">
        <v>0.1558</v>
      </c>
      <c r="O949" s="134" t="n">
        <v>371</v>
      </c>
      <c r="P949" s="134" t="n">
        <v>0</v>
      </c>
      <c r="Q949" s="134" t="inlineStr">
        <is>
          <t>4 -0.08%</t>
        </is>
      </c>
      <c r="R949" s="134" t="inlineStr">
        <is>
          <t>42 0.13%</t>
        </is>
      </c>
      <c r="S949" s="134" t="inlineStr">
        <is>
          <t>89 0.16%</t>
        </is>
      </c>
      <c r="T949" s="134" t="inlineStr">
        <is>
          <t>75 0.04%</t>
        </is>
      </c>
      <c r="U949" s="134" t="inlineStr">
        <is>
          <t>161 0.22%</t>
        </is>
      </c>
    </row>
    <row customHeight="1" ht="17" r="950" s="155">
      <c r="A950" s="105" t="n">
        <v>44525</v>
      </c>
      <c r="B950" s="134" t="n">
        <v>2019.204</v>
      </c>
      <c r="C950" s="150" t="n">
        <v>-2.365</v>
      </c>
      <c r="D950" s="151" t="n">
        <v>-0.0012</v>
      </c>
      <c r="E950" s="134" t="n">
        <v>148.893</v>
      </c>
      <c r="F950" s="134" t="n">
        <v>126.38</v>
      </c>
      <c r="G950" s="134" t="n">
        <v>99.16</v>
      </c>
      <c r="H950" s="134" t="n">
        <v>185.85</v>
      </c>
      <c r="I950" s="104" t="n">
        <v>0.3696</v>
      </c>
      <c r="J950" s="104" t="n">
        <v>0.2644</v>
      </c>
      <c r="K950" s="104" t="n">
        <v>-0.0501</v>
      </c>
      <c r="L950" s="134" t="n">
        <v>824.36</v>
      </c>
      <c r="M950" s="134" t="n">
        <v>6145.03</v>
      </c>
      <c r="N950" s="104" t="n">
        <v>0.1342</v>
      </c>
      <c r="O950" s="134" t="n">
        <v>374</v>
      </c>
      <c r="P950" s="134" t="n">
        <v>0</v>
      </c>
      <c r="Q950" s="134" t="inlineStr">
        <is>
          <t>3 0.47%</t>
        </is>
      </c>
      <c r="R950" s="134" t="inlineStr">
        <is>
          <t>43 0.20%</t>
        </is>
      </c>
      <c r="S950" s="134" t="inlineStr">
        <is>
          <t>84 0.11%</t>
        </is>
      </c>
      <c r="T950" s="134" t="inlineStr">
        <is>
          <t>80 0.15%</t>
        </is>
      </c>
      <c r="U950" s="134" t="inlineStr">
        <is>
          <t>164 -0.46%</t>
        </is>
      </c>
    </row>
    <row customHeight="1" ht="17" r="951" s="155">
      <c r="A951" s="105" t="n">
        <v>44526</v>
      </c>
      <c r="B951" s="134" t="n">
        <v>2022.576</v>
      </c>
      <c r="C951" s="152" t="n">
        <v>3.372</v>
      </c>
      <c r="D951" s="153" t="n">
        <v>0.0017</v>
      </c>
      <c r="E951" s="134" t="n">
        <v>149.393</v>
      </c>
      <c r="F951" s="134" t="n">
        <v>126.52</v>
      </c>
      <c r="G951" s="134" t="n">
        <v>99.41</v>
      </c>
      <c r="H951" s="134" t="n">
        <v>186.69</v>
      </c>
      <c r="I951" s="104" t="n">
        <v>0.373</v>
      </c>
      <c r="J951" s="104" t="n">
        <v>0.2662</v>
      </c>
      <c r="K951" s="104" t="n">
        <v>-0.0509</v>
      </c>
      <c r="L951" s="134" t="n">
        <v>971.92</v>
      </c>
      <c r="M951" s="134" t="n">
        <v>6122.12</v>
      </c>
      <c r="N951" s="104" t="n">
        <v>0.1588</v>
      </c>
      <c r="O951" s="134" t="n">
        <v>373</v>
      </c>
      <c r="P951" s="134" t="n">
        <v>0</v>
      </c>
      <c r="Q951" s="134" t="inlineStr">
        <is>
          <t>3 -0.32%</t>
        </is>
      </c>
      <c r="R951" s="134" t="inlineStr">
        <is>
          <t>43 -0.06%</t>
        </is>
      </c>
      <c r="S951" s="134" t="inlineStr">
        <is>
          <t>85 0.01%</t>
        </is>
      </c>
      <c r="T951" s="134" t="inlineStr">
        <is>
          <t>78 0.12%</t>
        </is>
      </c>
      <c r="U951" s="134" t="inlineStr">
        <is>
          <t>164 0.34%</t>
        </is>
      </c>
    </row>
    <row customHeight="1" ht="17" r="952" s="155">
      <c r="A952" s="105" t="n">
        <v>44529</v>
      </c>
      <c r="B952" s="134" t="n">
        <v>2035.986</v>
      </c>
      <c r="C952" s="152" t="n">
        <v>13.41</v>
      </c>
      <c r="D952" s="153" t="n">
        <v>0.0066</v>
      </c>
      <c r="E952" s="134" t="n">
        <v>150.728</v>
      </c>
      <c r="F952" s="134" t="n">
        <v>126.805</v>
      </c>
      <c r="G952" s="134" t="n">
        <v>99.2</v>
      </c>
      <c r="H952" s="134" t="n">
        <v>188.69</v>
      </c>
      <c r="I952" s="104" t="n">
        <v>0.3797</v>
      </c>
      <c r="J952" s="104" t="n">
        <v>0.2699</v>
      </c>
      <c r="K952" s="104" t="n">
        <v>-0.0516</v>
      </c>
      <c r="L952" s="134" t="n">
        <v>877.88</v>
      </c>
      <c r="M952" s="134" t="n">
        <v>6132.43</v>
      </c>
      <c r="N952" s="104" t="n">
        <v>0.1432</v>
      </c>
      <c r="O952" s="134" t="n">
        <v>374</v>
      </c>
      <c r="P952" s="134" t="n">
        <v>0</v>
      </c>
      <c r="Q952" s="134" t="inlineStr">
        <is>
          <t>4 -0.30%</t>
        </is>
      </c>
      <c r="R952" s="134" t="inlineStr">
        <is>
          <t>42 -0.11%</t>
        </is>
      </c>
      <c r="S952" s="134" t="inlineStr">
        <is>
          <t>84 -0.15%</t>
        </is>
      </c>
      <c r="T952" s="134" t="inlineStr">
        <is>
          <t>74 -0.03%</t>
        </is>
      </c>
      <c r="U952" s="134" t="inlineStr">
        <is>
          <t>170 1.58%</t>
        </is>
      </c>
    </row>
    <row customHeight="1" ht="17" r="953" s="155">
      <c r="A953" s="105" t="n">
        <v>44530</v>
      </c>
      <c r="B953" s="134" t="n">
        <v>2046.166</v>
      </c>
      <c r="C953" s="152" t="n">
        <v>10.18</v>
      </c>
      <c r="D953" s="153" t="n">
        <v>0.005</v>
      </c>
      <c r="E953" s="134" t="n">
        <v>150.729</v>
      </c>
      <c r="F953" s="134" t="n">
        <v>127.452</v>
      </c>
      <c r="G953" s="134" t="n">
        <v>99.86</v>
      </c>
      <c r="H953" s="134" t="n">
        <v>188.33</v>
      </c>
      <c r="I953" s="104" t="n">
        <v>0.376</v>
      </c>
      <c r="J953" s="104" t="n">
        <v>0.2641</v>
      </c>
      <c r="K953" s="104" t="n">
        <v>-0.0523</v>
      </c>
      <c r="L953" s="134" t="n">
        <v>952.35</v>
      </c>
      <c r="M953" s="134" t="n">
        <v>6211.6</v>
      </c>
      <c r="N953" s="104" t="n">
        <v>0.1533</v>
      </c>
      <c r="O953" s="134" t="n">
        <v>372</v>
      </c>
      <c r="P953" s="134" t="n">
        <v>0</v>
      </c>
      <c r="Q953" s="134" t="inlineStr">
        <is>
          <t>4 0.19%</t>
        </is>
      </c>
      <c r="R953" s="134" t="inlineStr">
        <is>
          <t>38 0.30%</t>
        </is>
      </c>
      <c r="S953" s="134" t="inlineStr">
        <is>
          <t>88 0.41%</t>
        </is>
      </c>
      <c r="T953" s="134" t="inlineStr">
        <is>
          <t>73 0.46%</t>
        </is>
      </c>
      <c r="U953" s="134" t="inlineStr">
        <is>
          <t>169 0.62%</t>
        </is>
      </c>
    </row>
    <row customHeight="1" ht="17" r="954" s="155">
      <c r="A954" s="105" t="n">
        <v>44531</v>
      </c>
      <c r="B954" s="134" t="n">
        <v>2059.364</v>
      </c>
      <c r="C954" s="152" t="n">
        <v>13.198</v>
      </c>
      <c r="D954" s="153" t="n">
        <v>0.0065</v>
      </c>
      <c r="E954" s="134" t="n">
        <v>151.728</v>
      </c>
      <c r="F954" s="134" t="n">
        <v>128.124</v>
      </c>
      <c r="G954" s="134" t="n">
        <v>101.46</v>
      </c>
      <c r="H954" s="134" t="n">
        <v>188.64</v>
      </c>
      <c r="I954" s="104" t="n">
        <v>0.3691</v>
      </c>
      <c r="J954" s="104" t="n">
        <v>0.2567</v>
      </c>
      <c r="K954" s="104" t="n">
        <v>-0.054</v>
      </c>
      <c r="L954" s="134" t="n">
        <v>870.61</v>
      </c>
      <c r="M954" s="134" t="n">
        <v>6210.21</v>
      </c>
      <c r="N954" s="104" t="n">
        <v>0.1402</v>
      </c>
      <c r="O954" s="134" t="n">
        <v>372</v>
      </c>
      <c r="P954" s="134" t="n">
        <v>0</v>
      </c>
      <c r="Q954" s="134" t="inlineStr">
        <is>
          <t>3 0.15%</t>
        </is>
      </c>
      <c r="R954" s="134" t="inlineStr">
        <is>
          <t>38 0.36%</t>
        </is>
      </c>
      <c r="S954" s="134" t="inlineStr">
        <is>
          <t>81 0.46%</t>
        </is>
      </c>
      <c r="T954" s="134" t="inlineStr">
        <is>
          <t>76 0.75%</t>
        </is>
      </c>
      <c r="U954" s="134" t="inlineStr">
        <is>
          <t>174 0.76%</t>
        </is>
      </c>
    </row>
    <row customHeight="1" ht="17" r="955" s="155">
      <c r="A955" s="105" t="n">
        <v>44532</v>
      </c>
      <c r="B955" s="134" t="n">
        <v>2059.652</v>
      </c>
      <c r="C955" s="152" t="n">
        <v>0.288</v>
      </c>
      <c r="D955" s="153" t="n">
        <v>0.0001</v>
      </c>
      <c r="E955" s="134" t="n">
        <v>151.7</v>
      </c>
      <c r="F955" s="134" t="n">
        <v>126.949</v>
      </c>
      <c r="G955" s="134" t="n">
        <v>100.67</v>
      </c>
      <c r="H955" s="134" t="n">
        <v>189.81</v>
      </c>
      <c r="I955" s="104" t="n">
        <v>0.3811</v>
      </c>
      <c r="J955" s="104" t="n">
        <v>0.2725</v>
      </c>
      <c r="K955" s="104" t="n">
        <v>-0.0542</v>
      </c>
      <c r="L955" s="134" t="n">
        <v>823.55</v>
      </c>
      <c r="M955" s="134" t="n">
        <v>6207.53</v>
      </c>
      <c r="N955" s="104" t="n">
        <v>0.1327</v>
      </c>
      <c r="O955" s="134" t="n">
        <v>372</v>
      </c>
      <c r="P955" s="134" t="n">
        <v>0</v>
      </c>
      <c r="Q955" s="134" t="inlineStr">
        <is>
          <t>3 0.03%</t>
        </is>
      </c>
      <c r="R955" s="134" t="inlineStr">
        <is>
          <t>38 0.01%</t>
        </is>
      </c>
      <c r="S955" s="134" t="inlineStr">
        <is>
          <t>76 -0.02%</t>
        </is>
      </c>
      <c r="T955" s="134" t="inlineStr">
        <is>
          <t>83 -0.03%</t>
        </is>
      </c>
      <c r="U955" s="134" t="inlineStr">
        <is>
          <t>172 0.05%</t>
        </is>
      </c>
    </row>
    <row customHeight="1" ht="17" r="956" s="155">
      <c r="A956" s="105" t="n">
        <v>44533</v>
      </c>
      <c r="B956" s="134" t="n">
        <v>2067.252</v>
      </c>
      <c r="C956" s="152" t="n">
        <v>7.6</v>
      </c>
      <c r="D956" s="153" t="n">
        <v>0.0037</v>
      </c>
      <c r="E956" s="134" t="n">
        <v>152.232</v>
      </c>
      <c r="F956" s="134" t="n">
        <v>127.8</v>
      </c>
      <c r="G956" s="134" t="n">
        <v>100.89</v>
      </c>
      <c r="H956" s="134" t="n">
        <v>190.09</v>
      </c>
      <c r="I956" s="104" t="n">
        <v>0.3785</v>
      </c>
      <c r="J956" s="104" t="n">
        <v>0.2707</v>
      </c>
      <c r="K956" s="104" t="n">
        <v>-0.0547</v>
      </c>
      <c r="L956" s="134" t="n">
        <v>884.38</v>
      </c>
      <c r="M956" s="134" t="n">
        <v>6208.97</v>
      </c>
      <c r="N956" s="104" t="n">
        <v>0.1424</v>
      </c>
      <c r="O956" s="134" t="n">
        <v>373</v>
      </c>
      <c r="P956" s="134" t="n">
        <v>0</v>
      </c>
      <c r="Q956" s="134" t="inlineStr">
        <is>
          <t>3 -0.07%</t>
        </is>
      </c>
      <c r="R956" s="134" t="inlineStr">
        <is>
          <t>36 0.12%</t>
        </is>
      </c>
      <c r="S956" s="134" t="inlineStr">
        <is>
          <t>75 0.15%</t>
        </is>
      </c>
      <c r="T956" s="134" t="inlineStr">
        <is>
          <t>86 0.32%</t>
        </is>
      </c>
      <c r="U956" s="134" t="inlineStr">
        <is>
          <t>173 0.55%</t>
        </is>
      </c>
    </row>
    <row customHeight="1" ht="17" r="957" s="155">
      <c r="A957" s="105" t="n">
        <v>44536</v>
      </c>
      <c r="B957" s="134" t="n">
        <v>2035.065</v>
      </c>
      <c r="C957" s="150" t="n">
        <v>-32.187</v>
      </c>
      <c r="D957" s="151" t="n">
        <v>-0.0156</v>
      </c>
      <c r="E957" s="134" t="n">
        <v>149.643</v>
      </c>
      <c r="F957" s="134" t="n">
        <v>126</v>
      </c>
      <c r="G957" s="134" t="n">
        <v>99.13</v>
      </c>
      <c r="H957" s="134" t="n">
        <v>187.65</v>
      </c>
      <c r="I957" s="104" t="n">
        <v>0.38</v>
      </c>
      <c r="J957" s="104" t="n">
        <v>0.2762</v>
      </c>
      <c r="K957" s="104" t="n">
        <v>-0.0507</v>
      </c>
      <c r="L957" s="134" t="n">
        <v>751.26</v>
      </c>
      <c r="M957" s="134" t="n">
        <v>6206.05</v>
      </c>
      <c r="N957" s="104" t="n">
        <v>0.1211</v>
      </c>
      <c r="O957" s="134" t="n">
        <v>373</v>
      </c>
      <c r="P957" s="134" t="n">
        <v>0</v>
      </c>
      <c r="Q957" s="134" t="inlineStr">
        <is>
          <t>4 -0.73%</t>
        </is>
      </c>
      <c r="R957" s="134" t="inlineStr">
        <is>
          <t>41 -0.89%</t>
        </is>
      </c>
      <c r="S957" s="134" t="inlineStr">
        <is>
          <t>86 -1.23%</t>
        </is>
      </c>
      <c r="T957" s="134" t="inlineStr">
        <is>
          <t>83 -1.50%</t>
        </is>
      </c>
      <c r="U957" s="134" t="inlineStr">
        <is>
          <t>159 -1.96%</t>
        </is>
      </c>
    </row>
    <row customHeight="1" ht="17" r="958" s="155">
      <c r="A958" s="105" t="n">
        <v>44537</v>
      </c>
      <c r="B958" s="134" t="n">
        <v>1984.107</v>
      </c>
      <c r="C958" s="150" t="n">
        <v>-50.958</v>
      </c>
      <c r="D958" s="151" t="n">
        <v>-0.025</v>
      </c>
      <c r="E958" s="134" t="n">
        <v>145.191</v>
      </c>
      <c r="F958" s="134" t="n">
        <v>122.98</v>
      </c>
      <c r="G958" s="134" t="n">
        <v>99.36</v>
      </c>
      <c r="H958" s="134" t="n">
        <v>181</v>
      </c>
      <c r="I958" s="104" t="n">
        <v>0.3581</v>
      </c>
      <c r="J958" s="104" t="n">
        <v>0.2535</v>
      </c>
      <c r="K958" s="104" t="n">
        <v>-0.0438</v>
      </c>
      <c r="L958" s="134" t="n">
        <v>825.13</v>
      </c>
      <c r="M958" s="134" t="n">
        <v>6231.91</v>
      </c>
      <c r="N958" s="104" t="n">
        <v>0.1324</v>
      </c>
      <c r="O958" s="134" t="n">
        <v>375</v>
      </c>
      <c r="P958" s="134" t="n">
        <v>0</v>
      </c>
      <c r="Q958" s="134" t="inlineStr">
        <is>
          <t>5 -0.83%</t>
        </is>
      </c>
      <c r="R958" s="134" t="inlineStr">
        <is>
          <t>50 -1.19%</t>
        </is>
      </c>
      <c r="S958" s="134" t="inlineStr">
        <is>
          <t>102 -1.73%</t>
        </is>
      </c>
      <c r="T958" s="134" t="inlineStr">
        <is>
          <t>69 -2.42%</t>
        </is>
      </c>
      <c r="U958" s="134" t="inlineStr">
        <is>
          <t>149 -3.57%</t>
        </is>
      </c>
    </row>
    <row customHeight="1" ht="17" r="959" s="155">
      <c r="A959" s="105" t="n">
        <v>44538</v>
      </c>
      <c r="B959" s="134" t="n">
        <v>2007.519</v>
      </c>
      <c r="C959" s="152" t="n">
        <v>23.412</v>
      </c>
      <c r="D959" s="153" t="n">
        <v>0.0118</v>
      </c>
      <c r="E959" s="134" t="n">
        <v>147.114</v>
      </c>
      <c r="F959" s="134" t="n">
        <v>124.3</v>
      </c>
      <c r="G959" s="134" t="n">
        <v>100.28</v>
      </c>
      <c r="H959" s="134" t="n">
        <v>182.51</v>
      </c>
      <c r="I959" s="104" t="n">
        <v>0.354</v>
      </c>
      <c r="J959" s="104" t="n">
        <v>0.2482</v>
      </c>
      <c r="K959" s="104" t="n">
        <v>-0.0475</v>
      </c>
      <c r="L959" s="134" t="n">
        <v>712.41</v>
      </c>
      <c r="M959" s="134" t="n">
        <v>6228.01</v>
      </c>
      <c r="N959" s="104" t="n">
        <v>0.1144</v>
      </c>
      <c r="O959" s="134" t="n">
        <v>375</v>
      </c>
      <c r="P959" s="134" t="n">
        <v>0</v>
      </c>
      <c r="Q959" s="134" t="inlineStr">
        <is>
          <t>4 0.31%</t>
        </is>
      </c>
      <c r="R959" s="134" t="inlineStr">
        <is>
          <t>46 0.39%</t>
        </is>
      </c>
      <c r="S959" s="134" t="inlineStr">
        <is>
          <t>93 0.69%</t>
        </is>
      </c>
      <c r="T959" s="134" t="inlineStr">
        <is>
          <t>75 1.11%</t>
        </is>
      </c>
      <c r="U959" s="134" t="inlineStr">
        <is>
          <t>157 1.76%</t>
        </is>
      </c>
    </row>
    <row customHeight="1" ht="17" r="960" s="155">
      <c r="A960" s="105" t="n">
        <v>44539</v>
      </c>
      <c r="B960" s="134" t="n">
        <v>2021.03</v>
      </c>
      <c r="C960" s="152" t="n">
        <v>13.511</v>
      </c>
      <c r="D960" s="153" t="n">
        <v>0.0067</v>
      </c>
      <c r="E960" s="134" t="n">
        <v>147.997</v>
      </c>
      <c r="F960" s="134" t="n">
        <v>126.142</v>
      </c>
      <c r="G960" s="134" t="n">
        <v>100.14</v>
      </c>
      <c r="H960" s="134" t="n">
        <v>183.76</v>
      </c>
      <c r="I960" s="104" t="n">
        <v>0.3576</v>
      </c>
      <c r="J960" s="104" t="n">
        <v>0.2564</v>
      </c>
      <c r="K960" s="104" t="n">
        <v>-0.0496</v>
      </c>
      <c r="L960" s="134" t="n">
        <v>681.3200000000001</v>
      </c>
      <c r="M960" s="134" t="n">
        <v>6225</v>
      </c>
      <c r="N960" s="104" t="n">
        <v>0.1094</v>
      </c>
      <c r="O960" s="134" t="n">
        <v>375</v>
      </c>
      <c r="P960" s="134" t="n">
        <v>0</v>
      </c>
      <c r="Q960" s="134" t="inlineStr">
        <is>
          <t>4 0.58%</t>
        </is>
      </c>
      <c r="R960" s="134" t="inlineStr">
        <is>
          <t>41 0.47%</t>
        </is>
      </c>
      <c r="S960" s="134" t="inlineStr">
        <is>
          <t>90 0.73%</t>
        </is>
      </c>
      <c r="T960" s="134" t="inlineStr">
        <is>
          <t>81 0.86%</t>
        </is>
      </c>
      <c r="U960" s="134" t="inlineStr">
        <is>
          <t>159 0.60%</t>
        </is>
      </c>
    </row>
    <row customHeight="1" ht="17" r="961" s="155">
      <c r="A961" s="105" t="n">
        <v>44540</v>
      </c>
      <c r="B961" s="134" t="n">
        <v>2034.733</v>
      </c>
      <c r="C961" s="152" t="n">
        <v>13.703</v>
      </c>
      <c r="D961" s="153" t="n">
        <v>0.0068</v>
      </c>
      <c r="E961" s="134" t="n">
        <v>149.019</v>
      </c>
      <c r="F961" s="134" t="n">
        <v>126.755</v>
      </c>
      <c r="G961" s="134" t="n">
        <v>100.19</v>
      </c>
      <c r="H961" s="134" t="n">
        <v>185.04</v>
      </c>
      <c r="I961" s="104" t="n">
        <v>0.3602</v>
      </c>
      <c r="J961" s="104" t="n">
        <v>0.265</v>
      </c>
      <c r="K961" s="104" t="n">
        <v>-0.0513</v>
      </c>
      <c r="L961" s="134" t="n">
        <v>632.26</v>
      </c>
      <c r="M961" s="134" t="n">
        <v>6242.88</v>
      </c>
      <c r="N961" s="104" t="n">
        <v>0.1013</v>
      </c>
      <c r="O961" s="134" t="n">
        <v>376</v>
      </c>
      <c r="P961" s="134" t="n">
        <v>0</v>
      </c>
      <c r="Q961" s="134" t="inlineStr">
        <is>
          <t>3 0.05%</t>
        </is>
      </c>
      <c r="R961" s="134" t="inlineStr">
        <is>
          <t>43 0.17%</t>
        </is>
      </c>
      <c r="S961" s="134" t="inlineStr">
        <is>
          <t>85 0.25%</t>
        </is>
      </c>
      <c r="T961" s="134" t="inlineStr">
        <is>
          <t>78 0.66%</t>
        </is>
      </c>
      <c r="U961" s="134" t="inlineStr">
        <is>
          <t>167 1.05%</t>
        </is>
      </c>
    </row>
    <row customHeight="1" ht="17" r="962" s="155">
      <c r="A962" s="105" t="n">
        <v>44543</v>
      </c>
      <c r="B962" s="134" t="n">
        <v>2042.811</v>
      </c>
      <c r="C962" s="152" t="n">
        <v>8.077999999999999</v>
      </c>
      <c r="D962" s="153" t="n">
        <v>0.004</v>
      </c>
      <c r="E962" s="134" t="n">
        <v>149.453</v>
      </c>
      <c r="F962" s="134" t="n">
        <v>127.14</v>
      </c>
      <c r="G962" s="134" t="n">
        <v>101.02</v>
      </c>
      <c r="H962" s="134" t="n">
        <v>185.41</v>
      </c>
      <c r="I962" s="104" t="n">
        <v>0.3595</v>
      </c>
      <c r="J962" s="104" t="n">
        <v>0.2629</v>
      </c>
      <c r="K962" s="104" t="n">
        <v>-0.0522</v>
      </c>
      <c r="L962" s="134" t="n">
        <v>634.17</v>
      </c>
      <c r="M962" s="134" t="n">
        <v>6316.71</v>
      </c>
      <c r="N962" s="104" t="n">
        <v>0.1004</v>
      </c>
      <c r="O962" s="134" t="n">
        <v>379</v>
      </c>
      <c r="P962" s="134" t="n">
        <v>0</v>
      </c>
      <c r="Q962" s="134" t="inlineStr">
        <is>
          <t>3 -0.10%</t>
        </is>
      </c>
      <c r="R962" s="134" t="inlineStr">
        <is>
          <t>41 0.30%</t>
        </is>
      </c>
      <c r="S962" s="134" t="inlineStr">
        <is>
          <t>86 0.17%</t>
        </is>
      </c>
      <c r="T962" s="134" t="inlineStr">
        <is>
          <t>82 0.17%</t>
        </is>
      </c>
      <c r="U962" s="134" t="inlineStr">
        <is>
          <t>167 0.66%</t>
        </is>
      </c>
    </row>
    <row customHeight="1" ht="17" r="963" s="155">
      <c r="A963" s="105" t="n">
        <v>44544</v>
      </c>
      <c r="B963" s="134" t="n">
        <v>2034.435</v>
      </c>
      <c r="C963" s="150" t="n">
        <v>-8.375999999999999</v>
      </c>
      <c r="D963" s="151" t="n">
        <v>-0.0041</v>
      </c>
      <c r="E963" s="134" t="n">
        <v>148.636</v>
      </c>
      <c r="F963" s="134" t="n">
        <v>127</v>
      </c>
      <c r="G963" s="134" t="n">
        <v>100.14</v>
      </c>
      <c r="H963" s="134" t="n">
        <v>183.72</v>
      </c>
      <c r="I963" s="104" t="n">
        <v>0.3508</v>
      </c>
      <c r="J963" s="104" t="n">
        <v>0.2621</v>
      </c>
      <c r="K963" s="104" t="n">
        <v>-0.0505</v>
      </c>
      <c r="L963" s="134" t="n">
        <v>583.38</v>
      </c>
      <c r="M963" s="134" t="n">
        <v>6310.61</v>
      </c>
      <c r="N963" s="104" t="n">
        <v>0.0924</v>
      </c>
      <c r="O963" s="134" t="n">
        <v>379</v>
      </c>
      <c r="P963" s="134" t="n">
        <v>0</v>
      </c>
      <c r="Q963" s="134" t="inlineStr">
        <is>
          <t>4 -0.33%</t>
        </is>
      </c>
      <c r="R963" s="134" t="inlineStr">
        <is>
          <t>40 -0.18%</t>
        </is>
      </c>
      <c r="S963" s="134" t="inlineStr">
        <is>
          <t>88 -0.35%</t>
        </is>
      </c>
      <c r="T963" s="134" t="inlineStr">
        <is>
          <t>80 -0.42%</t>
        </is>
      </c>
      <c r="U963" s="134" t="inlineStr">
        <is>
          <t>167 -0.49%</t>
        </is>
      </c>
    </row>
    <row customHeight="1" ht="17" r="964" s="155">
      <c r="A964" s="105" t="n">
        <v>44545</v>
      </c>
      <c r="B964" s="134" t="n">
        <v>2035.005</v>
      </c>
      <c r="C964" s="152" t="n">
        <v>0.57</v>
      </c>
      <c r="D964" s="153" t="n">
        <v>0.0003</v>
      </c>
      <c r="E964" s="134" t="n">
        <v>148.646</v>
      </c>
      <c r="F964" s="134" t="n">
        <v>126.495</v>
      </c>
      <c r="G964" s="134" t="n">
        <v>99.87</v>
      </c>
      <c r="H964" s="134" t="n">
        <v>184.03</v>
      </c>
      <c r="I964" s="104" t="n">
        <v>0.3539</v>
      </c>
      <c r="J964" s="104" t="n">
        <v>0.2611</v>
      </c>
      <c r="K964" s="104" t="n">
        <v>-0.0506</v>
      </c>
      <c r="L964" s="134" t="n">
        <v>528.46</v>
      </c>
      <c r="M964" s="134" t="n">
        <v>6308.04</v>
      </c>
      <c r="N964" s="104" t="n">
        <v>0.0838</v>
      </c>
      <c r="O964" s="134" t="n">
        <v>378</v>
      </c>
      <c r="P964" s="134" t="n">
        <v>0</v>
      </c>
      <c r="Q964" s="134" t="inlineStr">
        <is>
          <t>3 0.24%</t>
        </is>
      </c>
      <c r="R964" s="134" t="inlineStr">
        <is>
          <t>40 0.20%</t>
        </is>
      </c>
      <c r="S964" s="134" t="inlineStr">
        <is>
          <t>87 0.13%</t>
        </is>
      </c>
      <c r="T964" s="134" t="inlineStr">
        <is>
          <t>81 -0.01%</t>
        </is>
      </c>
      <c r="U964" s="134" t="inlineStr">
        <is>
          <t>167 -0.05%</t>
        </is>
      </c>
    </row>
    <row customHeight="1" ht="17" r="965" s="155">
      <c r="A965" s="105" t="n">
        <v>44546</v>
      </c>
      <c r="B965" s="134" t="n">
        <v>2043.328</v>
      </c>
      <c r="C965" s="152" t="n">
        <v>8.323</v>
      </c>
      <c r="D965" s="153" t="n">
        <v>0.0041</v>
      </c>
      <c r="E965" s="134" t="n">
        <v>149.181</v>
      </c>
      <c r="F965" s="134" t="n">
        <v>127.399</v>
      </c>
      <c r="G965" s="134" t="n">
        <v>100.87</v>
      </c>
      <c r="H965" s="134" t="n">
        <v>184.09</v>
      </c>
      <c r="I965" s="104" t="n">
        <v>0.3491</v>
      </c>
      <c r="J965" s="104" t="n">
        <v>0.2521</v>
      </c>
      <c r="K965" s="104" t="n">
        <v>-0.0517</v>
      </c>
      <c r="L965" s="134" t="n">
        <v>529.29</v>
      </c>
      <c r="M965" s="134" t="n">
        <v>6294.56</v>
      </c>
      <c r="N965" s="104" t="n">
        <v>0.08409999999999999</v>
      </c>
      <c r="O965" s="134" t="n">
        <v>376</v>
      </c>
      <c r="P965" s="134" t="n">
        <v>0</v>
      </c>
      <c r="Q965" s="134" t="inlineStr">
        <is>
          <t>3 0.45%</t>
        </is>
      </c>
      <c r="R965" s="134" t="inlineStr">
        <is>
          <t>35 0.37%</t>
        </is>
      </c>
      <c r="S965" s="134" t="inlineStr">
        <is>
          <t>85 0.38%</t>
        </is>
      </c>
      <c r="T965" s="134" t="inlineStr">
        <is>
          <t>83 0.57%</t>
        </is>
      </c>
      <c r="U965" s="134" t="inlineStr">
        <is>
          <t>170 0.35%</t>
        </is>
      </c>
    </row>
    <row customHeight="1" ht="17" r="966" s="155">
      <c r="A966" s="105" t="n">
        <v>44547</v>
      </c>
      <c r="B966" s="134" t="n">
        <v>2039.711</v>
      </c>
      <c r="C966" s="150" t="n">
        <v>-3.617</v>
      </c>
      <c r="D966" s="151" t="n">
        <v>-0.0018</v>
      </c>
      <c r="E966" s="134" t="n">
        <v>148.642</v>
      </c>
      <c r="F966" s="134" t="n">
        <v>127.41</v>
      </c>
      <c r="G966" s="134" t="n">
        <v>100.58</v>
      </c>
      <c r="H966" s="134" t="n">
        <v>184.39</v>
      </c>
      <c r="I966" s="104" t="n">
        <v>0.3575</v>
      </c>
      <c r="J966" s="104" t="n">
        <v>0.2672</v>
      </c>
      <c r="K966" s="104" t="n">
        <v>-0.0509</v>
      </c>
      <c r="L966" s="134" t="n">
        <v>484.41</v>
      </c>
      <c r="M966" s="134" t="n">
        <v>6291.7</v>
      </c>
      <c r="N966" s="104" t="n">
        <v>0.077</v>
      </c>
      <c r="O966" s="134" t="n">
        <v>375</v>
      </c>
      <c r="P966" s="134" t="n">
        <v>0</v>
      </c>
      <c r="Q966" s="134" t="inlineStr">
        <is>
          <t>3 0.05%</t>
        </is>
      </c>
      <c r="R966" s="134" t="inlineStr">
        <is>
          <t>34 0.09%</t>
        </is>
      </c>
      <c r="S966" s="134" t="inlineStr">
        <is>
          <t>87 0.00%</t>
        </is>
      </c>
      <c r="T966" s="134" t="inlineStr">
        <is>
          <t>90 -0.15%</t>
        </is>
      </c>
      <c r="U966" s="134" t="inlineStr">
        <is>
          <t>161 -0.35%</t>
        </is>
      </c>
    </row>
    <row customHeight="1" ht="17" r="967" s="155">
      <c r="A967" s="105" t="n">
        <v>44550</v>
      </c>
      <c r="B967" s="134" t="n">
        <v>2023.597</v>
      </c>
      <c r="C967" s="150" t="n">
        <v>-16.114</v>
      </c>
      <c r="D967" s="151" t="n">
        <v>-0.007900000000000001</v>
      </c>
      <c r="E967" s="134" t="n">
        <v>147.17</v>
      </c>
      <c r="F967" s="134" t="n">
        <v>126.14</v>
      </c>
      <c r="G967" s="134" t="n">
        <v>99.58</v>
      </c>
      <c r="H967" s="134" t="n">
        <v>183.37</v>
      </c>
      <c r="I967" s="104" t="n">
        <v>0.362</v>
      </c>
      <c r="J967" s="104" t="n">
        <v>0.2697</v>
      </c>
      <c r="K967" s="104" t="n">
        <v>-0.0479</v>
      </c>
      <c r="L967" s="134" t="n">
        <v>455.1</v>
      </c>
      <c r="M967" s="134" t="n">
        <v>6294.77</v>
      </c>
      <c r="N967" s="104" t="n">
        <v>0.0723</v>
      </c>
      <c r="O967" s="134" t="n">
        <v>375</v>
      </c>
      <c r="P967" s="134" t="n">
        <v>0</v>
      </c>
      <c r="Q967" s="134" t="inlineStr">
        <is>
          <t>3 -0.19%</t>
        </is>
      </c>
      <c r="R967" s="134" t="inlineStr">
        <is>
          <t>33 -0.18%</t>
        </is>
      </c>
      <c r="S967" s="134" t="inlineStr">
        <is>
          <t>99 -0.36%</t>
        </is>
      </c>
      <c r="T967" s="134" t="inlineStr">
        <is>
          <t>85 -0.57%</t>
        </is>
      </c>
      <c r="U967" s="134" t="inlineStr">
        <is>
          <t>155 -1.32%</t>
        </is>
      </c>
    </row>
    <row customHeight="1" ht="17" r="968" s="155">
      <c r="A968" s="105" t="n">
        <v>44551</v>
      </c>
      <c r="B968" s="134" t="n">
        <v>2039.361</v>
      </c>
      <c r="C968" s="152" t="n">
        <v>15.764</v>
      </c>
      <c r="D968" s="153" t="n">
        <v>0.0078</v>
      </c>
      <c r="E968" s="134" t="n">
        <v>148.32</v>
      </c>
      <c r="F968" s="134" t="n">
        <v>127.15</v>
      </c>
      <c r="G968" s="134" t="n">
        <v>100.98</v>
      </c>
      <c r="H968" s="134" t="n">
        <v>183.43</v>
      </c>
      <c r="I968" s="104" t="n">
        <v>0.3511</v>
      </c>
      <c r="J968" s="104" t="n">
        <v>0.2601</v>
      </c>
      <c r="K968" s="104" t="n">
        <v>-0.0498</v>
      </c>
      <c r="L968" s="134" t="n">
        <v>513.6900000000001</v>
      </c>
      <c r="M968" s="134" t="n">
        <v>6301.03</v>
      </c>
      <c r="N968" s="104" t="n">
        <v>0.0815</v>
      </c>
      <c r="O968" s="134" t="n">
        <v>376</v>
      </c>
      <c r="P968" s="134" t="n">
        <v>0</v>
      </c>
      <c r="Q968" s="134" t="inlineStr">
        <is>
          <t>2 0.20%</t>
        </is>
      </c>
      <c r="R968" s="134" t="inlineStr">
        <is>
          <t>29 0.51%</t>
        </is>
      </c>
      <c r="S968" s="134" t="inlineStr">
        <is>
          <t>92 0.59%</t>
        </is>
      </c>
      <c r="T968" s="134" t="inlineStr">
        <is>
          <t>89 0.67%</t>
        </is>
      </c>
      <c r="U968" s="134" t="inlineStr">
        <is>
          <t>164 1.00%</t>
        </is>
      </c>
    </row>
    <row customHeight="1" ht="17" r="969" s="155">
      <c r="A969" s="105" t="n">
        <v>44552</v>
      </c>
      <c r="B969" s="134" t="n">
        <v>2052.698</v>
      </c>
      <c r="C969" s="152" t="n">
        <v>13.337</v>
      </c>
      <c r="D969" s="153" t="n">
        <v>0.0065</v>
      </c>
      <c r="E969" s="134" t="n">
        <v>149.363</v>
      </c>
      <c r="F969" s="134" t="n">
        <v>127.85</v>
      </c>
      <c r="G969" s="134" t="n">
        <v>101.71</v>
      </c>
      <c r="H969" s="134" t="n">
        <v>184.3</v>
      </c>
      <c r="I969" s="104" t="n">
        <v>0.3494</v>
      </c>
      <c r="J969" s="104" t="n">
        <v>0.2592</v>
      </c>
      <c r="K969" s="104" t="n">
        <v>-0.0513</v>
      </c>
      <c r="L969" s="134" t="n">
        <v>520.21</v>
      </c>
      <c r="M969" s="134" t="n">
        <v>6247.35</v>
      </c>
      <c r="N969" s="104" t="n">
        <v>0.0833</v>
      </c>
      <c r="O969" s="134" t="n">
        <v>375</v>
      </c>
      <c r="P969" s="134" t="n">
        <v>0</v>
      </c>
      <c r="Q969" s="134" t="inlineStr">
        <is>
          <t>2 0.15%</t>
        </is>
      </c>
      <c r="R969" s="134" t="inlineStr">
        <is>
          <t>29 0.08%</t>
        </is>
      </c>
      <c r="S969" s="134" t="inlineStr">
        <is>
          <t>90 0.28%</t>
        </is>
      </c>
      <c r="T969" s="134" t="inlineStr">
        <is>
          <t>83 0.32%</t>
        </is>
      </c>
      <c r="U969" s="134" t="inlineStr">
        <is>
          <t>171 1.11%</t>
        </is>
      </c>
    </row>
    <row customHeight="1" ht="17" r="970" s="155">
      <c r="A970" s="105" t="n">
        <v>44553</v>
      </c>
      <c r="B970" s="134" t="n">
        <v>2065.343</v>
      </c>
      <c r="C970" s="152" t="n">
        <v>12.645</v>
      </c>
      <c r="D970" s="153" t="n">
        <v>0.0062</v>
      </c>
      <c r="E970" s="134" t="n">
        <v>150.443</v>
      </c>
      <c r="F970" s="134" t="n">
        <v>127.669</v>
      </c>
      <c r="G970" s="134" t="n">
        <v>101.16</v>
      </c>
      <c r="H970" s="134" t="n">
        <v>185.99</v>
      </c>
      <c r="I970" s="104" t="n">
        <v>0.3554</v>
      </c>
      <c r="J970" s="104" t="n">
        <v>0.2676</v>
      </c>
      <c r="K970" s="104" t="n">
        <v>-0.0528</v>
      </c>
      <c r="L970" s="134" t="n">
        <v>612.77</v>
      </c>
      <c r="M970" s="134" t="n">
        <v>6311.37</v>
      </c>
      <c r="N970" s="104" t="n">
        <v>0.09710000000000001</v>
      </c>
      <c r="O970" s="134" t="n">
        <v>378</v>
      </c>
      <c r="P970" s="134" t="n">
        <v>0</v>
      </c>
      <c r="Q970" s="134" t="inlineStr">
        <is>
          <t>2 0.62%</t>
        </is>
      </c>
      <c r="R970" s="134" t="inlineStr">
        <is>
          <t>26 0.26%</t>
        </is>
      </c>
      <c r="S970" s="134" t="inlineStr">
        <is>
          <t>89 0.37%</t>
        </is>
      </c>
      <c r="T970" s="134" t="inlineStr">
        <is>
          <t>88 0.13%</t>
        </is>
      </c>
      <c r="U970" s="134" t="inlineStr">
        <is>
          <t>173 1.05%</t>
        </is>
      </c>
    </row>
    <row customHeight="1" ht="17" r="971" s="155">
      <c r="A971" s="105" t="n">
        <v>44554</v>
      </c>
      <c r="B971" s="134" t="n">
        <v>2053.529</v>
      </c>
      <c r="C971" s="150" t="n">
        <v>-11.814</v>
      </c>
      <c r="D971" s="151" t="n">
        <v>-0.0057</v>
      </c>
      <c r="E971" s="134" t="n">
        <v>148.863</v>
      </c>
      <c r="F971" s="134" t="n">
        <v>127.65</v>
      </c>
      <c r="G971" s="134" t="n">
        <v>100.28</v>
      </c>
      <c r="H971" s="134" t="n">
        <v>185.79</v>
      </c>
      <c r="I971" s="104" t="n">
        <v>0.3692</v>
      </c>
      <c r="J971" s="104" t="n">
        <v>0.2776</v>
      </c>
      <c r="K971" s="104" t="n">
        <v>-0.0506</v>
      </c>
      <c r="L971" s="134" t="n">
        <v>577.04</v>
      </c>
      <c r="M971" s="134" t="n">
        <v>6309.74</v>
      </c>
      <c r="N971" s="104" t="n">
        <v>0.0915</v>
      </c>
      <c r="O971" s="134" t="n">
        <v>377</v>
      </c>
      <c r="P971" s="134" t="n">
        <v>0</v>
      </c>
      <c r="Q971" s="134" t="inlineStr">
        <is>
          <t>2 -0.03%</t>
        </is>
      </c>
      <c r="R971" s="134" t="inlineStr">
        <is>
          <t>30 -0.16%</t>
        </is>
      </c>
      <c r="S971" s="134" t="inlineStr">
        <is>
          <t>89 -0.21%</t>
        </is>
      </c>
      <c r="T971" s="134" t="inlineStr">
        <is>
          <t>83 -0.35%</t>
        </is>
      </c>
      <c r="U971" s="134" t="inlineStr">
        <is>
          <t>173 -0.95%</t>
        </is>
      </c>
    </row>
    <row customHeight="1" ht="17" r="972" s="155">
      <c r="A972" s="105" t="n">
        <v>44557</v>
      </c>
      <c r="B972" s="134" t="n">
        <v>2049.052</v>
      </c>
      <c r="C972" s="150" t="n">
        <v>-4.477</v>
      </c>
      <c r="D972" s="151" t="n">
        <v>-0.0022</v>
      </c>
      <c r="E972" s="134" t="n">
        <v>148.218</v>
      </c>
      <c r="F972" s="134" t="n">
        <v>127.59</v>
      </c>
      <c r="G972" s="134" t="n">
        <v>100.31</v>
      </c>
      <c r="H972" s="134" t="n">
        <v>184.27</v>
      </c>
      <c r="I972" s="104" t="n">
        <v>0.3605</v>
      </c>
      <c r="J972" s="104" t="n">
        <v>0.2733</v>
      </c>
      <c r="K972" s="104" t="n">
        <v>-0.0502</v>
      </c>
      <c r="L972" s="134" t="n">
        <v>541.59</v>
      </c>
      <c r="M972" s="134" t="n">
        <v>6308.02</v>
      </c>
      <c r="N972" s="104" t="n">
        <v>0.0859</v>
      </c>
      <c r="O972" s="134" t="n">
        <v>377</v>
      </c>
      <c r="P972" s="134" t="n">
        <v>0</v>
      </c>
      <c r="Q972" s="134" t="inlineStr">
        <is>
          <t>2 0.67%</t>
        </is>
      </c>
      <c r="R972" s="134" t="inlineStr">
        <is>
          <t>25 0.16%</t>
        </is>
      </c>
      <c r="S972" s="134" t="inlineStr">
        <is>
          <t>93 0.19%</t>
        </is>
      </c>
      <c r="T972" s="134" t="inlineStr">
        <is>
          <t>87 -0.09%</t>
        </is>
      </c>
      <c r="U972" s="134" t="inlineStr">
        <is>
          <t>170 -0.57%</t>
        </is>
      </c>
    </row>
    <row customHeight="1" ht="17" r="973" s="155">
      <c r="A973" s="105" t="n">
        <v>44558</v>
      </c>
      <c r="B973" s="134" t="n">
        <v>2051.244</v>
      </c>
      <c r="C973" s="152" t="n">
        <v>2.192</v>
      </c>
      <c r="D973" s="153" t="n">
        <v>0.0011</v>
      </c>
      <c r="E973" s="134" t="n">
        <v>148.479</v>
      </c>
      <c r="F973" s="134" t="n">
        <v>128.07</v>
      </c>
      <c r="G973" s="134" t="n">
        <v>100.92</v>
      </c>
      <c r="H973" s="134" t="n">
        <v>183.98</v>
      </c>
      <c r="I973" s="104" t="n">
        <v>0.3551</v>
      </c>
      <c r="J973" s="104" t="n">
        <v>0.2604</v>
      </c>
      <c r="K973" s="104" t="n">
        <v>-0.0503</v>
      </c>
      <c r="L973" s="134" t="n">
        <v>481.72</v>
      </c>
      <c r="M973" s="134" t="n">
        <v>6307.19</v>
      </c>
      <c r="N973" s="104" t="n">
        <v>0.0764</v>
      </c>
      <c r="O973" s="134" t="n">
        <v>377</v>
      </c>
      <c r="P973" s="134" t="n">
        <v>0</v>
      </c>
      <c r="Q973" s="134" t="inlineStr">
        <is>
          <t>2 0.08%</t>
        </is>
      </c>
      <c r="R973" s="134" t="inlineStr">
        <is>
          <t>28 -0.23%</t>
        </is>
      </c>
      <c r="S973" s="134" t="inlineStr">
        <is>
          <t>86 0.00%</t>
        </is>
      </c>
      <c r="T973" s="134" t="inlineStr">
        <is>
          <t>87 -0.01%</t>
        </is>
      </c>
      <c r="U973" s="134" t="inlineStr">
        <is>
          <t>174 0.27%</t>
        </is>
      </c>
    </row>
    <row customHeight="1" ht="17" r="974" s="155">
      <c r="A974" s="105" t="n">
        <v>44559</v>
      </c>
      <c r="B974" s="134" t="n">
        <v>2046.526</v>
      </c>
      <c r="C974" s="150" t="n">
        <v>-4.718</v>
      </c>
      <c r="D974" s="151" t="n">
        <v>-0.0023</v>
      </c>
      <c r="E974" s="134" t="n">
        <v>148.032</v>
      </c>
      <c r="F974" s="134" t="n">
        <v>127.508</v>
      </c>
      <c r="G974" s="134" t="n">
        <v>100.9</v>
      </c>
      <c r="H974" s="134" t="n">
        <v>183.58</v>
      </c>
      <c r="I974" s="104" t="n">
        <v>0.3555</v>
      </c>
      <c r="J974" s="104" t="n">
        <v>0.2613</v>
      </c>
      <c r="K974" s="104" t="n">
        <v>-0.0498</v>
      </c>
      <c r="L974" s="134" t="n">
        <v>442.21</v>
      </c>
      <c r="M974" s="134" t="n">
        <v>6304.82</v>
      </c>
      <c r="N974" s="104" t="n">
        <v>0.0701</v>
      </c>
      <c r="O974" s="134" t="n">
        <v>376</v>
      </c>
      <c r="P974" s="134" t="n">
        <v>0</v>
      </c>
      <c r="Q974" s="134" t="inlineStr">
        <is>
          <t>2 -0.29%</t>
        </is>
      </c>
      <c r="R974" s="134" t="inlineStr">
        <is>
          <t>27 -0.21%</t>
        </is>
      </c>
      <c r="S974" s="134" t="inlineStr">
        <is>
          <t>88 0.02%</t>
        </is>
      </c>
      <c r="T974" s="134" t="inlineStr">
        <is>
          <t>91 -0.08%</t>
        </is>
      </c>
      <c r="U974" s="134" t="inlineStr">
        <is>
          <t>168 -0.44%</t>
        </is>
      </c>
    </row>
    <row customHeight="1" ht="17" r="975" s="155">
      <c r="A975" s="105" t="n">
        <v>44560</v>
      </c>
      <c r="B975" s="134" t="n">
        <v>2055.142</v>
      </c>
      <c r="C975" s="152" t="n">
        <v>8.616</v>
      </c>
      <c r="D975" s="153" t="n">
        <v>0.0042</v>
      </c>
      <c r="E975" s="134" t="n">
        <v>148.539</v>
      </c>
      <c r="F975" s="134" t="n">
        <v>127.91</v>
      </c>
      <c r="G975" s="134" t="n">
        <v>101.96</v>
      </c>
      <c r="H975" s="134" t="n">
        <v>183.37</v>
      </c>
      <c r="I975" s="104" t="n">
        <v>0.3483</v>
      </c>
      <c r="J975" s="104" t="n">
        <v>0.2567</v>
      </c>
      <c r="K975" s="104" t="n">
        <v>-0.0513</v>
      </c>
      <c r="L975" s="134" t="n">
        <v>466.94</v>
      </c>
      <c r="M975" s="134" t="n">
        <v>6314.45</v>
      </c>
      <c r="N975" s="104" t="n">
        <v>0.07389999999999999</v>
      </c>
      <c r="O975" s="134" t="n">
        <v>377</v>
      </c>
      <c r="P975" s="134" t="n">
        <v>0</v>
      </c>
      <c r="Q975" s="134" t="inlineStr">
        <is>
          <t>2 0.21%</t>
        </is>
      </c>
      <c r="R975" s="134" t="inlineStr">
        <is>
          <t>26 0.14%</t>
        </is>
      </c>
      <c r="S975" s="134" t="inlineStr">
        <is>
          <t>89 0.17%</t>
        </is>
      </c>
      <c r="T975" s="134" t="inlineStr">
        <is>
          <t>86 0.35%</t>
        </is>
      </c>
      <c r="U975" s="134" t="inlineStr">
        <is>
          <t>174 0.63%</t>
        </is>
      </c>
    </row>
    <row customHeight="1" ht="17" r="976" s="155">
      <c r="A976" s="105" t="n">
        <v>44561</v>
      </c>
      <c r="B976" s="134" t="n">
        <v>2073.268</v>
      </c>
      <c r="C976" s="152" t="n">
        <v>18.126</v>
      </c>
      <c r="D976" s="153" t="n">
        <v>0.008800000000000001</v>
      </c>
      <c r="E976" s="134" t="n">
        <v>150.155</v>
      </c>
      <c r="F976" s="134" t="n">
        <v>128.615</v>
      </c>
      <c r="G976" s="134" t="n">
        <v>102.34</v>
      </c>
      <c r="H976" s="134" t="n">
        <v>185.04</v>
      </c>
      <c r="I976" s="104" t="n">
        <v>0.3489</v>
      </c>
      <c r="J976" s="104" t="n">
        <v>0.2577</v>
      </c>
      <c r="K976" s="104" t="n">
        <v>-0.0537</v>
      </c>
      <c r="L976" s="134" t="n">
        <v>543.52</v>
      </c>
      <c r="M976" s="134" t="n">
        <v>6317.13</v>
      </c>
      <c r="N976" s="104" t="n">
        <v>0.08599999999999999</v>
      </c>
      <c r="O976" s="134" t="n">
        <v>376</v>
      </c>
      <c r="P976" s="134" t="n">
        <v>0</v>
      </c>
      <c r="Q976" s="134" t="inlineStr">
        <is>
          <t>2 0.55%</t>
        </is>
      </c>
      <c r="R976" s="134" t="inlineStr">
        <is>
          <t>22 0.40%</t>
        </is>
      </c>
      <c r="S976" s="134" t="inlineStr">
        <is>
          <t>84 0.53%</t>
        </is>
      </c>
      <c r="T976" s="134" t="inlineStr">
        <is>
          <t>90 0.64%</t>
        </is>
      </c>
      <c r="U976" s="134" t="inlineStr">
        <is>
          <t>178 1.23%</t>
        </is>
      </c>
    </row>
    <row customHeight="1" ht="17" r="977" s="155">
      <c r="A977" s="105" t="n">
        <v>44565</v>
      </c>
      <c r="B977" s="134" t="n">
        <v>2089.398</v>
      </c>
      <c r="C977" s="152" t="n">
        <v>16.13</v>
      </c>
      <c r="D977" s="153" t="n">
        <v>0.0078</v>
      </c>
      <c r="E977" s="134" t="n">
        <v>151.029</v>
      </c>
      <c r="F977" s="134" t="n">
        <v>130.261</v>
      </c>
      <c r="G977" s="134" t="n">
        <v>103.96</v>
      </c>
      <c r="H977" s="134" t="n">
        <v>185.28</v>
      </c>
      <c r="I977" s="104" t="n">
        <v>0.3425</v>
      </c>
      <c r="J977" s="104" t="n">
        <v>0.2541</v>
      </c>
      <c r="K977" s="104" t="n">
        <v>-0.0568</v>
      </c>
      <c r="L977" s="134" t="n">
        <v>549.48</v>
      </c>
      <c r="M977" s="134" t="n">
        <v>6323.93</v>
      </c>
      <c r="N977" s="104" t="n">
        <v>0.08690000000000001</v>
      </c>
      <c r="O977" s="134" t="n">
        <v>376</v>
      </c>
      <c r="P977" s="134" t="n">
        <v>0</v>
      </c>
      <c r="Q977" s="134" t="inlineStr">
        <is>
          <t>2 1.38%</t>
        </is>
      </c>
      <c r="R977" s="134" t="inlineStr">
        <is>
          <t>17 0.71%</t>
        </is>
      </c>
      <c r="S977" s="134" t="inlineStr">
        <is>
          <t>72 0.89%</t>
        </is>
      </c>
      <c r="T977" s="134" t="inlineStr">
        <is>
          <t>91 1.17%</t>
        </is>
      </c>
      <c r="U977" s="134" t="inlineStr">
        <is>
          <t>194 0.55%</t>
        </is>
      </c>
    </row>
    <row customHeight="1" ht="17" r="978" s="155">
      <c r="A978" s="105" t="n">
        <v>44566</v>
      </c>
      <c r="B978" s="134" t="n">
        <v>2069.925</v>
      </c>
      <c r="C978" s="150" t="n">
        <v>-19.473</v>
      </c>
      <c r="D978" s="151" t="n">
        <v>-0.009299999999999999</v>
      </c>
      <c r="E978" s="134" t="n">
        <v>148.994</v>
      </c>
      <c r="F978" s="134" t="n">
        <v>130.184</v>
      </c>
      <c r="G978" s="134" t="n">
        <v>103.18</v>
      </c>
      <c r="H978" s="134" t="n">
        <v>184.13</v>
      </c>
      <c r="I978" s="104" t="n">
        <v>0.3514</v>
      </c>
      <c r="J978" s="104" t="n">
        <v>0.2635</v>
      </c>
      <c r="K978" s="104" t="n">
        <v>-0.0539</v>
      </c>
      <c r="L978" s="134" t="n">
        <v>560.17</v>
      </c>
      <c r="M978" s="134" t="n">
        <v>6331.56</v>
      </c>
      <c r="N978" s="104" t="n">
        <v>0.0885</v>
      </c>
      <c r="O978" s="134" t="n">
        <v>378</v>
      </c>
      <c r="P978" s="134" t="n">
        <v>0</v>
      </c>
      <c r="Q978" s="134" t="inlineStr">
        <is>
          <t>2 -0.20%</t>
        </is>
      </c>
      <c r="R978" s="134" t="inlineStr">
        <is>
          <t>16 0.08%</t>
        </is>
      </c>
      <c r="S978" s="134" t="inlineStr">
        <is>
          <t>78 0.01%</t>
        </is>
      </c>
      <c r="T978" s="134" t="inlineStr">
        <is>
          <t>91 -0.46%</t>
        </is>
      </c>
      <c r="U978" s="134" t="inlineStr">
        <is>
          <t>191 -1.63%</t>
        </is>
      </c>
    </row>
    <row customHeight="1" ht="17" r="979" s="155">
      <c r="A979" s="105" t="n">
        <v>44567</v>
      </c>
      <c r="B979" s="134" t="n">
        <v>2081.413</v>
      </c>
      <c r="C979" s="152" t="n">
        <v>11.488</v>
      </c>
      <c r="D979" s="153" t="n">
        <v>0.0056</v>
      </c>
      <c r="E979" s="134" t="n">
        <v>149.627</v>
      </c>
      <c r="F979" s="134" t="n">
        <v>130.85</v>
      </c>
      <c r="G979" s="134" t="n">
        <v>103.55</v>
      </c>
      <c r="H979" s="134" t="n">
        <v>184.3</v>
      </c>
      <c r="I979" s="104" t="n">
        <v>0.3468</v>
      </c>
      <c r="J979" s="104" t="n">
        <v>0.2566</v>
      </c>
      <c r="K979" s="104" t="n">
        <v>-0.0544</v>
      </c>
      <c r="L979" s="134" t="n">
        <v>581.67</v>
      </c>
      <c r="M979" s="134" t="n">
        <v>6330.14</v>
      </c>
      <c r="N979" s="104" t="n">
        <v>0.0919</v>
      </c>
      <c r="O979" s="134" t="n">
        <v>378</v>
      </c>
      <c r="P979" s="134" t="n">
        <v>0</v>
      </c>
      <c r="Q979" s="134" t="n">
        <v>0</v>
      </c>
      <c r="R979" s="134" t="inlineStr">
        <is>
          <t>12 0.80%</t>
        </is>
      </c>
      <c r="S979" s="134" t="inlineStr">
        <is>
          <t>71 0.47%</t>
        </is>
      </c>
      <c r="T979" s="134" t="inlineStr">
        <is>
          <t>99 0.66%</t>
        </is>
      </c>
      <c r="U979" s="134" t="inlineStr">
        <is>
          <t>196 0.52%</t>
        </is>
      </c>
    </row>
    <row customHeight="1" ht="17" r="980" s="155">
      <c r="A980" s="105" t="n">
        <v>44568</v>
      </c>
      <c r="B980" s="134" t="n">
        <v>2068.342</v>
      </c>
      <c r="C980" s="150" t="n">
        <v>-13.071</v>
      </c>
      <c r="D980" s="151" t="n">
        <v>-0.0063</v>
      </c>
      <c r="E980" s="134" t="n">
        <v>148.135</v>
      </c>
      <c r="F980" s="134" t="n">
        <v>130.18</v>
      </c>
      <c r="G980" s="134" t="n">
        <v>102.44</v>
      </c>
      <c r="H980" s="134" t="n">
        <v>184.23</v>
      </c>
      <c r="I980" s="104" t="n">
        <v>0.3609</v>
      </c>
      <c r="J980" s="104" t="n">
        <v>0.2675</v>
      </c>
      <c r="K980" s="104" t="n">
        <v>-0.053</v>
      </c>
      <c r="L980" s="134" t="n">
        <v>508.81</v>
      </c>
      <c r="M980" s="134" t="n">
        <v>6328.98</v>
      </c>
      <c r="N980" s="104" t="n">
        <v>0.0804</v>
      </c>
      <c r="O980" s="134" t="n">
        <v>378</v>
      </c>
      <c r="P980" s="134" t="n">
        <v>0</v>
      </c>
      <c r="Q980" s="134" t="n">
        <v>0</v>
      </c>
      <c r="R980" s="134" t="inlineStr">
        <is>
          <t>12 0.23%</t>
        </is>
      </c>
      <c r="S980" s="134" t="inlineStr">
        <is>
          <t>69 0.23%</t>
        </is>
      </c>
      <c r="T980" s="134" t="inlineStr">
        <is>
          <t>107 -0.17%</t>
        </is>
      </c>
      <c r="U980" s="134" t="inlineStr">
        <is>
          <t>190 -1.25%</t>
        </is>
      </c>
    </row>
    <row customHeight="1" ht="17" r="981" s="155">
      <c r="A981" s="105" t="n">
        <v>44571</v>
      </c>
      <c r="B981" s="134" t="n">
        <v>2078.58</v>
      </c>
      <c r="C981" s="152" t="n">
        <v>10.238</v>
      </c>
      <c r="D981" s="153" t="n">
        <v>0.005</v>
      </c>
      <c r="E981" s="134" t="n">
        <v>149.013</v>
      </c>
      <c r="F981" s="134" t="n">
        <v>130.76</v>
      </c>
      <c r="G981" s="134" t="n">
        <v>103.97</v>
      </c>
      <c r="H981" s="134" t="n">
        <v>184.11</v>
      </c>
      <c r="I981" s="104" t="n">
        <v>0.351</v>
      </c>
      <c r="J981" s="104" t="n">
        <v>0.265</v>
      </c>
      <c r="K981" s="104" t="n">
        <v>-0.0542</v>
      </c>
      <c r="L981" s="134" t="n">
        <v>535.26</v>
      </c>
      <c r="M981" s="134" t="n">
        <v>6313.66</v>
      </c>
      <c r="N981" s="104" t="n">
        <v>0.0848</v>
      </c>
      <c r="O981" s="134" t="n">
        <v>378</v>
      </c>
      <c r="P981" s="134" t="n">
        <v>0</v>
      </c>
      <c r="Q981" s="134" t="n">
        <v>0</v>
      </c>
      <c r="R981" s="134" t="inlineStr">
        <is>
          <t>12 -0.18%</t>
        </is>
      </c>
      <c r="S981" s="134" t="inlineStr">
        <is>
          <t>64 0.29%</t>
        </is>
      </c>
      <c r="T981" s="134" t="inlineStr">
        <is>
          <t>104 0.53%</t>
        </is>
      </c>
      <c r="U981" s="134" t="inlineStr">
        <is>
          <t>198 0.59%</t>
        </is>
      </c>
    </row>
    <row customHeight="1" ht="17" r="982" s="155">
      <c r="A982" s="105" t="n">
        <v>44572</v>
      </c>
      <c r="B982" s="134" t="n">
        <v>2063.531</v>
      </c>
      <c r="C982" s="150" t="n">
        <v>-15.049</v>
      </c>
      <c r="D982" s="151" t="n">
        <v>-0.0072</v>
      </c>
      <c r="E982" s="134" t="n">
        <v>147.52</v>
      </c>
      <c r="F982" s="134" t="n">
        <v>130.268</v>
      </c>
      <c r="G982" s="134" t="n">
        <v>104.61</v>
      </c>
      <c r="H982" s="134" t="n">
        <v>182.57</v>
      </c>
      <c r="I982" s="104" t="n">
        <v>0.3505</v>
      </c>
      <c r="J982" s="104" t="n">
        <v>0.2638</v>
      </c>
      <c r="K982" s="104" t="n">
        <v>-0.0525</v>
      </c>
      <c r="L982" s="134" t="n">
        <v>528.58</v>
      </c>
      <c r="M982" s="134" t="n">
        <v>6311.52</v>
      </c>
      <c r="N982" s="104" t="n">
        <v>0.0837</v>
      </c>
      <c r="O982" s="134" t="n">
        <v>377</v>
      </c>
      <c r="P982" s="134" t="n">
        <v>0</v>
      </c>
      <c r="Q982" s="134" t="n">
        <v>0</v>
      </c>
      <c r="R982" s="134" t="inlineStr">
        <is>
          <t>10 0.76%</t>
        </is>
      </c>
      <c r="S982" s="134" t="inlineStr">
        <is>
          <t>69 0.06%</t>
        </is>
      </c>
      <c r="T982" s="134" t="inlineStr">
        <is>
          <t>108 -0.15%</t>
        </is>
      </c>
      <c r="U982" s="134" t="inlineStr">
        <is>
          <t>190 -1.41%</t>
        </is>
      </c>
    </row>
    <row customHeight="1" ht="17" r="983" s="155">
      <c r="A983" s="105" t="n">
        <v>44573</v>
      </c>
      <c r="B983" s="134" t="n">
        <v>2083.196</v>
      </c>
      <c r="C983" s="152" t="n">
        <v>19.665</v>
      </c>
      <c r="D983" s="153" t="n">
        <v>0.0095</v>
      </c>
      <c r="E983" s="134" t="n">
        <v>149.253</v>
      </c>
      <c r="F983" s="134" t="n">
        <v>131.501</v>
      </c>
      <c r="G983" s="134" t="n">
        <v>104.82</v>
      </c>
      <c r="H983" s="134" t="n">
        <v>183.64</v>
      </c>
      <c r="I983" s="104" t="n">
        <v>0.3439</v>
      </c>
      <c r="J983" s="104" t="n">
        <v>0.2593</v>
      </c>
      <c r="K983" s="104" t="n">
        <v>-0.0547</v>
      </c>
      <c r="L983" s="134" t="n">
        <v>594.1900000000001</v>
      </c>
      <c r="M983" s="134" t="n">
        <v>6308.28</v>
      </c>
      <c r="N983" s="104" t="n">
        <v>0.09420000000000001</v>
      </c>
      <c r="O983" s="134" t="n">
        <v>377</v>
      </c>
      <c r="P983" s="134" t="n">
        <v>0</v>
      </c>
      <c r="Q983" s="134" t="n">
        <v>0</v>
      </c>
      <c r="R983" s="134" t="inlineStr">
        <is>
          <t>9 -0.02%</t>
        </is>
      </c>
      <c r="S983" s="134" t="inlineStr">
        <is>
          <t>70 0.16%</t>
        </is>
      </c>
      <c r="T983" s="134" t="inlineStr">
        <is>
          <t>102 0.25%</t>
        </is>
      </c>
      <c r="U983" s="134" t="inlineStr">
        <is>
          <t>196 1.65%</t>
        </is>
      </c>
    </row>
    <row customHeight="1" ht="17" r="984" s="155">
      <c r="A984" s="105" t="n">
        <v>44574</v>
      </c>
      <c r="B984" s="134" t="n">
        <v>2068.489</v>
      </c>
      <c r="C984" s="150" t="n">
        <v>-14.707</v>
      </c>
      <c r="D984" s="151" t="n">
        <v>-0.0071</v>
      </c>
      <c r="E984" s="134" t="n">
        <v>148.064</v>
      </c>
      <c r="F984" s="134" t="n">
        <v>130.669</v>
      </c>
      <c r="G984" s="134" t="n">
        <v>103.72</v>
      </c>
      <c r="H984" s="134" t="n">
        <v>183.14</v>
      </c>
      <c r="I984" s="104" t="n">
        <v>0.3507</v>
      </c>
      <c r="J984" s="104" t="n">
        <v>0.2628</v>
      </c>
      <c r="K984" s="104" t="n">
        <v>-0.0531</v>
      </c>
      <c r="L984" s="134" t="n">
        <v>621.62</v>
      </c>
      <c r="M984" s="134" t="n">
        <v>6308.08</v>
      </c>
      <c r="N984" s="104" t="n">
        <v>0.0985</v>
      </c>
      <c r="O984" s="134" t="n">
        <v>377</v>
      </c>
      <c r="P984" s="134" t="n">
        <v>0</v>
      </c>
      <c r="Q984" s="134" t="n">
        <v>0</v>
      </c>
      <c r="R984" s="134" t="inlineStr">
        <is>
          <t>10 -0.58%</t>
        </is>
      </c>
      <c r="S984" s="134" t="inlineStr">
        <is>
          <t>72 -0.50%</t>
        </is>
      </c>
      <c r="T984" s="134" t="inlineStr">
        <is>
          <t>106 -0.51%</t>
        </is>
      </c>
      <c r="U984" s="134" t="inlineStr">
        <is>
          <t>189 -0.90%</t>
        </is>
      </c>
    </row>
    <row customHeight="1" ht="17" r="985" s="155">
      <c r="A985" s="105" t="n">
        <v>44575</v>
      </c>
      <c r="B985" s="134" t="n">
        <v>2051.114</v>
      </c>
      <c r="C985" s="150" t="n">
        <v>-17.375</v>
      </c>
      <c r="D985" s="151" t="n">
        <v>-0.008399999999999999</v>
      </c>
      <c r="E985" s="134" t="n">
        <v>147.008</v>
      </c>
      <c r="F985" s="134" t="n">
        <v>129.602</v>
      </c>
      <c r="G985" s="134" t="n">
        <v>103.22</v>
      </c>
      <c r="H985" s="134" t="n">
        <v>181.33</v>
      </c>
      <c r="I985" s="104" t="n">
        <v>0.3432</v>
      </c>
      <c r="J985" s="104" t="n">
        <v>0.2568</v>
      </c>
      <c r="K985" s="104" t="n">
        <v>-0.0517</v>
      </c>
      <c r="L985" s="134" t="n">
        <v>656.74</v>
      </c>
      <c r="M985" s="134" t="n">
        <v>6306.65</v>
      </c>
      <c r="N985" s="104" t="n">
        <v>0.1041</v>
      </c>
      <c r="O985" s="134" t="n">
        <v>377</v>
      </c>
      <c r="P985" s="134" t="n">
        <v>0</v>
      </c>
      <c r="Q985" s="134" t="inlineStr">
        <is>
          <t>1 -2.20%</t>
        </is>
      </c>
      <c r="R985" s="134" t="inlineStr">
        <is>
          <t>17 -1.57%</t>
        </is>
      </c>
      <c r="S985" s="134" t="inlineStr">
        <is>
          <t>80 -1.54%</t>
        </is>
      </c>
      <c r="T985" s="134" t="inlineStr">
        <is>
          <t>96 -1.12%</t>
        </is>
      </c>
      <c r="U985" s="134" t="inlineStr">
        <is>
          <t>183 -0.31%</t>
        </is>
      </c>
    </row>
    <row customHeight="1" ht="17" r="986" s="155">
      <c r="A986" s="105" t="n">
        <v>44578</v>
      </c>
      <c r="B986" s="134" t="n">
        <v>2074.948</v>
      </c>
      <c r="C986" s="152" t="n">
        <v>23.834</v>
      </c>
      <c r="D986" s="153" t="n">
        <v>0.0116</v>
      </c>
      <c r="E986" s="134" t="n">
        <v>148.797</v>
      </c>
      <c r="F986" s="134" t="n">
        <v>130.635</v>
      </c>
      <c r="G986" s="134" t="n">
        <v>104.78</v>
      </c>
      <c r="H986" s="134" t="n">
        <v>182.51</v>
      </c>
      <c r="I986" s="104" t="n">
        <v>0.3371</v>
      </c>
      <c r="J986" s="104" t="n">
        <v>0.2502</v>
      </c>
      <c r="K986" s="104" t="n">
        <v>-0.0535</v>
      </c>
      <c r="L986" s="134" t="n">
        <v>657.75</v>
      </c>
      <c r="M986" s="134" t="n">
        <v>6806.37</v>
      </c>
      <c r="N986" s="104" t="n">
        <v>0.09660000000000001</v>
      </c>
      <c r="O986" s="134" t="n">
        <v>378</v>
      </c>
      <c r="P986" s="134" t="n">
        <v>0</v>
      </c>
      <c r="Q986" s="134" t="n">
        <v>0</v>
      </c>
      <c r="R986" s="134" t="inlineStr">
        <is>
          <t>17 0.28%</t>
        </is>
      </c>
      <c r="S986" s="134" t="inlineStr">
        <is>
          <t>76 0.67%</t>
        </is>
      </c>
      <c r="T986" s="134" t="inlineStr">
        <is>
          <t>92 0.66%</t>
        </is>
      </c>
      <c r="U986" s="134" t="inlineStr">
        <is>
          <t>193 1.67%</t>
        </is>
      </c>
    </row>
    <row customHeight="1" ht="17" r="987" s="155">
      <c r="A987" s="105" t="n">
        <v>44579</v>
      </c>
      <c r="B987" s="134" t="n">
        <v>2073.101</v>
      </c>
      <c r="C987" s="150" t="n">
        <v>-1.847</v>
      </c>
      <c r="D987" s="151" t="n">
        <v>-0.0009</v>
      </c>
      <c r="E987" s="134" t="n">
        <v>148.615</v>
      </c>
      <c r="F987" s="134" t="n">
        <v>129.65</v>
      </c>
      <c r="G987" s="134" t="n">
        <v>102.23</v>
      </c>
      <c r="H987" s="134" t="n">
        <v>183.61</v>
      </c>
      <c r="I987" s="104" t="n">
        <v>0.3499</v>
      </c>
      <c r="J987" s="104" t="n">
        <v>0.2593</v>
      </c>
      <c r="K987" s="104" t="n">
        <v>-0.0533</v>
      </c>
      <c r="L987" s="134" t="n">
        <v>712.63</v>
      </c>
      <c r="M987" s="134" t="n">
        <v>6804.94</v>
      </c>
      <c r="N987" s="104" t="n">
        <v>0.1047</v>
      </c>
      <c r="O987" s="134" t="n">
        <v>378</v>
      </c>
      <c r="P987" s="134" t="n">
        <v>0</v>
      </c>
      <c r="Q987" s="134" t="n">
        <v>0</v>
      </c>
      <c r="R987" s="134" t="inlineStr">
        <is>
          <t>15 -0.57%</t>
        </is>
      </c>
      <c r="S987" s="134" t="inlineStr">
        <is>
          <t>75 0.09%</t>
        </is>
      </c>
      <c r="T987" s="134" t="inlineStr">
        <is>
          <t>102 0.06%</t>
        </is>
      </c>
      <c r="U987" s="134" t="inlineStr">
        <is>
          <t>186 -0.20%</t>
        </is>
      </c>
    </row>
    <row customHeight="1" ht="17" r="988" s="155">
      <c r="A988" s="105" t="n">
        <v>44580</v>
      </c>
      <c r="B988" s="134" t="n">
        <v>2072.5</v>
      </c>
      <c r="C988" s="150" t="n">
        <v>-0.601</v>
      </c>
      <c r="D988" s="151" t="n">
        <v>-0.0003</v>
      </c>
      <c r="E988" s="134" t="n">
        <v>148.006</v>
      </c>
      <c r="F988" s="134" t="n">
        <v>130.79</v>
      </c>
      <c r="G988" s="134" t="n">
        <v>102.8</v>
      </c>
      <c r="H988" s="134" t="n">
        <v>182.92</v>
      </c>
      <c r="I988" s="104" t="n">
        <v>0.3491</v>
      </c>
      <c r="J988" s="104" t="n">
        <v>0.2633</v>
      </c>
      <c r="K988" s="104" t="n">
        <v>-0.0534</v>
      </c>
      <c r="L988" s="134" t="n">
        <v>691.3099999999999</v>
      </c>
      <c r="M988" s="134" t="n">
        <v>6806.68</v>
      </c>
      <c r="N988" s="104" t="n">
        <v>0.1016</v>
      </c>
      <c r="O988" s="134" t="n">
        <v>380</v>
      </c>
      <c r="P988" s="134" t="n">
        <v>0</v>
      </c>
      <c r="Q988" s="134" t="n">
        <v>0</v>
      </c>
      <c r="R988" s="134" t="inlineStr">
        <is>
          <t>14 0.77%</t>
        </is>
      </c>
      <c r="S988" s="134" t="inlineStr">
        <is>
          <t>73 0.55%</t>
        </is>
      </c>
      <c r="T988" s="134" t="inlineStr">
        <is>
          <t>97 0.43%</t>
        </is>
      </c>
      <c r="U988" s="134" t="inlineStr">
        <is>
          <t>196 -0.53%</t>
        </is>
      </c>
    </row>
    <row customHeight="1" ht="17" r="989" s="155">
      <c r="A989" s="105" t="n">
        <v>44581</v>
      </c>
      <c r="B989" s="134" t="n">
        <v>2058.718</v>
      </c>
      <c r="C989" s="150" t="n">
        <v>-13.782</v>
      </c>
      <c r="D989" s="151" t="n">
        <v>-0.0067</v>
      </c>
      <c r="E989" s="134" t="n">
        <v>146.717</v>
      </c>
      <c r="F989" s="134" t="n">
        <v>130.42</v>
      </c>
      <c r="G989" s="134" t="n">
        <v>100.37</v>
      </c>
      <c r="H989" s="134" t="n">
        <v>183.61</v>
      </c>
      <c r="I989" s="104" t="n">
        <v>0.3689</v>
      </c>
      <c r="J989" s="104" t="n">
        <v>0.2815</v>
      </c>
      <c r="K989" s="104" t="n">
        <v>-0.0517</v>
      </c>
      <c r="L989" s="134" t="n">
        <v>744.38</v>
      </c>
      <c r="M989" s="134" t="n">
        <v>6806.73</v>
      </c>
      <c r="N989" s="104" t="n">
        <v>0.1094</v>
      </c>
      <c r="O989" s="134" t="n">
        <v>381</v>
      </c>
      <c r="P989" s="134" t="n">
        <v>0</v>
      </c>
      <c r="Q989" s="134" t="n">
        <v>0</v>
      </c>
      <c r="R989" s="134" t="inlineStr">
        <is>
          <t>12 -0.03%</t>
        </is>
      </c>
      <c r="S989" s="134" t="inlineStr">
        <is>
          <t>76 -0.07%</t>
        </is>
      </c>
      <c r="T989" s="134" t="inlineStr">
        <is>
          <t>100 -0.41%</t>
        </is>
      </c>
      <c r="U989" s="134" t="inlineStr">
        <is>
          <t>193 -1.07%</t>
        </is>
      </c>
    </row>
    <row customHeight="1" ht="17" r="990" s="155">
      <c r="A990" s="105" t="n">
        <v>44582</v>
      </c>
      <c r="B990" s="134" t="n">
        <v>2047.91</v>
      </c>
      <c r="C990" s="150" t="n">
        <v>-10.808</v>
      </c>
      <c r="D990" s="151" t="n">
        <v>-0.0053</v>
      </c>
      <c r="E990" s="134" t="n">
        <v>145.885</v>
      </c>
      <c r="F990" s="134" t="n">
        <v>129.079</v>
      </c>
      <c r="G990" s="134" t="n">
        <v>98.98</v>
      </c>
      <c r="H990" s="134" t="n">
        <v>183.79</v>
      </c>
      <c r="I990" s="104" t="n">
        <v>0.379</v>
      </c>
      <c r="J990" s="104" t="n">
        <v>0.2902</v>
      </c>
      <c r="K990" s="104" t="n">
        <v>-0.0504</v>
      </c>
      <c r="L990" s="134" t="n">
        <v>598.02</v>
      </c>
      <c r="M990" s="134" t="n">
        <v>6810.26</v>
      </c>
      <c r="N990" s="104" t="n">
        <v>0.0878</v>
      </c>
      <c r="O990" s="134" t="n">
        <v>382</v>
      </c>
      <c r="P990" s="134" t="n">
        <v>0</v>
      </c>
      <c r="Q990" s="134" t="n">
        <v>0</v>
      </c>
      <c r="R990" s="134" t="inlineStr">
        <is>
          <t>14 -0.46%</t>
        </is>
      </c>
      <c r="S990" s="134" t="inlineStr">
        <is>
          <t>79 -0.37%</t>
        </is>
      </c>
      <c r="T990" s="134" t="inlineStr">
        <is>
          <t>102 -0.64%</t>
        </is>
      </c>
      <c r="U990" s="134" t="inlineStr">
        <is>
          <t>187 -0.53%</t>
        </is>
      </c>
    </row>
    <row customHeight="1" ht="17" r="991" s="155">
      <c r="A991" s="105" t="n">
        <v>44585</v>
      </c>
      <c r="B991" s="134" t="n">
        <v>2055.897</v>
      </c>
      <c r="C991" s="152" t="n">
        <v>7.987</v>
      </c>
      <c r="D991" s="153" t="n">
        <v>0.0039</v>
      </c>
      <c r="E991" s="134" t="n">
        <v>146.798</v>
      </c>
      <c r="F991" s="134" t="n">
        <v>128.945</v>
      </c>
      <c r="G991" s="134" t="n">
        <v>98.89</v>
      </c>
      <c r="H991" s="134" t="n">
        <v>185.52</v>
      </c>
      <c r="I991" s="104" t="n">
        <v>0.3872</v>
      </c>
      <c r="J991" s="104" t="n">
        <v>0.2996</v>
      </c>
      <c r="K991" s="104" t="n">
        <v>-0.0509</v>
      </c>
      <c r="L991" s="134" t="n">
        <v>612.36</v>
      </c>
      <c r="M991" s="134" t="n">
        <v>6818.71</v>
      </c>
      <c r="N991" s="104" t="n">
        <v>0.0898</v>
      </c>
      <c r="O991" s="134" t="n">
        <v>384</v>
      </c>
      <c r="P991" s="134" t="n">
        <v>0</v>
      </c>
      <c r="Q991" s="134" t="n">
        <v>0</v>
      </c>
      <c r="R991" s="134" t="inlineStr">
        <is>
          <t>15 -0.08%</t>
        </is>
      </c>
      <c r="S991" s="134" t="inlineStr">
        <is>
          <t>76 -0.02%</t>
        </is>
      </c>
      <c r="T991" s="134" t="inlineStr">
        <is>
          <t>106 -0.12%</t>
        </is>
      </c>
      <c r="U991" s="134" t="inlineStr">
        <is>
          <t>187 0.88%</t>
        </is>
      </c>
    </row>
    <row customHeight="1" ht="17" r="992" s="155">
      <c r="A992" s="105" t="n">
        <v>44586</v>
      </c>
      <c r="B992" s="134" t="n">
        <v>2022.365</v>
      </c>
      <c r="C992" s="150" t="n">
        <v>-33.532</v>
      </c>
      <c r="D992" s="151" t="n">
        <v>-0.0163</v>
      </c>
      <c r="E992" s="134" t="n">
        <v>144.315</v>
      </c>
      <c r="F992" s="134" t="n">
        <v>127.354</v>
      </c>
      <c r="G992" s="134" t="n">
        <v>94.84999999999999</v>
      </c>
      <c r="H992" s="134" t="n">
        <v>186.58</v>
      </c>
      <c r="I992" s="104" t="n">
        <v>0.4226</v>
      </c>
      <c r="J992" s="104" t="n">
        <v>0.3321</v>
      </c>
      <c r="K992" s="104" t="n">
        <v>-0.0466</v>
      </c>
      <c r="L992" s="134" t="n">
        <v>697.6</v>
      </c>
      <c r="M992" s="134" t="n">
        <v>6826.99</v>
      </c>
      <c r="N992" s="104" t="n">
        <v>0.1022</v>
      </c>
      <c r="O992" s="134" t="n">
        <v>385</v>
      </c>
      <c r="P992" s="134" t="n">
        <v>0</v>
      </c>
      <c r="Q992" s="134" t="n">
        <v>0</v>
      </c>
      <c r="R992" s="134" t="inlineStr">
        <is>
          <t>17 -0.91%</t>
        </is>
      </c>
      <c r="S992" s="134" t="inlineStr">
        <is>
          <t>96 -1.26%</t>
        </is>
      </c>
      <c r="T992" s="134" t="inlineStr">
        <is>
          <t>101 -1.60%</t>
        </is>
      </c>
      <c r="U992" s="134" t="inlineStr">
        <is>
          <t>171 -1.93%</t>
        </is>
      </c>
    </row>
    <row customHeight="1" ht="17" r="993" s="155">
      <c r="A993" s="105" t="n">
        <v>44587</v>
      </c>
      <c r="B993" s="134" t="n">
        <v>2030.818</v>
      </c>
      <c r="C993" s="152" t="n">
        <v>8.452999999999999</v>
      </c>
      <c r="D993" s="153" t="n">
        <v>0.0042</v>
      </c>
      <c r="E993" s="134" t="n">
        <v>144.98</v>
      </c>
      <c r="F993" s="134" t="n">
        <v>127.5</v>
      </c>
      <c r="G993" s="134" t="n">
        <v>95.15000000000001</v>
      </c>
      <c r="H993" s="134" t="n">
        <v>187.09</v>
      </c>
      <c r="I993" s="104" t="n">
        <v>0.4211</v>
      </c>
      <c r="J993" s="104" t="n">
        <v>0.3262</v>
      </c>
      <c r="K993" s="104" t="n">
        <v>-0.0477</v>
      </c>
      <c r="L993" s="134" t="n">
        <v>759.76</v>
      </c>
      <c r="M993" s="134" t="n">
        <v>6814.26</v>
      </c>
      <c r="N993" s="104" t="n">
        <v>0.1115</v>
      </c>
      <c r="O993" s="134" t="n">
        <v>385</v>
      </c>
      <c r="P993" s="134" t="n">
        <v>0</v>
      </c>
      <c r="Q993" s="134" t="n">
        <v>0</v>
      </c>
      <c r="R993" s="134" t="inlineStr">
        <is>
          <t>16 -0.01%</t>
        </is>
      </c>
      <c r="S993" s="134" t="inlineStr">
        <is>
          <t>97 0.03%</t>
        </is>
      </c>
      <c r="T993" s="134" t="inlineStr">
        <is>
          <t>98 0.45%</t>
        </is>
      </c>
      <c r="U993" s="134" t="inlineStr">
        <is>
          <t>174 0.66%</t>
        </is>
      </c>
    </row>
    <row customHeight="1" ht="17" r="994" s="155">
      <c r="A994" s="105" t="n">
        <v>44588</v>
      </c>
      <c r="B994" s="134" t="n">
        <v>2005.291</v>
      </c>
      <c r="C994" s="150" t="n">
        <v>-25.527</v>
      </c>
      <c r="D994" s="151" t="n">
        <v>-0.0126</v>
      </c>
      <c r="E994" s="134" t="n">
        <v>142.182</v>
      </c>
      <c r="F994" s="134" t="n">
        <v>126.169</v>
      </c>
      <c r="G994" s="134" t="n">
        <v>92.11</v>
      </c>
      <c r="H994" s="134" t="n">
        <v>187.03</v>
      </c>
      <c r="I994" s="104" t="n">
        <v>0.4485</v>
      </c>
      <c r="J994" s="104" t="n">
        <v>0.3442</v>
      </c>
      <c r="K994" s="104" t="n">
        <v>-0.0449</v>
      </c>
      <c r="L994" s="134" t="n">
        <v>679.62</v>
      </c>
      <c r="M994" s="134" t="n">
        <v>6808.81</v>
      </c>
      <c r="N994" s="104" t="n">
        <v>0.0998</v>
      </c>
      <c r="O994" s="134" t="n">
        <v>384</v>
      </c>
      <c r="P994" s="134" t="n">
        <v>0</v>
      </c>
      <c r="Q994" s="134" t="inlineStr">
        <is>
          <t>1 -2.88%</t>
        </is>
      </c>
      <c r="R994" s="134" t="inlineStr">
        <is>
          <t>19 -0.50%</t>
        </is>
      </c>
      <c r="S994" s="134" t="inlineStr">
        <is>
          <t>107 -0.66%</t>
        </is>
      </c>
      <c r="T994" s="134" t="inlineStr">
        <is>
          <t>107 -1.24%</t>
        </is>
      </c>
      <c r="U994" s="134" t="inlineStr">
        <is>
          <t>150 -1.78%</t>
        </is>
      </c>
    </row>
    <row customHeight="1" ht="17" r="995" s="155">
      <c r="A995" s="105" t="n">
        <v>44589</v>
      </c>
      <c r="B995" s="134" t="n">
        <v>2007.457</v>
      </c>
      <c r="C995" s="152" t="n">
        <v>2.166</v>
      </c>
      <c r="D995" s="153" t="n">
        <v>0.0011</v>
      </c>
      <c r="E995" s="134" t="n">
        <v>142.125</v>
      </c>
      <c r="F995" s="134" t="n">
        <v>126.3</v>
      </c>
      <c r="G995" s="134" t="n">
        <v>93.83</v>
      </c>
      <c r="H995" s="134" t="n">
        <v>185.83</v>
      </c>
      <c r="I995" s="104" t="n">
        <v>0.4371</v>
      </c>
      <c r="J995" s="104" t="n">
        <v>0.3295</v>
      </c>
      <c r="K995" s="104" t="n">
        <v>-0.0451</v>
      </c>
      <c r="L995" s="134" t="n">
        <v>597.12</v>
      </c>
      <c r="M995" s="134" t="n">
        <v>6808.97</v>
      </c>
      <c r="N995" s="104" t="n">
        <v>0.0877</v>
      </c>
      <c r="O995" s="134" t="n">
        <v>385</v>
      </c>
      <c r="P995" s="134" t="n">
        <v>0</v>
      </c>
      <c r="Q995" s="134" t="inlineStr">
        <is>
          <t>1 0.05%</t>
        </is>
      </c>
      <c r="R995" s="134" t="inlineStr">
        <is>
          <t>18 0.23%</t>
        </is>
      </c>
      <c r="S995" s="134" t="inlineStr">
        <is>
          <t>104 0.09%</t>
        </is>
      </c>
      <c r="T995" s="134" t="inlineStr">
        <is>
          <t>99 0.18%</t>
        </is>
      </c>
      <c r="U995" s="134" t="inlineStr">
        <is>
          <t>163 0.06%</t>
        </is>
      </c>
    </row>
    <row customHeight="1" ht="17" r="996" s="155">
      <c r="A996" s="105" t="n">
        <v>44599</v>
      </c>
      <c r="B996" s="134" t="n">
        <v>2029.981</v>
      </c>
      <c r="C996" s="152" t="n">
        <v>22.524</v>
      </c>
      <c r="D996" s="153" t="n">
        <v>0.0112</v>
      </c>
      <c r="E996" s="134" t="n">
        <v>143.751</v>
      </c>
      <c r="F996" s="134" t="n">
        <v>128.025</v>
      </c>
      <c r="G996" s="134" t="n">
        <v>95.77</v>
      </c>
      <c r="H996" s="134" t="n">
        <v>186.78</v>
      </c>
      <c r="I996" s="104" t="n">
        <v>0.4303</v>
      </c>
      <c r="J996" s="104" t="n">
        <v>0.3259</v>
      </c>
      <c r="K996" s="104" t="n">
        <v>-0.0481</v>
      </c>
      <c r="L996" s="134" t="n">
        <v>458.18</v>
      </c>
      <c r="M996" s="134" t="n">
        <v>6808.08</v>
      </c>
      <c r="N996" s="104" t="n">
        <v>0.0673</v>
      </c>
      <c r="O996" s="134" t="n">
        <v>385</v>
      </c>
      <c r="P996" s="134" t="n">
        <v>0</v>
      </c>
      <c r="Q996" s="134" t="n">
        <v>0</v>
      </c>
      <c r="R996" s="134" t="inlineStr">
        <is>
          <t>18 -0.14%</t>
        </is>
      </c>
      <c r="S996" s="134" t="inlineStr">
        <is>
          <t>86 0.55%</t>
        </is>
      </c>
      <c r="T996" s="134" t="inlineStr">
        <is>
          <t>108 0.99%</t>
        </is>
      </c>
      <c r="U996" s="134" t="inlineStr">
        <is>
          <t>173 1.62%</t>
        </is>
      </c>
    </row>
    <row customHeight="1" ht="17" r="997" s="155">
      <c r="A997" s="105" t="n">
        <v>44600</v>
      </c>
      <c r="B997" s="134" t="n">
        <v>2032.376</v>
      </c>
      <c r="C997" s="152" t="n">
        <v>2.395</v>
      </c>
      <c r="D997" s="153" t="n">
        <v>0.0012</v>
      </c>
      <c r="E997" s="134" t="n">
        <v>143.498</v>
      </c>
      <c r="F997" s="134" t="n">
        <v>128.4</v>
      </c>
      <c r="G997" s="134" t="n">
        <v>97.18000000000001</v>
      </c>
      <c r="H997" s="134" t="n">
        <v>185.03</v>
      </c>
      <c r="I997" s="104" t="n">
        <v>0.4153</v>
      </c>
      <c r="J997" s="104" t="n">
        <v>0.3151</v>
      </c>
      <c r="K997" s="104" t="n">
        <v>-0.0489</v>
      </c>
      <c r="L997" s="134" t="n">
        <v>596</v>
      </c>
      <c r="M997" s="134" t="n">
        <v>6802.98</v>
      </c>
      <c r="N997" s="104" t="n">
        <v>0.0876</v>
      </c>
      <c r="O997" s="134" t="n">
        <v>385</v>
      </c>
      <c r="P997" s="134" t="n">
        <v>0</v>
      </c>
      <c r="Q997" s="134" t="n">
        <v>0</v>
      </c>
      <c r="R997" s="134" t="inlineStr">
        <is>
          <t>16 0.14%</t>
        </is>
      </c>
      <c r="S997" s="134" t="inlineStr">
        <is>
          <t>79 0.62%</t>
        </is>
      </c>
      <c r="T997" s="134" t="inlineStr">
        <is>
          <t>114 0.63%</t>
        </is>
      </c>
      <c r="U997" s="134" t="inlineStr">
        <is>
          <t>176 -0.44%</t>
        </is>
      </c>
    </row>
    <row customHeight="1" ht="17" r="998" s="155">
      <c r="A998" s="105" t="n">
        <v>44601</v>
      </c>
      <c r="B998" s="134" t="n">
        <v>2059.63</v>
      </c>
      <c r="C998" s="152" t="n">
        <v>27.254</v>
      </c>
      <c r="D998" s="153" t="n">
        <v>0.0134</v>
      </c>
      <c r="E998" s="134" t="n">
        <v>145.614</v>
      </c>
      <c r="F998" s="134" t="n">
        <v>129.69</v>
      </c>
      <c r="G998" s="134" t="n">
        <v>98.22</v>
      </c>
      <c r="H998" s="134" t="n">
        <v>187</v>
      </c>
      <c r="I998" s="104" t="n">
        <v>0.4139</v>
      </c>
      <c r="J998" s="104" t="n">
        <v>0.3179</v>
      </c>
      <c r="K998" s="104" t="n">
        <v>-0.0524</v>
      </c>
      <c r="L998" s="134" t="n">
        <v>693.76</v>
      </c>
      <c r="M998" s="134" t="n">
        <v>6796.79</v>
      </c>
      <c r="N998" s="104" t="n">
        <v>0.1021</v>
      </c>
      <c r="O998" s="134" t="n">
        <v>385</v>
      </c>
      <c r="P998" s="134" t="n">
        <v>0</v>
      </c>
      <c r="Q998" s="134" t="n">
        <v>0</v>
      </c>
      <c r="R998" s="134" t="inlineStr">
        <is>
          <t>14 0.83%</t>
        </is>
      </c>
      <c r="S998" s="134" t="inlineStr">
        <is>
          <t>70 0.70%</t>
        </is>
      </c>
      <c r="T998" s="134" t="inlineStr">
        <is>
          <t>114 0.88%</t>
        </is>
      </c>
      <c r="U998" s="134" t="inlineStr">
        <is>
          <t>187 1.90%</t>
        </is>
      </c>
    </row>
    <row customHeight="1" ht="17" r="999" s="155">
      <c r="A999" s="105" t="n">
        <v>44602</v>
      </c>
      <c r="B999" s="134" t="n">
        <v>2063.42</v>
      </c>
      <c r="C999" s="152" t="n">
        <v>3.79</v>
      </c>
      <c r="D999" s="153" t="n">
        <v>0.0018</v>
      </c>
      <c r="E999" s="134" t="n">
        <v>145.807</v>
      </c>
      <c r="F999" s="134" t="n">
        <v>129.397</v>
      </c>
      <c r="G999" s="134" t="n">
        <v>98.29000000000001</v>
      </c>
      <c r="H999" s="134" t="n">
        <v>187.66</v>
      </c>
      <c r="I999" s="104" t="n">
        <v>0.4186</v>
      </c>
      <c r="J999" s="104" t="n">
        <v>0.3213</v>
      </c>
      <c r="K999" s="104" t="n">
        <v>-0.0531</v>
      </c>
      <c r="L999" s="134" t="n">
        <v>626.65</v>
      </c>
      <c r="M999" s="134" t="n">
        <v>6793.9</v>
      </c>
      <c r="N999" s="104" t="n">
        <v>0.0922</v>
      </c>
      <c r="O999" s="134" t="n">
        <v>385</v>
      </c>
      <c r="P999" s="134" t="n">
        <v>0</v>
      </c>
      <c r="Q999" s="134" t="n">
        <v>0</v>
      </c>
      <c r="R999" s="134" t="inlineStr">
        <is>
          <t>13 0.56%</t>
        </is>
      </c>
      <c r="S999" s="134" t="inlineStr">
        <is>
          <t>65 0.29%</t>
        </is>
      </c>
      <c r="T999" s="134" t="inlineStr">
        <is>
          <t>121 0.22%</t>
        </is>
      </c>
      <c r="U999" s="134" t="inlineStr">
        <is>
          <t>186 0.09%</t>
        </is>
      </c>
    </row>
    <row customHeight="1" ht="17" r="1000" s="155">
      <c r="A1000" s="105" t="n">
        <v>44603</v>
      </c>
      <c r="B1000" s="134" t="n">
        <v>2041.259</v>
      </c>
      <c r="C1000" s="150" t="n">
        <v>-22.161</v>
      </c>
      <c r="D1000" s="151" t="n">
        <v>-0.0107</v>
      </c>
      <c r="E1000" s="134" t="n">
        <v>144.242</v>
      </c>
      <c r="F1000" s="134" t="n">
        <v>128.75</v>
      </c>
      <c r="G1000" s="134" t="n">
        <v>96.22</v>
      </c>
      <c r="H1000" s="134" t="n">
        <v>187.83</v>
      </c>
      <c r="I1000" s="104" t="n">
        <v>0.4358</v>
      </c>
      <c r="J1000" s="104" t="n">
        <v>0.3324</v>
      </c>
      <c r="K1000" s="104" t="n">
        <v>-0.0504</v>
      </c>
      <c r="L1000" s="134" t="n">
        <v>549.66</v>
      </c>
      <c r="M1000" s="134" t="n">
        <v>6789.7</v>
      </c>
      <c r="N1000" s="104" t="n">
        <v>0.081</v>
      </c>
      <c r="O1000" s="134" t="n">
        <v>385</v>
      </c>
      <c r="P1000" s="134" t="n">
        <v>0</v>
      </c>
      <c r="Q1000" s="134" t="n">
        <v>0</v>
      </c>
      <c r="R1000" s="134" t="inlineStr">
        <is>
          <t>12 -0.56%</t>
        </is>
      </c>
      <c r="S1000" s="134" t="inlineStr">
        <is>
          <t>80 -0.42%</t>
        </is>
      </c>
      <c r="T1000" s="134" t="inlineStr">
        <is>
          <t>114 -0.79%</t>
        </is>
      </c>
      <c r="U1000" s="134" t="inlineStr">
        <is>
          <t>179 -1.58%</t>
        </is>
      </c>
    </row>
    <row customHeight="1" ht="17" r="1001" s="155">
      <c r="A1001" s="105" t="n">
        <v>44606</v>
      </c>
      <c r="B1001" s="134" t="n">
        <v>1977.939</v>
      </c>
      <c r="C1001" s="150" t="n">
        <v>-63.32</v>
      </c>
      <c r="D1001" s="151" t="n">
        <v>-0.031</v>
      </c>
      <c r="E1001" s="134" t="n">
        <v>139.583</v>
      </c>
      <c r="F1001" s="134" t="n">
        <v>124.93</v>
      </c>
      <c r="G1001" s="134" t="n">
        <v>96.29000000000001</v>
      </c>
      <c r="H1001" s="134" t="n">
        <v>179.2</v>
      </c>
      <c r="I1001" s="104" t="n">
        <v>0.3961</v>
      </c>
      <c r="J1001" s="104" t="n">
        <v>0.2897</v>
      </c>
      <c r="K1001" s="104" t="n">
        <v>-0.0424</v>
      </c>
      <c r="L1001" s="134" t="n">
        <v>575.1</v>
      </c>
      <c r="M1001" s="134" t="n">
        <v>6786.99</v>
      </c>
      <c r="N1001" s="104" t="n">
        <v>0.0847</v>
      </c>
      <c r="O1001" s="134" t="n">
        <v>385</v>
      </c>
      <c r="P1001" s="134" t="n">
        <v>0</v>
      </c>
      <c r="Q1001" s="134" t="n">
        <v>0</v>
      </c>
      <c r="R1001" s="134" t="inlineStr">
        <is>
          <t>20 -1.59%</t>
        </is>
      </c>
      <c r="S1001" s="134" t="inlineStr">
        <is>
          <t>113 -2.50%</t>
        </is>
      </c>
      <c r="T1001" s="134" t="inlineStr">
        <is>
          <t>111 -3.13%</t>
        </is>
      </c>
      <c r="U1001" s="134" t="inlineStr">
        <is>
          <t>141 -3.78%</t>
        </is>
      </c>
    </row>
    <row customHeight="1" ht="17" r="1002" s="155">
      <c r="A1002" s="105" t="n">
        <v>44607</v>
      </c>
      <c r="B1002" s="134" t="n">
        <v>1946.668</v>
      </c>
      <c r="C1002" s="150" t="n">
        <v>-31.271</v>
      </c>
      <c r="D1002" s="151" t="n">
        <v>-0.0158</v>
      </c>
      <c r="E1002" s="134" t="n">
        <v>137.553</v>
      </c>
      <c r="F1002" s="134" t="n">
        <v>122.374</v>
      </c>
      <c r="G1002" s="134" t="n">
        <v>96.29000000000001</v>
      </c>
      <c r="H1002" s="134" t="n">
        <v>173.88</v>
      </c>
      <c r="I1002" s="104" t="n">
        <v>0.3633</v>
      </c>
      <c r="J1002" s="104" t="n">
        <v>0.2616</v>
      </c>
      <c r="K1002" s="104" t="n">
        <v>-0.038</v>
      </c>
      <c r="L1002" s="134" t="n">
        <v>618.71</v>
      </c>
      <c r="M1002" s="134" t="n">
        <v>6774.14</v>
      </c>
      <c r="N1002" s="104" t="n">
        <v>0.09130000000000001</v>
      </c>
      <c r="O1002" s="134" t="n">
        <v>385</v>
      </c>
      <c r="P1002" s="134" t="n">
        <v>0</v>
      </c>
      <c r="Q1002" s="134" t="n">
        <v>0</v>
      </c>
      <c r="R1002" s="134" t="inlineStr">
        <is>
          <t>31 -1.81%</t>
        </is>
      </c>
      <c r="S1002" s="134" t="inlineStr">
        <is>
          <t>127 -1.89%</t>
        </is>
      </c>
      <c r="T1002" s="134" t="inlineStr">
        <is>
          <t>99 -1.82%</t>
        </is>
      </c>
      <c r="U1002" s="134" t="inlineStr">
        <is>
          <t>128 -1.03%</t>
        </is>
      </c>
    </row>
    <row customHeight="1" ht="17" r="1003" s="155">
      <c r="A1003" s="105" t="n">
        <v>44608</v>
      </c>
      <c r="B1003" s="134" t="n">
        <v>1959.438</v>
      </c>
      <c r="C1003" s="152" t="n">
        <v>12.77</v>
      </c>
      <c r="D1003" s="153" t="n">
        <v>0.0066</v>
      </c>
      <c r="E1003" s="134" t="n">
        <v>138.356</v>
      </c>
      <c r="F1003" s="134" t="n">
        <v>123.57</v>
      </c>
      <c r="G1003" s="134" t="n">
        <v>97.45</v>
      </c>
      <c r="H1003" s="134" t="n">
        <v>173.93</v>
      </c>
      <c r="I1003" s="104" t="n">
        <v>0.3557</v>
      </c>
      <c r="J1003" s="104" t="n">
        <v>0.2573</v>
      </c>
      <c r="K1003" s="104" t="n">
        <v>-0.04</v>
      </c>
      <c r="L1003" s="134" t="n">
        <v>523.1900000000001</v>
      </c>
      <c r="M1003" s="134" t="n">
        <v>6764.28</v>
      </c>
      <c r="N1003" s="104" t="n">
        <v>0.07729999999999999</v>
      </c>
      <c r="O1003" s="134" t="n">
        <v>386</v>
      </c>
      <c r="P1003" s="134" t="n">
        <v>0</v>
      </c>
      <c r="Q1003" s="134" t="n">
        <v>0</v>
      </c>
      <c r="R1003" s="134" t="inlineStr">
        <is>
          <t>26 0.43%</t>
        </is>
      </c>
      <c r="S1003" s="134" t="inlineStr">
        <is>
          <t>120 0.60%</t>
        </is>
      </c>
      <c r="T1003" s="134" t="inlineStr">
        <is>
          <t>109 0.64%</t>
        </is>
      </c>
      <c r="U1003" s="134" t="inlineStr">
        <is>
          <t>131 0.76%</t>
        </is>
      </c>
    </row>
    <row customHeight="1" ht="17" r="1004" s="155">
      <c r="A1004" s="105" t="n">
        <v>44609</v>
      </c>
      <c r="B1004" s="134" t="n">
        <v>1963.043</v>
      </c>
      <c r="C1004" s="152" t="n">
        <v>3.605</v>
      </c>
      <c r="D1004" s="153" t="n">
        <v>0.0018</v>
      </c>
      <c r="E1004" s="134" t="n">
        <v>138.968</v>
      </c>
      <c r="F1004" s="134" t="n">
        <v>123.555</v>
      </c>
      <c r="G1004" s="134" t="n">
        <v>97.67</v>
      </c>
      <c r="H1004" s="134" t="n">
        <v>174.98</v>
      </c>
      <c r="I1004" s="104" t="n">
        <v>0.3602</v>
      </c>
      <c r="J1004" s="104" t="n">
        <v>0.2547</v>
      </c>
      <c r="K1004" s="104" t="n">
        <v>-0.0402</v>
      </c>
      <c r="L1004" s="134" t="n">
        <v>557.98</v>
      </c>
      <c r="M1004" s="134" t="n">
        <v>6748.95</v>
      </c>
      <c r="N1004" s="104" t="n">
        <v>0.0827</v>
      </c>
      <c r="O1004" s="134" t="n">
        <v>386</v>
      </c>
      <c r="P1004" s="134" t="n">
        <v>0</v>
      </c>
      <c r="Q1004" s="134" t="n">
        <v>0</v>
      </c>
      <c r="R1004" s="134" t="inlineStr">
        <is>
          <t>24 -0.04%</t>
        </is>
      </c>
      <c r="S1004" s="134" t="inlineStr">
        <is>
          <t>133 -0.20%</t>
        </is>
      </c>
      <c r="T1004" s="134" t="inlineStr">
        <is>
          <t>98 -0.15%</t>
        </is>
      </c>
      <c r="U1004" s="134" t="inlineStr">
        <is>
          <t>131 0.87%</t>
        </is>
      </c>
    </row>
    <row customHeight="1" ht="17" r="1005" s="155">
      <c r="A1005" s="105" t="n">
        <v>44610</v>
      </c>
      <c r="B1005" s="134" t="n">
        <v>1978.806</v>
      </c>
      <c r="C1005" s="152" t="n">
        <v>15.763</v>
      </c>
      <c r="D1005" s="153" t="n">
        <v>0.008</v>
      </c>
      <c r="E1005" s="134" t="n">
        <v>139.805</v>
      </c>
      <c r="F1005" s="134" t="n">
        <v>124.945</v>
      </c>
      <c r="G1005" s="134" t="n">
        <v>98.22</v>
      </c>
      <c r="H1005" s="134" t="n">
        <v>175.74</v>
      </c>
      <c r="I1005" s="104" t="n">
        <v>0.3593</v>
      </c>
      <c r="J1005" s="104" t="n">
        <v>0.2591</v>
      </c>
      <c r="K1005" s="104" t="n">
        <v>-0.0424</v>
      </c>
      <c r="L1005" s="134" t="n">
        <v>585.8200000000001</v>
      </c>
      <c r="M1005" s="134" t="n">
        <v>6807.36</v>
      </c>
      <c r="N1005" s="104" t="n">
        <v>0.0861</v>
      </c>
      <c r="O1005" s="134" t="n">
        <v>386</v>
      </c>
      <c r="P1005" s="134" t="n">
        <v>0</v>
      </c>
      <c r="Q1005" s="134" t="n">
        <v>0</v>
      </c>
      <c r="R1005" s="134" t="inlineStr">
        <is>
          <t>22 0.42%</t>
        </is>
      </c>
      <c r="S1005" s="134" t="inlineStr">
        <is>
          <t>120 0.66%</t>
        </is>
      </c>
      <c r="T1005" s="134" t="inlineStr">
        <is>
          <t>104 0.93%</t>
        </is>
      </c>
      <c r="U1005" s="134" t="inlineStr">
        <is>
          <t>140 0.90%</t>
        </is>
      </c>
    </row>
    <row customHeight="1" ht="17" r="1006" s="155">
      <c r="A1006" s="105" t="n">
        <v>44613</v>
      </c>
      <c r="B1006" s="134" t="n">
        <v>2002.156</v>
      </c>
      <c r="C1006" s="152" t="n">
        <v>23.35</v>
      </c>
      <c r="D1006" s="153" t="n">
        <v>0.0118</v>
      </c>
      <c r="E1006" s="134" t="n">
        <v>141.518</v>
      </c>
      <c r="F1006" s="134" t="n">
        <v>125.22</v>
      </c>
      <c r="G1006" s="134" t="n">
        <v>99.40000000000001</v>
      </c>
      <c r="H1006" s="134" t="n">
        <v>177.24</v>
      </c>
      <c r="I1006" s="104" t="n">
        <v>0.3572</v>
      </c>
      <c r="J1006" s="104" t="n">
        <v>0.2577</v>
      </c>
      <c r="K1006" s="104" t="n">
        <v>-0.0456</v>
      </c>
      <c r="L1006" s="134" t="n">
        <v>739.9</v>
      </c>
      <c r="M1006" s="134" t="n">
        <v>6800.25</v>
      </c>
      <c r="N1006" s="104" t="n">
        <v>0.1088</v>
      </c>
      <c r="O1006" s="134" t="n">
        <v>386</v>
      </c>
      <c r="P1006" s="134" t="n">
        <v>0</v>
      </c>
      <c r="Q1006" s="134" t="n">
        <v>0</v>
      </c>
      <c r="R1006" s="134" t="inlineStr">
        <is>
          <t>17 0.95%</t>
        </is>
      </c>
      <c r="S1006" s="134" t="inlineStr">
        <is>
          <t>108 0.77%</t>
        </is>
      </c>
      <c r="T1006" s="134" t="inlineStr">
        <is>
          <t>112 0.65%</t>
        </is>
      </c>
      <c r="U1006" s="134" t="inlineStr">
        <is>
          <t>149 1.90%</t>
        </is>
      </c>
    </row>
    <row customHeight="1" ht="17" r="1007" s="155">
      <c r="A1007" s="105" t="n">
        <v>44614</v>
      </c>
      <c r="B1007" s="134" t="n">
        <v>1990.183</v>
      </c>
      <c r="C1007" s="150" t="n">
        <v>-11.973</v>
      </c>
      <c r="D1007" s="151" t="n">
        <v>-0.006</v>
      </c>
      <c r="E1007" s="134" t="n">
        <v>140.893</v>
      </c>
      <c r="F1007" s="134" t="n">
        <v>124.765</v>
      </c>
      <c r="G1007" s="134" t="n">
        <v>98.23</v>
      </c>
      <c r="H1007" s="134" t="n">
        <v>177.63</v>
      </c>
      <c r="I1007" s="104" t="n">
        <v>0.3674</v>
      </c>
      <c r="J1007" s="104" t="n">
        <v>0.2629</v>
      </c>
      <c r="K1007" s="104" t="n">
        <v>-0.0442</v>
      </c>
      <c r="L1007" s="134" t="n">
        <v>1123.86</v>
      </c>
      <c r="M1007" s="134" t="n">
        <v>6783.05</v>
      </c>
      <c r="N1007" s="104" t="n">
        <v>0.1657</v>
      </c>
      <c r="O1007" s="134" t="n">
        <v>386</v>
      </c>
      <c r="P1007" s="134" t="n">
        <v>0</v>
      </c>
      <c r="Q1007" s="134" t="n">
        <v>0</v>
      </c>
      <c r="R1007" s="134" t="inlineStr">
        <is>
          <t>19 -0.68%</t>
        </is>
      </c>
      <c r="S1007" s="134" t="inlineStr">
        <is>
          <t>126 -0.60%</t>
        </is>
      </c>
      <c r="T1007" s="134" t="inlineStr">
        <is>
          <t>97 -0.70%</t>
        </is>
      </c>
      <c r="U1007" s="134" t="inlineStr">
        <is>
          <t>144 -0.52%</t>
        </is>
      </c>
    </row>
    <row customHeight="1" ht="17" r="1008" s="155">
      <c r="A1008" s="105" t="n">
        <v>44615</v>
      </c>
      <c r="B1008" s="134" t="n">
        <v>2024.951</v>
      </c>
      <c r="C1008" s="152" t="n">
        <v>34.768</v>
      </c>
      <c r="D1008" s="153" t="n">
        <v>0.0175</v>
      </c>
      <c r="E1008" s="134" t="n">
        <v>143.459</v>
      </c>
      <c r="F1008" s="134" t="n">
        <v>126.35</v>
      </c>
      <c r="G1008" s="134" t="n">
        <v>99.34999999999999</v>
      </c>
      <c r="H1008" s="134" t="n">
        <v>179.99</v>
      </c>
      <c r="I1008" s="104" t="n">
        <v>0.3653</v>
      </c>
      <c r="J1008" s="104" t="n">
        <v>0.2617</v>
      </c>
      <c r="K1008" s="104" t="n">
        <v>-0.0489</v>
      </c>
      <c r="L1008" s="134" t="n">
        <v>994.58</v>
      </c>
      <c r="M1008" s="134" t="n">
        <v>6770.9</v>
      </c>
      <c r="N1008" s="104" t="n">
        <v>0.1469</v>
      </c>
      <c r="O1008" s="134" t="n">
        <v>386</v>
      </c>
      <c r="P1008" s="134" t="n">
        <v>0</v>
      </c>
      <c r="Q1008" s="134" t="n">
        <v>0</v>
      </c>
      <c r="R1008" s="134" t="inlineStr">
        <is>
          <t>17 0.24%</t>
        </is>
      </c>
      <c r="S1008" s="134" t="inlineStr">
        <is>
          <t>102 0.60%</t>
        </is>
      </c>
      <c r="T1008" s="134" t="inlineStr">
        <is>
          <t>111 1.26%</t>
        </is>
      </c>
      <c r="U1008" s="134" t="inlineStr">
        <is>
          <t>156 3.01%</t>
        </is>
      </c>
    </row>
    <row customHeight="1" ht="17" r="1009" s="155">
      <c r="A1009" s="105" t="n">
        <v>44616</v>
      </c>
      <c r="B1009" s="134" t="n">
        <v>2007.05</v>
      </c>
      <c r="C1009" s="150" t="n">
        <v>-17.901</v>
      </c>
      <c r="D1009" s="151" t="n">
        <v>-0.008800000000000001</v>
      </c>
      <c r="E1009" s="134" t="n">
        <v>141.933</v>
      </c>
      <c r="F1009" s="134" t="n">
        <v>125.6</v>
      </c>
      <c r="G1009" s="134" t="n">
        <v>96.93000000000001</v>
      </c>
      <c r="H1009" s="134" t="n">
        <v>180.45</v>
      </c>
      <c r="I1009" s="104" t="n">
        <v>0.3852</v>
      </c>
      <c r="J1009" s="104" t="n">
        <v>0.2789</v>
      </c>
      <c r="K1009" s="104" t="n">
        <v>-0.045</v>
      </c>
      <c r="L1009" s="134" t="n">
        <v>1172.01</v>
      </c>
      <c r="M1009" s="134" t="n">
        <v>6756.15</v>
      </c>
      <c r="N1009" s="104" t="n">
        <v>0.1735</v>
      </c>
      <c r="O1009" s="134" t="n">
        <v>385</v>
      </c>
      <c r="P1009" s="134" t="n">
        <v>0</v>
      </c>
      <c r="Q1009" s="134" t="n">
        <v>0</v>
      </c>
      <c r="R1009" s="134" t="inlineStr">
        <is>
          <t>18 -0.57%</t>
        </is>
      </c>
      <c r="S1009" s="134" t="inlineStr">
        <is>
          <t>111 -0.53%</t>
        </is>
      </c>
      <c r="T1009" s="134" t="inlineStr">
        <is>
          <t>108 -0.66%</t>
        </is>
      </c>
      <c r="U1009" s="134" t="inlineStr">
        <is>
          <t>148 -1.35%</t>
        </is>
      </c>
    </row>
    <row customHeight="1" ht="17" r="1010" s="155">
      <c r="A1010" s="105" t="n">
        <v>44617</v>
      </c>
      <c r="B1010" s="134" t="n">
        <v>2026.298</v>
      </c>
      <c r="C1010" s="152" t="n">
        <v>19.248</v>
      </c>
      <c r="D1010" s="153" t="n">
        <v>0.009599999999999999</v>
      </c>
      <c r="E1010" s="134" t="n">
        <v>143.134</v>
      </c>
      <c r="F1010" s="134" t="n">
        <v>126.199</v>
      </c>
      <c r="G1010" s="134" t="n">
        <v>97.09999999999999</v>
      </c>
      <c r="H1010" s="134" t="n">
        <v>181.9</v>
      </c>
      <c r="I1010" s="104" t="n">
        <v>0.3876</v>
      </c>
      <c r="J1010" s="104" t="n">
        <v>0.2842</v>
      </c>
      <c r="K1010" s="104" t="n">
        <v>-0.0466</v>
      </c>
      <c r="L1010" s="134" t="n">
        <v>1061.93</v>
      </c>
      <c r="M1010" s="134" t="n">
        <v>6731.31</v>
      </c>
      <c r="N1010" s="104" t="n">
        <v>0.1578</v>
      </c>
      <c r="O1010" s="134" t="n">
        <v>383</v>
      </c>
      <c r="P1010" s="134" t="n">
        <v>0</v>
      </c>
      <c r="Q1010" s="134" t="n">
        <v>0</v>
      </c>
      <c r="R1010" s="134" t="inlineStr">
        <is>
          <t>17 0.23%</t>
        </is>
      </c>
      <c r="S1010" s="134" t="inlineStr">
        <is>
          <t>96 0.60%</t>
        </is>
      </c>
      <c r="T1010" s="134" t="inlineStr">
        <is>
          <t>115 0.62%</t>
        </is>
      </c>
      <c r="U1010" s="134" t="inlineStr">
        <is>
          <t>155 1.52%</t>
        </is>
      </c>
    </row>
    <row customHeight="1" ht="17" r="1011" s="155">
      <c r="A1011" s="105" t="n">
        <v>44620</v>
      </c>
      <c r="B1011" s="134" t="n">
        <v>2036.551</v>
      </c>
      <c r="C1011" s="152" t="n">
        <v>10.253</v>
      </c>
      <c r="D1011" s="153" t="n">
        <v>0.0051</v>
      </c>
      <c r="E1011" s="134" t="n">
        <v>144.074</v>
      </c>
      <c r="F1011" s="134" t="n">
        <v>126.395</v>
      </c>
      <c r="G1011" s="134" t="n">
        <v>97.23999999999999</v>
      </c>
      <c r="H1011" s="134" t="n">
        <v>183.67</v>
      </c>
      <c r="I1011" s="104" t="n">
        <v>0.3959</v>
      </c>
      <c r="J1011" s="104" t="n">
        <v>0.284</v>
      </c>
      <c r="K1011" s="104" t="n">
        <v>-0.0477</v>
      </c>
      <c r="L1011" s="134" t="n">
        <v>891</v>
      </c>
      <c r="M1011" s="134" t="n">
        <v>6701.23</v>
      </c>
      <c r="N1011" s="104" t="n">
        <v>0.133</v>
      </c>
      <c r="O1011" s="134" t="n">
        <v>383</v>
      </c>
      <c r="P1011" s="134" t="n">
        <v>0</v>
      </c>
      <c r="Q1011" s="134" t="n">
        <v>0</v>
      </c>
      <c r="R1011" s="134" t="inlineStr">
        <is>
          <t>17 -0.14%</t>
        </is>
      </c>
      <c r="S1011" s="134" t="inlineStr">
        <is>
          <t>101 -0.08%</t>
        </is>
      </c>
      <c r="T1011" s="134" t="inlineStr">
        <is>
          <t>106 0.37%</t>
        </is>
      </c>
      <c r="U1011" s="134" t="inlineStr">
        <is>
          <t>159 1.04%</t>
        </is>
      </c>
    </row>
    <row customHeight="1" ht="17" r="1012" s="155">
      <c r="A1012" s="105" t="n">
        <v>44621</v>
      </c>
      <c r="B1012" s="134" t="n">
        <v>2043.455</v>
      </c>
      <c r="C1012" s="152" t="n">
        <v>6.904</v>
      </c>
      <c r="D1012" s="153" t="n">
        <v>0.0034</v>
      </c>
      <c r="E1012" s="134" t="n">
        <v>144.371</v>
      </c>
      <c r="F1012" s="134" t="n">
        <v>127.3</v>
      </c>
      <c r="G1012" s="134" t="n">
        <v>98.42</v>
      </c>
      <c r="H1012" s="134" t="n">
        <v>183.65</v>
      </c>
      <c r="I1012" s="104" t="n">
        <v>0.3928</v>
      </c>
      <c r="J1012" s="104" t="n">
        <v>0.2798</v>
      </c>
      <c r="K1012" s="104" t="n">
        <v>-0.0489</v>
      </c>
      <c r="L1012" s="134" t="n">
        <v>1078.03</v>
      </c>
      <c r="M1012" s="134" t="n">
        <v>6686.28</v>
      </c>
      <c r="N1012" s="104" t="n">
        <v>0.1612</v>
      </c>
      <c r="O1012" s="134" t="n">
        <v>381</v>
      </c>
      <c r="P1012" s="134" t="n">
        <v>0</v>
      </c>
      <c r="Q1012" s="134" t="n">
        <v>0</v>
      </c>
      <c r="R1012" s="134" t="inlineStr">
        <is>
          <t>16 0.25%</t>
        </is>
      </c>
      <c r="S1012" s="134" t="inlineStr">
        <is>
          <t>95 0.15%</t>
        </is>
      </c>
      <c r="T1012" s="134" t="inlineStr">
        <is>
          <t>110 0.24%</t>
        </is>
      </c>
      <c r="U1012" s="134" t="inlineStr">
        <is>
          <t>160 0.53%</t>
        </is>
      </c>
    </row>
    <row customHeight="1" ht="17" r="1013" s="155">
      <c r="A1013" s="105" t="n">
        <v>44622</v>
      </c>
      <c r="B1013" s="134" t="n">
        <v>2039.92</v>
      </c>
      <c r="C1013" s="150" t="n">
        <v>-3.535</v>
      </c>
      <c r="D1013" s="151" t="n">
        <v>-0.0017</v>
      </c>
      <c r="E1013" s="134" t="n">
        <v>143.763</v>
      </c>
      <c r="F1013" s="134" t="n">
        <v>126.71</v>
      </c>
      <c r="G1013" s="134" t="n">
        <v>97.93000000000001</v>
      </c>
      <c r="H1013" s="134" t="n">
        <v>182.84</v>
      </c>
      <c r="I1013" s="104" t="n">
        <v>0.3908</v>
      </c>
      <c r="J1013" s="104" t="n">
        <v>0.2791</v>
      </c>
      <c r="K1013" s="104" t="n">
        <v>-0.0483</v>
      </c>
      <c r="L1013" s="134" t="n">
        <v>1026.02</v>
      </c>
      <c r="M1013" s="134" t="n">
        <v>6691.39</v>
      </c>
      <c r="N1013" s="104" t="n">
        <v>0.1533</v>
      </c>
      <c r="O1013" s="134" t="n">
        <v>380</v>
      </c>
      <c r="P1013" s="134" t="n">
        <v>0</v>
      </c>
      <c r="Q1013" s="134" t="n">
        <v>0</v>
      </c>
      <c r="R1013" s="134" t="inlineStr">
        <is>
          <t>13 0.45%</t>
        </is>
      </c>
      <c r="S1013" s="134" t="inlineStr">
        <is>
          <t>102 0.12%</t>
        </is>
      </c>
      <c r="T1013" s="134" t="inlineStr">
        <is>
          <t>111 0.03%</t>
        </is>
      </c>
      <c r="U1013" s="134" t="inlineStr">
        <is>
          <t>154 -0.57%</t>
        </is>
      </c>
    </row>
    <row customHeight="1" ht="17" r="1014" s="155">
      <c r="A1014" s="105" t="n">
        <v>44623</v>
      </c>
      <c r="B1014" s="134" t="n">
        <v>2018.888</v>
      </c>
      <c r="C1014" s="150" t="n">
        <v>-21.032</v>
      </c>
      <c r="D1014" s="151" t="n">
        <v>-0.0103</v>
      </c>
      <c r="E1014" s="134" t="n">
        <v>141.995</v>
      </c>
      <c r="F1014" s="134" t="n">
        <v>125.8</v>
      </c>
      <c r="G1014" s="134" t="n">
        <v>97.52</v>
      </c>
      <c r="H1014" s="134" t="n">
        <v>180.46</v>
      </c>
      <c r="I1014" s="104" t="n">
        <v>0.3846</v>
      </c>
      <c r="J1014" s="104" t="n">
        <v>0.2668</v>
      </c>
      <c r="K1014" s="104" t="n">
        <v>-0.0457</v>
      </c>
      <c r="L1014" s="134" t="n">
        <v>1010.28</v>
      </c>
      <c r="M1014" s="134" t="n">
        <v>6694.37</v>
      </c>
      <c r="N1014" s="104" t="n">
        <v>0.1509</v>
      </c>
      <c r="O1014" s="134" t="n">
        <v>381</v>
      </c>
      <c r="P1014" s="134" t="n">
        <v>0</v>
      </c>
      <c r="Q1014" s="134" t="n">
        <v>0</v>
      </c>
      <c r="R1014" s="134" t="inlineStr">
        <is>
          <t>14 0.01%</t>
        </is>
      </c>
      <c r="S1014" s="134" t="inlineStr">
        <is>
          <t>109 -0.51%</t>
        </is>
      </c>
      <c r="T1014" s="134" t="inlineStr">
        <is>
          <t>108 -0.90%</t>
        </is>
      </c>
      <c r="U1014" s="134" t="inlineStr">
        <is>
          <t>150 -1.60%</t>
        </is>
      </c>
    </row>
    <row customHeight="1" ht="17" r="1015" s="155">
      <c r="A1015" s="105" t="n">
        <v>44624</v>
      </c>
      <c r="B1015" s="134" t="n">
        <v>1987.636</v>
      </c>
      <c r="C1015" s="150" t="n">
        <v>-31.252</v>
      </c>
      <c r="D1015" s="151" t="n">
        <v>-0.0155</v>
      </c>
      <c r="E1015" s="134" t="n">
        <v>139.508</v>
      </c>
      <c r="F1015" s="134" t="n">
        <v>124.2</v>
      </c>
      <c r="G1015" s="134" t="n">
        <v>96.54000000000001</v>
      </c>
      <c r="H1015" s="134" t="n">
        <v>177.72</v>
      </c>
      <c r="I1015" s="104" t="n">
        <v>0.3821</v>
      </c>
      <c r="J1015" s="104" t="n">
        <v>0.2674</v>
      </c>
      <c r="K1015" s="104" t="n">
        <v>-0.0416</v>
      </c>
      <c r="L1015" s="134" t="n">
        <v>974.26</v>
      </c>
      <c r="M1015" s="134" t="n">
        <v>6686.79</v>
      </c>
      <c r="N1015" s="104" t="n">
        <v>0.1457</v>
      </c>
      <c r="O1015" s="134" t="n">
        <v>381</v>
      </c>
      <c r="P1015" s="134" t="n">
        <v>0</v>
      </c>
      <c r="Q1015" s="134" t="n">
        <v>0</v>
      </c>
      <c r="R1015" s="134" t="inlineStr">
        <is>
          <t>20 -0.52%</t>
        </is>
      </c>
      <c r="S1015" s="134" t="inlineStr">
        <is>
          <t>123 -1.08%</t>
        </is>
      </c>
      <c r="T1015" s="134" t="inlineStr">
        <is>
          <t>107 -1.48%</t>
        </is>
      </c>
      <c r="U1015" s="134" t="inlineStr">
        <is>
          <t>131 -2.21%</t>
        </is>
      </c>
    </row>
    <row customHeight="1" ht="17" r="1016" s="155">
      <c r="A1016" s="105" t="n">
        <v>44627</v>
      </c>
      <c r="B1016" s="134" t="n">
        <v>1939.913</v>
      </c>
      <c r="C1016" s="150" t="n">
        <v>-47.723</v>
      </c>
      <c r="D1016" s="151" t="n">
        <v>-0.024</v>
      </c>
      <c r="E1016" s="134" t="n">
        <v>135.934</v>
      </c>
      <c r="F1016" s="134" t="n">
        <v>120.565</v>
      </c>
      <c r="G1016" s="134" t="n">
        <v>95.27</v>
      </c>
      <c r="H1016" s="134" t="n">
        <v>173.91</v>
      </c>
      <c r="I1016" s="104" t="n">
        <v>0.3798</v>
      </c>
      <c r="J1016" s="104" t="n">
        <v>0.2522</v>
      </c>
      <c r="K1016" s="104" t="n">
        <v>-0.0353</v>
      </c>
      <c r="L1016" s="134" t="n">
        <v>853.53</v>
      </c>
      <c r="M1016" s="134" t="n">
        <v>6687.99</v>
      </c>
      <c r="N1016" s="104" t="n">
        <v>0.1276</v>
      </c>
      <c r="O1016" s="134" t="n">
        <v>382</v>
      </c>
      <c r="P1016" s="134" t="n">
        <v>0</v>
      </c>
      <c r="Q1016" s="134" t="n">
        <v>0</v>
      </c>
      <c r="R1016" s="134" t="inlineStr">
        <is>
          <t>27 -1.24%</t>
        </is>
      </c>
      <c r="S1016" s="134" t="inlineStr">
        <is>
          <t>155 -2.11%</t>
        </is>
      </c>
      <c r="T1016" s="134" t="inlineStr">
        <is>
          <t>91 -2.75%</t>
        </is>
      </c>
      <c r="U1016" s="134" t="inlineStr">
        <is>
          <t>109 -2.82%</t>
        </is>
      </c>
    </row>
    <row customHeight="1" ht="17" r="1017" s="155">
      <c r="A1017" s="105" t="n">
        <v>44628</v>
      </c>
      <c r="B1017" s="134" t="n">
        <v>1888.874</v>
      </c>
      <c r="C1017" s="150" t="n">
        <v>-51.039</v>
      </c>
      <c r="D1017" s="151" t="n">
        <v>-0.0263</v>
      </c>
      <c r="E1017" s="134" t="n">
        <v>131.832</v>
      </c>
      <c r="F1017" s="134" t="n">
        <v>117.9</v>
      </c>
      <c r="G1017" s="134" t="n">
        <v>92.95999999999999</v>
      </c>
      <c r="H1017" s="134" t="n">
        <v>170.68</v>
      </c>
      <c r="I1017" s="104" t="n">
        <v>0.3885</v>
      </c>
      <c r="J1017" s="104" t="n">
        <v>0.2657</v>
      </c>
      <c r="K1017" s="104" t="n">
        <v>-0.0276</v>
      </c>
      <c r="L1017" s="134" t="n">
        <v>1071.71</v>
      </c>
      <c r="M1017" s="134" t="n">
        <v>6676.29</v>
      </c>
      <c r="N1017" s="104" t="n">
        <v>0.1605</v>
      </c>
      <c r="O1017" s="134" t="n">
        <v>381</v>
      </c>
      <c r="P1017" s="134" t="n">
        <v>0</v>
      </c>
      <c r="Q1017" s="134" t="n">
        <v>0</v>
      </c>
      <c r="R1017" s="134" t="inlineStr">
        <is>
          <t>48 -1.68%</t>
        </is>
      </c>
      <c r="S1017" s="134" t="inlineStr">
        <is>
          <t>180 -2.27%</t>
        </is>
      </c>
      <c r="T1017" s="134" t="inlineStr">
        <is>
          <t>66 -2.82%</t>
        </is>
      </c>
      <c r="U1017" s="134" t="inlineStr">
        <is>
          <t>87 -3.76%</t>
        </is>
      </c>
    </row>
    <row customHeight="1" ht="17" r="1018" s="155">
      <c r="A1018" s="105" t="n">
        <v>44629</v>
      </c>
      <c r="B1018" s="134" t="n">
        <v>1872.686</v>
      </c>
      <c r="C1018" s="150" t="n">
        <v>-16.188</v>
      </c>
      <c r="D1018" s="151" t="n">
        <v>-0.0086</v>
      </c>
      <c r="E1018" s="134" t="n">
        <v>130.653</v>
      </c>
      <c r="F1018" s="134" t="n">
        <v>116.018</v>
      </c>
      <c r="G1018" s="134" t="n">
        <v>91.09999999999999</v>
      </c>
      <c r="H1018" s="134" t="n">
        <v>170.31</v>
      </c>
      <c r="I1018" s="104" t="n">
        <v>0.3966</v>
      </c>
      <c r="J1018" s="104" t="n">
        <v>0.2721</v>
      </c>
      <c r="K1018" s="104" t="n">
        <v>-0.0262</v>
      </c>
      <c r="L1018" s="134" t="n">
        <v>1029.73</v>
      </c>
      <c r="M1018" s="134" t="n">
        <v>6653.19</v>
      </c>
      <c r="N1018" s="104" t="n">
        <v>0.1548</v>
      </c>
      <c r="O1018" s="134" t="n">
        <v>379</v>
      </c>
      <c r="P1018" s="134" t="n">
        <v>0</v>
      </c>
      <c r="Q1018" s="134" t="inlineStr">
        <is>
          <t>2 -2.03%</t>
        </is>
      </c>
      <c r="R1018" s="134" t="inlineStr">
        <is>
          <t>61 -0.96%</t>
        </is>
      </c>
      <c r="S1018" s="134" t="inlineStr">
        <is>
          <t>167 -1.01%</t>
        </is>
      </c>
      <c r="T1018" s="134" t="inlineStr">
        <is>
          <t>62 -0.68%</t>
        </is>
      </c>
      <c r="U1018" s="134" t="inlineStr">
        <is>
          <t>87 -0.60%</t>
        </is>
      </c>
    </row>
    <row customHeight="1" ht="17" r="1019" s="155">
      <c r="A1019" s="105" t="n">
        <v>44630</v>
      </c>
      <c r="B1019" s="134" t="n">
        <v>1910.233</v>
      </c>
      <c r="C1019" s="152" t="n">
        <v>37.547</v>
      </c>
      <c r="D1019" s="153" t="n">
        <v>0.0201</v>
      </c>
      <c r="E1019" s="134" t="n">
        <v>133.333</v>
      </c>
      <c r="F1019" s="134" t="n">
        <v>118.99</v>
      </c>
      <c r="G1019" s="134" t="n">
        <v>93.26000000000001</v>
      </c>
      <c r="H1019" s="134" t="n">
        <v>172.97</v>
      </c>
      <c r="I1019" s="104" t="n">
        <v>0.3963</v>
      </c>
      <c r="J1019" s="104" t="n">
        <v>0.2741</v>
      </c>
      <c r="K1019" s="104" t="n">
        <v>-0.0318</v>
      </c>
      <c r="L1019" s="134" t="n">
        <v>971.51</v>
      </c>
      <c r="M1019" s="134" t="n">
        <v>6669.71</v>
      </c>
      <c r="N1019" s="104" t="n">
        <v>0.1457</v>
      </c>
      <c r="O1019" s="134" t="n">
        <v>380</v>
      </c>
      <c r="P1019" s="134" t="n">
        <v>0</v>
      </c>
      <c r="Q1019" s="134" t="inlineStr">
        <is>
          <t>1 2.55%</t>
        </is>
      </c>
      <c r="R1019" s="134" t="inlineStr">
        <is>
          <t>50 0.73%</t>
        </is>
      </c>
      <c r="S1019" s="134" t="inlineStr">
        <is>
          <t>153 1.67%</t>
        </is>
      </c>
      <c r="T1019" s="134" t="inlineStr">
        <is>
          <t>76 2.61%</t>
        </is>
      </c>
      <c r="U1019" s="134" t="inlineStr">
        <is>
          <t>100 2.69%</t>
        </is>
      </c>
    </row>
    <row customHeight="1" ht="17" r="1020" s="155">
      <c r="A1020" s="105" t="n">
        <v>44631</v>
      </c>
      <c r="B1020" s="134" t="n">
        <v>1909.049</v>
      </c>
      <c r="C1020" s="150" t="n">
        <v>-1.184</v>
      </c>
      <c r="D1020" s="151" t="n">
        <v>-0.0005999999999999999</v>
      </c>
      <c r="E1020" s="134" t="n">
        <v>133.094</v>
      </c>
      <c r="F1020" s="134" t="n">
        <v>118.477</v>
      </c>
      <c r="G1020" s="134" t="n">
        <v>94.06999999999999</v>
      </c>
      <c r="H1020" s="134" t="n">
        <v>171.42</v>
      </c>
      <c r="I1020" s="104" t="n">
        <v>0.3833</v>
      </c>
      <c r="J1020" s="104" t="n">
        <v>0.2658</v>
      </c>
      <c r="K1020" s="104" t="n">
        <v>-0.0316</v>
      </c>
      <c r="L1020" s="134" t="n">
        <v>898.65</v>
      </c>
      <c r="M1020" s="134" t="n">
        <v>6676.17</v>
      </c>
      <c r="N1020" s="104" t="n">
        <v>0.1346</v>
      </c>
      <c r="O1020" s="134" t="n">
        <v>381</v>
      </c>
      <c r="P1020" s="134" t="n">
        <v>0</v>
      </c>
      <c r="Q1020" s="134" t="inlineStr">
        <is>
          <t>1 -0.62%</t>
        </is>
      </c>
      <c r="R1020" s="134" t="inlineStr">
        <is>
          <t>45 -0.16%</t>
        </is>
      </c>
      <c r="S1020" s="134" t="inlineStr">
        <is>
          <t>163 -0.10%</t>
        </is>
      </c>
      <c r="T1020" s="134" t="inlineStr">
        <is>
          <t>70 0.25%</t>
        </is>
      </c>
      <c r="U1020" s="134" t="inlineStr">
        <is>
          <t>102 -0.17%</t>
        </is>
      </c>
    </row>
    <row customHeight="1" ht="17" r="1021" s="155">
      <c r="A1021" s="105" t="n">
        <v>44634</v>
      </c>
      <c r="B1021" s="134" t="n">
        <v>1894.903</v>
      </c>
      <c r="C1021" s="150" t="n">
        <v>-14.146</v>
      </c>
      <c r="D1021" s="151" t="n">
        <v>-0.0074</v>
      </c>
      <c r="E1021" s="134" t="n">
        <v>131.99</v>
      </c>
      <c r="F1021" s="134" t="n">
        <v>118.125</v>
      </c>
      <c r="G1021" s="134" t="n">
        <v>91.45999999999999</v>
      </c>
      <c r="H1021" s="134" t="n">
        <v>173.11</v>
      </c>
      <c r="I1021" s="104" t="n">
        <v>0.4112</v>
      </c>
      <c r="J1021" s="104" t="n">
        <v>0.2996</v>
      </c>
      <c r="K1021" s="104" t="n">
        <v>-0.0298</v>
      </c>
      <c r="L1021" s="134" t="n">
        <v>769.21</v>
      </c>
      <c r="M1021" s="134" t="n">
        <v>6682.02</v>
      </c>
      <c r="N1021" s="104" t="n">
        <v>0.1151</v>
      </c>
      <c r="O1021" s="134" t="n">
        <v>382</v>
      </c>
      <c r="P1021" s="134" t="n">
        <v>0</v>
      </c>
      <c r="Q1021" s="134" t="inlineStr">
        <is>
          <t>1 -0.24%</t>
        </is>
      </c>
      <c r="R1021" s="134" t="inlineStr">
        <is>
          <t>49 -0.16%</t>
        </is>
      </c>
      <c r="S1021" s="134" t="inlineStr">
        <is>
          <t>163 -0.29%</t>
        </is>
      </c>
      <c r="T1021" s="134" t="inlineStr">
        <is>
          <t>78 -0.85%</t>
        </is>
      </c>
      <c r="U1021" s="134" t="inlineStr">
        <is>
          <t>91 -1.76%</t>
        </is>
      </c>
    </row>
    <row customHeight="1" ht="17" r="1022" s="155">
      <c r="A1022" s="105" t="n">
        <v>44635</v>
      </c>
      <c r="B1022" s="134" t="n">
        <v>1858.18</v>
      </c>
      <c r="C1022" s="150" t="n">
        <v>-36.723</v>
      </c>
      <c r="D1022" s="151" t="n">
        <v>-0.0194</v>
      </c>
      <c r="E1022" s="134" t="n">
        <v>129.409</v>
      </c>
      <c r="F1022" s="134" t="n">
        <v>115.686</v>
      </c>
      <c r="G1022" s="134" t="n">
        <v>87.15000000000001</v>
      </c>
      <c r="H1022" s="134" t="n">
        <v>175.41</v>
      </c>
      <c r="I1022" s="104" t="n">
        <v>0.46</v>
      </c>
      <c r="J1022" s="104" t="n">
        <v>0.339</v>
      </c>
      <c r="K1022" s="104" t="n">
        <v>-0.024</v>
      </c>
      <c r="L1022" s="134" t="n">
        <v>873.77</v>
      </c>
      <c r="M1022" s="134" t="n">
        <v>6681.47</v>
      </c>
      <c r="N1022" s="104" t="n">
        <v>0.1308</v>
      </c>
      <c r="O1022" s="134" t="n">
        <v>382</v>
      </c>
      <c r="P1022" s="134" t="n">
        <v>0</v>
      </c>
      <c r="Q1022" s="134" t="inlineStr">
        <is>
          <t>4 -0.70%</t>
        </is>
      </c>
      <c r="R1022" s="134" t="inlineStr">
        <is>
          <t>71 -1.45%</t>
        </is>
      </c>
      <c r="S1022" s="134" t="inlineStr">
        <is>
          <t>157 -1.91%</t>
        </is>
      </c>
      <c r="T1022" s="134" t="inlineStr">
        <is>
          <t>67 -2.21%</t>
        </is>
      </c>
      <c r="U1022" s="134" t="inlineStr">
        <is>
          <t>83 -2.26%</t>
        </is>
      </c>
    </row>
    <row customHeight="1" ht="17" r="1023" s="155">
      <c r="A1023" s="105" t="n">
        <v>44636</v>
      </c>
      <c r="B1023" s="134" t="n">
        <v>1889.899</v>
      </c>
      <c r="C1023" s="152" t="n">
        <v>31.719</v>
      </c>
      <c r="D1023" s="153" t="n">
        <v>0.0171</v>
      </c>
      <c r="E1023" s="134" t="n">
        <v>131.856</v>
      </c>
      <c r="F1023" s="134" t="n">
        <v>118.02</v>
      </c>
      <c r="G1023" s="134" t="n">
        <v>89.06</v>
      </c>
      <c r="H1023" s="134" t="n">
        <v>175.73</v>
      </c>
      <c r="I1023" s="104" t="n">
        <v>0.4388</v>
      </c>
      <c r="J1023" s="104" t="n">
        <v>0.3293</v>
      </c>
      <c r="K1023" s="104" t="n">
        <v>-0.0288</v>
      </c>
      <c r="L1023" s="134" t="n">
        <v>1035.89</v>
      </c>
      <c r="M1023" s="134" t="n">
        <v>6685.04</v>
      </c>
      <c r="N1023" s="104" t="n">
        <v>0.155</v>
      </c>
      <c r="O1023" s="134" t="n">
        <v>383</v>
      </c>
      <c r="P1023" s="134" t="n">
        <v>0</v>
      </c>
      <c r="Q1023" s="134" t="inlineStr">
        <is>
          <t>1 0.51%</t>
        </is>
      </c>
      <c r="R1023" s="134" t="inlineStr">
        <is>
          <t>61 0.60%</t>
        </is>
      </c>
      <c r="S1023" s="134" t="inlineStr">
        <is>
          <t>157 1.18%</t>
        </is>
      </c>
      <c r="T1023" s="134" t="inlineStr">
        <is>
          <t>70 1.98%</t>
        </is>
      </c>
      <c r="U1023" s="134" t="inlineStr">
        <is>
          <t>94 3.12%</t>
        </is>
      </c>
    </row>
    <row customHeight="1" ht="17" r="1024" s="155">
      <c r="A1024" s="105" t="n">
        <v>44637</v>
      </c>
      <c r="B1024" s="134" t="n">
        <v>1920.289</v>
      </c>
      <c r="C1024" s="152" t="n">
        <v>30.39</v>
      </c>
      <c r="D1024" s="153" t="n">
        <v>0.0161</v>
      </c>
      <c r="E1024" s="134" t="n">
        <v>134.119</v>
      </c>
      <c r="F1024" s="134" t="n">
        <v>119.685</v>
      </c>
      <c r="G1024" s="134" t="n">
        <v>90.16</v>
      </c>
      <c r="H1024" s="134" t="n">
        <v>177.48</v>
      </c>
      <c r="I1024" s="104" t="n">
        <v>0.4336</v>
      </c>
      <c r="J1024" s="104" t="n">
        <v>0.327</v>
      </c>
      <c r="K1024" s="104" t="n">
        <v>-0.0319</v>
      </c>
      <c r="L1024" s="134" t="n">
        <v>1106.27</v>
      </c>
      <c r="M1024" s="134" t="n">
        <v>6682.84</v>
      </c>
      <c r="N1024" s="104" t="n">
        <v>0.1655</v>
      </c>
      <c r="O1024" s="134" t="n">
        <v>383</v>
      </c>
      <c r="P1024" s="134" t="n">
        <v>0</v>
      </c>
      <c r="Q1024" s="134" t="inlineStr">
        <is>
          <t>1 0.22%</t>
        </is>
      </c>
      <c r="R1024" s="134" t="inlineStr">
        <is>
          <t>50 0.63%</t>
        </is>
      </c>
      <c r="S1024" s="134" t="inlineStr">
        <is>
          <t>147 1.14%</t>
        </is>
      </c>
      <c r="T1024" s="134" t="inlineStr">
        <is>
          <t>78 1.94%</t>
        </is>
      </c>
      <c r="U1024" s="134" t="inlineStr">
        <is>
          <t>107 2.49%</t>
        </is>
      </c>
    </row>
    <row customHeight="1" ht="17" r="1025" s="155">
      <c r="A1025" s="105" t="n">
        <v>44638</v>
      </c>
      <c r="B1025" s="134" t="n">
        <v>1936.17</v>
      </c>
      <c r="C1025" s="152" t="n">
        <v>15.881</v>
      </c>
      <c r="D1025" s="153" t="n">
        <v>0.0083</v>
      </c>
      <c r="E1025" s="134" t="n">
        <v>134.949</v>
      </c>
      <c r="F1025" s="134" t="n">
        <v>120.842</v>
      </c>
      <c r="G1025" s="134" t="n">
        <v>91.54000000000001</v>
      </c>
      <c r="H1025" s="134" t="n">
        <v>177.86</v>
      </c>
      <c r="I1025" s="104" t="n">
        <v>0.4291</v>
      </c>
      <c r="J1025" s="104" t="n">
        <v>0.3278</v>
      </c>
      <c r="K1025" s="104" t="n">
        <v>-0.0358</v>
      </c>
      <c r="L1025" s="134" t="n">
        <v>892.0700000000001</v>
      </c>
      <c r="M1025" s="134" t="n">
        <v>6674.59</v>
      </c>
      <c r="N1025" s="104" t="n">
        <v>0.1337</v>
      </c>
      <c r="O1025" s="134" t="n">
        <v>382</v>
      </c>
      <c r="P1025" s="134" t="n">
        <v>0</v>
      </c>
      <c r="Q1025" s="134" t="inlineStr">
        <is>
          <t>1 0.33%</t>
        </is>
      </c>
      <c r="R1025" s="134" t="inlineStr">
        <is>
          <t>38 0.69%</t>
        </is>
      </c>
      <c r="S1025" s="134" t="inlineStr">
        <is>
          <t>143 0.92%</t>
        </is>
      </c>
      <c r="T1025" s="134" t="inlineStr">
        <is>
          <t>89 0.96%</t>
        </is>
      </c>
      <c r="U1025" s="134" t="inlineStr">
        <is>
          <t>111 0.66%</t>
        </is>
      </c>
    </row>
    <row customHeight="1" ht="17" r="1026" s="155">
      <c r="A1026" s="105" t="n">
        <v>44641</v>
      </c>
      <c r="B1026" s="134" t="n">
        <v>1945.909</v>
      </c>
      <c r="C1026" s="152" t="n">
        <v>9.739000000000001</v>
      </c>
      <c r="D1026" s="153" t="n">
        <v>0.005</v>
      </c>
      <c r="E1026" s="134" t="n">
        <v>135.719</v>
      </c>
      <c r="F1026" s="134" t="n">
        <v>120.93</v>
      </c>
      <c r="G1026" s="134" t="n">
        <v>91.97</v>
      </c>
      <c r="H1026" s="134" t="n">
        <v>177.67</v>
      </c>
      <c r="I1026" s="104" t="n">
        <v>0.4195</v>
      </c>
      <c r="J1026" s="104" t="n">
        <v>0.3153</v>
      </c>
      <c r="K1026" s="104" t="n">
        <v>-0.0375</v>
      </c>
      <c r="L1026" s="134" t="n">
        <v>914.7</v>
      </c>
      <c r="M1026" s="134" t="n">
        <v>6789.54</v>
      </c>
      <c r="N1026" s="104" t="n">
        <v>0.1347</v>
      </c>
      <c r="O1026" s="134" t="n">
        <v>383</v>
      </c>
      <c r="P1026" s="134" t="n">
        <v>0</v>
      </c>
      <c r="Q1026" s="134" t="inlineStr">
        <is>
          <t>1 0.10%</t>
        </is>
      </c>
      <c r="R1026" s="134" t="inlineStr">
        <is>
          <t>37 0.07%</t>
        </is>
      </c>
      <c r="S1026" s="134" t="inlineStr">
        <is>
          <t>145 0.20%</t>
        </is>
      </c>
      <c r="T1026" s="134" t="inlineStr">
        <is>
          <t>81 0.12%</t>
        </is>
      </c>
      <c r="U1026" s="134" t="inlineStr">
        <is>
          <t>119 1.28%</t>
        </is>
      </c>
    </row>
    <row customHeight="1" ht="17" r="1027" s="155">
      <c r="A1027" s="105" t="n">
        <v>44642</v>
      </c>
      <c r="B1027" s="134" t="n">
        <v>1939.254</v>
      </c>
      <c r="C1027" s="150" t="n">
        <v>-6.655</v>
      </c>
      <c r="D1027" s="151" t="n">
        <v>-0.0034</v>
      </c>
      <c r="E1027" s="134" t="n">
        <v>135.089</v>
      </c>
      <c r="F1027" s="134" t="n">
        <v>120.814</v>
      </c>
      <c r="G1027" s="134" t="n">
        <v>92.03</v>
      </c>
      <c r="H1027" s="134" t="n">
        <v>177.24</v>
      </c>
      <c r="I1027" s="104" t="n">
        <v>0.4215</v>
      </c>
      <c r="J1027" s="104" t="n">
        <v>0.3138</v>
      </c>
      <c r="K1027" s="104" t="n">
        <v>-0.0365</v>
      </c>
      <c r="L1027" s="134" t="n">
        <v>793.8</v>
      </c>
      <c r="M1027" s="134" t="n">
        <v>6785.68</v>
      </c>
      <c r="N1027" s="104" t="n">
        <v>0.117</v>
      </c>
      <c r="O1027" s="134" t="n">
        <v>382</v>
      </c>
      <c r="P1027" s="134" t="n">
        <v>0</v>
      </c>
      <c r="Q1027" s="134" t="inlineStr">
        <is>
          <t>1 -0.18%</t>
        </is>
      </c>
      <c r="R1027" s="134" t="inlineStr">
        <is>
          <t>35 0.01%</t>
        </is>
      </c>
      <c r="S1027" s="134" t="inlineStr">
        <is>
          <t>145 -0.08%</t>
        </is>
      </c>
      <c r="T1027" s="134" t="inlineStr">
        <is>
          <t>91 -0.23%</t>
        </is>
      </c>
      <c r="U1027" s="134" t="inlineStr">
        <is>
          <t>110 -0.90%</t>
        </is>
      </c>
    </row>
    <row customHeight="1" ht="17" r="1028" s="155">
      <c r="A1028" s="105" t="n">
        <v>44643</v>
      </c>
      <c r="B1028" s="134" t="n">
        <v>1935.259</v>
      </c>
      <c r="C1028" s="150" t="n">
        <v>-3.995</v>
      </c>
      <c r="D1028" s="151" t="n">
        <v>-0.0021</v>
      </c>
      <c r="E1028" s="134" t="n">
        <v>134.773</v>
      </c>
      <c r="F1028" s="134" t="n">
        <v>121</v>
      </c>
      <c r="G1028" s="134" t="n">
        <v>92.19</v>
      </c>
      <c r="H1028" s="134" t="n">
        <v>176.34</v>
      </c>
      <c r="I1028" s="104" t="n">
        <v>0.4157</v>
      </c>
      <c r="J1028" s="104" t="n">
        <v>0.307</v>
      </c>
      <c r="K1028" s="104" t="n">
        <v>-0.0361</v>
      </c>
      <c r="L1028" s="134" t="n">
        <v>812.9</v>
      </c>
      <c r="M1028" s="134" t="n">
        <v>6784.1</v>
      </c>
      <c r="N1028" s="104" t="n">
        <v>0.1198</v>
      </c>
      <c r="O1028" s="134" t="n">
        <v>383</v>
      </c>
      <c r="P1028" s="134" t="n">
        <v>0</v>
      </c>
      <c r="Q1028" s="134" t="inlineStr">
        <is>
          <t>1 0.13%</t>
        </is>
      </c>
      <c r="R1028" s="134" t="inlineStr">
        <is>
          <t>39 -0.16%</t>
        </is>
      </c>
      <c r="S1028" s="134" t="inlineStr">
        <is>
          <t>145 -0.33%</t>
        </is>
      </c>
      <c r="T1028" s="134" t="inlineStr">
        <is>
          <t>88 -0.03%</t>
        </is>
      </c>
      <c r="U1028" s="134" t="inlineStr">
        <is>
          <t>110 -0.21%</t>
        </is>
      </c>
    </row>
    <row customHeight="1" ht="17" r="1029" s="155">
      <c r="A1029" s="105" t="n">
        <v>44644</v>
      </c>
      <c r="B1029" s="134" t="n">
        <v>1909.191</v>
      </c>
      <c r="C1029" s="150" t="n">
        <v>-26.068</v>
      </c>
      <c r="D1029" s="151" t="n">
        <v>-0.0135</v>
      </c>
      <c r="E1029" s="134" t="n">
        <v>132.724</v>
      </c>
      <c r="F1029" s="134" t="n">
        <v>119</v>
      </c>
      <c r="G1029" s="134" t="n">
        <v>91.48</v>
      </c>
      <c r="H1029" s="134" t="n">
        <v>174.23</v>
      </c>
      <c r="I1029" s="104" t="n">
        <v>0.4151</v>
      </c>
      <c r="J1029" s="104" t="n">
        <v>0.3097</v>
      </c>
      <c r="K1029" s="104" t="n">
        <v>-0.0322</v>
      </c>
      <c r="L1029" s="134" t="n">
        <v>768.77</v>
      </c>
      <c r="M1029" s="134" t="n">
        <v>6881.75</v>
      </c>
      <c r="N1029" s="104" t="n">
        <v>0.1117</v>
      </c>
      <c r="O1029" s="134" t="n">
        <v>385</v>
      </c>
      <c r="P1029" s="134" t="n">
        <v>0</v>
      </c>
      <c r="Q1029" s="134" t="inlineStr">
        <is>
          <t>1 -0.21%</t>
        </is>
      </c>
      <c r="R1029" s="134" t="inlineStr">
        <is>
          <t>54 -0.87%</t>
        </is>
      </c>
      <c r="S1029" s="134" t="inlineStr">
        <is>
          <t>148 -1.17%</t>
        </is>
      </c>
      <c r="T1029" s="134" t="inlineStr">
        <is>
          <t>84 -1.53%</t>
        </is>
      </c>
      <c r="U1029" s="134" t="inlineStr">
        <is>
          <t>98 -1.74%</t>
        </is>
      </c>
    </row>
    <row customHeight="1" ht="17" r="1030" s="155">
      <c r="A1030" s="105" t="n">
        <v>44645</v>
      </c>
      <c r="B1030" s="134" t="n">
        <v>1889.45</v>
      </c>
      <c r="C1030" s="150" t="n">
        <v>-19.741</v>
      </c>
      <c r="D1030" s="151" t="n">
        <v>-0.0103</v>
      </c>
      <c r="E1030" s="134" t="n">
        <v>131.206</v>
      </c>
      <c r="F1030" s="134" t="n">
        <v>118.035</v>
      </c>
      <c r="G1030" s="134" t="n">
        <v>90.83</v>
      </c>
      <c r="H1030" s="134" t="n">
        <v>171.98</v>
      </c>
      <c r="I1030" s="104" t="n">
        <v>0.4077</v>
      </c>
      <c r="J1030" s="104" t="n">
        <v>0.2989</v>
      </c>
      <c r="K1030" s="104" t="n">
        <v>-0.0296</v>
      </c>
      <c r="L1030" s="134" t="n">
        <v>829.65</v>
      </c>
      <c r="M1030" s="134" t="n">
        <v>6886.13</v>
      </c>
      <c r="N1030" s="104" t="n">
        <v>0.1205</v>
      </c>
      <c r="O1030" s="134" t="n">
        <v>386</v>
      </c>
      <c r="P1030" s="134" t="n">
        <v>0</v>
      </c>
      <c r="Q1030" s="134" t="inlineStr">
        <is>
          <t>1 -1.02%</t>
        </is>
      </c>
      <c r="R1030" s="134" t="inlineStr">
        <is>
          <t>62 -0.70%</t>
        </is>
      </c>
      <c r="S1030" s="134" t="inlineStr">
        <is>
          <t>154 -0.80%</t>
        </is>
      </c>
      <c r="T1030" s="134" t="inlineStr">
        <is>
          <t>81 -1.38%</t>
        </is>
      </c>
      <c r="U1030" s="134" t="inlineStr">
        <is>
          <t>88 -1.35%</t>
        </is>
      </c>
    </row>
    <row customHeight="1" ht="17" r="1031" s="155">
      <c r="A1031" s="105" t="n">
        <v>44648</v>
      </c>
      <c r="B1031" s="134" t="n">
        <v>1876.375</v>
      </c>
      <c r="C1031" s="150" t="n">
        <v>-13.075</v>
      </c>
      <c r="D1031" s="151" t="n">
        <v>-0.0069</v>
      </c>
      <c r="E1031" s="134" t="n">
        <v>130.188</v>
      </c>
      <c r="F1031" s="134" t="n">
        <v>117.706</v>
      </c>
      <c r="G1031" s="134" t="n">
        <v>90.55</v>
      </c>
      <c r="H1031" s="134" t="n">
        <v>170.51</v>
      </c>
      <c r="I1031" s="104" t="n">
        <v>0.4032</v>
      </c>
      <c r="J1031" s="104" t="n">
        <v>0.2856</v>
      </c>
      <c r="K1031" s="104" t="n">
        <v>-0.0276</v>
      </c>
      <c r="L1031" s="134" t="n">
        <v>656.8200000000001</v>
      </c>
      <c r="M1031" s="134" t="n">
        <v>6882.98</v>
      </c>
      <c r="N1031" s="104" t="n">
        <v>0.0954</v>
      </c>
      <c r="O1031" s="134" t="n">
        <v>386</v>
      </c>
      <c r="P1031" s="134" t="n">
        <v>0</v>
      </c>
      <c r="Q1031" s="134" t="inlineStr">
        <is>
          <t>3 -0.70%</t>
        </is>
      </c>
      <c r="R1031" s="134" t="inlineStr">
        <is>
          <t>75 -0.75%</t>
        </is>
      </c>
      <c r="S1031" s="134" t="inlineStr">
        <is>
          <t>150 -0.79%</t>
        </is>
      </c>
      <c r="T1031" s="134" t="inlineStr">
        <is>
          <t>76 -0.67%</t>
        </is>
      </c>
      <c r="U1031" s="134" t="inlineStr">
        <is>
          <t>82 -0.50%</t>
        </is>
      </c>
    </row>
    <row customHeight="1" ht="17" r="1032" s="155">
      <c r="A1032" s="105" t="n">
        <v>44649</v>
      </c>
      <c r="B1032" s="134" t="n">
        <v>1870.765</v>
      </c>
      <c r="C1032" s="150" t="n">
        <v>-5.61</v>
      </c>
      <c r="D1032" s="151" t="n">
        <v>-0.003</v>
      </c>
      <c r="E1032" s="134" t="n">
        <v>129.887</v>
      </c>
      <c r="F1032" s="134" t="n">
        <v>116.779</v>
      </c>
      <c r="G1032" s="134" t="n">
        <v>89.63</v>
      </c>
      <c r="H1032" s="134" t="n">
        <v>170.99</v>
      </c>
      <c r="I1032" s="104" t="n">
        <v>0.4111</v>
      </c>
      <c r="J1032" s="104" t="n">
        <v>0.2924</v>
      </c>
      <c r="K1032" s="104" t="n">
        <v>-0.0265</v>
      </c>
      <c r="L1032" s="134" t="n">
        <v>762.03</v>
      </c>
      <c r="M1032" s="134" t="n">
        <v>6880.3</v>
      </c>
      <c r="N1032" s="104" t="n">
        <v>0.1108</v>
      </c>
      <c r="O1032" s="134" t="n">
        <v>386</v>
      </c>
      <c r="P1032" s="134" t="n">
        <v>0</v>
      </c>
      <c r="Q1032" s="134" t="inlineStr">
        <is>
          <t>4 -0.66%</t>
        </is>
      </c>
      <c r="R1032" s="134" t="inlineStr">
        <is>
          <t>79 -0.53%</t>
        </is>
      </c>
      <c r="S1032" s="134" t="inlineStr">
        <is>
          <t>152 -0.49%</t>
        </is>
      </c>
      <c r="T1032" s="134" t="inlineStr">
        <is>
          <t>72 -0.06%</t>
        </is>
      </c>
      <c r="U1032" s="134" t="inlineStr">
        <is>
          <t>79 0.11%</t>
        </is>
      </c>
    </row>
    <row customHeight="1" ht="17" r="1033" s="155">
      <c r="A1033" s="105" t="n">
        <v>44650</v>
      </c>
      <c r="B1033" s="134" t="n">
        <v>1898.153</v>
      </c>
      <c r="C1033" s="152" t="n">
        <v>27.388</v>
      </c>
      <c r="D1033" s="153" t="n">
        <v>0.0146</v>
      </c>
      <c r="E1033" s="134" t="n">
        <v>131.97</v>
      </c>
      <c r="F1033" s="134" t="n">
        <v>118.07</v>
      </c>
      <c r="G1033" s="134" t="n">
        <v>91.22</v>
      </c>
      <c r="H1033" s="134" t="n">
        <v>172.38</v>
      </c>
      <c r="I1033" s="104" t="n">
        <v>0.4041</v>
      </c>
      <c r="J1033" s="104" t="n">
        <v>0.2879</v>
      </c>
      <c r="K1033" s="104" t="n">
        <v>-0.0304</v>
      </c>
      <c r="L1033" s="134" t="n">
        <v>736.04</v>
      </c>
      <c r="M1033" s="134" t="n">
        <v>6877.04</v>
      </c>
      <c r="N1033" s="104" t="n">
        <v>0.107</v>
      </c>
      <c r="O1033" s="134" t="n">
        <v>386</v>
      </c>
      <c r="P1033" s="134" t="n">
        <v>0</v>
      </c>
      <c r="Q1033" s="134" t="inlineStr">
        <is>
          <t>3 0.29%</t>
        </is>
      </c>
      <c r="R1033" s="134" t="inlineStr">
        <is>
          <t>69 0.56%</t>
        </is>
      </c>
      <c r="S1033" s="134" t="inlineStr">
        <is>
          <t>142 1.09%</t>
        </is>
      </c>
      <c r="T1033" s="134" t="inlineStr">
        <is>
          <t>79 1.78%</t>
        </is>
      </c>
      <c r="U1033" s="134" t="inlineStr">
        <is>
          <t>93 2.47%</t>
        </is>
      </c>
    </row>
    <row customHeight="1" ht="17" r="1034" s="155">
      <c r="A1034" s="105" t="n">
        <v>44651</v>
      </c>
      <c r="B1034" s="134" t="n">
        <v>1895.742</v>
      </c>
      <c r="C1034" s="150" t="n">
        <v>-2.411</v>
      </c>
      <c r="D1034" s="151" t="n">
        <v>-0.0013</v>
      </c>
      <c r="E1034" s="134" t="n">
        <v>131.655</v>
      </c>
      <c r="F1034" s="134" t="n">
        <v>118.53</v>
      </c>
      <c r="G1034" s="134" t="n">
        <v>91.44</v>
      </c>
      <c r="H1034" s="134" t="n">
        <v>172.41</v>
      </c>
      <c r="I1034" s="104" t="n">
        <v>0.4075</v>
      </c>
      <c r="J1034" s="104" t="n">
        <v>0.2905</v>
      </c>
      <c r="K1034" s="104" t="n">
        <v>-0.0302</v>
      </c>
      <c r="L1034" s="134" t="n">
        <v>796.35</v>
      </c>
      <c r="M1034" s="134" t="n">
        <v>6839.47</v>
      </c>
      <c r="N1034" s="104" t="n">
        <v>0.1164</v>
      </c>
      <c r="O1034" s="134" t="n">
        <v>386</v>
      </c>
      <c r="P1034" s="134" t="n">
        <v>0</v>
      </c>
      <c r="Q1034" s="134" t="inlineStr">
        <is>
          <t>4 -0.15%</t>
        </is>
      </c>
      <c r="R1034" s="134" t="inlineStr">
        <is>
          <t>65 0.23%</t>
        </is>
      </c>
      <c r="S1034" s="134" t="inlineStr">
        <is>
          <t>144 -0.05%</t>
        </is>
      </c>
      <c r="T1034" s="134" t="inlineStr">
        <is>
          <t>83 -0.45%</t>
        </is>
      </c>
      <c r="U1034" s="134" t="inlineStr">
        <is>
          <t>90 -0.21%</t>
        </is>
      </c>
    </row>
    <row customHeight="1" ht="17" r="1035" s="155">
      <c r="A1035" s="105" t="n">
        <v>44652</v>
      </c>
      <c r="B1035" s="134" t="n">
        <v>1909.505</v>
      </c>
      <c r="C1035" s="152" t="n">
        <v>13.763</v>
      </c>
      <c r="D1035" s="153" t="n">
        <v>0.0073</v>
      </c>
      <c r="E1035" s="134" t="n">
        <v>132.645</v>
      </c>
      <c r="F1035" s="134" t="n">
        <v>119.7</v>
      </c>
      <c r="G1035" s="134" t="n">
        <v>92.12</v>
      </c>
      <c r="H1035" s="134" t="n">
        <v>174.55</v>
      </c>
      <c r="I1035" s="104" t="n">
        <v>0.419</v>
      </c>
      <c r="J1035" s="104" t="n">
        <v>0.3047</v>
      </c>
      <c r="K1035" s="104" t="n">
        <v>-0.0324</v>
      </c>
      <c r="L1035" s="134" t="n">
        <v>784.9</v>
      </c>
      <c r="M1035" s="134" t="n">
        <v>6842.49</v>
      </c>
      <c r="N1035" s="104" t="n">
        <v>0.1147</v>
      </c>
      <c r="O1035" s="134" t="n">
        <v>387</v>
      </c>
      <c r="P1035" s="134" t="n">
        <v>0</v>
      </c>
      <c r="Q1035" s="134" t="inlineStr">
        <is>
          <t>3 0.45%</t>
        </is>
      </c>
      <c r="R1035" s="134" t="inlineStr">
        <is>
          <t>57 0.58%</t>
        </is>
      </c>
      <c r="S1035" s="134" t="inlineStr">
        <is>
          <t>139 0.62%</t>
        </is>
      </c>
      <c r="T1035" s="134" t="inlineStr">
        <is>
          <t>93 0.85%</t>
        </is>
      </c>
      <c r="U1035" s="134" t="inlineStr">
        <is>
          <t>95 0.86%</t>
        </is>
      </c>
    </row>
    <row customHeight="1" ht="17" r="1036" s="155">
      <c r="A1036" s="105" t="n">
        <v>44657</v>
      </c>
      <c r="B1036" s="134" t="n">
        <v>1914.909</v>
      </c>
      <c r="C1036" s="152" t="n">
        <v>5.404</v>
      </c>
      <c r="D1036" s="153" t="n">
        <v>0.0028</v>
      </c>
      <c r="E1036" s="134" t="n">
        <v>132.774</v>
      </c>
      <c r="F1036" s="134" t="n">
        <v>119.975</v>
      </c>
      <c r="G1036" s="134" t="n">
        <v>92.06</v>
      </c>
      <c r="H1036" s="134" t="n">
        <v>174.41</v>
      </c>
      <c r="I1036" s="104" t="n">
        <v>0.4163</v>
      </c>
      <c r="J1036" s="104" t="n">
        <v>0.3023</v>
      </c>
      <c r="K1036" s="104" t="n">
        <v>-0.0337</v>
      </c>
      <c r="L1036" s="134" t="n">
        <v>664.13</v>
      </c>
      <c r="M1036" s="134" t="n">
        <v>6835.2</v>
      </c>
      <c r="N1036" s="104" t="n">
        <v>0.09719999999999999</v>
      </c>
      <c r="O1036" s="134" t="n">
        <v>386</v>
      </c>
      <c r="P1036" s="134" t="n">
        <v>0</v>
      </c>
      <c r="Q1036" s="134" t="inlineStr">
        <is>
          <t>2 0.44%</t>
        </is>
      </c>
      <c r="R1036" s="134" t="inlineStr">
        <is>
          <t>50 0.58%</t>
        </is>
      </c>
      <c r="S1036" s="134" t="inlineStr">
        <is>
          <t>141 0.50%</t>
        </is>
      </c>
      <c r="T1036" s="134" t="inlineStr">
        <is>
          <t>97 0.54%</t>
        </is>
      </c>
      <c r="U1036" s="134" t="inlineStr">
        <is>
          <t>96 -0.45%</t>
        </is>
      </c>
    </row>
    <row customHeight="1" ht="17" r="1037" s="155">
      <c r="A1037" s="105" t="n">
        <v>44658</v>
      </c>
      <c r="B1037" s="134" t="n">
        <v>1898.747</v>
      </c>
      <c r="C1037" s="150" t="n">
        <v>-16.162</v>
      </c>
      <c r="D1037" s="151" t="n">
        <v>-0.008399999999999999</v>
      </c>
      <c r="E1037" s="134" t="n">
        <v>131.494</v>
      </c>
      <c r="F1037" s="134" t="n">
        <v>119.289</v>
      </c>
      <c r="G1037" s="134" t="n">
        <v>90.64</v>
      </c>
      <c r="H1037" s="134" t="n">
        <v>175.32</v>
      </c>
      <c r="I1037" s="104" t="n">
        <v>0.4382</v>
      </c>
      <c r="J1037" s="104" t="n">
        <v>0.3184</v>
      </c>
      <c r="K1037" s="104" t="n">
        <v>-0.0305</v>
      </c>
      <c r="L1037" s="134" t="n">
        <v>744.09</v>
      </c>
      <c r="M1037" s="134" t="n">
        <v>6930.31</v>
      </c>
      <c r="N1037" s="104" t="n">
        <v>0.1074</v>
      </c>
      <c r="O1037" s="134" t="n">
        <v>388</v>
      </c>
      <c r="P1037" s="134" t="n">
        <v>0</v>
      </c>
      <c r="Q1037" s="134" t="inlineStr">
        <is>
          <t>2 -0.78%</t>
        </is>
      </c>
      <c r="R1037" s="134" t="inlineStr">
        <is>
          <t>58 -0.67%</t>
        </is>
      </c>
      <c r="S1037" s="134" t="inlineStr">
        <is>
          <t>145 -0.71%</t>
        </is>
      </c>
      <c r="T1037" s="134" t="inlineStr">
        <is>
          <t>93 -1.07%</t>
        </is>
      </c>
      <c r="U1037" s="134" t="inlineStr">
        <is>
          <t>90 -0.94%</t>
        </is>
      </c>
    </row>
    <row customHeight="1" ht="17" r="1038" s="155">
      <c r="A1038" s="105" t="n">
        <v>44659</v>
      </c>
      <c r="B1038" s="134" t="n">
        <v>1893.81</v>
      </c>
      <c r="C1038" s="150" t="n">
        <v>-4.937</v>
      </c>
      <c r="D1038" s="151" t="n">
        <v>-0.0026</v>
      </c>
      <c r="E1038" s="134" t="n">
        <v>130.927</v>
      </c>
      <c r="F1038" s="134" t="n">
        <v>119.145</v>
      </c>
      <c r="G1038" s="134" t="n">
        <v>89.86</v>
      </c>
      <c r="H1038" s="134" t="n">
        <v>175.47</v>
      </c>
      <c r="I1038" s="104" t="n">
        <v>0.4454</v>
      </c>
      <c r="J1038" s="104" t="n">
        <v>0.3148</v>
      </c>
      <c r="K1038" s="104" t="n">
        <v>-0.0297</v>
      </c>
      <c r="L1038" s="134" t="n">
        <v>749.55</v>
      </c>
      <c r="M1038" s="134" t="n">
        <v>6928.55</v>
      </c>
      <c r="N1038" s="104" t="n">
        <v>0.1082</v>
      </c>
      <c r="O1038" s="134" t="n">
        <v>388</v>
      </c>
      <c r="P1038" s="134" t="n">
        <v>0</v>
      </c>
      <c r="Q1038" s="134" t="inlineStr">
        <is>
          <t>2 0.18%</t>
        </is>
      </c>
      <c r="R1038" s="134" t="inlineStr">
        <is>
          <t>55 -0.02%</t>
        </is>
      </c>
      <c r="S1038" s="134" t="inlineStr">
        <is>
          <t>156 -0.22%</t>
        </is>
      </c>
      <c r="T1038" s="134" t="inlineStr">
        <is>
          <t>84 -0.21%</t>
        </is>
      </c>
      <c r="U1038" s="134" t="inlineStr">
        <is>
          <t>91 -0.53%</t>
        </is>
      </c>
    </row>
    <row customHeight="1" ht="17" r="1039" s="155">
      <c r="A1039" s="105" t="n">
        <v>44662</v>
      </c>
      <c r="B1039" s="134" t="n">
        <v>1865.232</v>
      </c>
      <c r="C1039" s="150" t="n">
        <v>-28.578</v>
      </c>
      <c r="D1039" s="151" t="n">
        <v>-0.0151</v>
      </c>
      <c r="E1039" s="134" t="n">
        <v>128.682</v>
      </c>
      <c r="F1039" s="134" t="n">
        <v>117.469</v>
      </c>
      <c r="G1039" s="134" t="n">
        <v>87.8</v>
      </c>
      <c r="H1039" s="134" t="n">
        <v>175.28</v>
      </c>
      <c r="I1039" s="104" t="n">
        <v>0.466</v>
      </c>
      <c r="J1039" s="104" t="n">
        <v>0.3374</v>
      </c>
      <c r="K1039" s="104" t="n">
        <v>-0.0254</v>
      </c>
      <c r="L1039" s="134" t="n">
        <v>687.78</v>
      </c>
      <c r="M1039" s="134" t="n">
        <v>6906.56</v>
      </c>
      <c r="N1039" s="104" t="n">
        <v>0.09959999999999999</v>
      </c>
      <c r="O1039" s="134" t="n">
        <v>389</v>
      </c>
      <c r="P1039" s="134" t="n">
        <v>0</v>
      </c>
      <c r="Q1039" s="134" t="inlineStr">
        <is>
          <t>4 -0.35%</t>
        </is>
      </c>
      <c r="R1039" s="134" t="inlineStr">
        <is>
          <t>63 -0.57%</t>
        </is>
      </c>
      <c r="S1039" s="134" t="inlineStr">
        <is>
          <t>167 -1.21%</t>
        </is>
      </c>
      <c r="T1039" s="134" t="inlineStr">
        <is>
          <t>78 -1.60%</t>
        </is>
      </c>
      <c r="U1039" s="134" t="inlineStr">
        <is>
          <t>77 -2.89%</t>
        </is>
      </c>
    </row>
    <row customHeight="1" ht="17" r="1040" s="155">
      <c r="A1040" s="105" t="n">
        <v>44663</v>
      </c>
      <c r="B1040" s="134" t="n">
        <v>1869.615</v>
      </c>
      <c r="C1040" s="152" t="n">
        <v>4.383</v>
      </c>
      <c r="D1040" s="153" t="n">
        <v>0.0024</v>
      </c>
      <c r="E1040" s="134" t="n">
        <v>128.857</v>
      </c>
      <c r="F1040" s="134" t="n">
        <v>117.085</v>
      </c>
      <c r="G1040" s="134" t="n">
        <v>88.83</v>
      </c>
      <c r="H1040" s="134" t="n">
        <v>173.58</v>
      </c>
      <c r="I1040" s="104" t="n">
        <v>0.4472</v>
      </c>
      <c r="J1040" s="104" t="n">
        <v>0.322</v>
      </c>
      <c r="K1040" s="104" t="n">
        <v>-0.0261</v>
      </c>
      <c r="L1040" s="134" t="n">
        <v>722.25</v>
      </c>
      <c r="M1040" s="134" t="n">
        <v>6944.29</v>
      </c>
      <c r="N1040" s="104" t="n">
        <v>0.104</v>
      </c>
      <c r="O1040" s="134" t="n">
        <v>390</v>
      </c>
      <c r="P1040" s="134" t="n">
        <v>0</v>
      </c>
      <c r="Q1040" s="134" t="inlineStr">
        <is>
          <t>3 0.15%</t>
        </is>
      </c>
      <c r="R1040" s="134" t="inlineStr">
        <is>
          <t>65 -0.05%</t>
        </is>
      </c>
      <c r="S1040" s="134" t="inlineStr">
        <is>
          <t>166 0.07%</t>
        </is>
      </c>
      <c r="T1040" s="134" t="inlineStr">
        <is>
          <t>81 0.25%</t>
        </is>
      </c>
      <c r="U1040" s="134" t="inlineStr">
        <is>
          <t>75 0.83%</t>
        </is>
      </c>
    </row>
    <row customHeight="1" ht="17" r="1041" s="155">
      <c r="A1041" s="105" t="n">
        <v>44664</v>
      </c>
      <c r="B1041" s="134" t="n">
        <v>1857.145</v>
      </c>
      <c r="C1041" s="150" t="n">
        <v>-12.47</v>
      </c>
      <c r="D1041" s="151" t="n">
        <v>-0.0067</v>
      </c>
      <c r="E1041" s="134" t="n">
        <v>128.088</v>
      </c>
      <c r="F1041" s="134" t="n">
        <v>116.765</v>
      </c>
      <c r="G1041" s="134" t="n">
        <v>86.62</v>
      </c>
      <c r="H1041" s="134" t="n">
        <v>175.27</v>
      </c>
      <c r="I1041" s="104" t="n">
        <v>0.4718</v>
      </c>
      <c r="J1041" s="104" t="n">
        <v>0.3474</v>
      </c>
      <c r="K1041" s="104" t="n">
        <v>-0.0239</v>
      </c>
      <c r="L1041" s="134" t="n">
        <v>706.46</v>
      </c>
      <c r="M1041" s="134" t="n">
        <v>6940.57</v>
      </c>
      <c r="N1041" s="104" t="n">
        <v>0.1018</v>
      </c>
      <c r="O1041" s="134" t="n">
        <v>390</v>
      </c>
      <c r="P1041" s="134" t="n">
        <v>0</v>
      </c>
      <c r="Q1041" s="134" t="inlineStr">
        <is>
          <t>4 -0.54%</t>
        </is>
      </c>
      <c r="R1041" s="134" t="inlineStr">
        <is>
          <t>72 -0.37%</t>
        </is>
      </c>
      <c r="S1041" s="134" t="inlineStr">
        <is>
          <t>160 -0.50%</t>
        </is>
      </c>
      <c r="T1041" s="134" t="inlineStr">
        <is>
          <t>85 -0.83%</t>
        </is>
      </c>
      <c r="U1041" s="134" t="inlineStr">
        <is>
          <t>69 -1.17%</t>
        </is>
      </c>
    </row>
    <row customHeight="1" ht="17" r="1042" s="155">
      <c r="A1042" s="105" t="n">
        <v>44665</v>
      </c>
      <c r="B1042" s="134" t="n">
        <v>1868.288</v>
      </c>
      <c r="C1042" s="152" t="n">
        <v>11.143</v>
      </c>
      <c r="D1042" s="153" t="n">
        <v>0.006</v>
      </c>
      <c r="E1042" s="134" t="n">
        <v>128.777</v>
      </c>
      <c r="F1042" s="134" t="n">
        <v>117.408</v>
      </c>
      <c r="G1042" s="134" t="n">
        <v>87.55</v>
      </c>
      <c r="H1042" s="134" t="n">
        <v>175.54</v>
      </c>
      <c r="I1042" s="104" t="n">
        <v>0.4676</v>
      </c>
      <c r="J1042" s="104" t="n">
        <v>0.3565</v>
      </c>
      <c r="K1042" s="104" t="n">
        <v>-0.0252</v>
      </c>
      <c r="L1042" s="134" t="n">
        <v>716.42</v>
      </c>
      <c r="M1042" s="134" t="n">
        <v>6941.88</v>
      </c>
      <c r="N1042" s="104" t="n">
        <v>0.1032</v>
      </c>
      <c r="O1042" s="134" t="n">
        <v>391</v>
      </c>
      <c r="P1042" s="134" t="n">
        <v>0</v>
      </c>
      <c r="Q1042" s="134" t="inlineStr">
        <is>
          <t>4 0.23%</t>
        </is>
      </c>
      <c r="R1042" s="134" t="inlineStr">
        <is>
          <t>68 0.16%</t>
        </is>
      </c>
      <c r="S1042" s="134" t="inlineStr">
        <is>
          <t>158 0.50%</t>
        </is>
      </c>
      <c r="T1042" s="134" t="inlineStr">
        <is>
          <t>86 0.59%</t>
        </is>
      </c>
      <c r="U1042" s="134" t="inlineStr">
        <is>
          <t>75 1.25%</t>
        </is>
      </c>
    </row>
    <row customHeight="1" ht="17" r="1043" s="155">
      <c r="A1043" s="105" t="n">
        <v>44666</v>
      </c>
      <c r="B1043" s="134" t="n">
        <v>1864.234</v>
      </c>
      <c r="C1043" s="150" t="n">
        <v>-4.054</v>
      </c>
      <c r="D1043" s="151" t="n">
        <v>-0.0022</v>
      </c>
      <c r="E1043" s="134" t="n">
        <v>128.444</v>
      </c>
      <c r="F1043" s="134" t="n">
        <v>116.535</v>
      </c>
      <c r="G1043" s="134" t="n">
        <v>85.81999999999999</v>
      </c>
      <c r="H1043" s="134" t="n">
        <v>176.9</v>
      </c>
      <c r="I1043" s="104" t="n">
        <v>0.4845</v>
      </c>
      <c r="J1043" s="104" t="n">
        <v>0.3633</v>
      </c>
      <c r="K1043" s="104" t="n">
        <v>-0.0243</v>
      </c>
      <c r="L1043" s="134" t="n">
        <v>934.88</v>
      </c>
      <c r="M1043" s="134" t="n">
        <v>7071.03</v>
      </c>
      <c r="N1043" s="104" t="n">
        <v>0.1322</v>
      </c>
      <c r="O1043" s="134" t="n">
        <v>392</v>
      </c>
      <c r="P1043" s="134" t="n">
        <v>0</v>
      </c>
      <c r="Q1043" s="134" t="inlineStr">
        <is>
          <t>5 -0.14%</t>
        </is>
      </c>
      <c r="R1043" s="134" t="inlineStr">
        <is>
          <t>69 -0.19%</t>
        </is>
      </c>
      <c r="S1043" s="134" t="inlineStr">
        <is>
          <t>165 -0.46%</t>
        </is>
      </c>
      <c r="T1043" s="134" t="inlineStr">
        <is>
          <t>82 -0.24%</t>
        </is>
      </c>
      <c r="U1043" s="134" t="inlineStr">
        <is>
          <t>71 0.33%</t>
        </is>
      </c>
    </row>
    <row customHeight="1" ht="17" r="1044" s="155">
      <c r="A1044" s="105" t="n">
        <v>44669</v>
      </c>
      <c r="B1044" s="134" t="n">
        <v>1880.248</v>
      </c>
      <c r="C1044" s="152" t="n">
        <v>16.014</v>
      </c>
      <c r="D1044" s="153" t="n">
        <v>0.0086</v>
      </c>
      <c r="E1044" s="134" t="n">
        <v>129.796</v>
      </c>
      <c r="F1044" s="134" t="n">
        <v>116.962</v>
      </c>
      <c r="G1044" s="134" t="n">
        <v>86.42</v>
      </c>
      <c r="H1044" s="134" t="n">
        <v>178.05</v>
      </c>
      <c r="I1044" s="104" t="n">
        <v>0.4826</v>
      </c>
      <c r="J1044" s="104" t="n">
        <v>0.3618</v>
      </c>
      <c r="K1044" s="104" t="n">
        <v>-0.0261</v>
      </c>
      <c r="L1044" s="134" t="n">
        <v>915.05</v>
      </c>
      <c r="M1044" s="134" t="n">
        <v>7120.75</v>
      </c>
      <c r="N1044" s="104" t="n">
        <v>0.1285</v>
      </c>
      <c r="O1044" s="134" t="n">
        <v>393</v>
      </c>
      <c r="P1044" s="134" t="n">
        <v>0</v>
      </c>
      <c r="Q1044" s="134" t="inlineStr">
        <is>
          <t>6 -0.30%</t>
        </is>
      </c>
      <c r="R1044" s="134" t="inlineStr">
        <is>
          <t>68 -0.17%</t>
        </is>
      </c>
      <c r="S1044" s="134" t="inlineStr">
        <is>
          <t>161 0.27%</t>
        </is>
      </c>
      <c r="T1044" s="134" t="inlineStr">
        <is>
          <t>79 0.56%</t>
        </is>
      </c>
      <c r="U1044" s="134" t="inlineStr">
        <is>
          <t>79 3.33%</t>
        </is>
      </c>
    </row>
    <row customHeight="1" ht="17" r="1045" s="155">
      <c r="A1045" s="105" t="n">
        <v>44670</v>
      </c>
      <c r="B1045" s="134" t="n">
        <v>1897.321</v>
      </c>
      <c r="C1045" s="152" t="n">
        <v>17.073</v>
      </c>
      <c r="D1045" s="153" t="n">
        <v>0.0091</v>
      </c>
      <c r="E1045" s="134" t="n">
        <v>131.212</v>
      </c>
      <c r="F1045" s="134" t="n">
        <v>117.845</v>
      </c>
      <c r="G1045" s="134" t="n">
        <v>86.79000000000001</v>
      </c>
      <c r="H1045" s="134" t="n">
        <v>180.82</v>
      </c>
      <c r="I1045" s="104" t="n">
        <v>0.4961</v>
      </c>
      <c r="J1045" s="104" t="n">
        <v>0.3719</v>
      </c>
      <c r="K1045" s="104" t="n">
        <v>-0.0268</v>
      </c>
      <c r="L1045" s="134" t="n">
        <v>1220.9</v>
      </c>
      <c r="M1045" s="134" t="n">
        <v>7115.87</v>
      </c>
      <c r="N1045" s="104" t="n">
        <v>0.1716</v>
      </c>
      <c r="O1045" s="134" t="n">
        <v>392</v>
      </c>
      <c r="P1045" s="134" t="n">
        <v>0</v>
      </c>
      <c r="Q1045" s="134" t="inlineStr">
        <is>
          <t>5 0.02%</t>
        </is>
      </c>
      <c r="R1045" s="134" t="inlineStr">
        <is>
          <t>68 0.03%</t>
        </is>
      </c>
      <c r="S1045" s="134" t="inlineStr">
        <is>
          <t>147 0.27%</t>
        </is>
      </c>
      <c r="T1045" s="134" t="inlineStr">
        <is>
          <t>84 0.45%</t>
        </is>
      </c>
      <c r="U1045" s="134" t="inlineStr">
        <is>
          <t>88 3.14%</t>
        </is>
      </c>
    </row>
    <row customHeight="1" ht="17" r="1046" s="155">
      <c r="A1046" s="105" t="n">
        <v>44671</v>
      </c>
      <c r="B1046" s="134" t="n">
        <v>1889.618</v>
      </c>
      <c r="C1046" s="150" t="n">
        <v>-7.703</v>
      </c>
      <c r="D1046" s="151" t="n">
        <v>-0.0041</v>
      </c>
      <c r="E1046" s="134" t="n">
        <v>130.77</v>
      </c>
      <c r="F1046" s="134" t="n">
        <v>117.51</v>
      </c>
      <c r="G1046" s="134" t="n">
        <v>86.3</v>
      </c>
      <c r="H1046" s="134" t="n">
        <v>181.76</v>
      </c>
      <c r="I1046" s="104" t="n">
        <v>0.5099</v>
      </c>
      <c r="J1046" s="104" t="n">
        <v>0.3905</v>
      </c>
      <c r="K1046" s="104" t="n">
        <v>-0.0264</v>
      </c>
      <c r="L1046" s="134" t="n">
        <v>1372.61</v>
      </c>
      <c r="M1046" s="134" t="n">
        <v>7117.69</v>
      </c>
      <c r="N1046" s="104" t="n">
        <v>0.1928</v>
      </c>
      <c r="O1046" s="134" t="n">
        <v>393</v>
      </c>
      <c r="P1046" s="134" t="n">
        <v>0</v>
      </c>
      <c r="Q1046" s="134" t="inlineStr">
        <is>
          <t>5 0.18%</t>
        </is>
      </c>
      <c r="R1046" s="134" t="inlineStr">
        <is>
          <t>63 -0.02%</t>
        </is>
      </c>
      <c r="S1046" s="134" t="inlineStr">
        <is>
          <t>159 -0.13%</t>
        </is>
      </c>
      <c r="T1046" s="134" t="inlineStr">
        <is>
          <t>86 -0.84%</t>
        </is>
      </c>
      <c r="U1046" s="134" t="inlineStr">
        <is>
          <t>80 -0.82%</t>
        </is>
      </c>
    </row>
    <row customHeight="1" ht="17" r="1047" s="155">
      <c r="A1047" s="105" t="n">
        <v>44672</v>
      </c>
      <c r="B1047" s="134" t="n">
        <v>1862.899</v>
      </c>
      <c r="C1047" s="150" t="n">
        <v>-26.719</v>
      </c>
      <c r="D1047" s="151" t="n">
        <v>-0.0141</v>
      </c>
      <c r="E1047" s="134" t="n">
        <v>128.636</v>
      </c>
      <c r="F1047" s="134" t="n">
        <v>115.86</v>
      </c>
      <c r="G1047" s="134" t="n">
        <v>83.29000000000001</v>
      </c>
      <c r="H1047" s="134" t="n">
        <v>183.36</v>
      </c>
      <c r="I1047" s="104" t="n">
        <v>0.5472</v>
      </c>
      <c r="J1047" s="104" t="n">
        <v>0.4194</v>
      </c>
      <c r="K1047" s="104" t="n">
        <v>-0.0232</v>
      </c>
      <c r="L1047" s="134" t="n">
        <v>1268.45</v>
      </c>
      <c r="M1047" s="134" t="n">
        <v>7147.64</v>
      </c>
      <c r="N1047" s="104" t="n">
        <v>0.1775</v>
      </c>
      <c r="O1047" s="134" t="n">
        <v>394</v>
      </c>
      <c r="P1047" s="134" t="n">
        <v>0</v>
      </c>
      <c r="Q1047" s="134" t="inlineStr">
        <is>
          <t>6 -1.58%</t>
        </is>
      </c>
      <c r="R1047" s="134" t="inlineStr">
        <is>
          <t>74 -0.57%</t>
        </is>
      </c>
      <c r="S1047" s="134" t="inlineStr">
        <is>
          <t>170 -1.20%</t>
        </is>
      </c>
      <c r="T1047" s="134" t="inlineStr">
        <is>
          <t>67 -1.65%</t>
        </is>
      </c>
      <c r="U1047" s="134" t="inlineStr">
        <is>
          <t>77 -2.48%</t>
        </is>
      </c>
    </row>
    <row customHeight="1" ht="17" r="1048" s="155">
      <c r="A1048" s="105" t="n">
        <v>44673</v>
      </c>
      <c r="B1048" s="134" t="n">
        <v>1846.263</v>
      </c>
      <c r="C1048" s="150" t="n">
        <v>-16.636</v>
      </c>
      <c r="D1048" s="151" t="n">
        <v>-0.0089</v>
      </c>
      <c r="E1048" s="134" t="n">
        <v>126.796</v>
      </c>
      <c r="F1048" s="134" t="n">
        <v>115.84</v>
      </c>
      <c r="G1048" s="134" t="n">
        <v>82.55</v>
      </c>
      <c r="H1048" s="134" t="n">
        <v>181.44</v>
      </c>
      <c r="I1048" s="104" t="n">
        <v>0.5464</v>
      </c>
      <c r="J1048" s="104" t="n">
        <v>0.4291</v>
      </c>
      <c r="K1048" s="104" t="n">
        <v>-0.021</v>
      </c>
      <c r="L1048" s="134" t="n">
        <v>1064.26</v>
      </c>
      <c r="M1048" s="134" t="n">
        <v>7150.3</v>
      </c>
      <c r="N1048" s="104" t="n">
        <v>0.1488</v>
      </c>
      <c r="O1048" s="134" t="n">
        <v>395</v>
      </c>
      <c r="P1048" s="134" t="n">
        <v>0</v>
      </c>
      <c r="Q1048" s="134" t="inlineStr">
        <is>
          <t>4 0.06%</t>
        </is>
      </c>
      <c r="R1048" s="134" t="inlineStr">
        <is>
          <t>76 -0.04%</t>
        </is>
      </c>
      <c r="S1048" s="134" t="inlineStr">
        <is>
          <t>172 -0.18%</t>
        </is>
      </c>
      <c r="T1048" s="134" t="inlineStr">
        <is>
          <t>73 -0.84%</t>
        </is>
      </c>
      <c r="U1048" s="134" t="inlineStr">
        <is>
          <t>70 -3.70%</t>
        </is>
      </c>
    </row>
    <row customHeight="1" ht="17" r="1049" s="155">
      <c r="A1049" s="105" t="n">
        <v>44676</v>
      </c>
      <c r="B1049" s="134" t="n">
        <v>1790.654</v>
      </c>
      <c r="C1049" s="150" t="n">
        <v>-55.609</v>
      </c>
      <c r="D1049" s="151" t="n">
        <v>-0.0301</v>
      </c>
      <c r="E1049" s="134" t="n">
        <v>122.762</v>
      </c>
      <c r="F1049" s="134" t="n">
        <v>112.512</v>
      </c>
      <c r="G1049" s="134" t="n">
        <v>76.48</v>
      </c>
      <c r="H1049" s="134" t="n">
        <v>185.18</v>
      </c>
      <c r="I1049" s="104" t="n">
        <v>0.6242</v>
      </c>
      <c r="J1049" s="104" t="n">
        <v>0.4983</v>
      </c>
      <c r="K1049" s="104" t="n">
        <v>-0.0121</v>
      </c>
      <c r="L1049" s="134" t="n">
        <v>973.36</v>
      </c>
      <c r="M1049" s="134" t="n">
        <v>7182.3</v>
      </c>
      <c r="N1049" s="104" t="n">
        <v>0.1355</v>
      </c>
      <c r="O1049" s="134" t="n">
        <v>398</v>
      </c>
      <c r="P1049" s="134" t="n">
        <v>0</v>
      </c>
      <c r="Q1049" s="134" t="inlineStr">
        <is>
          <t>7 -1.75%</t>
        </is>
      </c>
      <c r="R1049" s="134" t="inlineStr">
        <is>
          <t>132 -1.97%</t>
        </is>
      </c>
      <c r="S1049" s="134" t="inlineStr">
        <is>
          <t>158 -3.18%</t>
        </is>
      </c>
      <c r="T1049" s="134" t="inlineStr">
        <is>
          <t>43 -3.81%</t>
        </is>
      </c>
      <c r="U1049" s="134" t="inlineStr">
        <is>
          <t>58 -4.50%</t>
        </is>
      </c>
    </row>
    <row customHeight="1" ht="17" r="1050" s="155">
      <c r="A1050" s="105" t="n">
        <v>44677</v>
      </c>
      <c r="B1050" s="134" t="n">
        <v>1779.838</v>
      </c>
      <c r="C1050" s="150" t="n">
        <v>-10.816</v>
      </c>
      <c r="D1050" s="151" t="n">
        <v>-0.006</v>
      </c>
      <c r="E1050" s="134" t="n">
        <v>122.062</v>
      </c>
      <c r="F1050" s="134" t="n">
        <v>111.465</v>
      </c>
      <c r="G1050" s="134" t="n">
        <v>74.55</v>
      </c>
      <c r="H1050" s="134" t="n">
        <v>188.51</v>
      </c>
      <c r="I1050" s="104" t="n">
        <v>0.6645</v>
      </c>
      <c r="J1050" s="104" t="n">
        <v>0.524</v>
      </c>
      <c r="K1050" s="104" t="n">
        <v>-0.0102</v>
      </c>
      <c r="L1050" s="134" t="n">
        <v>1196.64</v>
      </c>
      <c r="M1050" s="134" t="n">
        <v>7168.96</v>
      </c>
      <c r="N1050" s="104" t="n">
        <v>0.1669</v>
      </c>
      <c r="O1050" s="134" t="n">
        <v>398</v>
      </c>
      <c r="P1050" s="134" t="n">
        <v>0</v>
      </c>
      <c r="Q1050" s="134" t="inlineStr">
        <is>
          <t>9 -1.49%</t>
        </is>
      </c>
      <c r="R1050" s="134" t="inlineStr">
        <is>
          <t>157 -0.96%</t>
        </is>
      </c>
      <c r="S1050" s="134" t="inlineStr">
        <is>
          <t>131 -0.68%</t>
        </is>
      </c>
      <c r="T1050" s="134" t="inlineStr">
        <is>
          <t>45 -0.33%</t>
        </is>
      </c>
      <c r="U1050" s="134" t="inlineStr">
        <is>
          <t>56 0.48%</t>
        </is>
      </c>
    </row>
    <row customHeight="1" ht="17" r="1051" s="155">
      <c r="A1051" s="105" t="n">
        <v>44678</v>
      </c>
      <c r="B1051" s="134" t="n">
        <v>1809.704</v>
      </c>
      <c r="C1051" s="152" t="n">
        <v>29.866</v>
      </c>
      <c r="D1051" s="153" t="n">
        <v>0.0168</v>
      </c>
      <c r="E1051" s="134" t="n">
        <v>124.545</v>
      </c>
      <c r="F1051" s="134" t="n">
        <v>112.53</v>
      </c>
      <c r="G1051" s="134" t="n">
        <v>76.91</v>
      </c>
      <c r="H1051" s="134" t="n">
        <v>187.41</v>
      </c>
      <c r="I1051" s="104" t="n">
        <v>0.6286</v>
      </c>
      <c r="J1051" s="104" t="n">
        <v>0.4971</v>
      </c>
      <c r="K1051" s="104" t="n">
        <v>-0.0142</v>
      </c>
      <c r="L1051" s="134" t="n">
        <v>1311.1</v>
      </c>
      <c r="M1051" s="134" t="n">
        <v>7188.96</v>
      </c>
      <c r="N1051" s="104" t="n">
        <v>0.1824</v>
      </c>
      <c r="O1051" s="134" t="n">
        <v>399</v>
      </c>
      <c r="P1051" s="134" t="n">
        <v>0</v>
      </c>
      <c r="Q1051" s="134" t="inlineStr">
        <is>
          <t>8 -0.36%</t>
        </is>
      </c>
      <c r="R1051" s="134" t="inlineStr">
        <is>
          <t>144 0.17%</t>
        </is>
      </c>
      <c r="S1051" s="134" t="inlineStr">
        <is>
          <t>124 1.40%</t>
        </is>
      </c>
      <c r="T1051" s="134" t="inlineStr">
        <is>
          <t>58 2.82%</t>
        </is>
      </c>
      <c r="U1051" s="134" t="inlineStr">
        <is>
          <t>65 4.79%</t>
        </is>
      </c>
    </row>
    <row customHeight="1" ht="17" r="1052" s="155">
      <c r="A1052" s="105" t="n">
        <v>44679</v>
      </c>
      <c r="B1052" s="134" t="n">
        <v>1809.089</v>
      </c>
      <c r="C1052" s="150" t="n">
        <v>-0.615</v>
      </c>
      <c r="D1052" s="151" t="n">
        <v>-0.0003</v>
      </c>
      <c r="E1052" s="134" t="n">
        <v>124.425</v>
      </c>
      <c r="F1052" s="134" t="n">
        <v>112.221</v>
      </c>
      <c r="G1052" s="134" t="n">
        <v>75.33</v>
      </c>
      <c r="H1052" s="134" t="n">
        <v>189.24</v>
      </c>
      <c r="I1052" s="104" t="n">
        <v>0.6481</v>
      </c>
      <c r="J1052" s="104" t="n">
        <v>0.5171</v>
      </c>
      <c r="K1052" s="104" t="n">
        <v>-0.0137</v>
      </c>
      <c r="L1052" s="134" t="n">
        <v>1314.4</v>
      </c>
      <c r="M1052" s="134" t="n">
        <v>7193.95</v>
      </c>
      <c r="N1052" s="104" t="n">
        <v>0.1827</v>
      </c>
      <c r="O1052" s="134" t="n">
        <v>399</v>
      </c>
      <c r="P1052" s="134" t="n">
        <v>0</v>
      </c>
      <c r="Q1052" s="134" t="inlineStr">
        <is>
          <t>8 -0.11%</t>
        </is>
      </c>
      <c r="R1052" s="134" t="inlineStr">
        <is>
          <t>147 -0.14%</t>
        </is>
      </c>
      <c r="S1052" s="134" t="inlineStr">
        <is>
          <t>120 -0.10%</t>
        </is>
      </c>
      <c r="T1052" s="134" t="inlineStr">
        <is>
          <t>61 0.07%</t>
        </is>
      </c>
      <c r="U1052" s="134" t="inlineStr">
        <is>
          <t>63 0.25%</t>
        </is>
      </c>
    </row>
    <row customHeight="1" ht="17" r="1053" s="155">
      <c r="A1053" s="105" t="n">
        <v>44680</v>
      </c>
      <c r="B1053" s="134" t="n">
        <v>1847.93</v>
      </c>
      <c r="C1053" s="152" t="n">
        <v>38.841</v>
      </c>
      <c r="D1053" s="153" t="n">
        <v>0.0215</v>
      </c>
      <c r="E1053" s="134" t="n">
        <v>127.3</v>
      </c>
      <c r="F1053" s="134" t="n">
        <v>114.745</v>
      </c>
      <c r="G1053" s="134" t="n">
        <v>77.75</v>
      </c>
      <c r="H1053" s="134" t="n">
        <v>189.62</v>
      </c>
      <c r="I1053" s="104" t="n">
        <v>0.6232</v>
      </c>
      <c r="J1053" s="104" t="n">
        <v>0.4912</v>
      </c>
      <c r="K1053" s="104" t="n">
        <v>-0.0198</v>
      </c>
      <c r="L1053" s="134" t="n">
        <v>1442.34</v>
      </c>
      <c r="M1053" s="134" t="n">
        <v>7194.95</v>
      </c>
      <c r="N1053" s="104" t="n">
        <v>0.2005</v>
      </c>
      <c r="O1053" s="134" t="n">
        <v>400</v>
      </c>
      <c r="P1053" s="134" t="n">
        <v>0</v>
      </c>
      <c r="Q1053" s="134" t="inlineStr">
        <is>
          <t>6 1.31%</t>
        </is>
      </c>
      <c r="R1053" s="134" t="inlineStr">
        <is>
          <t>102 1.25%</t>
        </is>
      </c>
      <c r="S1053" s="134" t="inlineStr">
        <is>
          <t>146 1.89%</t>
        </is>
      </c>
      <c r="T1053" s="134" t="inlineStr">
        <is>
          <t>73 2.67%</t>
        </is>
      </c>
      <c r="U1053" s="134" t="inlineStr">
        <is>
          <t>73 3.47%</t>
        </is>
      </c>
    </row>
    <row customHeight="1" ht="17" r="1054" s="155">
      <c r="A1054" s="105" t="n">
        <v>44686</v>
      </c>
      <c r="B1054" s="134" t="n">
        <v>1870.604</v>
      </c>
      <c r="C1054" s="152" t="n">
        <v>22.674</v>
      </c>
      <c r="D1054" s="153" t="n">
        <v>0.0123</v>
      </c>
      <c r="E1054" s="134" t="n">
        <v>129.031</v>
      </c>
      <c r="F1054" s="134" t="n">
        <v>116.2</v>
      </c>
      <c r="G1054" s="134" t="n">
        <v>78.72</v>
      </c>
      <c r="H1054" s="134" t="n">
        <v>191</v>
      </c>
      <c r="I1054" s="104" t="n">
        <v>0.6197</v>
      </c>
      <c r="J1054" s="104" t="n">
        <v>0.4756</v>
      </c>
      <c r="K1054" s="104" t="n">
        <v>-0.0234</v>
      </c>
      <c r="L1054" s="134" t="n">
        <v>1101.26</v>
      </c>
      <c r="M1054" s="134" t="n">
        <v>7187.56</v>
      </c>
      <c r="N1054" s="104" t="n">
        <v>0.1532</v>
      </c>
      <c r="O1054" s="134" t="n">
        <v>399</v>
      </c>
      <c r="P1054" s="134" t="n">
        <v>0</v>
      </c>
      <c r="Q1054" s="134" t="inlineStr">
        <is>
          <t>5 0.73%</t>
        </is>
      </c>
      <c r="R1054" s="134" t="inlineStr">
        <is>
          <t>89 0.44%</t>
        </is>
      </c>
      <c r="S1054" s="134" t="inlineStr">
        <is>
          <t>148 0.95%</t>
        </is>
      </c>
      <c r="T1054" s="134" t="inlineStr">
        <is>
          <t>78 0.95%</t>
        </is>
      </c>
      <c r="U1054" s="134" t="inlineStr">
        <is>
          <t>79 2.95%</t>
        </is>
      </c>
    </row>
    <row customHeight="1" ht="17" r="1055" s="155">
      <c r="A1055" s="105" t="n">
        <v>44687</v>
      </c>
      <c r="B1055" s="134" t="n">
        <v>1862.486</v>
      </c>
      <c r="C1055" s="150" t="n">
        <v>-8.118</v>
      </c>
      <c r="D1055" s="151" t="n">
        <v>-0.0043</v>
      </c>
      <c r="E1055" s="134" t="n">
        <v>128.4</v>
      </c>
      <c r="F1055" s="134" t="n">
        <v>115.859</v>
      </c>
      <c r="G1055" s="134" t="n">
        <v>78.70999999999999</v>
      </c>
      <c r="H1055" s="134" t="n">
        <v>191.93</v>
      </c>
      <c r="I1055" s="104" t="n">
        <v>0.6353</v>
      </c>
      <c r="J1055" s="104" t="n">
        <v>0.4937</v>
      </c>
      <c r="K1055" s="104" t="n">
        <v>-0.0217</v>
      </c>
      <c r="L1055" s="134" t="n">
        <v>1395.26</v>
      </c>
      <c r="M1055" s="134" t="n">
        <v>7214.88</v>
      </c>
      <c r="N1055" s="104" t="n">
        <v>0.1934</v>
      </c>
      <c r="O1055" s="134" t="n">
        <v>401</v>
      </c>
      <c r="P1055" s="134" t="n">
        <v>0</v>
      </c>
      <c r="Q1055" s="134" t="inlineStr">
        <is>
          <t>6 -1.00%</t>
        </is>
      </c>
      <c r="R1055" s="134" t="inlineStr">
        <is>
          <t>90 -0.53%</t>
        </is>
      </c>
      <c r="S1055" s="134" t="inlineStr">
        <is>
          <t>162 -0.55%</t>
        </is>
      </c>
      <c r="T1055" s="134" t="inlineStr">
        <is>
          <t>65 -0.60%</t>
        </is>
      </c>
      <c r="U1055" s="134" t="inlineStr">
        <is>
          <t>78 0.10%</t>
        </is>
      </c>
    </row>
    <row customHeight="1" ht="17" r="1056" s="155">
      <c r="A1056" s="105" t="n">
        <v>44690</v>
      </c>
      <c r="B1056" s="134" t="n">
        <v>1876.38</v>
      </c>
      <c r="C1056" s="152" t="n">
        <v>13.894</v>
      </c>
      <c r="D1056" s="153" t="n">
        <v>0.0075</v>
      </c>
      <c r="E1056" s="134" t="n">
        <v>129.412</v>
      </c>
      <c r="F1056" s="134" t="n">
        <v>116.58</v>
      </c>
      <c r="G1056" s="134" t="n">
        <v>80.14</v>
      </c>
      <c r="H1056" s="134" t="n">
        <v>191.49</v>
      </c>
      <c r="I1056" s="104" t="n">
        <v>0.6208</v>
      </c>
      <c r="J1056" s="104" t="n">
        <v>0.4794</v>
      </c>
      <c r="K1056" s="104" t="n">
        <v>-0.0241</v>
      </c>
      <c r="L1056" s="134" t="n">
        <v>1264.28</v>
      </c>
      <c r="M1056" s="134" t="n">
        <v>7207.29</v>
      </c>
      <c r="N1056" s="104" t="n">
        <v>0.1754</v>
      </c>
      <c r="O1056" s="134" t="n">
        <v>401</v>
      </c>
      <c r="P1056" s="134" t="n">
        <v>0</v>
      </c>
      <c r="Q1056" s="134" t="inlineStr">
        <is>
          <t>6 0.50%</t>
        </is>
      </c>
      <c r="R1056" s="134" t="inlineStr">
        <is>
          <t>79 0.26%</t>
        </is>
      </c>
      <c r="S1056" s="134" t="inlineStr">
        <is>
          <t>167 0.40%</t>
        </is>
      </c>
      <c r="T1056" s="134" t="inlineStr">
        <is>
          <t>62 0.66%</t>
        </is>
      </c>
      <c r="U1056" s="134" t="inlineStr">
        <is>
          <t>87 1.94%</t>
        </is>
      </c>
    </row>
    <row customHeight="1" ht="17" r="1057" s="155">
      <c r="A1057" s="105" t="n">
        <v>44691</v>
      </c>
      <c r="B1057" s="134" t="n">
        <v>1889.046</v>
      </c>
      <c r="C1057" s="152" t="n">
        <v>12.666</v>
      </c>
      <c r="D1057" s="153" t="n">
        <v>0.0068</v>
      </c>
      <c r="E1057" s="134" t="n">
        <v>130.684</v>
      </c>
      <c r="F1057" s="134" t="n">
        <v>116.59</v>
      </c>
      <c r="G1057" s="134" t="n">
        <v>81.09</v>
      </c>
      <c r="H1057" s="134" t="n">
        <v>191.15</v>
      </c>
      <c r="I1057" s="104" t="n">
        <v>0.6047</v>
      </c>
      <c r="J1057" s="104" t="n">
        <v>0.4627</v>
      </c>
      <c r="K1057" s="104" t="n">
        <v>-0.0253</v>
      </c>
      <c r="L1057" s="134" t="n">
        <v>1453.84</v>
      </c>
      <c r="M1057" s="134" t="n">
        <v>7206.7</v>
      </c>
      <c r="N1057" s="104" t="n">
        <v>0.2017</v>
      </c>
      <c r="O1057" s="134" t="n">
        <v>401</v>
      </c>
      <c r="P1057" s="134" t="n">
        <v>0</v>
      </c>
      <c r="Q1057" s="134" t="inlineStr">
        <is>
          <t>6 -0.10%</t>
        </is>
      </c>
      <c r="R1057" s="134" t="inlineStr">
        <is>
          <t>87 -0.17%</t>
        </is>
      </c>
      <c r="S1057" s="134" t="inlineStr">
        <is>
          <t>147 0.01%</t>
        </is>
      </c>
      <c r="T1057" s="134" t="inlineStr">
        <is>
          <t>72 0.65%</t>
        </is>
      </c>
      <c r="U1057" s="134" t="inlineStr">
        <is>
          <t>89 2.68%</t>
        </is>
      </c>
    </row>
    <row customHeight="1" ht="17" r="1058" s="155">
      <c r="A1058" s="105" t="n">
        <v>44692</v>
      </c>
      <c r="B1058" s="134" t="n">
        <v>1910.694</v>
      </c>
      <c r="C1058" s="152" t="n">
        <v>21.648</v>
      </c>
      <c r="D1058" s="153" t="n">
        <v>0.0115</v>
      </c>
      <c r="E1058" s="134" t="n">
        <v>132.555</v>
      </c>
      <c r="F1058" s="134" t="n">
        <v>117.15</v>
      </c>
      <c r="G1058" s="134" t="n">
        <v>81.51000000000001</v>
      </c>
      <c r="H1058" s="134" t="n">
        <v>193.81</v>
      </c>
      <c r="I1058" s="104" t="n">
        <v>0.6126</v>
      </c>
      <c r="J1058" s="104" t="n">
        <v>0.4623</v>
      </c>
      <c r="K1058" s="104" t="n">
        <v>-0.0276</v>
      </c>
      <c r="L1058" s="134" t="n">
        <v>1864.95</v>
      </c>
      <c r="M1058" s="134" t="n">
        <v>7282.95</v>
      </c>
      <c r="N1058" s="104" t="n">
        <v>0.2561</v>
      </c>
      <c r="O1058" s="134" t="n">
        <v>402</v>
      </c>
      <c r="P1058" s="134" t="n">
        <v>0</v>
      </c>
      <c r="Q1058" s="134" t="inlineStr">
        <is>
          <t>6 -0.01%</t>
        </is>
      </c>
      <c r="R1058" s="134" t="inlineStr">
        <is>
          <t>80 0.16%</t>
        </is>
      </c>
      <c r="S1058" s="134" t="inlineStr">
        <is>
          <t>145 0.65%</t>
        </is>
      </c>
      <c r="T1058" s="134" t="inlineStr">
        <is>
          <t>78 0.94%</t>
        </is>
      </c>
      <c r="U1058" s="134" t="inlineStr">
        <is>
          <t>93 3.02%</t>
        </is>
      </c>
    </row>
    <row customHeight="1" ht="17" r="1059" s="155">
      <c r="A1059" s="105" t="n">
        <v>44693</v>
      </c>
      <c r="B1059" s="134" t="n">
        <v>1914.764</v>
      </c>
      <c r="C1059" s="152" t="n">
        <v>4.07</v>
      </c>
      <c r="D1059" s="153" t="n">
        <v>0.0021</v>
      </c>
      <c r="E1059" s="134" t="n">
        <v>132.843</v>
      </c>
      <c r="F1059" s="134" t="n">
        <v>117.1</v>
      </c>
      <c r="G1059" s="134" t="n">
        <v>82.94</v>
      </c>
      <c r="H1059" s="134" t="n">
        <v>193.62</v>
      </c>
      <c r="I1059" s="104" t="n">
        <v>0.6078</v>
      </c>
      <c r="J1059" s="104" t="n">
        <v>0.4531</v>
      </c>
      <c r="K1059" s="104" t="n">
        <v>-0.0282</v>
      </c>
      <c r="L1059" s="134" t="n">
        <v>1693.63</v>
      </c>
      <c r="M1059" s="134" t="n">
        <v>7276.06</v>
      </c>
      <c r="N1059" s="104" t="n">
        <v>0.2328</v>
      </c>
      <c r="O1059" s="134" t="n">
        <v>401</v>
      </c>
      <c r="P1059" s="134" t="n">
        <v>0</v>
      </c>
      <c r="Q1059" s="134" t="inlineStr">
        <is>
          <t>6 0.13%</t>
        </is>
      </c>
      <c r="R1059" s="134" t="inlineStr">
        <is>
          <t>79 0.07%</t>
        </is>
      </c>
      <c r="S1059" s="134" t="inlineStr">
        <is>
          <t>140 0.15%</t>
        </is>
      </c>
      <c r="T1059" s="134" t="inlineStr">
        <is>
          <t>78 0.41%</t>
        </is>
      </c>
      <c r="U1059" s="134" t="inlineStr">
        <is>
          <t>98 0.27%</t>
        </is>
      </c>
    </row>
    <row customHeight="1" ht="17" r="1060" s="155">
      <c r="A1060" s="105" t="n">
        <v>44694</v>
      </c>
      <c r="B1060" s="134" t="n">
        <v>1926.75</v>
      </c>
      <c r="C1060" s="152" t="n">
        <v>11.986</v>
      </c>
      <c r="D1060" s="153" t="n">
        <v>0.0063</v>
      </c>
      <c r="E1060" s="134" t="n">
        <v>133.878</v>
      </c>
      <c r="F1060" s="134" t="n">
        <v>118.04</v>
      </c>
      <c r="G1060" s="134" t="n">
        <v>83.42</v>
      </c>
      <c r="H1060" s="134" t="n">
        <v>194.92</v>
      </c>
      <c r="I1060" s="104" t="n">
        <v>0.6105</v>
      </c>
      <c r="J1060" s="104" t="n">
        <v>0.4607</v>
      </c>
      <c r="K1060" s="104" t="n">
        <v>-0.0286</v>
      </c>
      <c r="L1060" s="134" t="n">
        <v>1624.41</v>
      </c>
      <c r="M1060" s="134" t="n">
        <v>7285.46</v>
      </c>
      <c r="N1060" s="104" t="n">
        <v>0.223</v>
      </c>
      <c r="O1060" s="134" t="n">
        <v>402</v>
      </c>
      <c r="P1060" s="134" t="n">
        <v>0</v>
      </c>
      <c r="Q1060" s="134" t="inlineStr">
        <is>
          <t>6 1.16%</t>
        </is>
      </c>
      <c r="R1060" s="134" t="inlineStr">
        <is>
          <t>68 0.36%</t>
        </is>
      </c>
      <c r="S1060" s="134" t="inlineStr">
        <is>
          <t>144 0.46%</t>
        </is>
      </c>
      <c r="T1060" s="134" t="inlineStr">
        <is>
          <t>85 0.63%</t>
        </is>
      </c>
      <c r="U1060" s="134" t="inlineStr">
        <is>
          <t>99 1.02%</t>
        </is>
      </c>
    </row>
    <row customHeight="1" ht="17" r="1061" s="155">
      <c r="A1061" s="105" t="n">
        <v>44697</v>
      </c>
      <c r="B1061" s="134" t="n">
        <v>1939.601</v>
      </c>
      <c r="C1061" s="152" t="n">
        <v>12.851</v>
      </c>
      <c r="D1061" s="153" t="n">
        <v>0.0067</v>
      </c>
      <c r="E1061" s="134" t="n">
        <v>135.064</v>
      </c>
      <c r="F1061" s="134" t="n">
        <v>118.452</v>
      </c>
      <c r="G1061" s="134" t="n">
        <v>82.88</v>
      </c>
      <c r="H1061" s="134" t="n">
        <v>197.37</v>
      </c>
      <c r="I1061" s="104" t="n">
        <v>0.6231</v>
      </c>
      <c r="J1061" s="104" t="n">
        <v>0.4645</v>
      </c>
      <c r="K1061" s="104" t="n">
        <v>-0.0278</v>
      </c>
      <c r="L1061" s="134" t="n">
        <v>1553.55</v>
      </c>
      <c r="M1061" s="134" t="n">
        <v>7284.43</v>
      </c>
      <c r="N1061" s="104" t="n">
        <v>0.2133</v>
      </c>
      <c r="O1061" s="134" t="n">
        <v>402</v>
      </c>
      <c r="P1061" s="134" t="n">
        <v>0</v>
      </c>
      <c r="Q1061" s="134" t="inlineStr">
        <is>
          <t>6 -0.03%</t>
        </is>
      </c>
      <c r="R1061" s="134" t="inlineStr">
        <is>
          <t>66 0.05%</t>
        </is>
      </c>
      <c r="S1061" s="134" t="inlineStr">
        <is>
          <t>150 -0.01%</t>
        </is>
      </c>
      <c r="T1061" s="134" t="inlineStr">
        <is>
          <t>77 0.27%</t>
        </is>
      </c>
      <c r="U1061" s="134" t="inlineStr">
        <is>
          <t>103 2.38%</t>
        </is>
      </c>
    </row>
    <row customHeight="1" ht="17" r="1062" s="155">
      <c r="A1062" s="105" t="n">
        <v>44698</v>
      </c>
      <c r="B1062" s="134" t="n">
        <v>1945.497</v>
      </c>
      <c r="C1062" s="152" t="n">
        <v>5.896</v>
      </c>
      <c r="D1062" s="153" t="n">
        <v>0.003</v>
      </c>
      <c r="E1062" s="134" t="n">
        <v>135.632</v>
      </c>
      <c r="F1062" s="134" t="n">
        <v>118.93</v>
      </c>
      <c r="G1062" s="134" t="n">
        <v>82.95</v>
      </c>
      <c r="H1062" s="134" t="n">
        <v>198.35</v>
      </c>
      <c r="I1062" s="104" t="n">
        <v>0.6272</v>
      </c>
      <c r="J1062" s="104" t="n">
        <v>0.4682</v>
      </c>
      <c r="K1062" s="104" t="n">
        <v>-0.0273</v>
      </c>
      <c r="L1062" s="134" t="n">
        <v>1740.54</v>
      </c>
      <c r="M1062" s="134" t="n">
        <v>7287.11</v>
      </c>
      <c r="N1062" s="104" t="n">
        <v>0.2389</v>
      </c>
      <c r="O1062" s="134" t="n">
        <v>403</v>
      </c>
      <c r="P1062" s="134" t="n">
        <v>0</v>
      </c>
      <c r="Q1062" s="134" t="inlineStr">
        <is>
          <t>6 0.21%</t>
        </is>
      </c>
      <c r="R1062" s="134" t="inlineStr">
        <is>
          <t>67 0.09%</t>
        </is>
      </c>
      <c r="S1062" s="134" t="inlineStr">
        <is>
          <t>144 0.06%</t>
        </is>
      </c>
      <c r="T1062" s="134" t="inlineStr">
        <is>
          <t>85 0.57%</t>
        </is>
      </c>
      <c r="U1062" s="134" t="inlineStr">
        <is>
          <t>101 0.57%</t>
        </is>
      </c>
    </row>
    <row customHeight="1" ht="17" r="1063" s="155">
      <c r="A1063" s="105" t="n">
        <v>44699</v>
      </c>
      <c r="B1063" s="134" t="n">
        <v>1950.633</v>
      </c>
      <c r="C1063" s="152" t="n">
        <v>5.136</v>
      </c>
      <c r="D1063" s="153" t="n">
        <v>0.0026</v>
      </c>
      <c r="E1063" s="134" t="n">
        <v>136.453</v>
      </c>
      <c r="F1063" s="134" t="n">
        <v>119.233</v>
      </c>
      <c r="G1063" s="134" t="n">
        <v>84.13</v>
      </c>
      <c r="H1063" s="134" t="n">
        <v>199.72</v>
      </c>
      <c r="I1063" s="104" t="n">
        <v>0.6327</v>
      </c>
      <c r="J1063" s="104" t="n">
        <v>0.4634</v>
      </c>
      <c r="K1063" s="104" t="n">
        <v>-0.0295</v>
      </c>
      <c r="L1063" s="134" t="n">
        <v>1656.29</v>
      </c>
      <c r="M1063" s="134" t="n">
        <v>7279.99</v>
      </c>
      <c r="N1063" s="104" t="n">
        <v>0.2275</v>
      </c>
      <c r="O1063" s="134" t="n">
        <v>405</v>
      </c>
      <c r="P1063" s="134" t="n">
        <v>0</v>
      </c>
      <c r="Q1063" s="134" t="inlineStr">
        <is>
          <t>6 0.42%</t>
        </is>
      </c>
      <c r="R1063" s="134" t="inlineStr">
        <is>
          <t>65 0.13%</t>
        </is>
      </c>
      <c r="S1063" s="134" t="inlineStr">
        <is>
          <t>139 0.31%</t>
        </is>
      </c>
      <c r="T1063" s="134" t="inlineStr">
        <is>
          <t>88 0.12%</t>
        </is>
      </c>
      <c r="U1063" s="134" t="inlineStr">
        <is>
          <t>107 0.40%</t>
        </is>
      </c>
    </row>
    <row customHeight="1" ht="17" r="1064" s="155">
      <c r="A1064" s="105" t="n">
        <v>44700</v>
      </c>
      <c r="B1064" s="134" t="n">
        <v>1955.041</v>
      </c>
      <c r="C1064" s="152" t="n">
        <v>4.408</v>
      </c>
      <c r="D1064" s="153" t="n">
        <v>0.0023</v>
      </c>
      <c r="E1064" s="134" t="n">
        <v>136.215</v>
      </c>
      <c r="F1064" s="134" t="n">
        <v>119.218</v>
      </c>
      <c r="G1064" s="134" t="n">
        <v>83.95</v>
      </c>
      <c r="H1064" s="134" t="n">
        <v>198.14</v>
      </c>
      <c r="I1064" s="104" t="n">
        <v>0.6193</v>
      </c>
      <c r="J1064" s="104" t="n">
        <v>0.4561</v>
      </c>
      <c r="K1064" s="104" t="n">
        <v>-0.0287</v>
      </c>
      <c r="L1064" s="134" t="n">
        <v>1622.78</v>
      </c>
      <c r="M1064" s="134" t="n">
        <v>7304.67</v>
      </c>
      <c r="N1064" s="104" t="n">
        <v>0.2222</v>
      </c>
      <c r="O1064" s="134" t="n">
        <v>406</v>
      </c>
      <c r="P1064" s="134" t="n">
        <v>0</v>
      </c>
      <c r="Q1064" s="134" t="inlineStr">
        <is>
          <t>6 0.28%</t>
        </is>
      </c>
      <c r="R1064" s="134" t="inlineStr">
        <is>
          <t>64 -0.03%</t>
        </is>
      </c>
      <c r="S1064" s="134" t="inlineStr">
        <is>
          <t>140 -0.09%</t>
        </is>
      </c>
      <c r="T1064" s="134" t="inlineStr">
        <is>
          <t>90 -0.03%</t>
        </is>
      </c>
      <c r="U1064" s="134" t="inlineStr">
        <is>
          <t>106 1.02%</t>
        </is>
      </c>
    </row>
    <row customHeight="1" ht="17" r="1065" s="155">
      <c r="A1065" s="105" t="n">
        <v>44701</v>
      </c>
      <c r="B1065" s="134" t="n">
        <v>1963.076</v>
      </c>
      <c r="C1065" s="152" t="n">
        <v>8.035</v>
      </c>
      <c r="D1065" s="153" t="n">
        <v>0.0041</v>
      </c>
      <c r="E1065" s="134" t="n">
        <v>136.581</v>
      </c>
      <c r="F1065" s="134" t="n">
        <v>119.5</v>
      </c>
      <c r="G1065" s="134" t="n">
        <v>85.48</v>
      </c>
      <c r="H1065" s="134" t="n">
        <v>197.06</v>
      </c>
      <c r="I1065" s="104" t="n">
        <v>0.6048</v>
      </c>
      <c r="J1065" s="104" t="n">
        <v>0.441</v>
      </c>
      <c r="K1065" s="104" t="n">
        <v>-0.0301</v>
      </c>
      <c r="L1065" s="134" t="n">
        <v>1534.62</v>
      </c>
      <c r="M1065" s="134" t="n">
        <v>7301.02</v>
      </c>
      <c r="N1065" s="104" t="n">
        <v>0.2102</v>
      </c>
      <c r="O1065" s="134" t="n">
        <v>406</v>
      </c>
      <c r="P1065" s="134" t="n">
        <v>0</v>
      </c>
      <c r="Q1065" s="134" t="inlineStr">
        <is>
          <t>5 0.21%</t>
        </is>
      </c>
      <c r="R1065" s="134" t="inlineStr">
        <is>
          <t>57 0.44%</t>
        </is>
      </c>
      <c r="S1065" s="134" t="inlineStr">
        <is>
          <t>146 0.42%</t>
        </is>
      </c>
      <c r="T1065" s="134" t="inlineStr">
        <is>
          <t>86 0.51%</t>
        </is>
      </c>
      <c r="U1065" s="134" t="inlineStr">
        <is>
          <t>112 0.31%</t>
        </is>
      </c>
    </row>
    <row customHeight="1" ht="17" r="1066" s="155">
      <c r="A1066" s="105" t="n">
        <v>44704</v>
      </c>
      <c r="B1066" s="134" t="n">
        <v>1972.695</v>
      </c>
      <c r="C1066" s="152" t="n">
        <v>9.619</v>
      </c>
      <c r="D1066" s="153" t="n">
        <v>0.0049</v>
      </c>
      <c r="E1066" s="134" t="n">
        <v>137.307</v>
      </c>
      <c r="F1066" s="134" t="n">
        <v>120.239</v>
      </c>
      <c r="G1066" s="134" t="n">
        <v>85.76000000000001</v>
      </c>
      <c r="H1066" s="134" t="n">
        <v>195.67</v>
      </c>
      <c r="I1066" s="104" t="n">
        <v>0.5837</v>
      </c>
      <c r="J1066" s="104" t="n">
        <v>0.4317</v>
      </c>
      <c r="K1066" s="104" t="n">
        <v>-0.0315</v>
      </c>
      <c r="L1066" s="134" t="n">
        <v>1248.59</v>
      </c>
      <c r="M1066" s="134" t="n">
        <v>7304.09</v>
      </c>
      <c r="N1066" s="104" t="n">
        <v>0.1709</v>
      </c>
      <c r="O1066" s="134" t="n">
        <v>407</v>
      </c>
      <c r="P1066" s="134" t="n">
        <v>0</v>
      </c>
      <c r="Q1066" s="134" t="inlineStr">
        <is>
          <t>4 0.76%</t>
        </is>
      </c>
      <c r="R1066" s="134" t="inlineStr">
        <is>
          <t>51 0.39%</t>
        </is>
      </c>
      <c r="S1066" s="134" t="inlineStr">
        <is>
          <t>147 0.41%</t>
        </is>
      </c>
      <c r="T1066" s="134" t="inlineStr">
        <is>
          <t>83 0.33%</t>
        </is>
      </c>
      <c r="U1066" s="134" t="inlineStr">
        <is>
          <t>122 0.72%</t>
        </is>
      </c>
    </row>
    <row customHeight="1" ht="17" r="1067" s="155">
      <c r="A1067" s="105" t="n">
        <v>44705</v>
      </c>
      <c r="B1067" s="134" t="n">
        <v>1931.959</v>
      </c>
      <c r="C1067" s="150" t="n">
        <v>-40.736</v>
      </c>
      <c r="D1067" s="151" t="n">
        <v>-0.0207</v>
      </c>
      <c r="E1067" s="134" t="n">
        <v>134.298</v>
      </c>
      <c r="F1067" s="134" t="n">
        <v>117.85</v>
      </c>
      <c r="G1067" s="134" t="n">
        <v>82.22</v>
      </c>
      <c r="H1067" s="134" t="n">
        <v>196.34</v>
      </c>
      <c r="I1067" s="104" t="n">
        <v>0.6205000000000001</v>
      </c>
      <c r="J1067" s="104" t="n">
        <v>0.4638</v>
      </c>
      <c r="K1067" s="104" t="n">
        <v>-0.0256</v>
      </c>
      <c r="L1067" s="134" t="n">
        <v>1261.33</v>
      </c>
      <c r="M1067" s="134" t="n">
        <v>7319.28</v>
      </c>
      <c r="N1067" s="104" t="n">
        <v>0.1723</v>
      </c>
      <c r="O1067" s="134" t="n">
        <v>407</v>
      </c>
      <c r="P1067" s="134" t="n">
        <v>0</v>
      </c>
      <c r="Q1067" s="134" t="inlineStr">
        <is>
          <t>5 -0.18%</t>
        </is>
      </c>
      <c r="R1067" s="134" t="inlineStr">
        <is>
          <t>65 -0.99%</t>
        </is>
      </c>
      <c r="S1067" s="134" t="inlineStr">
        <is>
          <t>159 -1.87%</t>
        </is>
      </c>
      <c r="T1067" s="134" t="inlineStr">
        <is>
          <t>80 -2.50%</t>
        </is>
      </c>
      <c r="U1067" s="134" t="inlineStr">
        <is>
          <t>98 -2.84%</t>
        </is>
      </c>
    </row>
    <row customHeight="1" ht="17" r="1068" s="155">
      <c r="A1068" s="105" t="n">
        <v>44706</v>
      </c>
      <c r="B1068" s="134" t="n">
        <v>1944.188</v>
      </c>
      <c r="C1068" s="152" t="n">
        <v>12.229</v>
      </c>
      <c r="D1068" s="153" t="n">
        <v>0.0063</v>
      </c>
      <c r="E1068" s="134" t="n">
        <v>134.91</v>
      </c>
      <c r="F1068" s="134" t="n">
        <v>118.446</v>
      </c>
      <c r="G1068" s="134" t="n">
        <v>83.41</v>
      </c>
      <c r="H1068" s="134" t="n">
        <v>194.82</v>
      </c>
      <c r="I1068" s="104" t="n">
        <v>0.5991</v>
      </c>
      <c r="J1068" s="104" t="n">
        <v>0.4505</v>
      </c>
      <c r="K1068" s="104" t="n">
        <v>-0.0279</v>
      </c>
      <c r="L1068" s="134" t="n">
        <v>1200.35</v>
      </c>
      <c r="M1068" s="134" t="n">
        <v>7315.63</v>
      </c>
      <c r="N1068" s="104" t="n">
        <v>0.1641</v>
      </c>
      <c r="O1068" s="134" t="n">
        <v>406</v>
      </c>
      <c r="P1068" s="134" t="n">
        <v>0</v>
      </c>
      <c r="Q1068" s="134" t="inlineStr">
        <is>
          <t>3 0.78%</t>
        </is>
      </c>
      <c r="R1068" s="134" t="inlineStr">
        <is>
          <t>59 0.34%</t>
        </is>
      </c>
      <c r="S1068" s="134" t="inlineStr">
        <is>
          <t>155 0.58%</t>
        </is>
      </c>
      <c r="T1068" s="134" t="inlineStr">
        <is>
          <t>86 0.76%</t>
        </is>
      </c>
      <c r="U1068" s="134" t="inlineStr">
        <is>
          <t>103 0.78%</t>
        </is>
      </c>
    </row>
    <row customHeight="1" ht="17" r="1069" s="155">
      <c r="A1069" s="105" t="n">
        <v>44707</v>
      </c>
      <c r="B1069" s="134" t="n">
        <v>1948.212</v>
      </c>
      <c r="C1069" s="152" t="n">
        <v>4.024</v>
      </c>
      <c r="D1069" s="153" t="n">
        <v>0.0021</v>
      </c>
      <c r="E1069" s="134" t="n">
        <v>135.818</v>
      </c>
      <c r="F1069" s="134" t="n">
        <v>118.55</v>
      </c>
      <c r="G1069" s="134" t="n">
        <v>84.31</v>
      </c>
      <c r="H1069" s="134" t="n">
        <v>195.45</v>
      </c>
      <c r="I1069" s="104" t="n">
        <v>0.5963000000000001</v>
      </c>
      <c r="J1069" s="104" t="n">
        <v>0.4408</v>
      </c>
      <c r="K1069" s="104" t="n">
        <v>-0.0286</v>
      </c>
      <c r="L1069" s="134" t="n">
        <v>1150.17</v>
      </c>
      <c r="M1069" s="134" t="n">
        <v>7324.19</v>
      </c>
      <c r="N1069" s="104" t="n">
        <v>0.157</v>
      </c>
      <c r="O1069" s="134" t="n">
        <v>409</v>
      </c>
      <c r="P1069" s="134" t="n">
        <v>0</v>
      </c>
      <c r="Q1069" s="134" t="inlineStr">
        <is>
          <t>3 -1.85%</t>
        </is>
      </c>
      <c r="R1069" s="134" t="inlineStr">
        <is>
          <t>59 0.15%</t>
        </is>
      </c>
      <c r="S1069" s="134" t="inlineStr">
        <is>
          <t>155 0.21%</t>
        </is>
      </c>
      <c r="T1069" s="134" t="inlineStr">
        <is>
          <t>84 0.39%</t>
        </is>
      </c>
      <c r="U1069" s="134" t="inlineStr">
        <is>
          <t>108 0.15%</t>
        </is>
      </c>
    </row>
    <row customHeight="1" ht="17" r="1070" s="155">
      <c r="A1070" s="105" t="n">
        <v>44708</v>
      </c>
      <c r="B1070" s="134" t="n">
        <v>1947.998</v>
      </c>
      <c r="C1070" s="150" t="n">
        <v>-0.214</v>
      </c>
      <c r="D1070" s="151" t="n">
        <v>-0.0001</v>
      </c>
      <c r="E1070" s="134" t="n">
        <v>135.583</v>
      </c>
      <c r="F1070" s="134" t="n">
        <v>119.211</v>
      </c>
      <c r="G1070" s="134" t="n">
        <v>84.43000000000001</v>
      </c>
      <c r="H1070" s="134" t="n">
        <v>195.59</v>
      </c>
      <c r="I1070" s="104" t="n">
        <v>0.6001</v>
      </c>
      <c r="J1070" s="104" t="n">
        <v>0.4429</v>
      </c>
      <c r="K1070" s="104" t="n">
        <v>-0.0294</v>
      </c>
      <c r="L1070" s="134" t="n">
        <v>1000.49</v>
      </c>
      <c r="M1070" s="134" t="n">
        <v>7331.34</v>
      </c>
      <c r="N1070" s="104" t="n">
        <v>0.1365</v>
      </c>
      <c r="O1070" s="134" t="n">
        <v>410</v>
      </c>
      <c r="P1070" s="134" t="n">
        <v>0</v>
      </c>
      <c r="Q1070" s="134" t="inlineStr">
        <is>
          <t>5 -0.45%</t>
        </is>
      </c>
      <c r="R1070" s="134" t="inlineStr">
        <is>
          <t>55 -0.01%</t>
        </is>
      </c>
      <c r="S1070" s="134" t="inlineStr">
        <is>
          <t>155 -0.01%</t>
        </is>
      </c>
      <c r="T1070" s="134" t="inlineStr">
        <is>
          <t>85 0.19%</t>
        </is>
      </c>
      <c r="U1070" s="134" t="inlineStr">
        <is>
          <t>110 -0.15%</t>
        </is>
      </c>
    </row>
    <row customHeight="1" ht="17" r="1071" s="155">
      <c r="A1071" s="105" t="n">
        <v>44711</v>
      </c>
      <c r="B1071" s="134" t="n">
        <v>1950.511</v>
      </c>
      <c r="C1071" s="152" t="n">
        <v>2.513</v>
      </c>
      <c r="D1071" s="153" t="n">
        <v>0.0013</v>
      </c>
      <c r="E1071" s="134" t="n">
        <v>135.778</v>
      </c>
      <c r="F1071" s="134" t="n">
        <v>119.805</v>
      </c>
      <c r="G1071" s="134" t="n">
        <v>84.89</v>
      </c>
      <c r="H1071" s="134" t="n">
        <v>194.75</v>
      </c>
      <c r="I1071" s="104" t="n">
        <v>0.5897</v>
      </c>
      <c r="J1071" s="104" t="n">
        <v>0.4313</v>
      </c>
      <c r="K1071" s="104" t="n">
        <v>-0.0299</v>
      </c>
      <c r="L1071" s="134" t="n">
        <v>859.76</v>
      </c>
      <c r="M1071" s="134" t="n">
        <v>7330.51</v>
      </c>
      <c r="N1071" s="104" t="n">
        <v>0.1173</v>
      </c>
      <c r="O1071" s="134" t="n">
        <v>410</v>
      </c>
      <c r="P1071" s="134" t="n">
        <v>0</v>
      </c>
      <c r="Q1071" s="134" t="inlineStr">
        <is>
          <t>5 -0.27%</t>
        </is>
      </c>
      <c r="R1071" s="134" t="inlineStr">
        <is>
          <t>54 -0.04%</t>
        </is>
      </c>
      <c r="S1071" s="134" t="inlineStr">
        <is>
          <t>149 0.07%</t>
        </is>
      </c>
      <c r="T1071" s="134" t="inlineStr">
        <is>
          <t>91 0.27%</t>
        </is>
      </c>
      <c r="U1071" s="134" t="inlineStr">
        <is>
          <t>111 0.19%</t>
        </is>
      </c>
    </row>
    <row customHeight="1" ht="17" r="1072" s="155">
      <c r="A1072" s="105" t="n">
        <v>44712</v>
      </c>
      <c r="B1072" s="134" t="n">
        <v>1954.9</v>
      </c>
      <c r="C1072" s="152" t="n">
        <v>4.389</v>
      </c>
      <c r="D1072" s="153" t="n">
        <v>0.0023</v>
      </c>
      <c r="E1072" s="134" t="n">
        <v>135.705</v>
      </c>
      <c r="F1072" s="134" t="n">
        <v>119.725</v>
      </c>
      <c r="G1072" s="134" t="n">
        <v>86.17</v>
      </c>
      <c r="H1072" s="134" t="n">
        <v>192.7</v>
      </c>
      <c r="I1072" s="104" t="n">
        <v>0.57</v>
      </c>
      <c r="J1072" s="104" t="n">
        <v>0.4173</v>
      </c>
      <c r="K1072" s="104" t="n">
        <v>-0.0303</v>
      </c>
      <c r="L1072" s="134" t="n">
        <v>978.71</v>
      </c>
      <c r="M1072" s="134" t="n">
        <v>7384.23</v>
      </c>
      <c r="N1072" s="104" t="n">
        <v>0.1325</v>
      </c>
      <c r="O1072" s="134" t="n">
        <v>412</v>
      </c>
      <c r="P1072" s="134" t="n">
        <v>0</v>
      </c>
      <c r="Q1072" s="134" t="inlineStr">
        <is>
          <t>5 0.01%</t>
        </is>
      </c>
      <c r="R1072" s="134" t="inlineStr">
        <is>
          <t>54 0.04%</t>
        </is>
      </c>
      <c r="S1072" s="134" t="inlineStr">
        <is>
          <t>149 0.25%</t>
        </is>
      </c>
      <c r="T1072" s="134" t="inlineStr">
        <is>
          <t>93 0.30%</t>
        </is>
      </c>
      <c r="U1072" s="134" t="inlineStr">
        <is>
          <t>111 0.23%</t>
        </is>
      </c>
    </row>
    <row customHeight="1" ht="17" r="1073" s="155">
      <c r="A1073" s="105" t="n">
        <v>44713</v>
      </c>
      <c r="B1073" s="134" t="n">
        <v>1962.563</v>
      </c>
      <c r="C1073" s="152" t="n">
        <v>7.663</v>
      </c>
      <c r="D1073" s="153" t="n">
        <v>0.0039</v>
      </c>
      <c r="E1073" s="134" t="n">
        <v>136.45</v>
      </c>
      <c r="F1073" s="134" t="n">
        <v>119.765</v>
      </c>
      <c r="G1073" s="134" t="n">
        <v>87.26000000000001</v>
      </c>
      <c r="H1073" s="134" t="n">
        <v>193.53</v>
      </c>
      <c r="I1073" s="104" t="n">
        <v>0.5708</v>
      </c>
      <c r="J1073" s="104" t="n">
        <v>0.4086</v>
      </c>
      <c r="K1073" s="104" t="n">
        <v>-0.0309</v>
      </c>
      <c r="L1073" s="134" t="n">
        <v>1243.92</v>
      </c>
      <c r="M1073" s="134" t="n">
        <v>7383.71</v>
      </c>
      <c r="N1073" s="104" t="n">
        <v>0.1685</v>
      </c>
      <c r="O1073" s="134" t="n">
        <v>412</v>
      </c>
      <c r="P1073" s="134" t="n">
        <v>0</v>
      </c>
      <c r="Q1073" s="134" t="inlineStr">
        <is>
          <t>4 0.05%</t>
        </is>
      </c>
      <c r="R1073" s="134" t="inlineStr">
        <is>
          <t>58 -0.02%</t>
        </is>
      </c>
      <c r="S1073" s="134" t="inlineStr">
        <is>
          <t>147 -0.03%</t>
        </is>
      </c>
      <c r="T1073" s="134" t="inlineStr">
        <is>
          <t>93 0.14%</t>
        </is>
      </c>
      <c r="U1073" s="134" t="inlineStr">
        <is>
          <t>110 1.40%</t>
        </is>
      </c>
    </row>
    <row customHeight="1" ht="17" r="1074" s="155">
      <c r="A1074" s="105" t="n">
        <v>44714</v>
      </c>
      <c r="B1074" s="134" t="n">
        <v>1973.122</v>
      </c>
      <c r="C1074" s="152" t="n">
        <v>10.559</v>
      </c>
      <c r="D1074" s="153" t="n">
        <v>0.0054</v>
      </c>
      <c r="E1074" s="134" t="n">
        <v>137.699</v>
      </c>
      <c r="F1074" s="134" t="n">
        <v>120.25</v>
      </c>
      <c r="G1074" s="134" t="n">
        <v>87.47</v>
      </c>
      <c r="H1074" s="134" t="n">
        <v>194.25</v>
      </c>
      <c r="I1074" s="104" t="n">
        <v>0.5655</v>
      </c>
      <c r="J1074" s="104" t="n">
        <v>0.3949</v>
      </c>
      <c r="K1074" s="104" t="n">
        <v>-0.0317</v>
      </c>
      <c r="L1074" s="134" t="n">
        <v>1580.19</v>
      </c>
      <c r="M1074" s="134" t="n">
        <v>7383.09</v>
      </c>
      <c r="N1074" s="104" t="n">
        <v>0.214</v>
      </c>
      <c r="O1074" s="134" t="n">
        <v>412</v>
      </c>
      <c r="P1074" s="134" t="n">
        <v>0</v>
      </c>
      <c r="Q1074" s="134" t="inlineStr">
        <is>
          <t>4 -0.05%</t>
        </is>
      </c>
      <c r="R1074" s="134" t="inlineStr">
        <is>
          <t>59 -0.25%</t>
        </is>
      </c>
      <c r="S1074" s="134" t="inlineStr">
        <is>
          <t>141 -0.06%</t>
        </is>
      </c>
      <c r="T1074" s="134" t="inlineStr">
        <is>
          <t>96 0.38%</t>
        </is>
      </c>
      <c r="U1074" s="134" t="inlineStr">
        <is>
          <t>112 1.87%</t>
        </is>
      </c>
    </row>
    <row customHeight="1" ht="17" r="1075" s="155">
      <c r="A1075" s="105" t="n">
        <v>44718</v>
      </c>
      <c r="B1075" s="134" t="n">
        <v>1996.148</v>
      </c>
      <c r="C1075" s="152" t="n">
        <v>23.026</v>
      </c>
      <c r="D1075" s="153" t="n">
        <v>0.0117</v>
      </c>
      <c r="E1075" s="134" t="n">
        <v>139.965</v>
      </c>
      <c r="F1075" s="134" t="n">
        <v>120.99</v>
      </c>
      <c r="G1075" s="134" t="n">
        <v>88.40000000000001</v>
      </c>
      <c r="H1075" s="134" t="n">
        <v>195.52</v>
      </c>
      <c r="I1075" s="104" t="n">
        <v>0.5556</v>
      </c>
      <c r="J1075" s="104" t="n">
        <v>0.3895</v>
      </c>
      <c r="K1075" s="104" t="n">
        <v>-0.0338</v>
      </c>
      <c r="L1075" s="134" t="n">
        <v>1561.8</v>
      </c>
      <c r="M1075" s="134" t="n">
        <v>7381.75</v>
      </c>
      <c r="N1075" s="104" t="n">
        <v>0.2116</v>
      </c>
      <c r="O1075" s="134" t="n">
        <v>412</v>
      </c>
      <c r="P1075" s="134" t="n">
        <v>0</v>
      </c>
      <c r="Q1075" s="134" t="inlineStr">
        <is>
          <t>5 -0.03%</t>
        </is>
      </c>
      <c r="R1075" s="134" t="inlineStr">
        <is>
          <t>55 0.07%</t>
        </is>
      </c>
      <c r="S1075" s="134" t="inlineStr">
        <is>
          <t>133 0.49%</t>
        </is>
      </c>
      <c r="T1075" s="134" t="inlineStr">
        <is>
          <t>97 1.06%</t>
        </is>
      </c>
      <c r="U1075" s="134" t="inlineStr">
        <is>
          <t>122 2.53%</t>
        </is>
      </c>
    </row>
    <row customHeight="1" ht="17" r="1076" s="155">
      <c r="A1076" s="105" t="n">
        <v>44719</v>
      </c>
      <c r="B1076" s="134" t="n">
        <v>1997.885</v>
      </c>
      <c r="C1076" s="152" t="n">
        <v>1.737</v>
      </c>
      <c r="D1076" s="153" t="n">
        <v>0.0009</v>
      </c>
      <c r="E1076" s="134" t="n">
        <v>140.018</v>
      </c>
      <c r="F1076" s="134" t="n">
        <v>121.227</v>
      </c>
      <c r="G1076" s="134" t="n">
        <v>87.89</v>
      </c>
      <c r="H1076" s="134" t="n">
        <v>196.43</v>
      </c>
      <c r="I1076" s="104" t="n">
        <v>0.5641</v>
      </c>
      <c r="J1076" s="104" t="n">
        <v>0.4014</v>
      </c>
      <c r="K1076" s="104" t="n">
        <v>-0.0352</v>
      </c>
      <c r="L1076" s="134" t="n">
        <v>1622.44</v>
      </c>
      <c r="M1076" s="134" t="n">
        <v>7380.66</v>
      </c>
      <c r="N1076" s="104" t="n">
        <v>0.2198</v>
      </c>
      <c r="O1076" s="134" t="n">
        <v>412</v>
      </c>
      <c r="P1076" s="134" t="n">
        <v>0</v>
      </c>
      <c r="Q1076" s="134" t="inlineStr">
        <is>
          <t>5 -0.08%</t>
        </is>
      </c>
      <c r="R1076" s="134" t="inlineStr">
        <is>
          <t>54 -0.01%</t>
        </is>
      </c>
      <c r="S1076" s="134" t="inlineStr">
        <is>
          <t>134 0.04%</t>
        </is>
      </c>
      <c r="T1076" s="134" t="inlineStr">
        <is>
          <t>95 0.06%</t>
        </is>
      </c>
      <c r="U1076" s="134" t="inlineStr">
        <is>
          <t>124 0.21%</t>
        </is>
      </c>
    </row>
    <row customHeight="1" ht="17" r="1077" s="155">
      <c r="A1077" s="105" t="n">
        <v>44720</v>
      </c>
      <c r="B1077" s="134" t="n">
        <v>2002.001</v>
      </c>
      <c r="C1077" s="152" t="n">
        <v>4.116</v>
      </c>
      <c r="D1077" s="153" t="n">
        <v>0.0021</v>
      </c>
      <c r="E1077" s="134" t="n">
        <v>140.46</v>
      </c>
      <c r="F1077" s="134" t="n">
        <v>121.284</v>
      </c>
      <c r="G1077" s="134" t="n">
        <v>88.13</v>
      </c>
      <c r="H1077" s="134" t="n">
        <v>197.53</v>
      </c>
      <c r="I1077" s="104" t="n">
        <v>0.5707</v>
      </c>
      <c r="J1077" s="104" t="n">
        <v>0.3934</v>
      </c>
      <c r="K1077" s="104" t="n">
        <v>-0.035</v>
      </c>
      <c r="L1077" s="134" t="n">
        <v>2080.96</v>
      </c>
      <c r="M1077" s="134" t="n">
        <v>7377.89</v>
      </c>
      <c r="N1077" s="104" t="n">
        <v>0.2821</v>
      </c>
      <c r="O1077" s="134" t="n">
        <v>412</v>
      </c>
      <c r="P1077" s="134" t="n">
        <v>0</v>
      </c>
      <c r="Q1077" s="134" t="inlineStr">
        <is>
          <t>3 0.01%</t>
        </is>
      </c>
      <c r="R1077" s="134" t="inlineStr">
        <is>
          <t>59 0.19%</t>
        </is>
      </c>
      <c r="S1077" s="134" t="inlineStr">
        <is>
          <t>135 0.05%</t>
        </is>
      </c>
      <c r="T1077" s="134" t="inlineStr">
        <is>
          <t>93 0.01%</t>
        </is>
      </c>
      <c r="U1077" s="134" t="inlineStr">
        <is>
          <t>122 0.54%</t>
        </is>
      </c>
    </row>
    <row customHeight="1" ht="17" r="1078" s="155">
      <c r="A1078" s="105" t="n">
        <v>44721</v>
      </c>
      <c r="B1078" s="134" t="n">
        <v>1993.573</v>
      </c>
      <c r="C1078" s="150" t="n">
        <v>-8.428000000000001</v>
      </c>
      <c r="D1078" s="151" t="n">
        <v>-0.0042</v>
      </c>
      <c r="E1078" s="134" t="n">
        <v>139.899</v>
      </c>
      <c r="F1078" s="134" t="n">
        <v>120.841</v>
      </c>
      <c r="G1078" s="134" t="n">
        <v>86.66</v>
      </c>
      <c r="H1078" s="134" t="n">
        <v>199</v>
      </c>
      <c r="I1078" s="104" t="n">
        <v>0.591</v>
      </c>
      <c r="J1078" s="104" t="n">
        <v>0.4084</v>
      </c>
      <c r="K1078" s="104" t="n">
        <v>-0.0337</v>
      </c>
      <c r="L1078" s="134" t="n">
        <v>1840.53</v>
      </c>
      <c r="M1078" s="134" t="n">
        <v>7376.36</v>
      </c>
      <c r="N1078" s="104" t="n">
        <v>0.2495</v>
      </c>
      <c r="O1078" s="134" t="n">
        <v>412</v>
      </c>
      <c r="P1078" s="134" t="n">
        <v>0</v>
      </c>
      <c r="Q1078" s="134" t="inlineStr">
        <is>
          <t>5 -0.40%</t>
        </is>
      </c>
      <c r="R1078" s="134" t="inlineStr">
        <is>
          <t>61 -0.31%</t>
        </is>
      </c>
      <c r="S1078" s="134" t="inlineStr">
        <is>
          <t>131 -0.34%</t>
        </is>
      </c>
      <c r="T1078" s="134" t="inlineStr">
        <is>
          <t>96 -0.64%</t>
        </is>
      </c>
      <c r="U1078" s="134" t="inlineStr">
        <is>
          <t>119 -0.40%</t>
        </is>
      </c>
    </row>
    <row customHeight="1" ht="17" r="1079" s="155">
      <c r="A1079" s="105" t="n">
        <v>44722</v>
      </c>
      <c r="B1079" s="134" t="n">
        <v>2010.259</v>
      </c>
      <c r="C1079" s="152" t="n">
        <v>16.686</v>
      </c>
      <c r="D1079" s="153" t="n">
        <v>0.008399999999999999</v>
      </c>
      <c r="E1079" s="134" t="n">
        <v>141.317</v>
      </c>
      <c r="F1079" s="134" t="n">
        <v>121.64</v>
      </c>
      <c r="G1079" s="134" t="n">
        <v>87.59</v>
      </c>
      <c r="H1079" s="134" t="n">
        <v>198.86</v>
      </c>
      <c r="I1079" s="104" t="n">
        <v>0.5755</v>
      </c>
      <c r="J1079" s="104" t="n">
        <v>0.3931</v>
      </c>
      <c r="K1079" s="104" t="n">
        <v>-0.0398</v>
      </c>
      <c r="L1079" s="134" t="n">
        <v>1700.24</v>
      </c>
      <c r="M1079" s="134" t="n">
        <v>7374.11</v>
      </c>
      <c r="N1079" s="104" t="n">
        <v>0.2306</v>
      </c>
      <c r="O1079" s="134" t="n">
        <v>412</v>
      </c>
      <c r="P1079" s="134" t="n">
        <v>0</v>
      </c>
      <c r="Q1079" s="134" t="inlineStr">
        <is>
          <t>3 0.04%</t>
        </is>
      </c>
      <c r="R1079" s="134" t="inlineStr">
        <is>
          <t>63 0.06%</t>
        </is>
      </c>
      <c r="S1079" s="134" t="inlineStr">
        <is>
          <t>124 0.33%</t>
        </is>
      </c>
      <c r="T1079" s="134" t="inlineStr">
        <is>
          <t>98 0.78%</t>
        </is>
      </c>
      <c r="U1079" s="134" t="inlineStr">
        <is>
          <t>124 1.80%</t>
        </is>
      </c>
    </row>
    <row customHeight="1" ht="17" r="1080" s="155">
      <c r="A1080" s="105" t="n">
        <v>44725</v>
      </c>
      <c r="B1080" s="134" t="n">
        <v>2016.25</v>
      </c>
      <c r="C1080" s="152" t="n">
        <v>5.991</v>
      </c>
      <c r="D1080" s="153" t="n">
        <v>0.003</v>
      </c>
      <c r="E1080" s="134" t="n">
        <v>141.894</v>
      </c>
      <c r="F1080" s="134" t="n">
        <v>122.195</v>
      </c>
      <c r="G1080" s="134" t="n">
        <v>88.33</v>
      </c>
      <c r="H1080" s="134" t="n">
        <v>199.32</v>
      </c>
      <c r="I1080" s="104" t="n">
        <v>0.5743</v>
      </c>
      <c r="J1080" s="104" t="n">
        <v>0.3918</v>
      </c>
      <c r="K1080" s="104" t="n">
        <v>-0.0358</v>
      </c>
      <c r="L1080" s="134" t="n">
        <v>1493.77</v>
      </c>
      <c r="M1080" s="134" t="n">
        <v>7378.63</v>
      </c>
      <c r="N1080" s="104" t="n">
        <v>0.2024</v>
      </c>
      <c r="O1080" s="134" t="n">
        <v>412</v>
      </c>
      <c r="P1080" s="134" t="n">
        <v>0</v>
      </c>
      <c r="Q1080" s="134" t="inlineStr">
        <is>
          <t>4 -0.28%</t>
        </is>
      </c>
      <c r="R1080" s="134" t="inlineStr">
        <is>
          <t>62 -0.13%</t>
        </is>
      </c>
      <c r="S1080" s="134" t="inlineStr">
        <is>
          <t>120 -0.04%</t>
        </is>
      </c>
      <c r="T1080" s="134" t="inlineStr">
        <is>
          <t>99 0.16%</t>
        </is>
      </c>
      <c r="U1080" s="134" t="inlineStr">
        <is>
          <t>127 0.95%</t>
        </is>
      </c>
    </row>
    <row customHeight="1" ht="17" r="1081" s="155">
      <c r="A1081" s="105" t="n">
        <v>44726</v>
      </c>
      <c r="B1081" s="134" t="n">
        <v>2010.746</v>
      </c>
      <c r="C1081" s="150" t="n">
        <v>-5.504</v>
      </c>
      <c r="D1081" s="151" t="n">
        <v>-0.0027</v>
      </c>
      <c r="E1081" s="134" t="n">
        <v>141.289</v>
      </c>
      <c r="F1081" s="134" t="n">
        <v>121.99</v>
      </c>
      <c r="G1081" s="134" t="n">
        <v>88.70999999999999</v>
      </c>
      <c r="H1081" s="134" t="n">
        <v>197.96</v>
      </c>
      <c r="I1081" s="104" t="n">
        <v>0.5667</v>
      </c>
      <c r="J1081" s="104" t="n">
        <v>0.3818</v>
      </c>
      <c r="K1081" s="104" t="n">
        <v>-0.0353</v>
      </c>
      <c r="L1081" s="134" t="n">
        <v>1583.91</v>
      </c>
      <c r="M1081" s="134" t="n">
        <v>7410.45</v>
      </c>
      <c r="N1081" s="104" t="n">
        <v>0.2137</v>
      </c>
      <c r="O1081" s="134" t="n">
        <v>413</v>
      </c>
      <c r="P1081" s="134" t="n">
        <v>0</v>
      </c>
      <c r="Q1081" s="134" t="inlineStr">
        <is>
          <t>4 -0.28%</t>
        </is>
      </c>
      <c r="R1081" s="134" t="inlineStr">
        <is>
          <t>63 -0.09%</t>
        </is>
      </c>
      <c r="S1081" s="134" t="inlineStr">
        <is>
          <t>120 -0.15%</t>
        </is>
      </c>
      <c r="T1081" s="134" t="inlineStr">
        <is>
          <t>103 -0.23%</t>
        </is>
      </c>
      <c r="U1081" s="134" t="inlineStr">
        <is>
          <t>123 -0.52%</t>
        </is>
      </c>
    </row>
    <row customHeight="1" ht="17" r="1082" s="155">
      <c r="A1082" s="105" t="n">
        <v>44727</v>
      </c>
      <c r="B1082" s="134" t="n">
        <v>2024.64</v>
      </c>
      <c r="C1082" s="152" t="n">
        <v>13.894</v>
      </c>
      <c r="D1082" s="153" t="n">
        <v>0.0069</v>
      </c>
      <c r="E1082" s="134" t="n">
        <v>142.198</v>
      </c>
      <c r="F1082" s="134" t="n">
        <v>122.97</v>
      </c>
      <c r="G1082" s="134" t="n">
        <v>88.89</v>
      </c>
      <c r="H1082" s="134" t="n">
        <v>199.97</v>
      </c>
      <c r="I1082" s="104" t="n">
        <v>0.5778</v>
      </c>
      <c r="J1082" s="104" t="n">
        <v>0.3907</v>
      </c>
      <c r="K1082" s="104" t="n">
        <v>-0.0374</v>
      </c>
      <c r="L1082" s="134" t="n">
        <v>1622.3</v>
      </c>
      <c r="M1082" s="134" t="n">
        <v>7406.27</v>
      </c>
      <c r="N1082" s="104" t="n">
        <v>0.219</v>
      </c>
      <c r="O1082" s="134" t="n">
        <v>413</v>
      </c>
      <c r="P1082" s="134" t="n">
        <v>0</v>
      </c>
      <c r="Q1082" s="134" t="inlineStr">
        <is>
          <t>3 0.06%</t>
        </is>
      </c>
      <c r="R1082" s="134" t="inlineStr">
        <is>
          <t>58 0.41%</t>
        </is>
      </c>
      <c r="S1082" s="134" t="inlineStr">
        <is>
          <t>119 0.61%</t>
        </is>
      </c>
      <c r="T1082" s="134" t="inlineStr">
        <is>
          <t>107 0.55%</t>
        </is>
      </c>
      <c r="U1082" s="134" t="inlineStr">
        <is>
          <t>126 1.04%</t>
        </is>
      </c>
    </row>
    <row customHeight="1" ht="17" r="1083" s="155">
      <c r="A1083" s="105" t="n">
        <v>44728</v>
      </c>
      <c r="B1083" s="134" t="n">
        <v>2039.4</v>
      </c>
      <c r="C1083" s="152" t="n">
        <v>14.76</v>
      </c>
      <c r="D1083" s="153" t="n">
        <v>0.0073</v>
      </c>
      <c r="E1083" s="134" t="n">
        <v>143.405</v>
      </c>
      <c r="F1083" s="134" t="n">
        <v>123.83</v>
      </c>
      <c r="G1083" s="134" t="n">
        <v>89.14</v>
      </c>
      <c r="H1083" s="134" t="n">
        <v>201.2</v>
      </c>
      <c r="I1083" s="104" t="n">
        <v>0.5779</v>
      </c>
      <c r="J1083" s="104" t="n">
        <v>0.3861</v>
      </c>
      <c r="K1083" s="104" t="n">
        <v>-0.0385</v>
      </c>
      <c r="L1083" s="134" t="n">
        <v>1823.79</v>
      </c>
      <c r="M1083" s="134" t="n">
        <v>7405.48</v>
      </c>
      <c r="N1083" s="104" t="n">
        <v>0.2463</v>
      </c>
      <c r="O1083" s="134" t="n">
        <v>413</v>
      </c>
      <c r="P1083" s="134" t="n">
        <v>0</v>
      </c>
      <c r="Q1083" s="134" t="inlineStr">
        <is>
          <t>4 0.16%</t>
        </is>
      </c>
      <c r="R1083" s="134" t="inlineStr">
        <is>
          <t>53 0.13%</t>
        </is>
      </c>
      <c r="S1083" s="134" t="inlineStr">
        <is>
          <t>117 0.31%</t>
        </is>
      </c>
      <c r="T1083" s="134" t="inlineStr">
        <is>
          <t>104 0.63%</t>
        </is>
      </c>
      <c r="U1083" s="134" t="inlineStr">
        <is>
          <t>135 1.42%</t>
        </is>
      </c>
    </row>
    <row customHeight="1" ht="17" r="1084" s="155">
      <c r="A1084" s="105" t="n">
        <v>44729</v>
      </c>
      <c r="B1084" s="134" t="n">
        <v>2049.332</v>
      </c>
      <c r="C1084" s="152" t="n">
        <v>9.932</v>
      </c>
      <c r="D1084" s="153" t="n">
        <v>0.0049</v>
      </c>
      <c r="E1084" s="134" t="n">
        <v>144.016</v>
      </c>
      <c r="F1084" s="134" t="n">
        <v>124.15</v>
      </c>
      <c r="G1084" s="134" t="n">
        <v>89.58</v>
      </c>
      <c r="H1084" s="134" t="n">
        <v>201.4</v>
      </c>
      <c r="I1084" s="104" t="n">
        <v>0.5739</v>
      </c>
      <c r="J1084" s="104" t="n">
        <v>0.3894</v>
      </c>
      <c r="K1084" s="104" t="n">
        <v>-0.0414</v>
      </c>
      <c r="L1084" s="134" t="n">
        <v>1747.24</v>
      </c>
      <c r="M1084" s="134" t="n">
        <v>7404.71</v>
      </c>
      <c r="N1084" s="104" t="n">
        <v>0.236</v>
      </c>
      <c r="O1084" s="134" t="n">
        <v>413</v>
      </c>
      <c r="P1084" s="134" t="n">
        <v>0</v>
      </c>
      <c r="Q1084" s="134" t="inlineStr">
        <is>
          <t>4 -0.18%</t>
        </is>
      </c>
      <c r="R1084" s="134" t="inlineStr">
        <is>
          <t>47 0.21%</t>
        </is>
      </c>
      <c r="S1084" s="134" t="inlineStr">
        <is>
          <t>117 0.43%</t>
        </is>
      </c>
      <c r="T1084" s="134" t="inlineStr">
        <is>
          <t>100 0.49%</t>
        </is>
      </c>
      <c r="U1084" s="134" t="inlineStr">
        <is>
          <t>145 0.64%</t>
        </is>
      </c>
    </row>
    <row customHeight="1" ht="17" r="1085" s="155">
      <c r="A1085" s="105" t="n">
        <v>44732</v>
      </c>
      <c r="B1085" s="134" t="n">
        <v>2026.277</v>
      </c>
      <c r="C1085" s="150" t="n">
        <v>-23.055</v>
      </c>
      <c r="D1085" s="151" t="n">
        <v>-0.0113</v>
      </c>
      <c r="E1085" s="134" t="n">
        <v>141.814</v>
      </c>
      <c r="F1085" s="134" t="n">
        <v>123.14</v>
      </c>
      <c r="G1085" s="134" t="n">
        <v>90.40000000000001</v>
      </c>
      <c r="H1085" s="134" t="n">
        <v>194.81</v>
      </c>
      <c r="I1085" s="104" t="n">
        <v>0.5299</v>
      </c>
      <c r="J1085" s="104" t="n">
        <v>0.3576</v>
      </c>
      <c r="K1085" s="104" t="n">
        <v>-0.0395</v>
      </c>
      <c r="L1085" s="134" t="n">
        <v>1245.02</v>
      </c>
      <c r="M1085" s="134" t="n">
        <v>7402.68</v>
      </c>
      <c r="N1085" s="104" t="n">
        <v>0.1682</v>
      </c>
      <c r="O1085" s="134" t="n">
        <v>413</v>
      </c>
      <c r="P1085" s="134" t="n">
        <v>0</v>
      </c>
      <c r="Q1085" s="134" t="inlineStr">
        <is>
          <t>5 -0.39%</t>
        </is>
      </c>
      <c r="R1085" s="134" t="inlineStr">
        <is>
          <t>51 -0.31%</t>
        </is>
      </c>
      <c r="S1085" s="134" t="inlineStr">
        <is>
          <t>126 -0.78%</t>
        </is>
      </c>
      <c r="T1085" s="134" t="inlineStr">
        <is>
          <t>93 -0.83%</t>
        </is>
      </c>
      <c r="U1085" s="134" t="inlineStr">
        <is>
          <t>138 -1.97%</t>
        </is>
      </c>
    </row>
    <row customHeight="1" ht="17" r="1086" s="155">
      <c r="A1086" s="105" t="n">
        <v>44733</v>
      </c>
      <c r="B1086" s="134" t="n">
        <v>2029.316</v>
      </c>
      <c r="C1086" s="152" t="n">
        <v>3.039</v>
      </c>
      <c r="D1086" s="153" t="n">
        <v>0.0015</v>
      </c>
      <c r="E1086" s="134" t="n">
        <v>142.16</v>
      </c>
      <c r="F1086" s="134" t="n">
        <v>122.98</v>
      </c>
      <c r="G1086" s="134" t="n">
        <v>90.55</v>
      </c>
      <c r="H1086" s="134" t="n">
        <v>196.15</v>
      </c>
      <c r="I1086" s="104" t="n">
        <v>0.5399</v>
      </c>
      <c r="J1086" s="104" t="n">
        <v>0.3604</v>
      </c>
      <c r="K1086" s="104" t="n">
        <v>-0.0383</v>
      </c>
      <c r="L1086" s="134" t="n">
        <v>1323.87</v>
      </c>
      <c r="M1086" s="134" t="n">
        <v>7401.87</v>
      </c>
      <c r="N1086" s="104" t="n">
        <v>0.1789</v>
      </c>
      <c r="O1086" s="134" t="n">
        <v>413</v>
      </c>
      <c r="P1086" s="134" t="n">
        <v>0</v>
      </c>
      <c r="Q1086" s="134" t="inlineStr">
        <is>
          <t>5 0.18%</t>
        </is>
      </c>
      <c r="R1086" s="134" t="inlineStr">
        <is>
          <t>52 -0.14%</t>
        </is>
      </c>
      <c r="S1086" s="134" t="inlineStr">
        <is>
          <t>127 -0.11%</t>
        </is>
      </c>
      <c r="T1086" s="134" t="inlineStr">
        <is>
          <t>92 -0.24%</t>
        </is>
      </c>
      <c r="U1086" s="134" t="inlineStr">
        <is>
          <t>137 0.76%</t>
        </is>
      </c>
    </row>
    <row customHeight="1" ht="17" r="1087" s="155">
      <c r="A1087" s="105" t="n">
        <v>44734</v>
      </c>
      <c r="B1087" s="134" t="n">
        <v>2032.177</v>
      </c>
      <c r="C1087" s="152" t="n">
        <v>2.861</v>
      </c>
      <c r="D1087" s="153" t="n">
        <v>0.0014</v>
      </c>
      <c r="E1087" s="134" t="n">
        <v>142.579</v>
      </c>
      <c r="F1087" s="134" t="n">
        <v>122.544</v>
      </c>
      <c r="G1087" s="134" t="n">
        <v>89.03</v>
      </c>
      <c r="H1087" s="134" t="n">
        <v>198.82</v>
      </c>
      <c r="I1087" s="104" t="n">
        <v>0.5624</v>
      </c>
      <c r="J1087" s="104" t="n">
        <v>0.3799</v>
      </c>
      <c r="K1087" s="104" t="n">
        <v>-0.0387</v>
      </c>
      <c r="L1087" s="134" t="n">
        <v>1572.6</v>
      </c>
      <c r="M1087" s="134" t="n">
        <v>7406.5</v>
      </c>
      <c r="N1087" s="104" t="n">
        <v>0.2123</v>
      </c>
      <c r="O1087" s="134" t="n">
        <v>414</v>
      </c>
      <c r="P1087" s="134" t="n">
        <v>0</v>
      </c>
      <c r="Q1087" s="134" t="inlineStr">
        <is>
          <t>5 -0.14%</t>
        </is>
      </c>
      <c r="R1087" s="134" t="inlineStr">
        <is>
          <t>54 -0.20%</t>
        </is>
      </c>
      <c r="S1087" s="134" t="inlineStr">
        <is>
          <t>124 -0.33%</t>
        </is>
      </c>
      <c r="T1087" s="134" t="inlineStr">
        <is>
          <t>93 -0.31%</t>
        </is>
      </c>
      <c r="U1087" s="134" t="inlineStr">
        <is>
          <t>138 1.01%</t>
        </is>
      </c>
    </row>
    <row customHeight="1" ht="17" r="1088" s="155">
      <c r="A1088" s="105" t="n">
        <v>44735</v>
      </c>
      <c r="B1088" s="134" t="n">
        <v>2048.008</v>
      </c>
      <c r="C1088" s="152" t="n">
        <v>15.831</v>
      </c>
      <c r="D1088" s="153" t="n">
        <v>0.0078</v>
      </c>
      <c r="E1088" s="134" t="n">
        <v>143.747</v>
      </c>
      <c r="F1088" s="134" t="n">
        <v>123.85</v>
      </c>
      <c r="G1088" s="134" t="n">
        <v>90.98999999999999</v>
      </c>
      <c r="H1088" s="134" t="n">
        <v>197.76</v>
      </c>
      <c r="I1088" s="104" t="n">
        <v>0.5401</v>
      </c>
      <c r="J1088" s="104" t="n">
        <v>0.3597</v>
      </c>
      <c r="K1088" s="104" t="n">
        <v>-0.0414</v>
      </c>
      <c r="L1088" s="134" t="n">
        <v>1647.72</v>
      </c>
      <c r="M1088" s="134" t="n">
        <v>7405.77</v>
      </c>
      <c r="N1088" s="104" t="n">
        <v>0.2225</v>
      </c>
      <c r="O1088" s="134" t="n">
        <v>414</v>
      </c>
      <c r="P1088" s="134" t="n">
        <v>0</v>
      </c>
      <c r="Q1088" s="134" t="inlineStr">
        <is>
          <t>5 0.18%</t>
        </is>
      </c>
      <c r="R1088" s="134" t="inlineStr">
        <is>
          <t>49 0.22%</t>
        </is>
      </c>
      <c r="S1088" s="134" t="inlineStr">
        <is>
          <t>118 0.44%</t>
        </is>
      </c>
      <c r="T1088" s="134" t="inlineStr">
        <is>
          <t>94 0.83%</t>
        </is>
      </c>
      <c r="U1088" s="134" t="inlineStr">
        <is>
          <t>148 1.22%</t>
        </is>
      </c>
    </row>
    <row customHeight="1" ht="17" r="1089" s="155">
      <c r="A1089" s="105" t="n">
        <v>44736</v>
      </c>
      <c r="B1089" s="134" t="n">
        <v>2062.979</v>
      </c>
      <c r="C1089" s="152" t="n">
        <v>14.971</v>
      </c>
      <c r="D1089" s="153" t="n">
        <v>0.0073</v>
      </c>
      <c r="E1089" s="134" t="n">
        <v>144.833</v>
      </c>
      <c r="F1089" s="134" t="n">
        <v>124.58</v>
      </c>
      <c r="G1089" s="134" t="n">
        <v>91.56</v>
      </c>
      <c r="H1089" s="134" t="n">
        <v>198.2</v>
      </c>
      <c r="I1089" s="104" t="n">
        <v>0.5337</v>
      </c>
      <c r="J1089" s="104" t="n">
        <v>0.354</v>
      </c>
      <c r="K1089" s="104" t="n">
        <v>-0.0436</v>
      </c>
      <c r="L1089" s="134" t="n">
        <v>1646.32</v>
      </c>
      <c r="M1089" s="134" t="n">
        <v>7404.64</v>
      </c>
      <c r="N1089" s="104" t="n">
        <v>0.2223</v>
      </c>
      <c r="O1089" s="134" t="n">
        <v>414</v>
      </c>
      <c r="P1089" s="134" t="n">
        <v>0</v>
      </c>
      <c r="Q1089" s="134" t="inlineStr">
        <is>
          <t>5 -0.08%</t>
        </is>
      </c>
      <c r="R1089" s="134" t="inlineStr">
        <is>
          <t>44 0.19%</t>
        </is>
      </c>
      <c r="S1089" s="134" t="inlineStr">
        <is>
          <t>117 0.49%</t>
        </is>
      </c>
      <c r="T1089" s="134" t="inlineStr">
        <is>
          <t>92 0.61%</t>
        </is>
      </c>
      <c r="U1089" s="134" t="inlineStr">
        <is>
          <t>156 1.16%</t>
        </is>
      </c>
    </row>
    <row customHeight="1" ht="17" r="1090" s="155">
      <c r="A1090" s="105" t="n">
        <v>44739</v>
      </c>
      <c r="B1090" s="134" t="n">
        <v>2083.691</v>
      </c>
      <c r="C1090" s="152" t="n">
        <v>20.712</v>
      </c>
      <c r="D1090" s="153" t="n">
        <v>0.01</v>
      </c>
      <c r="E1090" s="134" t="n">
        <v>146.509</v>
      </c>
      <c r="F1090" s="134" t="n">
        <v>125.815</v>
      </c>
      <c r="G1090" s="134" t="n">
        <v>91.77</v>
      </c>
      <c r="H1090" s="134" t="n">
        <v>199.62</v>
      </c>
      <c r="I1090" s="104" t="n">
        <v>0.5311</v>
      </c>
      <c r="J1090" s="104" t="n">
        <v>0.3615</v>
      </c>
      <c r="K1090" s="104" t="n">
        <v>-0.0449</v>
      </c>
      <c r="L1090" s="134" t="n">
        <v>1578.19</v>
      </c>
      <c r="M1090" s="134" t="n">
        <v>7402.97</v>
      </c>
      <c r="N1090" s="104" t="n">
        <v>0.2132</v>
      </c>
      <c r="O1090" s="134" t="n">
        <v>414</v>
      </c>
      <c r="P1090" s="134" t="n">
        <v>0</v>
      </c>
      <c r="Q1090" s="134" t="inlineStr">
        <is>
          <t>4 0.30%</t>
        </is>
      </c>
      <c r="R1090" s="134" t="inlineStr">
        <is>
          <t>37 0.57%</t>
        </is>
      </c>
      <c r="S1090" s="134" t="inlineStr">
        <is>
          <t>114 0.73%</t>
        </is>
      </c>
      <c r="T1090" s="134" t="inlineStr">
        <is>
          <t>94 0.91%</t>
        </is>
      </c>
      <c r="U1090" s="134" t="inlineStr">
        <is>
          <t>165 1.36%</t>
        </is>
      </c>
    </row>
    <row customHeight="1" ht="17" r="1091" s="155">
      <c r="A1091" s="105" t="n">
        <v>44740</v>
      </c>
      <c r="B1091" s="134" t="n">
        <v>2099.86</v>
      </c>
      <c r="C1091" s="152" t="n">
        <v>16.169</v>
      </c>
      <c r="D1091" s="153" t="n">
        <v>0.0078</v>
      </c>
      <c r="E1091" s="134" t="n">
        <v>147.992</v>
      </c>
      <c r="F1091" s="134" t="n">
        <v>126.95</v>
      </c>
      <c r="G1091" s="134" t="n">
        <v>93.31999999999999</v>
      </c>
      <c r="H1091" s="134" t="n">
        <v>200.34</v>
      </c>
      <c r="I1091" s="104" t="n">
        <v>0.5235</v>
      </c>
      <c r="J1091" s="104" t="n">
        <v>0.3536</v>
      </c>
      <c r="K1091" s="104" t="n">
        <v>-0.0452</v>
      </c>
      <c r="L1091" s="134" t="n">
        <v>1727.02</v>
      </c>
      <c r="M1091" s="134" t="n">
        <v>7400.2</v>
      </c>
      <c r="N1091" s="104" t="n">
        <v>0.2334</v>
      </c>
      <c r="O1091" s="134" t="n">
        <v>413</v>
      </c>
      <c r="P1091" s="134" t="n">
        <v>0</v>
      </c>
      <c r="Q1091" s="134" t="inlineStr">
        <is>
          <t>4 0.26%</t>
        </is>
      </c>
      <c r="R1091" s="134" t="inlineStr">
        <is>
          <t>32 0.06%</t>
        </is>
      </c>
      <c r="S1091" s="134" t="inlineStr">
        <is>
          <t>111 0.58%</t>
        </is>
      </c>
      <c r="T1091" s="134" t="inlineStr">
        <is>
          <t>95 0.63%</t>
        </is>
      </c>
      <c r="U1091" s="134" t="inlineStr">
        <is>
          <t>171 1.13%</t>
        </is>
      </c>
    </row>
    <row customHeight="1" ht="17" r="1092" s="155">
      <c r="A1092" s="105" t="n">
        <v>44741</v>
      </c>
      <c r="B1092" s="134" t="n">
        <v>2071.995</v>
      </c>
      <c r="C1092" s="150" t="n">
        <v>-27.865</v>
      </c>
      <c r="D1092" s="151" t="n">
        <v>-0.0133</v>
      </c>
      <c r="E1092" s="134" t="n">
        <v>145.467</v>
      </c>
      <c r="F1092" s="134" t="n">
        <v>125</v>
      </c>
      <c r="G1092" s="134" t="n">
        <v>91.41</v>
      </c>
      <c r="H1092" s="134" t="n">
        <v>199.32</v>
      </c>
      <c r="I1092" s="104" t="n">
        <v>0.5386</v>
      </c>
      <c r="J1092" s="104" t="n">
        <v>0.3678</v>
      </c>
      <c r="K1092" s="104" t="n">
        <v>-0.043</v>
      </c>
      <c r="L1092" s="134" t="n">
        <v>1612.54</v>
      </c>
      <c r="M1092" s="134" t="n">
        <v>7398.39</v>
      </c>
      <c r="N1092" s="104" t="n">
        <v>0.218</v>
      </c>
      <c r="O1092" s="134" t="n">
        <v>412</v>
      </c>
      <c r="P1092" s="134" t="n">
        <v>0</v>
      </c>
      <c r="Q1092" s="134" t="inlineStr">
        <is>
          <t>6 -0.46%</t>
        </is>
      </c>
      <c r="R1092" s="134" t="inlineStr">
        <is>
          <t>34 -0.31%</t>
        </is>
      </c>
      <c r="S1092" s="134" t="inlineStr">
        <is>
          <t>117 -0.62%</t>
        </is>
      </c>
      <c r="T1092" s="134" t="inlineStr">
        <is>
          <t>101 -1.38%</t>
        </is>
      </c>
      <c r="U1092" s="134" t="inlineStr">
        <is>
          <t>154 -2.09%</t>
        </is>
      </c>
    </row>
    <row customHeight="1" ht="17" r="1093" s="155">
      <c r="A1093" s="105" t="n">
        <v>44742</v>
      </c>
      <c r="B1093" s="134" t="n">
        <v>2085.401</v>
      </c>
      <c r="C1093" s="152" t="n">
        <v>13.406</v>
      </c>
      <c r="D1093" s="153" t="n">
        <v>0.0065</v>
      </c>
      <c r="E1093" s="134" t="n">
        <v>146.601</v>
      </c>
      <c r="F1093" s="134" t="n">
        <v>125.589</v>
      </c>
      <c r="G1093" s="134" t="n">
        <v>91.76000000000001</v>
      </c>
      <c r="H1093" s="134" t="n">
        <v>200.23</v>
      </c>
      <c r="I1093" s="104" t="n">
        <v>0.5362</v>
      </c>
      <c r="J1093" s="104" t="n">
        <v>0.3667</v>
      </c>
      <c r="K1093" s="104" t="n">
        <v>-0.0447</v>
      </c>
      <c r="L1093" s="134" t="n">
        <v>1511.98</v>
      </c>
      <c r="M1093" s="134" t="n">
        <v>7398.1</v>
      </c>
      <c r="N1093" s="104" t="n">
        <v>0.2044</v>
      </c>
      <c r="O1093" s="134" t="n">
        <v>412</v>
      </c>
      <c r="P1093" s="134" t="n">
        <v>0</v>
      </c>
      <c r="Q1093" s="134" t="inlineStr">
        <is>
          <t>6 0.00%</t>
        </is>
      </c>
      <c r="R1093" s="134" t="inlineStr">
        <is>
          <t>32 0.15%</t>
        </is>
      </c>
      <c r="S1093" s="134" t="inlineStr">
        <is>
          <t>115 0.42%</t>
        </is>
      </c>
      <c r="T1093" s="134" t="inlineStr">
        <is>
          <t>96 0.45%</t>
        </is>
      </c>
      <c r="U1093" s="134" t="inlineStr">
        <is>
          <t>163 1.04%</t>
        </is>
      </c>
    </row>
    <row customHeight="1" ht="17" r="1094" s="155">
      <c r="A1094" s="105" t="n">
        <v>44743</v>
      </c>
      <c r="B1094" s="134" t="n">
        <v>2084.942</v>
      </c>
      <c r="C1094" s="150" t="n">
        <v>-0.459</v>
      </c>
      <c r="D1094" s="151" t="n">
        <v>-0.0002</v>
      </c>
      <c r="E1094" s="134" t="n">
        <v>146.636</v>
      </c>
      <c r="F1094" s="134" t="n">
        <v>125.555</v>
      </c>
      <c r="G1094" s="134" t="n">
        <v>90.90000000000001</v>
      </c>
      <c r="H1094" s="134" t="n">
        <v>200.39</v>
      </c>
      <c r="I1094" s="104" t="n">
        <v>0.5375</v>
      </c>
      <c r="J1094" s="104" t="n">
        <v>0.3716</v>
      </c>
      <c r="K1094" s="104" t="n">
        <v>-0.0433</v>
      </c>
      <c r="L1094" s="134" t="n">
        <v>1299.58</v>
      </c>
      <c r="M1094" s="134" t="n">
        <v>7396.07</v>
      </c>
      <c r="N1094" s="104" t="n">
        <v>0.1757</v>
      </c>
      <c r="O1094" s="134" t="n">
        <v>412</v>
      </c>
      <c r="P1094" s="134" t="n">
        <v>0</v>
      </c>
      <c r="Q1094" s="134" t="inlineStr">
        <is>
          <t>5 0.06%</t>
        </is>
      </c>
      <c r="R1094" s="134" t="inlineStr">
        <is>
          <t>33 0.13%</t>
        </is>
      </c>
      <c r="S1094" s="134" t="inlineStr">
        <is>
          <t>113 0.13%</t>
        </is>
      </c>
      <c r="T1094" s="134" t="inlineStr">
        <is>
          <t>92 0.21%</t>
        </is>
      </c>
      <c r="U1094" s="134" t="inlineStr">
        <is>
          <t>169 -0.29%</t>
        </is>
      </c>
    </row>
    <row customHeight="1" ht="17" r="1095" s="155">
      <c r="A1095" s="105" t="n">
        <v>44746</v>
      </c>
      <c r="B1095" s="134" t="n">
        <v>2098.911</v>
      </c>
      <c r="C1095" s="152" t="n">
        <v>13.969</v>
      </c>
      <c r="D1095" s="153" t="n">
        <v>0.0067</v>
      </c>
      <c r="E1095" s="134" t="n">
        <v>147.983</v>
      </c>
      <c r="F1095" s="134" t="n">
        <v>126.13</v>
      </c>
      <c r="G1095" s="134" t="n">
        <v>92.56999999999999</v>
      </c>
      <c r="H1095" s="134" t="n">
        <v>201.26</v>
      </c>
      <c r="I1095" s="104" t="n">
        <v>0.5328000000000001</v>
      </c>
      <c r="J1095" s="104" t="n">
        <v>0.3663</v>
      </c>
      <c r="K1095" s="104" t="n">
        <v>-0.0431</v>
      </c>
      <c r="L1095" s="134" t="n">
        <v>1263.89</v>
      </c>
      <c r="M1095" s="134" t="n">
        <v>7397.93</v>
      </c>
      <c r="N1095" s="104" t="n">
        <v>0.1708</v>
      </c>
      <c r="O1095" s="134" t="n">
        <v>413</v>
      </c>
      <c r="P1095" s="134" t="n">
        <v>0</v>
      </c>
      <c r="Q1095" s="134" t="inlineStr">
        <is>
          <t>5 -0.02%</t>
        </is>
      </c>
      <c r="R1095" s="134" t="inlineStr">
        <is>
          <t>30 0.22%</t>
        </is>
      </c>
      <c r="S1095" s="134" t="inlineStr">
        <is>
          <t>114 0.15%</t>
        </is>
      </c>
      <c r="T1095" s="134" t="inlineStr">
        <is>
          <t>94 0.20%</t>
        </is>
      </c>
      <c r="U1095" s="134" t="inlineStr">
        <is>
          <t>170 1.38%</t>
        </is>
      </c>
    </row>
    <row customHeight="1" ht="17" r="1096" s="155">
      <c r="A1096" s="105" t="n">
        <v>44747</v>
      </c>
      <c r="B1096" s="134" t="n">
        <v>2093.706</v>
      </c>
      <c r="C1096" s="150" t="n">
        <v>-5.205</v>
      </c>
      <c r="D1096" s="151" t="n">
        <v>-0.0025</v>
      </c>
      <c r="E1096" s="134" t="n">
        <v>147.712</v>
      </c>
      <c r="F1096" s="134" t="n">
        <v>125.428</v>
      </c>
      <c r="G1096" s="134" t="n">
        <v>91.90000000000001</v>
      </c>
      <c r="H1096" s="134" t="n">
        <v>201.36</v>
      </c>
      <c r="I1096" s="104" t="n">
        <v>0.5365</v>
      </c>
      <c r="J1096" s="104" t="n">
        <v>0.3682</v>
      </c>
      <c r="K1096" s="104" t="n">
        <v>-0.0413</v>
      </c>
      <c r="L1096" s="134" t="n">
        <v>1283.59</v>
      </c>
      <c r="M1096" s="134" t="n">
        <v>7394.58</v>
      </c>
      <c r="N1096" s="104" t="n">
        <v>0.1736</v>
      </c>
      <c r="O1096" s="134" t="n">
        <v>413</v>
      </c>
      <c r="P1096" s="134" t="n">
        <v>0</v>
      </c>
      <c r="Q1096" s="134" t="inlineStr">
        <is>
          <t>4 -0.03%</t>
        </is>
      </c>
      <c r="R1096" s="134" t="inlineStr">
        <is>
          <t>31 -0.09%</t>
        </is>
      </c>
      <c r="S1096" s="134" t="inlineStr">
        <is>
          <t>117 -0.34%</t>
        </is>
      </c>
      <c r="T1096" s="134" t="inlineStr">
        <is>
          <t>95 -0.50%</t>
        </is>
      </c>
      <c r="U1096" s="134" t="inlineStr">
        <is>
          <t>166 -0.08%</t>
        </is>
      </c>
    </row>
    <row customHeight="1" ht="17" r="1097" s="155">
      <c r="A1097" s="105" t="n">
        <v>44748</v>
      </c>
      <c r="B1097" s="134" t="n">
        <v>2078.485</v>
      </c>
      <c r="C1097" s="150" t="n">
        <v>-15.221</v>
      </c>
      <c r="D1097" s="151" t="n">
        <v>-0.0073</v>
      </c>
      <c r="E1097" s="134" t="n">
        <v>146.756</v>
      </c>
      <c r="F1097" s="134" t="n">
        <v>124.348</v>
      </c>
      <c r="G1097" s="134" t="n">
        <v>90.72</v>
      </c>
      <c r="H1097" s="134" t="n">
        <v>200.49</v>
      </c>
      <c r="I1097" s="104" t="n">
        <v>0.5373</v>
      </c>
      <c r="J1097" s="104" t="n">
        <v>0.3648</v>
      </c>
      <c r="K1097" s="104" t="n">
        <v>-0.0393</v>
      </c>
      <c r="L1097" s="134" t="n">
        <v>1211.28</v>
      </c>
      <c r="M1097" s="134" t="n">
        <v>7403.48</v>
      </c>
      <c r="N1097" s="104" t="n">
        <v>0.1636</v>
      </c>
      <c r="O1097" s="134" t="n">
        <v>414</v>
      </c>
      <c r="P1097" s="134" t="n">
        <v>0</v>
      </c>
      <c r="Q1097" s="134" t="inlineStr">
        <is>
          <t>4 -0.25%</t>
        </is>
      </c>
      <c r="R1097" s="134" t="inlineStr">
        <is>
          <t>37 -0.59%</t>
        </is>
      </c>
      <c r="S1097" s="134" t="inlineStr">
        <is>
          <t>125 -0.80%</t>
        </is>
      </c>
      <c r="T1097" s="134" t="inlineStr">
        <is>
          <t>97 -0.97%</t>
        </is>
      </c>
      <c r="U1097" s="134" t="inlineStr">
        <is>
          <t>151 -0.56%</t>
        </is>
      </c>
    </row>
    <row customHeight="1" ht="17" r="1098" s="155">
      <c r="A1098" s="105" t="n">
        <v>44749</v>
      </c>
      <c r="B1098" s="134" t="n">
        <v>2090.997</v>
      </c>
      <c r="C1098" s="152" t="n">
        <v>12.512</v>
      </c>
      <c r="D1098" s="153" t="n">
        <v>0.006</v>
      </c>
      <c r="E1098" s="134" t="n">
        <v>147.664</v>
      </c>
      <c r="F1098" s="134" t="n">
        <v>125.107</v>
      </c>
      <c r="G1098" s="134" t="n">
        <v>91.31</v>
      </c>
      <c r="H1098" s="134" t="n">
        <v>201.14</v>
      </c>
      <c r="I1098" s="104" t="n">
        <v>0.5347</v>
      </c>
      <c r="J1098" s="104" t="n">
        <v>0.3719</v>
      </c>
      <c r="K1098" s="104" t="n">
        <v>-0.0406</v>
      </c>
      <c r="L1098" s="134" t="n">
        <v>1288.43</v>
      </c>
      <c r="M1098" s="134" t="n">
        <v>7400.47</v>
      </c>
      <c r="N1098" s="104" t="n">
        <v>0.1741</v>
      </c>
      <c r="O1098" s="134" t="n">
        <v>413</v>
      </c>
      <c r="P1098" s="134" t="n">
        <v>0</v>
      </c>
      <c r="Q1098" s="134" t="inlineStr">
        <is>
          <t>4 0.12%</t>
        </is>
      </c>
      <c r="R1098" s="134" t="inlineStr">
        <is>
          <t>38 -0.01%</t>
        </is>
      </c>
      <c r="S1098" s="134" t="inlineStr">
        <is>
          <t>120 0.14%</t>
        </is>
      </c>
      <c r="T1098" s="134" t="inlineStr">
        <is>
          <t>92 0.42%</t>
        </is>
      </c>
      <c r="U1098" s="134" t="inlineStr">
        <is>
          <t>159 1.22%</t>
        </is>
      </c>
    </row>
    <row customHeight="1" ht="17" r="1099" s="155">
      <c r="A1099" s="105" t="n">
        <v>44750</v>
      </c>
      <c r="B1099" s="134" t="n">
        <v>2085.017</v>
      </c>
      <c r="C1099" s="150" t="n">
        <v>-5.98</v>
      </c>
      <c r="D1099" s="151" t="n">
        <v>-0.0029</v>
      </c>
      <c r="E1099" s="134" t="n">
        <v>146.589</v>
      </c>
      <c r="F1099" s="134" t="n">
        <v>124.937</v>
      </c>
      <c r="G1099" s="134" t="n">
        <v>90.90000000000001</v>
      </c>
      <c r="H1099" s="134" t="n">
        <v>199.66</v>
      </c>
      <c r="I1099" s="104" t="n">
        <v>0.5306999999999999</v>
      </c>
      <c r="J1099" s="104" t="n">
        <v>0.3755</v>
      </c>
      <c r="K1099" s="104" t="n">
        <v>-0.0432</v>
      </c>
      <c r="L1099" s="134" t="n">
        <v>1040.64</v>
      </c>
      <c r="M1099" s="134" t="n">
        <v>7397.14</v>
      </c>
      <c r="N1099" s="104" t="n">
        <v>0.1407</v>
      </c>
      <c r="O1099" s="134" t="n">
        <v>412</v>
      </c>
      <c r="P1099" s="134" t="n">
        <v>0</v>
      </c>
      <c r="Q1099" s="134" t="inlineStr">
        <is>
          <t>4 0.07%</t>
        </is>
      </c>
      <c r="R1099" s="134" t="inlineStr">
        <is>
          <t>36 0.26%</t>
        </is>
      </c>
      <c r="S1099" s="134" t="inlineStr">
        <is>
          <t>112 0.27%</t>
        </is>
      </c>
      <c r="T1099" s="134" t="inlineStr">
        <is>
          <t>104 0.21%</t>
        </is>
      </c>
      <c r="U1099" s="134" t="inlineStr">
        <is>
          <t>156 -1.16%</t>
        </is>
      </c>
    </row>
    <row customHeight="1" ht="17" r="1100" s="155">
      <c r="A1100" s="105" t="n">
        <v>44753</v>
      </c>
      <c r="B1100" s="134" t="n">
        <v>2065.814</v>
      </c>
      <c r="C1100" s="150" t="n">
        <v>-19.203</v>
      </c>
      <c r="D1100" s="151" t="n">
        <v>-0.0092</v>
      </c>
      <c r="E1100" s="134" t="n">
        <v>145.074</v>
      </c>
      <c r="F1100" s="134" t="n">
        <v>123.918</v>
      </c>
      <c r="G1100" s="134" t="n">
        <v>90.12</v>
      </c>
      <c r="H1100" s="134" t="n">
        <v>197.64</v>
      </c>
      <c r="I1100" s="104" t="n">
        <v>0.5256999999999999</v>
      </c>
      <c r="J1100" s="104" t="n">
        <v>0.3671</v>
      </c>
      <c r="K1100" s="104" t="n">
        <v>-0.0418</v>
      </c>
      <c r="L1100" s="134" t="n">
        <v>954.72</v>
      </c>
      <c r="M1100" s="134" t="n">
        <v>7464.61</v>
      </c>
      <c r="N1100" s="104" t="n">
        <v>0.1279</v>
      </c>
      <c r="O1100" s="134" t="n">
        <v>413</v>
      </c>
      <c r="P1100" s="134" t="n">
        <v>0</v>
      </c>
      <c r="Q1100" s="134" t="inlineStr">
        <is>
          <t>5 -0.26%</t>
        </is>
      </c>
      <c r="R1100" s="134" t="inlineStr">
        <is>
          <t>38 -0.31%</t>
        </is>
      </c>
      <c r="S1100" s="134" t="inlineStr">
        <is>
          <t>115 -0.57%</t>
        </is>
      </c>
      <c r="T1100" s="134" t="inlineStr">
        <is>
          <t>109 -1.06%</t>
        </is>
      </c>
      <c r="U1100" s="134" t="inlineStr">
        <is>
          <t>146 -1.28%</t>
        </is>
      </c>
    </row>
    <row customHeight="1" ht="17" r="1101" s="155">
      <c r="A1101" s="105" t="n">
        <v>44754</v>
      </c>
      <c r="B1101" s="134" t="n">
        <v>2042.388</v>
      </c>
      <c r="C1101" s="150" t="n">
        <v>-23.426</v>
      </c>
      <c r="D1101" s="151" t="n">
        <v>-0.0113</v>
      </c>
      <c r="E1101" s="134" t="n">
        <v>143.328</v>
      </c>
      <c r="F1101" s="134" t="n">
        <v>122.548</v>
      </c>
      <c r="G1101" s="134" t="n">
        <v>89.04000000000001</v>
      </c>
      <c r="H1101" s="134" t="n">
        <v>196.45</v>
      </c>
      <c r="I1101" s="104" t="n">
        <v>0.5313</v>
      </c>
      <c r="J1101" s="104" t="n">
        <v>0.3753</v>
      </c>
      <c r="K1101" s="104" t="n">
        <v>-0.0392</v>
      </c>
      <c r="L1101" s="134" t="n">
        <v>914.37</v>
      </c>
      <c r="M1101" s="134" t="n">
        <v>7459.44</v>
      </c>
      <c r="N1101" s="104" t="n">
        <v>0.1226</v>
      </c>
      <c r="O1101" s="134" t="n">
        <v>413</v>
      </c>
      <c r="P1101" s="134" t="n">
        <v>0</v>
      </c>
      <c r="Q1101" s="134" t="inlineStr">
        <is>
          <t>5 -0.42%</t>
        </is>
      </c>
      <c r="R1101" s="134" t="inlineStr">
        <is>
          <t>46 -0.63%</t>
        </is>
      </c>
      <c r="S1101" s="134" t="inlineStr">
        <is>
          <t>120 -0.94%</t>
        </is>
      </c>
      <c r="T1101" s="134" t="inlineStr">
        <is>
          <t>105 -0.93%</t>
        </is>
      </c>
      <c r="U1101" s="134" t="inlineStr">
        <is>
          <t>137 -1.66%</t>
        </is>
      </c>
    </row>
    <row customHeight="1" ht="17" r="1102" s="155">
      <c r="A1102" s="105" t="n">
        <v>44755</v>
      </c>
      <c r="B1102" s="134" t="n">
        <v>2056.092</v>
      </c>
      <c r="C1102" s="152" t="n">
        <v>13.704</v>
      </c>
      <c r="D1102" s="153" t="n">
        <v>0.0067</v>
      </c>
      <c r="E1102" s="134" t="n">
        <v>144.202</v>
      </c>
      <c r="F1102" s="134" t="n">
        <v>123.112</v>
      </c>
      <c r="G1102" s="134" t="n">
        <v>90.53</v>
      </c>
      <c r="H1102" s="134" t="n">
        <v>196.72</v>
      </c>
      <c r="I1102" s="104" t="n">
        <v>0.5252</v>
      </c>
      <c r="J1102" s="104" t="n">
        <v>0.3565</v>
      </c>
      <c r="K1102" s="104" t="n">
        <v>-0.0417</v>
      </c>
      <c r="L1102" s="134" t="n">
        <v>947.95</v>
      </c>
      <c r="M1102" s="134" t="n">
        <v>7458.19</v>
      </c>
      <c r="N1102" s="104" t="n">
        <v>0.1271</v>
      </c>
      <c r="O1102" s="134" t="n">
        <v>413</v>
      </c>
      <c r="P1102" s="134" t="n">
        <v>0</v>
      </c>
      <c r="Q1102" s="134" t="inlineStr">
        <is>
          <t>5 0.18%</t>
        </is>
      </c>
      <c r="R1102" s="134" t="inlineStr">
        <is>
          <t>46 0.23%</t>
        </is>
      </c>
      <c r="S1102" s="134" t="inlineStr">
        <is>
          <t>113 0.27%</t>
        </is>
      </c>
      <c r="T1102" s="134" t="inlineStr">
        <is>
          <t>104 0.51%</t>
        </is>
      </c>
      <c r="U1102" s="134" t="inlineStr">
        <is>
          <t>145 1.26%</t>
        </is>
      </c>
    </row>
    <row customHeight="1" ht="17" r="1103" s="155">
      <c r="A1103" s="105" t="n">
        <v>44756</v>
      </c>
      <c r="B1103" s="134" t="n">
        <v>2069.395</v>
      </c>
      <c r="C1103" s="152" t="n">
        <v>13.303</v>
      </c>
      <c r="D1103" s="153" t="n">
        <v>0.0065</v>
      </c>
      <c r="E1103" s="134" t="n">
        <v>145.293</v>
      </c>
      <c r="F1103" s="134" t="n">
        <v>123.872</v>
      </c>
      <c r="G1103" s="134" t="n">
        <v>91.04000000000001</v>
      </c>
      <c r="H1103" s="134" t="n">
        <v>197.55</v>
      </c>
      <c r="I1103" s="104" t="n">
        <v>0.5225</v>
      </c>
      <c r="J1103" s="104" t="n">
        <v>0.3655</v>
      </c>
      <c r="K1103" s="104" t="n">
        <v>-0.0412</v>
      </c>
      <c r="L1103" s="134" t="n">
        <v>1014.97</v>
      </c>
      <c r="M1103" s="134" t="n">
        <v>7453.52</v>
      </c>
      <c r="N1103" s="104" t="n">
        <v>0.1362</v>
      </c>
      <c r="O1103" s="134" t="n">
        <v>413</v>
      </c>
      <c r="P1103" s="134" t="n">
        <v>0</v>
      </c>
      <c r="Q1103" s="134" t="inlineStr">
        <is>
          <t>5 -0.26%</t>
        </is>
      </c>
      <c r="R1103" s="134" t="inlineStr">
        <is>
          <t>45 -0.17%</t>
        </is>
      </c>
      <c r="S1103" s="134" t="inlineStr">
        <is>
          <t>109 0.31%</t>
        </is>
      </c>
      <c r="T1103" s="134" t="inlineStr">
        <is>
          <t>104 0.66%</t>
        </is>
      </c>
      <c r="U1103" s="134" t="inlineStr">
        <is>
          <t>150 1.16%</t>
        </is>
      </c>
    </row>
    <row customHeight="1" ht="17" r="1104" s="155">
      <c r="A1104" s="105" t="n">
        <v>44757</v>
      </c>
      <c r="B1104" s="134" t="n">
        <v>2063.828</v>
      </c>
      <c r="C1104" s="150" t="n">
        <v>-5.567</v>
      </c>
      <c r="D1104" s="151" t="n">
        <v>-0.0027</v>
      </c>
      <c r="E1104" s="134" t="n">
        <v>144.987</v>
      </c>
      <c r="F1104" s="134" t="n">
        <v>123.6</v>
      </c>
      <c r="G1104" s="134" t="n">
        <v>88.95</v>
      </c>
      <c r="H1104" s="134" t="n">
        <v>199.68</v>
      </c>
      <c r="I1104" s="104" t="n">
        <v>0.5469000000000001</v>
      </c>
      <c r="J1104" s="104" t="n">
        <v>0.3893</v>
      </c>
      <c r="K1104" s="104" t="n">
        <v>-0.0392</v>
      </c>
      <c r="L1104" s="134" t="n">
        <v>964.6799999999999</v>
      </c>
      <c r="M1104" s="134" t="n">
        <v>7449.22</v>
      </c>
      <c r="N1104" s="104" t="n">
        <v>0.1295</v>
      </c>
      <c r="O1104" s="134" t="n">
        <v>412</v>
      </c>
      <c r="P1104" s="134" t="n">
        <v>0</v>
      </c>
      <c r="Q1104" s="134" t="inlineStr">
        <is>
          <t>6 -0.43%</t>
        </is>
      </c>
      <c r="R1104" s="134" t="inlineStr">
        <is>
          <t>45 -0.30%</t>
        </is>
      </c>
      <c r="S1104" s="134" t="inlineStr">
        <is>
          <t>110 -0.35%</t>
        </is>
      </c>
      <c r="T1104" s="134" t="inlineStr">
        <is>
          <t>102 0.00%</t>
        </is>
      </c>
      <c r="U1104" s="134" t="inlineStr">
        <is>
          <t>149 -0.38%</t>
        </is>
      </c>
    </row>
    <row customHeight="1" ht="17" r="1105" s="155">
      <c r="A1105" s="105" t="n">
        <v>44760</v>
      </c>
      <c r="B1105" s="134" t="n">
        <v>2088.078</v>
      </c>
      <c r="C1105" s="152" t="n">
        <v>24.25</v>
      </c>
      <c r="D1105" s="153" t="n">
        <v>0.0118</v>
      </c>
      <c r="E1105" s="134" t="n">
        <v>146.669</v>
      </c>
      <c r="F1105" s="134" t="n">
        <v>124.96</v>
      </c>
      <c r="G1105" s="134" t="n">
        <v>91.48</v>
      </c>
      <c r="H1105" s="134" t="n">
        <v>199.2</v>
      </c>
      <c r="I1105" s="104" t="n">
        <v>0.5254</v>
      </c>
      <c r="J1105" s="104" t="n">
        <v>0.3647</v>
      </c>
      <c r="K1105" s="104" t="n">
        <v>-0.0417</v>
      </c>
      <c r="L1105" s="134" t="n">
        <v>1036.25</v>
      </c>
      <c r="M1105" s="134" t="n">
        <v>7461.54</v>
      </c>
      <c r="N1105" s="104" t="n">
        <v>0.1389</v>
      </c>
      <c r="O1105" s="134" t="n">
        <v>413</v>
      </c>
      <c r="P1105" s="134" t="n">
        <v>0</v>
      </c>
      <c r="Q1105" s="134" t="inlineStr">
        <is>
          <t>5 0.55%</t>
        </is>
      </c>
      <c r="R1105" s="134" t="inlineStr">
        <is>
          <t>37 0.40%</t>
        </is>
      </c>
      <c r="S1105" s="134" t="inlineStr">
        <is>
          <t>105 0.76%</t>
        </is>
      </c>
      <c r="T1105" s="134" t="inlineStr">
        <is>
          <t>107 0.90%</t>
        </is>
      </c>
      <c r="U1105" s="134" t="inlineStr">
        <is>
          <t>159 1.84%</t>
        </is>
      </c>
    </row>
    <row customHeight="1" ht="17" r="1106" s="155">
      <c r="A1106" s="105" t="n">
        <v>44761</v>
      </c>
      <c r="B1106" s="134" t="n">
        <v>2099.04</v>
      </c>
      <c r="C1106" s="152" t="n">
        <v>10.962</v>
      </c>
      <c r="D1106" s="153" t="n">
        <v>0.0053</v>
      </c>
      <c r="E1106" s="134" t="n">
        <v>147.173</v>
      </c>
      <c r="F1106" s="134" t="n">
        <v>125.55</v>
      </c>
      <c r="G1106" s="134" t="n">
        <v>91.83</v>
      </c>
      <c r="H1106" s="134" t="n">
        <v>198.74</v>
      </c>
      <c r="I1106" s="104" t="n">
        <v>0.5157</v>
      </c>
      <c r="J1106" s="104" t="n">
        <v>0.3589</v>
      </c>
      <c r="K1106" s="104" t="n">
        <v>-0.0451</v>
      </c>
      <c r="L1106" s="134" t="n">
        <v>1149.7</v>
      </c>
      <c r="M1106" s="134" t="n">
        <v>7458.52</v>
      </c>
      <c r="N1106" s="104" t="n">
        <v>0.1541</v>
      </c>
      <c r="O1106" s="134" t="n">
        <v>413</v>
      </c>
      <c r="P1106" s="134" t="n">
        <v>0</v>
      </c>
      <c r="Q1106" s="134" t="inlineStr">
        <is>
          <t>5 0.34%</t>
        </is>
      </c>
      <c r="R1106" s="134" t="inlineStr">
        <is>
          <t>35 0.34%</t>
        </is>
      </c>
      <c r="S1106" s="134" t="inlineStr">
        <is>
          <t>101 0.52%</t>
        </is>
      </c>
      <c r="T1106" s="134" t="inlineStr">
        <is>
          <t>109 0.43%</t>
        </is>
      </c>
      <c r="U1106" s="134" t="inlineStr">
        <is>
          <t>163 0.64%</t>
        </is>
      </c>
    </row>
    <row customHeight="1" ht="17" r="1107" s="155">
      <c r="A1107" s="105" t="n">
        <v>44762</v>
      </c>
      <c r="B1107" s="134" t="n">
        <v>2113.796</v>
      </c>
      <c r="C1107" s="152" t="n">
        <v>14.756</v>
      </c>
      <c r="D1107" s="153" t="n">
        <v>0.007</v>
      </c>
      <c r="E1107" s="134" t="n">
        <v>148.259</v>
      </c>
      <c r="F1107" s="134" t="n">
        <v>126.089</v>
      </c>
      <c r="G1107" s="134" t="n">
        <v>92.63</v>
      </c>
      <c r="H1107" s="134" t="n">
        <v>199.63</v>
      </c>
      <c r="I1107" s="104" t="n">
        <v>0.5137</v>
      </c>
      <c r="J1107" s="104" t="n">
        <v>0.3559</v>
      </c>
      <c r="K1107" s="104" t="n">
        <v>-0.0455</v>
      </c>
      <c r="L1107" s="134" t="n">
        <v>1147.48</v>
      </c>
      <c r="M1107" s="134" t="n">
        <v>7486.21</v>
      </c>
      <c r="N1107" s="104" t="n">
        <v>0.1533</v>
      </c>
      <c r="O1107" s="134" t="n">
        <v>414</v>
      </c>
      <c r="P1107" s="134" t="n">
        <v>0</v>
      </c>
      <c r="Q1107" s="134" t="inlineStr">
        <is>
          <t>4 0.34%</t>
        </is>
      </c>
      <c r="R1107" s="134" t="inlineStr">
        <is>
          <t>34 0.16%</t>
        </is>
      </c>
      <c r="S1107" s="134" t="inlineStr">
        <is>
          <t>101 0.53%</t>
        </is>
      </c>
      <c r="T1107" s="134" t="inlineStr">
        <is>
          <t>104 0.57%</t>
        </is>
      </c>
      <c r="U1107" s="134" t="inlineStr">
        <is>
          <t>171 1.00%</t>
        </is>
      </c>
    </row>
    <row customHeight="1" ht="17" r="1108" s="155">
      <c r="A1108" s="105" t="n">
        <v>44763</v>
      </c>
      <c r="B1108" s="134" t="n">
        <v>2107.581</v>
      </c>
      <c r="C1108" s="150" t="n">
        <v>-6.215</v>
      </c>
      <c r="D1108" s="151" t="n">
        <v>-0.0029</v>
      </c>
      <c r="E1108" s="134" t="n">
        <v>147.581</v>
      </c>
      <c r="F1108" s="134" t="n">
        <v>126.212</v>
      </c>
      <c r="G1108" s="134" t="n">
        <v>93.47</v>
      </c>
      <c r="H1108" s="134" t="n">
        <v>198.95</v>
      </c>
      <c r="I1108" s="104" t="n">
        <v>0.5137</v>
      </c>
      <c r="J1108" s="104" t="n">
        <v>0.3564</v>
      </c>
      <c r="K1108" s="104" t="n">
        <v>-0.0448</v>
      </c>
      <c r="L1108" s="134" t="n">
        <v>1245.16</v>
      </c>
      <c r="M1108" s="134" t="n">
        <v>7502.02</v>
      </c>
      <c r="N1108" s="104" t="n">
        <v>0.166</v>
      </c>
      <c r="O1108" s="134" t="n">
        <v>416</v>
      </c>
      <c r="P1108" s="134" t="n">
        <v>0</v>
      </c>
      <c r="Q1108" s="134" t="inlineStr">
        <is>
          <t>4 0.10%</t>
        </is>
      </c>
      <c r="R1108" s="134" t="inlineStr">
        <is>
          <t>34 0.00%</t>
        </is>
      </c>
      <c r="S1108" s="134" t="inlineStr">
        <is>
          <t>105 -0.18%</t>
        </is>
      </c>
      <c r="T1108" s="134" t="inlineStr">
        <is>
          <t>102 -0.25%</t>
        </is>
      </c>
      <c r="U1108" s="134" t="inlineStr">
        <is>
          <t>171 -0.46%</t>
        </is>
      </c>
    </row>
    <row customHeight="1" ht="17" r="1109" s="155">
      <c r="A1109" s="105" t="n">
        <v>44764</v>
      </c>
      <c r="B1109" s="134" t="n">
        <v>2100.731</v>
      </c>
      <c r="C1109" s="150" t="n">
        <v>-6.85</v>
      </c>
      <c r="D1109" s="151" t="n">
        <v>-0.0033</v>
      </c>
      <c r="E1109" s="134" t="n">
        <v>146.791</v>
      </c>
      <c r="F1109" s="134" t="n">
        <v>125.99</v>
      </c>
      <c r="G1109" s="134" t="n">
        <v>92.61</v>
      </c>
      <c r="H1109" s="134" t="n">
        <v>197.86</v>
      </c>
      <c r="I1109" s="104" t="n">
        <v>0.5107</v>
      </c>
      <c r="J1109" s="104" t="n">
        <v>0.3575</v>
      </c>
      <c r="K1109" s="104" t="n">
        <v>-0.0445</v>
      </c>
      <c r="L1109" s="134" t="n">
        <v>1094.44</v>
      </c>
      <c r="M1109" s="134" t="n">
        <v>7515.01</v>
      </c>
      <c r="N1109" s="104" t="n">
        <v>0.1456</v>
      </c>
      <c r="O1109" s="134" t="n">
        <v>419</v>
      </c>
      <c r="P1109" s="134" t="n">
        <v>0</v>
      </c>
      <c r="Q1109" s="134" t="inlineStr">
        <is>
          <t>4 -0.24%</t>
        </is>
      </c>
      <c r="R1109" s="134" t="inlineStr">
        <is>
          <t>35 -0.05%</t>
        </is>
      </c>
      <c r="S1109" s="134" t="inlineStr">
        <is>
          <t>107 -0.23%</t>
        </is>
      </c>
      <c r="T1109" s="134" t="inlineStr">
        <is>
          <t>103 -0.37%</t>
        </is>
      </c>
      <c r="U1109" s="134" t="inlineStr">
        <is>
          <t>170 -0.42%</t>
        </is>
      </c>
    </row>
    <row customHeight="1" ht="17" r="1110" s="155">
      <c r="A1110" s="105" t="n">
        <v>44767</v>
      </c>
      <c r="B1110" s="134" t="n">
        <v>2091.677</v>
      </c>
      <c r="C1110" s="150" t="n">
        <v>-9.054</v>
      </c>
      <c r="D1110" s="151" t="n">
        <v>-0.0043</v>
      </c>
      <c r="E1110" s="134" t="n">
        <v>146.019</v>
      </c>
      <c r="F1110" s="134" t="n">
        <v>125.2</v>
      </c>
      <c r="G1110" s="134" t="n">
        <v>91.38</v>
      </c>
      <c r="H1110" s="134" t="n">
        <v>197.71</v>
      </c>
      <c r="I1110" s="104" t="n">
        <v>0.5169</v>
      </c>
      <c r="J1110" s="104" t="n">
        <v>0.3633</v>
      </c>
      <c r="K1110" s="104" t="n">
        <v>-0.0438</v>
      </c>
      <c r="L1110" s="134" t="n">
        <v>1028.66</v>
      </c>
      <c r="M1110" s="134" t="n">
        <v>7511.86</v>
      </c>
      <c r="N1110" s="104" t="n">
        <v>0.1369</v>
      </c>
      <c r="O1110" s="134" t="n">
        <v>419</v>
      </c>
      <c r="P1110" s="134" t="n">
        <v>0</v>
      </c>
      <c r="Q1110" s="134" t="inlineStr">
        <is>
          <t>4 -0.06%</t>
        </is>
      </c>
      <c r="R1110" s="134" t="inlineStr">
        <is>
          <t>36 -0.07%</t>
        </is>
      </c>
      <c r="S1110" s="134" t="inlineStr">
        <is>
          <t>105 -0.26%</t>
        </is>
      </c>
      <c r="T1110" s="134" t="inlineStr">
        <is>
          <t>109 -0.41%</t>
        </is>
      </c>
      <c r="U1110" s="134" t="inlineStr">
        <is>
          <t>165 -0.65%</t>
        </is>
      </c>
    </row>
    <row customHeight="1" ht="17" r="1111" s="155">
      <c r="A1111" s="105" t="n">
        <v>44768</v>
      </c>
      <c r="B1111" s="134" t="n">
        <v>2106.863</v>
      </c>
      <c r="C1111" s="152" t="n">
        <v>15.186</v>
      </c>
      <c r="D1111" s="153" t="n">
        <v>0.0073</v>
      </c>
      <c r="E1111" s="134" t="n">
        <v>147.168</v>
      </c>
      <c r="F1111" s="134" t="n">
        <v>126.096</v>
      </c>
      <c r="G1111" s="134" t="n">
        <v>91.79000000000001</v>
      </c>
      <c r="H1111" s="134" t="n">
        <v>198.39</v>
      </c>
      <c r="I1111" s="104" t="n">
        <v>0.5123</v>
      </c>
      <c r="J1111" s="104" t="n">
        <v>0.3633</v>
      </c>
      <c r="K1111" s="104" t="n">
        <v>-0.0449</v>
      </c>
      <c r="L1111" s="134" t="n">
        <v>1129.54</v>
      </c>
      <c r="M1111" s="134" t="n">
        <v>7514.88</v>
      </c>
      <c r="N1111" s="104" t="n">
        <v>0.1503</v>
      </c>
      <c r="O1111" s="134" t="n">
        <v>419</v>
      </c>
      <c r="P1111" s="134" t="n">
        <v>0</v>
      </c>
      <c r="Q1111" s="134" t="inlineStr">
        <is>
          <t>4 0.25%</t>
        </is>
      </c>
      <c r="R1111" s="134" t="inlineStr">
        <is>
          <t>35 0.22%</t>
        </is>
      </c>
      <c r="S1111" s="134" t="inlineStr">
        <is>
          <t>103 0.23%</t>
        </is>
      </c>
      <c r="T1111" s="134" t="inlineStr">
        <is>
          <t>103 0.51%</t>
        </is>
      </c>
      <c r="U1111" s="134" t="inlineStr">
        <is>
          <t>174 1.26%</t>
        </is>
      </c>
    </row>
    <row customHeight="1" ht="17" r="1112" s="155">
      <c r="A1112" s="105" t="n">
        <v>44769</v>
      </c>
      <c r="B1112" s="134" t="n">
        <v>2125.087</v>
      </c>
      <c r="C1112" s="152" t="n">
        <v>18.224</v>
      </c>
      <c r="D1112" s="153" t="n">
        <v>0.008699999999999999</v>
      </c>
      <c r="E1112" s="134" t="n">
        <v>148.598</v>
      </c>
      <c r="F1112" s="134" t="n">
        <v>127.04</v>
      </c>
      <c r="G1112" s="134" t="n">
        <v>93.08</v>
      </c>
      <c r="H1112" s="134" t="n">
        <v>199.36</v>
      </c>
      <c r="I1112" s="104" t="n">
        <v>0.5076000000000001</v>
      </c>
      <c r="J1112" s="104" t="n">
        <v>0.3615</v>
      </c>
      <c r="K1112" s="104" t="n">
        <v>-0.0478</v>
      </c>
      <c r="L1112" s="134" t="n">
        <v>1116.32</v>
      </c>
      <c r="M1112" s="134" t="n">
        <v>7513.15</v>
      </c>
      <c r="N1112" s="104" t="n">
        <v>0.1486</v>
      </c>
      <c r="O1112" s="134" t="n">
        <v>419</v>
      </c>
      <c r="P1112" s="134" t="n">
        <v>0</v>
      </c>
      <c r="Q1112" s="134" t="inlineStr">
        <is>
          <t>4 0.14%</t>
        </is>
      </c>
      <c r="R1112" s="134" t="inlineStr">
        <is>
          <t>34 0.14%</t>
        </is>
      </c>
      <c r="S1112" s="134" t="inlineStr">
        <is>
          <t>102 0.36%</t>
        </is>
      </c>
      <c r="T1112" s="134" t="inlineStr">
        <is>
          <t>97 0.64%</t>
        </is>
      </c>
      <c r="U1112" s="134" t="inlineStr">
        <is>
          <t>182 1.42%</t>
        </is>
      </c>
    </row>
    <row customHeight="1" ht="17" r="1113" s="155">
      <c r="A1113" s="105" t="n">
        <v>44770</v>
      </c>
      <c r="B1113" s="134" t="n">
        <v>2140.324</v>
      </c>
      <c r="C1113" s="152" t="n">
        <v>15.237</v>
      </c>
      <c r="D1113" s="153" t="n">
        <v>0.0072</v>
      </c>
      <c r="E1113" s="134" t="n">
        <v>149.798</v>
      </c>
      <c r="F1113" s="134" t="n">
        <v>127.88</v>
      </c>
      <c r="G1113" s="134" t="n">
        <v>93.51000000000001</v>
      </c>
      <c r="H1113" s="134" t="n">
        <v>200.06</v>
      </c>
      <c r="I1113" s="104" t="n">
        <v>0.5027</v>
      </c>
      <c r="J1113" s="104" t="n">
        <v>0.356</v>
      </c>
      <c r="K1113" s="104" t="n">
        <v>-0.0479</v>
      </c>
      <c r="L1113" s="134" t="n">
        <v>1172.8</v>
      </c>
      <c r="M1113" s="134" t="n">
        <v>7515.64</v>
      </c>
      <c r="N1113" s="104" t="n">
        <v>0.156</v>
      </c>
      <c r="O1113" s="134" t="n">
        <v>420</v>
      </c>
      <c r="P1113" s="134" t="n">
        <v>0</v>
      </c>
      <c r="Q1113" s="134" t="inlineStr">
        <is>
          <t>3 0.27%</t>
        </is>
      </c>
      <c r="R1113" s="134" t="inlineStr">
        <is>
          <t>33 0.23%</t>
        </is>
      </c>
      <c r="S1113" s="134" t="inlineStr">
        <is>
          <t>95 0.52%</t>
        </is>
      </c>
      <c r="T1113" s="134" t="inlineStr">
        <is>
          <t>97 0.48%</t>
        </is>
      </c>
      <c r="U1113" s="134" t="inlineStr">
        <is>
          <t>192 1.03%</t>
        </is>
      </c>
    </row>
    <row customHeight="1" ht="17" r="1114" s="155">
      <c r="A1114" s="105" t="n">
        <v>44771</v>
      </c>
      <c r="B1114" s="134" t="n">
        <v>2138.269</v>
      </c>
      <c r="C1114" s="150" t="n">
        <v>-2.055</v>
      </c>
      <c r="D1114" s="151" t="n">
        <v>-0.001</v>
      </c>
      <c r="E1114" s="134" t="n">
        <v>149.057</v>
      </c>
      <c r="F1114" s="134" t="n">
        <v>127.275</v>
      </c>
      <c r="G1114" s="134" t="n">
        <v>93.77</v>
      </c>
      <c r="H1114" s="134" t="n">
        <v>199.51</v>
      </c>
      <c r="I1114" s="104" t="n">
        <v>0.5044999999999999</v>
      </c>
      <c r="J1114" s="104" t="n">
        <v>0.3619</v>
      </c>
      <c r="K1114" s="104" t="n">
        <v>-0.048</v>
      </c>
      <c r="L1114" s="134" t="n">
        <v>1176.5</v>
      </c>
      <c r="M1114" s="134" t="n">
        <v>7538.82</v>
      </c>
      <c r="N1114" s="104" t="n">
        <v>0.1561</v>
      </c>
      <c r="O1114" s="134" t="n">
        <v>422</v>
      </c>
      <c r="P1114" s="134" t="n">
        <v>0</v>
      </c>
      <c r="Q1114" s="134" t="inlineStr">
        <is>
          <t>3 -0.25%</t>
        </is>
      </c>
      <c r="R1114" s="134" t="inlineStr">
        <is>
          <t>33 -0.07%</t>
        </is>
      </c>
      <c r="S1114" s="134" t="inlineStr">
        <is>
          <t>98 -0.23%</t>
        </is>
      </c>
      <c r="T1114" s="134" t="inlineStr">
        <is>
          <t>101 -0.32%</t>
        </is>
      </c>
      <c r="U1114" s="134" t="inlineStr">
        <is>
          <t>187 0.09%</t>
        </is>
      </c>
    </row>
    <row customHeight="1" ht="17" r="1115" s="155">
      <c r="A1115" s="105" t="n">
        <v>44774</v>
      </c>
      <c r="B1115" s="134" t="n">
        <v>2152.253</v>
      </c>
      <c r="C1115" s="152" t="n">
        <v>13.984</v>
      </c>
      <c r="D1115" s="153" t="n">
        <v>0.0065</v>
      </c>
      <c r="E1115" s="134" t="n">
        <v>150.187</v>
      </c>
      <c r="F1115" s="134" t="n">
        <v>127.999</v>
      </c>
      <c r="G1115" s="134" t="n">
        <v>95.25</v>
      </c>
      <c r="H1115" s="134" t="n">
        <v>199.19</v>
      </c>
      <c r="I1115" s="104" t="n">
        <v>0.49</v>
      </c>
      <c r="J1115" s="104" t="n">
        <v>0.3627</v>
      </c>
      <c r="K1115" s="104" t="n">
        <v>-0.0476</v>
      </c>
      <c r="L1115" s="134" t="n">
        <v>1003.98</v>
      </c>
      <c r="M1115" s="134" t="n">
        <v>7537.01</v>
      </c>
      <c r="N1115" s="104" t="n">
        <v>0.1332</v>
      </c>
      <c r="O1115" s="134" t="n">
        <v>421</v>
      </c>
      <c r="P1115" s="134" t="n">
        <v>0</v>
      </c>
      <c r="Q1115" s="134" t="inlineStr">
        <is>
          <t>3 -0.01%</t>
        </is>
      </c>
      <c r="R1115" s="134" t="inlineStr">
        <is>
          <t>32 -0.07%</t>
        </is>
      </c>
      <c r="S1115" s="134" t="inlineStr">
        <is>
          <t>91 0.16%</t>
        </is>
      </c>
      <c r="T1115" s="134" t="inlineStr">
        <is>
          <t>101 0.43%</t>
        </is>
      </c>
      <c r="U1115" s="134" t="inlineStr">
        <is>
          <t>194 1.13%</t>
        </is>
      </c>
    </row>
    <row customHeight="1" ht="17" r="1116" s="155">
      <c r="A1116" s="105" t="n">
        <v>44775</v>
      </c>
      <c r="B1116" s="134" t="n">
        <v>2123.37</v>
      </c>
      <c r="C1116" s="150" t="n">
        <v>-28.883</v>
      </c>
      <c r="D1116" s="151" t="n">
        <v>-0.0134</v>
      </c>
      <c r="E1116" s="134" t="n">
        <v>148.009</v>
      </c>
      <c r="F1116" s="134" t="n">
        <v>126.502</v>
      </c>
      <c r="G1116" s="134" t="n">
        <v>91.76000000000001</v>
      </c>
      <c r="H1116" s="134" t="n">
        <v>200.34</v>
      </c>
      <c r="I1116" s="104" t="n">
        <v>0.5233</v>
      </c>
      <c r="J1116" s="104" t="n">
        <v>0.4006</v>
      </c>
      <c r="K1116" s="104" t="n">
        <v>-0.0449</v>
      </c>
      <c r="L1116" s="134" t="n">
        <v>1037.15</v>
      </c>
      <c r="M1116" s="134" t="n">
        <v>7535.75</v>
      </c>
      <c r="N1116" s="104" t="n">
        <v>0.1376</v>
      </c>
      <c r="O1116" s="134" t="n">
        <v>421</v>
      </c>
      <c r="P1116" s="134" t="n">
        <v>0</v>
      </c>
      <c r="Q1116" s="134" t="inlineStr">
        <is>
          <t>4 -0.61%</t>
        </is>
      </c>
      <c r="R1116" s="134" t="inlineStr">
        <is>
          <t>37 -0.56%</t>
        </is>
      </c>
      <c r="S1116" s="134" t="inlineStr">
        <is>
          <t>102 -0.93%</t>
        </is>
      </c>
      <c r="T1116" s="134" t="inlineStr">
        <is>
          <t>93 -1.23%</t>
        </is>
      </c>
      <c r="U1116" s="134" t="inlineStr">
        <is>
          <t>185 -1.80%</t>
        </is>
      </c>
    </row>
    <row customHeight="1" ht="17" r="1117" s="155">
      <c r="A1117" s="105" t="n">
        <v>44776</v>
      </c>
      <c r="B1117" s="134" t="n">
        <v>2115.875</v>
      </c>
      <c r="C1117" s="150" t="n">
        <v>-7.495</v>
      </c>
      <c r="D1117" s="151" t="n">
        <v>-0.0035</v>
      </c>
      <c r="E1117" s="134" t="n">
        <v>147.112</v>
      </c>
      <c r="F1117" s="134" t="n">
        <v>127.05</v>
      </c>
      <c r="G1117" s="134" t="n">
        <v>90.56999999999999</v>
      </c>
      <c r="H1117" s="134" t="n">
        <v>200.18</v>
      </c>
      <c r="I1117" s="104" t="n">
        <v>0.5306999999999999</v>
      </c>
      <c r="J1117" s="104" t="n">
        <v>0.3986</v>
      </c>
      <c r="K1117" s="104" t="n">
        <v>-0.0445</v>
      </c>
      <c r="L1117" s="134" t="n">
        <v>1063.34</v>
      </c>
      <c r="M1117" s="134" t="n">
        <v>7543.95</v>
      </c>
      <c r="N1117" s="104" t="n">
        <v>0.141</v>
      </c>
      <c r="O1117" s="134" t="n">
        <v>423</v>
      </c>
      <c r="P1117" s="134" t="n">
        <v>0</v>
      </c>
      <c r="Q1117" s="134" t="inlineStr">
        <is>
          <t>4 -0.10%</t>
        </is>
      </c>
      <c r="R1117" s="134" t="inlineStr">
        <is>
          <t>39 0.04%</t>
        </is>
      </c>
      <c r="S1117" s="134" t="inlineStr">
        <is>
          <t>101 -0.13%</t>
        </is>
      </c>
      <c r="T1117" s="134" t="inlineStr">
        <is>
          <t>94 0.02%</t>
        </is>
      </c>
      <c r="U1117" s="134" t="inlineStr">
        <is>
          <t>185 -0.75%</t>
        </is>
      </c>
    </row>
    <row customHeight="1" ht="17" r="1118" s="155">
      <c r="A1118" s="105" t="n">
        <v>44777</v>
      </c>
      <c r="B1118" s="134" t="n">
        <v>2121.313</v>
      </c>
      <c r="C1118" s="152" t="n">
        <v>5.438</v>
      </c>
      <c r="D1118" s="153" t="n">
        <v>0.0026</v>
      </c>
      <c r="E1118" s="134" t="n">
        <v>147.452</v>
      </c>
      <c r="F1118" s="134" t="n">
        <v>127.67</v>
      </c>
      <c r="G1118" s="134" t="n">
        <v>92.05</v>
      </c>
      <c r="H1118" s="134" t="n">
        <v>198.84</v>
      </c>
      <c r="I1118" s="104" t="n">
        <v>0.5139</v>
      </c>
      <c r="J1118" s="104" t="n">
        <v>0.3908</v>
      </c>
      <c r="K1118" s="104" t="n">
        <v>-0.0443</v>
      </c>
      <c r="L1118" s="134" t="n">
        <v>979.52</v>
      </c>
      <c r="M1118" s="134" t="n">
        <v>7558.98</v>
      </c>
      <c r="N1118" s="104" t="n">
        <v>0.1296</v>
      </c>
      <c r="O1118" s="134" t="n">
        <v>424</v>
      </c>
      <c r="P1118" s="134" t="n">
        <v>0</v>
      </c>
      <c r="Q1118" s="134" t="inlineStr">
        <is>
          <t>4 0.32%</t>
        </is>
      </c>
      <c r="R1118" s="134" t="inlineStr">
        <is>
          <t>35 0.21%</t>
        </is>
      </c>
      <c r="S1118" s="134" t="inlineStr">
        <is>
          <t>100 0.20%</t>
        </is>
      </c>
      <c r="T1118" s="134" t="inlineStr">
        <is>
          <t>97 0.25%</t>
        </is>
      </c>
      <c r="U1118" s="134" t="inlineStr">
        <is>
          <t>188 0.30%</t>
        </is>
      </c>
    </row>
    <row customHeight="1" ht="17" r="1119" s="155">
      <c r="A1119" s="105" t="n">
        <v>44778</v>
      </c>
      <c r="B1119" s="134" t="n">
        <v>2125.259</v>
      </c>
      <c r="C1119" s="152" t="n">
        <v>3.946</v>
      </c>
      <c r="D1119" s="153" t="n">
        <v>0.0019</v>
      </c>
      <c r="E1119" s="134" t="n">
        <v>147.463</v>
      </c>
      <c r="F1119" s="134" t="n">
        <v>128.077</v>
      </c>
      <c r="G1119" s="134" t="n">
        <v>92.95</v>
      </c>
      <c r="H1119" s="134" t="n">
        <v>197.71</v>
      </c>
      <c r="I1119" s="104" t="n">
        <v>0.5024</v>
      </c>
      <c r="J1119" s="104" t="n">
        <v>0.3861</v>
      </c>
      <c r="K1119" s="104" t="n">
        <v>-0.0459</v>
      </c>
      <c r="L1119" s="134" t="n">
        <v>867.91</v>
      </c>
      <c r="M1119" s="134" t="n">
        <v>7558.06</v>
      </c>
      <c r="N1119" s="104" t="n">
        <v>0.1148</v>
      </c>
      <c r="O1119" s="134" t="n">
        <v>424</v>
      </c>
      <c r="P1119" s="134" t="n">
        <v>0</v>
      </c>
      <c r="Q1119" s="134" t="inlineStr">
        <is>
          <t>4 0.08%</t>
        </is>
      </c>
      <c r="R1119" s="134" t="inlineStr">
        <is>
          <t>33 0.22%</t>
        </is>
      </c>
      <c r="S1119" s="134" t="inlineStr">
        <is>
          <t>99 0.34%</t>
        </is>
      </c>
      <c r="T1119" s="134" t="inlineStr">
        <is>
          <t>101 0.30%</t>
        </is>
      </c>
      <c r="U1119" s="134" t="inlineStr">
        <is>
          <t>187 0.04%</t>
        </is>
      </c>
    </row>
    <row customHeight="1" ht="17" r="1120" s="155">
      <c r="A1120" s="105" t="n">
        <v>44781</v>
      </c>
      <c r="B1120" s="134" t="n">
        <v>2145.98</v>
      </c>
      <c r="C1120" s="152" t="n">
        <v>20.721</v>
      </c>
      <c r="D1120" s="153" t="n">
        <v>0.0098</v>
      </c>
      <c r="E1120" s="134" t="n">
        <v>149.256</v>
      </c>
      <c r="F1120" s="134" t="n">
        <v>128.418</v>
      </c>
      <c r="G1120" s="134" t="n">
        <v>94.12</v>
      </c>
      <c r="H1120" s="134" t="n">
        <v>198.86</v>
      </c>
      <c r="I1120" s="104" t="n">
        <v>0.496</v>
      </c>
      <c r="J1120" s="104" t="n">
        <v>0.3757</v>
      </c>
      <c r="K1120" s="104" t="n">
        <v>-0.0483</v>
      </c>
      <c r="L1120" s="134" t="n">
        <v>908.95</v>
      </c>
      <c r="M1120" s="134" t="n">
        <v>7557.33</v>
      </c>
      <c r="N1120" s="104" t="n">
        <v>0.1203</v>
      </c>
      <c r="O1120" s="134" t="n">
        <v>424</v>
      </c>
      <c r="P1120" s="134" t="n">
        <v>0</v>
      </c>
      <c r="Q1120" s="134" t="inlineStr">
        <is>
          <t>4 0.01%</t>
        </is>
      </c>
      <c r="R1120" s="134" t="inlineStr">
        <is>
          <t>33 0.16%</t>
        </is>
      </c>
      <c r="S1120" s="134" t="inlineStr">
        <is>
          <t>92 0.11%</t>
        </is>
      </c>
      <c r="T1120" s="134" t="inlineStr">
        <is>
          <t>100 0.52%</t>
        </is>
      </c>
      <c r="U1120" s="134" t="inlineStr">
        <is>
          <t>195 1.78%</t>
        </is>
      </c>
    </row>
    <row customHeight="1" ht="17" r="1121" s="155">
      <c r="A1121" s="105" t="n">
        <v>44782</v>
      </c>
      <c r="B1121" s="134" t="n">
        <v>2150.766</v>
      </c>
      <c r="C1121" s="152" t="n">
        <v>4.786</v>
      </c>
      <c r="D1121" s="153" t="n">
        <v>0.0022</v>
      </c>
      <c r="E1121" s="134" t="n">
        <v>149.689</v>
      </c>
      <c r="F1121" s="134" t="n">
        <v>128.82</v>
      </c>
      <c r="G1121" s="134" t="n">
        <v>94.13</v>
      </c>
      <c r="H1121" s="134" t="n">
        <v>199.4</v>
      </c>
      <c r="I1121" s="104" t="n">
        <v>0.4971</v>
      </c>
      <c r="J1121" s="104" t="n">
        <v>0.3758</v>
      </c>
      <c r="K1121" s="104" t="n">
        <v>-0.049</v>
      </c>
      <c r="L1121" s="134" t="n">
        <v>934.89</v>
      </c>
      <c r="M1121" s="134" t="n">
        <v>7555.77</v>
      </c>
      <c r="N1121" s="104" t="n">
        <v>0.1237</v>
      </c>
      <c r="O1121" s="134" t="n">
        <v>424</v>
      </c>
      <c r="P1121" s="134" t="n">
        <v>0</v>
      </c>
      <c r="Q1121" s="134" t="inlineStr">
        <is>
          <t>4 0.09%</t>
        </is>
      </c>
      <c r="R1121" s="134" t="inlineStr">
        <is>
          <t>34 0.08%</t>
        </is>
      </c>
      <c r="S1121" s="134" t="inlineStr">
        <is>
          <t>87 0.15%</t>
        </is>
      </c>
      <c r="T1121" s="134" t="inlineStr">
        <is>
          <t>98 0.09%</t>
        </is>
      </c>
      <c r="U1121" s="134" t="inlineStr">
        <is>
          <t>201 0.35%</t>
        </is>
      </c>
    </row>
    <row customHeight="1" ht="17" r="1122" s="155">
      <c r="A1122" s="105" t="n">
        <v>44783</v>
      </c>
      <c r="B1122" s="134" t="n">
        <v>2151.777</v>
      </c>
      <c r="C1122" s="152" t="n">
        <v>1.011</v>
      </c>
      <c r="D1122" s="153" t="n">
        <v>0.0005</v>
      </c>
      <c r="E1122" s="134" t="n">
        <v>147.792</v>
      </c>
      <c r="F1122" s="134" t="n">
        <v>128.6</v>
      </c>
      <c r="G1122" s="134" t="n">
        <v>94.88</v>
      </c>
      <c r="H1122" s="134" t="n">
        <v>197.57</v>
      </c>
      <c r="I1122" s="104" t="n">
        <v>0.4978</v>
      </c>
      <c r="J1122" s="104" t="n">
        <v>0.3717</v>
      </c>
      <c r="K1122" s="104" t="n">
        <v>-0.0485</v>
      </c>
      <c r="L1122" s="134" t="n">
        <v>863.5700000000001</v>
      </c>
      <c r="M1122" s="134" t="n">
        <v>7554.8</v>
      </c>
      <c r="N1122" s="104" t="n">
        <v>0.1143</v>
      </c>
      <c r="O1122" s="134" t="n">
        <v>423</v>
      </c>
      <c r="P1122" s="134" t="n">
        <v>0</v>
      </c>
      <c r="Q1122" s="134" t="inlineStr">
        <is>
          <t>4 0.04%</t>
        </is>
      </c>
      <c r="R1122" s="134" t="inlineStr">
        <is>
          <t>34 -0.07%</t>
        </is>
      </c>
      <c r="S1122" s="134" t="inlineStr">
        <is>
          <t>89 -0.10%</t>
        </is>
      </c>
      <c r="T1122" s="134" t="inlineStr">
        <is>
          <t>99 -0.07%</t>
        </is>
      </c>
      <c r="U1122" s="134" t="inlineStr">
        <is>
          <t>197 0.20%</t>
        </is>
      </c>
    </row>
    <row customHeight="1" ht="17" r="1123" s="155">
      <c r="A1123" s="105" t="n">
        <v>44784</v>
      </c>
      <c r="B1123" s="134" t="n">
        <v>2163.16</v>
      </c>
      <c r="C1123" s="152" t="n">
        <v>11.383</v>
      </c>
      <c r="D1123" s="153" t="n">
        <v>0.0053</v>
      </c>
      <c r="E1123" s="134" t="n">
        <v>148.388</v>
      </c>
      <c r="F1123" s="134" t="n">
        <v>129.79</v>
      </c>
      <c r="G1123" s="134" t="n">
        <v>95.39</v>
      </c>
      <c r="H1123" s="134" t="n">
        <v>196.94</v>
      </c>
      <c r="I1123" s="104" t="n">
        <v>0.4856</v>
      </c>
      <c r="J1123" s="104" t="n">
        <v>0.3724</v>
      </c>
      <c r="K1123" s="104" t="n">
        <v>-0.0511</v>
      </c>
      <c r="L1123" s="134" t="n">
        <v>763.65</v>
      </c>
      <c r="M1123" s="134" t="n">
        <v>7554.19</v>
      </c>
      <c r="N1123" s="104" t="n">
        <v>0.1011</v>
      </c>
      <c r="O1123" s="134" t="n">
        <v>423</v>
      </c>
      <c r="P1123" s="134" t="n">
        <v>0</v>
      </c>
      <c r="Q1123" s="134" t="inlineStr">
        <is>
          <t>4 0.32%</t>
        </is>
      </c>
      <c r="R1123" s="134" t="inlineStr">
        <is>
          <t>31 0.35%</t>
        </is>
      </c>
      <c r="S1123" s="134" t="inlineStr">
        <is>
          <t>80 0.54%</t>
        </is>
      </c>
      <c r="T1123" s="134" t="inlineStr">
        <is>
          <t>101 0.70%</t>
        </is>
      </c>
      <c r="U1123" s="134" t="inlineStr">
        <is>
          <t>207 0.48%</t>
        </is>
      </c>
    </row>
    <row customHeight="1" ht="17" r="1124" s="155">
      <c r="A1124" s="105" t="n">
        <v>44785</v>
      </c>
      <c r="B1124" s="134" t="n">
        <v>2160.391</v>
      </c>
      <c r="C1124" s="150" t="n">
        <v>-2.769</v>
      </c>
      <c r="D1124" s="151" t="n">
        <v>-0.0013</v>
      </c>
      <c r="E1124" s="134" t="n">
        <v>148.005</v>
      </c>
      <c r="F1124" s="134" t="n">
        <v>130.125</v>
      </c>
      <c r="G1124" s="134" t="n">
        <v>94.56999999999999</v>
      </c>
      <c r="H1124" s="134" t="n">
        <v>197.14</v>
      </c>
      <c r="I1124" s="104" t="n">
        <v>0.4913</v>
      </c>
      <c r="J1124" s="104" t="n">
        <v>0.3699</v>
      </c>
      <c r="K1124" s="104" t="n">
        <v>-0.0508</v>
      </c>
      <c r="L1124" s="134" t="n">
        <v>684.13</v>
      </c>
      <c r="M1124" s="134" t="n">
        <v>7559.39</v>
      </c>
      <c r="N1124" s="104" t="n">
        <v>0.0905</v>
      </c>
      <c r="O1124" s="134" t="n">
        <v>425</v>
      </c>
      <c r="P1124" s="134" t="n">
        <v>0</v>
      </c>
      <c r="Q1124" s="134" t="inlineStr">
        <is>
          <t>3 0.18%</t>
        </is>
      </c>
      <c r="R1124" s="134" t="inlineStr">
        <is>
          <t>26 0.21%</t>
        </is>
      </c>
      <c r="S1124" s="134" t="inlineStr">
        <is>
          <t>83 0.27%</t>
        </is>
      </c>
      <c r="T1124" s="134" t="inlineStr">
        <is>
          <t>99 0.13%</t>
        </is>
      </c>
      <c r="U1124" s="134" t="inlineStr">
        <is>
          <t>214 -0.45%</t>
        </is>
      </c>
    </row>
    <row customHeight="1" ht="17" r="1125" s="155">
      <c r="A1125" s="105" t="n">
        <v>44788</v>
      </c>
      <c r="B1125" s="134" t="n">
        <v>2170.891</v>
      </c>
      <c r="C1125" s="152" t="n">
        <v>10.5</v>
      </c>
      <c r="D1125" s="153" t="n">
        <v>0.0049</v>
      </c>
      <c r="E1125" s="134" t="n">
        <v>148.75</v>
      </c>
      <c r="F1125" s="134" t="n">
        <v>130.141</v>
      </c>
      <c r="G1125" s="134" t="n">
        <v>95.48999999999999</v>
      </c>
      <c r="H1125" s="134" t="n">
        <v>197.98</v>
      </c>
      <c r="I1125" s="104" t="n">
        <v>0.4923</v>
      </c>
      <c r="J1125" s="104" t="n">
        <v>0.3696</v>
      </c>
      <c r="K1125" s="104" t="n">
        <v>-0.0521</v>
      </c>
      <c r="L1125" s="134" t="n">
        <v>659.23</v>
      </c>
      <c r="M1125" s="134" t="n">
        <v>7603.24</v>
      </c>
      <c r="N1125" s="104" t="n">
        <v>0.0867</v>
      </c>
      <c r="O1125" s="134" t="n">
        <v>428</v>
      </c>
      <c r="P1125" s="134" t="n">
        <v>0</v>
      </c>
      <c r="Q1125" s="134" t="inlineStr">
        <is>
          <t>2 1.26%</t>
        </is>
      </c>
      <c r="R1125" s="134" t="inlineStr">
        <is>
          <t>25 0.16%</t>
        </is>
      </c>
      <c r="S1125" s="134" t="inlineStr">
        <is>
          <t>84 0.11%</t>
        </is>
      </c>
      <c r="T1125" s="134" t="inlineStr">
        <is>
          <t>103 0.13%</t>
        </is>
      </c>
      <c r="U1125" s="134" t="inlineStr">
        <is>
          <t>214 0.83%</t>
        </is>
      </c>
    </row>
    <row customHeight="1" ht="17" r="1126" s="155">
      <c r="A1126" s="105" t="n">
        <v>44789</v>
      </c>
      <c r="B1126" s="134" t="n">
        <v>2181.854</v>
      </c>
      <c r="C1126" s="152" t="n">
        <v>10.963</v>
      </c>
      <c r="D1126" s="153" t="n">
        <v>0.0051</v>
      </c>
      <c r="E1126" s="134" t="n">
        <v>149.527</v>
      </c>
      <c r="F1126" s="134" t="n">
        <v>131.138</v>
      </c>
      <c r="G1126" s="134" t="n">
        <v>95.98999999999999</v>
      </c>
      <c r="H1126" s="134" t="n">
        <v>198.31</v>
      </c>
      <c r="I1126" s="104" t="n">
        <v>0.4878</v>
      </c>
      <c r="J1126" s="104" t="n">
        <v>0.3726</v>
      </c>
      <c r="K1126" s="104" t="n">
        <v>-0.0533</v>
      </c>
      <c r="L1126" s="134" t="n">
        <v>733.25</v>
      </c>
      <c r="M1126" s="134" t="n">
        <v>7601.65</v>
      </c>
      <c r="N1126" s="104" t="n">
        <v>0.0965</v>
      </c>
      <c r="O1126" s="134" t="n">
        <v>427</v>
      </c>
      <c r="P1126" s="134" t="n">
        <v>0</v>
      </c>
      <c r="Q1126" s="134" t="inlineStr">
        <is>
          <t>2 0.43%</t>
        </is>
      </c>
      <c r="R1126" s="134" t="inlineStr">
        <is>
          <t>25 0.18%</t>
        </is>
      </c>
      <c r="S1126" s="134" t="inlineStr">
        <is>
          <t>85 0.15%</t>
        </is>
      </c>
      <c r="T1126" s="134" t="inlineStr">
        <is>
          <t>96 0.16%</t>
        </is>
      </c>
      <c r="U1126" s="134" t="inlineStr">
        <is>
          <t>219 0.83%</t>
        </is>
      </c>
    </row>
    <row customHeight="1" ht="17" r="1127" s="155">
      <c r="A1127" s="105" t="n">
        <v>44790</v>
      </c>
      <c r="B1127" s="134" t="n">
        <v>2183.556</v>
      </c>
      <c r="C1127" s="152" t="n">
        <v>1.702</v>
      </c>
      <c r="D1127" s="153" t="n">
        <v>0.0008</v>
      </c>
      <c r="E1127" s="134" t="n">
        <v>149.499</v>
      </c>
      <c r="F1127" s="134" t="n">
        <v>131.302</v>
      </c>
      <c r="G1127" s="134" t="n">
        <v>95.76000000000001</v>
      </c>
      <c r="H1127" s="134" t="n">
        <v>198.1</v>
      </c>
      <c r="I1127" s="104" t="n">
        <v>0.4861</v>
      </c>
      <c r="J1127" s="104" t="n">
        <v>0.3723</v>
      </c>
      <c r="K1127" s="104" t="n">
        <v>-0.0539</v>
      </c>
      <c r="L1127" s="134" t="n">
        <v>699.33</v>
      </c>
      <c r="M1127" s="134" t="n">
        <v>7600.58</v>
      </c>
      <c r="N1127" s="104" t="n">
        <v>0.092</v>
      </c>
      <c r="O1127" s="134" t="n">
        <v>427</v>
      </c>
      <c r="P1127" s="134" t="n">
        <v>0</v>
      </c>
      <c r="Q1127" s="134" t="inlineStr">
        <is>
          <t>1 0.43%</t>
        </is>
      </c>
      <c r="R1127" s="134" t="inlineStr">
        <is>
          <t>22 0.34%</t>
        </is>
      </c>
      <c r="S1127" s="134" t="inlineStr">
        <is>
          <t>84 0.19%</t>
        </is>
      </c>
      <c r="T1127" s="134" t="inlineStr">
        <is>
          <t>99 0.15%</t>
        </is>
      </c>
      <c r="U1127" s="134" t="inlineStr">
        <is>
          <t>221 -0.02%</t>
        </is>
      </c>
    </row>
    <row customHeight="1" ht="17" r="1128" s="155">
      <c r="A1128" s="105" t="n">
        <v>44791</v>
      </c>
      <c r="B1128" s="134" t="n">
        <v>2166.895</v>
      </c>
      <c r="C1128" s="150" t="n">
        <v>-16.661</v>
      </c>
      <c r="D1128" s="151" t="n">
        <v>-0.0076</v>
      </c>
      <c r="E1128" s="134" t="n">
        <v>148.394</v>
      </c>
      <c r="F1128" s="134" t="n">
        <v>129.69</v>
      </c>
      <c r="G1128" s="134" t="n">
        <v>95.22</v>
      </c>
      <c r="H1128" s="134" t="n">
        <v>196.19</v>
      </c>
      <c r="I1128" s="104" t="n">
        <v>0.478</v>
      </c>
      <c r="J1128" s="104" t="n">
        <v>0.3587</v>
      </c>
      <c r="K1128" s="104" t="n">
        <v>-0.0516</v>
      </c>
      <c r="L1128" s="134" t="n">
        <v>680.75</v>
      </c>
      <c r="M1128" s="134" t="n">
        <v>7606.08</v>
      </c>
      <c r="N1128" s="104" t="n">
        <v>0.0895</v>
      </c>
      <c r="O1128" s="134" t="n">
        <v>428</v>
      </c>
      <c r="P1128" s="134" t="n">
        <v>0</v>
      </c>
      <c r="Q1128" s="134" t="inlineStr">
        <is>
          <t>2 -0.85%</t>
        </is>
      </c>
      <c r="R1128" s="134" t="inlineStr">
        <is>
          <t>27 -0.40%</t>
        </is>
      </c>
      <c r="S1128" s="134" t="inlineStr">
        <is>
          <t>94 -0.64%</t>
        </is>
      </c>
      <c r="T1128" s="134" t="inlineStr">
        <is>
          <t>93 -0.89%</t>
        </is>
      </c>
      <c r="U1128" s="134" t="inlineStr">
        <is>
          <t>212 -0.81%</t>
        </is>
      </c>
    </row>
    <row customHeight="1" ht="17" r="1129" s="155">
      <c r="A1129" s="105" t="n">
        <v>44792</v>
      </c>
      <c r="B1129" s="134" t="n">
        <v>2135.648</v>
      </c>
      <c r="C1129" s="150" t="n">
        <v>-31.247</v>
      </c>
      <c r="D1129" s="151" t="n">
        <v>-0.0144</v>
      </c>
      <c r="E1129" s="134" t="n">
        <v>145.406</v>
      </c>
      <c r="F1129" s="134" t="n">
        <v>128</v>
      </c>
      <c r="G1129" s="134" t="n">
        <v>94.09999999999999</v>
      </c>
      <c r="H1129" s="134" t="n">
        <v>192.97</v>
      </c>
      <c r="I1129" s="104" t="n">
        <v>0.4756</v>
      </c>
      <c r="J1129" s="104" t="n">
        <v>0.3659</v>
      </c>
      <c r="K1129" s="104" t="n">
        <v>-0.0475</v>
      </c>
      <c r="L1129" s="134" t="n">
        <v>677.91</v>
      </c>
      <c r="M1129" s="134" t="n">
        <v>7639.19</v>
      </c>
      <c r="N1129" s="104" t="n">
        <v>0.0887</v>
      </c>
      <c r="O1129" s="134" t="n">
        <v>429</v>
      </c>
      <c r="P1129" s="134" t="n">
        <v>0</v>
      </c>
      <c r="Q1129" s="134" t="inlineStr">
        <is>
          <t>2 -0.31%</t>
        </is>
      </c>
      <c r="R1129" s="134" t="inlineStr">
        <is>
          <t>30 -0.26%</t>
        </is>
      </c>
      <c r="S1129" s="134" t="inlineStr">
        <is>
          <t>104 -0.68%</t>
        </is>
      </c>
      <c r="T1129" s="134" t="inlineStr">
        <is>
          <t>91 -1.00%</t>
        </is>
      </c>
      <c r="U1129" s="134" t="inlineStr">
        <is>
          <t>202 -2.22%</t>
        </is>
      </c>
    </row>
    <row customHeight="1" ht="17" r="1130" s="155">
      <c r="A1130" s="105" t="n">
        <v>44795</v>
      </c>
      <c r="B1130" s="134" t="n">
        <v>2143.272</v>
      </c>
      <c r="C1130" s="152" t="n">
        <v>7.624</v>
      </c>
      <c r="D1130" s="153" t="n">
        <v>0.0036</v>
      </c>
      <c r="E1130" s="134" t="n">
        <v>145.935</v>
      </c>
      <c r="F1130" s="134" t="n">
        <v>128.238</v>
      </c>
      <c r="G1130" s="134" t="n">
        <v>94.19</v>
      </c>
      <c r="H1130" s="134" t="n">
        <v>193.11</v>
      </c>
      <c r="I1130" s="104" t="n">
        <v>0.4717</v>
      </c>
      <c r="J1130" s="104" t="n">
        <v>0.358</v>
      </c>
      <c r="K1130" s="104" t="n">
        <v>-0.0487</v>
      </c>
      <c r="L1130" s="134" t="n">
        <v>597.67</v>
      </c>
      <c r="M1130" s="134" t="n">
        <v>7637.82</v>
      </c>
      <c r="N1130" s="104" t="n">
        <v>0.07829999999999999</v>
      </c>
      <c r="O1130" s="134" t="n">
        <v>428</v>
      </c>
      <c r="P1130" s="134" t="n">
        <v>0</v>
      </c>
      <c r="Q1130" s="134" t="inlineStr">
        <is>
          <t>2 0.04%</t>
        </is>
      </c>
      <c r="R1130" s="134" t="inlineStr">
        <is>
          <t>28 0.20%</t>
        </is>
      </c>
      <c r="S1130" s="134" t="inlineStr">
        <is>
          <t>98 0.44%</t>
        </is>
      </c>
      <c r="T1130" s="134" t="inlineStr">
        <is>
          <t>96 0.51%</t>
        </is>
      </c>
      <c r="U1130" s="134" t="inlineStr">
        <is>
          <t>204 0.27%</t>
        </is>
      </c>
    </row>
    <row customHeight="1" ht="17" r="1131" s="155">
      <c r="A1131" s="105" t="n">
        <v>44796</v>
      </c>
      <c r="B1131" s="134" t="n">
        <v>2148.63</v>
      </c>
      <c r="C1131" s="152" t="n">
        <v>5.358</v>
      </c>
      <c r="D1131" s="153" t="n">
        <v>0.0025</v>
      </c>
      <c r="E1131" s="134" t="n">
        <v>146.258</v>
      </c>
      <c r="F1131" s="134" t="n">
        <v>128.933</v>
      </c>
      <c r="G1131" s="134" t="n">
        <v>95.26000000000001</v>
      </c>
      <c r="H1131" s="134" t="n">
        <v>193.31</v>
      </c>
      <c r="I1131" s="104" t="n">
        <v>0.4705</v>
      </c>
      <c r="J1131" s="104" t="n">
        <v>0.3576</v>
      </c>
      <c r="K1131" s="104" t="n">
        <v>-0.0496</v>
      </c>
      <c r="L1131" s="134" t="n">
        <v>614.75</v>
      </c>
      <c r="M1131" s="134" t="n">
        <v>7636.4</v>
      </c>
      <c r="N1131" s="104" t="n">
        <v>0.0805</v>
      </c>
      <c r="O1131" s="134" t="n">
        <v>428</v>
      </c>
      <c r="P1131" s="134" t="n">
        <v>0</v>
      </c>
      <c r="Q1131" s="134" t="inlineStr">
        <is>
          <t>1 0.67%</t>
        </is>
      </c>
      <c r="R1131" s="134" t="inlineStr">
        <is>
          <t>26 0.18%</t>
        </is>
      </c>
      <c r="S1131" s="134" t="inlineStr">
        <is>
          <t>94 0.29%</t>
        </is>
      </c>
      <c r="T1131" s="134" t="inlineStr">
        <is>
          <t>105 0.05%</t>
        </is>
      </c>
      <c r="U1131" s="134" t="inlineStr">
        <is>
          <t>202 0.34%</t>
        </is>
      </c>
    </row>
    <row customHeight="1" ht="17" r="1132" s="155">
      <c r="A1132" s="105" t="n">
        <v>44797</v>
      </c>
      <c r="B1132" s="134" t="n">
        <v>2100.823</v>
      </c>
      <c r="C1132" s="150" t="n">
        <v>-47.807</v>
      </c>
      <c r="D1132" s="151" t="n">
        <v>-0.0223</v>
      </c>
      <c r="E1132" s="134" t="n">
        <v>142.31</v>
      </c>
      <c r="F1132" s="134" t="n">
        <v>126.128</v>
      </c>
      <c r="G1132" s="134" t="n">
        <v>92.25</v>
      </c>
      <c r="H1132" s="134" t="n">
        <v>191.23</v>
      </c>
      <c r="I1132" s="104" t="n">
        <v>0.4892</v>
      </c>
      <c r="J1132" s="104" t="n">
        <v>0.3809</v>
      </c>
      <c r="K1132" s="104" t="n">
        <v>-0.0442</v>
      </c>
      <c r="L1132" s="134" t="n">
        <v>608.35</v>
      </c>
      <c r="M1132" s="134" t="n">
        <v>7639.54</v>
      </c>
      <c r="N1132" s="104" t="n">
        <v>0.0796</v>
      </c>
      <c r="O1132" s="134" t="n">
        <v>428</v>
      </c>
      <c r="P1132" s="134" t="n">
        <v>0</v>
      </c>
      <c r="Q1132" s="134" t="inlineStr">
        <is>
          <t>2 -0.52%</t>
        </is>
      </c>
      <c r="R1132" s="134" t="inlineStr">
        <is>
          <t>31 -0.57%</t>
        </is>
      </c>
      <c r="S1132" s="134" t="inlineStr">
        <is>
          <t>107 -1.00%</t>
        </is>
      </c>
      <c r="T1132" s="134" t="inlineStr">
        <is>
          <t>110 -1.62%</t>
        </is>
      </c>
      <c r="U1132" s="134" t="inlineStr">
        <is>
          <t>178 -3.65%</t>
        </is>
      </c>
    </row>
    <row customHeight="1" ht="17" r="1133" s="155">
      <c r="A1133" s="105" t="n">
        <v>44798</v>
      </c>
      <c r="B1133" s="134" t="n">
        <v>2075.235</v>
      </c>
      <c r="C1133" s="150" t="n">
        <v>-25.588</v>
      </c>
      <c r="D1133" s="151" t="n">
        <v>-0.0122</v>
      </c>
      <c r="E1133" s="134" t="n">
        <v>140.162</v>
      </c>
      <c r="F1133" s="134" t="n">
        <v>124.83</v>
      </c>
      <c r="G1133" s="134" t="n">
        <v>91.42</v>
      </c>
      <c r="H1133" s="134" t="n">
        <v>187.65</v>
      </c>
      <c r="I1133" s="104" t="n">
        <v>0.4749</v>
      </c>
      <c r="J1133" s="104" t="n">
        <v>0.3681</v>
      </c>
      <c r="K1133" s="104" t="n">
        <v>-0.0409</v>
      </c>
      <c r="L1133" s="134" t="n">
        <v>624.08</v>
      </c>
      <c r="M1133" s="134" t="n">
        <v>7639.1</v>
      </c>
      <c r="N1133" s="104" t="n">
        <v>0.08169999999999999</v>
      </c>
      <c r="O1133" s="134" t="n">
        <v>428</v>
      </c>
      <c r="P1133" s="134" t="n">
        <v>0</v>
      </c>
      <c r="Q1133" s="134" t="inlineStr">
        <is>
          <t>2 -0.51%</t>
        </is>
      </c>
      <c r="R1133" s="134" t="inlineStr">
        <is>
          <t>31 -0.30%</t>
        </is>
      </c>
      <c r="S1133" s="134" t="inlineStr">
        <is>
          <t>120 -0.61%</t>
        </is>
      </c>
      <c r="T1133" s="134" t="inlineStr">
        <is>
          <t>114 -1.01%</t>
        </is>
      </c>
      <c r="U1133" s="134" t="inlineStr">
        <is>
          <t>161 -2.01%</t>
        </is>
      </c>
    </row>
    <row customHeight="1" ht="17" r="1134" s="155">
      <c r="A1134" s="105" t="n">
        <v>44799</v>
      </c>
      <c r="B1134" s="134" t="n">
        <v>2071.707</v>
      </c>
      <c r="C1134" s="150" t="n">
        <v>-3.528</v>
      </c>
      <c r="D1134" s="151" t="n">
        <v>-0.0017</v>
      </c>
      <c r="E1134" s="134" t="n">
        <v>139.878</v>
      </c>
      <c r="F1134" s="134" t="n">
        <v>124.644</v>
      </c>
      <c r="G1134" s="134" t="n">
        <v>91.94</v>
      </c>
      <c r="H1134" s="134" t="n">
        <v>188</v>
      </c>
      <c r="I1134" s="104" t="n">
        <v>0.4812</v>
      </c>
      <c r="J1134" s="104" t="n">
        <v>0.3661</v>
      </c>
      <c r="K1134" s="104" t="n">
        <v>-0.0403</v>
      </c>
      <c r="L1134" s="134" t="n">
        <v>565.75</v>
      </c>
      <c r="M1134" s="134" t="n">
        <v>7641.14</v>
      </c>
      <c r="N1134" s="104" t="n">
        <v>0.074</v>
      </c>
      <c r="O1134" s="134" t="n">
        <v>429</v>
      </c>
      <c r="P1134" s="134" t="n">
        <v>0</v>
      </c>
      <c r="Q1134" s="134" t="inlineStr">
        <is>
          <t>3 0.03%</t>
        </is>
      </c>
      <c r="R1134" s="134" t="inlineStr">
        <is>
          <t>31 -0.06%</t>
        </is>
      </c>
      <c r="S1134" s="134" t="inlineStr">
        <is>
          <t>119 -0.08%</t>
        </is>
      </c>
      <c r="T1134" s="134" t="inlineStr">
        <is>
          <t>116 -0.16%</t>
        </is>
      </c>
      <c r="U1134" s="134" t="inlineStr">
        <is>
          <t>160 -0.27%</t>
        </is>
      </c>
    </row>
    <row customHeight="1" ht="17" r="1135" s="155">
      <c r="A1135" s="105" t="n">
        <v>44802</v>
      </c>
      <c r="B1135" s="134" t="n">
        <v>2068.061</v>
      </c>
      <c r="C1135" s="150" t="n">
        <v>-3.646</v>
      </c>
      <c r="D1135" s="151" t="n">
        <v>-0.0018</v>
      </c>
      <c r="E1135" s="134" t="n">
        <v>139.529</v>
      </c>
      <c r="F1135" s="134" t="n">
        <v>123.976</v>
      </c>
      <c r="G1135" s="134" t="n">
        <v>91.83</v>
      </c>
      <c r="H1135" s="134" t="n">
        <v>186.59</v>
      </c>
      <c r="I1135" s="104" t="n">
        <v>0.4706</v>
      </c>
      <c r="J1135" s="104" t="n">
        <v>0.3565</v>
      </c>
      <c r="K1135" s="104" t="n">
        <v>-0.0401</v>
      </c>
      <c r="L1135" s="134" t="n">
        <v>548.61</v>
      </c>
      <c r="M1135" s="134" t="n">
        <v>7646.72</v>
      </c>
      <c r="N1135" s="104" t="n">
        <v>0.0717</v>
      </c>
      <c r="O1135" s="134" t="n">
        <v>428</v>
      </c>
      <c r="P1135" s="134" t="n">
        <v>0</v>
      </c>
      <c r="Q1135" s="134" t="inlineStr">
        <is>
          <t>3 -0.50%</t>
        </is>
      </c>
      <c r="R1135" s="134" t="inlineStr">
        <is>
          <t>31 -0.38%</t>
        </is>
      </c>
      <c r="S1135" s="134" t="inlineStr">
        <is>
          <t>129 -0.40%</t>
        </is>
      </c>
      <c r="T1135" s="134" t="inlineStr">
        <is>
          <t>112 -0.33%</t>
        </is>
      </c>
      <c r="U1135" s="134" t="inlineStr">
        <is>
          <t>153 0.18%</t>
        </is>
      </c>
    </row>
    <row customHeight="1" ht="17" r="1136" s="155">
      <c r="A1136" s="105" t="n">
        <v>44803</v>
      </c>
      <c r="B1136" s="134" t="n">
        <v>2062.953</v>
      </c>
      <c r="C1136" s="150" t="n">
        <v>-5.108</v>
      </c>
      <c r="D1136" s="151" t="n">
        <v>-0.0025</v>
      </c>
      <c r="E1136" s="134" t="n">
        <v>138.983</v>
      </c>
      <c r="F1136" s="134" t="n">
        <v>123.978</v>
      </c>
      <c r="G1136" s="134" t="n">
        <v>91.41</v>
      </c>
      <c r="H1136" s="134" t="n">
        <v>186.17</v>
      </c>
      <c r="I1136" s="104" t="n">
        <v>0.4719</v>
      </c>
      <c r="J1136" s="104" t="n">
        <v>0.3546</v>
      </c>
      <c r="K1136" s="104" t="n">
        <v>-0.0402</v>
      </c>
      <c r="L1136" s="134" t="n">
        <v>563.96</v>
      </c>
      <c r="M1136" s="134" t="n">
        <v>7647.64</v>
      </c>
      <c r="N1136" s="104" t="n">
        <v>0.0737</v>
      </c>
      <c r="O1136" s="134" t="n">
        <v>428</v>
      </c>
      <c r="P1136" s="134" t="n">
        <v>0</v>
      </c>
      <c r="Q1136" s="134" t="inlineStr">
        <is>
          <t>3 0.13%</t>
        </is>
      </c>
      <c r="R1136" s="134" t="inlineStr">
        <is>
          <t>35 -0.15%</t>
        </is>
      </c>
      <c r="S1136" s="134" t="inlineStr">
        <is>
          <t>129 -0.14%</t>
        </is>
      </c>
      <c r="T1136" s="134" t="inlineStr">
        <is>
          <t>113 -0.19%</t>
        </is>
      </c>
      <c r="U1136" s="134" t="inlineStr">
        <is>
          <t>148 -0.41%</t>
        </is>
      </c>
    </row>
    <row customHeight="1" ht="17" r="1137" s="155">
      <c r="A1137" s="105" t="n">
        <v>44804</v>
      </c>
      <c r="B1137" s="134" t="n">
        <v>2022.725</v>
      </c>
      <c r="C1137" s="150" t="n">
        <v>-40.228</v>
      </c>
      <c r="D1137" s="151" t="n">
        <v>-0.0195</v>
      </c>
      <c r="E1137" s="134" t="n">
        <v>135.771</v>
      </c>
      <c r="F1137" s="134" t="n">
        <v>122.201</v>
      </c>
      <c r="G1137" s="134" t="n">
        <v>88.79000000000001</v>
      </c>
      <c r="H1137" s="134" t="n">
        <v>184.25</v>
      </c>
      <c r="I1137" s="104" t="n">
        <v>0.4848</v>
      </c>
      <c r="J1137" s="104" t="n">
        <v>0.369</v>
      </c>
      <c r="K1137" s="104" t="n">
        <v>-0.0349</v>
      </c>
      <c r="L1137" s="134" t="n">
        <v>542.22</v>
      </c>
      <c r="M1137" s="134" t="n">
        <v>7645.86</v>
      </c>
      <c r="N1137" s="104" t="n">
        <v>0.0709</v>
      </c>
      <c r="O1137" s="134" t="n">
        <v>428</v>
      </c>
      <c r="P1137" s="134" t="n">
        <v>0</v>
      </c>
      <c r="Q1137" s="134" t="inlineStr">
        <is>
          <t>3 -0.44%</t>
        </is>
      </c>
      <c r="R1137" s="134" t="inlineStr">
        <is>
          <t>37 -0.59%</t>
        </is>
      </c>
      <c r="S1137" s="134" t="inlineStr">
        <is>
          <t>141 -0.80%</t>
        </is>
      </c>
      <c r="T1137" s="134" t="inlineStr">
        <is>
          <t>121 -2.03%</t>
        </is>
      </c>
      <c r="U1137" s="134" t="inlineStr">
        <is>
          <t>126 -3.60%</t>
        </is>
      </c>
    </row>
  </sheetData>
  <mergeCells count="4">
    <mergeCell ref="A1:A2"/>
    <mergeCell ref="C1:C2"/>
    <mergeCell ref="B1:B2"/>
    <mergeCell ref="D1:D2"/>
  </mergeCells>
  <pageMargins bottom="0.75" footer="0.3" header="0.3" left="0.7" right="0.7" top="0.75"/>
  <drawing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60"/>
  <sheetViews>
    <sheetView topLeftCell="A10" workbookViewId="0" zoomScale="158">
      <selection activeCell="G74" sqref="G74"/>
    </sheetView>
  </sheetViews>
  <sheetFormatPr baseColWidth="10" defaultRowHeight="16"/>
  <cols>
    <col customWidth="1" max="2" min="2" style="155" width="10.83203125"/>
    <col customWidth="1" max="4" min="4" style="155" width="11.33203125"/>
    <col customWidth="1" max="10" min="10" style="155" width="10.83203125"/>
    <col bestFit="1" customWidth="1" max="15" min="15" style="155" width="21"/>
  </cols>
  <sheetData>
    <row r="1">
      <c r="B1" t="inlineStr">
        <is>
          <t>标普沪港深</t>
        </is>
      </c>
      <c r="C1" t="inlineStr">
        <is>
          <t>中证红利</t>
        </is>
      </c>
      <c r="D1" t="inlineStr">
        <is>
          <t>500snlv</t>
        </is>
      </c>
      <c r="E1" t="inlineStr">
        <is>
          <t>地产</t>
        </is>
      </c>
      <c r="F1" t="inlineStr">
        <is>
          <t>互联</t>
        </is>
      </c>
    </row>
    <row r="2">
      <c r="B2" t="inlineStr">
        <is>
          <t>15-20 + 4</t>
        </is>
      </c>
      <c r="C2" t="inlineStr">
        <is>
          <t>8-12+ 4</t>
        </is>
      </c>
      <c r="D2" t="inlineStr">
        <is>
          <t>15-17 + 2</t>
        </is>
      </c>
      <c r="E2" t="inlineStr">
        <is>
          <t>15-20 + 4</t>
        </is>
      </c>
      <c r="F2" t="inlineStr">
        <is>
          <t>13-18</t>
        </is>
      </c>
    </row>
    <row r="3">
      <c r="B3" t="inlineStr">
        <is>
          <t>19-24</t>
        </is>
      </c>
      <c r="C3" s="110" t="inlineStr">
        <is>
          <t>12-16</t>
        </is>
      </c>
      <c r="D3" t="inlineStr">
        <is>
          <t>17-19</t>
        </is>
      </c>
      <c r="E3" t="inlineStr">
        <is>
          <t>19-24</t>
        </is>
      </c>
      <c r="F3" t="inlineStr">
        <is>
          <t>13-18</t>
        </is>
      </c>
    </row>
    <row r="5">
      <c r="B5">
        <f>$G5*B6</f>
        <v/>
      </c>
      <c r="C5">
        <f>$G5*C6</f>
        <v/>
      </c>
      <c r="D5">
        <f>$G5*D6</f>
        <v/>
      </c>
      <c r="E5">
        <f>$G5*E6</f>
        <v/>
      </c>
      <c r="F5">
        <f>$G5*F6</f>
        <v/>
      </c>
      <c r="G5" t="n">
        <v>75</v>
      </c>
    </row>
    <row r="6">
      <c r="B6" s="113" t="n">
        <v>0.1</v>
      </c>
      <c r="C6" s="113" t="n">
        <v>0.2</v>
      </c>
      <c r="D6" s="113" t="n">
        <v>0.3</v>
      </c>
      <c r="E6" s="113" t="n">
        <v>0.2</v>
      </c>
      <c r="F6" s="113" t="n">
        <v>0.2</v>
      </c>
      <c r="G6" s="113">
        <f>SUM(B6:F6)</f>
        <v/>
      </c>
    </row>
    <row r="7">
      <c r="B7" s="113" t="n"/>
      <c r="C7" s="113" t="n"/>
      <c r="D7" s="113" t="n"/>
      <c r="E7" s="113" t="n"/>
      <c r="F7" s="113" t="n"/>
      <c r="G7" s="113" t="n"/>
    </row>
    <row r="8">
      <c r="A8" s="127" t="inlineStr">
        <is>
          <t>b</t>
        </is>
      </c>
      <c r="B8" t="n">
        <v>0.2</v>
      </c>
      <c r="C8" t="n">
        <v>0.3</v>
      </c>
      <c r="D8" t="n">
        <v>0.35</v>
      </c>
      <c r="E8" t="n">
        <v>0.3</v>
      </c>
      <c r="F8" t="n">
        <v>0.26</v>
      </c>
      <c r="G8" s="113" t="n"/>
    </row>
    <row r="9">
      <c r="A9" s="127" t="inlineStr">
        <is>
          <t>c</t>
        </is>
      </c>
      <c r="B9" t="n">
        <v>0.1</v>
      </c>
      <c r="C9" t="n">
        <v>0.1</v>
      </c>
      <c r="D9" t="n">
        <v>0.15</v>
      </c>
      <c r="E9" t="n">
        <v>0.18</v>
      </c>
      <c r="F9" t="n">
        <v>0.2</v>
      </c>
      <c r="G9" s="113" t="n"/>
    </row>
    <row r="10">
      <c r="A10" s="127" t="inlineStr">
        <is>
          <t>growth</t>
        </is>
      </c>
      <c r="B10" t="n">
        <v>0.06</v>
      </c>
      <c r="C10" t="n">
        <v>0.08</v>
      </c>
      <c r="D10" t="n">
        <v>0.12</v>
      </c>
      <c r="E10" t="n">
        <v>0.15</v>
      </c>
      <c r="F10" t="n">
        <v>0.12</v>
      </c>
      <c r="G10" s="113" t="n"/>
    </row>
    <row r="11">
      <c r="A11" s="127" t="inlineStr">
        <is>
          <t>b+growth</t>
        </is>
      </c>
      <c r="B11">
        <f>B8+B10</f>
        <v/>
      </c>
      <c r="C11">
        <f>C8+C10</f>
        <v/>
      </c>
      <c r="D11">
        <f>D8+D10</f>
        <v/>
      </c>
      <c r="E11">
        <f>E8+E10</f>
        <v/>
      </c>
      <c r="F11">
        <f>F8+F10</f>
        <v/>
      </c>
    </row>
    <row r="12">
      <c r="A12" s="127" t="inlineStr">
        <is>
          <t>c-growth</t>
        </is>
      </c>
      <c r="B12">
        <f>B9-B10</f>
        <v/>
      </c>
      <c r="C12">
        <f>C9-C10</f>
        <v/>
      </c>
      <c r="D12">
        <f>D9-D10</f>
        <v/>
      </c>
      <c r="E12">
        <f>E9-E10</f>
        <v/>
      </c>
      <c r="F12">
        <f>F9-F10</f>
        <v/>
      </c>
    </row>
    <row r="13">
      <c r="A13" s="127" t="inlineStr">
        <is>
          <t>p</t>
        </is>
      </c>
      <c r="B13">
        <f>B11/(B11+B12)</f>
        <v/>
      </c>
      <c r="C13">
        <f>C11/(C11+C12)</f>
        <v/>
      </c>
      <c r="D13">
        <f>D11/(D11+D12)</f>
        <v/>
      </c>
      <c r="E13">
        <f>E11/(E11+E12)</f>
        <v/>
      </c>
      <c r="F13">
        <f>F11/(F11+F12)</f>
        <v/>
      </c>
      <c r="H13" s="113" t="n"/>
      <c r="I13" s="113" t="n"/>
      <c r="J13" s="113" t="n"/>
      <c r="K13" s="113" t="n"/>
      <c r="L13" s="113" t="n"/>
    </row>
    <row r="14">
      <c r="A14" s="125" t="inlineStr">
        <is>
          <t>pw/c-pl/b</t>
        </is>
      </c>
      <c r="B14" s="113">
        <f>B13/B12-(1-B13)/B11</f>
        <v/>
      </c>
      <c r="C14" s="113">
        <f>C13/C12-(1-C13)/C11</f>
        <v/>
      </c>
      <c r="D14" s="113">
        <f>D13/D12-(1-D13)/D11</f>
        <v/>
      </c>
      <c r="E14" s="113">
        <f>E13/E12-(1-E13)/E11</f>
        <v/>
      </c>
      <c r="F14" s="113">
        <f>F13/F12-(1-F13)/F11</f>
        <v/>
      </c>
    </row>
    <row r="15">
      <c r="A15" s="125" t="inlineStr">
        <is>
          <t>pw*b-pl*c</t>
        </is>
      </c>
      <c r="B15" s="113">
        <f>B13*B11-(1-B13)*B12</f>
        <v/>
      </c>
      <c r="C15" s="113">
        <f>C13*C11-(1-C13)*C12</f>
        <v/>
      </c>
      <c r="D15" s="113">
        <f>D13*D11-(1-D13)*D12</f>
        <v/>
      </c>
      <c r="E15" s="113">
        <f>E13*E11-(1-E13)*E12</f>
        <v/>
      </c>
      <c r="F15" s="113">
        <f>F13*F11-(1-F13)*F12</f>
        <v/>
      </c>
    </row>
    <row r="17">
      <c r="A17" t="n">
        <v>2018</v>
      </c>
      <c r="C17" t="n">
        <v>1</v>
      </c>
      <c r="D17" t="n">
        <v>2</v>
      </c>
      <c r="E17" t="n">
        <v>3</v>
      </c>
      <c r="F17" t="n">
        <v>4</v>
      </c>
      <c r="G17" t="n">
        <v>5</v>
      </c>
      <c r="H17" t="n">
        <v>6</v>
      </c>
      <c r="I17" t="n">
        <v>7</v>
      </c>
      <c r="J17" t="n">
        <v>8</v>
      </c>
      <c r="K17" t="n">
        <v>9</v>
      </c>
      <c r="L17" t="n">
        <v>10</v>
      </c>
      <c r="M17" t="n">
        <v>11</v>
      </c>
      <c r="N17" t="n">
        <v>12</v>
      </c>
    </row>
    <row customFormat="1" r="18" s="156">
      <c r="C18" s="156" t="n">
        <v>0.0176</v>
      </c>
      <c r="D18" s="156" t="n">
        <v>-0.0301</v>
      </c>
      <c r="E18" s="156" t="n">
        <v>-0.0251</v>
      </c>
      <c r="F18" s="156" t="n">
        <v>-0.0078</v>
      </c>
      <c r="G18" s="156" t="n">
        <v>0.0447</v>
      </c>
      <c r="H18" s="156" t="n">
        <v>-0.0489</v>
      </c>
      <c r="I18" s="156" t="n">
        <v>0.0122</v>
      </c>
      <c r="J18" s="156" t="n">
        <v>-0.0318</v>
      </c>
      <c r="K18" s="156" t="n">
        <v>-0.024</v>
      </c>
      <c r="L18" s="156" t="n">
        <v>-0.0011</v>
      </c>
      <c r="M18" s="156" t="n">
        <v>0.0213</v>
      </c>
      <c r="N18" s="156" t="n">
        <v>-0.0593</v>
      </c>
    </row>
    <row r="19">
      <c r="C19" s="99">
        <f>1+C18</f>
        <v/>
      </c>
      <c r="D19" s="99">
        <f>1+D18</f>
        <v/>
      </c>
      <c r="E19" s="99">
        <f>1+E18</f>
        <v/>
      </c>
      <c r="F19" s="99">
        <f>1+F18</f>
        <v/>
      </c>
      <c r="G19" s="99">
        <f>1+G18</f>
        <v/>
      </c>
      <c r="H19" s="99">
        <f>1+H18</f>
        <v/>
      </c>
      <c r="I19" s="99">
        <f>1+I18</f>
        <v/>
      </c>
      <c r="J19" s="99">
        <f>1+J18</f>
        <v/>
      </c>
      <c r="K19" s="99">
        <f>1+K18</f>
        <v/>
      </c>
      <c r="L19" s="99">
        <f>1+L18</f>
        <v/>
      </c>
      <c r="M19" s="99">
        <f>1+M18</f>
        <v/>
      </c>
      <c r="N19" s="99">
        <f>1+N18</f>
        <v/>
      </c>
    </row>
    <row r="20">
      <c r="C20" s="99">
        <f>PRODUCT(C19)*1-100%</f>
        <v/>
      </c>
      <c r="D20" s="99">
        <f>(1+C20)*D19-1</f>
        <v/>
      </c>
      <c r="E20" s="99">
        <f>(1+D20)*E19-1</f>
        <v/>
      </c>
      <c r="F20" s="99">
        <f>(1+E20)*F19-1</f>
        <v/>
      </c>
      <c r="G20" s="99">
        <f>(1+F20)*G19-1</f>
        <v/>
      </c>
      <c r="H20" s="99">
        <f>(1+G20)*H19-1</f>
        <v/>
      </c>
      <c r="I20" s="99">
        <f>(1+H20)*I19-1</f>
        <v/>
      </c>
      <c r="J20" s="99">
        <f>(1+I20)*J19-1</f>
        <v/>
      </c>
      <c r="K20" s="99">
        <f>(1+J20)*K19-1</f>
        <v/>
      </c>
      <c r="L20" s="99">
        <f>(1+K20)*L19-1</f>
        <v/>
      </c>
      <c r="M20" s="99">
        <f>(1+L20)*M19-1</f>
        <v/>
      </c>
      <c r="N20" s="99">
        <f>(1+M20)*N19-1</f>
        <v/>
      </c>
      <c r="O20" s="123">
        <f>(1+N20)*1</f>
        <v/>
      </c>
    </row>
    <row r="22">
      <c r="A22" t="n">
        <v>2019</v>
      </c>
      <c r="C22" t="n">
        <v>1</v>
      </c>
      <c r="D22" t="n">
        <v>2</v>
      </c>
      <c r="E22" t="n">
        <v>3</v>
      </c>
      <c r="F22" t="n">
        <v>4</v>
      </c>
      <c r="G22" t="n">
        <v>5</v>
      </c>
      <c r="H22" t="n">
        <v>6</v>
      </c>
      <c r="I22" t="n">
        <v>7</v>
      </c>
      <c r="J22" t="n">
        <v>8</v>
      </c>
      <c r="K22" t="n">
        <v>9</v>
      </c>
      <c r="L22" t="n">
        <v>10</v>
      </c>
      <c r="M22" t="n">
        <v>11</v>
      </c>
      <c r="N22" t="n">
        <v>12</v>
      </c>
    </row>
    <row customFormat="1" r="23" s="156">
      <c r="C23" s="156" t="n">
        <v>0.0454</v>
      </c>
      <c r="D23" s="156" t="n">
        <v>0.1989</v>
      </c>
      <c r="E23" s="156" t="n">
        <v>0.0543</v>
      </c>
      <c r="F23" s="156" t="n">
        <v>-0.0191</v>
      </c>
      <c r="G23" s="156" t="n">
        <v>-0.0659</v>
      </c>
      <c r="H23" s="156" t="n">
        <v>0.0382</v>
      </c>
      <c r="I23" s="156" t="n">
        <v>-0.0018</v>
      </c>
      <c r="J23" s="156" t="n">
        <v>-0.0274</v>
      </c>
      <c r="K23" s="156" t="n">
        <v>0.0073</v>
      </c>
      <c r="L23" s="156" t="n">
        <v>0.0187</v>
      </c>
      <c r="M23" s="156" t="n">
        <v>0.0018</v>
      </c>
      <c r="N23" s="156" t="n">
        <v>0.0765</v>
      </c>
    </row>
    <row r="24">
      <c r="C24" s="99">
        <f>1+C23</f>
        <v/>
      </c>
      <c r="D24" s="99">
        <f>1+D23</f>
        <v/>
      </c>
      <c r="E24" s="99">
        <f>1+E23</f>
        <v/>
      </c>
      <c r="F24" s="99">
        <f>1+F23</f>
        <v/>
      </c>
      <c r="G24" s="99">
        <f>1+G23</f>
        <v/>
      </c>
      <c r="H24" s="99">
        <f>1+H23</f>
        <v/>
      </c>
      <c r="I24" s="99">
        <f>1+I23</f>
        <v/>
      </c>
      <c r="J24" s="99">
        <f>1+J23</f>
        <v/>
      </c>
      <c r="K24" s="99">
        <f>1+K23</f>
        <v/>
      </c>
      <c r="L24" s="99">
        <f>1+L23</f>
        <v/>
      </c>
      <c r="M24" s="99">
        <f>1+M23</f>
        <v/>
      </c>
      <c r="N24" s="99">
        <f>1+N23</f>
        <v/>
      </c>
    </row>
    <row r="25">
      <c r="C25" s="99">
        <f>PRODUCT(C24)*1-100%</f>
        <v/>
      </c>
      <c r="D25" s="99">
        <f>(1+C25)*D24-1</f>
        <v/>
      </c>
      <c r="E25" s="99">
        <f>(1+D25)*E24-1</f>
        <v/>
      </c>
      <c r="F25" s="99">
        <f>(1+E25)*F24-1</f>
        <v/>
      </c>
      <c r="G25" s="99">
        <f>(1+F25)*G24-1</f>
        <v/>
      </c>
      <c r="H25" s="99">
        <f>(1+G25)*H24-1</f>
        <v/>
      </c>
      <c r="I25" s="99">
        <f>(1+H25)*I24-1</f>
        <v/>
      </c>
      <c r="J25" s="99">
        <f>(1+I25)*J24-1</f>
        <v/>
      </c>
      <c r="K25" s="99">
        <f>(1+J25)*K24-1</f>
        <v/>
      </c>
      <c r="L25" s="99">
        <f>(1+K25)*L24-1</f>
        <v/>
      </c>
      <c r="M25" s="99">
        <f>(1+L25)*M24-1</f>
        <v/>
      </c>
      <c r="N25" s="99">
        <f>(1+M25)*N24-1</f>
        <v/>
      </c>
      <c r="O25" s="123">
        <f>(1+N25)*O20</f>
        <v/>
      </c>
    </row>
    <row r="27">
      <c r="A27" t="n">
        <v>2020</v>
      </c>
      <c r="C27" t="n">
        <v>1</v>
      </c>
      <c r="D27" t="n">
        <v>2</v>
      </c>
    </row>
    <row r="28">
      <c r="A28" s="156" t="n"/>
      <c r="B28" s="156" t="n"/>
      <c r="C28" s="156" t="n">
        <v>-0.0209</v>
      </c>
      <c r="D28" s="156" t="n">
        <v>0</v>
      </c>
    </row>
    <row r="29">
      <c r="C29" s="99">
        <f>1+C28</f>
        <v/>
      </c>
      <c r="D29" s="99">
        <f>1+D28</f>
        <v/>
      </c>
    </row>
    <row r="30">
      <c r="C30" s="99">
        <f>PRODUCT(C29)*1-100%</f>
        <v/>
      </c>
      <c r="D30" s="99" t="n">
        <v>0</v>
      </c>
      <c r="O30" s="123">
        <f>(1+D30)*O25</f>
        <v/>
      </c>
    </row>
    <row r="33">
      <c r="A33" t="inlineStr">
        <is>
          <t>总和</t>
        </is>
      </c>
      <c r="C33">
        <f>C35+C34</f>
        <v/>
      </c>
      <c r="D33">
        <f>D35+D34</f>
        <v/>
      </c>
      <c r="E33" s="99">
        <f>D33/C33-1</f>
        <v/>
      </c>
    </row>
    <row r="34">
      <c r="A34" t="inlineStr">
        <is>
          <t>东财</t>
        </is>
      </c>
      <c r="C34" t="n">
        <v>64.5</v>
      </c>
      <c r="D34" t="n">
        <v>74</v>
      </c>
      <c r="E34" s="99">
        <f>D34/C34-1</f>
        <v/>
      </c>
    </row>
    <row r="35">
      <c r="A35" t="inlineStr">
        <is>
          <t>魔方</t>
        </is>
      </c>
      <c r="C35" t="n">
        <v>165</v>
      </c>
      <c r="D35" t="n">
        <v>190</v>
      </c>
      <c r="E35" s="99">
        <f>D35/C35-1</f>
        <v/>
      </c>
    </row>
    <row r="36">
      <c r="E36" s="99" t="n"/>
    </row>
    <row r="38">
      <c r="C38" t="n">
        <v>205</v>
      </c>
      <c r="D38">
        <f>74+182+20</f>
        <v/>
      </c>
      <c r="E38">
        <f>D33+20</f>
        <v/>
      </c>
    </row>
    <row customHeight="1" ht="20" r="39" s="155">
      <c r="A39" s="66" t="n"/>
      <c r="B39" s="66" t="n"/>
      <c r="C39" s="119" t="inlineStr">
        <is>
          <t>2016.10</t>
        </is>
      </c>
      <c r="D39" s="119" t="inlineStr">
        <is>
          <t>2019.12</t>
        </is>
      </c>
    </row>
    <row r="43">
      <c r="C43" t="inlineStr">
        <is>
          <t>to 50%</t>
        </is>
      </c>
      <c r="D43" t="inlineStr">
        <is>
          <t>to 70%</t>
        </is>
      </c>
      <c r="E43" t="inlineStr">
        <is>
          <t>growth</t>
        </is>
      </c>
      <c r="F43" t="inlineStr">
        <is>
          <t xml:space="preserve">divident </t>
        </is>
      </c>
    </row>
    <row r="44">
      <c r="A44" t="inlineStr">
        <is>
          <t>地产</t>
        </is>
      </c>
      <c r="B44" t="inlineStr">
        <is>
          <t>pb</t>
        </is>
      </c>
      <c r="C44" t="n">
        <v>19</v>
      </c>
      <c r="D44" t="n">
        <v>41</v>
      </c>
      <c r="E44" t="n">
        <v>15</v>
      </c>
      <c r="F44" t="n">
        <v>3</v>
      </c>
    </row>
    <row r="45">
      <c r="C45" s="128">
        <f>C44+E44+F44</f>
        <v/>
      </c>
      <c r="D45" s="128">
        <f>D44+E44+F44</f>
        <v/>
      </c>
      <c r="G45">
        <f>(C45+C47)/2</f>
        <v/>
      </c>
      <c r="H45">
        <f>(D45+D47)/2</f>
        <v/>
      </c>
    </row>
    <row r="46">
      <c r="B46" t="inlineStr">
        <is>
          <t>pe</t>
        </is>
      </c>
      <c r="C46" t="n">
        <v>51</v>
      </c>
      <c r="D46" t="n">
        <v>85</v>
      </c>
    </row>
    <row r="47">
      <c r="C47">
        <f>C46+E44+F44</f>
        <v/>
      </c>
      <c r="D47">
        <f>D46+E44+F44</f>
        <v/>
      </c>
    </row>
    <row r="48">
      <c r="A48" t="inlineStr">
        <is>
          <t>500snlv</t>
        </is>
      </c>
      <c r="B48" t="inlineStr">
        <is>
          <t>pb</t>
        </is>
      </c>
      <c r="C48" t="n">
        <v>32</v>
      </c>
      <c r="D48" t="n">
        <v>44</v>
      </c>
      <c r="E48" t="n">
        <v>15</v>
      </c>
      <c r="F48" t="n">
        <v>2</v>
      </c>
    </row>
    <row r="49">
      <c r="C49" s="128">
        <f>C48+E48+F48</f>
        <v/>
      </c>
      <c r="D49" s="128">
        <f>D48+E48+F48</f>
        <v/>
      </c>
      <c r="G49">
        <f>(C49+C51)/2</f>
        <v/>
      </c>
      <c r="H49">
        <f>(D49+D51)/2</f>
        <v/>
      </c>
    </row>
    <row r="50">
      <c r="B50" t="inlineStr">
        <is>
          <t>pe</t>
        </is>
      </c>
      <c r="C50" t="n">
        <v>44</v>
      </c>
      <c r="D50" t="n">
        <v>56</v>
      </c>
    </row>
    <row r="51">
      <c r="C51">
        <f>C50+E48+F48</f>
        <v/>
      </c>
      <c r="D51">
        <f>D50+E48+F48</f>
        <v/>
      </c>
    </row>
    <row r="52">
      <c r="A52" t="inlineStr">
        <is>
          <t>标普价值</t>
        </is>
      </c>
      <c r="B52" t="inlineStr">
        <is>
          <t>pb</t>
        </is>
      </c>
      <c r="C52" t="n">
        <v>30</v>
      </c>
      <c r="D52" t="n">
        <v>40</v>
      </c>
      <c r="E52" t="n">
        <v>12</v>
      </c>
      <c r="F52" t="n">
        <v>5</v>
      </c>
    </row>
    <row r="53">
      <c r="C53">
        <f>C52+E52+F52</f>
        <v/>
      </c>
      <c r="D53">
        <f>D52+E52+F52</f>
        <v/>
      </c>
      <c r="G53">
        <f>(C53+C55)/2</f>
        <v/>
      </c>
      <c r="H53">
        <f>(D53+D55)/2</f>
        <v/>
      </c>
    </row>
    <row r="54">
      <c r="B54" t="inlineStr">
        <is>
          <t>pe</t>
        </is>
      </c>
      <c r="C54" t="n">
        <v>19</v>
      </c>
      <c r="D54" t="n">
        <v>32</v>
      </c>
    </row>
    <row r="55">
      <c r="C55" s="128">
        <f>C54+E52+F52</f>
        <v/>
      </c>
      <c r="D55" s="128">
        <f>D54+E52+F52</f>
        <v/>
      </c>
    </row>
    <row r="59">
      <c r="A59" t="inlineStr">
        <is>
          <t>凯利公式</t>
        </is>
      </c>
      <c r="E59" t="inlineStr">
        <is>
          <t>p</t>
        </is>
      </c>
      <c r="F59" t="inlineStr">
        <is>
          <t>rL</t>
        </is>
      </c>
      <c r="G59" t="inlineStr">
        <is>
          <t>rW</t>
        </is>
      </c>
      <c r="H59" t="inlineStr">
        <is>
          <t>f</t>
        </is>
      </c>
    </row>
    <row r="60">
      <c r="E60" s="113" t="n">
        <v>0.4</v>
      </c>
      <c r="F60" s="156" t="n">
        <v>0.05</v>
      </c>
      <c r="G60" s="156" t="n">
        <v>0.1</v>
      </c>
      <c r="H60" s="99">
        <f>(E60/F60)-(1-E60)/G60</f>
        <v/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tabSelected="1" workbookViewId="0" zoomScale="125">
      <selection activeCell="G16" sqref="G16"/>
    </sheetView>
  </sheetViews>
  <sheetFormatPr baseColWidth="10" defaultRowHeight="16"/>
  <cols>
    <col customWidth="1" max="1" min="1" style="155" width="15.1640625"/>
    <col customWidth="1" max="12" min="12" style="155" width="15.33203125"/>
  </cols>
  <sheetData>
    <row r="1">
      <c r="A1" t="inlineStr">
        <is>
          <t>橡皮筋</t>
        </is>
      </c>
      <c r="B1" t="n">
        <v>1900</v>
      </c>
      <c r="C1" t="n">
        <v>5700</v>
      </c>
      <c r="D1" t="n">
        <v>5600</v>
      </c>
      <c r="E1">
        <f>SUM(B1:D1)</f>
        <v/>
      </c>
    </row>
    <row r="2">
      <c r="A2" t="inlineStr">
        <is>
          <t>信封</t>
        </is>
      </c>
      <c r="B2" t="n">
        <v>5000</v>
      </c>
      <c r="C2" t="n">
        <v>5100</v>
      </c>
      <c r="D2" t="n">
        <v>6000</v>
      </c>
      <c r="E2">
        <f>SUM(B2:D2)</f>
        <v/>
      </c>
    </row>
    <row r="3">
      <c r="A3" t="inlineStr">
        <is>
          <t>牛财旺盛</t>
        </is>
      </c>
      <c r="B3" t="n">
        <v>2020</v>
      </c>
      <c r="E3">
        <f>SUM(B3:D3)</f>
        <v/>
      </c>
    </row>
    <row r="4">
      <c r="A4" t="inlineStr">
        <is>
          <t>行运天下</t>
        </is>
      </c>
      <c r="B4" t="n">
        <v>1900</v>
      </c>
      <c r="E4">
        <f>SUM(B4:D4)</f>
        <v/>
      </c>
    </row>
    <row r="5">
      <c r="A5" t="inlineStr">
        <is>
          <t>富贵临门</t>
        </is>
      </c>
      <c r="B5" t="n">
        <v>1000</v>
      </c>
      <c r="E5">
        <f>SUM(B5:D5)</f>
        <v/>
      </c>
    </row>
    <row r="6">
      <c r="A6" t="inlineStr">
        <is>
          <t>福气</t>
        </is>
      </c>
      <c r="B6" t="n">
        <v>6600</v>
      </c>
      <c r="E6">
        <f>SUM(B6:D6)</f>
        <v/>
      </c>
    </row>
    <row r="7">
      <c r="A7" t="inlineStr">
        <is>
          <t>工银安盛</t>
        </is>
      </c>
      <c r="B7" t="n">
        <v>2800</v>
      </c>
      <c r="E7">
        <f>SUM(B7:D7)</f>
        <v/>
      </c>
    </row>
    <row r="8">
      <c r="A8" t="inlineStr">
        <is>
          <t>大吉大利</t>
        </is>
      </c>
      <c r="B8" t="n">
        <v>1000</v>
      </c>
      <c r="E8">
        <f>SUM(B8:D8)</f>
        <v/>
      </c>
    </row>
    <row r="9">
      <c r="A9" t="inlineStr">
        <is>
          <t>大吉大利</t>
        </is>
      </c>
      <c r="B9" t="n">
        <v>1000</v>
      </c>
      <c r="E9">
        <f>SUM(B9:D9)</f>
        <v/>
      </c>
    </row>
    <row r="11">
      <c r="A11" t="inlineStr">
        <is>
          <t>小令</t>
        </is>
      </c>
      <c r="B11" t="n">
        <v>2000</v>
      </c>
      <c r="E11">
        <f>SUM(B11:D11)</f>
        <v/>
      </c>
    </row>
    <row r="12">
      <c r="A12" t="inlineStr">
        <is>
          <t>王亚力</t>
        </is>
      </c>
      <c r="B12" t="n">
        <v>2000</v>
      </c>
      <c r="E12">
        <f>SUM(B12:D12)</f>
        <v/>
      </c>
    </row>
    <row r="13">
      <c r="A13" t="inlineStr">
        <is>
          <t>王绪平 张百X</t>
        </is>
      </c>
      <c r="B13" t="n">
        <v>2800</v>
      </c>
      <c r="E13">
        <f>SUM(B13:D13)</f>
        <v/>
      </c>
    </row>
    <row r="14">
      <c r="A14" t="inlineStr">
        <is>
          <t>任克强</t>
        </is>
      </c>
      <c r="B14" t="n">
        <v>1000</v>
      </c>
      <c r="E14">
        <f>SUM(B14:D14)</f>
        <v/>
      </c>
    </row>
    <row r="15">
      <c r="A15" t="inlineStr">
        <is>
          <t>王绪虹</t>
        </is>
      </c>
      <c r="B15" t="n">
        <v>2800</v>
      </c>
      <c r="E15">
        <f>SUM(B15:D15)</f>
        <v/>
      </c>
    </row>
    <row r="16">
      <c r="A16" t="inlineStr">
        <is>
          <t>黄冬、婉芳</t>
        </is>
      </c>
      <c r="B16" t="n">
        <v>2000</v>
      </c>
      <c r="E16">
        <f>SUM(B16:D16)</f>
        <v/>
      </c>
    </row>
    <row r="17">
      <c r="A17" t="inlineStr">
        <is>
          <t>王小芬</t>
        </is>
      </c>
      <c r="B17" t="n">
        <v>2000</v>
      </c>
      <c r="E17">
        <f>SUM(B17:D17)</f>
        <v/>
      </c>
    </row>
    <row r="18">
      <c r="A18" t="inlineStr">
        <is>
          <t>缪欢庆</t>
        </is>
      </c>
      <c r="B18" t="n">
        <v>2000</v>
      </c>
      <c r="E18">
        <f>SUM(B18:D18)</f>
        <v/>
      </c>
    </row>
    <row r="19">
      <c r="A19" t="inlineStr">
        <is>
          <t>韩立波</t>
        </is>
      </c>
      <c r="B19" t="n">
        <v>2000</v>
      </c>
      <c r="E19">
        <f>SUM(B19:D19)</f>
        <v/>
      </c>
    </row>
    <row r="20">
      <c r="A20" t="inlineStr">
        <is>
          <t>任允文</t>
        </is>
      </c>
      <c r="B20" t="n">
        <v>2000</v>
      </c>
      <c r="E20">
        <f>SUM(B20:D20)</f>
        <v/>
      </c>
    </row>
    <row r="21">
      <c r="A21" t="inlineStr">
        <is>
          <t>叶萧敏</t>
        </is>
      </c>
      <c r="B21" t="n">
        <v>1000</v>
      </c>
      <c r="E21">
        <f>SUM(B21:D21)</f>
        <v/>
      </c>
    </row>
    <row r="22">
      <c r="A22" t="inlineStr">
        <is>
          <t>孙菲</t>
        </is>
      </c>
      <c r="B22" t="n">
        <v>2000</v>
      </c>
      <c r="E22">
        <f>SUM(B22:D22)</f>
        <v/>
      </c>
    </row>
    <row r="23">
      <c r="A23" t="inlineStr">
        <is>
          <t>孙华</t>
        </is>
      </c>
      <c r="B23" t="n">
        <v>1000</v>
      </c>
      <c r="E23">
        <f>SUM(B23:D23)</f>
        <v/>
      </c>
    </row>
    <row r="24">
      <c r="A24" t="inlineStr">
        <is>
          <t>沈丽华</t>
        </is>
      </c>
      <c r="B24" t="n">
        <v>1000</v>
      </c>
      <c r="E24">
        <f>SUM(B24:D24)</f>
        <v/>
      </c>
    </row>
    <row r="25">
      <c r="E25">
        <f>SUM(E1:E24)</f>
        <v/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Brett Ren</dc:creator>
  <dcterms:created xsi:type="dcterms:W3CDTF">2018-09-12T12:02:31Z</dcterms:created>
  <dcterms:modified xsi:type="dcterms:W3CDTF">2023-02-19T11:32:24Z</dcterms:modified>
  <cp:lastModifiedBy>Microsoft Office User</cp:lastModifiedBy>
</cp:coreProperties>
</file>